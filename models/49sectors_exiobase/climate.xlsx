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01.Feina_CREAF\06.Git_Repos\pymedeas2_vensim\models_for_pymedeas2\"/>
    </mc:Choice>
  </mc:AlternateContent>
  <xr:revisionPtr revIDLastSave="0" documentId="13_ncr:1_{690B57D4-DC50-469C-9AE8-F38DC50516D9}" xr6:coauthVersionLast="47" xr6:coauthVersionMax="47" xr10:uidLastSave="{00000000-0000-0000-0000-000000000000}"/>
  <bookViews>
    <workbookView xWindow="-120" yWindow="-120" windowWidth="38640" windowHeight="19875" tabRatio="500" activeTab="3" xr2:uid="{00000000-000D-0000-FFFF-FFFF00000000}"/>
  </bookViews>
  <sheets>
    <sheet name="Global" sheetId="1" r:id="rId1"/>
    <sheet name="World" sheetId="2" r:id="rId2"/>
    <sheet name="Europe" sheetId="3" r:id="rId3"/>
    <sheet name="Catalonia" sheetId="4" r:id="rId4"/>
  </sheets>
  <definedNames>
    <definedName name="atm_ocean_mixing_time" localSheetId="1">World!$C$14</definedName>
    <definedName name="biomass_residence_time" localSheetId="1">World!$C$4</definedName>
    <definedName name="biostim_coeff_index" localSheetId="1">World!$C$8</definedName>
    <definedName name="biostim_coeff_mean" localSheetId="1">World!$C$9</definedName>
    <definedName name="buffer_C_coeff" localSheetId="1">World!$C$11</definedName>
    <definedName name="C_humification_fraction" localSheetId="1">World!$C$3</definedName>
    <definedName name="C_humus_residence_time" localSheetId="1">World!$C$2</definedName>
    <definedName name="ccs_efficiency" localSheetId="0">Global!$C$50:$C$52</definedName>
    <definedName name="ccs_tech_share" localSheetId="3">Catalonia!$B$68:$E$132</definedName>
    <definedName name="ccs_tech_share" localSheetId="2">Europe!$B$68:$E$132</definedName>
    <definedName name="ccs_tech_share" localSheetId="1">World!$B$152:$E$216</definedName>
    <definedName name="ccs_tech_share_accommodation_food_and_beverage_services" localSheetId="3">Catalonia!$C$71:$N$73</definedName>
    <definedName name="ccs_tech_share_accommodation_food_and_beverage_services" localSheetId="2">Europe!$C$71:$N$73</definedName>
    <definedName name="ccs_tech_share_accommodation_food_and_beverage_services" localSheetId="1">World!$C$155:$N$157</definedName>
    <definedName name="ccs_tech_share_activities_of_membership_organisations" localSheetId="3">Catalonia!$C$74:$N$76</definedName>
    <definedName name="ccs_tech_share_activities_of_membership_organisations" localSheetId="2">Europe!$C$74:$N$76</definedName>
    <definedName name="ccs_tech_share_activities_of_membership_organisations" localSheetId="1">World!$C$158:$N$160</definedName>
    <definedName name="ccs_tech_share_agr" localSheetId="3">Catalonia!#REF!</definedName>
    <definedName name="ccs_tech_share_agr" localSheetId="2">Europe!#REF!</definedName>
    <definedName name="ccs_tech_share_agriculture_livestock_and_related_services" localSheetId="3">Catalonia!$C$74:$N$76</definedName>
    <definedName name="ccs_tech_share_agriculture_livestock_and_related_services" localSheetId="2">Europe!$C$74:$N$76</definedName>
    <definedName name="ccs_tech_share_agriculture_livestock_and_related_services" localSheetId="1">World!$C$158:$N$160</definedName>
    <definedName name="ccs_tech_share_air_transport" localSheetId="3">Catalonia!$C$80:$N$82</definedName>
    <definedName name="ccs_tech_share_air_transport" localSheetId="2">Europe!$C$80:$N$82</definedName>
    <definedName name="ccs_tech_share_air_transport" localSheetId="1">World!$C$164:$N$166</definedName>
    <definedName name="ccs_tech_share_chemical_and_petrochemical" localSheetId="3">Catalonia!#REF!</definedName>
    <definedName name="ccs_tech_share_chemical_and_petrochemical" localSheetId="2">Europe!#REF!</definedName>
    <definedName name="ccs_tech_share_chemical_industry" localSheetId="3">Catalonia!$C$83:$N$85</definedName>
    <definedName name="ccs_tech_share_chemical_industry" localSheetId="2">Europe!$C$83:$N$85</definedName>
    <definedName name="ccs_tech_share_chemical_industry" localSheetId="1">World!$C$167:$N$169</definedName>
    <definedName name="ccs_tech_share_coal_and_peat_mining" localSheetId="3">Catalonia!#REF!</definedName>
    <definedName name="ccs_tech_share_coal_and_peat_mining" localSheetId="2">Europe!#REF!</definedName>
    <definedName name="ccs_tech_share_coke" localSheetId="3">Catalonia!$C$68:$N$70</definedName>
    <definedName name="ccs_tech_share_coke" localSheetId="2">Europe!$C$68:$N$70</definedName>
    <definedName name="ccs_tech_share_coke_and_petroleum_refineries" localSheetId="3">Catalonia!$C$86:$N$88</definedName>
    <definedName name="ccs_tech_share_coke_and_petroleum_refineries" localSheetId="2">Europe!$C$86:$N$88</definedName>
    <definedName name="ccs_tech_share_coke_and_petroleum_refineries" localSheetId="1">World!$C$170:$N$172</definedName>
    <definedName name="ccs_tech_share_coke_oven_products" localSheetId="3">Catalonia!$C$68:$N$70</definedName>
    <definedName name="ccs_tech_share_coke_oven_products" localSheetId="2">Europe!$C$68:$N$70</definedName>
    <definedName name="ccs_tech_share_commercial_and_public_services" localSheetId="3">Catalonia!$C$71:$N$73</definedName>
    <definedName name="ccs_tech_share_commercial_and_public_services" localSheetId="2">Europe!$C$71:$N$73</definedName>
    <definedName name="ccs_tech_share_computer_activities_and_information_services" localSheetId="3">Catalonia!$C$89:$N$91</definedName>
    <definedName name="ccs_tech_share_computer_activities_and_information_services" localSheetId="2">Europe!$C$89:$N$91</definedName>
    <definedName name="ccs_tech_share_computer_activities_and_information_services" localSheetId="1">World!$C$173:$N$175</definedName>
    <definedName name="ccs_tech_share_cons" localSheetId="3">Catalonia!$C$77:$N$79</definedName>
    <definedName name="ccs_tech_share_cons" localSheetId="2">Europe!$C$77:$N$79</definedName>
    <definedName name="ccs_tech_share_construction" localSheetId="3">Catalonia!$C$92:$N$94</definedName>
    <definedName name="ccs_tech_share_construction" localSheetId="2">Europe!$C$92:$N$94</definedName>
    <definedName name="ccs_tech_share_construction" localSheetId="1">World!$C$176:$N$178</definedName>
    <definedName name="ccs_tech_share_dist" localSheetId="3">Catalonia!$C$80:$N$82</definedName>
    <definedName name="ccs_tech_share_dist" localSheetId="2">Europe!$C$80:$N$82</definedName>
    <definedName name="ccs_tech_share_education" localSheetId="3">Catalonia!$C$95:$N$97</definedName>
    <definedName name="ccs_tech_share_education" localSheetId="2">Europe!$C$95:$N$97</definedName>
    <definedName name="ccs_tech_share_education" localSheetId="1">World!$C$179:$N$181</definedName>
    <definedName name="ccs_tech_share_electricity_and_heat_generation" localSheetId="3">Catalonia!$C$77:$N$79</definedName>
    <definedName name="ccs_tech_share_electricity_and_heat_generation" localSheetId="2">Europe!$C$77:$N$79</definedName>
    <definedName name="ccs_tech_share_electricity_gas_steam_and_air_conditioning_supply" localSheetId="3">Catalonia!$C$98:$N$100</definedName>
    <definedName name="ccs_tech_share_electricity_gas_steam_and_air_conditioning_supply" localSheetId="2">Europe!$C$98:$N$100</definedName>
    <definedName name="ccs_tech_share_electricity_gas_steam_and_air_conditioning_supply" localSheetId="1">World!$C$182:$N$184</definedName>
    <definedName name="ccs_tech_share_eoete" localSheetId="3">Catalonia!$C$71:$N$73</definedName>
    <definedName name="ccs_tech_share_eoete" localSheetId="2">Europe!$C$71:$N$73</definedName>
    <definedName name="ccs_tech_share_extractive_industries_mining_and_quarrying" localSheetId="3">Catalonia!$C$101:$N$103</definedName>
    <definedName name="ccs_tech_share_extractive_industries_mining_and_quarrying" localSheetId="2">Europe!$C$101:$N$103</definedName>
    <definedName name="ccs_tech_share_extractive_industries_mining_and_quarrying" localSheetId="1">World!$C$185:$N$187</definedName>
    <definedName name="ccs_tech_share_fbt" localSheetId="3">Catalonia!#REF!</definedName>
    <definedName name="ccs_tech_share_fbt" localSheetId="2">Europe!#REF!</definedName>
    <definedName name="ccs_tech_share_fi" localSheetId="3">Catalonia!$C$89:$N$91</definedName>
    <definedName name="ccs_tech_share_fi" localSheetId="2">Europe!$C$89:$N$91</definedName>
    <definedName name="ccs_tech_share_financial_intermediation" localSheetId="3">Catalonia!$C$104:$N$106</definedName>
    <definedName name="ccs_tech_share_financial_intermediation" localSheetId="2">Europe!$C$104:$N$106</definedName>
    <definedName name="ccs_tech_share_financial_intermediation" localSheetId="1">World!$C$188:$N$190</definedName>
    <definedName name="ccs_tech_share_fishing" localSheetId="3">Catalonia!$C$80:$N$82</definedName>
    <definedName name="ccs_tech_share_fishing" localSheetId="2">Europe!$C$80:$N$82</definedName>
    <definedName name="ccs_tech_share_fishing_and_aquaculture" localSheetId="3">Catalonia!$C$107:$N$109</definedName>
    <definedName name="ccs_tech_share_fishing_and_aquaculture" localSheetId="2">Europe!$C$107:$N$109</definedName>
    <definedName name="ccs_tech_share_fishing_and_aquaculture" localSheetId="1">World!$C$191:$N$193</definedName>
    <definedName name="ccs_tech_share_food_and_tobacco" localSheetId="3">Catalonia!$C$83:$N$85</definedName>
    <definedName name="ccs_tech_share_food_and_tobacco" localSheetId="2">Europe!$C$83:$N$85</definedName>
    <definedName name="ccs_tech_share_food_beverages_and_tobacco_industries" localSheetId="3">Catalonia!$C$110:$N$112</definedName>
    <definedName name="ccs_tech_share_food_beverages_and_tobacco_industries" localSheetId="2">Europe!$C$110:$N$112</definedName>
    <definedName name="ccs_tech_share_food_beverages_and_tobacco_industries" localSheetId="1">World!$C$194:$N$196</definedName>
    <definedName name="ccs_tech_share_forestry_and_logging" localSheetId="3">Catalonia!$C$113:$N$115</definedName>
    <definedName name="ccs_tech_share_forestry_and_logging" localSheetId="2">Europe!$C$113:$N$115</definedName>
    <definedName name="ccs_tech_share_forestry_and_logging" localSheetId="1">World!$C$197:$N$199</definedName>
    <definedName name="ccs_tech_share_graphic_arts_and_recorded_media" localSheetId="3">Catalonia!$C$116:$N$118</definedName>
    <definedName name="ccs_tech_share_graphic_arts_and_recorded_media" localSheetId="2">Europe!$C$116:$N$118</definedName>
    <definedName name="ccs_tech_share_graphic_arts_and_recorded_media" localSheetId="1">World!$C$200:$N$202</definedName>
    <definedName name="ccs_tech_share_healthcare_and_social_work_activities" localSheetId="3">Catalonia!$C$119:$N$121</definedName>
    <definedName name="ccs_tech_share_healthcare_and_social_work_activities" localSheetId="2">Europe!$C$119:$N$121</definedName>
    <definedName name="ccs_tech_share_healthcare_and_social_work_activities" localSheetId="1">World!$C$203:$N$205</definedName>
    <definedName name="ccs_tech_share_hh" localSheetId="3">Catalonia!#REF!</definedName>
    <definedName name="ccs_tech_share_hh" localSheetId="2">Europe!#REF!</definedName>
    <definedName name="ccs_tech_share_households" localSheetId="3">Catalonia!$C$68:$N$70</definedName>
    <definedName name="ccs_tech_share_households" localSheetId="2">Europe!$C$68:$N$70</definedName>
    <definedName name="ccs_tech_share_households" localSheetId="1">World!$C$152:$N$154</definedName>
    <definedName name="ccs_tech_share_hr" localSheetId="3">Catalonia!$C$83:$N$85</definedName>
    <definedName name="ccs_tech_share_hr" localSheetId="2">Europe!$C$83:$N$85</definedName>
    <definedName name="ccs_tech_share_insurance_and_pension_funds" localSheetId="3">Catalonia!$C$122:$N$124</definedName>
    <definedName name="ccs_tech_share_insurance_and_pension_funds" localSheetId="2">Europe!$C$122:$N$124</definedName>
    <definedName name="ccs_tech_share_insurance_and_pension_funds" localSheetId="1">World!$C$206:$N$208</definedName>
    <definedName name="ccs_tech_share_iron_and_steel" localSheetId="3">Catalonia!$C$86:$N$88</definedName>
    <definedName name="ccs_tech_share_iron_and_steel" localSheetId="2">Europe!$C$86:$N$88</definedName>
    <definedName name="ccs_tech_share_land_transport" localSheetId="3">Catalonia!$C$89:$N$91</definedName>
    <definedName name="ccs_tech_share_land_transport" localSheetId="2">Europe!$C$89:$N$91</definedName>
    <definedName name="ccs_tech_share_land_transport_pipeline_transport" localSheetId="3">Catalonia!$C$125:$N$127</definedName>
    <definedName name="ccs_tech_share_land_transport_pipeline_transport" localSheetId="2">Europe!$C$125:$N$127</definedName>
    <definedName name="ccs_tech_share_land_transport_pipeline_transport" localSheetId="1">World!$C$209:$N$211</definedName>
    <definedName name="ccs_tech_share_liquefaction_and_regasification_plants" localSheetId="3">Catalonia!$C$92:$N$94</definedName>
    <definedName name="ccs_tech_share_liquefaction_and_regasification_plants" localSheetId="2">Europe!$C$92:$N$94</definedName>
    <definedName name="ccs_tech_share_machinery" localSheetId="3">Catalonia!$C$95:$N$97</definedName>
    <definedName name="ccs_tech_share_machinery" localSheetId="2">Europe!$C$95:$N$97</definedName>
    <definedName name="ccs_tech_share_manufacture_of_computer_electronic_and_optical_products" localSheetId="3">Catalonia!$C$128:$N$130</definedName>
    <definedName name="ccs_tech_share_manufacture_of_computer_electronic_and_optical_products" localSheetId="2">Europe!$C$128:$N$130</definedName>
    <definedName name="ccs_tech_share_manufacture_of_computer_electronic_and_optical_products" localSheetId="1">World!$C$212:$N$214</definedName>
    <definedName name="ccs_tech_share_manufacture_of_electrical_equipment" localSheetId="3">Catalonia!$C$131:$N$133</definedName>
    <definedName name="ccs_tech_share_manufacture_of_electrical_equipment" localSheetId="2">Europe!$C$131:$N$133</definedName>
    <definedName name="ccs_tech_share_manufacture_of_electrical_equipment" localSheetId="1">World!$C$215:$N$217</definedName>
    <definedName name="ccs_tech_share_manufacture_of_fabricated_metal_products_except_machinery_and_equipment" localSheetId="3">Catalonia!$C$134:$N$136</definedName>
    <definedName name="ccs_tech_share_manufacture_of_fabricated_metal_products_except_machinery_and_equipment" localSheetId="2">Europe!$C$134:$N$136</definedName>
    <definedName name="ccs_tech_share_manufacture_of_fabricated_metal_products_except_machinery_and_equipment" localSheetId="1">World!$C$218:$N$220</definedName>
    <definedName name="ccs_tech_share_manufacture_of_furniture_manufacturing_n_e_c" localSheetId="3">Catalonia!$C$137:$N$139</definedName>
    <definedName name="ccs_tech_share_manufacture_of_furniture_manufacturing_n_e_c" localSheetId="2">Europe!$C$137:$N$139</definedName>
    <definedName name="ccs_tech_share_manufacture_of_furniture_manufacturing_n_e_c" localSheetId="1">World!$C$221:$N$223</definedName>
    <definedName name="ccs_tech_share_manufacture_of_machinery_and_equipment_n_e_c" localSheetId="3">Catalonia!$C$140:$N$142</definedName>
    <definedName name="ccs_tech_share_manufacture_of_machinery_and_equipment_n_e_c" localSheetId="2">Europe!$C$140:$N$142</definedName>
    <definedName name="ccs_tech_share_manufacture_of_machinery_and_equipment_n_e_c" localSheetId="1">World!$C$224:$N$226</definedName>
    <definedName name="ccs_tech_share_manufacture_of_motor_vehicles_trailers_and_semi_trailers" localSheetId="3">Catalonia!$C$143:$N$145</definedName>
    <definedName name="ccs_tech_share_manufacture_of_motor_vehicles_trailers_and_semi_trailers" localSheetId="2">Europe!$C$143:$N$145</definedName>
    <definedName name="ccs_tech_share_manufacture_of_motor_vehicles_trailers_and_semi_trailers" localSheetId="1">World!$C$227:$N$229</definedName>
    <definedName name="ccs_tech_share_manufacture_of_other_non_metallic_mineral_products" localSheetId="3">Catalonia!$C$146:$N$148</definedName>
    <definedName name="ccs_tech_share_manufacture_of_other_non_metallic_mineral_products" localSheetId="2">Europe!$C$146:$N$148</definedName>
    <definedName name="ccs_tech_share_manufacture_of_other_non_metallic_mineral_products" localSheetId="1">World!$C$230:$N$232</definedName>
    <definedName name="ccs_tech_share_manufacture_of_other_transport_equipment" localSheetId="3">Catalonia!$C$149:$N$151</definedName>
    <definedName name="ccs_tech_share_manufacture_of_other_transport_equipment" localSheetId="2">Europe!$C$149:$N$151</definedName>
    <definedName name="ccs_tech_share_manufacture_of_other_transport_equipment" localSheetId="1">World!$C$233:$N$235</definedName>
    <definedName name="ccs_tech_share_manufacture_of_rubber_and_plastic_products" localSheetId="3">Catalonia!$C$152:$N$154</definedName>
    <definedName name="ccs_tech_share_manufacture_of_rubber_and_plastic_products" localSheetId="2">Europe!$C$152:$N$154</definedName>
    <definedName name="ccs_tech_share_manufacture_of_rubber_and_plastic_products" localSheetId="1">World!$C$236:$N$238</definedName>
    <definedName name="ccs_tech_share_maritime_and_inland_water_transport" localSheetId="3">Catalonia!$C$155:$N$157</definedName>
    <definedName name="ccs_tech_share_maritime_and_inland_water_transport" localSheetId="2">Europe!$C$155:$N$157</definedName>
    <definedName name="ccs_tech_share_maritime_and_inland_water_transport" localSheetId="1">World!$C$239:$N$241</definedName>
    <definedName name="ccs_tech_share_metallurgy" localSheetId="3">Catalonia!$C$158:$N$160</definedName>
    <definedName name="ccs_tech_share_metallurgy" localSheetId="2">Europe!$C$158:$N$160</definedName>
    <definedName name="ccs_tech_share_metallurgy" localSheetId="1">World!$C$242:$N$244</definedName>
    <definedName name="ccs_tech_share_mining_and_quarrying" localSheetId="3">Catalonia!$C$98:$N$100</definedName>
    <definedName name="ccs_tech_share_mining_and_quarrying" localSheetId="2">Europe!$C$98:$N$100</definedName>
    <definedName name="ccs_tech_share_mqes" localSheetId="3">Catalonia!#REF!</definedName>
    <definedName name="ccs_tech_share_mqes" localSheetId="2">Europe!#REF!</definedName>
    <definedName name="ccs_tech_share_nms" localSheetId="3">Catalonia!#REF!</definedName>
    <definedName name="ccs_tech_share_nms" localSheetId="2">Europe!#REF!</definedName>
    <definedName name="ccs_tech_share_non_ferrous_metals" localSheetId="3">Catalonia!$C$101:$N$103</definedName>
    <definedName name="ccs_tech_share_non_ferrous_metals" localSheetId="2">Europe!$C$101:$N$103</definedName>
    <definedName name="ccs_tech_share_non_metallic_minerals" localSheetId="3">Catalonia!$C$104:$N$106</definedName>
    <definedName name="ccs_tech_share_non_metallic_minerals" localSheetId="2">Europe!$C$104:$N$106</definedName>
    <definedName name="ccs_tech_share_nuclear_industry" localSheetId="3">Catalonia!$C$107:$N$109</definedName>
    <definedName name="ccs_tech_share_nuclear_industry" localSheetId="2">Europe!$C$107:$N$109</definedName>
    <definedName name="ccs_tech_share_oil_and_gas_extraction" localSheetId="3">Catalonia!$C$113:$N$115</definedName>
    <definedName name="ccs_tech_share_oil_and_gas_extraction" localSheetId="2">Europe!$C$113:$N$115</definedName>
    <definedName name="ccs_tech_share_oil_refineries" localSheetId="3">Catalonia!$C$110:$N$112</definedName>
    <definedName name="ccs_tech_share_oil_refineries" localSheetId="2">Europe!$C$110:$N$112</definedName>
    <definedName name="ccs_tech_share_om" localSheetId="3">Catalonia!$C$74:$N$76</definedName>
    <definedName name="ccs_tech_share_om" localSheetId="2">Europe!$C$74:$N$76</definedName>
    <definedName name="ccs_tech_share_other_business_activities" localSheetId="3">Catalonia!$C$161:$N$163</definedName>
    <definedName name="ccs_tech_share_other_business_activities" localSheetId="2">Europe!$C$161:$N$163</definedName>
    <definedName name="ccs_tech_share_other_business_activities" localSheetId="1">World!$C$245:$N$247</definedName>
    <definedName name="ccs_tech_share_other_industry" localSheetId="3">Catalonia!$C$116:$N$118</definedName>
    <definedName name="ccs_tech_share_other_industry" localSheetId="2">Europe!$C$116:$N$118</definedName>
    <definedName name="ccs_tech_share_other_personal_service_activities" localSheetId="3">Catalonia!$C$164:$N$166</definedName>
    <definedName name="ccs_tech_share_other_personal_service_activities" localSheetId="2">Europe!$C$164:$N$166</definedName>
    <definedName name="ccs_tech_share_other_personal_service_activities" localSheetId="1">World!$C$248:$N$250</definedName>
    <definedName name="ccs_tech_share_paper_and_paper_products_industry" localSheetId="3">Catalonia!$C$167:$N$169</definedName>
    <definedName name="ccs_tech_share_paper_and_paper_products_industry" localSheetId="2">Europe!$C$167:$N$169</definedName>
    <definedName name="ccs_tech_share_paper_and_paper_products_industry" localSheetId="1">World!$C$251:$N$253</definedName>
    <definedName name="ccs_tech_share_paper_pulp_and_print" localSheetId="3">Catalonia!$C$119:$N$121</definedName>
    <definedName name="ccs_tech_share_paper_pulp_and_print" localSheetId="2">Europe!$C$119:$N$121</definedName>
    <definedName name="ccs_tech_share_pipeline_transport" localSheetId="3">Catalonia!$C$122:$N$124</definedName>
    <definedName name="ccs_tech_share_pipeline_transport" localSheetId="2">Europe!$C$122:$N$124</definedName>
    <definedName name="ccs_tech_share_postal_and_telecommunication_activities" localSheetId="3">Catalonia!$C$170:$N$172</definedName>
    <definedName name="ccs_tech_share_postal_and_telecommunication_activities" localSheetId="2">Europe!$C$170:$N$172</definedName>
    <definedName name="ccs_tech_share_postal_and_telecommunication_activities" localSheetId="1">World!$C$254:$N$256</definedName>
    <definedName name="ccs_tech_share_private_households_with_employed_persons" localSheetId="3">Catalonia!$C$173:$N$175</definedName>
    <definedName name="ccs_tech_share_private_households_with_employed_persons" localSheetId="2">Europe!$C$173:$N$175</definedName>
    <definedName name="ccs_tech_share_private_households_with_employed_persons" localSheetId="1">World!$C$257:$N$259</definedName>
    <definedName name="ccs_tech_share_public_administration_defense_and_compulsory_social_security" localSheetId="3">Catalonia!$C$176:$N$178</definedName>
    <definedName name="ccs_tech_share_public_administration_defense_and_compulsory_social_security" localSheetId="2">Europe!$C$176:$N$178</definedName>
    <definedName name="ccs_tech_share_public_administration_defense_and_compulsory_social_security" localSheetId="1">World!$C$260:$N$262</definedName>
    <definedName name="ccs_tech_share_re" localSheetId="3">Catalonia!$C$214:$N$216</definedName>
    <definedName name="ccs_tech_share_re" localSheetId="2">Europe!$C$214:$N$216</definedName>
    <definedName name="ccs_tech_share_re" localSheetId="1">World!$C$298:$N$300</definedName>
    <definedName name="ccs_tech_share_real_estate_activities" localSheetId="3">Catalonia!$C$179:$N$181</definedName>
    <definedName name="ccs_tech_share_real_estate_activities" localSheetId="2">Europe!$C$179:$N$181</definedName>
    <definedName name="ccs_tech_share_real_estate_activities" localSheetId="1">World!$C$263:$N$265</definedName>
    <definedName name="ccs_tech_share_recreational_cultural_and_sporting_activities" localSheetId="3">Catalonia!$C$182:$N$184</definedName>
    <definedName name="ccs_tech_share_recreational_cultural_and_sporting_activities" localSheetId="2">Europe!$C$182:$N$184</definedName>
    <definedName name="ccs_tech_share_recreational_cultural_and_sporting_activities" localSheetId="1">World!$C$266:$N$268</definedName>
    <definedName name="ccs_tech_share_rental_activities" localSheetId="3">Catalonia!$C$185:$N$187</definedName>
    <definedName name="ccs_tech_share_rental_activities" localSheetId="2">Europe!$C$185:$N$187</definedName>
    <definedName name="ccs_tech_share_rental_activities" localSheetId="1">World!$C$269:$N$271</definedName>
    <definedName name="ccs_tech_share_research_and_development" localSheetId="3">Catalonia!$C$188:$N$190</definedName>
    <definedName name="ccs_tech_share_research_and_development" localSheetId="2">Europe!$C$188:$N$190</definedName>
    <definedName name="ccs_tech_share_research_and_development" localSheetId="1">World!$C$272:$N$274</definedName>
    <definedName name="ccs_tech_share_retail_trade_except_motor_vehicles_and_motorcycles" localSheetId="3">Catalonia!$C$191:$N$193</definedName>
    <definedName name="ccs_tech_share_retail_trade_except_motor_vehicles_and_motorcycles" localSheetId="2">Europe!$C$191:$N$193</definedName>
    <definedName name="ccs_tech_share_retail_trade_except_motor_vehicles_and_motorcycles" localSheetId="1">World!$C$275:$N$277</definedName>
    <definedName name="ccs_tech_share_sale_and_repair_of_motor_vehicles_and_motorcycles" localSheetId="3">Catalonia!$C$194:$N$196</definedName>
    <definedName name="ccs_tech_share_sale_and_repair_of_motor_vehicles_and_motorcycles" localSheetId="2">Europe!$C$194:$N$196</definedName>
    <definedName name="ccs_tech_share_sale_and_repair_of_motor_vehicles_and_motorcycles" localSheetId="1">World!$C$278:$N$280</definedName>
    <definedName name="ccs_tech_share_sanitation_waste_management_and_decontamination_activities" localSheetId="3">Catalonia!$C$197:$N$199</definedName>
    <definedName name="ccs_tech_share_sanitation_waste_management_and_decontamination_activities" localSheetId="2">Europe!$C$197:$N$199</definedName>
    <definedName name="ccs_tech_share_sanitation_waste_management_and_decontamination_activities" localSheetId="1">World!$C$281:$N$283</definedName>
    <definedName name="ccs_tech_share_support_activities_for_financial_intermediation_and_insurance" localSheetId="3">Catalonia!$C$200:$N$202</definedName>
    <definedName name="ccs_tech_share_support_activities_for_financial_intermediation_and_insurance" localSheetId="2">Europe!$C$200:$N$202</definedName>
    <definedName name="ccs_tech_share_support_activities_for_financial_intermediation_and_insurance" localSheetId="1">World!$C$284:$N$286</definedName>
    <definedName name="ccs_tech_share_tex" localSheetId="3">Catalonia!#REF!</definedName>
    <definedName name="ccs_tech_share_tex" localSheetId="2">Europe!#REF!</definedName>
    <definedName name="ccs_tech_share_textile_and_leather" localSheetId="3">Catalonia!$C$125:$N$127</definedName>
    <definedName name="ccs_tech_share_textile_and_leather" localSheetId="2">Europe!$C$125:$N$127</definedName>
    <definedName name="ccs_tech_share_textile_clothing_leather_and_footwear_industries" localSheetId="3">Catalonia!$C$203:$N$205</definedName>
    <definedName name="ccs_tech_share_textile_clothing_leather_and_footwear_industries" localSheetId="2">Europe!$C$203:$N$205</definedName>
    <definedName name="ccs_tech_share_textile_clothing_leather_and_footwear_industries" localSheetId="1">World!$C$287:$N$289</definedName>
    <definedName name="ccs_tech_share_transport_equipment" localSheetId="3">Catalonia!$C$128:$N$130</definedName>
    <definedName name="ccs_tech_share_transport_equipment" localSheetId="2">Europe!$C$128:$N$130</definedName>
    <definedName name="ccs_tech_share_tsc" localSheetId="3">Catalonia!$C$86:$N$88</definedName>
    <definedName name="ccs_tech_share_tsc" localSheetId="2">Europe!$C$86:$N$88</definedName>
    <definedName name="ccs_tech_share_warehousing_and_support_activities_for_transportation" localSheetId="3">Catalonia!$C$206:$N$208</definedName>
    <definedName name="ccs_tech_share_warehousing_and_support_activities_for_transportation" localSheetId="2">Europe!$C$206:$N$208</definedName>
    <definedName name="ccs_tech_share_warehousing_and_support_activities_for_transportation" localSheetId="1">World!$C$290:$N$292</definedName>
    <definedName name="ccs_tech_share_water_collection_treatment_and_supply" localSheetId="3">Catalonia!$C$209:$N$211</definedName>
    <definedName name="ccs_tech_share_water_collection_treatment_and_supply" localSheetId="2">Europe!$C$209:$N$211</definedName>
    <definedName name="ccs_tech_share_water_collection_treatment_and_supply" localSheetId="1">World!$C$293:$N$295</definedName>
    <definedName name="ccs_tech_share_water_transport" localSheetId="3">Catalonia!$C$131:$N$133</definedName>
    <definedName name="ccs_tech_share_water_transport" localSheetId="2">Europe!$C$131:$N$133</definedName>
    <definedName name="ccs_tech_share_wholesale_trade_and_intermediation_except_motor_vehicles" localSheetId="3">Catalonia!$C$212:$N$214</definedName>
    <definedName name="ccs_tech_share_wholesale_trade_and_intermediation_except_motor_vehicles" localSheetId="2">Europe!$C$212:$N$214</definedName>
    <definedName name="ccs_tech_share_wholesale_trade_and_intermediation_except_motor_vehicles" localSheetId="1">World!$C$296:$N$298</definedName>
    <definedName name="ccs_tech_share_wood_and_cork_industry" localSheetId="3">Catalonia!$C$215:$N$217</definedName>
    <definedName name="ccs_tech_share_wood_and_cork_industry" localSheetId="2">Europe!$C$215:$N$217</definedName>
    <definedName name="ccs_tech_share_wood_and_cork_industry" localSheetId="1">World!$C$299:$N$301</definedName>
    <definedName name="ccs_tech_share_wood_and_wood_products" localSheetId="3">Catalonia!#REF!</definedName>
    <definedName name="ccs_tech_share_wood_and_wood_products" localSheetId="2">Europe!#REF!</definedName>
    <definedName name="ch4_biofuels" localSheetId="0">Global!$C$42</definedName>
    <definedName name="ch4_biogas" localSheetId="0">Global!$C$43</definedName>
    <definedName name="ch4_coal" localSheetId="0">Global!$C$35</definedName>
    <definedName name="ch4_conv_gas" localSheetId="0">Global!$C$36</definedName>
    <definedName name="ch4_conv_oil" localSheetId="0">Global!$C$37</definedName>
    <definedName name="ch4_ctl" localSheetId="0">Global!$C$33</definedName>
    <definedName name="CH4_emissions" localSheetId="3">Catalonia!$D$2:$P$5</definedName>
    <definedName name="CH4_emissions" localSheetId="2">Europe!$D$2:$P$5</definedName>
    <definedName name="CH4_emissions" localSheetId="1">World!$D$95:$P$98</definedName>
    <definedName name="CH4_generation_rate_from_biomass" localSheetId="1">World!$C$25</definedName>
    <definedName name="CH4_generation_rate_from_humus" localSheetId="1">World!$C$26</definedName>
    <definedName name="ch4_gtl" localSheetId="0">Global!$C$34</definedName>
    <definedName name="CH4_N2O_interaction_coef_1" localSheetId="1">World!$C$71</definedName>
    <definedName name="CH4_N2O_interaction_coef_2" localSheetId="1">World!$C$72</definedName>
    <definedName name="CH4_N2O_interaction_coef_3" localSheetId="1">World!$C$73</definedName>
    <definedName name="CH4_N2O_interaction_exp_1" localSheetId="1">World!$C$74</definedName>
    <definedName name="CH4_N2O_interaction_exp_2" localSheetId="1">World!$C$75</definedName>
    <definedName name="CH4_N2O_unit_adj" localSheetId="1">World!$C$69</definedName>
    <definedName name="ch4_peat" localSheetId="0">Global!$C$41</definedName>
    <definedName name="CH4_radiative_efficiency_coef" localSheetId="1">World!$C$67</definedName>
    <definedName name="CH4_reference_conc" localSheetId="1">World!$C$68</definedName>
    <definedName name="ch4_shale_oil" localSheetId="0">Global!$C$40</definedName>
    <definedName name="ch4_solid_bioe" localSheetId="0">Global!$C$44</definedName>
    <definedName name="ch4_traditional_biomass" localSheetId="0">Global!$C$45</definedName>
    <definedName name="ch4_unconv_gas" localSheetId="0">Global!$C$38</definedName>
    <definedName name="ch4_unconv_oil" localSheetId="0">Global!$C$39</definedName>
    <definedName name="ch4_waste" localSheetId="0">Global!$C$46</definedName>
    <definedName name="climate_sensitivity_to_2x_CO2" localSheetId="1">World!$G$21</definedName>
    <definedName name="co2_biofuels" localSheetId="0">Global!$C$27</definedName>
    <definedName name="co2_biogas" localSheetId="0">Global!$C$28</definedName>
    <definedName name="co2_coal" localSheetId="0">Global!$C$20</definedName>
    <definedName name="co2_conv_gas" localSheetId="0">Global!$C$21</definedName>
    <definedName name="co2_conv_oil" localSheetId="0">Global!$C$22</definedName>
    <definedName name="co2_ctl" localSheetId="0">Global!$C$18</definedName>
    <definedName name="co2_gtl" localSheetId="0">Global!$C$19</definedName>
    <definedName name="co2_peat" localSheetId="0">Global!$C$26</definedName>
    <definedName name="co2_shale_oil" localSheetId="0">Global!$C$25</definedName>
    <definedName name="co2_solid_bioe" localSheetId="0">Global!$C$29</definedName>
    <definedName name="co2_traditional_biomass" localSheetId="0">Global!$C$30</definedName>
    <definedName name="co2_unconv_gas" localSheetId="0">Global!$C$23</definedName>
    <definedName name="co2_unconv_oil" localSheetId="0">Global!$C$24</definedName>
    <definedName name="co2_waste" localSheetId="0">Global!$C$31</definedName>
    <definedName name="dac_efficiency" localSheetId="0">Global!$C$56:$D$57</definedName>
    <definedName name="dac_tech_share" localSheetId="3">Catalonia!$C$221:$N$222</definedName>
    <definedName name="dac_tech_share" localSheetId="2">Europe!$C$60:$N$61</definedName>
    <definedName name="dac_tech_share" localSheetId="1">World!$C$303:$N$304</definedName>
    <definedName name="eddy_diffusion_coef_index" localSheetId="1">World!$C$21</definedName>
    <definedName name="eddy_diffusion_mean" localSheetId="1">World!$C$22</definedName>
    <definedName name="GWP_100_year" localSheetId="0">Global!$C$3:$C$15</definedName>
    <definedName name="GWP_20_year" localSheetId="0">Global!$B$3:$B$15</definedName>
    <definedName name="heat_diffusion_covar" localSheetId="1">World!$G$19</definedName>
    <definedName name="heat_transfer_rate" localSheetId="1">World!$G$20</definedName>
    <definedName name="HFC_radiative_efficiency" localSheetId="1">World!$D$52:$D$60</definedName>
    <definedName name="HFC125_emissions" localSheetId="3">Catalonia!$D$31:$P$34</definedName>
    <definedName name="HFC125_emissions" localSheetId="2">Europe!$D$31:$P$34</definedName>
    <definedName name="HFC125_emissions" localSheetId="1">World!$D$124:$P$127</definedName>
    <definedName name="HFC134a_emissions" localSheetId="3">Catalonia!$D$19:$P$22</definedName>
    <definedName name="HFC134a_emissions" localSheetId="2">Europe!$D$19:$P$22</definedName>
    <definedName name="HFC134a_emissions" localSheetId="1">World!$D$112:$P$115</definedName>
    <definedName name="HFC143a_emissions" localSheetId="3">Catalonia!$D$35:$P$38</definedName>
    <definedName name="HFC143a_emissions" localSheetId="2">Europe!$D$35:$P$38</definedName>
    <definedName name="HFC143a_emissions" localSheetId="1">World!$D$128:$P$131</definedName>
    <definedName name="HFC152a_emissions" localSheetId="3">Catalonia!$D$39:$P$42</definedName>
    <definedName name="HFC152a_emissions" localSheetId="2">Europe!$D$39:$P$42</definedName>
    <definedName name="HFC152a_emissions" localSheetId="1">World!$D$132:$P$135</definedName>
    <definedName name="HFC227ea_emissions" localSheetId="3">Catalonia!$D$43:$P$46</definedName>
    <definedName name="HFC227ea_emissions" localSheetId="2">Europe!$D$43:$P$46</definedName>
    <definedName name="HFC227ea_emissions" localSheetId="1">World!$D$136:$P$139</definedName>
    <definedName name="HFC23_emissions" localSheetId="3">Catalonia!$D$23:$P$26</definedName>
    <definedName name="HFC23_emissions" localSheetId="2">Europe!$D$23:$P$26</definedName>
    <definedName name="HFC23_emissions" localSheetId="1">World!$D$116:$P$119</definedName>
    <definedName name="HFC245ca_emissions" localSheetId="3">Catalonia!$D$47:$P$50</definedName>
    <definedName name="HFC245ca_emissions" localSheetId="2">Europe!$D$47:$P$50</definedName>
    <definedName name="HFC245ca_emissions" localSheetId="1">World!$D$140:$P$143</definedName>
    <definedName name="HFC32_emissions" localSheetId="3">Catalonia!$D$27:$P$30</definedName>
    <definedName name="HFC32_emissions" localSheetId="2">Europe!$D$27:$P$30</definedName>
    <definedName name="HFC32_emissions" localSheetId="1">World!$D$120:$P$123</definedName>
    <definedName name="HFC4310mee_emissions" localSheetId="3">Catalonia!$D$51:$P$54</definedName>
    <definedName name="HFC4310mee_emissions" localSheetId="2">Europe!$D$51:$P$54</definedName>
    <definedName name="HFC4310mee_emissions" localSheetId="1">World!$D$144:$P$147</definedName>
    <definedName name="historic_co2_emissions_from_fossils_and_cement" localSheetId="3">Catalonia!$C$59:$W$59</definedName>
    <definedName name="historic_total_ghg_emissions_excluding_land_use_changes_and_forestry" localSheetId="3">Catalonia!$C$60:$W$60</definedName>
    <definedName name="historic_total_ghg_emissions_including_land_use_changes_and_forestry" localSheetId="3">Catalonia!$C$61:$W$61</definedName>
    <definedName name="init_atm_uppocean_temperature_ano" localSheetId="1">World!$G$22</definedName>
    <definedName name="init_C_in_biomass" localSheetId="1">World!$G$3</definedName>
    <definedName name="init_C_in_deep_ocean" localSheetId="1">World!$G$6:$G$9</definedName>
    <definedName name="init_C_in_humus" localSheetId="1">World!$G$2</definedName>
    <definedName name="init_C_in_mixed_ocean" localSheetId="1">World!$G$4</definedName>
    <definedName name="init_CO2_in_atm_ppm" localSheetId="1">World!$G$26</definedName>
    <definedName name="init_deep_ocean_temperature" localSheetId="1">World!$G$11:$G$14</definedName>
    <definedName name="init_NPP" localSheetId="1">World!$C$5</definedName>
    <definedName name="init_PFC_in_atm_con" localSheetId="1">World!$C$42</definedName>
    <definedName name="inital_HFC_con" localSheetId="1">World!$B$52:$B$60</definedName>
    <definedName name="initial_CH4_conc" localSheetId="1">World!$C$30</definedName>
    <definedName name="initial_N2O_conc" localSheetId="1">World!$C$40</definedName>
    <definedName name="initial_SF6_conc" localSheetId="1">World!$C$46</definedName>
    <definedName name="land_thickness" localSheetId="1">World!$G$23</definedName>
    <definedName name="last_historical_RF_year" localSheetId="1">World!$C$90</definedName>
    <definedName name="last_year_process_emissions" localSheetId="3">Catalonia!$AC$226</definedName>
    <definedName name="last_year_process_emissions" localSheetId="2">Europe!$AD$64</definedName>
    <definedName name="last_year_process_emissions" localSheetId="1">World!$AD$307</definedName>
    <definedName name="layer_depth" localSheetId="1">World!$C$17:$C$20</definedName>
    <definedName name="mineral_aerosols_and_land_RF" localSheetId="1">World!$C$91</definedName>
    <definedName name="mixed_layer_depth" localSheetId="1">World!$C$15</definedName>
    <definedName name="MP_RF_total" localSheetId="1">World!$C$79:$AJ$79</definedName>
    <definedName name="MP_RF_total_time" localSheetId="1">World!$C$78:$AJ$78</definedName>
    <definedName name="N2O_emissions" localSheetId="3">Catalonia!$D$6:$P$9</definedName>
    <definedName name="N2O_emissions" localSheetId="2">Europe!$D$6:$P$9</definedName>
    <definedName name="N2O_emissions" localSheetId="1">World!$D$99:$P$102</definedName>
    <definedName name="N2O_radiative_efficiency_coeff" localSheetId="1">World!$C$76</definedName>
    <definedName name="N2O_reference_conc" localSheetId="1">World!$C$70</definedName>
    <definedName name="natural_N2O_emissions" localSheetId="1">World!$C$39</definedName>
    <definedName name="other_forcings_history" localSheetId="1">World!$C$82:$F$82</definedName>
    <definedName name="other_forcings_history_time" localSheetId="1">World!$C$81:$F$81</definedName>
    <definedName name="other_forcings_RCP" localSheetId="1">World!$C$85:$L$88</definedName>
    <definedName name="other_forcings_RCP_time" localSheetId="1">World!$C$84:$L$84</definedName>
    <definedName name="PFC_radiative_efficiency" localSheetId="1">World!$C$45</definedName>
    <definedName name="PFCs_emissions" localSheetId="3">Catalonia!$D$10:$P$13</definedName>
    <definedName name="PFCs_emissions" localSheetId="2">Europe!$D$10:$P$13</definedName>
    <definedName name="PFCs_emissions" localSheetId="1">World!$D$103:$P$106</definedName>
    <definedName name="post_combustion">Catalonia!#REF!</definedName>
    <definedName name="preind_C_in_ocean" localSheetId="1">World!$C$13</definedName>
    <definedName name="preindustrial_C" localSheetId="1">World!$G$25</definedName>
    <definedName name="preindustrial_CH4" localSheetId="1">World!$C$31</definedName>
    <definedName name="preindustrial_HFC_conc" localSheetId="1">World!$C$61</definedName>
    <definedName name="preindustrial_PFC_conc" localSheetId="1">World!$C$44</definedName>
    <definedName name="preindustrial_SF6_conc" localSheetId="1">World!$C$48</definedName>
    <definedName name="process_emissions_intensity" localSheetId="3">Catalonia!$C$227:$AC$227</definedName>
    <definedName name="process_emissions_intensity" localSheetId="2">Europe!$C$65:$AD$65</definedName>
    <definedName name="process_emissions_intensity" localSheetId="1">World!$C$308:$AD$308</definedName>
    <definedName name="ref_buffer_factor" localSheetId="1">World!$C$12</definedName>
    <definedName name="reference_CH4_time_constant" localSheetId="1">World!$C$35</definedName>
    <definedName name="reference_CO2_radiative_forcing" localSheetId="1">World!$G$18</definedName>
    <definedName name="reference_sensitivity_of_C_from_permafrost_and_clathrate_to_temperature" localSheetId="1">World!$C$38</definedName>
    <definedName name="reference_sensitivity_of_CH4_from_permafrost_and_clathrate_to_temperature" localSheetId="1">World!$C$32</definedName>
    <definedName name="reference_temperature_change_for_effect_of_warming_on_CH4_from_respiration" localSheetId="1">World!$C$23</definedName>
    <definedName name="sensitivity_of_C_uptake_to_temperature" localSheetId="1">World!$C$7</definedName>
    <definedName name="sensitivity_of_methane_emissions_to_permafrost_and_clathrate" localSheetId="1">World!$C$33</definedName>
    <definedName name="sensitivity_of_methane_emissions_to_temperature" localSheetId="1">World!$C$24</definedName>
    <definedName name="sensitivity_of_pCO2_DIC_to_temperature_mean" localSheetId="1">World!$C$10</definedName>
    <definedName name="SF6_emissions" localSheetId="3">Catalonia!$D$14:$P$17</definedName>
    <definedName name="SF6_emissions" localSheetId="2">Europe!$D$14:$P$17</definedName>
    <definedName name="SF6_emissions" localSheetId="1">World!$D$107:$P$110</definedName>
    <definedName name="SF6_radiative_efficiency" localSheetId="1">World!$C$49</definedName>
    <definedName name="stratospheric_CH4_path_share" localSheetId="1">World!$C$37</definedName>
    <definedName name="strength_of_temp_effect_on_land_C_flux_mean" localSheetId="1">World!$C$6</definedName>
    <definedName name="temperature_threshold_for_methane_emissions_from_permafrost_and_clathrate" localSheetId="1">World!$C$34</definedName>
    <definedName name="time_const_for_HFC" localSheetId="1">World!$C$52:$C$60</definedName>
    <definedName name="time_const_for_N2O" localSheetId="1">World!$C$41</definedName>
    <definedName name="time_const_for_PFC">World!$C$43</definedName>
    <definedName name="time_const_for_SF6" localSheetId="1">World!$C$47</definedName>
    <definedName name="time_emissions" localSheetId="3">Catalonia!$C$58:$W$58</definedName>
    <definedName name="time_to_commit_RF" localSheetId="1">World!$C$65</definedName>
    <definedName name="tropospheric_CH4_path_share" localSheetId="1">World!$C$36</definedName>
    <definedName name="year_ccs_tech" localSheetId="3">Catalonia!$C$67:$N$67</definedName>
    <definedName name="year_ccs_tech" localSheetId="2">Europe!$C$67:$N$67</definedName>
    <definedName name="year_ccs_tech" localSheetId="1">World!$C$151:$N$151</definedName>
    <definedName name="year_emissions" localSheetId="3">Catalonia!$D$1:$P$1</definedName>
    <definedName name="year_emissions" localSheetId="2">Europe!$D$1:$P$1</definedName>
    <definedName name="year_emissions" localSheetId="1">World!$D$94:$P$94</definedName>
    <definedName name="years_process_emissions" localSheetId="3">Catalonia!$C$226:$AC$226</definedName>
    <definedName name="years_process_emissions" localSheetId="2">Europe!$C$64:$AD$64</definedName>
    <definedName name="years_process_emissions" localSheetId="1">World!$C$307:$AD$307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34" i="4" l="1"/>
  <c r="M134" i="4"/>
  <c r="L134" i="4"/>
  <c r="K134" i="4"/>
  <c r="J134" i="4"/>
  <c r="I134" i="4"/>
  <c r="H134" i="4"/>
  <c r="G134" i="4"/>
  <c r="F134" i="4"/>
  <c r="E134" i="4"/>
  <c r="D134" i="4"/>
  <c r="C134" i="4"/>
  <c r="D17" i="4"/>
  <c r="D16" i="4"/>
  <c r="D15" i="4"/>
  <c r="D14" i="4"/>
  <c r="N134" i="3"/>
  <c r="M134" i="3"/>
  <c r="L134" i="3"/>
  <c r="K134" i="3"/>
  <c r="J134" i="3"/>
  <c r="I134" i="3"/>
  <c r="H134" i="3"/>
  <c r="G134" i="3"/>
  <c r="F134" i="3"/>
  <c r="E134" i="3"/>
  <c r="D134" i="3"/>
  <c r="C134" i="3"/>
  <c r="N218" i="2"/>
  <c r="M218" i="2"/>
  <c r="L218" i="2"/>
  <c r="K218" i="2"/>
  <c r="J218" i="2"/>
  <c r="I218" i="2"/>
  <c r="H218" i="2"/>
  <c r="G218" i="2"/>
  <c r="F218" i="2"/>
  <c r="E218" i="2"/>
  <c r="D218" i="2"/>
  <c r="C218" i="2"/>
  <c r="F102" i="2"/>
  <c r="E102" i="2"/>
  <c r="D102" i="2"/>
  <c r="F101" i="2"/>
  <c r="E101" i="2"/>
  <c r="D101" i="2"/>
  <c r="F100" i="2"/>
  <c r="E100" i="2"/>
  <c r="D100" i="2"/>
  <c r="F99" i="2"/>
  <c r="E99" i="2"/>
  <c r="D99" i="2"/>
  <c r="G22" i="2"/>
</calcChain>
</file>

<file path=xl/sharedStrings.xml><?xml version="1.0" encoding="utf-8"?>
<sst xmlns="http://schemas.openxmlformats.org/spreadsheetml/2006/main" count="1183" uniqueCount="258">
  <si>
    <t>Global Warming Potentials</t>
  </si>
  <si>
    <t>Component</t>
  </si>
  <si>
    <t>GWP 20 year</t>
  </si>
  <si>
    <t>GWP 100 year</t>
  </si>
  <si>
    <t>CH4</t>
  </si>
  <si>
    <t>N2O</t>
  </si>
  <si>
    <t>PFCs</t>
  </si>
  <si>
    <t>SF6</t>
  </si>
  <si>
    <t>HFC134a</t>
  </si>
  <si>
    <t>HFC23</t>
  </si>
  <si>
    <t>HFC32</t>
  </si>
  <si>
    <t>HFC125</t>
  </si>
  <si>
    <t>HFC143a</t>
  </si>
  <si>
    <t>HFC152a</t>
  </si>
  <si>
    <t>HFC227ea</t>
  </si>
  <si>
    <t>HFC245ca</t>
  </si>
  <si>
    <t>HFC4310mee</t>
  </si>
  <si>
    <t>Emissions and climate parameters</t>
  </si>
  <si>
    <t>pre-change</t>
  </si>
  <si>
    <t>Pau</t>
  </si>
  <si>
    <t>GtCO2 per EJ CTL</t>
  </si>
  <si>
    <t>GtCO2/EJ</t>
  </si>
  <si>
    <t>GtCO2 per EJ GTL</t>
  </si>
  <si>
    <t>GtCO2 per EJ coal</t>
  </si>
  <si>
    <t>Aggregation_Category</t>
  </si>
  <si>
    <t>Weighted_Emission_Factor</t>
  </si>
  <si>
    <t>GtCO2 per EJ conv gas</t>
  </si>
  <si>
    <t>GtCO2 per EJ biofuels</t>
  </si>
  <si>
    <t>GtCO2 per EJ conv oil</t>
  </si>
  <si>
    <t>GtCO2 per EJ biogas</t>
  </si>
  <si>
    <t>GtCO2 per EJ unconv gas</t>
  </si>
  <si>
    <t>GtCO2 per EJ unconv oil</t>
  </si>
  <si>
    <t>GtCO2 per EJ shale oil</t>
  </si>
  <si>
    <t>preavious values</t>
  </si>
  <si>
    <t>GtCO2 per EJ peat</t>
  </si>
  <si>
    <t>GtCO2 per EJ solid BioE</t>
  </si>
  <si>
    <t>GtCO2 per EJ traditional biomass</t>
  </si>
  <si>
    <t>GtCO2 per EJ waste</t>
  </si>
  <si>
    <t>MtCH4 per EJ CTL</t>
  </si>
  <si>
    <t>MtCH4/EJ</t>
  </si>
  <si>
    <t>MtCH4 per EJ GTL</t>
  </si>
  <si>
    <t>MtCH4 per EJ coal</t>
  </si>
  <si>
    <t>MtCH4 per EJ conv gas</t>
  </si>
  <si>
    <t>MtCH4 per EJ conv oil</t>
  </si>
  <si>
    <t>MtCH4 per EJ unconv gas</t>
  </si>
  <si>
    <t>MtCH4 per EJ unconv oil</t>
  </si>
  <si>
    <t>MtCH4 per EJ shale oil</t>
  </si>
  <si>
    <t>MtCH4 per EJ peat</t>
  </si>
  <si>
    <t>MtCH4 per EJ biofuels</t>
  </si>
  <si>
    <t>MtCH4 per EJ biogas</t>
  </si>
  <si>
    <t>MtCH4 per EJ solid BioE</t>
  </si>
  <si>
    <t>MtCH4 per EJ traditional biomass</t>
  </si>
  <si>
    <t>MtCH4 per EJ waste</t>
  </si>
  <si>
    <t>CCS</t>
  </si>
  <si>
    <t>Efficiency</t>
  </si>
  <si>
    <t>post-combustion</t>
  </si>
  <si>
    <t>TWh/GtCO2</t>
  </si>
  <si>
    <t>pre-combustion</t>
  </si>
  <si>
    <t>oxyfuel combustion</t>
  </si>
  <si>
    <t>DACC - efficiency</t>
  </si>
  <si>
    <t>heat</t>
  </si>
  <si>
    <t>electricity</t>
  </si>
  <si>
    <t>solid sorbents</t>
  </si>
  <si>
    <t>liquid sorbents</t>
  </si>
  <si>
    <t>Carbon cycle parameters (C-Roads model)</t>
  </si>
  <si>
    <t>Carbon cycle and climate initialization (C-Roads-1995)</t>
  </si>
  <si>
    <t>humus residence time</t>
  </si>
  <si>
    <t>Year</t>
  </si>
  <si>
    <t>init C in humus</t>
  </si>
  <si>
    <t>Gt</t>
  </si>
  <si>
    <t>humification fraction</t>
  </si>
  <si>
    <t>Dmnl</t>
  </si>
  <si>
    <t>init C in biomass</t>
  </si>
  <si>
    <t>biomass residence time</t>
  </si>
  <si>
    <t>init C in mixed ocean</t>
  </si>
  <si>
    <t>Gt/m</t>
  </si>
  <si>
    <t>init NPP</t>
  </si>
  <si>
    <t>GtC/year</t>
  </si>
  <si>
    <t>init C in deep ocean</t>
  </si>
  <si>
    <t>Strength of temp effect on land C flux mean</t>
  </si>
  <si>
    <t>1/ºC</t>
  </si>
  <si>
    <t>Layer1</t>
  </si>
  <si>
    <t>Sensitivity of C Uptake to Temperature (1=feedback, 0= no feedback)</t>
  </si>
  <si>
    <t>Layer2</t>
  </si>
  <si>
    <t>biostim coeff index</t>
  </si>
  <si>
    <t>Layer3</t>
  </si>
  <si>
    <t>biostim coeff mean</t>
  </si>
  <si>
    <t>Layer4</t>
  </si>
  <si>
    <t>Sensitivity of pCO2 DIC to Temperature Mean</t>
  </si>
  <si>
    <t>init deep ocean temperature</t>
  </si>
  <si>
    <t>buffer C coeff</t>
  </si>
  <si>
    <t>ºC</t>
  </si>
  <si>
    <t>Ref Buffer Factor</t>
  </si>
  <si>
    <t>preindustrial C in ocean</t>
  </si>
  <si>
    <t>atm ocean mixing time</t>
  </si>
  <si>
    <t>year</t>
  </si>
  <si>
    <t>mixed layer depth</t>
  </si>
  <si>
    <t>m</t>
  </si>
  <si>
    <t>layer depth[Layers]</t>
  </si>
  <si>
    <t>Climate parameters (C-Roads model)</t>
  </si>
  <si>
    <t>reference CO2 radiative forcing</t>
  </si>
  <si>
    <t>W/m2</t>
  </si>
  <si>
    <t>heat diffusion covar</t>
  </si>
  <si>
    <t>heat transfer rate</t>
  </si>
  <si>
    <t>W/(m2*ºC)</t>
  </si>
  <si>
    <t>eddy diffusion coef index</t>
  </si>
  <si>
    <t>climate sensitivity</t>
  </si>
  <si>
    <t>eddy diffusion mean</t>
  </si>
  <si>
    <t>m2/year</t>
  </si>
  <si>
    <t>init atm uppocean temperature ano</t>
  </si>
  <si>
    <t>Reference Temperature Change for Effect of Warming on CH4 from Respiration</t>
  </si>
  <si>
    <t>land thickness</t>
  </si>
  <si>
    <t>Sensitivity of Methane Emissions to Temperature (0= no feedback, 1= feedback)</t>
  </si>
  <si>
    <t>CH4 generation rate from biomass</t>
  </si>
  <si>
    <t>1/year</t>
  </si>
  <si>
    <t>preindustrial C</t>
  </si>
  <si>
    <t>GtC</t>
  </si>
  <si>
    <t>CH4 generation rate from humus</t>
  </si>
  <si>
    <t>init CO2 in atm ppm</t>
  </si>
  <si>
    <t>ppm</t>
  </si>
  <si>
    <t>GHG cycle</t>
  </si>
  <si>
    <t>Initial CH4 conc</t>
  </si>
  <si>
    <t>pbb</t>
  </si>
  <si>
    <t>Preindustrial CH4</t>
  </si>
  <si>
    <t>Mt</t>
  </si>
  <si>
    <t>Reference Sensitivity of CH4 from Permafrost and Clathrate to Temperature</t>
  </si>
  <si>
    <t>Mt/(year*ºC)</t>
  </si>
  <si>
    <t>Sensitivity of Methane Emissions to Permafrost and Clathrate (1=feedback, 0= no feedback)</t>
  </si>
  <si>
    <t>Temperature Threshold for Methane Emissions from Permafrost and Clathrate</t>
  </si>
  <si>
    <t>reference CH4 time constant</t>
  </si>
  <si>
    <t>Tropospheric CH4 path share</t>
  </si>
  <si>
    <t xml:space="preserve">Dmnl </t>
  </si>
  <si>
    <t>Stratospheric CH4 path share</t>
  </si>
  <si>
    <t>Reference Sensitivity of C from Permafrost and Clathrate to Temperature</t>
  </si>
  <si>
    <t>natural N2O emissions</t>
  </si>
  <si>
    <t>Mt/year</t>
  </si>
  <si>
    <t>initial N2O conc</t>
  </si>
  <si>
    <t>Time Const for N2O</t>
  </si>
  <si>
    <t>years</t>
  </si>
  <si>
    <t>init PFC in atm</t>
  </si>
  <si>
    <t>ppt</t>
  </si>
  <si>
    <t>PFC</t>
  </si>
  <si>
    <t>time const for PFC</t>
  </si>
  <si>
    <t>Preindustrial PFC conc</t>
  </si>
  <si>
    <t>PFC radiative efficiency</t>
  </si>
  <si>
    <t>W/(ppb*m2)</t>
  </si>
  <si>
    <t>initial SF6 conc</t>
  </si>
  <si>
    <t>Time Const for SF6</t>
  </si>
  <si>
    <t>Preindustrial SF6 conc</t>
  </si>
  <si>
    <t>SF6 radiative efficiency</t>
  </si>
  <si>
    <t>HFC parameters</t>
  </si>
  <si>
    <t>Initial HFC con</t>
  </si>
  <si>
    <t>Time Const for HFC</t>
  </si>
  <si>
    <t>HFC radiative efficiency</t>
  </si>
  <si>
    <t>Units</t>
  </si>
  <si>
    <t>Preindustrial HFC conc</t>
  </si>
  <si>
    <t>Radiative Forcing</t>
  </si>
  <si>
    <t>time to commit RF</t>
  </si>
  <si>
    <t xml:space="preserve">year </t>
  </si>
  <si>
    <t>CH4 and N2O Radiative Forcing</t>
  </si>
  <si>
    <t>CH4 radiative efficiency coef</t>
  </si>
  <si>
    <t>CH4 reference conc</t>
  </si>
  <si>
    <t>ppb</t>
  </si>
  <si>
    <t>CH4 N2O unit adj</t>
  </si>
  <si>
    <t>1/ppb</t>
  </si>
  <si>
    <t>N2O reference conc</t>
  </si>
  <si>
    <t>CH4 N2O interaction coef 1</t>
  </si>
  <si>
    <t>CH4 N2O interaction coef 2</t>
  </si>
  <si>
    <t>CH4 N2O interaction coef 3</t>
  </si>
  <si>
    <t>CH4 N2O interaction exp 1</t>
  </si>
  <si>
    <t>CH4 N2O interaction exp 2</t>
  </si>
  <si>
    <t>N2O radiative efficiency coeff</t>
  </si>
  <si>
    <t>MP RF Total</t>
  </si>
  <si>
    <t>Other forcings History</t>
  </si>
  <si>
    <t>Other forcings RCP 2.6</t>
  </si>
  <si>
    <t>Other forcings RCP 4.5</t>
  </si>
  <si>
    <t>Other forcings RCP 6.0</t>
  </si>
  <si>
    <t>Other forcings RCP 8.5</t>
  </si>
  <si>
    <t>Last historical RF year</t>
  </si>
  <si>
    <t>Mineral aerosols and land RF</t>
  </si>
  <si>
    <t>Other GHG emissions</t>
  </si>
  <si>
    <t>CH4 emissions</t>
  </si>
  <si>
    <t>RCP 2.6</t>
  </si>
  <si>
    <t>RCP 4.5</t>
  </si>
  <si>
    <t>RCP 6.0</t>
  </si>
  <si>
    <t>RCP 8.5</t>
  </si>
  <si>
    <t>N2O emissions</t>
  </si>
  <si>
    <t>MtN/year</t>
  </si>
  <si>
    <t>PFCs emissions</t>
  </si>
  <si>
    <t>t/year</t>
  </si>
  <si>
    <t>SF6 emissions</t>
  </si>
  <si>
    <t>HFCs</t>
  </si>
  <si>
    <t xml:space="preserve">CCS </t>
  </si>
  <si>
    <t>Households</t>
  </si>
  <si>
    <t>Accommodation, food and beverage services</t>
  </si>
  <si>
    <t>Activities of membership organisations</t>
  </si>
  <si>
    <t>Agriculture, livestock and related services</t>
  </si>
  <si>
    <t>Air transport</t>
  </si>
  <si>
    <t>Chemical industry</t>
  </si>
  <si>
    <t>Coke and petroleum refineries</t>
  </si>
  <si>
    <t>Computer activities and information services</t>
  </si>
  <si>
    <t>Construction</t>
  </si>
  <si>
    <t>Education</t>
  </si>
  <si>
    <t>Electricity, gas, steam and air‑conditioning supply</t>
  </si>
  <si>
    <t>Extractive industries, mining and quarrying</t>
  </si>
  <si>
    <t>Financial intermediation</t>
  </si>
  <si>
    <t>Fishing and aquaculture</t>
  </si>
  <si>
    <t>Food, beverages and tobacco industries</t>
  </si>
  <si>
    <t>Forestry and logging</t>
  </si>
  <si>
    <t>Graphic arts and recorded media</t>
  </si>
  <si>
    <t>Healthcare and social work activities</t>
  </si>
  <si>
    <t>Insurance and pension funds</t>
  </si>
  <si>
    <t>Land transport; pipeline transport</t>
  </si>
  <si>
    <t>Manufacture of computer, electronic and optical products</t>
  </si>
  <si>
    <t>Manufacture of electrical equipment</t>
  </si>
  <si>
    <t>Manufacture of fabricated metal products, except machinery and equipment</t>
  </si>
  <si>
    <t>Manufacture of furniture; manufacturing n.e.c.</t>
  </si>
  <si>
    <t>Manufacture of machinery and equipment n.e.c.</t>
  </si>
  <si>
    <t>Manufacture of motor vehicles, trailers and semi‑trailers</t>
  </si>
  <si>
    <t>Manufacture of other non‑metallic mineral products</t>
  </si>
  <si>
    <t>Manufacture of other transport equipment</t>
  </si>
  <si>
    <t>Manufacture of rubber and plastic products</t>
  </si>
  <si>
    <t>Maritime and inland water transport</t>
  </si>
  <si>
    <t>Metallurgy</t>
  </si>
  <si>
    <t>Other business activities</t>
  </si>
  <si>
    <t>Other personal service activities</t>
  </si>
  <si>
    <t>Paper and paper products industry</t>
  </si>
  <si>
    <t>Postal and telecomunication activities</t>
  </si>
  <si>
    <t>Private households with employed persons</t>
  </si>
  <si>
    <t>Public administration, defense and compulsory social security</t>
  </si>
  <si>
    <t>Real estate activities</t>
  </si>
  <si>
    <t>Recreational, cultural and sporting activities</t>
  </si>
  <si>
    <t>Rental activities</t>
  </si>
  <si>
    <t>Research and development</t>
  </si>
  <si>
    <t>Retail trade, except motor vehicles and motorcycles</t>
  </si>
  <si>
    <t>Sale and repair of motor vehicles and motorcycles</t>
  </si>
  <si>
    <t>Sanitation, waste management and decontamination activities</t>
  </si>
  <si>
    <t>Support activities for financial intermediation and insurance</t>
  </si>
  <si>
    <t>Textile, clothing, leather and footwear industries</t>
  </si>
  <si>
    <t>Warehousing and support activities for transportation</t>
  </si>
  <si>
    <t>Water collection, treatment and supply</t>
  </si>
  <si>
    <t>Wholesale trade and intermediation, except motor vehicles</t>
  </si>
  <si>
    <t>Wood and cork industry</t>
  </si>
  <si>
    <t>DACC</t>
  </si>
  <si>
    <t>technology share</t>
  </si>
  <si>
    <t>liquid sorbent</t>
  </si>
  <si>
    <t>solid sorbent</t>
  </si>
  <si>
    <t>Historic carbon intensity process emissions</t>
  </si>
  <si>
    <t>Time</t>
  </si>
  <si>
    <t>Process emission intensity</t>
  </si>
  <si>
    <t>GtCO2/T$</t>
  </si>
  <si>
    <t>Historic emissions</t>
  </si>
  <si>
    <t>Total CO2 Emissions Excluding Land-Use Change and Forestry</t>
  </si>
  <si>
    <t>GtCO2/Year</t>
  </si>
  <si>
    <t>Total GHG Emissions Excluding Land-Use Change and Forestry</t>
  </si>
  <si>
    <t>GtCO2e/Year</t>
  </si>
  <si>
    <t>Total GHG Emissions Including Land-Use Change and Forestry</t>
  </si>
  <si>
    <t>GtCO₂e‍/Year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</si>
</sst>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_-* #,##0.00\ _€_-;\-* #,##0.00\ _€_-;_-* \-??\ _€_-;_-@_-"/>
    <numFmt numFmtId="166" formatCode="#,##0.000"/>
    <numFmt numFmtId="167" formatCode="0.00000"/>
    <numFmt numFmtId="168" formatCode="_-* #,##0.0\ _€_-;\-* #,##0.0\ _€_-;_-* \-??\ _€_-;_-@_-"/>
    <numFmt numFmtId="169" formatCode="_-* #,##0.000\ _€_-;\-* #,##0.000\ _€_-;_-* \-??\ _€_-;_-@_-"/>
    <numFmt numFmtId="170" formatCode="_-* #,##0.0000\ _€_-;\-* #,##0.0000\ _€_-;_-* \-??\ _€_-;_-@_-"/>
    <numFmt numFmtId="171" formatCode="#,##0.0"/>
    <numFmt numFmtId="172" formatCode="#,##0.0000"/>
    <numFmt numFmtId="173" formatCode="0.00000000"/>
    <numFmt numFmtId="174" formatCode="#,##0.00000"/>
    <numFmt numFmtId="175" formatCode="0.0"/>
  </numFmts>
  <fonts count="9" x14ac:knownFonts="1">
    <font>
      <sz val="11"/>
      <color theme="1"/>
      <name val="Calibri"/>
      <charset val="1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0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1"/>
      <color rgb="FF00000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E7"/>
        <bgColor rgb="FF9DC3E6"/>
      </patternFill>
    </fill>
    <fill>
      <patternFill patternType="solid">
        <fgColor rgb="FF92D050"/>
        <bgColor rgb="FF81D41A"/>
      </patternFill>
    </fill>
    <fill>
      <patternFill patternType="solid">
        <fgColor rgb="FF0070C0"/>
        <bgColor rgb="FF008080"/>
      </patternFill>
    </fill>
    <fill>
      <patternFill patternType="solid">
        <fgColor rgb="FF81D41A"/>
        <bgColor rgb="FF92D050"/>
      </patternFill>
    </fill>
    <fill>
      <patternFill patternType="solid">
        <fgColor theme="2" tint="-0.499984740745262"/>
        <bgColor rgb="FF80800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BDD7EE"/>
        <bgColor rgb="FFB4C7E7"/>
      </patternFill>
    </fill>
    <fill>
      <patternFill patternType="solid">
        <fgColor rgb="FF9DC3E6"/>
        <bgColor rgb="FFB4C7E7"/>
      </patternFill>
    </fill>
    <fill>
      <patternFill patternType="solid">
        <fgColor rgb="FF5B9BD5"/>
        <bgColor rgb="FF8FAADC"/>
      </patternFill>
    </fill>
    <fill>
      <patternFill patternType="solid">
        <fgColor rgb="FF2E75B6"/>
        <bgColor rgb="FF0070C0"/>
      </patternFill>
    </fill>
    <fill>
      <patternFill patternType="solid">
        <fgColor rgb="FF2F5597"/>
        <bgColor rgb="FF2E75B6"/>
      </patternFill>
    </fill>
    <fill>
      <patternFill patternType="solid">
        <fgColor rgb="FF8FAADC"/>
        <bgColor rgb="FF9DC3E6"/>
      </patternFill>
    </fill>
    <fill>
      <patternFill patternType="solid">
        <fgColor rgb="FFD9D9D9"/>
        <bgColor rgb="FFBDD7EE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165" fontId="2" fillId="0" borderId="0" applyBorder="0" applyProtection="0"/>
    <xf numFmtId="9" fontId="2" fillId="0" borderId="0" applyBorder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2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1" applyNumberFormat="1" applyFont="1" applyBorder="1" applyAlignment="1" applyProtection="1">
      <alignment horizont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4" borderId="3" xfId="0" applyFont="1" applyFill="1" applyBorder="1" applyAlignment="1">
      <alignment horizontal="left"/>
    </xf>
    <xf numFmtId="1" fontId="0" fillId="0" borderId="4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1" applyNumberFormat="1" applyFont="1" applyBorder="1" applyAlignment="1" applyProtection="1">
      <alignment horizontal="center"/>
    </xf>
    <xf numFmtId="0" fontId="0" fillId="4" borderId="3" xfId="0" applyFill="1" applyBorder="1" applyAlignment="1">
      <alignment horizontal="left"/>
    </xf>
    <xf numFmtId="0" fontId="4" fillId="0" borderId="0" xfId="0" applyFont="1"/>
    <xf numFmtId="0" fontId="0" fillId="3" borderId="3" xfId="0" applyFill="1" applyBorder="1"/>
    <xf numFmtId="0" fontId="2" fillId="0" borderId="3" xfId="0" applyFont="1" applyBorder="1"/>
    <xf numFmtId="0" fontId="0" fillId="0" borderId="3" xfId="0" applyBorder="1"/>
    <xf numFmtId="0" fontId="0" fillId="6" borderId="3" xfId="0" applyFill="1" applyBorder="1"/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4" fillId="2" borderId="3" xfId="0" applyFont="1" applyFill="1" applyBorder="1"/>
    <xf numFmtId="0" fontId="0" fillId="2" borderId="3" xfId="0" applyFill="1" applyBorder="1"/>
    <xf numFmtId="0" fontId="0" fillId="3" borderId="6" xfId="0" applyFill="1" applyBorder="1"/>
    <xf numFmtId="0" fontId="0" fillId="2" borderId="6" xfId="0" applyFill="1" applyBorder="1"/>
    <xf numFmtId="167" fontId="0" fillId="0" borderId="3" xfId="0" applyNumberFormat="1" applyBorder="1"/>
    <xf numFmtId="167" fontId="0" fillId="2" borderId="3" xfId="0" applyNumberFormat="1" applyFill="1" applyBorder="1"/>
    <xf numFmtId="167" fontId="2" fillId="0" borderId="3" xfId="0" applyNumberFormat="1" applyFont="1" applyBorder="1"/>
    <xf numFmtId="167" fontId="4" fillId="2" borderId="3" xfId="0" applyNumberFormat="1" applyFont="1" applyFill="1" applyBorder="1"/>
    <xf numFmtId="0" fontId="3" fillId="0" borderId="3" xfId="0" applyFont="1" applyBorder="1"/>
    <xf numFmtId="9" fontId="5" fillId="0" borderId="0" xfId="2" applyFont="1" applyBorder="1" applyAlignment="1" applyProtection="1">
      <alignment horizontal="right" wrapText="1"/>
    </xf>
    <xf numFmtId="3" fontId="5" fillId="0" borderId="0" xfId="0" applyNumberFormat="1" applyFont="1" applyAlignment="1">
      <alignment horizontal="right" wrapText="1"/>
    </xf>
    <xf numFmtId="0" fontId="0" fillId="7" borderId="3" xfId="0" applyFill="1" applyBorder="1"/>
    <xf numFmtId="0" fontId="0" fillId="3" borderId="8" xfId="0" applyFill="1" applyBorder="1" applyAlignment="1">
      <alignment horizontal="left"/>
    </xf>
    <xf numFmtId="0" fontId="0" fillId="0" borderId="3" xfId="0" applyBorder="1" applyAlignment="1">
      <alignment horizontal="center"/>
    </xf>
    <xf numFmtId="168" fontId="0" fillId="0" borderId="9" xfId="1" applyNumberFormat="1" applyFont="1" applyBorder="1" applyAlignment="1" applyProtection="1">
      <alignment horizontal="center"/>
    </xf>
    <xf numFmtId="2" fontId="0" fillId="0" borderId="9" xfId="0" applyNumberFormat="1" applyBorder="1" applyAlignment="1">
      <alignment horizontal="center"/>
    </xf>
    <xf numFmtId="169" fontId="0" fillId="0" borderId="9" xfId="1" applyNumberFormat="1" applyFont="1" applyBorder="1" applyAlignment="1" applyProtection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170" fontId="0" fillId="0" borderId="9" xfId="1" applyNumberFormat="1" applyFont="1" applyBorder="1" applyAlignment="1" applyProtection="1">
      <alignment horizontal="center"/>
    </xf>
    <xf numFmtId="0" fontId="0" fillId="0" borderId="9" xfId="0" applyBorder="1" applyAlignment="1">
      <alignment horizontal="center"/>
    </xf>
    <xf numFmtId="4" fontId="0" fillId="0" borderId="9" xfId="1" applyNumberFormat="1" applyFont="1" applyBorder="1" applyAlignment="1" applyProtection="1">
      <alignment horizontal="center"/>
    </xf>
    <xf numFmtId="0" fontId="1" fillId="0" borderId="0" xfId="8"/>
    <xf numFmtId="3" fontId="0" fillId="8" borderId="9" xfId="1" applyNumberFormat="1" applyFont="1" applyFill="1" applyBorder="1" applyAlignment="1" applyProtection="1">
      <alignment horizontal="center"/>
    </xf>
    <xf numFmtId="166" fontId="0" fillId="0" borderId="9" xfId="0" applyNumberFormat="1" applyBorder="1" applyAlignment="1">
      <alignment horizontal="center"/>
    </xf>
    <xf numFmtId="3" fontId="0" fillId="0" borderId="9" xfId="1" applyNumberFormat="1" applyFont="1" applyBorder="1" applyAlignment="1" applyProtection="1">
      <alignment horizontal="center"/>
    </xf>
    <xf numFmtId="166" fontId="0" fillId="0" borderId="9" xfId="1" applyNumberFormat="1" applyFont="1" applyBorder="1" applyAlignment="1" applyProtection="1">
      <alignment horizontal="center"/>
    </xf>
    <xf numFmtId="0" fontId="2" fillId="0" borderId="11" xfId="0" applyFont="1" applyBorder="1"/>
    <xf numFmtId="4" fontId="2" fillId="0" borderId="9" xfId="1" applyNumberFormat="1" applyBorder="1" applyAlignment="1" applyProtection="1">
      <alignment horizontal="center"/>
    </xf>
    <xf numFmtId="0" fontId="0" fillId="0" borderId="12" xfId="0" applyBorder="1" applyAlignment="1">
      <alignment horizontal="center"/>
    </xf>
    <xf numFmtId="171" fontId="2" fillId="0" borderId="9" xfId="1" applyNumberFormat="1" applyBorder="1" applyAlignment="1" applyProtection="1">
      <alignment horizontal="center"/>
    </xf>
    <xf numFmtId="0" fontId="2" fillId="0" borderId="9" xfId="0" applyFont="1" applyBorder="1" applyAlignment="1">
      <alignment horizontal="center"/>
    </xf>
    <xf numFmtId="172" fontId="2" fillId="0" borderId="9" xfId="1" applyNumberFormat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0" fontId="0" fillId="0" borderId="11" xfId="0" applyBorder="1"/>
    <xf numFmtId="0" fontId="0" fillId="3" borderId="8" xfId="0" applyFill="1" applyBorder="1"/>
    <xf numFmtId="0" fontId="2" fillId="0" borderId="3" xfId="0" applyFont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173" fontId="0" fillId="0" borderId="0" xfId="0" applyNumberFormat="1"/>
    <xf numFmtId="0" fontId="0" fillId="3" borderId="16" xfId="0" applyFill="1" applyBorder="1"/>
    <xf numFmtId="0" fontId="0" fillId="0" borderId="17" xfId="0" applyBorder="1" applyAlignment="1">
      <alignment horizontal="center"/>
    </xf>
    <xf numFmtId="171" fontId="0" fillId="0" borderId="13" xfId="1" applyNumberFormat="1" applyFont="1" applyBorder="1" applyAlignment="1" applyProtection="1">
      <alignment horizontal="center"/>
    </xf>
    <xf numFmtId="174" fontId="0" fillId="0" borderId="9" xfId="1" applyNumberFormat="1" applyFont="1" applyBorder="1" applyAlignment="1" applyProtection="1">
      <alignment horizontal="center"/>
    </xf>
    <xf numFmtId="0" fontId="0" fillId="3" borderId="18" xfId="0" applyFill="1" applyBorder="1"/>
    <xf numFmtId="0" fontId="0" fillId="0" borderId="19" xfId="0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3" borderId="16" xfId="0" applyFill="1" applyBorder="1" applyAlignment="1">
      <alignment horizontal="left"/>
    </xf>
    <xf numFmtId="174" fontId="0" fillId="0" borderId="13" xfId="1" applyNumberFormat="1" applyFont="1" applyBorder="1" applyAlignment="1" applyProtection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18" xfId="0" applyFill="1" applyBorder="1" applyAlignment="1">
      <alignment vertical="center"/>
    </xf>
    <xf numFmtId="3" fontId="2" fillId="0" borderId="19" xfId="1" applyNumberFormat="1" applyBorder="1" applyAlignment="1" applyProtection="1">
      <alignment horizontal="center"/>
    </xf>
    <xf numFmtId="0" fontId="0" fillId="3" borderId="8" xfId="0" applyFill="1" applyBorder="1" applyAlignment="1">
      <alignment vertical="center"/>
    </xf>
    <xf numFmtId="3" fontId="0" fillId="0" borderId="3" xfId="1" applyNumberFormat="1" applyFont="1" applyBorder="1" applyAlignment="1" applyProtection="1">
      <alignment horizontal="center"/>
    </xf>
    <xf numFmtId="3" fontId="0" fillId="8" borderId="8" xfId="1" applyNumberFormat="1" applyFont="1" applyFill="1" applyBorder="1" applyAlignment="1" applyProtection="1">
      <alignment horizontal="center"/>
    </xf>
    <xf numFmtId="3" fontId="0" fillId="8" borderId="3" xfId="1" applyNumberFormat="1" applyFont="1" applyFill="1" applyBorder="1" applyAlignment="1" applyProtection="1">
      <alignment horizontal="center"/>
    </xf>
    <xf numFmtId="4" fontId="0" fillId="0" borderId="3" xfId="1" applyNumberFormat="1" applyFont="1" applyBorder="1" applyAlignment="1" applyProtection="1">
      <alignment horizontal="center"/>
    </xf>
    <xf numFmtId="0" fontId="0" fillId="3" borderId="16" xfId="0" applyFill="1" applyBorder="1" applyAlignment="1">
      <alignment vertical="center"/>
    </xf>
    <xf numFmtId="0" fontId="0" fillId="0" borderId="24" xfId="0" applyBorder="1" applyAlignment="1">
      <alignment horizontal="center"/>
    </xf>
    <xf numFmtId="3" fontId="0" fillId="0" borderId="24" xfId="1" applyNumberFormat="1" applyFont="1" applyBorder="1" applyAlignment="1" applyProtection="1">
      <alignment horizontal="center"/>
    </xf>
    <xf numFmtId="3" fontId="0" fillId="0" borderId="19" xfId="1" applyNumberFormat="1" applyFont="1" applyBorder="1" applyAlignment="1" applyProtection="1">
      <alignment horizontal="center"/>
    </xf>
    <xf numFmtId="171" fontId="0" fillId="0" borderId="3" xfId="1" applyNumberFormat="1" applyFont="1" applyBorder="1" applyAlignment="1" applyProtection="1">
      <alignment horizontal="center"/>
    </xf>
    <xf numFmtId="4" fontId="0" fillId="0" borderId="24" xfId="1" applyNumberFormat="1" applyFont="1" applyBorder="1" applyAlignment="1" applyProtection="1">
      <alignment horizontal="center"/>
    </xf>
    <xf numFmtId="4" fontId="0" fillId="0" borderId="19" xfId="1" applyNumberFormat="1" applyFont="1" applyBorder="1" applyAlignment="1" applyProtection="1">
      <alignment horizontal="center"/>
    </xf>
    <xf numFmtId="0" fontId="0" fillId="3" borderId="26" xfId="0" applyFill="1" applyBorder="1" applyAlignment="1">
      <alignment vertical="center"/>
    </xf>
    <xf numFmtId="0" fontId="0" fillId="0" borderId="6" xfId="0" applyBorder="1" applyAlignment="1">
      <alignment horizontal="center"/>
    </xf>
    <xf numFmtId="4" fontId="0" fillId="0" borderId="6" xfId="1" applyNumberFormat="1" applyFont="1" applyBorder="1" applyAlignment="1" applyProtection="1">
      <alignment horizontal="center"/>
    </xf>
    <xf numFmtId="0" fontId="6" fillId="15" borderId="18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9" xfId="0" applyFill="1" applyBorder="1" applyAlignment="1">
      <alignment vertical="center"/>
    </xf>
    <xf numFmtId="0" fontId="0" fillId="3" borderId="2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right"/>
    </xf>
    <xf numFmtId="0" fontId="0" fillId="3" borderId="16" xfId="0" applyFill="1" applyBorder="1" applyAlignment="1">
      <alignment horizontal="right"/>
    </xf>
    <xf numFmtId="171" fontId="0" fillId="0" borderId="24" xfId="1" applyNumberFormat="1" applyFont="1" applyBorder="1" applyAlignment="1" applyProtection="1">
      <alignment horizontal="center"/>
    </xf>
    <xf numFmtId="4" fontId="0" fillId="0" borderId="13" xfId="1" applyNumberFormat="1" applyFont="1" applyBorder="1" applyAlignment="1" applyProtection="1">
      <alignment horizontal="center"/>
    </xf>
    <xf numFmtId="0" fontId="0" fillId="3" borderId="3" xfId="0" applyFill="1" applyBorder="1" applyAlignment="1">
      <alignment vertical="center"/>
    </xf>
    <xf numFmtId="1" fontId="0" fillId="0" borderId="9" xfId="1" applyNumberFormat="1" applyFont="1" applyBorder="1" applyAlignment="1" applyProtection="1">
      <alignment horizontal="center"/>
    </xf>
    <xf numFmtId="0" fontId="3" fillId="16" borderId="14" xfId="0" applyFont="1" applyFill="1" applyBorder="1" applyAlignment="1">
      <alignment horizontal="center" vertical="center"/>
    </xf>
    <xf numFmtId="0" fontId="3" fillId="16" borderId="28" xfId="0" applyFont="1" applyFill="1" applyBorder="1" applyAlignment="1">
      <alignment horizontal="center" vertical="center"/>
    </xf>
    <xf numFmtId="11" fontId="0" fillId="0" borderId="9" xfId="1" applyNumberFormat="1" applyFont="1" applyBorder="1" applyAlignment="1" applyProtection="1">
      <alignment horizontal="center"/>
    </xf>
    <xf numFmtId="2" fontId="0" fillId="0" borderId="9" xfId="1" applyNumberFormat="1" applyFont="1" applyBorder="1" applyAlignment="1" applyProtection="1">
      <alignment horizontal="center"/>
    </xf>
    <xf numFmtId="2" fontId="0" fillId="0" borderId="13" xfId="1" applyNumberFormat="1" applyFont="1" applyBorder="1" applyAlignment="1" applyProtection="1">
      <alignment horizontal="center"/>
    </xf>
    <xf numFmtId="0" fontId="0" fillId="11" borderId="18" xfId="0" applyFill="1" applyBorder="1"/>
    <xf numFmtId="0" fontId="0" fillId="11" borderId="29" xfId="0" applyFill="1" applyBorder="1"/>
    <xf numFmtId="0" fontId="0" fillId="11" borderId="19" xfId="0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0" fillId="0" borderId="30" xfId="0" applyBorder="1"/>
    <xf numFmtId="166" fontId="0" fillId="0" borderId="4" xfId="0" applyNumberFormat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" fontId="0" fillId="0" borderId="3" xfId="1" applyNumberFormat="1" applyFont="1" applyBorder="1" applyAlignment="1" applyProtection="1">
      <alignment horizontal="center"/>
    </xf>
    <xf numFmtId="2" fontId="0" fillId="0" borderId="3" xfId="1" applyNumberFormat="1" applyFont="1" applyBorder="1" applyAlignment="1" applyProtection="1">
      <alignment horizontal="center"/>
    </xf>
    <xf numFmtId="0" fontId="3" fillId="2" borderId="2" xfId="0" applyFont="1" applyFill="1" applyBorder="1"/>
    <xf numFmtId="0" fontId="0" fillId="2" borderId="31" xfId="0" applyFill="1" applyBorder="1"/>
    <xf numFmtId="0" fontId="0" fillId="2" borderId="32" xfId="0" applyFill="1" applyBorder="1" applyAlignment="1">
      <alignment horizontal="center"/>
    </xf>
    <xf numFmtId="0" fontId="0" fillId="0" borderId="29" xfId="0" applyBorder="1"/>
    <xf numFmtId="164" fontId="2" fillId="0" borderId="29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166" fontId="2" fillId="0" borderId="19" xfId="0" applyNumberFormat="1" applyFon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0" fontId="0" fillId="0" borderId="24" xfId="0" applyBorder="1"/>
    <xf numFmtId="164" fontId="2" fillId="0" borderId="17" xfId="0" applyNumberFormat="1" applyFont="1" applyBorder="1" applyAlignment="1">
      <alignment horizontal="center"/>
    </xf>
    <xf numFmtId="164" fontId="2" fillId="0" borderId="24" xfId="0" applyNumberFormat="1" applyFont="1" applyBorder="1" applyAlignment="1">
      <alignment horizontal="center"/>
    </xf>
    <xf numFmtId="166" fontId="2" fillId="0" borderId="24" xfId="0" applyNumberFormat="1" applyFont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/>
    </xf>
    <xf numFmtId="164" fontId="2" fillId="0" borderId="24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36" xfId="0" applyNumberFormat="1" applyFont="1" applyBorder="1" applyAlignment="1">
      <alignment horizontal="center"/>
    </xf>
    <xf numFmtId="0" fontId="0" fillId="0" borderId="6" xfId="0" applyBorder="1"/>
    <xf numFmtId="1" fontId="2" fillId="0" borderId="37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38" xfId="0" applyNumberFormat="1" applyFont="1" applyBorder="1" applyAlignment="1">
      <alignment horizontal="center"/>
    </xf>
    <xf numFmtId="0" fontId="0" fillId="0" borderId="12" xfId="0" applyBorder="1"/>
    <xf numFmtId="0" fontId="0" fillId="0" borderId="17" xfId="0" applyBorder="1"/>
    <xf numFmtId="1" fontId="2" fillId="0" borderId="17" xfId="0" applyNumberFormat="1" applyFont="1" applyBorder="1" applyAlignment="1">
      <alignment horizontal="center"/>
    </xf>
    <xf numFmtId="1" fontId="2" fillId="0" borderId="39" xfId="0" applyNumberFormat="1" applyFont="1" applyBorder="1" applyAlignment="1">
      <alignment horizontal="center"/>
    </xf>
    <xf numFmtId="0" fontId="0" fillId="3" borderId="2" xfId="0" applyFill="1" applyBorder="1"/>
    <xf numFmtId="0" fontId="0" fillId="0" borderId="40" xfId="0" applyBorder="1"/>
    <xf numFmtId="0" fontId="0" fillId="0" borderId="41" xfId="0" applyBorder="1"/>
    <xf numFmtId="1" fontId="2" fillId="0" borderId="9" xfId="0" applyNumberFormat="1" applyFont="1" applyBorder="1" applyAlignment="1">
      <alignment horizontal="center"/>
    </xf>
    <xf numFmtId="0" fontId="0" fillId="0" borderId="4" xfId="0" applyBorder="1"/>
    <xf numFmtId="1" fontId="2" fillId="0" borderId="4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/>
    </xf>
    <xf numFmtId="175" fontId="2" fillId="0" borderId="3" xfId="0" applyNumberFormat="1" applyFont="1" applyBorder="1" applyAlignment="1">
      <alignment horizontal="center" vertical="center"/>
    </xf>
    <xf numFmtId="175" fontId="2" fillId="0" borderId="3" xfId="0" applyNumberFormat="1" applyFont="1" applyBorder="1" applyAlignment="1">
      <alignment horizontal="center"/>
    </xf>
    <xf numFmtId="175" fontId="2" fillId="0" borderId="24" xfId="0" applyNumberFormat="1" applyFont="1" applyBorder="1" applyAlignment="1">
      <alignment horizontal="center"/>
    </xf>
    <xf numFmtId="175" fontId="2" fillId="0" borderId="24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65" fontId="0" fillId="0" borderId="0" xfId="1" applyFont="1" applyBorder="1" applyProtection="1"/>
    <xf numFmtId="0" fontId="3" fillId="5" borderId="5" xfId="0" applyFont="1" applyFill="1" applyBorder="1"/>
    <xf numFmtId="166" fontId="7" fillId="0" borderId="19" xfId="0" applyNumberFormat="1" applyFont="1" applyBorder="1" applyAlignment="1">
      <alignment horizontal="center"/>
    </xf>
    <xf numFmtId="166" fontId="7" fillId="0" borderId="20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66" fontId="7" fillId="0" borderId="9" xfId="0" applyNumberFormat="1" applyFont="1" applyBorder="1" applyAlignment="1">
      <alignment horizontal="center"/>
    </xf>
    <xf numFmtId="166" fontId="7" fillId="0" borderId="24" xfId="0" applyNumberFormat="1" applyFont="1" applyBorder="1" applyAlignment="1">
      <alignment horizontal="center"/>
    </xf>
    <xf numFmtId="166" fontId="7" fillId="0" borderId="13" xfId="0" applyNumberFormat="1" applyFont="1" applyBorder="1" applyAlignment="1">
      <alignment horizontal="center"/>
    </xf>
    <xf numFmtId="164" fontId="7" fillId="0" borderId="19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24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0" fontId="0" fillId="3" borderId="3" xfId="0" applyFill="1" applyBorder="1" applyAlignment="1">
      <alignment horizontal="left"/>
    </xf>
    <xf numFmtId="0" fontId="0" fillId="0" borderId="4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5" borderId="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5" borderId="3" xfId="0" applyFont="1" applyFill="1" applyBorder="1" applyAlignment="1">
      <alignment horizontal="left"/>
    </xf>
    <xf numFmtId="0" fontId="2" fillId="17" borderId="37" xfId="0" applyFont="1" applyFill="1" applyBorder="1" applyAlignment="1">
      <alignment horizontal="center" vertical="center"/>
    </xf>
    <xf numFmtId="0" fontId="2" fillId="17" borderId="12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right" vertical="center"/>
    </xf>
    <xf numFmtId="0" fontId="0" fillId="0" borderId="42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6" xfId="0" applyFill="1" applyBorder="1" applyAlignment="1">
      <alignment horizontal="right" vertical="center"/>
    </xf>
    <xf numFmtId="0" fontId="0" fillId="0" borderId="24" xfId="0" applyBorder="1" applyAlignment="1">
      <alignment horizontal="center" vertical="center"/>
    </xf>
    <xf numFmtId="0" fontId="0" fillId="3" borderId="33" xfId="0" applyFill="1" applyBorder="1" applyAlignment="1">
      <alignment horizontal="left" vertical="center"/>
    </xf>
    <xf numFmtId="0" fontId="0" fillId="0" borderId="34" xfId="0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14" borderId="25" xfId="0" applyFont="1" applyFill="1" applyBorder="1" applyAlignment="1">
      <alignment horizontal="center" vertical="center"/>
    </xf>
    <xf numFmtId="0" fontId="3" fillId="10" borderId="2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33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center"/>
    </xf>
    <xf numFmtId="0" fontId="3" fillId="10" borderId="7" xfId="0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horizontal="center" vertical="center"/>
    </xf>
    <xf numFmtId="0" fontId="3" fillId="12" borderId="23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8" fillId="5" borderId="3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</cellXfs>
  <cellStyles count="9">
    <cellStyle name="Millares" xfId="1" builtinId="3"/>
    <cellStyle name="Normal" xfId="0" builtinId="0"/>
    <cellStyle name="Normal 2" xfId="3" xr:uid="{00000000-0005-0000-0000-000006000000}"/>
    <cellStyle name="Normal 2 2" xfId="4" xr:uid="{00000000-0005-0000-0000-000007000000}"/>
    <cellStyle name="Normal 2 2 2" xfId="5" xr:uid="{00000000-0005-0000-0000-000008000000}"/>
    <cellStyle name="Normal 3" xfId="6" xr:uid="{00000000-0005-0000-0000-000009000000}"/>
    <cellStyle name="Normal 4" xfId="7" xr:uid="{00000000-0005-0000-0000-00000A000000}"/>
    <cellStyle name="Normal 8" xfId="8" xr:uid="{00000000-0005-0000-0000-00000B000000}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948A54"/>
      <rgbColor rgb="FF8FAADC"/>
      <rgbColor rgb="FF993366"/>
      <rgbColor rgb="FFFFFFCC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F99"/>
      <rgbColor rgb="FF9DC3E6"/>
      <rgbColor rgb="FFFF99CC"/>
      <rgbColor rgb="FFCC99FF"/>
      <rgbColor rgb="FF92D050"/>
      <rgbColor rgb="FF2E75B6"/>
      <rgbColor rgb="FF33CCCC"/>
      <rgbColor rgb="FF81D41A"/>
      <rgbColor rgb="FFFFC000"/>
      <rgbColor rgb="FFFF9900"/>
      <rgbColor rgb="FFFF6600"/>
      <rgbColor rgb="FF666699"/>
      <rgbColor rgb="FF5B9BD5"/>
      <rgbColor rgb="FF003366"/>
      <rgbColor rgb="FF339966"/>
      <rgbColor rgb="FF003300"/>
      <rgbColor rgb="FF333300"/>
      <rgbColor rgb="FFC9211E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277560</xdr:colOff>
      <xdr:row>28</xdr:row>
      <xdr:rowOff>360</xdr:rowOff>
    </xdr:from>
    <xdr:to>
      <xdr:col>5</xdr:col>
      <xdr:colOff>468000</xdr:colOff>
      <xdr:row>30</xdr:row>
      <xdr:rowOff>63360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714000" y="5067720"/>
          <a:ext cx="2421720" cy="424800"/>
        </a:xfrm>
        <a:prstGeom prst="rect">
          <a:avLst/>
        </a:prstGeom>
        <a:solidFill>
          <a:srgbClr val="00B0F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s-ES" sz="1100" b="1" u="none" strike="noStrike">
              <a:solidFill>
                <a:srgbClr val="000000"/>
              </a:solidFill>
              <a:effectLst/>
              <a:uFillTx/>
              <a:latin typeface="Calibri"/>
              <a:ea typeface="Arial"/>
            </a:rPr>
            <a:t> THIS COLOUR THE VARIABLES</a:t>
          </a:r>
          <a:endParaRPr lang="ca-E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s-ES" sz="1100" b="1" u="none" strike="noStrike">
              <a:solidFill>
                <a:srgbClr val="000000"/>
              </a:solidFill>
              <a:effectLst/>
              <a:uFillTx/>
              <a:latin typeface="Calibri"/>
              <a:ea typeface="Arial"/>
            </a:rPr>
            <a:t> THAT CAN BE MODIFIED BY USER</a:t>
          </a:r>
          <a:endParaRPr lang="ca-E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DC3E6"/>
  </sheetPr>
  <dimension ref="A1:FI57"/>
  <sheetViews>
    <sheetView topLeftCell="A15" zoomScale="140" zoomScaleNormal="140" workbookViewId="0">
      <selection activeCell="F18" sqref="F18"/>
    </sheetView>
  </sheetViews>
  <sheetFormatPr baseColWidth="10" defaultColWidth="11.42578125" defaultRowHeight="14.25" customHeight="1" x14ac:dyDescent="0.25"/>
  <cols>
    <col min="1" max="1" width="24.7109375" customWidth="1"/>
    <col min="2" max="2" width="14.28515625" customWidth="1"/>
    <col min="3" max="3" width="14.140625" customWidth="1"/>
    <col min="4" max="4" width="16.140625" customWidth="1"/>
    <col min="5" max="8" width="9.140625" customWidth="1"/>
    <col min="9" max="9" width="23.5703125" customWidth="1"/>
    <col min="10" max="16" width="9.140625" customWidth="1"/>
    <col min="19" max="19" width="16.140625" customWidth="1"/>
    <col min="20" max="20" width="18" customWidth="1"/>
  </cols>
  <sheetData>
    <row r="1" spans="1:165" ht="15" x14ac:dyDescent="0.25">
      <c r="A1" s="195" t="s">
        <v>0</v>
      </c>
      <c r="B1" s="195"/>
      <c r="C1" s="195"/>
      <c r="E1" s="1"/>
      <c r="F1" s="2"/>
      <c r="G1" s="3"/>
      <c r="J1" s="2"/>
      <c r="K1" s="4"/>
      <c r="N1" s="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165" ht="15" x14ac:dyDescent="0.25">
      <c r="A2" s="6" t="s">
        <v>1</v>
      </c>
      <c r="B2" s="7" t="s">
        <v>2</v>
      </c>
      <c r="C2" s="7" t="s">
        <v>3</v>
      </c>
      <c r="E2" s="1"/>
      <c r="F2" s="2"/>
      <c r="G2" s="2"/>
      <c r="L2" s="1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165" ht="15" x14ac:dyDescent="0.25">
      <c r="A3" s="9" t="s">
        <v>4</v>
      </c>
      <c r="B3" s="10">
        <v>84</v>
      </c>
      <c r="C3" s="10">
        <v>28</v>
      </c>
    </row>
    <row r="4" spans="1:165" ht="15" x14ac:dyDescent="0.25">
      <c r="A4" s="9" t="s">
        <v>5</v>
      </c>
      <c r="B4" s="11">
        <v>264</v>
      </c>
      <c r="C4" s="11">
        <v>265</v>
      </c>
      <c r="E4" s="1"/>
      <c r="F4" s="2"/>
    </row>
    <row r="5" spans="1:165" ht="15" x14ac:dyDescent="0.25">
      <c r="A5" s="9" t="s">
        <v>6</v>
      </c>
      <c r="B5" s="11">
        <v>4880</v>
      </c>
      <c r="C5" s="11">
        <v>6630</v>
      </c>
      <c r="E5" s="1"/>
      <c r="F5" s="2"/>
      <c r="G5" s="12"/>
      <c r="H5" s="13"/>
      <c r="J5" s="2"/>
      <c r="K5" s="14"/>
      <c r="N5" s="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</row>
    <row r="6" spans="1:165" ht="15" x14ac:dyDescent="0.25">
      <c r="A6" s="9" t="s">
        <v>7</v>
      </c>
      <c r="B6" s="11">
        <v>17500</v>
      </c>
      <c r="C6" s="11">
        <v>23500</v>
      </c>
      <c r="E6" s="1"/>
      <c r="F6" s="2"/>
      <c r="G6" s="2"/>
      <c r="J6" s="2"/>
      <c r="K6" s="14"/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</row>
    <row r="7" spans="1:165" ht="15" x14ac:dyDescent="0.25">
      <c r="A7" s="15" t="s">
        <v>8</v>
      </c>
      <c r="B7" s="11">
        <v>3710</v>
      </c>
      <c r="C7" s="11">
        <v>1300</v>
      </c>
      <c r="E7" s="1"/>
      <c r="F7" s="2"/>
      <c r="G7" s="2"/>
      <c r="J7" s="2"/>
      <c r="K7" s="14"/>
      <c r="L7" s="16"/>
      <c r="M7" s="8"/>
      <c r="N7" s="2"/>
    </row>
    <row r="8" spans="1:165" ht="15" x14ac:dyDescent="0.25">
      <c r="A8" s="15" t="s">
        <v>9</v>
      </c>
      <c r="B8" s="11">
        <v>10800</v>
      </c>
      <c r="C8" s="11">
        <v>12400</v>
      </c>
    </row>
    <row r="9" spans="1:165" ht="15" x14ac:dyDescent="0.25">
      <c r="A9" s="15" t="s">
        <v>10</v>
      </c>
      <c r="B9" s="11">
        <v>2430</v>
      </c>
      <c r="C9" s="11">
        <v>677</v>
      </c>
    </row>
    <row r="10" spans="1:165" ht="15" x14ac:dyDescent="0.25">
      <c r="A10" s="15" t="s">
        <v>11</v>
      </c>
      <c r="B10" s="11">
        <v>6090</v>
      </c>
      <c r="C10" s="11">
        <v>3170</v>
      </c>
    </row>
    <row r="11" spans="1:165" ht="15" x14ac:dyDescent="0.25">
      <c r="A11" s="15" t="s">
        <v>12</v>
      </c>
      <c r="B11" s="11">
        <v>6940</v>
      </c>
      <c r="C11" s="11">
        <v>4800</v>
      </c>
    </row>
    <row r="12" spans="1:165" ht="15" x14ac:dyDescent="0.25">
      <c r="A12" s="15" t="s">
        <v>13</v>
      </c>
      <c r="B12" s="11">
        <v>506</v>
      </c>
      <c r="C12" s="11">
        <v>138</v>
      </c>
    </row>
    <row r="13" spans="1:165" ht="15" x14ac:dyDescent="0.25">
      <c r="A13" s="15" t="s">
        <v>14</v>
      </c>
      <c r="B13" s="11">
        <v>5360</v>
      </c>
      <c r="C13" s="11">
        <v>3350</v>
      </c>
    </row>
    <row r="14" spans="1:165" ht="15" x14ac:dyDescent="0.25">
      <c r="A14" s="15" t="s">
        <v>15</v>
      </c>
      <c r="B14" s="11">
        <v>2510</v>
      </c>
      <c r="C14" s="11">
        <v>716</v>
      </c>
    </row>
    <row r="15" spans="1:165" ht="15" x14ac:dyDescent="0.25">
      <c r="A15" s="15" t="s">
        <v>16</v>
      </c>
      <c r="B15" s="11">
        <v>4310</v>
      </c>
      <c r="C15" s="11">
        <v>1650</v>
      </c>
    </row>
    <row r="17" spans="1:10" ht="15" x14ac:dyDescent="0.25">
      <c r="A17" s="196" t="s">
        <v>17</v>
      </c>
      <c r="B17" s="196"/>
      <c r="C17" s="196"/>
      <c r="E17" t="s">
        <v>18</v>
      </c>
      <c r="F17" t="s">
        <v>19</v>
      </c>
    </row>
    <row r="18" spans="1:10" ht="15" x14ac:dyDescent="0.25">
      <c r="A18" s="17" t="s">
        <v>20</v>
      </c>
      <c r="B18" s="18" t="s">
        <v>21</v>
      </c>
      <c r="C18" s="19">
        <v>0.16520000000000001</v>
      </c>
      <c r="E18">
        <v>0.16520000000000001</v>
      </c>
    </row>
    <row r="19" spans="1:10" ht="15" x14ac:dyDescent="0.25">
      <c r="A19" s="17" t="s">
        <v>22</v>
      </c>
      <c r="B19" s="18" t="s">
        <v>21</v>
      </c>
      <c r="C19" s="19">
        <v>0.1033</v>
      </c>
      <c r="E19">
        <v>0.1033</v>
      </c>
    </row>
    <row r="20" spans="1:10" ht="15" x14ac:dyDescent="0.25">
      <c r="A20" s="17" t="s">
        <v>23</v>
      </c>
      <c r="B20" s="18" t="s">
        <v>21</v>
      </c>
      <c r="C20" s="20">
        <v>9.4767378999999999E-2</v>
      </c>
      <c r="E20">
        <v>9.7500000000000003E-2</v>
      </c>
      <c r="I20" t="s">
        <v>24</v>
      </c>
      <c r="J20" t="s">
        <v>25</v>
      </c>
    </row>
    <row r="21" spans="1:10" ht="15" x14ac:dyDescent="0.25">
      <c r="A21" s="17" t="s">
        <v>26</v>
      </c>
      <c r="B21" s="18" t="s">
        <v>21</v>
      </c>
      <c r="C21" s="20">
        <v>5.0472000000000003E-2</v>
      </c>
      <c r="D21" s="20">
        <v>5.0500000000000003E-2</v>
      </c>
      <c r="E21">
        <v>5.0450000000000002E-2</v>
      </c>
      <c r="H21">
        <v>0</v>
      </c>
      <c r="I21" t="s">
        <v>27</v>
      </c>
      <c r="J21">
        <v>0</v>
      </c>
    </row>
    <row r="22" spans="1:10" ht="15" x14ac:dyDescent="0.25">
      <c r="A22" s="17" t="s">
        <v>28</v>
      </c>
      <c r="B22" s="18" t="s">
        <v>21</v>
      </c>
      <c r="C22" s="21">
        <v>7.2969583000000005E-2</v>
      </c>
      <c r="D22" s="22">
        <v>7.7777777777777807E-2</v>
      </c>
      <c r="E22">
        <v>7.6388889000000001E-2</v>
      </c>
      <c r="H22">
        <v>1</v>
      </c>
      <c r="I22" t="s">
        <v>29</v>
      </c>
      <c r="J22">
        <v>0</v>
      </c>
    </row>
    <row r="23" spans="1:10" ht="15" x14ac:dyDescent="0.25">
      <c r="A23" s="17" t="s">
        <v>30</v>
      </c>
      <c r="B23" s="18" t="s">
        <v>21</v>
      </c>
      <c r="C23" s="20">
        <v>5.6243700000000001E-2</v>
      </c>
      <c r="D23" s="20">
        <v>5.0500000000000003E-2</v>
      </c>
      <c r="E23">
        <v>5.0450000000000002E-2</v>
      </c>
      <c r="H23">
        <v>2</v>
      </c>
      <c r="I23" t="s">
        <v>23</v>
      </c>
      <c r="J23">
        <v>9.4767379105615196E-2</v>
      </c>
    </row>
    <row r="24" spans="1:10" ht="15" x14ac:dyDescent="0.25">
      <c r="A24" s="17" t="s">
        <v>31</v>
      </c>
      <c r="B24" s="18" t="s">
        <v>21</v>
      </c>
      <c r="C24" s="21">
        <v>7.1689000000000003E-2</v>
      </c>
      <c r="E24">
        <v>7.6388889000000001E-2</v>
      </c>
      <c r="H24">
        <v>3</v>
      </c>
      <c r="I24" t="s">
        <v>26</v>
      </c>
      <c r="J24">
        <v>5.0472000000000003E-2</v>
      </c>
    </row>
    <row r="25" spans="1:10" ht="15" x14ac:dyDescent="0.25">
      <c r="A25" s="17" t="s">
        <v>32</v>
      </c>
      <c r="B25" s="18" t="s">
        <v>21</v>
      </c>
      <c r="C25" s="19">
        <v>0.107</v>
      </c>
      <c r="D25" s="16" t="s">
        <v>33</v>
      </c>
      <c r="E25">
        <v>0.14610000000000001</v>
      </c>
      <c r="H25">
        <v>4</v>
      </c>
      <c r="I25" t="s">
        <v>28</v>
      </c>
      <c r="J25">
        <v>7.2969583454660494E-2</v>
      </c>
    </row>
    <row r="26" spans="1:10" ht="15" x14ac:dyDescent="0.25">
      <c r="A26" s="17" t="s">
        <v>34</v>
      </c>
      <c r="B26" s="18" t="s">
        <v>21</v>
      </c>
      <c r="C26" s="23">
        <v>0</v>
      </c>
      <c r="D26" s="23">
        <v>0.106009479</v>
      </c>
      <c r="E26">
        <v>0</v>
      </c>
      <c r="H26">
        <v>5</v>
      </c>
      <c r="I26" t="s">
        <v>34</v>
      </c>
    </row>
    <row r="27" spans="1:10" ht="15" x14ac:dyDescent="0.25">
      <c r="A27" s="17" t="s">
        <v>27</v>
      </c>
      <c r="B27" s="18" t="s">
        <v>21</v>
      </c>
      <c r="C27" s="23">
        <v>0</v>
      </c>
      <c r="D27" s="23">
        <v>6.9879147000000003E-2</v>
      </c>
      <c r="E27">
        <v>0</v>
      </c>
      <c r="H27">
        <v>6</v>
      </c>
      <c r="I27" t="s">
        <v>32</v>
      </c>
    </row>
    <row r="28" spans="1:10" ht="15" x14ac:dyDescent="0.25">
      <c r="A28" s="17" t="s">
        <v>29</v>
      </c>
      <c r="B28" s="18" t="s">
        <v>21</v>
      </c>
      <c r="C28" s="23">
        <v>0</v>
      </c>
      <c r="D28" s="23">
        <v>4.9355450000000002E-2</v>
      </c>
      <c r="E28">
        <v>0</v>
      </c>
      <c r="H28">
        <v>7</v>
      </c>
      <c r="I28" t="s">
        <v>35</v>
      </c>
      <c r="J28">
        <v>0</v>
      </c>
    </row>
    <row r="29" spans="1:10" ht="15" x14ac:dyDescent="0.25">
      <c r="A29" s="17" t="s">
        <v>35</v>
      </c>
      <c r="B29" s="18" t="s">
        <v>21</v>
      </c>
      <c r="C29" s="23">
        <v>0</v>
      </c>
      <c r="D29" s="23">
        <v>8.9826223999999996E-2</v>
      </c>
      <c r="E29">
        <v>0</v>
      </c>
      <c r="H29">
        <v>8</v>
      </c>
      <c r="I29" t="s">
        <v>36</v>
      </c>
    </row>
    <row r="30" spans="1:10" ht="15" x14ac:dyDescent="0.25">
      <c r="A30" s="17" t="s">
        <v>36</v>
      </c>
      <c r="B30" s="18" t="s">
        <v>21</v>
      </c>
      <c r="C30" s="23">
        <v>0</v>
      </c>
      <c r="D30" s="23">
        <v>0.10030963699999999</v>
      </c>
      <c r="E30">
        <v>0</v>
      </c>
      <c r="H30">
        <v>9</v>
      </c>
      <c r="I30" t="s">
        <v>37</v>
      </c>
      <c r="J30">
        <v>7.3300000000000004E-2</v>
      </c>
    </row>
    <row r="31" spans="1:10" ht="15" x14ac:dyDescent="0.25">
      <c r="A31" s="17" t="s">
        <v>37</v>
      </c>
      <c r="B31" s="18" t="s">
        <v>21</v>
      </c>
      <c r="C31" s="23">
        <v>7.3300000000000004E-2</v>
      </c>
      <c r="D31" s="23">
        <v>8.5971564E-2</v>
      </c>
      <c r="E31">
        <v>8.5971564E-2</v>
      </c>
    </row>
    <row r="33" spans="1:4" ht="15" x14ac:dyDescent="0.25">
      <c r="A33" s="17" t="s">
        <v>38</v>
      </c>
      <c r="B33" s="18" t="s">
        <v>39</v>
      </c>
      <c r="C33" s="24">
        <v>9.4E-2</v>
      </c>
      <c r="D33" s="16">
        <v>9.4E-2</v>
      </c>
    </row>
    <row r="34" spans="1:4" ht="15" x14ac:dyDescent="0.25">
      <c r="A34" s="25" t="s">
        <v>40</v>
      </c>
      <c r="B34" s="18" t="s">
        <v>39</v>
      </c>
      <c r="C34" s="26">
        <v>9.4E-2</v>
      </c>
      <c r="D34" s="16">
        <v>9.4E-2</v>
      </c>
    </row>
    <row r="35" spans="1:4" ht="15" x14ac:dyDescent="0.25">
      <c r="A35" s="17" t="s">
        <v>41</v>
      </c>
      <c r="B35" s="18" t="s">
        <v>39</v>
      </c>
      <c r="C35" s="27">
        <v>9.4E-2</v>
      </c>
      <c r="D35" s="16">
        <v>9.4E-2</v>
      </c>
    </row>
    <row r="36" spans="1:4" ht="16.5" customHeight="1" x14ac:dyDescent="0.25">
      <c r="A36" s="17" t="s">
        <v>42</v>
      </c>
      <c r="B36" s="18" t="s">
        <v>39</v>
      </c>
      <c r="C36" s="18">
        <v>0.78</v>
      </c>
      <c r="D36" s="16">
        <v>0.78</v>
      </c>
    </row>
    <row r="37" spans="1:4" ht="15" x14ac:dyDescent="0.25">
      <c r="A37" s="17" t="s">
        <v>43</v>
      </c>
      <c r="B37" s="18" t="s">
        <v>39</v>
      </c>
      <c r="C37" s="28">
        <v>9.4E-2</v>
      </c>
      <c r="D37" s="16">
        <v>9.4E-2</v>
      </c>
    </row>
    <row r="38" spans="1:4" ht="15" x14ac:dyDescent="0.25">
      <c r="A38" s="17" t="s">
        <v>44</v>
      </c>
      <c r="B38" s="18" t="s">
        <v>39</v>
      </c>
      <c r="C38" s="29">
        <v>2.48</v>
      </c>
      <c r="D38" s="16">
        <v>2.48</v>
      </c>
    </row>
    <row r="39" spans="1:4" ht="15" x14ac:dyDescent="0.25">
      <c r="A39" s="17" t="s">
        <v>45</v>
      </c>
      <c r="B39" s="18" t="s">
        <v>39</v>
      </c>
      <c r="C39" s="28">
        <v>9.4E-2</v>
      </c>
      <c r="D39" s="16">
        <v>9.4E-2</v>
      </c>
    </row>
    <row r="40" spans="1:4" ht="15" x14ac:dyDescent="0.25">
      <c r="A40" s="17" t="s">
        <v>46</v>
      </c>
      <c r="B40" s="18" t="s">
        <v>39</v>
      </c>
      <c r="C40" s="28">
        <v>9.4E-2</v>
      </c>
      <c r="D40" s="16">
        <v>9.4E-2</v>
      </c>
    </row>
    <row r="41" spans="1:4" ht="15" x14ac:dyDescent="0.25">
      <c r="A41" s="17" t="s">
        <v>47</v>
      </c>
      <c r="B41" s="18" t="s">
        <v>39</v>
      </c>
      <c r="C41" s="30">
        <v>3.0331753999999999E-2</v>
      </c>
      <c r="D41" s="16">
        <v>9.4E-2</v>
      </c>
    </row>
    <row r="42" spans="1:4" ht="15" x14ac:dyDescent="0.25">
      <c r="A42" s="17" t="s">
        <v>48</v>
      </c>
      <c r="B42" s="18" t="s">
        <v>39</v>
      </c>
      <c r="C42" s="23">
        <v>1.0426540000000001E-3</v>
      </c>
      <c r="D42" s="16">
        <v>0.78</v>
      </c>
    </row>
    <row r="43" spans="1:4" ht="15" x14ac:dyDescent="0.25">
      <c r="A43" s="17" t="s">
        <v>49</v>
      </c>
      <c r="B43" s="18" t="s">
        <v>39</v>
      </c>
      <c r="C43" s="23">
        <v>3.0331749999999999E-3</v>
      </c>
      <c r="D43" s="16">
        <v>0.78</v>
      </c>
    </row>
    <row r="44" spans="1:4" ht="15" x14ac:dyDescent="0.25">
      <c r="A44" s="17" t="s">
        <v>50</v>
      </c>
      <c r="B44" s="18" t="s">
        <v>39</v>
      </c>
      <c r="C44" s="23">
        <v>1.8009479999999999E-3</v>
      </c>
      <c r="D44" s="16">
        <v>0.78</v>
      </c>
    </row>
    <row r="45" spans="1:4" ht="15" x14ac:dyDescent="0.25">
      <c r="A45" s="17" t="s">
        <v>51</v>
      </c>
      <c r="B45" s="18" t="s">
        <v>39</v>
      </c>
      <c r="C45" s="23">
        <v>1.8578199E-2</v>
      </c>
      <c r="D45" s="16">
        <v>0.78</v>
      </c>
    </row>
    <row r="46" spans="1:4" ht="15" x14ac:dyDescent="0.25">
      <c r="A46" s="17" t="s">
        <v>52</v>
      </c>
      <c r="B46" s="18" t="s">
        <v>39</v>
      </c>
      <c r="C46" s="23">
        <v>3.0331753999999999E-2</v>
      </c>
      <c r="D46" s="16">
        <v>0.78</v>
      </c>
    </row>
    <row r="48" spans="1:4" ht="15" x14ac:dyDescent="0.25">
      <c r="A48" s="197" t="s">
        <v>53</v>
      </c>
      <c r="B48" s="197"/>
      <c r="C48" s="197"/>
      <c r="D48" s="197"/>
    </row>
    <row r="49" spans="1:7" ht="15" x14ac:dyDescent="0.25">
      <c r="A49" s="17"/>
      <c r="B49" s="18"/>
      <c r="C49" s="31" t="s">
        <v>54</v>
      </c>
    </row>
    <row r="50" spans="1:7" ht="15" x14ac:dyDescent="0.25">
      <c r="A50" s="17" t="s">
        <v>55</v>
      </c>
      <c r="B50" s="18" t="s">
        <v>56</v>
      </c>
      <c r="C50" s="18">
        <v>888.89599999999996</v>
      </c>
      <c r="G50" s="32"/>
    </row>
    <row r="51" spans="1:7" ht="15" x14ac:dyDescent="0.25">
      <c r="A51" s="17" t="s">
        <v>57</v>
      </c>
      <c r="B51" s="18" t="s">
        <v>56</v>
      </c>
      <c r="C51" s="18">
        <v>606.94929999999999</v>
      </c>
      <c r="G51" s="33"/>
    </row>
    <row r="52" spans="1:7" ht="15" x14ac:dyDescent="0.25">
      <c r="A52" s="17" t="s">
        <v>58</v>
      </c>
      <c r="B52" s="18" t="s">
        <v>56</v>
      </c>
      <c r="C52" s="18">
        <v>1111.1199999999999</v>
      </c>
      <c r="G52" s="22"/>
    </row>
    <row r="54" spans="1:7" ht="15" x14ac:dyDescent="0.25">
      <c r="A54" s="198" t="s">
        <v>59</v>
      </c>
      <c r="B54" s="198"/>
      <c r="C54" s="198"/>
      <c r="D54" s="198"/>
    </row>
    <row r="55" spans="1:7" ht="15" x14ac:dyDescent="0.25">
      <c r="A55" s="34"/>
      <c r="B55" s="34"/>
      <c r="C55" s="19" t="s">
        <v>60</v>
      </c>
      <c r="D55" s="19" t="s">
        <v>61</v>
      </c>
    </row>
    <row r="56" spans="1:7" ht="15" x14ac:dyDescent="0.25">
      <c r="A56" s="17" t="s">
        <v>62</v>
      </c>
      <c r="B56" s="18" t="s">
        <v>56</v>
      </c>
      <c r="C56" s="19">
        <v>1500.0119999999999</v>
      </c>
      <c r="D56" s="19">
        <v>722.22799999999995</v>
      </c>
    </row>
    <row r="57" spans="1:7" ht="15" x14ac:dyDescent="0.25">
      <c r="A57" s="17" t="s">
        <v>63</v>
      </c>
      <c r="B57" s="18" t="s">
        <v>56</v>
      </c>
      <c r="C57" s="19">
        <v>1861.126</v>
      </c>
      <c r="D57" s="19">
        <v>1288.05</v>
      </c>
    </row>
  </sheetData>
  <mergeCells count="4">
    <mergeCell ref="A1:C1"/>
    <mergeCell ref="A17:C17"/>
    <mergeCell ref="A48:D48"/>
    <mergeCell ref="A54:D5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C3E6"/>
  </sheetPr>
  <dimension ref="A1:AJ308"/>
  <sheetViews>
    <sheetView topLeftCell="A143" zoomScale="70" zoomScaleNormal="70" workbookViewId="0">
      <selection activeCell="A151" sqref="A151"/>
    </sheetView>
  </sheetViews>
  <sheetFormatPr baseColWidth="10" defaultColWidth="11.42578125" defaultRowHeight="14.25" customHeight="1" x14ac:dyDescent="0.25"/>
  <cols>
    <col min="1" max="1" width="39.5703125" customWidth="1"/>
    <col min="2" max="2" width="14.85546875" customWidth="1"/>
    <col min="3" max="4" width="13" customWidth="1"/>
    <col min="5" max="5" width="27.85546875" customWidth="1"/>
    <col min="6" max="6" width="22.85546875" customWidth="1"/>
    <col min="7" max="7" width="16" customWidth="1"/>
    <col min="8" max="8" width="17.85546875" customWidth="1"/>
    <col min="9" max="9" width="25.5703125" customWidth="1"/>
    <col min="10" max="10" width="12.140625" customWidth="1"/>
    <col min="11" max="11" width="12.28515625" customWidth="1"/>
    <col min="13" max="13" width="13.7109375" customWidth="1"/>
    <col min="14" max="14" width="15" customWidth="1"/>
    <col min="15" max="15" width="16.85546875" customWidth="1"/>
    <col min="16" max="16" width="16.28515625" customWidth="1"/>
    <col min="19" max="19" width="16.140625" customWidth="1"/>
    <col min="20" max="20" width="18" customWidth="1"/>
  </cols>
  <sheetData>
    <row r="1" spans="1:11" ht="15" x14ac:dyDescent="0.25">
      <c r="A1" s="220" t="s">
        <v>64</v>
      </c>
      <c r="B1" s="220"/>
      <c r="C1" s="220"/>
      <c r="E1" s="220" t="s">
        <v>65</v>
      </c>
      <c r="F1" s="220"/>
      <c r="G1" s="220"/>
    </row>
    <row r="2" spans="1:11" ht="15" x14ac:dyDescent="0.25">
      <c r="A2" s="35" t="s">
        <v>66</v>
      </c>
      <c r="B2" s="36" t="s">
        <v>67</v>
      </c>
      <c r="C2" s="37">
        <v>27.8</v>
      </c>
      <c r="E2" s="35" t="s">
        <v>68</v>
      </c>
      <c r="F2" s="36" t="s">
        <v>69</v>
      </c>
      <c r="G2" s="38">
        <v>1076.17</v>
      </c>
    </row>
    <row r="3" spans="1:11" ht="15" x14ac:dyDescent="0.25">
      <c r="A3" s="35" t="s">
        <v>70</v>
      </c>
      <c r="B3" s="36" t="s">
        <v>71</v>
      </c>
      <c r="C3" s="39">
        <v>0.42799999999999999</v>
      </c>
      <c r="E3" s="35" t="s">
        <v>72</v>
      </c>
      <c r="F3" s="36" t="s">
        <v>69</v>
      </c>
      <c r="G3" s="40">
        <v>988.15800000000002</v>
      </c>
    </row>
    <row r="4" spans="1:11" ht="15" x14ac:dyDescent="0.25">
      <c r="A4" s="35" t="s">
        <v>73</v>
      </c>
      <c r="B4" s="36" t="s">
        <v>67</v>
      </c>
      <c r="C4" s="37">
        <v>10.6</v>
      </c>
      <c r="E4" s="35" t="s">
        <v>74</v>
      </c>
      <c r="F4" s="41" t="s">
        <v>75</v>
      </c>
      <c r="G4" s="42">
        <v>10.465199999999999</v>
      </c>
    </row>
    <row r="5" spans="1:11" ht="15" x14ac:dyDescent="0.25">
      <c r="A5" s="35" t="s">
        <v>76</v>
      </c>
      <c r="B5" s="36" t="s">
        <v>77</v>
      </c>
      <c r="C5" s="43">
        <v>85.177099999999996</v>
      </c>
      <c r="E5" s="221" t="s">
        <v>78</v>
      </c>
      <c r="F5" s="221"/>
      <c r="G5" s="44"/>
    </row>
    <row r="6" spans="1:11" ht="15" x14ac:dyDescent="0.25">
      <c r="A6" s="35" t="s">
        <v>79</v>
      </c>
      <c r="B6" s="36" t="s">
        <v>80</v>
      </c>
      <c r="C6" s="45">
        <v>-0.01</v>
      </c>
      <c r="E6" s="35" t="s">
        <v>81</v>
      </c>
      <c r="F6" s="41" t="s">
        <v>75</v>
      </c>
      <c r="G6" s="44">
        <v>10.402699999999999</v>
      </c>
      <c r="H6" s="13"/>
      <c r="I6" s="46"/>
      <c r="J6" s="46"/>
      <c r="K6" s="46"/>
    </row>
    <row r="7" spans="1:11" ht="15" x14ac:dyDescent="0.25">
      <c r="A7" s="47" t="s">
        <v>82</v>
      </c>
      <c r="B7" s="47" t="s">
        <v>71</v>
      </c>
      <c r="C7" s="47">
        <v>1</v>
      </c>
      <c r="E7" s="35" t="s">
        <v>83</v>
      </c>
      <c r="F7" s="41" t="s">
        <v>75</v>
      </c>
      <c r="G7" s="48">
        <v>10.345000000000001</v>
      </c>
      <c r="H7" s="13"/>
      <c r="I7" s="46"/>
      <c r="J7" s="46"/>
      <c r="K7" s="46"/>
    </row>
    <row r="8" spans="1:11" ht="15" x14ac:dyDescent="0.25">
      <c r="A8" s="35" t="s">
        <v>84</v>
      </c>
      <c r="B8" s="36" t="s">
        <v>71</v>
      </c>
      <c r="C8" s="49">
        <v>1</v>
      </c>
      <c r="E8" s="35" t="s">
        <v>85</v>
      </c>
      <c r="F8" s="41" t="s">
        <v>75</v>
      </c>
      <c r="G8" s="44">
        <v>10.2768</v>
      </c>
    </row>
    <row r="9" spans="1:11" ht="15" x14ac:dyDescent="0.25">
      <c r="A9" s="35" t="s">
        <v>86</v>
      </c>
      <c r="B9" s="36" t="s">
        <v>71</v>
      </c>
      <c r="C9" s="45">
        <v>0.42</v>
      </c>
      <c r="E9" s="35" t="s">
        <v>87</v>
      </c>
      <c r="F9" s="41" t="s">
        <v>75</v>
      </c>
      <c r="G9" s="44">
        <v>10.265000000000001</v>
      </c>
    </row>
    <row r="10" spans="1:11" ht="15" x14ac:dyDescent="0.25">
      <c r="A10" s="35" t="s">
        <v>88</v>
      </c>
      <c r="B10" s="36" t="s">
        <v>80</v>
      </c>
      <c r="C10" s="50">
        <v>3.0000000000000001E-3</v>
      </c>
      <c r="E10" s="221" t="s">
        <v>89</v>
      </c>
      <c r="F10" s="221"/>
      <c r="G10" s="51"/>
    </row>
    <row r="11" spans="1:11" ht="15" x14ac:dyDescent="0.25">
      <c r="A11" s="35" t="s">
        <v>90</v>
      </c>
      <c r="B11" s="36" t="s">
        <v>71</v>
      </c>
      <c r="C11" s="52">
        <v>3.92</v>
      </c>
      <c r="E11" s="35" t="s">
        <v>81</v>
      </c>
      <c r="F11" s="53" t="s">
        <v>91</v>
      </c>
      <c r="G11" s="52">
        <v>0.35060000000000002</v>
      </c>
    </row>
    <row r="12" spans="1:11" ht="15" x14ac:dyDescent="0.25">
      <c r="A12" s="35" t="s">
        <v>92</v>
      </c>
      <c r="B12" s="36" t="s">
        <v>71</v>
      </c>
      <c r="C12" s="54">
        <v>9.6999999999999993</v>
      </c>
      <c r="E12" s="35" t="s">
        <v>83</v>
      </c>
      <c r="F12" s="53" t="s">
        <v>91</v>
      </c>
      <c r="G12" s="55">
        <v>0.18140000000000001</v>
      </c>
    </row>
    <row r="13" spans="1:11" ht="15" x14ac:dyDescent="0.25">
      <c r="A13" s="35" t="s">
        <v>93</v>
      </c>
      <c r="B13" s="36" t="s">
        <v>75</v>
      </c>
      <c r="C13" s="56">
        <v>10.237299999999999</v>
      </c>
      <c r="E13" s="35" t="s">
        <v>85</v>
      </c>
      <c r="F13" s="53" t="s">
        <v>91</v>
      </c>
      <c r="G13" s="55">
        <v>0.1492</v>
      </c>
    </row>
    <row r="14" spans="1:11" ht="15" x14ac:dyDescent="0.25">
      <c r="A14" s="35" t="s">
        <v>94</v>
      </c>
      <c r="B14" s="36" t="s">
        <v>95</v>
      </c>
      <c r="C14" s="49">
        <v>1</v>
      </c>
      <c r="E14" s="35" t="s">
        <v>87</v>
      </c>
      <c r="F14" s="53" t="s">
        <v>91</v>
      </c>
      <c r="G14" s="57">
        <v>3.8000000000000002E-4</v>
      </c>
    </row>
    <row r="15" spans="1:11" ht="15" x14ac:dyDescent="0.25">
      <c r="A15" s="35" t="s">
        <v>96</v>
      </c>
      <c r="B15" s="36" t="s">
        <v>97</v>
      </c>
      <c r="C15" s="49">
        <v>100</v>
      </c>
    </row>
    <row r="16" spans="1:11" ht="15" x14ac:dyDescent="0.25">
      <c r="A16" s="222" t="s">
        <v>98</v>
      </c>
      <c r="B16" s="222"/>
      <c r="C16" s="58"/>
    </row>
    <row r="17" spans="1:8" ht="15" x14ac:dyDescent="0.25">
      <c r="A17" s="35" t="s">
        <v>81</v>
      </c>
      <c r="B17" s="53" t="s">
        <v>97</v>
      </c>
      <c r="C17" s="49">
        <v>300</v>
      </c>
      <c r="E17" s="215" t="s">
        <v>99</v>
      </c>
      <c r="F17" s="215"/>
      <c r="G17" s="215"/>
    </row>
    <row r="18" spans="1:8" ht="15" x14ac:dyDescent="0.25">
      <c r="A18" s="35" t="s">
        <v>83</v>
      </c>
      <c r="B18" s="53" t="s">
        <v>97</v>
      </c>
      <c r="C18" s="49">
        <v>300</v>
      </c>
      <c r="E18" s="59" t="s">
        <v>100</v>
      </c>
      <c r="F18" s="60" t="s">
        <v>101</v>
      </c>
      <c r="G18" s="55">
        <v>5.35</v>
      </c>
    </row>
    <row r="19" spans="1:8" ht="15" x14ac:dyDescent="0.25">
      <c r="A19" s="35" t="s">
        <v>85</v>
      </c>
      <c r="B19" s="53" t="s">
        <v>97</v>
      </c>
      <c r="C19" s="49">
        <v>1300</v>
      </c>
      <c r="E19" s="59" t="s">
        <v>102</v>
      </c>
      <c r="F19" s="53" t="s">
        <v>71</v>
      </c>
      <c r="G19" s="49">
        <v>1</v>
      </c>
    </row>
    <row r="20" spans="1:8" ht="15" x14ac:dyDescent="0.25">
      <c r="A20" s="35" t="s">
        <v>87</v>
      </c>
      <c r="B20" s="53" t="s">
        <v>97</v>
      </c>
      <c r="C20" s="49">
        <v>1800</v>
      </c>
      <c r="E20" s="59" t="s">
        <v>103</v>
      </c>
      <c r="F20" s="53" t="s">
        <v>104</v>
      </c>
      <c r="G20" s="45">
        <v>1.23</v>
      </c>
    </row>
    <row r="21" spans="1:8" ht="15" x14ac:dyDescent="0.25">
      <c r="A21" s="35" t="s">
        <v>105</v>
      </c>
      <c r="B21" s="53" t="s">
        <v>71</v>
      </c>
      <c r="C21" s="49">
        <v>1</v>
      </c>
      <c r="E21" s="59" t="s">
        <v>106</v>
      </c>
      <c r="F21" s="41" t="s">
        <v>91</v>
      </c>
      <c r="G21" s="61">
        <v>2.9</v>
      </c>
    </row>
    <row r="22" spans="1:8" ht="15" x14ac:dyDescent="0.25">
      <c r="A22" s="35" t="s">
        <v>107</v>
      </c>
      <c r="B22" s="53" t="s">
        <v>108</v>
      </c>
      <c r="C22" s="49">
        <v>4400</v>
      </c>
      <c r="E22" s="59" t="s">
        <v>109</v>
      </c>
      <c r="F22" s="41" t="s">
        <v>91</v>
      </c>
      <c r="G22" s="62">
        <f>0.36+0.225</f>
        <v>0.58499999999999996</v>
      </c>
      <c r="H22" s="63"/>
    </row>
    <row r="23" spans="1:8" ht="15" x14ac:dyDescent="0.25">
      <c r="A23" s="35" t="s">
        <v>110</v>
      </c>
      <c r="B23" s="53" t="s">
        <v>91</v>
      </c>
      <c r="C23" s="49">
        <v>5</v>
      </c>
      <c r="E23" s="64" t="s">
        <v>111</v>
      </c>
      <c r="F23" s="65" t="s">
        <v>97</v>
      </c>
      <c r="G23" s="66">
        <v>8.4</v>
      </c>
    </row>
    <row r="24" spans="1:8" ht="15" x14ac:dyDescent="0.25">
      <c r="A24" s="47" t="s">
        <v>112</v>
      </c>
      <c r="B24" s="47" t="s">
        <v>71</v>
      </c>
      <c r="C24" s="47">
        <v>0</v>
      </c>
    </row>
    <row r="25" spans="1:8" ht="15" x14ac:dyDescent="0.25">
      <c r="A25" s="35" t="s">
        <v>113</v>
      </c>
      <c r="B25" s="53" t="s">
        <v>114</v>
      </c>
      <c r="C25" s="67">
        <v>8.0000000000000007E-5</v>
      </c>
      <c r="E25" s="68" t="s">
        <v>115</v>
      </c>
      <c r="F25" s="69" t="s">
        <v>116</v>
      </c>
      <c r="G25" s="70">
        <v>590</v>
      </c>
    </row>
    <row r="26" spans="1:8" ht="15" x14ac:dyDescent="0.25">
      <c r="A26" s="71" t="s">
        <v>117</v>
      </c>
      <c r="B26" s="65" t="s">
        <v>114</v>
      </c>
      <c r="C26" s="72">
        <v>8.0000000000000007E-5</v>
      </c>
      <c r="E26" s="64" t="s">
        <v>118</v>
      </c>
      <c r="F26" s="73" t="s">
        <v>119</v>
      </c>
      <c r="G26" s="74">
        <v>360.3</v>
      </c>
    </row>
    <row r="29" spans="1:8" ht="15" x14ac:dyDescent="0.25">
      <c r="A29" s="216" t="s">
        <v>120</v>
      </c>
      <c r="B29" s="216"/>
      <c r="C29" s="216"/>
      <c r="D29" s="216"/>
    </row>
    <row r="30" spans="1:8" ht="15" x14ac:dyDescent="0.25">
      <c r="A30" s="75" t="s">
        <v>121</v>
      </c>
      <c r="B30" s="69" t="s">
        <v>122</v>
      </c>
      <c r="C30" s="76">
        <v>1726</v>
      </c>
      <c r="D30" s="217" t="s">
        <v>4</v>
      </c>
    </row>
    <row r="31" spans="1:8" ht="15" customHeight="1" x14ac:dyDescent="0.25">
      <c r="A31" s="77" t="s">
        <v>123</v>
      </c>
      <c r="B31" s="36" t="s">
        <v>124</v>
      </c>
      <c r="C31" s="78">
        <v>2213</v>
      </c>
      <c r="D31" s="217"/>
    </row>
    <row r="32" spans="1:8" ht="15" x14ac:dyDescent="0.25">
      <c r="A32" s="77" t="s">
        <v>125</v>
      </c>
      <c r="B32" s="36" t="s">
        <v>126</v>
      </c>
      <c r="C32" s="78">
        <v>50</v>
      </c>
      <c r="D32" s="217"/>
    </row>
    <row r="33" spans="1:4" ht="15" x14ac:dyDescent="0.25">
      <c r="A33" s="79" t="s">
        <v>127</v>
      </c>
      <c r="B33" s="80" t="s">
        <v>126</v>
      </c>
      <c r="C33" s="80">
        <v>0</v>
      </c>
      <c r="D33" s="217"/>
    </row>
    <row r="34" spans="1:4" ht="15" x14ac:dyDescent="0.25">
      <c r="A34" s="77" t="s">
        <v>128</v>
      </c>
      <c r="B34" s="36" t="s">
        <v>91</v>
      </c>
      <c r="C34" s="78">
        <v>1</v>
      </c>
      <c r="D34" s="217"/>
    </row>
    <row r="35" spans="1:4" ht="15" x14ac:dyDescent="0.25">
      <c r="A35" s="77" t="s">
        <v>129</v>
      </c>
      <c r="B35" s="36" t="s">
        <v>95</v>
      </c>
      <c r="C35" s="81">
        <v>8.5</v>
      </c>
      <c r="D35" s="217"/>
    </row>
    <row r="36" spans="1:4" ht="15" x14ac:dyDescent="0.25">
      <c r="A36" s="77" t="s">
        <v>130</v>
      </c>
      <c r="B36" s="36" t="s">
        <v>131</v>
      </c>
      <c r="C36" s="81">
        <v>0.88</v>
      </c>
      <c r="D36" s="217"/>
    </row>
    <row r="37" spans="1:4" ht="15" x14ac:dyDescent="0.25">
      <c r="A37" s="77" t="s">
        <v>132</v>
      </c>
      <c r="B37" s="36" t="s">
        <v>131</v>
      </c>
      <c r="C37" s="81">
        <v>0.08</v>
      </c>
      <c r="D37" s="217"/>
    </row>
    <row r="38" spans="1:4" ht="15" x14ac:dyDescent="0.25">
      <c r="A38" s="82" t="s">
        <v>133</v>
      </c>
      <c r="B38" s="83" t="s">
        <v>126</v>
      </c>
      <c r="C38" s="84">
        <v>1</v>
      </c>
      <c r="D38" s="217"/>
    </row>
    <row r="39" spans="1:4" ht="15" x14ac:dyDescent="0.25">
      <c r="A39" s="75" t="s">
        <v>134</v>
      </c>
      <c r="B39" s="69" t="s">
        <v>135</v>
      </c>
      <c r="C39" s="85">
        <v>11</v>
      </c>
      <c r="D39" s="218" t="s">
        <v>5</v>
      </c>
    </row>
    <row r="40" spans="1:4" ht="15" x14ac:dyDescent="0.25">
      <c r="A40" s="77" t="s">
        <v>136</v>
      </c>
      <c r="B40" s="36" t="s">
        <v>122</v>
      </c>
      <c r="C40" s="86">
        <v>312.3</v>
      </c>
      <c r="D40" s="218"/>
    </row>
    <row r="41" spans="1:4" ht="15" x14ac:dyDescent="0.25">
      <c r="A41" s="82" t="s">
        <v>137</v>
      </c>
      <c r="B41" s="83" t="s">
        <v>138</v>
      </c>
      <c r="C41" s="84">
        <v>117</v>
      </c>
      <c r="D41" s="218"/>
    </row>
    <row r="42" spans="1:4" ht="15" x14ac:dyDescent="0.25">
      <c r="A42" s="75" t="s">
        <v>139</v>
      </c>
      <c r="B42" s="69" t="s">
        <v>140</v>
      </c>
      <c r="C42" s="85">
        <v>76</v>
      </c>
      <c r="D42" s="219" t="s">
        <v>141</v>
      </c>
    </row>
    <row r="43" spans="1:4" ht="15" x14ac:dyDescent="0.25">
      <c r="A43" s="77" t="s">
        <v>142</v>
      </c>
      <c r="B43" s="36" t="s">
        <v>138</v>
      </c>
      <c r="C43" s="78">
        <v>50000</v>
      </c>
      <c r="D43" s="219"/>
    </row>
    <row r="44" spans="1:4" ht="15" x14ac:dyDescent="0.25">
      <c r="A44" s="77" t="s">
        <v>143</v>
      </c>
      <c r="B44" s="36" t="s">
        <v>140</v>
      </c>
      <c r="C44" s="78">
        <v>40</v>
      </c>
      <c r="D44" s="219"/>
    </row>
    <row r="45" spans="1:4" ht="15" x14ac:dyDescent="0.25">
      <c r="A45" s="82" t="s">
        <v>144</v>
      </c>
      <c r="B45" s="83" t="s">
        <v>145</v>
      </c>
      <c r="C45" s="87">
        <v>0.09</v>
      </c>
      <c r="D45" s="219"/>
    </row>
    <row r="46" spans="1:4" ht="15" x14ac:dyDescent="0.25">
      <c r="A46" s="75" t="s">
        <v>146</v>
      </c>
      <c r="B46" s="69" t="s">
        <v>140</v>
      </c>
      <c r="C46" s="88">
        <v>3.47</v>
      </c>
      <c r="D46" s="211" t="s">
        <v>7</v>
      </c>
    </row>
    <row r="47" spans="1:4" ht="15" x14ac:dyDescent="0.25">
      <c r="A47" s="77" t="s">
        <v>147</v>
      </c>
      <c r="B47" s="36" t="s">
        <v>138</v>
      </c>
      <c r="C47" s="78">
        <v>3200</v>
      </c>
      <c r="D47" s="211"/>
    </row>
    <row r="48" spans="1:4" ht="15" x14ac:dyDescent="0.25">
      <c r="A48" s="77" t="s">
        <v>148</v>
      </c>
      <c r="B48" s="36" t="s">
        <v>140</v>
      </c>
      <c r="C48" s="78">
        <v>0</v>
      </c>
      <c r="D48" s="211"/>
    </row>
    <row r="49" spans="1:4" ht="15" x14ac:dyDescent="0.25">
      <c r="A49" s="89" t="s">
        <v>149</v>
      </c>
      <c r="B49" s="90" t="s">
        <v>145</v>
      </c>
      <c r="C49" s="91">
        <v>0.56999999999999995</v>
      </c>
      <c r="D49" s="211"/>
    </row>
    <row r="50" spans="1:4" ht="15" x14ac:dyDescent="0.25">
      <c r="A50" s="92" t="s">
        <v>150</v>
      </c>
      <c r="B50" s="93" t="s">
        <v>151</v>
      </c>
      <c r="C50" s="94" t="s">
        <v>152</v>
      </c>
      <c r="D50" s="95" t="s">
        <v>153</v>
      </c>
    </row>
    <row r="51" spans="1:4" ht="15" x14ac:dyDescent="0.25">
      <c r="A51" s="96" t="s">
        <v>154</v>
      </c>
      <c r="B51" s="36" t="s">
        <v>140</v>
      </c>
      <c r="C51" s="81" t="s">
        <v>138</v>
      </c>
      <c r="D51" s="44" t="s">
        <v>145</v>
      </c>
    </row>
    <row r="52" spans="1:4" ht="15" customHeight="1" x14ac:dyDescent="0.25">
      <c r="A52" s="97" t="s">
        <v>8</v>
      </c>
      <c r="B52" s="81">
        <v>1.67</v>
      </c>
      <c r="C52" s="86">
        <v>13.4</v>
      </c>
      <c r="D52" s="45">
        <v>0.19</v>
      </c>
    </row>
    <row r="53" spans="1:4" ht="15" x14ac:dyDescent="0.25">
      <c r="A53" s="97" t="s">
        <v>9</v>
      </c>
      <c r="B53" s="86">
        <v>11.5</v>
      </c>
      <c r="C53" s="78">
        <v>222</v>
      </c>
      <c r="D53" s="45">
        <v>0.18</v>
      </c>
    </row>
    <row r="54" spans="1:4" ht="15" x14ac:dyDescent="0.25">
      <c r="A54" s="97" t="s">
        <v>10</v>
      </c>
      <c r="B54" s="78">
        <v>0</v>
      </c>
      <c r="C54" s="86">
        <v>5.2</v>
      </c>
      <c r="D54" s="45">
        <v>0.11</v>
      </c>
    </row>
    <row r="55" spans="1:4" ht="15" x14ac:dyDescent="0.25">
      <c r="A55" s="97" t="s">
        <v>11</v>
      </c>
      <c r="B55" s="78">
        <v>0</v>
      </c>
      <c r="C55" s="86">
        <v>28.2</v>
      </c>
      <c r="D55" s="45">
        <v>0.23</v>
      </c>
    </row>
    <row r="56" spans="1:4" ht="15.75" customHeight="1" x14ac:dyDescent="0.25">
      <c r="A56" s="97" t="s">
        <v>12</v>
      </c>
      <c r="B56" s="78">
        <v>0</v>
      </c>
      <c r="C56" s="86">
        <v>47.1</v>
      </c>
      <c r="D56" s="45">
        <v>0.16</v>
      </c>
    </row>
    <row r="57" spans="1:4" ht="15" x14ac:dyDescent="0.25">
      <c r="A57" s="97" t="s">
        <v>13</v>
      </c>
      <c r="B57" s="78">
        <v>0</v>
      </c>
      <c r="C57" s="86">
        <v>1.5</v>
      </c>
      <c r="D57" s="45">
        <v>0.1</v>
      </c>
    </row>
    <row r="58" spans="1:4" ht="15" x14ac:dyDescent="0.25">
      <c r="A58" s="97" t="s">
        <v>14</v>
      </c>
      <c r="B58" s="78">
        <v>0</v>
      </c>
      <c r="C58" s="86">
        <v>38.9</v>
      </c>
      <c r="D58" s="45">
        <v>0.26</v>
      </c>
    </row>
    <row r="59" spans="1:4" ht="15" x14ac:dyDescent="0.25">
      <c r="A59" s="97" t="s">
        <v>15</v>
      </c>
      <c r="B59" s="78">
        <v>0</v>
      </c>
      <c r="C59" s="86">
        <v>6.5</v>
      </c>
      <c r="D59" s="45">
        <v>0.24</v>
      </c>
    </row>
    <row r="60" spans="1:4" ht="15" x14ac:dyDescent="0.25">
      <c r="A60" s="98" t="s">
        <v>16</v>
      </c>
      <c r="B60" s="84">
        <v>0</v>
      </c>
      <c r="C60" s="99">
        <v>16.100000000000001</v>
      </c>
      <c r="D60" s="100">
        <v>0.42</v>
      </c>
    </row>
    <row r="61" spans="1:4" ht="15" x14ac:dyDescent="0.25">
      <c r="A61" s="101" t="s">
        <v>155</v>
      </c>
      <c r="B61" s="53" t="s">
        <v>140</v>
      </c>
      <c r="C61" s="78">
        <v>0</v>
      </c>
    </row>
    <row r="64" spans="1:4" ht="15" x14ac:dyDescent="0.25">
      <c r="A64" s="212" t="s">
        <v>156</v>
      </c>
      <c r="B64" s="212"/>
      <c r="C64" s="212"/>
    </row>
    <row r="65" spans="1:36" ht="15" x14ac:dyDescent="0.25">
      <c r="A65" s="77" t="s">
        <v>157</v>
      </c>
      <c r="B65" s="53" t="s">
        <v>158</v>
      </c>
      <c r="C65" s="102">
        <v>2200</v>
      </c>
    </row>
    <row r="66" spans="1:36" ht="15" x14ac:dyDescent="0.25">
      <c r="A66" s="103" t="s">
        <v>159</v>
      </c>
      <c r="B66" s="104"/>
      <c r="C66" s="58"/>
    </row>
    <row r="67" spans="1:36" ht="15" x14ac:dyDescent="0.25">
      <c r="A67" s="77" t="s">
        <v>160</v>
      </c>
      <c r="B67" s="53" t="s">
        <v>101</v>
      </c>
      <c r="C67" s="50">
        <v>3.5999999999999997E-2</v>
      </c>
    </row>
    <row r="68" spans="1:36" ht="15" x14ac:dyDescent="0.25">
      <c r="A68" s="77" t="s">
        <v>161</v>
      </c>
      <c r="B68" s="53" t="s">
        <v>162</v>
      </c>
      <c r="C68" s="49">
        <v>722</v>
      </c>
    </row>
    <row r="69" spans="1:36" ht="15" x14ac:dyDescent="0.25">
      <c r="A69" s="77" t="s">
        <v>163</v>
      </c>
      <c r="B69" s="53" t="s">
        <v>164</v>
      </c>
      <c r="C69" s="49">
        <v>1</v>
      </c>
    </row>
    <row r="70" spans="1:36" ht="15" x14ac:dyDescent="0.25">
      <c r="A70" s="77" t="s">
        <v>165</v>
      </c>
      <c r="B70" s="53" t="s">
        <v>162</v>
      </c>
      <c r="C70" s="49">
        <v>270</v>
      </c>
    </row>
    <row r="71" spans="1:36" ht="15" x14ac:dyDescent="0.25">
      <c r="A71" s="77" t="s">
        <v>166</v>
      </c>
      <c r="B71" s="53" t="s">
        <v>101</v>
      </c>
      <c r="C71" s="45">
        <v>0.47</v>
      </c>
    </row>
    <row r="72" spans="1:36" ht="15" x14ac:dyDescent="0.25">
      <c r="A72" s="77" t="s">
        <v>167</v>
      </c>
      <c r="B72" s="53" t="s">
        <v>71</v>
      </c>
      <c r="C72" s="105">
        <v>2.0100000000000001E-5</v>
      </c>
    </row>
    <row r="73" spans="1:36" ht="15" x14ac:dyDescent="0.25">
      <c r="A73" s="77" t="s">
        <v>168</v>
      </c>
      <c r="B73" s="53" t="s">
        <v>71</v>
      </c>
      <c r="C73" s="105">
        <v>5.3099999999999999E-15</v>
      </c>
    </row>
    <row r="74" spans="1:36" ht="15" x14ac:dyDescent="0.25">
      <c r="A74" s="77" t="s">
        <v>169</v>
      </c>
      <c r="B74" s="53" t="s">
        <v>71</v>
      </c>
      <c r="C74" s="106">
        <v>0.75</v>
      </c>
    </row>
    <row r="75" spans="1:36" ht="15" x14ac:dyDescent="0.25">
      <c r="A75" s="77" t="s">
        <v>170</v>
      </c>
      <c r="B75" s="53" t="s">
        <v>71</v>
      </c>
      <c r="C75" s="106">
        <v>1.52</v>
      </c>
    </row>
    <row r="76" spans="1:36" ht="15" x14ac:dyDescent="0.25">
      <c r="A76" s="82" t="s">
        <v>171</v>
      </c>
      <c r="B76" s="65" t="s">
        <v>101</v>
      </c>
      <c r="C76" s="107">
        <v>0.12</v>
      </c>
    </row>
    <row r="78" spans="1:36" ht="15" x14ac:dyDescent="0.25">
      <c r="A78" s="108" t="s">
        <v>67</v>
      </c>
      <c r="B78" s="109"/>
      <c r="C78" s="110">
        <v>1995</v>
      </c>
      <c r="D78" s="110">
        <v>1996</v>
      </c>
      <c r="E78" s="110">
        <v>1997</v>
      </c>
      <c r="F78" s="110">
        <v>1998</v>
      </c>
      <c r="G78" s="110">
        <v>1999</v>
      </c>
      <c r="H78" s="110">
        <v>2000</v>
      </c>
      <c r="I78" s="110">
        <v>2001</v>
      </c>
      <c r="J78" s="110">
        <v>2002</v>
      </c>
      <c r="K78" s="110">
        <v>2003</v>
      </c>
      <c r="L78" s="110">
        <v>2004</v>
      </c>
      <c r="M78" s="110">
        <v>2005</v>
      </c>
      <c r="N78" s="110">
        <v>2006</v>
      </c>
      <c r="O78" s="110">
        <v>2007</v>
      </c>
      <c r="P78" s="110">
        <v>2008</v>
      </c>
      <c r="Q78" s="110">
        <v>2009</v>
      </c>
      <c r="R78" s="110">
        <v>2010</v>
      </c>
      <c r="S78" s="110">
        <v>2015</v>
      </c>
      <c r="T78" s="110">
        <v>2020</v>
      </c>
      <c r="U78" s="110">
        <v>2025</v>
      </c>
      <c r="V78" s="110">
        <v>2030</v>
      </c>
      <c r="W78" s="110">
        <v>2035</v>
      </c>
      <c r="X78" s="110">
        <v>2040</v>
      </c>
      <c r="Y78" s="110">
        <v>2045</v>
      </c>
      <c r="Z78" s="110">
        <v>2050</v>
      </c>
      <c r="AA78" s="110">
        <v>2055</v>
      </c>
      <c r="AB78" s="110">
        <v>2060</v>
      </c>
      <c r="AC78" s="110">
        <v>2065</v>
      </c>
      <c r="AD78" s="110">
        <v>2070</v>
      </c>
      <c r="AE78" s="110">
        <v>2075</v>
      </c>
      <c r="AF78" s="110">
        <v>2080</v>
      </c>
      <c r="AG78" s="110">
        <v>2085</v>
      </c>
      <c r="AH78" s="110">
        <v>2090</v>
      </c>
      <c r="AI78" s="110">
        <v>2095</v>
      </c>
      <c r="AJ78" s="110">
        <v>2100</v>
      </c>
    </row>
    <row r="79" spans="1:36" ht="15" x14ac:dyDescent="0.25">
      <c r="A79" s="59" t="s">
        <v>172</v>
      </c>
      <c r="B79" s="36" t="s">
        <v>101</v>
      </c>
      <c r="C79" s="111">
        <v>0.31796079999999999</v>
      </c>
      <c r="D79" s="111">
        <v>0.32052249999999999</v>
      </c>
      <c r="E79" s="111">
        <v>0.32208290000000001</v>
      </c>
      <c r="F79" s="111">
        <v>0.32290990000000003</v>
      </c>
      <c r="G79" s="111">
        <v>0.32416929999999999</v>
      </c>
      <c r="H79" s="111">
        <v>0.32495350000000001</v>
      </c>
      <c r="I79" s="111">
        <v>0.32570690000000002</v>
      </c>
      <c r="J79" s="111">
        <v>0.32634299999999999</v>
      </c>
      <c r="K79" s="111">
        <v>0.32621460000000002</v>
      </c>
      <c r="L79" s="111">
        <v>0.32629449999999999</v>
      </c>
      <c r="M79" s="111">
        <v>0.32596910000000001</v>
      </c>
      <c r="N79" s="111">
        <v>0.3249552</v>
      </c>
      <c r="O79" s="111">
        <v>0.32407760000000002</v>
      </c>
      <c r="P79" s="111">
        <v>0.32315310000000003</v>
      </c>
      <c r="Q79" s="111">
        <v>0.32227410000000001</v>
      </c>
      <c r="R79" s="111">
        <v>0.32141789999999998</v>
      </c>
      <c r="S79" s="111">
        <v>0.31670500000000001</v>
      </c>
      <c r="T79" s="111">
        <v>0.31125580000000003</v>
      </c>
      <c r="U79" s="111">
        <v>0.30478420000000001</v>
      </c>
      <c r="V79" s="111">
        <v>0.29713299999999998</v>
      </c>
      <c r="W79" s="111">
        <v>0.28709869999999998</v>
      </c>
      <c r="X79" s="111">
        <v>0.26998349999999999</v>
      </c>
      <c r="Y79" s="111">
        <v>0.24620710000000001</v>
      </c>
      <c r="Z79" s="111">
        <v>0.22189700000000001</v>
      </c>
      <c r="AA79" s="111">
        <v>0.20014000000000001</v>
      </c>
      <c r="AB79" s="111">
        <v>0.18160000000000001</v>
      </c>
      <c r="AC79" s="111">
        <v>0.16608999999999999</v>
      </c>
      <c r="AD79" s="111">
        <v>0.153</v>
      </c>
      <c r="AE79" s="111">
        <v>0.14193</v>
      </c>
      <c r="AF79" s="111">
        <v>0.13231999999999999</v>
      </c>
      <c r="AG79" s="111">
        <v>0.124</v>
      </c>
      <c r="AH79" s="111">
        <v>0.11652999999999999</v>
      </c>
      <c r="AI79" s="111">
        <v>0.10983</v>
      </c>
      <c r="AJ79" s="111">
        <v>0.10374</v>
      </c>
    </row>
    <row r="80" spans="1:36" ht="15" x14ac:dyDescent="0.25">
      <c r="A80" s="112"/>
      <c r="B80" s="2"/>
      <c r="C80" s="113"/>
      <c r="D80" s="113"/>
      <c r="E80" s="113"/>
      <c r="F80" s="113"/>
      <c r="G80" s="113"/>
      <c r="H80" s="113"/>
      <c r="I80" s="113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16" ht="15" x14ac:dyDescent="0.25">
      <c r="A81" s="108" t="s">
        <v>67</v>
      </c>
      <c r="B81" s="114"/>
      <c r="C81" s="110">
        <v>1995</v>
      </c>
      <c r="D81" s="115">
        <v>2000</v>
      </c>
      <c r="E81" s="115">
        <v>2005</v>
      </c>
      <c r="F81" s="115">
        <v>2010</v>
      </c>
    </row>
    <row r="82" spans="1:16" ht="15" x14ac:dyDescent="0.25">
      <c r="A82" s="59" t="s">
        <v>173</v>
      </c>
      <c r="B82" s="36" t="s">
        <v>101</v>
      </c>
      <c r="C82" s="116">
        <v>-0.71709999999999996</v>
      </c>
      <c r="D82" s="117">
        <v>-0.98099999999999998</v>
      </c>
      <c r="E82" s="117">
        <v>-0.96599999999999997</v>
      </c>
      <c r="F82" s="117">
        <v>-0.89600000000000002</v>
      </c>
    </row>
    <row r="84" spans="1:16" ht="15" x14ac:dyDescent="0.25">
      <c r="A84" s="108" t="s">
        <v>67</v>
      </c>
      <c r="B84" s="114"/>
      <c r="C84" s="110">
        <v>2010</v>
      </c>
      <c r="D84" s="110">
        <v>2020</v>
      </c>
      <c r="E84" s="110">
        <v>2030</v>
      </c>
      <c r="F84" s="110">
        <v>2040</v>
      </c>
      <c r="G84" s="110">
        <v>2050</v>
      </c>
      <c r="H84" s="110">
        <v>2060</v>
      </c>
      <c r="I84" s="110">
        <v>2070</v>
      </c>
      <c r="J84" s="110">
        <v>2080</v>
      </c>
      <c r="K84" s="110">
        <v>2090</v>
      </c>
      <c r="L84" s="110">
        <v>2100</v>
      </c>
    </row>
    <row r="85" spans="1:16" ht="15" customHeight="1" x14ac:dyDescent="0.25">
      <c r="A85" s="59" t="s">
        <v>174</v>
      </c>
      <c r="B85" s="213" t="s">
        <v>101</v>
      </c>
      <c r="C85" s="116">
        <v>-0.71687999999999996</v>
      </c>
      <c r="D85" s="116">
        <v>-0.57694000000000001</v>
      </c>
      <c r="E85" s="116">
        <v>-0.48852000000000001</v>
      </c>
      <c r="F85" s="116">
        <v>-0.42674000000000001</v>
      </c>
      <c r="G85" s="116">
        <v>-0.41276000000000002</v>
      </c>
      <c r="H85" s="116">
        <v>-0.43195</v>
      </c>
      <c r="I85" s="116">
        <v>-0.41792000000000001</v>
      </c>
      <c r="J85" s="116">
        <v>-0.38228000000000001</v>
      </c>
      <c r="K85" s="116">
        <v>-0.35316999999999998</v>
      </c>
      <c r="L85" s="116">
        <v>-0.32284000000000002</v>
      </c>
    </row>
    <row r="86" spans="1:16" ht="15" x14ac:dyDescent="0.25">
      <c r="A86" s="59" t="s">
        <v>175</v>
      </c>
      <c r="B86" s="213"/>
      <c r="C86" s="116">
        <v>-0.71328999999999998</v>
      </c>
      <c r="D86" s="116">
        <v>-0.60463</v>
      </c>
      <c r="E86" s="116">
        <v>-0.51849000000000001</v>
      </c>
      <c r="F86" s="116">
        <v>-0.43097000000000002</v>
      </c>
      <c r="G86" s="116">
        <v>-0.34355999999999998</v>
      </c>
      <c r="H86" s="116">
        <v>-0.29632999999999998</v>
      </c>
      <c r="I86" s="116">
        <v>-0.25668999999999997</v>
      </c>
      <c r="J86" s="116">
        <v>-0.22572999999999999</v>
      </c>
      <c r="K86" s="116">
        <v>-0.22653000000000001</v>
      </c>
      <c r="L86" s="116">
        <v>-0.22386</v>
      </c>
    </row>
    <row r="87" spans="1:16" ht="15" x14ac:dyDescent="0.25">
      <c r="A87" s="59" t="s">
        <v>176</v>
      </c>
      <c r="B87" s="213"/>
      <c r="C87" s="116">
        <v>-0.75124999999999997</v>
      </c>
      <c r="D87" s="116">
        <v>-0.67084999999999995</v>
      </c>
      <c r="E87" s="116">
        <v>-0.57269999999999999</v>
      </c>
      <c r="F87" s="116">
        <v>-0.57465999999999995</v>
      </c>
      <c r="G87" s="116">
        <v>-0.52115</v>
      </c>
      <c r="H87" s="116">
        <v>-0.50936000000000003</v>
      </c>
      <c r="I87" s="116">
        <v>-0.38629999999999998</v>
      </c>
      <c r="J87" s="116">
        <v>-0.32024000000000002</v>
      </c>
      <c r="K87" s="116">
        <v>-0.32242999999999999</v>
      </c>
      <c r="L87" s="116">
        <v>-0.32754</v>
      </c>
    </row>
    <row r="88" spans="1:16" ht="15" x14ac:dyDescent="0.25">
      <c r="A88" s="59" t="s">
        <v>177</v>
      </c>
      <c r="B88" s="213"/>
      <c r="C88" s="116">
        <v>-0.69615000000000005</v>
      </c>
      <c r="D88" s="116">
        <v>-0.6482</v>
      </c>
      <c r="E88" s="116">
        <v>-0.57291999999999998</v>
      </c>
      <c r="F88" s="116">
        <v>-0.45195000000000002</v>
      </c>
      <c r="G88" s="116">
        <v>-0.34149000000000002</v>
      </c>
      <c r="H88" s="116">
        <v>-0.27417999999999998</v>
      </c>
      <c r="I88" s="116">
        <v>-0.22592999999999999</v>
      </c>
      <c r="J88" s="116">
        <v>-0.18895000000000001</v>
      </c>
      <c r="K88" s="116">
        <v>-0.12128</v>
      </c>
      <c r="L88" s="116">
        <v>-8.8349999999999998E-2</v>
      </c>
    </row>
    <row r="90" spans="1:16" ht="15" x14ac:dyDescent="0.25">
      <c r="A90" s="101" t="s">
        <v>178</v>
      </c>
      <c r="B90" s="53" t="s">
        <v>95</v>
      </c>
      <c r="C90" s="118">
        <v>2010</v>
      </c>
    </row>
    <row r="91" spans="1:16" ht="15" x14ac:dyDescent="0.25">
      <c r="A91" s="101" t="s">
        <v>179</v>
      </c>
      <c r="B91" s="36" t="s">
        <v>101</v>
      </c>
      <c r="C91" s="119">
        <v>-0.3</v>
      </c>
    </row>
    <row r="94" spans="1:16" ht="15" x14ac:dyDescent="0.25">
      <c r="A94" s="120" t="s">
        <v>180</v>
      </c>
      <c r="B94" s="121"/>
      <c r="C94" s="121"/>
      <c r="D94" s="122">
        <v>1990</v>
      </c>
      <c r="E94" s="122">
        <v>2000</v>
      </c>
      <c r="F94" s="122">
        <v>2005</v>
      </c>
      <c r="G94" s="122">
        <v>2010</v>
      </c>
      <c r="H94" s="122">
        <v>2020</v>
      </c>
      <c r="I94" s="122">
        <v>2030</v>
      </c>
      <c r="J94" s="122">
        <v>2040</v>
      </c>
      <c r="K94" s="122">
        <v>2050</v>
      </c>
      <c r="L94" s="122">
        <v>2060</v>
      </c>
      <c r="M94" s="122">
        <v>2070</v>
      </c>
      <c r="N94" s="122">
        <v>2080</v>
      </c>
      <c r="O94" s="122">
        <v>2090</v>
      </c>
      <c r="P94" s="122">
        <v>2100</v>
      </c>
    </row>
    <row r="95" spans="1:16" ht="15.75" customHeight="1" x14ac:dyDescent="0.25">
      <c r="A95" s="214" t="s">
        <v>181</v>
      </c>
      <c r="B95" s="207" t="s">
        <v>135</v>
      </c>
      <c r="C95" s="123" t="s">
        <v>182</v>
      </c>
      <c r="D95" s="124">
        <v>226.47981999999999</v>
      </c>
      <c r="E95" s="125">
        <v>229.35242</v>
      </c>
      <c r="F95" s="126">
        <v>231.19311999999999</v>
      </c>
      <c r="G95" s="126">
        <v>242.67688000000001</v>
      </c>
      <c r="H95" s="127">
        <v>208.74520000000001</v>
      </c>
      <c r="I95" s="127">
        <v>197.15809999999999</v>
      </c>
      <c r="J95" s="127">
        <v>187.833</v>
      </c>
      <c r="K95" s="127">
        <v>158.7792</v>
      </c>
      <c r="L95" s="127">
        <v>152.2405</v>
      </c>
      <c r="M95" s="127">
        <v>146.4999</v>
      </c>
      <c r="N95" s="127">
        <v>140.87690000000001</v>
      </c>
      <c r="O95" s="127">
        <v>135.1028</v>
      </c>
      <c r="P95" s="128">
        <v>130.44239999999999</v>
      </c>
    </row>
    <row r="96" spans="1:16" ht="15" x14ac:dyDescent="0.25">
      <c r="A96" s="214"/>
      <c r="B96" s="207"/>
      <c r="C96" s="19" t="s">
        <v>183</v>
      </c>
      <c r="D96" s="129">
        <v>226.47981999999999</v>
      </c>
      <c r="E96" s="117">
        <v>229.24152000000001</v>
      </c>
      <c r="F96" s="130">
        <v>232.26423</v>
      </c>
      <c r="G96" s="130">
        <v>238.28172000000001</v>
      </c>
      <c r="H96" s="111">
        <v>250.32929999999999</v>
      </c>
      <c r="I96" s="111">
        <v>255.85820000000001</v>
      </c>
      <c r="J96" s="111">
        <v>257.06959999999998</v>
      </c>
      <c r="K96" s="111">
        <v>253.9631</v>
      </c>
      <c r="L96" s="111">
        <v>245.01259999999999</v>
      </c>
      <c r="M96" s="111">
        <v>233.67349999999999</v>
      </c>
      <c r="N96" s="111">
        <v>219.9503</v>
      </c>
      <c r="O96" s="111">
        <v>213.96870000000001</v>
      </c>
      <c r="P96" s="48">
        <v>207.98699999999999</v>
      </c>
    </row>
    <row r="97" spans="1:16" ht="15" x14ac:dyDescent="0.25">
      <c r="A97" s="214"/>
      <c r="B97" s="207"/>
      <c r="C97" s="19" t="s">
        <v>184</v>
      </c>
      <c r="D97" s="129">
        <v>226.47981999999999</v>
      </c>
      <c r="E97" s="117">
        <v>229.27951999999999</v>
      </c>
      <c r="F97" s="130">
        <v>240.16632000000001</v>
      </c>
      <c r="G97" s="130">
        <v>247.16665</v>
      </c>
      <c r="H97" s="111">
        <v>237.88229999999999</v>
      </c>
      <c r="I97" s="111">
        <v>247.30070000000001</v>
      </c>
      <c r="J97" s="111">
        <v>255.6114</v>
      </c>
      <c r="K97" s="111">
        <v>261.32069999999999</v>
      </c>
      <c r="L97" s="111">
        <v>268.9658</v>
      </c>
      <c r="M97" s="111">
        <v>276.25319999999999</v>
      </c>
      <c r="N97" s="111">
        <v>269.48829999999998</v>
      </c>
      <c r="O97" s="111">
        <v>228.5847</v>
      </c>
      <c r="P97" s="48">
        <v>210.3058</v>
      </c>
    </row>
    <row r="98" spans="1:16" ht="15" x14ac:dyDescent="0.25">
      <c r="A98" s="214"/>
      <c r="B98" s="207"/>
      <c r="C98" s="131" t="s">
        <v>185</v>
      </c>
      <c r="D98" s="132">
        <v>226.47981999999999</v>
      </c>
      <c r="E98" s="133">
        <v>229.27932000000001</v>
      </c>
      <c r="F98" s="134">
        <v>250.01142999999999</v>
      </c>
      <c r="G98" s="134">
        <v>269.93085000000002</v>
      </c>
      <c r="H98" s="135">
        <v>312.29300000000001</v>
      </c>
      <c r="I98" s="135">
        <v>355.548</v>
      </c>
      <c r="J98" s="135">
        <v>408.22899999999998</v>
      </c>
      <c r="K98" s="135">
        <v>464.02100000000002</v>
      </c>
      <c r="L98" s="135">
        <v>503.03</v>
      </c>
      <c r="M98" s="135">
        <v>527.51499999999999</v>
      </c>
      <c r="N98" s="135">
        <v>547.77200000000005</v>
      </c>
      <c r="O98" s="135">
        <v>559.51800000000003</v>
      </c>
      <c r="P98" s="136">
        <v>558.01499999999999</v>
      </c>
    </row>
    <row r="99" spans="1:16" ht="15.75" customHeight="1" x14ac:dyDescent="0.25">
      <c r="A99" s="206" t="s">
        <v>186</v>
      </c>
      <c r="B99" s="207" t="s">
        <v>187</v>
      </c>
      <c r="C99" s="123" t="s">
        <v>182</v>
      </c>
      <c r="D99" s="127">
        <f>11.92*(28/44)</f>
        <v>7.585454545454545</v>
      </c>
      <c r="E99" s="125">
        <f>11.718*(28/44)</f>
        <v>7.4569090909090905</v>
      </c>
      <c r="F99" s="137">
        <f>12.075*(28/44)</f>
        <v>7.6840909090909086</v>
      </c>
      <c r="G99" s="137">
        <v>7.8380018181818203</v>
      </c>
      <c r="H99" s="137">
        <v>7.3632999999999997</v>
      </c>
      <c r="I99" s="137">
        <v>7.30500272727273</v>
      </c>
      <c r="J99" s="137">
        <v>7.1772018181818202</v>
      </c>
      <c r="K99" s="137">
        <v>6.2466027272727302</v>
      </c>
      <c r="L99" s="137">
        <v>5.7181027272727301</v>
      </c>
      <c r="M99" s="137">
        <v>5.7411009090909104</v>
      </c>
      <c r="N99" s="137">
        <v>5.6134018181818197</v>
      </c>
      <c r="O99" s="137">
        <v>5.4607000000000001</v>
      </c>
      <c r="P99" s="138">
        <v>5.2823018181818204</v>
      </c>
    </row>
    <row r="100" spans="1:16" ht="15" x14ac:dyDescent="0.25">
      <c r="A100" s="206"/>
      <c r="B100" s="207"/>
      <c r="C100" s="19" t="s">
        <v>183</v>
      </c>
      <c r="D100" s="111">
        <f>11.92*(28/44)</f>
        <v>7.585454545454545</v>
      </c>
      <c r="E100" s="117">
        <f>11.718*(28/44)</f>
        <v>7.4569090909090905</v>
      </c>
      <c r="F100" s="139">
        <f>12.075*(28/44)</f>
        <v>7.6840909090909086</v>
      </c>
      <c r="G100" s="139">
        <v>7.8681972727272704</v>
      </c>
      <c r="H100" s="139">
        <v>8.2353027272727299</v>
      </c>
      <c r="I100" s="139">
        <v>8.5717990909090904</v>
      </c>
      <c r="J100" s="139">
        <v>8.6886990909090898</v>
      </c>
      <c r="K100" s="139">
        <v>8.5883000000000003</v>
      </c>
      <c r="L100" s="139">
        <v>8.5063999999999993</v>
      </c>
      <c r="M100" s="139">
        <v>8.3592981818181809</v>
      </c>
      <c r="N100" s="139">
        <v>8.1467972727272695</v>
      </c>
      <c r="O100" s="139">
        <v>8.1292972727272694</v>
      </c>
      <c r="P100" s="140">
        <v>8.1117018181818192</v>
      </c>
    </row>
    <row r="101" spans="1:16" ht="15" x14ac:dyDescent="0.25">
      <c r="A101" s="206"/>
      <c r="B101" s="207"/>
      <c r="C101" s="19" t="s">
        <v>184</v>
      </c>
      <c r="D101" s="111">
        <f>11.92*(28/44)</f>
        <v>7.585454545454545</v>
      </c>
      <c r="E101" s="117">
        <f>11.718*(28/44)</f>
        <v>7.4569090909090905</v>
      </c>
      <c r="F101" s="139">
        <f>12.075*(28/44)</f>
        <v>7.6840909090909086</v>
      </c>
      <c r="G101" s="117">
        <v>8.1853990909090903</v>
      </c>
      <c r="H101" s="117">
        <v>7.9295999999999998</v>
      </c>
      <c r="I101" s="117">
        <v>8.8178999999999998</v>
      </c>
      <c r="J101" s="117">
        <v>9.7283009090909101</v>
      </c>
      <c r="K101" s="117">
        <v>10.537100000000001</v>
      </c>
      <c r="L101" s="117">
        <v>11.361101818181799</v>
      </c>
      <c r="M101" s="117">
        <v>12.0311990909091</v>
      </c>
      <c r="N101" s="117">
        <v>12.3625027272727</v>
      </c>
      <c r="O101" s="117">
        <v>12.359702727272699</v>
      </c>
      <c r="P101" s="141">
        <v>12.2700009090909</v>
      </c>
    </row>
    <row r="102" spans="1:16" ht="15" x14ac:dyDescent="0.25">
      <c r="A102" s="206"/>
      <c r="B102" s="207"/>
      <c r="C102" s="131" t="s">
        <v>185</v>
      </c>
      <c r="D102" s="135">
        <f>11.92*(28/44)</f>
        <v>7.585454545454545</v>
      </c>
      <c r="E102" s="133">
        <f>11.718*(28/44)</f>
        <v>7.4569090909090905</v>
      </c>
      <c r="F102" s="142">
        <f>12.075*(28/44)</f>
        <v>7.6840909090909086</v>
      </c>
      <c r="G102" s="142">
        <v>8.1527027272727306</v>
      </c>
      <c r="H102" s="142">
        <v>9.5552990909090898</v>
      </c>
      <c r="I102" s="142">
        <v>10.7788990909091</v>
      </c>
      <c r="J102" s="142">
        <v>12.0281</v>
      </c>
      <c r="K102" s="142">
        <v>12.795898181818201</v>
      </c>
      <c r="L102" s="142">
        <v>13.421602727272701</v>
      </c>
      <c r="M102" s="142">
        <v>13.940200909090899</v>
      </c>
      <c r="N102" s="142">
        <v>14.5586</v>
      </c>
      <c r="O102" s="142">
        <v>15.292702727272699</v>
      </c>
      <c r="P102" s="143">
        <v>15.775600909090899</v>
      </c>
    </row>
    <row r="103" spans="1:16" ht="15" x14ac:dyDescent="0.25">
      <c r="A103" s="208" t="s">
        <v>188</v>
      </c>
      <c r="B103" s="209" t="s">
        <v>189</v>
      </c>
      <c r="C103" s="123" t="s">
        <v>182</v>
      </c>
      <c r="D103" s="144">
        <v>11997.68</v>
      </c>
      <c r="E103" s="145">
        <v>12000.1</v>
      </c>
      <c r="F103" s="146">
        <v>11605.9</v>
      </c>
      <c r="G103" s="144">
        <v>1491.67</v>
      </c>
      <c r="H103" s="144">
        <v>1221.68</v>
      </c>
      <c r="I103" s="144">
        <v>669.49</v>
      </c>
      <c r="J103" s="144">
        <v>505.22</v>
      </c>
      <c r="K103" s="144">
        <v>263.85000000000002</v>
      </c>
      <c r="L103" s="144">
        <v>217.6</v>
      </c>
      <c r="M103" s="144">
        <v>213.77</v>
      </c>
      <c r="N103" s="144">
        <v>144.4</v>
      </c>
      <c r="O103" s="144">
        <v>119.57</v>
      </c>
      <c r="P103" s="147">
        <v>109.21</v>
      </c>
    </row>
    <row r="104" spans="1:16" ht="15" x14ac:dyDescent="0.25">
      <c r="A104" s="208"/>
      <c r="B104" s="209"/>
      <c r="C104" s="19" t="s">
        <v>183</v>
      </c>
      <c r="D104" s="148">
        <v>11997.68</v>
      </c>
      <c r="E104" s="149">
        <v>12000.1</v>
      </c>
      <c r="F104" s="150">
        <v>11605.9</v>
      </c>
      <c r="G104" s="148">
        <v>10608.6</v>
      </c>
      <c r="H104" s="148">
        <v>8441.5</v>
      </c>
      <c r="I104" s="148">
        <v>8445.6</v>
      </c>
      <c r="J104" s="148">
        <v>8663.4</v>
      </c>
      <c r="K104" s="148">
        <v>9135.7000000000007</v>
      </c>
      <c r="L104" s="148">
        <v>8904.2999999999993</v>
      </c>
      <c r="M104" s="148">
        <v>9003.9</v>
      </c>
      <c r="N104" s="148">
        <v>9465.2000000000007</v>
      </c>
      <c r="O104" s="148">
        <v>10581.6</v>
      </c>
      <c r="P104" s="151">
        <v>11396.4</v>
      </c>
    </row>
    <row r="105" spans="1:16" ht="15" x14ac:dyDescent="0.25">
      <c r="A105" s="208"/>
      <c r="B105" s="209"/>
      <c r="C105" s="19" t="s">
        <v>184</v>
      </c>
      <c r="D105" s="148">
        <v>11997.68</v>
      </c>
      <c r="E105" s="149">
        <v>12000.1</v>
      </c>
      <c r="F105" s="150">
        <v>11605.9</v>
      </c>
      <c r="G105" s="148">
        <v>22209.7</v>
      </c>
      <c r="H105" s="148">
        <v>22873.5</v>
      </c>
      <c r="I105" s="148">
        <v>23524.400000000001</v>
      </c>
      <c r="J105" s="148">
        <v>23833.3</v>
      </c>
      <c r="K105" s="148">
        <v>23712.799999999999</v>
      </c>
      <c r="L105" s="148">
        <v>23725.3</v>
      </c>
      <c r="M105" s="148">
        <v>23459.5</v>
      </c>
      <c r="N105" s="148">
        <v>22934.6</v>
      </c>
      <c r="O105" s="148">
        <v>21940.400000000001</v>
      </c>
      <c r="P105" s="151">
        <v>20799</v>
      </c>
    </row>
    <row r="106" spans="1:16" ht="15" x14ac:dyDescent="0.25">
      <c r="A106" s="208"/>
      <c r="B106" s="209"/>
      <c r="C106" s="152" t="s">
        <v>185</v>
      </c>
      <c r="D106" s="153">
        <v>11997.68</v>
      </c>
      <c r="E106" s="154">
        <v>12000.1</v>
      </c>
      <c r="F106" s="155">
        <v>11605.9</v>
      </c>
      <c r="G106" s="153">
        <v>10634.4</v>
      </c>
      <c r="H106" s="153">
        <v>11774.6</v>
      </c>
      <c r="I106" s="153">
        <v>12414.8</v>
      </c>
      <c r="J106" s="153">
        <v>12139.6</v>
      </c>
      <c r="K106" s="153">
        <v>12490.8</v>
      </c>
      <c r="L106" s="153">
        <v>11773.5</v>
      </c>
      <c r="M106" s="153">
        <v>11840.9</v>
      </c>
      <c r="N106" s="153">
        <v>11592.8</v>
      </c>
      <c r="O106" s="153">
        <v>11093.2</v>
      </c>
      <c r="P106" s="156">
        <v>10765.4</v>
      </c>
    </row>
    <row r="107" spans="1:16" ht="15" x14ac:dyDescent="0.25">
      <c r="A107" s="206" t="s">
        <v>190</v>
      </c>
      <c r="B107" s="210" t="s">
        <v>189</v>
      </c>
      <c r="C107" s="123" t="s">
        <v>182</v>
      </c>
      <c r="D107" s="144">
        <v>5520.77</v>
      </c>
      <c r="E107" s="144">
        <v>5538</v>
      </c>
      <c r="F107" s="144">
        <v>6341</v>
      </c>
      <c r="G107" s="144">
        <v>6623.1</v>
      </c>
      <c r="H107" s="144">
        <v>2244.1999999999998</v>
      </c>
      <c r="I107" s="144">
        <v>1952.3</v>
      </c>
      <c r="J107" s="144">
        <v>1567.6</v>
      </c>
      <c r="K107" s="144">
        <v>632.20000000000005</v>
      </c>
      <c r="L107" s="144">
        <v>498.5</v>
      </c>
      <c r="M107" s="144">
        <v>418.3</v>
      </c>
      <c r="N107" s="144">
        <v>315.8</v>
      </c>
      <c r="O107" s="144">
        <v>185.2</v>
      </c>
      <c r="P107" s="147">
        <v>44.2</v>
      </c>
    </row>
    <row r="108" spans="1:16" ht="15" x14ac:dyDescent="0.25">
      <c r="A108" s="206"/>
      <c r="B108" s="210"/>
      <c r="C108" s="157" t="s">
        <v>183</v>
      </c>
      <c r="D108" s="148">
        <v>5520.77</v>
      </c>
      <c r="E108" s="148">
        <v>5538</v>
      </c>
      <c r="F108" s="148">
        <v>6341</v>
      </c>
      <c r="G108" s="148">
        <v>5655.4</v>
      </c>
      <c r="H108" s="148">
        <v>2502.6999999999998</v>
      </c>
      <c r="I108" s="148">
        <v>2910.9</v>
      </c>
      <c r="J108" s="148">
        <v>3337.1</v>
      </c>
      <c r="K108" s="148">
        <v>3781.6</v>
      </c>
      <c r="L108" s="148">
        <v>4293</v>
      </c>
      <c r="M108" s="148">
        <v>4894.8</v>
      </c>
      <c r="N108" s="148">
        <v>5586.9</v>
      </c>
      <c r="O108" s="148">
        <v>6010.6</v>
      </c>
      <c r="P108" s="151">
        <v>6434.3</v>
      </c>
    </row>
    <row r="109" spans="1:16" ht="15" x14ac:dyDescent="0.25">
      <c r="A109" s="206"/>
      <c r="B109" s="210"/>
      <c r="C109" s="157" t="s">
        <v>184</v>
      </c>
      <c r="D109" s="148">
        <v>5520.77</v>
      </c>
      <c r="E109" s="148">
        <v>5538</v>
      </c>
      <c r="F109" s="148">
        <v>6341</v>
      </c>
      <c r="G109" s="148">
        <v>7770.3</v>
      </c>
      <c r="H109" s="148">
        <v>9425.4</v>
      </c>
      <c r="I109" s="148">
        <v>9602.5</v>
      </c>
      <c r="J109" s="148">
        <v>9687.2999999999993</v>
      </c>
      <c r="K109" s="148">
        <v>9779.5</v>
      </c>
      <c r="L109" s="148">
        <v>9928</v>
      </c>
      <c r="M109" s="148">
        <v>10082.799999999999</v>
      </c>
      <c r="N109" s="148">
        <v>9996.1</v>
      </c>
      <c r="O109" s="148">
        <v>9874.9</v>
      </c>
      <c r="P109" s="151">
        <v>9497.1</v>
      </c>
    </row>
    <row r="110" spans="1:16" ht="15" x14ac:dyDescent="0.25">
      <c r="A110" s="206"/>
      <c r="B110" s="210"/>
      <c r="C110" s="158" t="s">
        <v>185</v>
      </c>
      <c r="D110" s="159">
        <v>5520.77</v>
      </c>
      <c r="E110" s="159">
        <v>5538</v>
      </c>
      <c r="F110" s="159">
        <v>6341</v>
      </c>
      <c r="G110" s="159">
        <v>7044.3</v>
      </c>
      <c r="H110" s="159">
        <v>8081.2</v>
      </c>
      <c r="I110" s="159">
        <v>9988.2999999999993</v>
      </c>
      <c r="J110" s="159">
        <v>11260.3</v>
      </c>
      <c r="K110" s="159">
        <v>11965.3</v>
      </c>
      <c r="L110" s="159">
        <v>14059.7</v>
      </c>
      <c r="M110" s="159">
        <v>13492</v>
      </c>
      <c r="N110" s="159">
        <v>14875.8</v>
      </c>
      <c r="O110" s="159">
        <v>16052.7</v>
      </c>
      <c r="P110" s="160">
        <v>16922.3</v>
      </c>
    </row>
    <row r="111" spans="1:16" ht="15" x14ac:dyDescent="0.25">
      <c r="A111" s="161" t="s">
        <v>191</v>
      </c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3"/>
    </row>
    <row r="112" spans="1:16" ht="15" x14ac:dyDescent="0.25">
      <c r="A112" s="201" t="s">
        <v>8</v>
      </c>
      <c r="B112" s="202" t="s">
        <v>189</v>
      </c>
      <c r="C112" s="19" t="s">
        <v>182</v>
      </c>
      <c r="D112" s="149">
        <v>1010</v>
      </c>
      <c r="E112" s="149">
        <v>75039</v>
      </c>
      <c r="F112" s="150">
        <v>120933</v>
      </c>
      <c r="G112" s="149">
        <v>157043</v>
      </c>
      <c r="H112" s="149">
        <v>173879</v>
      </c>
      <c r="I112" s="149">
        <v>194186</v>
      </c>
      <c r="J112" s="149">
        <v>212829</v>
      </c>
      <c r="K112" s="149">
        <v>198351</v>
      </c>
      <c r="L112" s="149">
        <v>226357</v>
      </c>
      <c r="M112" s="149">
        <v>255846</v>
      </c>
      <c r="N112" s="149">
        <v>265700</v>
      </c>
      <c r="O112" s="149">
        <v>256848</v>
      </c>
      <c r="P112" s="164">
        <v>235392</v>
      </c>
    </row>
    <row r="113" spans="1:16" ht="15" x14ac:dyDescent="0.25">
      <c r="A113" s="201"/>
      <c r="B113" s="202"/>
      <c r="C113" s="19" t="s">
        <v>183</v>
      </c>
      <c r="D113" s="149">
        <v>1010</v>
      </c>
      <c r="E113" s="149">
        <v>75039</v>
      </c>
      <c r="F113" s="150">
        <v>120933</v>
      </c>
      <c r="G113" s="149">
        <v>142731</v>
      </c>
      <c r="H113" s="149">
        <v>189436</v>
      </c>
      <c r="I113" s="149">
        <v>208276</v>
      </c>
      <c r="J113" s="149">
        <v>229429</v>
      </c>
      <c r="K113" s="149">
        <v>252971</v>
      </c>
      <c r="L113" s="149">
        <v>243443</v>
      </c>
      <c r="M113" s="149">
        <v>258052</v>
      </c>
      <c r="N113" s="149">
        <v>300616</v>
      </c>
      <c r="O113" s="149">
        <v>353004</v>
      </c>
      <c r="P113" s="164">
        <v>409075</v>
      </c>
    </row>
    <row r="114" spans="1:16" ht="15" x14ac:dyDescent="0.25">
      <c r="A114" s="201"/>
      <c r="B114" s="202"/>
      <c r="C114" s="19" t="s">
        <v>184</v>
      </c>
      <c r="D114" s="149">
        <v>1010</v>
      </c>
      <c r="E114" s="149">
        <v>75039</v>
      </c>
      <c r="F114" s="150">
        <v>120933</v>
      </c>
      <c r="G114" s="149">
        <v>146301</v>
      </c>
      <c r="H114" s="149">
        <v>153891</v>
      </c>
      <c r="I114" s="149">
        <v>159119</v>
      </c>
      <c r="J114" s="149">
        <v>163629</v>
      </c>
      <c r="K114" s="149">
        <v>167105</v>
      </c>
      <c r="L114" s="149">
        <v>171969</v>
      </c>
      <c r="M114" s="149">
        <v>175922</v>
      </c>
      <c r="N114" s="149">
        <v>177072</v>
      </c>
      <c r="O114" s="149">
        <v>174566</v>
      </c>
      <c r="P114" s="164">
        <v>170500</v>
      </c>
    </row>
    <row r="115" spans="1:16" ht="15" x14ac:dyDescent="0.25">
      <c r="A115" s="201"/>
      <c r="B115" s="202"/>
      <c r="C115" s="19" t="s">
        <v>185</v>
      </c>
      <c r="D115" s="149">
        <v>1010</v>
      </c>
      <c r="E115" s="149">
        <v>75039</v>
      </c>
      <c r="F115" s="150">
        <v>120933</v>
      </c>
      <c r="G115" s="149">
        <v>152513</v>
      </c>
      <c r="H115" s="149">
        <v>265080</v>
      </c>
      <c r="I115" s="149">
        <v>333876</v>
      </c>
      <c r="J115" s="149">
        <v>406963</v>
      </c>
      <c r="K115" s="149">
        <v>464903</v>
      </c>
      <c r="L115" s="149">
        <v>508058</v>
      </c>
      <c r="M115" s="149">
        <v>554713</v>
      </c>
      <c r="N115" s="149">
        <v>605051</v>
      </c>
      <c r="O115" s="149">
        <v>653132</v>
      </c>
      <c r="P115" s="164">
        <v>703459</v>
      </c>
    </row>
    <row r="116" spans="1:16" ht="15" x14ac:dyDescent="0.25">
      <c r="A116" s="201" t="s">
        <v>9</v>
      </c>
      <c r="B116" s="202" t="s">
        <v>189</v>
      </c>
      <c r="C116" s="165" t="s">
        <v>182</v>
      </c>
      <c r="D116" s="149">
        <v>6622</v>
      </c>
      <c r="E116" s="149">
        <v>10395</v>
      </c>
      <c r="F116" s="149">
        <v>10812</v>
      </c>
      <c r="G116" s="149">
        <v>9522</v>
      </c>
      <c r="H116" s="149">
        <v>1152</v>
      </c>
      <c r="I116" s="149">
        <v>691</v>
      </c>
      <c r="J116" s="149">
        <v>413</v>
      </c>
      <c r="K116" s="149">
        <v>246</v>
      </c>
      <c r="L116" s="149">
        <v>138</v>
      </c>
      <c r="M116" s="149">
        <v>73</v>
      </c>
      <c r="N116" s="149">
        <v>37</v>
      </c>
      <c r="O116" s="149">
        <v>0</v>
      </c>
      <c r="P116" s="164">
        <v>0</v>
      </c>
    </row>
    <row r="117" spans="1:16" ht="15" x14ac:dyDescent="0.25">
      <c r="A117" s="201"/>
      <c r="B117" s="202"/>
      <c r="C117" s="19" t="s">
        <v>183</v>
      </c>
      <c r="D117" s="149">
        <v>6622</v>
      </c>
      <c r="E117" s="149">
        <v>10395</v>
      </c>
      <c r="F117" s="149">
        <v>10812</v>
      </c>
      <c r="G117" s="149">
        <v>9522</v>
      </c>
      <c r="H117" s="149">
        <v>1152</v>
      </c>
      <c r="I117" s="149">
        <v>691</v>
      </c>
      <c r="J117" s="149">
        <v>413</v>
      </c>
      <c r="K117" s="149">
        <v>246</v>
      </c>
      <c r="L117" s="149">
        <v>138</v>
      </c>
      <c r="M117" s="149">
        <v>73</v>
      </c>
      <c r="N117" s="149">
        <v>37</v>
      </c>
      <c r="O117" s="149">
        <v>0</v>
      </c>
      <c r="P117" s="164">
        <v>0</v>
      </c>
    </row>
    <row r="118" spans="1:16" ht="15" x14ac:dyDescent="0.25">
      <c r="A118" s="201"/>
      <c r="B118" s="202"/>
      <c r="C118" s="19" t="s">
        <v>184</v>
      </c>
      <c r="D118" s="149">
        <v>6622</v>
      </c>
      <c r="E118" s="149">
        <v>10395</v>
      </c>
      <c r="F118" s="149">
        <v>10812</v>
      </c>
      <c r="G118" s="149">
        <v>9522</v>
      </c>
      <c r="H118" s="149">
        <v>1152</v>
      </c>
      <c r="I118" s="149">
        <v>691</v>
      </c>
      <c r="J118" s="149">
        <v>413</v>
      </c>
      <c r="K118" s="149">
        <v>246</v>
      </c>
      <c r="L118" s="149">
        <v>138</v>
      </c>
      <c r="M118" s="149">
        <v>73</v>
      </c>
      <c r="N118" s="149">
        <v>37</v>
      </c>
      <c r="O118" s="149">
        <v>0</v>
      </c>
      <c r="P118" s="164">
        <v>0</v>
      </c>
    </row>
    <row r="119" spans="1:16" ht="15" x14ac:dyDescent="0.25">
      <c r="A119" s="201"/>
      <c r="B119" s="202"/>
      <c r="C119" s="19" t="s">
        <v>185</v>
      </c>
      <c r="D119" s="149">
        <v>6622</v>
      </c>
      <c r="E119" s="149">
        <v>10395</v>
      </c>
      <c r="F119" s="149">
        <v>10812</v>
      </c>
      <c r="G119" s="149">
        <v>9522</v>
      </c>
      <c r="H119" s="149">
        <v>1152</v>
      </c>
      <c r="I119" s="149">
        <v>691</v>
      </c>
      <c r="J119" s="149">
        <v>413</v>
      </c>
      <c r="K119" s="149">
        <v>246</v>
      </c>
      <c r="L119" s="149">
        <v>138</v>
      </c>
      <c r="M119" s="149">
        <v>73</v>
      </c>
      <c r="N119" s="149">
        <v>37</v>
      </c>
      <c r="O119" s="149">
        <v>0</v>
      </c>
      <c r="P119" s="164">
        <v>0</v>
      </c>
    </row>
    <row r="120" spans="1:16" ht="15" x14ac:dyDescent="0.25">
      <c r="A120" s="201" t="s">
        <v>10</v>
      </c>
      <c r="B120" s="202" t="s">
        <v>189</v>
      </c>
      <c r="C120" s="19" t="s">
        <v>182</v>
      </c>
      <c r="D120" s="149">
        <v>0</v>
      </c>
      <c r="E120" s="149">
        <v>4000</v>
      </c>
      <c r="F120" s="150">
        <v>10994</v>
      </c>
      <c r="G120" s="149">
        <v>17942</v>
      </c>
      <c r="H120" s="149">
        <v>60642</v>
      </c>
      <c r="I120" s="149">
        <v>72035</v>
      </c>
      <c r="J120" s="149">
        <v>80712</v>
      </c>
      <c r="K120" s="149">
        <v>74607</v>
      </c>
      <c r="L120" s="149">
        <v>84086</v>
      </c>
      <c r="M120" s="149">
        <v>93880</v>
      </c>
      <c r="N120" s="149">
        <v>96271</v>
      </c>
      <c r="O120" s="149">
        <v>91204</v>
      </c>
      <c r="P120" s="164">
        <v>81227</v>
      </c>
    </row>
    <row r="121" spans="1:16" ht="15" x14ac:dyDescent="0.25">
      <c r="A121" s="201"/>
      <c r="B121" s="202"/>
      <c r="C121" s="19" t="s">
        <v>183</v>
      </c>
      <c r="D121" s="149">
        <v>0</v>
      </c>
      <c r="E121" s="149">
        <v>4000</v>
      </c>
      <c r="F121" s="150">
        <v>10994</v>
      </c>
      <c r="G121" s="149">
        <v>17942</v>
      </c>
      <c r="H121" s="149">
        <v>60642</v>
      </c>
      <c r="I121" s="149">
        <v>72035</v>
      </c>
      <c r="J121" s="149">
        <v>80712</v>
      </c>
      <c r="K121" s="149">
        <v>74607</v>
      </c>
      <c r="L121" s="149">
        <v>84086</v>
      </c>
      <c r="M121" s="149">
        <v>93880</v>
      </c>
      <c r="N121" s="149">
        <v>96271</v>
      </c>
      <c r="O121" s="149">
        <v>91204</v>
      </c>
      <c r="P121" s="164">
        <v>81227</v>
      </c>
    </row>
    <row r="122" spans="1:16" ht="15" x14ac:dyDescent="0.25">
      <c r="A122" s="201"/>
      <c r="B122" s="202"/>
      <c r="C122" s="19" t="s">
        <v>184</v>
      </c>
      <c r="D122" s="149">
        <v>0</v>
      </c>
      <c r="E122" s="149">
        <v>4000</v>
      </c>
      <c r="F122" s="150">
        <v>10994</v>
      </c>
      <c r="G122" s="149">
        <v>17942</v>
      </c>
      <c r="H122" s="149">
        <v>60642</v>
      </c>
      <c r="I122" s="149">
        <v>72035</v>
      </c>
      <c r="J122" s="149">
        <v>80712</v>
      </c>
      <c r="K122" s="149">
        <v>74607</v>
      </c>
      <c r="L122" s="149">
        <v>84086</v>
      </c>
      <c r="M122" s="149">
        <v>93880</v>
      </c>
      <c r="N122" s="149">
        <v>96271</v>
      </c>
      <c r="O122" s="149">
        <v>91204</v>
      </c>
      <c r="P122" s="164">
        <v>81227</v>
      </c>
    </row>
    <row r="123" spans="1:16" ht="15" x14ac:dyDescent="0.25">
      <c r="A123" s="201"/>
      <c r="B123" s="202"/>
      <c r="C123" s="19" t="s">
        <v>185</v>
      </c>
      <c r="D123" s="149">
        <v>0</v>
      </c>
      <c r="E123" s="149">
        <v>4000</v>
      </c>
      <c r="F123" s="150">
        <v>10994</v>
      </c>
      <c r="G123" s="149">
        <v>17942</v>
      </c>
      <c r="H123" s="149">
        <v>60642</v>
      </c>
      <c r="I123" s="149">
        <v>72035</v>
      </c>
      <c r="J123" s="149">
        <v>80712</v>
      </c>
      <c r="K123" s="149">
        <v>74607</v>
      </c>
      <c r="L123" s="149">
        <v>84086</v>
      </c>
      <c r="M123" s="149">
        <v>93880</v>
      </c>
      <c r="N123" s="149">
        <v>96271</v>
      </c>
      <c r="O123" s="149">
        <v>91204</v>
      </c>
      <c r="P123" s="164">
        <v>81227</v>
      </c>
    </row>
    <row r="124" spans="1:16" ht="15" x14ac:dyDescent="0.25">
      <c r="A124" s="201" t="s">
        <v>11</v>
      </c>
      <c r="B124" s="202" t="s">
        <v>189</v>
      </c>
      <c r="C124" s="19" t="s">
        <v>182</v>
      </c>
      <c r="D124" s="166">
        <v>186</v>
      </c>
      <c r="E124" s="166">
        <v>8538</v>
      </c>
      <c r="F124" s="167">
        <v>13759</v>
      </c>
      <c r="G124" s="167">
        <v>26279</v>
      </c>
      <c r="H124" s="167">
        <v>89349</v>
      </c>
      <c r="I124" s="167">
        <v>108899</v>
      </c>
      <c r="J124" s="167">
        <v>124961</v>
      </c>
      <c r="K124" s="167">
        <v>119137</v>
      </c>
      <c r="L124" s="167">
        <v>138797</v>
      </c>
      <c r="M124" s="167">
        <v>159182</v>
      </c>
      <c r="N124" s="167">
        <v>166569</v>
      </c>
      <c r="O124" s="167">
        <v>161556</v>
      </c>
      <c r="P124" s="168">
        <v>148214</v>
      </c>
    </row>
    <row r="125" spans="1:16" ht="15" x14ac:dyDescent="0.25">
      <c r="A125" s="201"/>
      <c r="B125" s="202"/>
      <c r="C125" s="19" t="s">
        <v>183</v>
      </c>
      <c r="D125" s="166">
        <v>186</v>
      </c>
      <c r="E125" s="166">
        <v>8538</v>
      </c>
      <c r="F125" s="167">
        <v>13759</v>
      </c>
      <c r="G125" s="167">
        <v>17127</v>
      </c>
      <c r="H125" s="167">
        <v>31282</v>
      </c>
      <c r="I125" s="167">
        <v>31762</v>
      </c>
      <c r="J125" s="167">
        <v>31380</v>
      </c>
      <c r="K125" s="167">
        <v>30710</v>
      </c>
      <c r="L125" s="167">
        <v>26222</v>
      </c>
      <c r="M125" s="167">
        <v>23990</v>
      </c>
      <c r="N125" s="167">
        <v>23536</v>
      </c>
      <c r="O125" s="167">
        <v>23520</v>
      </c>
      <c r="P125" s="168">
        <v>23006</v>
      </c>
    </row>
    <row r="126" spans="1:16" ht="15" x14ac:dyDescent="0.25">
      <c r="A126" s="201"/>
      <c r="B126" s="202"/>
      <c r="C126" s="19" t="s">
        <v>184</v>
      </c>
      <c r="D126" s="166">
        <v>186</v>
      </c>
      <c r="E126" s="166">
        <v>8538</v>
      </c>
      <c r="F126" s="167">
        <v>13759</v>
      </c>
      <c r="G126" s="167">
        <v>8121</v>
      </c>
      <c r="H126" s="167">
        <v>8889</v>
      </c>
      <c r="I126" s="167">
        <v>9418</v>
      </c>
      <c r="J126" s="167">
        <v>10006</v>
      </c>
      <c r="K126" s="167">
        <v>10385</v>
      </c>
      <c r="L126" s="167">
        <v>10938</v>
      </c>
      <c r="M126" s="167">
        <v>11420</v>
      </c>
      <c r="N126" s="167">
        <v>11739</v>
      </c>
      <c r="O126" s="167">
        <v>11779</v>
      </c>
      <c r="P126" s="168">
        <v>11699</v>
      </c>
    </row>
    <row r="127" spans="1:16" ht="15" x14ac:dyDescent="0.25">
      <c r="A127" s="201"/>
      <c r="B127" s="202"/>
      <c r="C127" s="19" t="s">
        <v>185</v>
      </c>
      <c r="D127" s="166">
        <v>186</v>
      </c>
      <c r="E127" s="166">
        <v>8538</v>
      </c>
      <c r="F127" s="167">
        <v>13759</v>
      </c>
      <c r="G127" s="167">
        <v>34598</v>
      </c>
      <c r="H127" s="167">
        <v>66696</v>
      </c>
      <c r="I127" s="167">
        <v>78956</v>
      </c>
      <c r="J127" s="167">
        <v>100250</v>
      </c>
      <c r="K127" s="167">
        <v>116135</v>
      </c>
      <c r="L127" s="167">
        <v>128080</v>
      </c>
      <c r="M127" s="167">
        <v>140714</v>
      </c>
      <c r="N127" s="167">
        <v>144726</v>
      </c>
      <c r="O127" s="167">
        <v>147547</v>
      </c>
      <c r="P127" s="168">
        <v>148304</v>
      </c>
    </row>
    <row r="128" spans="1:16" ht="15" x14ac:dyDescent="0.25">
      <c r="A128" s="201" t="s">
        <v>12</v>
      </c>
      <c r="B128" s="202" t="s">
        <v>189</v>
      </c>
      <c r="C128" s="19" t="s">
        <v>182</v>
      </c>
      <c r="D128" s="149">
        <v>889</v>
      </c>
      <c r="E128" s="149">
        <v>6234</v>
      </c>
      <c r="F128" s="150">
        <v>12448</v>
      </c>
      <c r="G128" s="150">
        <v>21616</v>
      </c>
      <c r="H128" s="150">
        <v>64374</v>
      </c>
      <c r="I128" s="150">
        <v>75555</v>
      </c>
      <c r="J128" s="150">
        <v>83724</v>
      </c>
      <c r="K128" s="150">
        <v>77089</v>
      </c>
      <c r="L128" s="150">
        <v>86593</v>
      </c>
      <c r="M128" s="150">
        <v>95507</v>
      </c>
      <c r="N128" s="150">
        <v>95810</v>
      </c>
      <c r="O128" s="150">
        <v>88763</v>
      </c>
      <c r="P128" s="169">
        <v>77457</v>
      </c>
    </row>
    <row r="129" spans="1:16" ht="15" x14ac:dyDescent="0.25">
      <c r="A129" s="201"/>
      <c r="B129" s="202"/>
      <c r="C129" s="19" t="s">
        <v>183</v>
      </c>
      <c r="D129" s="149">
        <v>889</v>
      </c>
      <c r="E129" s="149">
        <v>6234</v>
      </c>
      <c r="F129" s="150">
        <v>12448</v>
      </c>
      <c r="G129" s="150">
        <v>14163</v>
      </c>
      <c r="H129" s="150">
        <v>17666</v>
      </c>
      <c r="I129" s="150">
        <v>20459</v>
      </c>
      <c r="J129" s="150">
        <v>23292</v>
      </c>
      <c r="K129" s="150">
        <v>26118</v>
      </c>
      <c r="L129" s="150">
        <v>25539</v>
      </c>
      <c r="M129" s="150">
        <v>28046</v>
      </c>
      <c r="N129" s="150">
        <v>33790</v>
      </c>
      <c r="O129" s="150">
        <v>39928</v>
      </c>
      <c r="P129" s="169">
        <v>46270</v>
      </c>
    </row>
    <row r="130" spans="1:16" ht="15" x14ac:dyDescent="0.25">
      <c r="A130" s="201"/>
      <c r="B130" s="202"/>
      <c r="C130" s="19" t="s">
        <v>184</v>
      </c>
      <c r="D130" s="149">
        <v>889</v>
      </c>
      <c r="E130" s="149">
        <v>6234</v>
      </c>
      <c r="F130" s="150">
        <v>12448</v>
      </c>
      <c r="G130" s="150">
        <v>4514</v>
      </c>
      <c r="H130" s="150">
        <v>5554</v>
      </c>
      <c r="I130" s="150">
        <v>6059</v>
      </c>
      <c r="J130" s="150">
        <v>6639</v>
      </c>
      <c r="K130" s="150">
        <v>7119</v>
      </c>
      <c r="L130" s="150">
        <v>7758</v>
      </c>
      <c r="M130" s="150">
        <v>8342</v>
      </c>
      <c r="N130" s="150">
        <v>8768</v>
      </c>
      <c r="O130" s="150">
        <v>8999</v>
      </c>
      <c r="P130" s="169">
        <v>9099</v>
      </c>
    </row>
    <row r="131" spans="1:16" ht="15" x14ac:dyDescent="0.25">
      <c r="A131" s="201"/>
      <c r="B131" s="202"/>
      <c r="C131" s="19" t="s">
        <v>185</v>
      </c>
      <c r="D131" s="149">
        <v>889</v>
      </c>
      <c r="E131" s="149">
        <v>6234</v>
      </c>
      <c r="F131" s="150">
        <v>12448</v>
      </c>
      <c r="G131" s="150">
        <v>26537</v>
      </c>
      <c r="H131" s="150">
        <v>35067</v>
      </c>
      <c r="I131" s="150">
        <v>38184</v>
      </c>
      <c r="J131" s="150">
        <v>45837</v>
      </c>
      <c r="K131" s="150">
        <v>50207</v>
      </c>
      <c r="L131" s="150">
        <v>52424</v>
      </c>
      <c r="M131" s="150">
        <v>54619</v>
      </c>
      <c r="N131" s="150">
        <v>52707</v>
      </c>
      <c r="O131" s="150">
        <v>50177</v>
      </c>
      <c r="P131" s="169">
        <v>46842</v>
      </c>
    </row>
    <row r="132" spans="1:16" ht="15" x14ac:dyDescent="0.25">
      <c r="A132" s="201" t="s">
        <v>13</v>
      </c>
      <c r="B132" s="202" t="s">
        <v>189</v>
      </c>
      <c r="C132" s="19" t="s">
        <v>182</v>
      </c>
      <c r="D132" s="170">
        <v>12</v>
      </c>
      <c r="E132" s="170">
        <v>15200</v>
      </c>
      <c r="F132" s="150">
        <v>23010</v>
      </c>
      <c r="G132" s="149">
        <v>34530</v>
      </c>
      <c r="H132" s="149">
        <v>0</v>
      </c>
      <c r="I132" s="149">
        <v>0</v>
      </c>
      <c r="J132" s="149">
        <v>0</v>
      </c>
      <c r="K132" s="149">
        <v>0</v>
      </c>
      <c r="L132" s="149">
        <v>0</v>
      </c>
      <c r="M132" s="149">
        <v>0</v>
      </c>
      <c r="N132" s="149">
        <v>0</v>
      </c>
      <c r="O132" s="149">
        <v>0</v>
      </c>
      <c r="P132" s="164">
        <v>0</v>
      </c>
    </row>
    <row r="133" spans="1:16" ht="15" x14ac:dyDescent="0.25">
      <c r="A133" s="201"/>
      <c r="B133" s="202"/>
      <c r="C133" s="19" t="s">
        <v>183</v>
      </c>
      <c r="D133" s="170">
        <v>12</v>
      </c>
      <c r="E133" s="170">
        <v>15200</v>
      </c>
      <c r="F133" s="150">
        <v>23010</v>
      </c>
      <c r="G133" s="149">
        <v>34530</v>
      </c>
      <c r="H133" s="149">
        <v>0</v>
      </c>
      <c r="I133" s="149">
        <v>0</v>
      </c>
      <c r="J133" s="149">
        <v>0</v>
      </c>
      <c r="K133" s="149">
        <v>0</v>
      </c>
      <c r="L133" s="149">
        <v>0</v>
      </c>
      <c r="M133" s="149">
        <v>0</v>
      </c>
      <c r="N133" s="149">
        <v>0</v>
      </c>
      <c r="O133" s="149">
        <v>0</v>
      </c>
      <c r="P133" s="164">
        <v>0</v>
      </c>
    </row>
    <row r="134" spans="1:16" ht="15" x14ac:dyDescent="0.25">
      <c r="A134" s="201"/>
      <c r="B134" s="202"/>
      <c r="C134" s="19" t="s">
        <v>184</v>
      </c>
      <c r="D134" s="149">
        <v>12</v>
      </c>
      <c r="E134" s="149">
        <v>15200</v>
      </c>
      <c r="F134" s="150">
        <v>23010</v>
      </c>
      <c r="G134" s="149">
        <v>34530</v>
      </c>
      <c r="H134" s="149">
        <v>0</v>
      </c>
      <c r="I134" s="149">
        <v>0</v>
      </c>
      <c r="J134" s="149">
        <v>0</v>
      </c>
      <c r="K134" s="149">
        <v>0</v>
      </c>
      <c r="L134" s="149">
        <v>0</v>
      </c>
      <c r="M134" s="149">
        <v>0</v>
      </c>
      <c r="N134" s="149">
        <v>0</v>
      </c>
      <c r="O134" s="149">
        <v>0</v>
      </c>
      <c r="P134" s="164">
        <v>0</v>
      </c>
    </row>
    <row r="135" spans="1:16" ht="15" x14ac:dyDescent="0.25">
      <c r="A135" s="201"/>
      <c r="B135" s="202"/>
      <c r="C135" s="19" t="s">
        <v>185</v>
      </c>
      <c r="D135" s="149">
        <v>12</v>
      </c>
      <c r="E135" s="149">
        <v>15200</v>
      </c>
      <c r="F135" s="150">
        <v>23010</v>
      </c>
      <c r="G135" s="149">
        <v>34530</v>
      </c>
      <c r="H135" s="149">
        <v>0</v>
      </c>
      <c r="I135" s="149">
        <v>0</v>
      </c>
      <c r="J135" s="149">
        <v>0</v>
      </c>
      <c r="K135" s="149">
        <v>0</v>
      </c>
      <c r="L135" s="149">
        <v>0</v>
      </c>
      <c r="M135" s="149">
        <v>0</v>
      </c>
      <c r="N135" s="149">
        <v>0</v>
      </c>
      <c r="O135" s="149">
        <v>0</v>
      </c>
      <c r="P135" s="164">
        <v>0</v>
      </c>
    </row>
    <row r="136" spans="1:16" ht="15" x14ac:dyDescent="0.25">
      <c r="A136" s="201" t="s">
        <v>14</v>
      </c>
      <c r="B136" s="202" t="s">
        <v>189</v>
      </c>
      <c r="C136" s="19" t="s">
        <v>182</v>
      </c>
      <c r="D136" s="149">
        <v>0</v>
      </c>
      <c r="E136" s="149">
        <v>1951</v>
      </c>
      <c r="F136" s="150">
        <v>4890</v>
      </c>
      <c r="G136" s="150">
        <v>8979</v>
      </c>
      <c r="H136" s="150">
        <v>1608</v>
      </c>
      <c r="I136" s="150">
        <v>795</v>
      </c>
      <c r="J136" s="150">
        <v>886</v>
      </c>
      <c r="K136" s="150">
        <v>296</v>
      </c>
      <c r="L136" s="150">
        <v>142</v>
      </c>
      <c r="M136" s="150">
        <v>132</v>
      </c>
      <c r="N136" s="150">
        <v>120</v>
      </c>
      <c r="O136" s="150">
        <v>107</v>
      </c>
      <c r="P136" s="169">
        <v>91</v>
      </c>
    </row>
    <row r="137" spans="1:16" ht="15" x14ac:dyDescent="0.25">
      <c r="A137" s="201"/>
      <c r="B137" s="202"/>
      <c r="C137" s="19" t="s">
        <v>183</v>
      </c>
      <c r="D137" s="149">
        <v>0</v>
      </c>
      <c r="E137" s="149">
        <v>1951</v>
      </c>
      <c r="F137" s="150">
        <v>4890</v>
      </c>
      <c r="G137" s="150">
        <v>6212</v>
      </c>
      <c r="H137" s="150">
        <v>600</v>
      </c>
      <c r="I137" s="150">
        <v>258</v>
      </c>
      <c r="J137" s="150">
        <v>257</v>
      </c>
      <c r="K137" s="150">
        <v>89</v>
      </c>
      <c r="L137" s="150">
        <v>31</v>
      </c>
      <c r="M137" s="150">
        <v>22</v>
      </c>
      <c r="N137" s="150">
        <v>18</v>
      </c>
      <c r="O137" s="150">
        <v>16</v>
      </c>
      <c r="P137" s="169">
        <v>14</v>
      </c>
    </row>
    <row r="138" spans="1:16" ht="15" x14ac:dyDescent="0.25">
      <c r="A138" s="201"/>
      <c r="B138" s="202"/>
      <c r="C138" s="19" t="s">
        <v>184</v>
      </c>
      <c r="D138" s="149">
        <v>0</v>
      </c>
      <c r="E138" s="149">
        <v>1951</v>
      </c>
      <c r="F138" s="150">
        <v>4890</v>
      </c>
      <c r="G138" s="150">
        <v>8820</v>
      </c>
      <c r="H138" s="150">
        <v>1516</v>
      </c>
      <c r="I138" s="150">
        <v>701</v>
      </c>
      <c r="J138" s="150">
        <v>707</v>
      </c>
      <c r="K138" s="150">
        <v>207</v>
      </c>
      <c r="L138" s="150">
        <v>85</v>
      </c>
      <c r="M138" s="150">
        <v>66</v>
      </c>
      <c r="N138" s="150">
        <v>51</v>
      </c>
      <c r="O138" s="150">
        <v>38</v>
      </c>
      <c r="P138" s="169">
        <v>27</v>
      </c>
    </row>
    <row r="139" spans="1:16" ht="15" x14ac:dyDescent="0.25">
      <c r="A139" s="201"/>
      <c r="B139" s="202"/>
      <c r="C139" s="19" t="s">
        <v>185</v>
      </c>
      <c r="D139" s="149">
        <v>0</v>
      </c>
      <c r="E139" s="149">
        <v>1951</v>
      </c>
      <c r="F139" s="150">
        <v>4890</v>
      </c>
      <c r="G139" s="150">
        <v>11541</v>
      </c>
      <c r="H139" s="150">
        <v>1159</v>
      </c>
      <c r="I139" s="150">
        <v>606</v>
      </c>
      <c r="J139" s="150">
        <v>764</v>
      </c>
      <c r="K139" s="150">
        <v>320</v>
      </c>
      <c r="L139" s="150">
        <v>148</v>
      </c>
      <c r="M139" s="150">
        <v>129</v>
      </c>
      <c r="N139" s="150">
        <v>113</v>
      </c>
      <c r="O139" s="150">
        <v>102</v>
      </c>
      <c r="P139" s="169">
        <v>91</v>
      </c>
    </row>
    <row r="140" spans="1:16" ht="15" x14ac:dyDescent="0.25">
      <c r="A140" s="203" t="s">
        <v>15</v>
      </c>
      <c r="B140" s="202" t="s">
        <v>189</v>
      </c>
      <c r="C140" s="19" t="s">
        <v>182</v>
      </c>
      <c r="D140" s="149">
        <v>0</v>
      </c>
      <c r="E140" s="149">
        <v>17926</v>
      </c>
      <c r="F140" s="150">
        <v>26888</v>
      </c>
      <c r="G140" s="150">
        <v>51053</v>
      </c>
      <c r="H140" s="150">
        <v>32321</v>
      </c>
      <c r="I140" s="150">
        <v>3174</v>
      </c>
      <c r="J140" s="150">
        <v>0</v>
      </c>
      <c r="K140" s="150">
        <v>0</v>
      </c>
      <c r="L140" s="150">
        <v>0</v>
      </c>
      <c r="M140" s="150">
        <v>0</v>
      </c>
      <c r="N140" s="150">
        <v>0</v>
      </c>
      <c r="O140" s="150">
        <v>0</v>
      </c>
      <c r="P140" s="169">
        <v>0</v>
      </c>
    </row>
    <row r="141" spans="1:16" ht="15" x14ac:dyDescent="0.25">
      <c r="A141" s="203"/>
      <c r="B141" s="202"/>
      <c r="C141" s="19" t="s">
        <v>183</v>
      </c>
      <c r="D141" s="149">
        <v>0</v>
      </c>
      <c r="E141" s="149">
        <v>17926</v>
      </c>
      <c r="F141" s="150">
        <v>26888</v>
      </c>
      <c r="G141" s="150">
        <v>48596</v>
      </c>
      <c r="H141" s="150">
        <v>92011</v>
      </c>
      <c r="I141" s="150">
        <v>95765</v>
      </c>
      <c r="J141" s="150">
        <v>96916</v>
      </c>
      <c r="K141" s="150">
        <v>95465</v>
      </c>
      <c r="L141" s="150">
        <v>86276</v>
      </c>
      <c r="M141" s="150">
        <v>80878</v>
      </c>
      <c r="N141" s="150">
        <v>79272</v>
      </c>
      <c r="O141" s="150">
        <v>81080</v>
      </c>
      <c r="P141" s="169">
        <v>82888</v>
      </c>
    </row>
    <row r="142" spans="1:16" ht="15" x14ac:dyDescent="0.25">
      <c r="A142" s="203"/>
      <c r="B142" s="202"/>
      <c r="C142" s="19" t="s">
        <v>184</v>
      </c>
      <c r="D142" s="149">
        <v>0</v>
      </c>
      <c r="E142" s="149">
        <v>17926</v>
      </c>
      <c r="F142" s="150">
        <v>26888</v>
      </c>
      <c r="G142" s="150">
        <v>63231</v>
      </c>
      <c r="H142" s="150">
        <v>65706</v>
      </c>
      <c r="I142" s="150">
        <v>67329</v>
      </c>
      <c r="J142" s="150">
        <v>68510</v>
      </c>
      <c r="K142" s="150">
        <v>68946</v>
      </c>
      <c r="L142" s="150">
        <v>70024</v>
      </c>
      <c r="M142" s="150">
        <v>70671</v>
      </c>
      <c r="N142" s="150">
        <v>70024</v>
      </c>
      <c r="O142" s="150">
        <v>67758</v>
      </c>
      <c r="P142" s="169">
        <v>65062</v>
      </c>
    </row>
    <row r="143" spans="1:16" ht="15" x14ac:dyDescent="0.25">
      <c r="A143" s="203"/>
      <c r="B143" s="202"/>
      <c r="C143" s="19" t="s">
        <v>185</v>
      </c>
      <c r="D143" s="149">
        <v>0</v>
      </c>
      <c r="E143" s="149">
        <v>17926</v>
      </c>
      <c r="F143" s="150">
        <v>26888</v>
      </c>
      <c r="G143" s="150">
        <v>85605</v>
      </c>
      <c r="H143" s="150">
        <v>148223</v>
      </c>
      <c r="I143" s="150">
        <v>193765</v>
      </c>
      <c r="J143" s="150">
        <v>181171</v>
      </c>
      <c r="K143" s="150">
        <v>161710</v>
      </c>
      <c r="L143" s="150">
        <v>149109</v>
      </c>
      <c r="M143" s="150">
        <v>136491</v>
      </c>
      <c r="N143" s="150">
        <v>128236</v>
      </c>
      <c r="O143" s="150">
        <v>120245</v>
      </c>
      <c r="P143" s="169">
        <v>131805</v>
      </c>
    </row>
    <row r="144" spans="1:16" ht="15" x14ac:dyDescent="0.25">
      <c r="A144" s="204" t="s">
        <v>16</v>
      </c>
      <c r="B144" s="205" t="s">
        <v>189</v>
      </c>
      <c r="C144" s="19" t="s">
        <v>182</v>
      </c>
      <c r="D144" s="117">
        <v>1.0369999999999999</v>
      </c>
      <c r="E144" s="170">
        <v>105.5</v>
      </c>
      <c r="F144" s="171">
        <v>206.6</v>
      </c>
      <c r="G144" s="172">
        <v>305.2</v>
      </c>
      <c r="H144" s="149">
        <v>0</v>
      </c>
      <c r="I144" s="149">
        <v>0</v>
      </c>
      <c r="J144" s="149">
        <v>0</v>
      </c>
      <c r="K144" s="149">
        <v>0</v>
      </c>
      <c r="L144" s="149">
        <v>0</v>
      </c>
      <c r="M144" s="149">
        <v>0</v>
      </c>
      <c r="N144" s="149">
        <v>0</v>
      </c>
      <c r="O144" s="149">
        <v>0</v>
      </c>
      <c r="P144" s="164">
        <v>0</v>
      </c>
    </row>
    <row r="145" spans="1:16" ht="15" x14ac:dyDescent="0.25">
      <c r="A145" s="204"/>
      <c r="B145" s="205"/>
      <c r="C145" s="19" t="s">
        <v>183</v>
      </c>
      <c r="D145" s="117">
        <v>1.0369999999999999</v>
      </c>
      <c r="E145" s="170">
        <v>105.5</v>
      </c>
      <c r="F145" s="171">
        <v>206.6</v>
      </c>
      <c r="G145" s="172">
        <v>305.2</v>
      </c>
      <c r="H145" s="149">
        <v>0</v>
      </c>
      <c r="I145" s="149">
        <v>0</v>
      </c>
      <c r="J145" s="149">
        <v>0</v>
      </c>
      <c r="K145" s="149">
        <v>0</v>
      </c>
      <c r="L145" s="149">
        <v>0</v>
      </c>
      <c r="M145" s="149">
        <v>0</v>
      </c>
      <c r="N145" s="149">
        <v>0</v>
      </c>
      <c r="O145" s="149">
        <v>0</v>
      </c>
      <c r="P145" s="164">
        <v>0</v>
      </c>
    </row>
    <row r="146" spans="1:16" ht="15" x14ac:dyDescent="0.25">
      <c r="A146" s="204"/>
      <c r="B146" s="205"/>
      <c r="C146" s="19" t="s">
        <v>184</v>
      </c>
      <c r="D146" s="117">
        <v>1.0369999999999999</v>
      </c>
      <c r="E146" s="172">
        <v>105.5</v>
      </c>
      <c r="F146" s="171">
        <v>206.6</v>
      </c>
      <c r="G146" s="172">
        <v>305.2</v>
      </c>
      <c r="H146" s="149">
        <v>0</v>
      </c>
      <c r="I146" s="149">
        <v>0</v>
      </c>
      <c r="J146" s="149">
        <v>0</v>
      </c>
      <c r="K146" s="149">
        <v>0</v>
      </c>
      <c r="L146" s="149">
        <v>0</v>
      </c>
      <c r="M146" s="149">
        <v>0</v>
      </c>
      <c r="N146" s="149">
        <v>0</v>
      </c>
      <c r="O146" s="149">
        <v>0</v>
      </c>
      <c r="P146" s="164">
        <v>0</v>
      </c>
    </row>
    <row r="147" spans="1:16" ht="15" x14ac:dyDescent="0.25">
      <c r="A147" s="204"/>
      <c r="B147" s="205"/>
      <c r="C147" s="131" t="s">
        <v>185</v>
      </c>
      <c r="D147" s="133">
        <v>1.0369999999999999</v>
      </c>
      <c r="E147" s="173">
        <v>105.5</v>
      </c>
      <c r="F147" s="174">
        <v>206.6</v>
      </c>
      <c r="G147" s="173">
        <v>305.2</v>
      </c>
      <c r="H147" s="175">
        <v>0</v>
      </c>
      <c r="I147" s="175">
        <v>0</v>
      </c>
      <c r="J147" s="175">
        <v>0</v>
      </c>
      <c r="K147" s="175">
        <v>0</v>
      </c>
      <c r="L147" s="175">
        <v>0</v>
      </c>
      <c r="M147" s="175">
        <v>0</v>
      </c>
      <c r="N147" s="175">
        <v>0</v>
      </c>
      <c r="O147" s="175">
        <v>0</v>
      </c>
      <c r="P147" s="176">
        <v>0</v>
      </c>
    </row>
    <row r="149" spans="1:16" ht="15" x14ac:dyDescent="0.25">
      <c r="C149" s="177"/>
    </row>
    <row r="151" spans="1:16" ht="15" x14ac:dyDescent="0.25">
      <c r="A151" s="178" t="s">
        <v>192</v>
      </c>
      <c r="B151" s="178" t="s">
        <v>67</v>
      </c>
      <c r="C151" s="17">
        <v>1995</v>
      </c>
      <c r="D151" s="17">
        <v>2000</v>
      </c>
      <c r="E151" s="17">
        <v>2005</v>
      </c>
      <c r="F151" s="17">
        <v>2010</v>
      </c>
      <c r="G151" s="17">
        <v>2015</v>
      </c>
      <c r="H151" s="17">
        <v>2020</v>
      </c>
      <c r="I151" s="17">
        <v>2025</v>
      </c>
      <c r="J151" s="17">
        <v>2030</v>
      </c>
      <c r="K151" s="17">
        <v>2035</v>
      </c>
      <c r="L151" s="17">
        <v>2040</v>
      </c>
      <c r="M151" s="17">
        <v>2045</v>
      </c>
      <c r="N151" s="17">
        <v>2050</v>
      </c>
    </row>
    <row r="152" spans="1:16" ht="15" x14ac:dyDescent="0.25">
      <c r="A152" s="200" t="s">
        <v>193</v>
      </c>
      <c r="B152" s="17" t="s">
        <v>55</v>
      </c>
      <c r="C152" s="19">
        <v>0.5</v>
      </c>
      <c r="D152" s="19">
        <v>0.5</v>
      </c>
      <c r="E152" s="19">
        <v>0.5</v>
      </c>
      <c r="F152" s="19">
        <v>0.5</v>
      </c>
      <c r="G152" s="19">
        <v>0.5</v>
      </c>
      <c r="H152" s="19">
        <v>0.5</v>
      </c>
      <c r="I152" s="19">
        <v>0.5</v>
      </c>
      <c r="J152" s="19">
        <v>0.5</v>
      </c>
      <c r="K152" s="19">
        <v>0.5</v>
      </c>
      <c r="L152" s="19">
        <v>0.5</v>
      </c>
      <c r="M152" s="19">
        <v>0.5</v>
      </c>
      <c r="N152" s="19">
        <v>0.5</v>
      </c>
    </row>
    <row r="153" spans="1:16" ht="15" x14ac:dyDescent="0.25">
      <c r="A153" s="200"/>
      <c r="B153" s="17" t="s">
        <v>57</v>
      </c>
      <c r="C153" s="19">
        <v>0.3</v>
      </c>
      <c r="D153" s="19">
        <v>0.3</v>
      </c>
      <c r="E153" s="19">
        <v>0.3</v>
      </c>
      <c r="F153" s="19">
        <v>0.3</v>
      </c>
      <c r="G153" s="19">
        <v>0.3</v>
      </c>
      <c r="H153" s="19">
        <v>0.3</v>
      </c>
      <c r="I153" s="19">
        <v>0.3</v>
      </c>
      <c r="J153" s="19">
        <v>0.3</v>
      </c>
      <c r="K153" s="19">
        <v>0.3</v>
      </c>
      <c r="L153" s="19">
        <v>0.3</v>
      </c>
      <c r="M153" s="19">
        <v>0.3</v>
      </c>
      <c r="N153" s="19">
        <v>0.3</v>
      </c>
    </row>
    <row r="154" spans="1:16" ht="15" x14ac:dyDescent="0.25">
      <c r="A154" s="200"/>
      <c r="B154" s="17" t="s">
        <v>58</v>
      </c>
      <c r="C154" s="19">
        <v>0.2</v>
      </c>
      <c r="D154" s="19">
        <v>0.2</v>
      </c>
      <c r="E154" s="19">
        <v>0.2</v>
      </c>
      <c r="F154" s="19">
        <v>0.2</v>
      </c>
      <c r="G154" s="19">
        <v>0.2</v>
      </c>
      <c r="H154" s="19">
        <v>0.2</v>
      </c>
      <c r="I154" s="19">
        <v>0.2</v>
      </c>
      <c r="J154" s="19">
        <v>0.2</v>
      </c>
      <c r="K154" s="19">
        <v>0.2</v>
      </c>
      <c r="L154" s="19">
        <v>0.2</v>
      </c>
      <c r="M154" s="19">
        <v>0.2</v>
      </c>
      <c r="N154" s="19">
        <v>0.2</v>
      </c>
    </row>
    <row r="155" spans="1:16" ht="15" x14ac:dyDescent="0.25">
      <c r="A155" s="200" t="s">
        <v>194</v>
      </c>
      <c r="B155" s="17" t="s">
        <v>55</v>
      </c>
      <c r="C155" s="19">
        <v>0.5</v>
      </c>
      <c r="D155" s="19">
        <v>0.5</v>
      </c>
      <c r="E155" s="19">
        <v>0.5</v>
      </c>
      <c r="F155" s="19">
        <v>0.5</v>
      </c>
      <c r="G155" s="19">
        <v>0.5</v>
      </c>
      <c r="H155" s="19">
        <v>0.5</v>
      </c>
      <c r="I155" s="19">
        <v>0.5</v>
      </c>
      <c r="J155" s="19">
        <v>0.5</v>
      </c>
      <c r="K155" s="19">
        <v>0.5</v>
      </c>
      <c r="L155" s="19">
        <v>0.5</v>
      </c>
      <c r="M155" s="19">
        <v>0.5</v>
      </c>
      <c r="N155" s="19">
        <v>0.5</v>
      </c>
    </row>
    <row r="156" spans="1:16" ht="15" x14ac:dyDescent="0.25">
      <c r="A156" s="200"/>
      <c r="B156" s="17" t="s">
        <v>57</v>
      </c>
      <c r="C156" s="19">
        <v>0.3</v>
      </c>
      <c r="D156" s="19">
        <v>0.3</v>
      </c>
      <c r="E156" s="19">
        <v>0.3</v>
      </c>
      <c r="F156" s="19">
        <v>0.3</v>
      </c>
      <c r="G156" s="19">
        <v>0.3</v>
      </c>
      <c r="H156" s="19">
        <v>0.3</v>
      </c>
      <c r="I156" s="19">
        <v>0.3</v>
      </c>
      <c r="J156" s="19">
        <v>0.3</v>
      </c>
      <c r="K156" s="19">
        <v>0.3</v>
      </c>
      <c r="L156" s="19">
        <v>0.3</v>
      </c>
      <c r="M156" s="19">
        <v>0.3</v>
      </c>
      <c r="N156" s="19">
        <v>0.3</v>
      </c>
    </row>
    <row r="157" spans="1:16" ht="15" x14ac:dyDescent="0.25">
      <c r="A157" s="200"/>
      <c r="B157" s="17" t="s">
        <v>58</v>
      </c>
      <c r="C157" s="19">
        <v>0.2</v>
      </c>
      <c r="D157" s="19">
        <v>0.2</v>
      </c>
      <c r="E157" s="19">
        <v>0.2</v>
      </c>
      <c r="F157" s="19">
        <v>0.2</v>
      </c>
      <c r="G157" s="19">
        <v>0.2</v>
      </c>
      <c r="H157" s="19">
        <v>0.2</v>
      </c>
      <c r="I157" s="19">
        <v>0.2</v>
      </c>
      <c r="J157" s="19">
        <v>0.2</v>
      </c>
      <c r="K157" s="19">
        <v>0.2</v>
      </c>
      <c r="L157" s="19">
        <v>0.2</v>
      </c>
      <c r="M157" s="19">
        <v>0.2</v>
      </c>
      <c r="N157" s="19">
        <v>0.2</v>
      </c>
    </row>
    <row r="158" spans="1:16" ht="15" x14ac:dyDescent="0.25">
      <c r="A158" s="200" t="s">
        <v>195</v>
      </c>
      <c r="B158" s="17" t="s">
        <v>55</v>
      </c>
      <c r="C158" s="19">
        <v>0.5</v>
      </c>
      <c r="D158" s="19">
        <v>0.5</v>
      </c>
      <c r="E158" s="19">
        <v>0.5</v>
      </c>
      <c r="F158" s="19">
        <v>0.5</v>
      </c>
      <c r="G158" s="19">
        <v>0.5</v>
      </c>
      <c r="H158" s="19">
        <v>0.5</v>
      </c>
      <c r="I158" s="19">
        <v>0.5</v>
      </c>
      <c r="J158" s="19">
        <v>0.5</v>
      </c>
      <c r="K158" s="19">
        <v>0.5</v>
      </c>
      <c r="L158" s="19">
        <v>0.5</v>
      </c>
      <c r="M158" s="19">
        <v>0.5</v>
      </c>
      <c r="N158" s="19">
        <v>0.5</v>
      </c>
    </row>
    <row r="159" spans="1:16" ht="15" x14ac:dyDescent="0.25">
      <c r="A159" s="200"/>
      <c r="B159" s="17" t="s">
        <v>57</v>
      </c>
      <c r="C159" s="19">
        <v>0.3</v>
      </c>
      <c r="D159" s="19">
        <v>0.3</v>
      </c>
      <c r="E159" s="19">
        <v>0.3</v>
      </c>
      <c r="F159" s="19">
        <v>0.3</v>
      </c>
      <c r="G159" s="19">
        <v>0.3</v>
      </c>
      <c r="H159" s="19">
        <v>0.3</v>
      </c>
      <c r="I159" s="19">
        <v>0.3</v>
      </c>
      <c r="J159" s="19">
        <v>0.3</v>
      </c>
      <c r="K159" s="19">
        <v>0.3</v>
      </c>
      <c r="L159" s="19">
        <v>0.3</v>
      </c>
      <c r="M159" s="19">
        <v>0.3</v>
      </c>
      <c r="N159" s="19">
        <v>0.3</v>
      </c>
    </row>
    <row r="160" spans="1:16" ht="15" x14ac:dyDescent="0.25">
      <c r="A160" s="200"/>
      <c r="B160" s="17" t="s">
        <v>58</v>
      </c>
      <c r="C160" s="19">
        <v>0.2</v>
      </c>
      <c r="D160" s="19">
        <v>0.2</v>
      </c>
      <c r="E160" s="19">
        <v>0.2</v>
      </c>
      <c r="F160" s="19">
        <v>0.2</v>
      </c>
      <c r="G160" s="19">
        <v>0.2</v>
      </c>
      <c r="H160" s="19">
        <v>0.2</v>
      </c>
      <c r="I160" s="19">
        <v>0.2</v>
      </c>
      <c r="J160" s="19">
        <v>0.2</v>
      </c>
      <c r="K160" s="19">
        <v>0.2</v>
      </c>
      <c r="L160" s="19">
        <v>0.2</v>
      </c>
      <c r="M160" s="19">
        <v>0.2</v>
      </c>
      <c r="N160" s="19">
        <v>0.2</v>
      </c>
    </row>
    <row r="161" spans="1:14" ht="15" x14ac:dyDescent="0.25">
      <c r="A161" s="200" t="s">
        <v>196</v>
      </c>
      <c r="B161" s="17" t="s">
        <v>55</v>
      </c>
      <c r="C161" s="19">
        <v>0.5</v>
      </c>
      <c r="D161" s="19">
        <v>0.5</v>
      </c>
      <c r="E161" s="19">
        <v>0.5</v>
      </c>
      <c r="F161" s="19">
        <v>0.5</v>
      </c>
      <c r="G161" s="19">
        <v>0.5</v>
      </c>
      <c r="H161" s="19">
        <v>0.5</v>
      </c>
      <c r="I161" s="19">
        <v>0.5</v>
      </c>
      <c r="J161" s="19">
        <v>0.5</v>
      </c>
      <c r="K161" s="19">
        <v>0.5</v>
      </c>
      <c r="L161" s="19">
        <v>0.5</v>
      </c>
      <c r="M161" s="19">
        <v>0.5</v>
      </c>
      <c r="N161" s="19">
        <v>0.5</v>
      </c>
    </row>
    <row r="162" spans="1:14" ht="15" x14ac:dyDescent="0.25">
      <c r="A162" s="200"/>
      <c r="B162" s="17" t="s">
        <v>57</v>
      </c>
      <c r="C162" s="19">
        <v>0.3</v>
      </c>
      <c r="D162" s="19">
        <v>0.3</v>
      </c>
      <c r="E162" s="19">
        <v>0.3</v>
      </c>
      <c r="F162" s="19">
        <v>0.3</v>
      </c>
      <c r="G162" s="19">
        <v>0.3</v>
      </c>
      <c r="H162" s="19">
        <v>0.3</v>
      </c>
      <c r="I162" s="19">
        <v>0.3</v>
      </c>
      <c r="J162" s="19">
        <v>0.3</v>
      </c>
      <c r="K162" s="19">
        <v>0.3</v>
      </c>
      <c r="L162" s="19">
        <v>0.3</v>
      </c>
      <c r="M162" s="19">
        <v>0.3</v>
      </c>
      <c r="N162" s="19">
        <v>0.3</v>
      </c>
    </row>
    <row r="163" spans="1:14" ht="15" x14ac:dyDescent="0.25">
      <c r="A163" s="200"/>
      <c r="B163" s="17" t="s">
        <v>58</v>
      </c>
      <c r="C163" s="19">
        <v>0.2</v>
      </c>
      <c r="D163" s="19">
        <v>0.2</v>
      </c>
      <c r="E163" s="19">
        <v>0.2</v>
      </c>
      <c r="F163" s="19">
        <v>0.2</v>
      </c>
      <c r="G163" s="19">
        <v>0.2</v>
      </c>
      <c r="H163" s="19">
        <v>0.2</v>
      </c>
      <c r="I163" s="19">
        <v>0.2</v>
      </c>
      <c r="J163" s="19">
        <v>0.2</v>
      </c>
      <c r="K163" s="19">
        <v>0.2</v>
      </c>
      <c r="L163" s="19">
        <v>0.2</v>
      </c>
      <c r="M163" s="19">
        <v>0.2</v>
      </c>
      <c r="N163" s="19">
        <v>0.2</v>
      </c>
    </row>
    <row r="164" spans="1:14" ht="15" x14ac:dyDescent="0.25">
      <c r="A164" s="200" t="s">
        <v>197</v>
      </c>
      <c r="B164" s="17" t="s">
        <v>55</v>
      </c>
      <c r="C164" s="19">
        <v>0.5</v>
      </c>
      <c r="D164" s="19">
        <v>0.5</v>
      </c>
      <c r="E164" s="19">
        <v>0.5</v>
      </c>
      <c r="F164" s="19">
        <v>0.5</v>
      </c>
      <c r="G164" s="19">
        <v>0.5</v>
      </c>
      <c r="H164" s="19">
        <v>0.5</v>
      </c>
      <c r="I164" s="19">
        <v>0.5</v>
      </c>
      <c r="J164" s="19">
        <v>0.5</v>
      </c>
      <c r="K164" s="19">
        <v>0.5</v>
      </c>
      <c r="L164" s="19">
        <v>0.5</v>
      </c>
      <c r="M164" s="19">
        <v>0.5</v>
      </c>
      <c r="N164" s="19">
        <v>0.5</v>
      </c>
    </row>
    <row r="165" spans="1:14" ht="15" x14ac:dyDescent="0.25">
      <c r="A165" s="200"/>
      <c r="B165" s="17" t="s">
        <v>57</v>
      </c>
      <c r="C165" s="19">
        <v>0.3</v>
      </c>
      <c r="D165" s="19">
        <v>0.3</v>
      </c>
      <c r="E165" s="19">
        <v>0.3</v>
      </c>
      <c r="F165" s="19">
        <v>0.3</v>
      </c>
      <c r="G165" s="19">
        <v>0.3</v>
      </c>
      <c r="H165" s="19">
        <v>0.3</v>
      </c>
      <c r="I165" s="19">
        <v>0.3</v>
      </c>
      <c r="J165" s="19">
        <v>0.3</v>
      </c>
      <c r="K165" s="19">
        <v>0.3</v>
      </c>
      <c r="L165" s="19">
        <v>0.3</v>
      </c>
      <c r="M165" s="19">
        <v>0.3</v>
      </c>
      <c r="N165" s="19">
        <v>0.3</v>
      </c>
    </row>
    <row r="166" spans="1:14" ht="15" x14ac:dyDescent="0.25">
      <c r="A166" s="200"/>
      <c r="B166" s="17" t="s">
        <v>58</v>
      </c>
      <c r="C166" s="19">
        <v>0.2</v>
      </c>
      <c r="D166" s="19">
        <v>0.2</v>
      </c>
      <c r="E166" s="19">
        <v>0.2</v>
      </c>
      <c r="F166" s="19">
        <v>0.2</v>
      </c>
      <c r="G166" s="19">
        <v>0.2</v>
      </c>
      <c r="H166" s="19">
        <v>0.2</v>
      </c>
      <c r="I166" s="19">
        <v>0.2</v>
      </c>
      <c r="J166" s="19">
        <v>0.2</v>
      </c>
      <c r="K166" s="19">
        <v>0.2</v>
      </c>
      <c r="L166" s="19">
        <v>0.2</v>
      </c>
      <c r="M166" s="19">
        <v>0.2</v>
      </c>
      <c r="N166" s="19">
        <v>0.2</v>
      </c>
    </row>
    <row r="167" spans="1:14" ht="15" x14ac:dyDescent="0.25">
      <c r="A167" s="200" t="s">
        <v>198</v>
      </c>
      <c r="B167" s="17" t="s">
        <v>55</v>
      </c>
      <c r="C167" s="19">
        <v>0.5</v>
      </c>
      <c r="D167" s="19">
        <v>0.5</v>
      </c>
      <c r="E167" s="19">
        <v>0.5</v>
      </c>
      <c r="F167" s="19">
        <v>0.5</v>
      </c>
      <c r="G167" s="19">
        <v>0.5</v>
      </c>
      <c r="H167" s="19">
        <v>0.5</v>
      </c>
      <c r="I167" s="19">
        <v>0.5</v>
      </c>
      <c r="J167" s="19">
        <v>0.5</v>
      </c>
      <c r="K167" s="19">
        <v>0.5</v>
      </c>
      <c r="L167" s="19">
        <v>0.5</v>
      </c>
      <c r="M167" s="19">
        <v>0.5</v>
      </c>
      <c r="N167" s="19">
        <v>0.5</v>
      </c>
    </row>
    <row r="168" spans="1:14" ht="15" x14ac:dyDescent="0.25">
      <c r="A168" s="200"/>
      <c r="B168" s="17" t="s">
        <v>57</v>
      </c>
      <c r="C168" s="19">
        <v>0.3</v>
      </c>
      <c r="D168" s="19">
        <v>0.3</v>
      </c>
      <c r="E168" s="19">
        <v>0.3</v>
      </c>
      <c r="F168" s="19">
        <v>0.3</v>
      </c>
      <c r="G168" s="19">
        <v>0.3</v>
      </c>
      <c r="H168" s="19">
        <v>0.3</v>
      </c>
      <c r="I168" s="19">
        <v>0.3</v>
      </c>
      <c r="J168" s="19">
        <v>0.3</v>
      </c>
      <c r="K168" s="19">
        <v>0.3</v>
      </c>
      <c r="L168" s="19">
        <v>0.3</v>
      </c>
      <c r="M168" s="19">
        <v>0.3</v>
      </c>
      <c r="N168" s="19">
        <v>0.3</v>
      </c>
    </row>
    <row r="169" spans="1:14" ht="15" x14ac:dyDescent="0.25">
      <c r="A169" s="200"/>
      <c r="B169" s="17" t="s">
        <v>58</v>
      </c>
      <c r="C169" s="19">
        <v>0.2</v>
      </c>
      <c r="D169" s="19">
        <v>0.2</v>
      </c>
      <c r="E169" s="19">
        <v>0.2</v>
      </c>
      <c r="F169" s="19">
        <v>0.2</v>
      </c>
      <c r="G169" s="19">
        <v>0.2</v>
      </c>
      <c r="H169" s="19">
        <v>0.2</v>
      </c>
      <c r="I169" s="19">
        <v>0.2</v>
      </c>
      <c r="J169" s="19">
        <v>0.2</v>
      </c>
      <c r="K169" s="19">
        <v>0.2</v>
      </c>
      <c r="L169" s="19">
        <v>0.2</v>
      </c>
      <c r="M169" s="19">
        <v>0.2</v>
      </c>
      <c r="N169" s="19">
        <v>0.2</v>
      </c>
    </row>
    <row r="170" spans="1:14" ht="15" x14ac:dyDescent="0.25">
      <c r="A170" s="200" t="s">
        <v>199</v>
      </c>
      <c r="B170" s="17" t="s">
        <v>55</v>
      </c>
      <c r="C170" s="19">
        <v>0.5</v>
      </c>
      <c r="D170" s="19">
        <v>0.5</v>
      </c>
      <c r="E170" s="19">
        <v>0.5</v>
      </c>
      <c r="F170" s="19">
        <v>0.5</v>
      </c>
      <c r="G170" s="19">
        <v>0.5</v>
      </c>
      <c r="H170" s="19">
        <v>0.5</v>
      </c>
      <c r="I170" s="19">
        <v>0.5</v>
      </c>
      <c r="J170" s="19">
        <v>0.5</v>
      </c>
      <c r="K170" s="19">
        <v>0.5</v>
      </c>
      <c r="L170" s="19">
        <v>0.5</v>
      </c>
      <c r="M170" s="19">
        <v>0.5</v>
      </c>
      <c r="N170" s="19">
        <v>0.5</v>
      </c>
    </row>
    <row r="171" spans="1:14" ht="15" x14ac:dyDescent="0.25">
      <c r="A171" s="200"/>
      <c r="B171" s="17" t="s">
        <v>57</v>
      </c>
      <c r="C171" s="19">
        <v>0.3</v>
      </c>
      <c r="D171" s="19">
        <v>0.3</v>
      </c>
      <c r="E171" s="19">
        <v>0.3</v>
      </c>
      <c r="F171" s="19">
        <v>0.3</v>
      </c>
      <c r="G171" s="19">
        <v>0.3</v>
      </c>
      <c r="H171" s="19">
        <v>0.3</v>
      </c>
      <c r="I171" s="19">
        <v>0.3</v>
      </c>
      <c r="J171" s="19">
        <v>0.3</v>
      </c>
      <c r="K171" s="19">
        <v>0.3</v>
      </c>
      <c r="L171" s="19">
        <v>0.3</v>
      </c>
      <c r="M171" s="19">
        <v>0.3</v>
      </c>
      <c r="N171" s="19">
        <v>0.3</v>
      </c>
    </row>
    <row r="172" spans="1:14" ht="15" x14ac:dyDescent="0.25">
      <c r="A172" s="200"/>
      <c r="B172" s="17" t="s">
        <v>58</v>
      </c>
      <c r="C172" s="19">
        <v>0.2</v>
      </c>
      <c r="D172" s="19">
        <v>0.2</v>
      </c>
      <c r="E172" s="19">
        <v>0.2</v>
      </c>
      <c r="F172" s="19">
        <v>0.2</v>
      </c>
      <c r="G172" s="19">
        <v>0.2</v>
      </c>
      <c r="H172" s="19">
        <v>0.2</v>
      </c>
      <c r="I172" s="19">
        <v>0.2</v>
      </c>
      <c r="J172" s="19">
        <v>0.2</v>
      </c>
      <c r="K172" s="19">
        <v>0.2</v>
      </c>
      <c r="L172" s="19">
        <v>0.2</v>
      </c>
      <c r="M172" s="19">
        <v>0.2</v>
      </c>
      <c r="N172" s="19">
        <v>0.2</v>
      </c>
    </row>
    <row r="173" spans="1:14" ht="15" x14ac:dyDescent="0.25">
      <c r="A173" s="200" t="s">
        <v>200</v>
      </c>
      <c r="B173" s="17" t="s">
        <v>55</v>
      </c>
      <c r="C173" s="19">
        <v>0.5</v>
      </c>
      <c r="D173" s="19">
        <v>0.5</v>
      </c>
      <c r="E173" s="19">
        <v>0.5</v>
      </c>
      <c r="F173" s="19">
        <v>0.5</v>
      </c>
      <c r="G173" s="19">
        <v>0.5</v>
      </c>
      <c r="H173" s="19">
        <v>0.5</v>
      </c>
      <c r="I173" s="19">
        <v>0.5</v>
      </c>
      <c r="J173" s="19">
        <v>0.5</v>
      </c>
      <c r="K173" s="19">
        <v>0.5</v>
      </c>
      <c r="L173" s="19">
        <v>0.5</v>
      </c>
      <c r="M173" s="19">
        <v>0.5</v>
      </c>
      <c r="N173" s="19">
        <v>0.5</v>
      </c>
    </row>
    <row r="174" spans="1:14" ht="15" x14ac:dyDescent="0.25">
      <c r="A174" s="200"/>
      <c r="B174" s="17" t="s">
        <v>57</v>
      </c>
      <c r="C174" s="19">
        <v>0.3</v>
      </c>
      <c r="D174" s="19">
        <v>0.3</v>
      </c>
      <c r="E174" s="19">
        <v>0.3</v>
      </c>
      <c r="F174" s="19">
        <v>0.3</v>
      </c>
      <c r="G174" s="19">
        <v>0.3</v>
      </c>
      <c r="H174" s="19">
        <v>0.3</v>
      </c>
      <c r="I174" s="19">
        <v>0.3</v>
      </c>
      <c r="J174" s="19">
        <v>0.3</v>
      </c>
      <c r="K174" s="19">
        <v>0.3</v>
      </c>
      <c r="L174" s="19">
        <v>0.3</v>
      </c>
      <c r="M174" s="19">
        <v>0.3</v>
      </c>
      <c r="N174" s="19">
        <v>0.3</v>
      </c>
    </row>
    <row r="175" spans="1:14" ht="15" x14ac:dyDescent="0.25">
      <c r="A175" s="200"/>
      <c r="B175" s="17" t="s">
        <v>58</v>
      </c>
      <c r="C175" s="19">
        <v>0.2</v>
      </c>
      <c r="D175" s="19">
        <v>0.2</v>
      </c>
      <c r="E175" s="19">
        <v>0.2</v>
      </c>
      <c r="F175" s="19">
        <v>0.2</v>
      </c>
      <c r="G175" s="19">
        <v>0.2</v>
      </c>
      <c r="H175" s="19">
        <v>0.2</v>
      </c>
      <c r="I175" s="19">
        <v>0.2</v>
      </c>
      <c r="J175" s="19">
        <v>0.2</v>
      </c>
      <c r="K175" s="19">
        <v>0.2</v>
      </c>
      <c r="L175" s="19">
        <v>0.2</v>
      </c>
      <c r="M175" s="19">
        <v>0.2</v>
      </c>
      <c r="N175" s="19">
        <v>0.2</v>
      </c>
    </row>
    <row r="176" spans="1:14" ht="15" x14ac:dyDescent="0.25">
      <c r="A176" s="200" t="s">
        <v>201</v>
      </c>
      <c r="B176" s="17" t="s">
        <v>55</v>
      </c>
      <c r="C176" s="19">
        <v>0.5</v>
      </c>
      <c r="D176" s="19">
        <v>0.5</v>
      </c>
      <c r="E176" s="19">
        <v>0.5</v>
      </c>
      <c r="F176" s="19">
        <v>0.5</v>
      </c>
      <c r="G176" s="19">
        <v>0.5</v>
      </c>
      <c r="H176" s="19">
        <v>0.5</v>
      </c>
      <c r="I176" s="19">
        <v>0.5</v>
      </c>
      <c r="J176" s="19">
        <v>0.5</v>
      </c>
      <c r="K176" s="19">
        <v>0.5</v>
      </c>
      <c r="L176" s="19">
        <v>0.5</v>
      </c>
      <c r="M176" s="19">
        <v>0.5</v>
      </c>
      <c r="N176" s="19">
        <v>0.5</v>
      </c>
    </row>
    <row r="177" spans="1:14" ht="15" x14ac:dyDescent="0.25">
      <c r="A177" s="200"/>
      <c r="B177" s="17" t="s">
        <v>57</v>
      </c>
      <c r="C177" s="19">
        <v>0.3</v>
      </c>
      <c r="D177" s="19">
        <v>0.3</v>
      </c>
      <c r="E177" s="19">
        <v>0.3</v>
      </c>
      <c r="F177" s="19">
        <v>0.3</v>
      </c>
      <c r="G177" s="19">
        <v>0.3</v>
      </c>
      <c r="H177" s="19">
        <v>0.3</v>
      </c>
      <c r="I177" s="19">
        <v>0.3</v>
      </c>
      <c r="J177" s="19">
        <v>0.3</v>
      </c>
      <c r="K177" s="19">
        <v>0.3</v>
      </c>
      <c r="L177" s="19">
        <v>0.3</v>
      </c>
      <c r="M177" s="19">
        <v>0.3</v>
      </c>
      <c r="N177" s="19">
        <v>0.3</v>
      </c>
    </row>
    <row r="178" spans="1:14" ht="15" x14ac:dyDescent="0.25">
      <c r="A178" s="200"/>
      <c r="B178" s="17" t="s">
        <v>58</v>
      </c>
      <c r="C178" s="19">
        <v>0.2</v>
      </c>
      <c r="D178" s="19">
        <v>0.2</v>
      </c>
      <c r="E178" s="19">
        <v>0.2</v>
      </c>
      <c r="F178" s="19">
        <v>0.2</v>
      </c>
      <c r="G178" s="19">
        <v>0.2</v>
      </c>
      <c r="H178" s="19">
        <v>0.2</v>
      </c>
      <c r="I178" s="19">
        <v>0.2</v>
      </c>
      <c r="J178" s="19">
        <v>0.2</v>
      </c>
      <c r="K178" s="19">
        <v>0.2</v>
      </c>
      <c r="L178" s="19">
        <v>0.2</v>
      </c>
      <c r="M178" s="19">
        <v>0.2</v>
      </c>
      <c r="N178" s="19">
        <v>0.2</v>
      </c>
    </row>
    <row r="179" spans="1:14" ht="15" x14ac:dyDescent="0.25">
      <c r="A179" s="200" t="s">
        <v>202</v>
      </c>
      <c r="B179" s="17" t="s">
        <v>55</v>
      </c>
      <c r="C179" s="19">
        <v>0.5</v>
      </c>
      <c r="D179" s="19">
        <v>0.5</v>
      </c>
      <c r="E179" s="19">
        <v>0.5</v>
      </c>
      <c r="F179" s="19">
        <v>0.5</v>
      </c>
      <c r="G179" s="19">
        <v>0.5</v>
      </c>
      <c r="H179" s="19">
        <v>0.5</v>
      </c>
      <c r="I179" s="19">
        <v>0.5</v>
      </c>
      <c r="J179" s="19">
        <v>0.5</v>
      </c>
      <c r="K179" s="19">
        <v>0.5</v>
      </c>
      <c r="L179" s="19">
        <v>0.5</v>
      </c>
      <c r="M179" s="19">
        <v>0.5</v>
      </c>
      <c r="N179" s="19">
        <v>0.5</v>
      </c>
    </row>
    <row r="180" spans="1:14" ht="15" x14ac:dyDescent="0.25">
      <c r="A180" s="200"/>
      <c r="B180" s="17" t="s">
        <v>57</v>
      </c>
      <c r="C180" s="19">
        <v>0.3</v>
      </c>
      <c r="D180" s="19">
        <v>0.3</v>
      </c>
      <c r="E180" s="19">
        <v>0.3</v>
      </c>
      <c r="F180" s="19">
        <v>0.3</v>
      </c>
      <c r="G180" s="19">
        <v>0.3</v>
      </c>
      <c r="H180" s="19">
        <v>0.3</v>
      </c>
      <c r="I180" s="19">
        <v>0.3</v>
      </c>
      <c r="J180" s="19">
        <v>0.3</v>
      </c>
      <c r="K180" s="19">
        <v>0.3</v>
      </c>
      <c r="L180" s="19">
        <v>0.3</v>
      </c>
      <c r="M180" s="19">
        <v>0.3</v>
      </c>
      <c r="N180" s="19">
        <v>0.3</v>
      </c>
    </row>
    <row r="181" spans="1:14" ht="15" x14ac:dyDescent="0.25">
      <c r="A181" s="200"/>
      <c r="B181" s="17" t="s">
        <v>58</v>
      </c>
      <c r="C181" s="19">
        <v>0.2</v>
      </c>
      <c r="D181" s="19">
        <v>0.2</v>
      </c>
      <c r="E181" s="19">
        <v>0.2</v>
      </c>
      <c r="F181" s="19">
        <v>0.2</v>
      </c>
      <c r="G181" s="19">
        <v>0.2</v>
      </c>
      <c r="H181" s="19">
        <v>0.2</v>
      </c>
      <c r="I181" s="19">
        <v>0.2</v>
      </c>
      <c r="J181" s="19">
        <v>0.2</v>
      </c>
      <c r="K181" s="19">
        <v>0.2</v>
      </c>
      <c r="L181" s="19">
        <v>0.2</v>
      </c>
      <c r="M181" s="19">
        <v>0.2</v>
      </c>
      <c r="N181" s="19">
        <v>0.2</v>
      </c>
    </row>
    <row r="182" spans="1:14" ht="15" x14ac:dyDescent="0.25">
      <c r="A182" s="200" t="s">
        <v>203</v>
      </c>
      <c r="B182" s="17" t="s">
        <v>55</v>
      </c>
      <c r="C182" s="19">
        <v>0.5</v>
      </c>
      <c r="D182" s="19">
        <v>0.5</v>
      </c>
      <c r="E182" s="19">
        <v>0.5</v>
      </c>
      <c r="F182" s="19">
        <v>0.5</v>
      </c>
      <c r="G182" s="19">
        <v>0.5</v>
      </c>
      <c r="H182" s="19">
        <v>0.5</v>
      </c>
      <c r="I182" s="19">
        <v>0.5</v>
      </c>
      <c r="J182" s="19">
        <v>0.5</v>
      </c>
      <c r="K182" s="19">
        <v>0.5</v>
      </c>
      <c r="L182" s="19">
        <v>0.5</v>
      </c>
      <c r="M182" s="19">
        <v>0.5</v>
      </c>
      <c r="N182" s="19">
        <v>0.5</v>
      </c>
    </row>
    <row r="183" spans="1:14" ht="15" x14ac:dyDescent="0.25">
      <c r="A183" s="200"/>
      <c r="B183" s="17" t="s">
        <v>57</v>
      </c>
      <c r="C183" s="19">
        <v>0.3</v>
      </c>
      <c r="D183" s="19">
        <v>0.3</v>
      </c>
      <c r="E183" s="19">
        <v>0.3</v>
      </c>
      <c r="F183" s="19">
        <v>0.3</v>
      </c>
      <c r="G183" s="19">
        <v>0.3</v>
      </c>
      <c r="H183" s="19">
        <v>0.3</v>
      </c>
      <c r="I183" s="19">
        <v>0.3</v>
      </c>
      <c r="J183" s="19">
        <v>0.3</v>
      </c>
      <c r="K183" s="19">
        <v>0.3</v>
      </c>
      <c r="L183" s="19">
        <v>0.3</v>
      </c>
      <c r="M183" s="19">
        <v>0.3</v>
      </c>
      <c r="N183" s="19">
        <v>0.3</v>
      </c>
    </row>
    <row r="184" spans="1:14" ht="15" x14ac:dyDescent="0.25">
      <c r="A184" s="200"/>
      <c r="B184" s="17" t="s">
        <v>58</v>
      </c>
      <c r="C184" s="19">
        <v>0.2</v>
      </c>
      <c r="D184" s="19">
        <v>0.2</v>
      </c>
      <c r="E184" s="19">
        <v>0.2</v>
      </c>
      <c r="F184" s="19">
        <v>0.2</v>
      </c>
      <c r="G184" s="19">
        <v>0.2</v>
      </c>
      <c r="H184" s="19">
        <v>0.2</v>
      </c>
      <c r="I184" s="19">
        <v>0.2</v>
      </c>
      <c r="J184" s="19">
        <v>0.2</v>
      </c>
      <c r="K184" s="19">
        <v>0.2</v>
      </c>
      <c r="L184" s="19">
        <v>0.2</v>
      </c>
      <c r="M184" s="19">
        <v>0.2</v>
      </c>
      <c r="N184" s="19">
        <v>0.2</v>
      </c>
    </row>
    <row r="185" spans="1:14" ht="15" x14ac:dyDescent="0.25">
      <c r="A185" s="200" t="s">
        <v>204</v>
      </c>
      <c r="B185" s="17" t="s">
        <v>55</v>
      </c>
      <c r="C185" s="19">
        <v>0.5</v>
      </c>
      <c r="D185" s="19">
        <v>0.5</v>
      </c>
      <c r="E185" s="19">
        <v>0.5</v>
      </c>
      <c r="F185" s="19">
        <v>0.5</v>
      </c>
      <c r="G185" s="19">
        <v>0.5</v>
      </c>
      <c r="H185" s="19">
        <v>0.5</v>
      </c>
      <c r="I185" s="19">
        <v>0.5</v>
      </c>
      <c r="J185" s="19">
        <v>0.5</v>
      </c>
      <c r="K185" s="19">
        <v>0.5</v>
      </c>
      <c r="L185" s="19">
        <v>0.5</v>
      </c>
      <c r="M185" s="19">
        <v>0.5</v>
      </c>
      <c r="N185" s="19">
        <v>0.5</v>
      </c>
    </row>
    <row r="186" spans="1:14" ht="15" x14ac:dyDescent="0.25">
      <c r="A186" s="200"/>
      <c r="B186" s="17" t="s">
        <v>57</v>
      </c>
      <c r="C186" s="19">
        <v>0.3</v>
      </c>
      <c r="D186" s="19">
        <v>0.3</v>
      </c>
      <c r="E186" s="19">
        <v>0.3</v>
      </c>
      <c r="F186" s="19">
        <v>0.3</v>
      </c>
      <c r="G186" s="19">
        <v>0.3</v>
      </c>
      <c r="H186" s="19">
        <v>0.3</v>
      </c>
      <c r="I186" s="19">
        <v>0.3</v>
      </c>
      <c r="J186" s="19">
        <v>0.3</v>
      </c>
      <c r="K186" s="19">
        <v>0.3</v>
      </c>
      <c r="L186" s="19">
        <v>0.3</v>
      </c>
      <c r="M186" s="19">
        <v>0.3</v>
      </c>
      <c r="N186" s="19">
        <v>0.3</v>
      </c>
    </row>
    <row r="187" spans="1:14" ht="15" x14ac:dyDescent="0.25">
      <c r="A187" s="200"/>
      <c r="B187" s="17" t="s">
        <v>58</v>
      </c>
      <c r="C187" s="19">
        <v>0.2</v>
      </c>
      <c r="D187" s="19">
        <v>0.2</v>
      </c>
      <c r="E187" s="19">
        <v>0.2</v>
      </c>
      <c r="F187" s="19">
        <v>0.2</v>
      </c>
      <c r="G187" s="19">
        <v>0.2</v>
      </c>
      <c r="H187" s="19">
        <v>0.2</v>
      </c>
      <c r="I187" s="19">
        <v>0.2</v>
      </c>
      <c r="J187" s="19">
        <v>0.2</v>
      </c>
      <c r="K187" s="19">
        <v>0.2</v>
      </c>
      <c r="L187" s="19">
        <v>0.2</v>
      </c>
      <c r="M187" s="19">
        <v>0.2</v>
      </c>
      <c r="N187" s="19">
        <v>0.2</v>
      </c>
    </row>
    <row r="188" spans="1:14" ht="15" x14ac:dyDescent="0.25">
      <c r="A188" s="200" t="s">
        <v>205</v>
      </c>
      <c r="B188" s="17" t="s">
        <v>55</v>
      </c>
      <c r="C188" s="19">
        <v>0.5</v>
      </c>
      <c r="D188" s="19">
        <v>0.5</v>
      </c>
      <c r="E188" s="19">
        <v>0.5</v>
      </c>
      <c r="F188" s="19">
        <v>0.5</v>
      </c>
      <c r="G188" s="19">
        <v>0.5</v>
      </c>
      <c r="H188" s="19">
        <v>0.5</v>
      </c>
      <c r="I188" s="19">
        <v>0.5</v>
      </c>
      <c r="J188" s="19">
        <v>0.5</v>
      </c>
      <c r="K188" s="19">
        <v>0.5</v>
      </c>
      <c r="L188" s="19">
        <v>0.5</v>
      </c>
      <c r="M188" s="19">
        <v>0.5</v>
      </c>
      <c r="N188" s="19">
        <v>0.5</v>
      </c>
    </row>
    <row r="189" spans="1:14" ht="15" x14ac:dyDescent="0.25">
      <c r="A189" s="200"/>
      <c r="B189" s="17" t="s">
        <v>57</v>
      </c>
      <c r="C189" s="19">
        <v>0.3</v>
      </c>
      <c r="D189" s="19">
        <v>0.3</v>
      </c>
      <c r="E189" s="19">
        <v>0.3</v>
      </c>
      <c r="F189" s="19">
        <v>0.3</v>
      </c>
      <c r="G189" s="19">
        <v>0.3</v>
      </c>
      <c r="H189" s="19">
        <v>0.3</v>
      </c>
      <c r="I189" s="19">
        <v>0.3</v>
      </c>
      <c r="J189" s="19">
        <v>0.3</v>
      </c>
      <c r="K189" s="19">
        <v>0.3</v>
      </c>
      <c r="L189" s="19">
        <v>0.3</v>
      </c>
      <c r="M189" s="19">
        <v>0.3</v>
      </c>
      <c r="N189" s="19">
        <v>0.3</v>
      </c>
    </row>
    <row r="190" spans="1:14" ht="15" x14ac:dyDescent="0.25">
      <c r="A190" s="200"/>
      <c r="B190" s="17" t="s">
        <v>58</v>
      </c>
      <c r="C190" s="19">
        <v>0.2</v>
      </c>
      <c r="D190" s="19">
        <v>0.2</v>
      </c>
      <c r="E190" s="19">
        <v>0.2</v>
      </c>
      <c r="F190" s="19">
        <v>0.2</v>
      </c>
      <c r="G190" s="19">
        <v>0.2</v>
      </c>
      <c r="H190" s="19">
        <v>0.2</v>
      </c>
      <c r="I190" s="19">
        <v>0.2</v>
      </c>
      <c r="J190" s="19">
        <v>0.2</v>
      </c>
      <c r="K190" s="19">
        <v>0.2</v>
      </c>
      <c r="L190" s="19">
        <v>0.2</v>
      </c>
      <c r="M190" s="19">
        <v>0.2</v>
      </c>
      <c r="N190" s="19">
        <v>0.2</v>
      </c>
    </row>
    <row r="191" spans="1:14" ht="15" x14ac:dyDescent="0.25">
      <c r="A191" s="200" t="s">
        <v>206</v>
      </c>
      <c r="B191" s="17" t="s">
        <v>55</v>
      </c>
      <c r="C191" s="19">
        <v>0.5</v>
      </c>
      <c r="D191" s="19">
        <v>0.5</v>
      </c>
      <c r="E191" s="19">
        <v>0.5</v>
      </c>
      <c r="F191" s="19">
        <v>0.5</v>
      </c>
      <c r="G191" s="19">
        <v>0.5</v>
      </c>
      <c r="H191" s="19">
        <v>0.5</v>
      </c>
      <c r="I191" s="19">
        <v>0.5</v>
      </c>
      <c r="J191" s="19">
        <v>0.5</v>
      </c>
      <c r="K191" s="19">
        <v>0.5</v>
      </c>
      <c r="L191" s="19">
        <v>0.5</v>
      </c>
      <c r="M191" s="19">
        <v>0.5</v>
      </c>
      <c r="N191" s="19">
        <v>0.5</v>
      </c>
    </row>
    <row r="192" spans="1:14" ht="15" x14ac:dyDescent="0.25">
      <c r="A192" s="200"/>
      <c r="B192" s="17" t="s">
        <v>57</v>
      </c>
      <c r="C192" s="19">
        <v>0.3</v>
      </c>
      <c r="D192" s="19">
        <v>0.3</v>
      </c>
      <c r="E192" s="19">
        <v>0.3</v>
      </c>
      <c r="F192" s="19">
        <v>0.3</v>
      </c>
      <c r="G192" s="19">
        <v>0.3</v>
      </c>
      <c r="H192" s="19">
        <v>0.3</v>
      </c>
      <c r="I192" s="19">
        <v>0.3</v>
      </c>
      <c r="J192" s="19">
        <v>0.3</v>
      </c>
      <c r="K192" s="19">
        <v>0.3</v>
      </c>
      <c r="L192" s="19">
        <v>0.3</v>
      </c>
      <c r="M192" s="19">
        <v>0.3</v>
      </c>
      <c r="N192" s="19">
        <v>0.3</v>
      </c>
    </row>
    <row r="193" spans="1:14" ht="15" x14ac:dyDescent="0.25">
      <c r="A193" s="200"/>
      <c r="B193" s="17" t="s">
        <v>58</v>
      </c>
      <c r="C193" s="19">
        <v>0.2</v>
      </c>
      <c r="D193" s="19">
        <v>0.2</v>
      </c>
      <c r="E193" s="19">
        <v>0.2</v>
      </c>
      <c r="F193" s="19">
        <v>0.2</v>
      </c>
      <c r="G193" s="19">
        <v>0.2</v>
      </c>
      <c r="H193" s="19">
        <v>0.2</v>
      </c>
      <c r="I193" s="19">
        <v>0.2</v>
      </c>
      <c r="J193" s="19">
        <v>0.2</v>
      </c>
      <c r="K193" s="19">
        <v>0.2</v>
      </c>
      <c r="L193" s="19">
        <v>0.2</v>
      </c>
      <c r="M193" s="19">
        <v>0.2</v>
      </c>
      <c r="N193" s="19">
        <v>0.2</v>
      </c>
    </row>
    <row r="194" spans="1:14" ht="15" x14ac:dyDescent="0.25">
      <c r="A194" s="200" t="s">
        <v>207</v>
      </c>
      <c r="B194" s="17" t="s">
        <v>55</v>
      </c>
      <c r="C194" s="19">
        <v>0.5</v>
      </c>
      <c r="D194" s="19">
        <v>0.5</v>
      </c>
      <c r="E194" s="19">
        <v>0.5</v>
      </c>
      <c r="F194" s="19">
        <v>0.5</v>
      </c>
      <c r="G194" s="19">
        <v>0.5</v>
      </c>
      <c r="H194" s="19">
        <v>0.5</v>
      </c>
      <c r="I194" s="19">
        <v>0.5</v>
      </c>
      <c r="J194" s="19">
        <v>0.5</v>
      </c>
      <c r="K194" s="19">
        <v>0.5</v>
      </c>
      <c r="L194" s="19">
        <v>0.5</v>
      </c>
      <c r="M194" s="19">
        <v>0.5</v>
      </c>
      <c r="N194" s="19">
        <v>0.5</v>
      </c>
    </row>
    <row r="195" spans="1:14" ht="15" x14ac:dyDescent="0.25">
      <c r="A195" s="200"/>
      <c r="B195" s="17" t="s">
        <v>57</v>
      </c>
      <c r="C195" s="19">
        <v>0.3</v>
      </c>
      <c r="D195" s="19">
        <v>0.3</v>
      </c>
      <c r="E195" s="19">
        <v>0.3</v>
      </c>
      <c r="F195" s="19">
        <v>0.3</v>
      </c>
      <c r="G195" s="19">
        <v>0.3</v>
      </c>
      <c r="H195" s="19">
        <v>0.3</v>
      </c>
      <c r="I195" s="19">
        <v>0.3</v>
      </c>
      <c r="J195" s="19">
        <v>0.3</v>
      </c>
      <c r="K195" s="19">
        <v>0.3</v>
      </c>
      <c r="L195" s="19">
        <v>0.3</v>
      </c>
      <c r="M195" s="19">
        <v>0.3</v>
      </c>
      <c r="N195" s="19">
        <v>0.3</v>
      </c>
    </row>
    <row r="196" spans="1:14" ht="15" x14ac:dyDescent="0.25">
      <c r="A196" s="200"/>
      <c r="B196" s="17" t="s">
        <v>58</v>
      </c>
      <c r="C196" s="19">
        <v>0.2</v>
      </c>
      <c r="D196" s="19">
        <v>0.2</v>
      </c>
      <c r="E196" s="19">
        <v>0.2</v>
      </c>
      <c r="F196" s="19">
        <v>0.2</v>
      </c>
      <c r="G196" s="19">
        <v>0.2</v>
      </c>
      <c r="H196" s="19">
        <v>0.2</v>
      </c>
      <c r="I196" s="19">
        <v>0.2</v>
      </c>
      <c r="J196" s="19">
        <v>0.2</v>
      </c>
      <c r="K196" s="19">
        <v>0.2</v>
      </c>
      <c r="L196" s="19">
        <v>0.2</v>
      </c>
      <c r="M196" s="19">
        <v>0.2</v>
      </c>
      <c r="N196" s="19">
        <v>0.2</v>
      </c>
    </row>
    <row r="197" spans="1:14" ht="15" x14ac:dyDescent="0.25">
      <c r="A197" s="200" t="s">
        <v>208</v>
      </c>
      <c r="B197" s="17" t="s">
        <v>55</v>
      </c>
      <c r="C197" s="19">
        <v>0.5</v>
      </c>
      <c r="D197" s="19">
        <v>0.5</v>
      </c>
      <c r="E197" s="19">
        <v>0.5</v>
      </c>
      <c r="F197" s="19">
        <v>0.5</v>
      </c>
      <c r="G197" s="19">
        <v>0.5</v>
      </c>
      <c r="H197" s="19">
        <v>0.5</v>
      </c>
      <c r="I197" s="19">
        <v>0.5</v>
      </c>
      <c r="J197" s="19">
        <v>0.5</v>
      </c>
      <c r="K197" s="19">
        <v>0.5</v>
      </c>
      <c r="L197" s="19">
        <v>0.5</v>
      </c>
      <c r="M197" s="19">
        <v>0.5</v>
      </c>
      <c r="N197" s="19">
        <v>0.5</v>
      </c>
    </row>
    <row r="198" spans="1:14" ht="15" x14ac:dyDescent="0.25">
      <c r="A198" s="200"/>
      <c r="B198" s="17" t="s">
        <v>57</v>
      </c>
      <c r="C198" s="19">
        <v>0.3</v>
      </c>
      <c r="D198" s="19">
        <v>0.3</v>
      </c>
      <c r="E198" s="19">
        <v>0.3</v>
      </c>
      <c r="F198" s="19">
        <v>0.3</v>
      </c>
      <c r="G198" s="19">
        <v>0.3</v>
      </c>
      <c r="H198" s="19">
        <v>0.3</v>
      </c>
      <c r="I198" s="19">
        <v>0.3</v>
      </c>
      <c r="J198" s="19">
        <v>0.3</v>
      </c>
      <c r="K198" s="19">
        <v>0.3</v>
      </c>
      <c r="L198" s="19">
        <v>0.3</v>
      </c>
      <c r="M198" s="19">
        <v>0.3</v>
      </c>
      <c r="N198" s="19">
        <v>0.3</v>
      </c>
    </row>
    <row r="199" spans="1:14" ht="15" x14ac:dyDescent="0.25">
      <c r="A199" s="200"/>
      <c r="B199" s="17" t="s">
        <v>58</v>
      </c>
      <c r="C199" s="19">
        <v>0.2</v>
      </c>
      <c r="D199" s="19">
        <v>0.2</v>
      </c>
      <c r="E199" s="19">
        <v>0.2</v>
      </c>
      <c r="F199" s="19">
        <v>0.2</v>
      </c>
      <c r="G199" s="19">
        <v>0.2</v>
      </c>
      <c r="H199" s="19">
        <v>0.2</v>
      </c>
      <c r="I199" s="19">
        <v>0.2</v>
      </c>
      <c r="J199" s="19">
        <v>0.2</v>
      </c>
      <c r="K199" s="19">
        <v>0.2</v>
      </c>
      <c r="L199" s="19">
        <v>0.2</v>
      </c>
      <c r="M199" s="19">
        <v>0.2</v>
      </c>
      <c r="N199" s="19">
        <v>0.2</v>
      </c>
    </row>
    <row r="200" spans="1:14" ht="15" x14ac:dyDescent="0.25">
      <c r="A200" s="200" t="s">
        <v>209</v>
      </c>
      <c r="B200" s="17" t="s">
        <v>55</v>
      </c>
      <c r="C200" s="19">
        <v>0.5</v>
      </c>
      <c r="D200" s="19">
        <v>0.5</v>
      </c>
      <c r="E200" s="19">
        <v>0.5</v>
      </c>
      <c r="F200" s="19">
        <v>0.5</v>
      </c>
      <c r="G200" s="19">
        <v>0.5</v>
      </c>
      <c r="H200" s="19">
        <v>0.5</v>
      </c>
      <c r="I200" s="19">
        <v>0.5</v>
      </c>
      <c r="J200" s="19">
        <v>0.5</v>
      </c>
      <c r="K200" s="19">
        <v>0.5</v>
      </c>
      <c r="L200" s="19">
        <v>0.5</v>
      </c>
      <c r="M200" s="19">
        <v>0.5</v>
      </c>
      <c r="N200" s="19">
        <v>0.5</v>
      </c>
    </row>
    <row r="201" spans="1:14" ht="15" x14ac:dyDescent="0.25">
      <c r="A201" s="200"/>
      <c r="B201" s="17" t="s">
        <v>57</v>
      </c>
      <c r="C201" s="19">
        <v>0.3</v>
      </c>
      <c r="D201" s="19">
        <v>0.3</v>
      </c>
      <c r="E201" s="19">
        <v>0.3</v>
      </c>
      <c r="F201" s="19">
        <v>0.3</v>
      </c>
      <c r="G201" s="19">
        <v>0.3</v>
      </c>
      <c r="H201" s="19">
        <v>0.3</v>
      </c>
      <c r="I201" s="19">
        <v>0.3</v>
      </c>
      <c r="J201" s="19">
        <v>0.3</v>
      </c>
      <c r="K201" s="19">
        <v>0.3</v>
      </c>
      <c r="L201" s="19">
        <v>0.3</v>
      </c>
      <c r="M201" s="19">
        <v>0.3</v>
      </c>
      <c r="N201" s="19">
        <v>0.3</v>
      </c>
    </row>
    <row r="202" spans="1:14" ht="15" x14ac:dyDescent="0.25">
      <c r="A202" s="200"/>
      <c r="B202" s="17" t="s">
        <v>58</v>
      </c>
      <c r="C202" s="19">
        <v>0.2</v>
      </c>
      <c r="D202" s="19">
        <v>0.2</v>
      </c>
      <c r="E202" s="19">
        <v>0.2</v>
      </c>
      <c r="F202" s="19">
        <v>0.2</v>
      </c>
      <c r="G202" s="19">
        <v>0.2</v>
      </c>
      <c r="H202" s="19">
        <v>0.2</v>
      </c>
      <c r="I202" s="19">
        <v>0.2</v>
      </c>
      <c r="J202" s="19">
        <v>0.2</v>
      </c>
      <c r="K202" s="19">
        <v>0.2</v>
      </c>
      <c r="L202" s="19">
        <v>0.2</v>
      </c>
      <c r="M202" s="19">
        <v>0.2</v>
      </c>
      <c r="N202" s="19">
        <v>0.2</v>
      </c>
    </row>
    <row r="203" spans="1:14" ht="15" x14ac:dyDescent="0.25">
      <c r="A203" s="200" t="s">
        <v>210</v>
      </c>
      <c r="B203" s="17" t="s">
        <v>55</v>
      </c>
      <c r="C203" s="19">
        <v>0.5</v>
      </c>
      <c r="D203" s="19">
        <v>0.5</v>
      </c>
      <c r="E203" s="19">
        <v>0.5</v>
      </c>
      <c r="F203" s="19">
        <v>0.5</v>
      </c>
      <c r="G203" s="19">
        <v>0.5</v>
      </c>
      <c r="H203" s="19">
        <v>0.5</v>
      </c>
      <c r="I203" s="19">
        <v>0.5</v>
      </c>
      <c r="J203" s="19">
        <v>0.5</v>
      </c>
      <c r="K203" s="19">
        <v>0.5</v>
      </c>
      <c r="L203" s="19">
        <v>0.5</v>
      </c>
      <c r="M203" s="19">
        <v>0.5</v>
      </c>
      <c r="N203" s="19">
        <v>0.5</v>
      </c>
    </row>
    <row r="204" spans="1:14" ht="15" x14ac:dyDescent="0.25">
      <c r="A204" s="200"/>
      <c r="B204" s="17" t="s">
        <v>57</v>
      </c>
      <c r="C204" s="19">
        <v>0.3</v>
      </c>
      <c r="D204" s="19">
        <v>0.3</v>
      </c>
      <c r="E204" s="19">
        <v>0.3</v>
      </c>
      <c r="F204" s="19">
        <v>0.3</v>
      </c>
      <c r="G204" s="19">
        <v>0.3</v>
      </c>
      <c r="H204" s="19">
        <v>0.3</v>
      </c>
      <c r="I204" s="19">
        <v>0.3</v>
      </c>
      <c r="J204" s="19">
        <v>0.3</v>
      </c>
      <c r="K204" s="19">
        <v>0.3</v>
      </c>
      <c r="L204" s="19">
        <v>0.3</v>
      </c>
      <c r="M204" s="19">
        <v>0.3</v>
      </c>
      <c r="N204" s="19">
        <v>0.3</v>
      </c>
    </row>
    <row r="205" spans="1:14" ht="15" x14ac:dyDescent="0.25">
      <c r="A205" s="200"/>
      <c r="B205" s="17" t="s">
        <v>58</v>
      </c>
      <c r="C205" s="19">
        <v>0.2</v>
      </c>
      <c r="D205" s="19">
        <v>0.2</v>
      </c>
      <c r="E205" s="19">
        <v>0.2</v>
      </c>
      <c r="F205" s="19">
        <v>0.2</v>
      </c>
      <c r="G205" s="19">
        <v>0.2</v>
      </c>
      <c r="H205" s="19">
        <v>0.2</v>
      </c>
      <c r="I205" s="19">
        <v>0.2</v>
      </c>
      <c r="J205" s="19">
        <v>0.2</v>
      </c>
      <c r="K205" s="19">
        <v>0.2</v>
      </c>
      <c r="L205" s="19">
        <v>0.2</v>
      </c>
      <c r="M205" s="19">
        <v>0.2</v>
      </c>
      <c r="N205" s="19">
        <v>0.2</v>
      </c>
    </row>
    <row r="206" spans="1:14" ht="15" x14ac:dyDescent="0.25">
      <c r="A206" s="200" t="s">
        <v>211</v>
      </c>
      <c r="B206" s="17" t="s">
        <v>55</v>
      </c>
      <c r="C206" s="19">
        <v>0.5</v>
      </c>
      <c r="D206" s="19">
        <v>0.5</v>
      </c>
      <c r="E206" s="19">
        <v>0.5</v>
      </c>
      <c r="F206" s="19">
        <v>0.5</v>
      </c>
      <c r="G206" s="19">
        <v>0.5</v>
      </c>
      <c r="H206" s="19">
        <v>0.5</v>
      </c>
      <c r="I206" s="19">
        <v>0.5</v>
      </c>
      <c r="J206" s="19">
        <v>0.5</v>
      </c>
      <c r="K206" s="19">
        <v>0.5</v>
      </c>
      <c r="L206" s="19">
        <v>0.5</v>
      </c>
      <c r="M206" s="19">
        <v>0.5</v>
      </c>
      <c r="N206" s="19">
        <v>0.5</v>
      </c>
    </row>
    <row r="207" spans="1:14" ht="15" x14ac:dyDescent="0.25">
      <c r="A207" s="200"/>
      <c r="B207" s="17" t="s">
        <v>57</v>
      </c>
      <c r="C207" s="19">
        <v>0.3</v>
      </c>
      <c r="D207" s="19">
        <v>0.3</v>
      </c>
      <c r="E207" s="19">
        <v>0.3</v>
      </c>
      <c r="F207" s="19">
        <v>0.3</v>
      </c>
      <c r="G207" s="19">
        <v>0.3</v>
      </c>
      <c r="H207" s="19">
        <v>0.3</v>
      </c>
      <c r="I207" s="19">
        <v>0.3</v>
      </c>
      <c r="J207" s="19">
        <v>0.3</v>
      </c>
      <c r="K207" s="19">
        <v>0.3</v>
      </c>
      <c r="L207" s="19">
        <v>0.3</v>
      </c>
      <c r="M207" s="19">
        <v>0.3</v>
      </c>
      <c r="N207" s="19">
        <v>0.3</v>
      </c>
    </row>
    <row r="208" spans="1:14" ht="15" x14ac:dyDescent="0.25">
      <c r="A208" s="200"/>
      <c r="B208" s="17" t="s">
        <v>58</v>
      </c>
      <c r="C208" s="19">
        <v>0.2</v>
      </c>
      <c r="D208" s="19">
        <v>0.2</v>
      </c>
      <c r="E208" s="19">
        <v>0.2</v>
      </c>
      <c r="F208" s="19">
        <v>0.2</v>
      </c>
      <c r="G208" s="19">
        <v>0.2</v>
      </c>
      <c r="H208" s="19">
        <v>0.2</v>
      </c>
      <c r="I208" s="19">
        <v>0.2</v>
      </c>
      <c r="J208" s="19">
        <v>0.2</v>
      </c>
      <c r="K208" s="19">
        <v>0.2</v>
      </c>
      <c r="L208" s="19">
        <v>0.2</v>
      </c>
      <c r="M208" s="19">
        <v>0.2</v>
      </c>
      <c r="N208" s="19">
        <v>0.2</v>
      </c>
    </row>
    <row r="209" spans="1:14" ht="15" x14ac:dyDescent="0.25">
      <c r="A209" s="200" t="s">
        <v>212</v>
      </c>
      <c r="B209" s="17" t="s">
        <v>55</v>
      </c>
      <c r="C209" s="19">
        <v>0.5</v>
      </c>
      <c r="D209" s="19">
        <v>0.5</v>
      </c>
      <c r="E209" s="19">
        <v>0.5</v>
      </c>
      <c r="F209" s="19">
        <v>0.5</v>
      </c>
      <c r="G209" s="19">
        <v>0.5</v>
      </c>
      <c r="H209" s="19">
        <v>0.5</v>
      </c>
      <c r="I209" s="19">
        <v>0.5</v>
      </c>
      <c r="J209" s="19">
        <v>0.5</v>
      </c>
      <c r="K209" s="19">
        <v>0.5</v>
      </c>
      <c r="L209" s="19">
        <v>0.5</v>
      </c>
      <c r="M209" s="19">
        <v>0.5</v>
      </c>
      <c r="N209" s="19">
        <v>0.5</v>
      </c>
    </row>
    <row r="210" spans="1:14" ht="15" x14ac:dyDescent="0.25">
      <c r="A210" s="200"/>
      <c r="B210" s="17" t="s">
        <v>57</v>
      </c>
      <c r="C210" s="19">
        <v>0.3</v>
      </c>
      <c r="D210" s="19">
        <v>0.3</v>
      </c>
      <c r="E210" s="19">
        <v>0.3</v>
      </c>
      <c r="F210" s="19">
        <v>0.3</v>
      </c>
      <c r="G210" s="19">
        <v>0.3</v>
      </c>
      <c r="H210" s="19">
        <v>0.3</v>
      </c>
      <c r="I210" s="19">
        <v>0.3</v>
      </c>
      <c r="J210" s="19">
        <v>0.3</v>
      </c>
      <c r="K210" s="19">
        <v>0.3</v>
      </c>
      <c r="L210" s="19">
        <v>0.3</v>
      </c>
      <c r="M210" s="19">
        <v>0.3</v>
      </c>
      <c r="N210" s="19">
        <v>0.3</v>
      </c>
    </row>
    <row r="211" spans="1:14" ht="15" x14ac:dyDescent="0.25">
      <c r="A211" s="200"/>
      <c r="B211" s="17" t="s">
        <v>58</v>
      </c>
      <c r="C211" s="19">
        <v>0.2</v>
      </c>
      <c r="D211" s="19">
        <v>0.2</v>
      </c>
      <c r="E211" s="19">
        <v>0.2</v>
      </c>
      <c r="F211" s="19">
        <v>0.2</v>
      </c>
      <c r="G211" s="19">
        <v>0.2</v>
      </c>
      <c r="H211" s="19">
        <v>0.2</v>
      </c>
      <c r="I211" s="19">
        <v>0.2</v>
      </c>
      <c r="J211" s="19">
        <v>0.2</v>
      </c>
      <c r="K211" s="19">
        <v>0.2</v>
      </c>
      <c r="L211" s="19">
        <v>0.2</v>
      </c>
      <c r="M211" s="19">
        <v>0.2</v>
      </c>
      <c r="N211" s="19">
        <v>0.2</v>
      </c>
    </row>
    <row r="212" spans="1:14" ht="15" x14ac:dyDescent="0.25">
      <c r="A212" s="200" t="s">
        <v>213</v>
      </c>
      <c r="B212" s="17" t="s">
        <v>55</v>
      </c>
      <c r="C212" s="19">
        <v>0.5</v>
      </c>
      <c r="D212" s="19">
        <v>0.5</v>
      </c>
      <c r="E212" s="19">
        <v>0.5</v>
      </c>
      <c r="F212" s="19">
        <v>0.5</v>
      </c>
      <c r="G212" s="19">
        <v>0.5</v>
      </c>
      <c r="H212" s="19">
        <v>0.5</v>
      </c>
      <c r="I212" s="19">
        <v>0.5</v>
      </c>
      <c r="J212" s="19">
        <v>0.5</v>
      </c>
      <c r="K212" s="19">
        <v>0.5</v>
      </c>
      <c r="L212" s="19">
        <v>0.5</v>
      </c>
      <c r="M212" s="19">
        <v>0.5</v>
      </c>
      <c r="N212" s="19">
        <v>0.5</v>
      </c>
    </row>
    <row r="213" spans="1:14" ht="15" x14ac:dyDescent="0.25">
      <c r="A213" s="200"/>
      <c r="B213" s="17" t="s">
        <v>57</v>
      </c>
      <c r="C213" s="19">
        <v>0.3</v>
      </c>
      <c r="D213" s="19">
        <v>0.3</v>
      </c>
      <c r="E213" s="19">
        <v>0.3</v>
      </c>
      <c r="F213" s="19">
        <v>0.3</v>
      </c>
      <c r="G213" s="19">
        <v>0.3</v>
      </c>
      <c r="H213" s="19">
        <v>0.3</v>
      </c>
      <c r="I213" s="19">
        <v>0.3</v>
      </c>
      <c r="J213" s="19">
        <v>0.3</v>
      </c>
      <c r="K213" s="19">
        <v>0.3</v>
      </c>
      <c r="L213" s="19">
        <v>0.3</v>
      </c>
      <c r="M213" s="19">
        <v>0.3</v>
      </c>
      <c r="N213" s="19">
        <v>0.3</v>
      </c>
    </row>
    <row r="214" spans="1:14" ht="15" x14ac:dyDescent="0.25">
      <c r="A214" s="200"/>
      <c r="B214" s="17" t="s">
        <v>58</v>
      </c>
      <c r="C214" s="19">
        <v>0.2</v>
      </c>
      <c r="D214" s="19">
        <v>0.2</v>
      </c>
      <c r="E214" s="19">
        <v>0.2</v>
      </c>
      <c r="F214" s="19">
        <v>0.2</v>
      </c>
      <c r="G214" s="19">
        <v>0.2</v>
      </c>
      <c r="H214" s="19">
        <v>0.2</v>
      </c>
      <c r="I214" s="19">
        <v>0.2</v>
      </c>
      <c r="J214" s="19">
        <v>0.2</v>
      </c>
      <c r="K214" s="19">
        <v>0.2</v>
      </c>
      <c r="L214" s="19">
        <v>0.2</v>
      </c>
      <c r="M214" s="19">
        <v>0.2</v>
      </c>
      <c r="N214" s="19">
        <v>0.2</v>
      </c>
    </row>
    <row r="215" spans="1:14" ht="15" x14ac:dyDescent="0.25">
      <c r="A215" s="200" t="s">
        <v>214</v>
      </c>
      <c r="B215" s="17" t="s">
        <v>55</v>
      </c>
      <c r="C215" s="19">
        <v>0.5</v>
      </c>
      <c r="D215" s="19">
        <v>0.5</v>
      </c>
      <c r="E215" s="19">
        <v>0.5</v>
      </c>
      <c r="F215" s="19">
        <v>0.5</v>
      </c>
      <c r="G215" s="19">
        <v>0.5</v>
      </c>
      <c r="H215" s="19">
        <v>0.5</v>
      </c>
      <c r="I215" s="19">
        <v>0.5</v>
      </c>
      <c r="J215" s="19">
        <v>0.5</v>
      </c>
      <c r="K215" s="19">
        <v>0.5</v>
      </c>
      <c r="L215" s="19">
        <v>0.5</v>
      </c>
      <c r="M215" s="19">
        <v>0.5</v>
      </c>
      <c r="N215" s="19">
        <v>0.5</v>
      </c>
    </row>
    <row r="216" spans="1:14" ht="15" x14ac:dyDescent="0.25">
      <c r="A216" s="200"/>
      <c r="B216" s="17" t="s">
        <v>57</v>
      </c>
      <c r="C216" s="19">
        <v>0.3</v>
      </c>
      <c r="D216" s="19">
        <v>0.3</v>
      </c>
      <c r="E216" s="19">
        <v>0.3</v>
      </c>
      <c r="F216" s="19">
        <v>0.3</v>
      </c>
      <c r="G216" s="19">
        <v>0.3</v>
      </c>
      <c r="H216" s="19">
        <v>0.3</v>
      </c>
      <c r="I216" s="19">
        <v>0.3</v>
      </c>
      <c r="J216" s="19">
        <v>0.3</v>
      </c>
      <c r="K216" s="19">
        <v>0.3</v>
      </c>
      <c r="L216" s="19">
        <v>0.3</v>
      </c>
      <c r="M216" s="19">
        <v>0.3</v>
      </c>
      <c r="N216" s="19">
        <v>0.3</v>
      </c>
    </row>
    <row r="217" spans="1:14" ht="15" x14ac:dyDescent="0.25">
      <c r="A217" s="200"/>
      <c r="B217" s="17" t="s">
        <v>58</v>
      </c>
      <c r="C217" s="19">
        <v>0.2</v>
      </c>
      <c r="D217" s="19">
        <v>0.2</v>
      </c>
      <c r="E217" s="19">
        <v>0.2</v>
      </c>
      <c r="F217" s="19">
        <v>0.2</v>
      </c>
      <c r="G217" s="19">
        <v>0.2</v>
      </c>
      <c r="H217" s="19">
        <v>0.2</v>
      </c>
      <c r="I217" s="19">
        <v>0.2</v>
      </c>
      <c r="J217" s="19">
        <v>0.2</v>
      </c>
      <c r="K217" s="19">
        <v>0.2</v>
      </c>
      <c r="L217" s="19">
        <v>0.2</v>
      </c>
      <c r="M217" s="19">
        <v>0.2</v>
      </c>
      <c r="N217" s="19">
        <v>0.2</v>
      </c>
    </row>
    <row r="218" spans="1:14" ht="15" x14ac:dyDescent="0.25">
      <c r="A218" s="200" t="s">
        <v>215</v>
      </c>
      <c r="B218" s="17" t="s">
        <v>55</v>
      </c>
      <c r="C218" s="19">
        <f t="shared" ref="C218:N218" si="0">1-C219-C220</f>
        <v>0.13700000000000001</v>
      </c>
      <c r="D218" s="19">
        <f t="shared" si="0"/>
        <v>0.13700000000000001</v>
      </c>
      <c r="E218" s="19">
        <f t="shared" si="0"/>
        <v>0.13700000000000001</v>
      </c>
      <c r="F218" s="19">
        <f t="shared" si="0"/>
        <v>0.13700000000000001</v>
      </c>
      <c r="G218" s="19">
        <f t="shared" si="0"/>
        <v>0.13700000000000001</v>
      </c>
      <c r="H218" s="19">
        <f t="shared" si="0"/>
        <v>0.13700000000000001</v>
      </c>
      <c r="I218" s="19">
        <f t="shared" si="0"/>
        <v>0.13700000000000001</v>
      </c>
      <c r="J218" s="19">
        <f t="shared" si="0"/>
        <v>0.13700000000000001</v>
      </c>
      <c r="K218" s="19">
        <f t="shared" si="0"/>
        <v>0.13700000000000001</v>
      </c>
      <c r="L218" s="19">
        <f t="shared" si="0"/>
        <v>0.13700000000000001</v>
      </c>
      <c r="M218" s="19">
        <f t="shared" si="0"/>
        <v>0.13700000000000001</v>
      </c>
      <c r="N218" s="19">
        <f t="shared" si="0"/>
        <v>0.13700000000000001</v>
      </c>
    </row>
    <row r="219" spans="1:14" ht="15" x14ac:dyDescent="0.25">
      <c r="A219" s="200"/>
      <c r="B219" s="17" t="s">
        <v>57</v>
      </c>
      <c r="C219" s="19">
        <v>0.85899999999999999</v>
      </c>
      <c r="D219" s="19">
        <v>0.85899999999999999</v>
      </c>
      <c r="E219" s="19">
        <v>0.85899999999999999</v>
      </c>
      <c r="F219" s="19">
        <v>0.85899999999999999</v>
      </c>
      <c r="G219" s="19">
        <v>0.85899999999999999</v>
      </c>
      <c r="H219" s="19">
        <v>0.85899999999999999</v>
      </c>
      <c r="I219" s="19">
        <v>0.85899999999999999</v>
      </c>
      <c r="J219" s="19">
        <v>0.85899999999999999</v>
      </c>
      <c r="K219" s="19">
        <v>0.85899999999999999</v>
      </c>
      <c r="L219" s="19">
        <v>0.85899999999999999</v>
      </c>
      <c r="M219" s="19">
        <v>0.85899999999999999</v>
      </c>
      <c r="N219" s="19">
        <v>0.85899999999999999</v>
      </c>
    </row>
    <row r="220" spans="1:14" ht="15" x14ac:dyDescent="0.25">
      <c r="A220" s="200"/>
      <c r="B220" s="17" t="s">
        <v>58</v>
      </c>
      <c r="C220" s="19">
        <v>4.0000000000000001E-3</v>
      </c>
      <c r="D220" s="19">
        <v>4.0000000000000001E-3</v>
      </c>
      <c r="E220" s="19">
        <v>4.0000000000000001E-3</v>
      </c>
      <c r="F220" s="19">
        <v>4.0000000000000001E-3</v>
      </c>
      <c r="G220" s="19">
        <v>4.0000000000000001E-3</v>
      </c>
      <c r="H220" s="19">
        <v>4.0000000000000001E-3</v>
      </c>
      <c r="I220" s="19">
        <v>4.0000000000000001E-3</v>
      </c>
      <c r="J220" s="19">
        <v>4.0000000000000001E-3</v>
      </c>
      <c r="K220" s="19">
        <v>4.0000000000000001E-3</v>
      </c>
      <c r="L220" s="19">
        <v>4.0000000000000001E-3</v>
      </c>
      <c r="M220" s="19">
        <v>4.0000000000000001E-3</v>
      </c>
      <c r="N220" s="19">
        <v>4.0000000000000001E-3</v>
      </c>
    </row>
    <row r="221" spans="1:14" ht="15" x14ac:dyDescent="0.25">
      <c r="A221" s="200" t="s">
        <v>216</v>
      </c>
      <c r="B221" s="17" t="s">
        <v>55</v>
      </c>
      <c r="C221" s="19">
        <v>0.51900000000000002</v>
      </c>
      <c r="D221" s="19">
        <v>0.51900000000000002</v>
      </c>
      <c r="E221" s="19">
        <v>0.51900000000000002</v>
      </c>
      <c r="F221" s="19">
        <v>0.51900000000000002</v>
      </c>
      <c r="G221" s="19">
        <v>0.51900000000000002</v>
      </c>
      <c r="H221" s="19">
        <v>0.51900000000000002</v>
      </c>
      <c r="I221" s="19">
        <v>0.51900000000000002</v>
      </c>
      <c r="J221" s="19">
        <v>0.51900000000000002</v>
      </c>
      <c r="K221" s="19">
        <v>0.51900000000000002</v>
      </c>
      <c r="L221" s="19">
        <v>0.51900000000000002</v>
      </c>
      <c r="M221" s="19">
        <v>0.51900000000000002</v>
      </c>
      <c r="N221" s="19">
        <v>0.51900000000000002</v>
      </c>
    </row>
    <row r="222" spans="1:14" ht="15" x14ac:dyDescent="0.25">
      <c r="A222" s="200"/>
      <c r="B222" s="17" t="s">
        <v>57</v>
      </c>
      <c r="C222" s="19">
        <v>0.47</v>
      </c>
      <c r="D222" s="19">
        <v>0.47</v>
      </c>
      <c r="E222" s="19">
        <v>0.47</v>
      </c>
      <c r="F222" s="19">
        <v>0.47</v>
      </c>
      <c r="G222" s="19">
        <v>0.47</v>
      </c>
      <c r="H222" s="19">
        <v>0.47</v>
      </c>
      <c r="I222" s="19">
        <v>0.47</v>
      </c>
      <c r="J222" s="19">
        <v>0.47</v>
      </c>
      <c r="K222" s="19">
        <v>0.47</v>
      </c>
      <c r="L222" s="19">
        <v>0.47</v>
      </c>
      <c r="M222" s="19">
        <v>0.47</v>
      </c>
      <c r="N222" s="19">
        <v>0.47</v>
      </c>
    </row>
    <row r="223" spans="1:14" ht="15" x14ac:dyDescent="0.25">
      <c r="A223" s="200"/>
      <c r="B223" s="17" t="s">
        <v>58</v>
      </c>
      <c r="C223" s="19">
        <v>1.0999999999999999E-2</v>
      </c>
      <c r="D223" s="19">
        <v>1.0999999999999999E-2</v>
      </c>
      <c r="E223" s="19">
        <v>1.0999999999999999E-2</v>
      </c>
      <c r="F223" s="19">
        <v>1.0999999999999999E-2</v>
      </c>
      <c r="G223" s="19">
        <v>1.0999999999999999E-2</v>
      </c>
      <c r="H223" s="19">
        <v>1.0999999999999999E-2</v>
      </c>
      <c r="I223" s="19">
        <v>1.0999999999999999E-2</v>
      </c>
      <c r="J223" s="19">
        <v>1.0999999999999999E-2</v>
      </c>
      <c r="K223" s="19">
        <v>1.0999999999999999E-2</v>
      </c>
      <c r="L223" s="19">
        <v>1.0999999999999999E-2</v>
      </c>
      <c r="M223" s="19">
        <v>1.0999999999999999E-2</v>
      </c>
      <c r="N223" s="19">
        <v>1.0999999999999999E-2</v>
      </c>
    </row>
    <row r="224" spans="1:14" ht="15" x14ac:dyDescent="0.25">
      <c r="A224" s="200" t="s">
        <v>217</v>
      </c>
      <c r="B224" s="17" t="s">
        <v>55</v>
      </c>
      <c r="C224" s="19">
        <v>0.51900000000000002</v>
      </c>
      <c r="D224" s="19">
        <v>0.51900000000000002</v>
      </c>
      <c r="E224" s="19">
        <v>0.51900000000000002</v>
      </c>
      <c r="F224" s="19">
        <v>0.51900000000000002</v>
      </c>
      <c r="G224" s="19">
        <v>0.51900000000000002</v>
      </c>
      <c r="H224" s="19">
        <v>0.51900000000000002</v>
      </c>
      <c r="I224" s="19">
        <v>0.51900000000000002</v>
      </c>
      <c r="J224" s="19">
        <v>0.51900000000000002</v>
      </c>
      <c r="K224" s="19">
        <v>0.51900000000000002</v>
      </c>
      <c r="L224" s="19">
        <v>0.51900000000000002</v>
      </c>
      <c r="M224" s="19">
        <v>0.51900000000000002</v>
      </c>
      <c r="N224" s="19">
        <v>0.51900000000000002</v>
      </c>
    </row>
    <row r="225" spans="1:14" ht="15" x14ac:dyDescent="0.25">
      <c r="A225" s="200"/>
      <c r="B225" s="17" t="s">
        <v>57</v>
      </c>
      <c r="C225" s="19">
        <v>0.47</v>
      </c>
      <c r="D225" s="19">
        <v>0.47</v>
      </c>
      <c r="E225" s="19">
        <v>0.47</v>
      </c>
      <c r="F225" s="19">
        <v>0.47</v>
      </c>
      <c r="G225" s="19">
        <v>0.47</v>
      </c>
      <c r="H225" s="19">
        <v>0.47</v>
      </c>
      <c r="I225" s="19">
        <v>0.47</v>
      </c>
      <c r="J225" s="19">
        <v>0.47</v>
      </c>
      <c r="K225" s="19">
        <v>0.47</v>
      </c>
      <c r="L225" s="19">
        <v>0.47</v>
      </c>
      <c r="M225" s="19">
        <v>0.47</v>
      </c>
      <c r="N225" s="19">
        <v>0.47</v>
      </c>
    </row>
    <row r="226" spans="1:14" ht="15" x14ac:dyDescent="0.25">
      <c r="A226" s="200"/>
      <c r="B226" s="17" t="s">
        <v>58</v>
      </c>
      <c r="C226" s="19">
        <v>1.0999999999999999E-2</v>
      </c>
      <c r="D226" s="19">
        <v>1.0999999999999999E-2</v>
      </c>
      <c r="E226" s="19">
        <v>1.0999999999999999E-2</v>
      </c>
      <c r="F226" s="19">
        <v>1.0999999999999999E-2</v>
      </c>
      <c r="G226" s="19">
        <v>1.0999999999999999E-2</v>
      </c>
      <c r="H226" s="19">
        <v>1.0999999999999999E-2</v>
      </c>
      <c r="I226" s="19">
        <v>1.0999999999999999E-2</v>
      </c>
      <c r="J226" s="19">
        <v>1.0999999999999999E-2</v>
      </c>
      <c r="K226" s="19">
        <v>1.0999999999999999E-2</v>
      </c>
      <c r="L226" s="19">
        <v>1.0999999999999999E-2</v>
      </c>
      <c r="M226" s="19">
        <v>1.0999999999999999E-2</v>
      </c>
      <c r="N226" s="19">
        <v>1.0999999999999999E-2</v>
      </c>
    </row>
    <row r="227" spans="1:14" ht="15" x14ac:dyDescent="0.25">
      <c r="A227" s="200" t="s">
        <v>218</v>
      </c>
      <c r="B227" s="17" t="s">
        <v>55</v>
      </c>
      <c r="C227" s="19">
        <v>0.51900000000000002</v>
      </c>
      <c r="D227" s="19">
        <v>0.51900000000000002</v>
      </c>
      <c r="E227" s="19">
        <v>0.51900000000000002</v>
      </c>
      <c r="F227" s="19">
        <v>0.51900000000000002</v>
      </c>
      <c r="G227" s="19">
        <v>0.51900000000000002</v>
      </c>
      <c r="H227" s="19">
        <v>0.51900000000000002</v>
      </c>
      <c r="I227" s="19">
        <v>0.51900000000000002</v>
      </c>
      <c r="J227" s="19">
        <v>0.51900000000000002</v>
      </c>
      <c r="K227" s="19">
        <v>0.51900000000000002</v>
      </c>
      <c r="L227" s="19">
        <v>0.51900000000000002</v>
      </c>
      <c r="M227" s="19">
        <v>0.51900000000000002</v>
      </c>
      <c r="N227" s="19">
        <v>0.51900000000000002</v>
      </c>
    </row>
    <row r="228" spans="1:14" ht="15" x14ac:dyDescent="0.25">
      <c r="A228" s="200"/>
      <c r="B228" s="17" t="s">
        <v>57</v>
      </c>
      <c r="C228" s="19">
        <v>0.47</v>
      </c>
      <c r="D228" s="19">
        <v>0.47</v>
      </c>
      <c r="E228" s="19">
        <v>0.47</v>
      </c>
      <c r="F228" s="19">
        <v>0.47</v>
      </c>
      <c r="G228" s="19">
        <v>0.47</v>
      </c>
      <c r="H228" s="19">
        <v>0.47</v>
      </c>
      <c r="I228" s="19">
        <v>0.47</v>
      </c>
      <c r="J228" s="19">
        <v>0.47</v>
      </c>
      <c r="K228" s="19">
        <v>0.47</v>
      </c>
      <c r="L228" s="19">
        <v>0.47</v>
      </c>
      <c r="M228" s="19">
        <v>0.47</v>
      </c>
      <c r="N228" s="19">
        <v>0.47</v>
      </c>
    </row>
    <row r="229" spans="1:14" ht="15" x14ac:dyDescent="0.25">
      <c r="A229" s="200"/>
      <c r="B229" s="17" t="s">
        <v>58</v>
      </c>
      <c r="C229" s="19">
        <v>1.0999999999999999E-2</v>
      </c>
      <c r="D229" s="19">
        <v>1.0999999999999999E-2</v>
      </c>
      <c r="E229" s="19">
        <v>1.0999999999999999E-2</v>
      </c>
      <c r="F229" s="19">
        <v>1.0999999999999999E-2</v>
      </c>
      <c r="G229" s="19">
        <v>1.0999999999999999E-2</v>
      </c>
      <c r="H229" s="19">
        <v>1.0999999999999999E-2</v>
      </c>
      <c r="I229" s="19">
        <v>1.0999999999999999E-2</v>
      </c>
      <c r="J229" s="19">
        <v>1.0999999999999999E-2</v>
      </c>
      <c r="K229" s="19">
        <v>1.0999999999999999E-2</v>
      </c>
      <c r="L229" s="19">
        <v>1.0999999999999999E-2</v>
      </c>
      <c r="M229" s="19">
        <v>1.0999999999999999E-2</v>
      </c>
      <c r="N229" s="19">
        <v>1.0999999999999999E-2</v>
      </c>
    </row>
    <row r="230" spans="1:14" ht="15" x14ac:dyDescent="0.25">
      <c r="A230" s="200" t="s">
        <v>219</v>
      </c>
      <c r="B230" s="17" t="s">
        <v>55</v>
      </c>
      <c r="C230" s="19">
        <v>0.51900000000000002</v>
      </c>
      <c r="D230" s="19">
        <v>0.51900000000000002</v>
      </c>
      <c r="E230" s="19">
        <v>0.51900000000000002</v>
      </c>
      <c r="F230" s="19">
        <v>0.51900000000000002</v>
      </c>
      <c r="G230" s="19">
        <v>0.51900000000000002</v>
      </c>
      <c r="H230" s="19">
        <v>0.51900000000000002</v>
      </c>
      <c r="I230" s="19">
        <v>0.51900000000000002</v>
      </c>
      <c r="J230" s="19">
        <v>0.51900000000000002</v>
      </c>
      <c r="K230" s="19">
        <v>0.51900000000000002</v>
      </c>
      <c r="L230" s="19">
        <v>0.51900000000000002</v>
      </c>
      <c r="M230" s="19">
        <v>0.51900000000000002</v>
      </c>
      <c r="N230" s="19">
        <v>0.51900000000000002</v>
      </c>
    </row>
    <row r="231" spans="1:14" ht="15" x14ac:dyDescent="0.25">
      <c r="A231" s="200"/>
      <c r="B231" s="17" t="s">
        <v>57</v>
      </c>
      <c r="C231" s="19">
        <v>0.47</v>
      </c>
      <c r="D231" s="19">
        <v>0.47</v>
      </c>
      <c r="E231" s="19">
        <v>0.47</v>
      </c>
      <c r="F231" s="19">
        <v>0.47</v>
      </c>
      <c r="G231" s="19">
        <v>0.47</v>
      </c>
      <c r="H231" s="19">
        <v>0.47</v>
      </c>
      <c r="I231" s="19">
        <v>0.47</v>
      </c>
      <c r="J231" s="19">
        <v>0.47</v>
      </c>
      <c r="K231" s="19">
        <v>0.47</v>
      </c>
      <c r="L231" s="19">
        <v>0.47</v>
      </c>
      <c r="M231" s="19">
        <v>0.47</v>
      </c>
      <c r="N231" s="19">
        <v>0.47</v>
      </c>
    </row>
    <row r="232" spans="1:14" ht="15" x14ac:dyDescent="0.25">
      <c r="A232" s="200"/>
      <c r="B232" s="17" t="s">
        <v>58</v>
      </c>
      <c r="C232" s="19">
        <v>1.0999999999999999E-2</v>
      </c>
      <c r="D232" s="19">
        <v>1.0999999999999999E-2</v>
      </c>
      <c r="E232" s="19">
        <v>1.0999999999999999E-2</v>
      </c>
      <c r="F232" s="19">
        <v>1.0999999999999999E-2</v>
      </c>
      <c r="G232" s="19">
        <v>1.0999999999999999E-2</v>
      </c>
      <c r="H232" s="19">
        <v>1.0999999999999999E-2</v>
      </c>
      <c r="I232" s="19">
        <v>1.0999999999999999E-2</v>
      </c>
      <c r="J232" s="19">
        <v>1.0999999999999999E-2</v>
      </c>
      <c r="K232" s="19">
        <v>1.0999999999999999E-2</v>
      </c>
      <c r="L232" s="19">
        <v>1.0999999999999999E-2</v>
      </c>
      <c r="M232" s="19">
        <v>1.0999999999999999E-2</v>
      </c>
      <c r="N232" s="19">
        <v>1.0999999999999999E-2</v>
      </c>
    </row>
    <row r="233" spans="1:14" ht="15" x14ac:dyDescent="0.25">
      <c r="A233" s="200" t="s">
        <v>220</v>
      </c>
      <c r="B233" s="17" t="s">
        <v>55</v>
      </c>
      <c r="C233" s="19">
        <v>0.51900000000000002</v>
      </c>
      <c r="D233" s="19">
        <v>0.51900000000000002</v>
      </c>
      <c r="E233" s="19">
        <v>0.51900000000000002</v>
      </c>
      <c r="F233" s="19">
        <v>0.51900000000000002</v>
      </c>
      <c r="G233" s="19">
        <v>0.51900000000000002</v>
      </c>
      <c r="H233" s="19">
        <v>0.51900000000000002</v>
      </c>
      <c r="I233" s="19">
        <v>0.51900000000000002</v>
      </c>
      <c r="J233" s="19">
        <v>0.51900000000000002</v>
      </c>
      <c r="K233" s="19">
        <v>0.51900000000000002</v>
      </c>
      <c r="L233" s="19">
        <v>0.51900000000000002</v>
      </c>
      <c r="M233" s="19">
        <v>0.51900000000000002</v>
      </c>
      <c r="N233" s="19">
        <v>0.51900000000000002</v>
      </c>
    </row>
    <row r="234" spans="1:14" ht="15" x14ac:dyDescent="0.25">
      <c r="A234" s="200"/>
      <c r="B234" s="17" t="s">
        <v>57</v>
      </c>
      <c r="C234" s="19">
        <v>0.47</v>
      </c>
      <c r="D234" s="19">
        <v>0.47</v>
      </c>
      <c r="E234" s="19">
        <v>0.47</v>
      </c>
      <c r="F234" s="19">
        <v>0.47</v>
      </c>
      <c r="G234" s="19">
        <v>0.47</v>
      </c>
      <c r="H234" s="19">
        <v>0.47</v>
      </c>
      <c r="I234" s="19">
        <v>0.47</v>
      </c>
      <c r="J234" s="19">
        <v>0.47</v>
      </c>
      <c r="K234" s="19">
        <v>0.47</v>
      </c>
      <c r="L234" s="19">
        <v>0.47</v>
      </c>
      <c r="M234" s="19">
        <v>0.47</v>
      </c>
      <c r="N234" s="19">
        <v>0.47</v>
      </c>
    </row>
    <row r="235" spans="1:14" ht="15" x14ac:dyDescent="0.25">
      <c r="A235" s="200"/>
      <c r="B235" s="17" t="s">
        <v>58</v>
      </c>
      <c r="C235" s="19">
        <v>1.0999999999999999E-2</v>
      </c>
      <c r="D235" s="19">
        <v>1.0999999999999999E-2</v>
      </c>
      <c r="E235" s="19">
        <v>1.0999999999999999E-2</v>
      </c>
      <c r="F235" s="19">
        <v>1.0999999999999999E-2</v>
      </c>
      <c r="G235" s="19">
        <v>1.0999999999999999E-2</v>
      </c>
      <c r="H235" s="19">
        <v>1.0999999999999999E-2</v>
      </c>
      <c r="I235" s="19">
        <v>1.0999999999999999E-2</v>
      </c>
      <c r="J235" s="19">
        <v>1.0999999999999999E-2</v>
      </c>
      <c r="K235" s="19">
        <v>1.0999999999999999E-2</v>
      </c>
      <c r="L235" s="19">
        <v>1.0999999999999999E-2</v>
      </c>
      <c r="M235" s="19">
        <v>1.0999999999999999E-2</v>
      </c>
      <c r="N235" s="19">
        <v>1.0999999999999999E-2</v>
      </c>
    </row>
    <row r="236" spans="1:14" ht="15" x14ac:dyDescent="0.25">
      <c r="A236" s="200" t="s">
        <v>221</v>
      </c>
      <c r="B236" s="17" t="s">
        <v>55</v>
      </c>
      <c r="C236" s="19">
        <v>0.3</v>
      </c>
      <c r="D236" s="19">
        <v>0.3</v>
      </c>
      <c r="E236" s="19">
        <v>0.3</v>
      </c>
      <c r="F236" s="19">
        <v>0.3</v>
      </c>
      <c r="G236" s="19">
        <v>0.3</v>
      </c>
      <c r="H236" s="19">
        <v>0.3</v>
      </c>
      <c r="I236" s="19">
        <v>0.3</v>
      </c>
      <c r="J236" s="19">
        <v>0.3</v>
      </c>
      <c r="K236" s="19">
        <v>0.3</v>
      </c>
      <c r="L236" s="19">
        <v>0.3</v>
      </c>
      <c r="M236" s="19">
        <v>0.3</v>
      </c>
      <c r="N236" s="19">
        <v>0.3</v>
      </c>
    </row>
    <row r="237" spans="1:14" ht="15" x14ac:dyDescent="0.25">
      <c r="A237" s="200"/>
      <c r="B237" s="17" t="s">
        <v>57</v>
      </c>
      <c r="C237" s="19">
        <v>0.2</v>
      </c>
      <c r="D237" s="19">
        <v>0.2</v>
      </c>
      <c r="E237" s="19">
        <v>0.2</v>
      </c>
      <c r="F237" s="19">
        <v>0.2</v>
      </c>
      <c r="G237" s="19">
        <v>0.2</v>
      </c>
      <c r="H237" s="19">
        <v>0.2</v>
      </c>
      <c r="I237" s="19">
        <v>0.2</v>
      </c>
      <c r="J237" s="19">
        <v>0.2</v>
      </c>
      <c r="K237" s="19">
        <v>0.2</v>
      </c>
      <c r="L237" s="19">
        <v>0.2</v>
      </c>
      <c r="M237" s="19">
        <v>0.2</v>
      </c>
      <c r="N237" s="19">
        <v>0.2</v>
      </c>
    </row>
    <row r="238" spans="1:14" ht="15" x14ac:dyDescent="0.25">
      <c r="A238" s="200"/>
      <c r="B238" s="17" t="s">
        <v>58</v>
      </c>
      <c r="C238" s="19">
        <v>0.5</v>
      </c>
      <c r="D238" s="19">
        <v>0.5</v>
      </c>
      <c r="E238" s="19">
        <v>0.5</v>
      </c>
      <c r="F238" s="19">
        <v>0.5</v>
      </c>
      <c r="G238" s="19">
        <v>0.5</v>
      </c>
      <c r="H238" s="19">
        <v>0.5</v>
      </c>
      <c r="I238" s="19">
        <v>0.5</v>
      </c>
      <c r="J238" s="19">
        <v>0.5</v>
      </c>
      <c r="K238" s="19">
        <v>0.5</v>
      </c>
      <c r="L238" s="19">
        <v>0.5</v>
      </c>
      <c r="M238" s="19">
        <v>0.5</v>
      </c>
      <c r="N238" s="19">
        <v>0.5</v>
      </c>
    </row>
    <row r="239" spans="1:14" ht="15" x14ac:dyDescent="0.25">
      <c r="A239" s="200" t="s">
        <v>222</v>
      </c>
      <c r="B239" s="17" t="s">
        <v>55</v>
      </c>
      <c r="C239" s="19">
        <v>0.3</v>
      </c>
      <c r="D239" s="19">
        <v>0.3</v>
      </c>
      <c r="E239" s="19">
        <v>0.3</v>
      </c>
      <c r="F239" s="19">
        <v>0.3</v>
      </c>
      <c r="G239" s="19">
        <v>0.3</v>
      </c>
      <c r="H239" s="19">
        <v>0.3</v>
      </c>
      <c r="I239" s="19">
        <v>0.3</v>
      </c>
      <c r="J239" s="19">
        <v>0.3</v>
      </c>
      <c r="K239" s="19">
        <v>0.3</v>
      </c>
      <c r="L239" s="19">
        <v>0.3</v>
      </c>
      <c r="M239" s="19">
        <v>0.3</v>
      </c>
      <c r="N239" s="19">
        <v>0.3</v>
      </c>
    </row>
    <row r="240" spans="1:14" ht="15" x14ac:dyDescent="0.25">
      <c r="A240" s="200"/>
      <c r="B240" s="17" t="s">
        <v>57</v>
      </c>
      <c r="C240" s="19">
        <v>0.2</v>
      </c>
      <c r="D240" s="19">
        <v>0.2</v>
      </c>
      <c r="E240" s="19">
        <v>0.2</v>
      </c>
      <c r="F240" s="19">
        <v>0.2</v>
      </c>
      <c r="G240" s="19">
        <v>0.2</v>
      </c>
      <c r="H240" s="19">
        <v>0.2</v>
      </c>
      <c r="I240" s="19">
        <v>0.2</v>
      </c>
      <c r="J240" s="19">
        <v>0.2</v>
      </c>
      <c r="K240" s="19">
        <v>0.2</v>
      </c>
      <c r="L240" s="19">
        <v>0.2</v>
      </c>
      <c r="M240" s="19">
        <v>0.2</v>
      </c>
      <c r="N240" s="19">
        <v>0.2</v>
      </c>
    </row>
    <row r="241" spans="1:14" ht="15" x14ac:dyDescent="0.25">
      <c r="A241" s="200"/>
      <c r="B241" s="17" t="s">
        <v>58</v>
      </c>
      <c r="C241" s="19">
        <v>0.5</v>
      </c>
      <c r="D241" s="19">
        <v>0.5</v>
      </c>
      <c r="E241" s="19">
        <v>0.5</v>
      </c>
      <c r="F241" s="19">
        <v>0.5</v>
      </c>
      <c r="G241" s="19">
        <v>0.5</v>
      </c>
      <c r="H241" s="19">
        <v>0.5</v>
      </c>
      <c r="I241" s="19">
        <v>0.5</v>
      </c>
      <c r="J241" s="19">
        <v>0.5</v>
      </c>
      <c r="K241" s="19">
        <v>0.5</v>
      </c>
      <c r="L241" s="19">
        <v>0.5</v>
      </c>
      <c r="M241" s="19">
        <v>0.5</v>
      </c>
      <c r="N241" s="19">
        <v>0.5</v>
      </c>
    </row>
    <row r="242" spans="1:14" ht="15" x14ac:dyDescent="0.25">
      <c r="A242" s="200" t="s">
        <v>223</v>
      </c>
      <c r="B242" s="17" t="s">
        <v>55</v>
      </c>
      <c r="C242" s="19">
        <v>0.3</v>
      </c>
      <c r="D242" s="19">
        <v>0.3</v>
      </c>
      <c r="E242" s="19">
        <v>0.3</v>
      </c>
      <c r="F242" s="19">
        <v>0.3</v>
      </c>
      <c r="G242" s="19">
        <v>0.3</v>
      </c>
      <c r="H242" s="19">
        <v>0.3</v>
      </c>
      <c r="I242" s="19">
        <v>0.3</v>
      </c>
      <c r="J242" s="19">
        <v>0.3</v>
      </c>
      <c r="K242" s="19">
        <v>0.3</v>
      </c>
      <c r="L242" s="19">
        <v>0.3</v>
      </c>
      <c r="M242" s="19">
        <v>0.3</v>
      </c>
      <c r="N242" s="19">
        <v>0.3</v>
      </c>
    </row>
    <row r="243" spans="1:14" ht="15" x14ac:dyDescent="0.25">
      <c r="A243" s="200"/>
      <c r="B243" s="17" t="s">
        <v>57</v>
      </c>
      <c r="C243" s="19">
        <v>0.2</v>
      </c>
      <c r="D243" s="19">
        <v>0.2</v>
      </c>
      <c r="E243" s="19">
        <v>0.2</v>
      </c>
      <c r="F243" s="19">
        <v>0.2</v>
      </c>
      <c r="G243" s="19">
        <v>0.2</v>
      </c>
      <c r="H243" s="19">
        <v>0.2</v>
      </c>
      <c r="I243" s="19">
        <v>0.2</v>
      </c>
      <c r="J243" s="19">
        <v>0.2</v>
      </c>
      <c r="K243" s="19">
        <v>0.2</v>
      </c>
      <c r="L243" s="19">
        <v>0.2</v>
      </c>
      <c r="M243" s="19">
        <v>0.2</v>
      </c>
      <c r="N243" s="19">
        <v>0.2</v>
      </c>
    </row>
    <row r="244" spans="1:14" ht="15" x14ac:dyDescent="0.25">
      <c r="A244" s="200"/>
      <c r="B244" s="17" t="s">
        <v>58</v>
      </c>
      <c r="C244" s="19">
        <v>0.5</v>
      </c>
      <c r="D244" s="19">
        <v>0.5</v>
      </c>
      <c r="E244" s="19">
        <v>0.5</v>
      </c>
      <c r="F244" s="19">
        <v>0.5</v>
      </c>
      <c r="G244" s="19">
        <v>0.5</v>
      </c>
      <c r="H244" s="19">
        <v>0.5</v>
      </c>
      <c r="I244" s="19">
        <v>0.5</v>
      </c>
      <c r="J244" s="19">
        <v>0.5</v>
      </c>
      <c r="K244" s="19">
        <v>0.5</v>
      </c>
      <c r="L244" s="19">
        <v>0.5</v>
      </c>
      <c r="M244" s="19">
        <v>0.5</v>
      </c>
      <c r="N244" s="19">
        <v>0.5</v>
      </c>
    </row>
    <row r="245" spans="1:14" ht="15" x14ac:dyDescent="0.25">
      <c r="A245" s="200" t="s">
        <v>224</v>
      </c>
      <c r="B245" s="17" t="s">
        <v>55</v>
      </c>
      <c r="C245" s="19">
        <v>0.3</v>
      </c>
      <c r="D245" s="19">
        <v>0.3</v>
      </c>
      <c r="E245" s="19">
        <v>0.3</v>
      </c>
      <c r="F245" s="19">
        <v>0.3</v>
      </c>
      <c r="G245" s="19">
        <v>0.3</v>
      </c>
      <c r="H245" s="19">
        <v>0.3</v>
      </c>
      <c r="I245" s="19">
        <v>0.3</v>
      </c>
      <c r="J245" s="19">
        <v>0.3</v>
      </c>
      <c r="K245" s="19">
        <v>0.3</v>
      </c>
      <c r="L245" s="19">
        <v>0.3</v>
      </c>
      <c r="M245" s="19">
        <v>0.3</v>
      </c>
      <c r="N245" s="19">
        <v>0.3</v>
      </c>
    </row>
    <row r="246" spans="1:14" ht="15" x14ac:dyDescent="0.25">
      <c r="A246" s="200"/>
      <c r="B246" s="17" t="s">
        <v>57</v>
      </c>
      <c r="C246" s="19">
        <v>0.2</v>
      </c>
      <c r="D246" s="19">
        <v>0.2</v>
      </c>
      <c r="E246" s="19">
        <v>0.2</v>
      </c>
      <c r="F246" s="19">
        <v>0.2</v>
      </c>
      <c r="G246" s="19">
        <v>0.2</v>
      </c>
      <c r="H246" s="19">
        <v>0.2</v>
      </c>
      <c r="I246" s="19">
        <v>0.2</v>
      </c>
      <c r="J246" s="19">
        <v>0.2</v>
      </c>
      <c r="K246" s="19">
        <v>0.2</v>
      </c>
      <c r="L246" s="19">
        <v>0.2</v>
      </c>
      <c r="M246" s="19">
        <v>0.2</v>
      </c>
      <c r="N246" s="19">
        <v>0.2</v>
      </c>
    </row>
    <row r="247" spans="1:14" ht="15" x14ac:dyDescent="0.25">
      <c r="A247" s="200"/>
      <c r="B247" s="17" t="s">
        <v>58</v>
      </c>
      <c r="C247" s="19">
        <v>0.5</v>
      </c>
      <c r="D247" s="19">
        <v>0.5</v>
      </c>
      <c r="E247" s="19">
        <v>0.5</v>
      </c>
      <c r="F247" s="19">
        <v>0.5</v>
      </c>
      <c r="G247" s="19">
        <v>0.5</v>
      </c>
      <c r="H247" s="19">
        <v>0.5</v>
      </c>
      <c r="I247" s="19">
        <v>0.5</v>
      </c>
      <c r="J247" s="19">
        <v>0.5</v>
      </c>
      <c r="K247" s="19">
        <v>0.5</v>
      </c>
      <c r="L247" s="19">
        <v>0.5</v>
      </c>
      <c r="M247" s="19">
        <v>0.5</v>
      </c>
      <c r="N247" s="19">
        <v>0.5</v>
      </c>
    </row>
    <row r="248" spans="1:14" ht="15" x14ac:dyDescent="0.25">
      <c r="A248" s="200" t="s">
        <v>225</v>
      </c>
      <c r="B248" s="17" t="s">
        <v>55</v>
      </c>
      <c r="C248" s="19">
        <v>0.3</v>
      </c>
      <c r="D248" s="19">
        <v>0.3</v>
      </c>
      <c r="E248" s="19">
        <v>0.3</v>
      </c>
      <c r="F248" s="19">
        <v>0.3</v>
      </c>
      <c r="G248" s="19">
        <v>0.3</v>
      </c>
      <c r="H248" s="19">
        <v>0.3</v>
      </c>
      <c r="I248" s="19">
        <v>0.3</v>
      </c>
      <c r="J248" s="19">
        <v>0.3</v>
      </c>
      <c r="K248" s="19">
        <v>0.3</v>
      </c>
      <c r="L248" s="19">
        <v>0.3</v>
      </c>
      <c r="M248" s="19">
        <v>0.3</v>
      </c>
      <c r="N248" s="19">
        <v>0.3</v>
      </c>
    </row>
    <row r="249" spans="1:14" ht="15" x14ac:dyDescent="0.25">
      <c r="A249" s="200"/>
      <c r="B249" s="17" t="s">
        <v>57</v>
      </c>
      <c r="C249" s="19">
        <v>0.2</v>
      </c>
      <c r="D249" s="19">
        <v>0.2</v>
      </c>
      <c r="E249" s="19">
        <v>0.2</v>
      </c>
      <c r="F249" s="19">
        <v>0.2</v>
      </c>
      <c r="G249" s="19">
        <v>0.2</v>
      </c>
      <c r="H249" s="19">
        <v>0.2</v>
      </c>
      <c r="I249" s="19">
        <v>0.2</v>
      </c>
      <c r="J249" s="19">
        <v>0.2</v>
      </c>
      <c r="K249" s="19">
        <v>0.2</v>
      </c>
      <c r="L249" s="19">
        <v>0.2</v>
      </c>
      <c r="M249" s="19">
        <v>0.2</v>
      </c>
      <c r="N249" s="19">
        <v>0.2</v>
      </c>
    </row>
    <row r="250" spans="1:14" ht="15" x14ac:dyDescent="0.25">
      <c r="A250" s="200"/>
      <c r="B250" s="17" t="s">
        <v>58</v>
      </c>
      <c r="C250" s="19">
        <v>0.5</v>
      </c>
      <c r="D250" s="19">
        <v>0.5</v>
      </c>
      <c r="E250" s="19">
        <v>0.5</v>
      </c>
      <c r="F250" s="19">
        <v>0.5</v>
      </c>
      <c r="G250" s="19">
        <v>0.5</v>
      </c>
      <c r="H250" s="19">
        <v>0.5</v>
      </c>
      <c r="I250" s="19">
        <v>0.5</v>
      </c>
      <c r="J250" s="19">
        <v>0.5</v>
      </c>
      <c r="K250" s="19">
        <v>0.5</v>
      </c>
      <c r="L250" s="19">
        <v>0.5</v>
      </c>
      <c r="M250" s="19">
        <v>0.5</v>
      </c>
      <c r="N250" s="19">
        <v>0.5</v>
      </c>
    </row>
    <row r="251" spans="1:14" ht="15" x14ac:dyDescent="0.25">
      <c r="A251" s="200" t="s">
        <v>226</v>
      </c>
      <c r="B251" s="17" t="s">
        <v>55</v>
      </c>
      <c r="C251" s="19">
        <v>0.3</v>
      </c>
      <c r="D251" s="19">
        <v>0.3</v>
      </c>
      <c r="E251" s="19">
        <v>0.3</v>
      </c>
      <c r="F251" s="19">
        <v>0.3</v>
      </c>
      <c r="G251" s="19">
        <v>0.3</v>
      </c>
      <c r="H251" s="19">
        <v>0.3</v>
      </c>
      <c r="I251" s="19">
        <v>0.3</v>
      </c>
      <c r="J251" s="19">
        <v>0.3</v>
      </c>
      <c r="K251" s="19">
        <v>0.3</v>
      </c>
      <c r="L251" s="19">
        <v>0.3</v>
      </c>
      <c r="M251" s="19">
        <v>0.3</v>
      </c>
      <c r="N251" s="19">
        <v>0.3</v>
      </c>
    </row>
    <row r="252" spans="1:14" ht="15" x14ac:dyDescent="0.25">
      <c r="A252" s="200"/>
      <c r="B252" s="17" t="s">
        <v>57</v>
      </c>
      <c r="C252" s="19">
        <v>0.2</v>
      </c>
      <c r="D252" s="19">
        <v>0.2</v>
      </c>
      <c r="E252" s="19">
        <v>0.2</v>
      </c>
      <c r="F252" s="19">
        <v>0.2</v>
      </c>
      <c r="G252" s="19">
        <v>0.2</v>
      </c>
      <c r="H252" s="19">
        <v>0.2</v>
      </c>
      <c r="I252" s="19">
        <v>0.2</v>
      </c>
      <c r="J252" s="19">
        <v>0.2</v>
      </c>
      <c r="K252" s="19">
        <v>0.2</v>
      </c>
      <c r="L252" s="19">
        <v>0.2</v>
      </c>
      <c r="M252" s="19">
        <v>0.2</v>
      </c>
      <c r="N252" s="19">
        <v>0.2</v>
      </c>
    </row>
    <row r="253" spans="1:14" ht="15" x14ac:dyDescent="0.25">
      <c r="A253" s="200"/>
      <c r="B253" s="17" t="s">
        <v>58</v>
      </c>
      <c r="C253" s="19">
        <v>0.5</v>
      </c>
      <c r="D253" s="19">
        <v>0.5</v>
      </c>
      <c r="E253" s="19">
        <v>0.5</v>
      </c>
      <c r="F253" s="19">
        <v>0.5</v>
      </c>
      <c r="G253" s="19">
        <v>0.5</v>
      </c>
      <c r="H253" s="19">
        <v>0.5</v>
      </c>
      <c r="I253" s="19">
        <v>0.5</v>
      </c>
      <c r="J253" s="19">
        <v>0.5</v>
      </c>
      <c r="K253" s="19">
        <v>0.5</v>
      </c>
      <c r="L253" s="19">
        <v>0.5</v>
      </c>
      <c r="M253" s="19">
        <v>0.5</v>
      </c>
      <c r="N253" s="19">
        <v>0.5</v>
      </c>
    </row>
    <row r="254" spans="1:14" ht="15" x14ac:dyDescent="0.25">
      <c r="A254" s="200" t="s">
        <v>227</v>
      </c>
      <c r="B254" s="17" t="s">
        <v>55</v>
      </c>
      <c r="C254" s="19">
        <v>0.3</v>
      </c>
      <c r="D254" s="19">
        <v>0.3</v>
      </c>
      <c r="E254" s="19">
        <v>0.3</v>
      </c>
      <c r="F254" s="19">
        <v>0.3</v>
      </c>
      <c r="G254" s="19">
        <v>0.3</v>
      </c>
      <c r="H254" s="19">
        <v>0.3</v>
      </c>
      <c r="I254" s="19">
        <v>0.3</v>
      </c>
      <c r="J254" s="19">
        <v>0.3</v>
      </c>
      <c r="K254" s="19">
        <v>0.3</v>
      </c>
      <c r="L254" s="19">
        <v>0.3</v>
      </c>
      <c r="M254" s="19">
        <v>0.3</v>
      </c>
      <c r="N254" s="19">
        <v>0.3</v>
      </c>
    </row>
    <row r="255" spans="1:14" ht="15" x14ac:dyDescent="0.25">
      <c r="A255" s="200"/>
      <c r="B255" s="17" t="s">
        <v>57</v>
      </c>
      <c r="C255" s="19">
        <v>0.2</v>
      </c>
      <c r="D255" s="19">
        <v>0.2</v>
      </c>
      <c r="E255" s="19">
        <v>0.2</v>
      </c>
      <c r="F255" s="19">
        <v>0.2</v>
      </c>
      <c r="G255" s="19">
        <v>0.2</v>
      </c>
      <c r="H255" s="19">
        <v>0.2</v>
      </c>
      <c r="I255" s="19">
        <v>0.2</v>
      </c>
      <c r="J255" s="19">
        <v>0.2</v>
      </c>
      <c r="K255" s="19">
        <v>0.2</v>
      </c>
      <c r="L255" s="19">
        <v>0.2</v>
      </c>
      <c r="M255" s="19">
        <v>0.2</v>
      </c>
      <c r="N255" s="19">
        <v>0.2</v>
      </c>
    </row>
    <row r="256" spans="1:14" ht="15" x14ac:dyDescent="0.25">
      <c r="A256" s="200"/>
      <c r="B256" s="17" t="s">
        <v>58</v>
      </c>
      <c r="C256" s="19">
        <v>0.5</v>
      </c>
      <c r="D256" s="19">
        <v>0.5</v>
      </c>
      <c r="E256" s="19">
        <v>0.5</v>
      </c>
      <c r="F256" s="19">
        <v>0.5</v>
      </c>
      <c r="G256" s="19">
        <v>0.5</v>
      </c>
      <c r="H256" s="19">
        <v>0.5</v>
      </c>
      <c r="I256" s="19">
        <v>0.5</v>
      </c>
      <c r="J256" s="19">
        <v>0.5</v>
      </c>
      <c r="K256" s="19">
        <v>0.5</v>
      </c>
      <c r="L256" s="19">
        <v>0.5</v>
      </c>
      <c r="M256" s="19">
        <v>0.5</v>
      </c>
      <c r="N256" s="19">
        <v>0.5</v>
      </c>
    </row>
    <row r="257" spans="1:14" ht="15" x14ac:dyDescent="0.25">
      <c r="A257" s="200" t="s">
        <v>228</v>
      </c>
      <c r="B257" s="17" t="s">
        <v>55</v>
      </c>
      <c r="C257" s="19">
        <v>0.3</v>
      </c>
      <c r="D257" s="19">
        <v>0.3</v>
      </c>
      <c r="E257" s="19">
        <v>0.3</v>
      </c>
      <c r="F257" s="19">
        <v>0.3</v>
      </c>
      <c r="G257" s="19">
        <v>0.3</v>
      </c>
      <c r="H257" s="19">
        <v>0.3</v>
      </c>
      <c r="I257" s="19">
        <v>0.3</v>
      </c>
      <c r="J257" s="19">
        <v>0.3</v>
      </c>
      <c r="K257" s="19">
        <v>0.3</v>
      </c>
      <c r="L257" s="19">
        <v>0.3</v>
      </c>
      <c r="M257" s="19">
        <v>0.3</v>
      </c>
      <c r="N257" s="19">
        <v>0.3</v>
      </c>
    </row>
    <row r="258" spans="1:14" ht="15" x14ac:dyDescent="0.25">
      <c r="A258" s="200"/>
      <c r="B258" s="17" t="s">
        <v>57</v>
      </c>
      <c r="C258" s="19">
        <v>0.2</v>
      </c>
      <c r="D258" s="19">
        <v>0.2</v>
      </c>
      <c r="E258" s="19">
        <v>0.2</v>
      </c>
      <c r="F258" s="19">
        <v>0.2</v>
      </c>
      <c r="G258" s="19">
        <v>0.2</v>
      </c>
      <c r="H258" s="19">
        <v>0.2</v>
      </c>
      <c r="I258" s="19">
        <v>0.2</v>
      </c>
      <c r="J258" s="19">
        <v>0.2</v>
      </c>
      <c r="K258" s="19">
        <v>0.2</v>
      </c>
      <c r="L258" s="19">
        <v>0.2</v>
      </c>
      <c r="M258" s="19">
        <v>0.2</v>
      </c>
      <c r="N258" s="19">
        <v>0.2</v>
      </c>
    </row>
    <row r="259" spans="1:14" ht="15" x14ac:dyDescent="0.25">
      <c r="A259" s="200"/>
      <c r="B259" s="17" t="s">
        <v>58</v>
      </c>
      <c r="C259" s="19">
        <v>0.5</v>
      </c>
      <c r="D259" s="19">
        <v>0.5</v>
      </c>
      <c r="E259" s="19">
        <v>0.5</v>
      </c>
      <c r="F259" s="19">
        <v>0.5</v>
      </c>
      <c r="G259" s="19">
        <v>0.5</v>
      </c>
      <c r="H259" s="19">
        <v>0.5</v>
      </c>
      <c r="I259" s="19">
        <v>0.5</v>
      </c>
      <c r="J259" s="19">
        <v>0.5</v>
      </c>
      <c r="K259" s="19">
        <v>0.5</v>
      </c>
      <c r="L259" s="19">
        <v>0.5</v>
      </c>
      <c r="M259" s="19">
        <v>0.5</v>
      </c>
      <c r="N259" s="19">
        <v>0.5</v>
      </c>
    </row>
    <row r="260" spans="1:14" ht="15" x14ac:dyDescent="0.25">
      <c r="A260" s="200" t="s">
        <v>229</v>
      </c>
      <c r="B260" s="17" t="s">
        <v>55</v>
      </c>
      <c r="C260" s="19">
        <v>0.3</v>
      </c>
      <c r="D260" s="19">
        <v>0.3</v>
      </c>
      <c r="E260" s="19">
        <v>0.3</v>
      </c>
      <c r="F260" s="19">
        <v>0.3</v>
      </c>
      <c r="G260" s="19">
        <v>0.3</v>
      </c>
      <c r="H260" s="19">
        <v>0.3</v>
      </c>
      <c r="I260" s="19">
        <v>0.3</v>
      </c>
      <c r="J260" s="19">
        <v>0.3</v>
      </c>
      <c r="K260" s="19">
        <v>0.3</v>
      </c>
      <c r="L260" s="19">
        <v>0.3</v>
      </c>
      <c r="M260" s="19">
        <v>0.3</v>
      </c>
      <c r="N260" s="19">
        <v>0.3</v>
      </c>
    </row>
    <row r="261" spans="1:14" ht="15" x14ac:dyDescent="0.25">
      <c r="A261" s="200"/>
      <c r="B261" s="17" t="s">
        <v>57</v>
      </c>
      <c r="C261" s="19">
        <v>0.2</v>
      </c>
      <c r="D261" s="19">
        <v>0.2</v>
      </c>
      <c r="E261" s="19">
        <v>0.2</v>
      </c>
      <c r="F261" s="19">
        <v>0.2</v>
      </c>
      <c r="G261" s="19">
        <v>0.2</v>
      </c>
      <c r="H261" s="19">
        <v>0.2</v>
      </c>
      <c r="I261" s="19">
        <v>0.2</v>
      </c>
      <c r="J261" s="19">
        <v>0.2</v>
      </c>
      <c r="K261" s="19">
        <v>0.2</v>
      </c>
      <c r="L261" s="19">
        <v>0.2</v>
      </c>
      <c r="M261" s="19">
        <v>0.2</v>
      </c>
      <c r="N261" s="19">
        <v>0.2</v>
      </c>
    </row>
    <row r="262" spans="1:14" ht="15" x14ac:dyDescent="0.25">
      <c r="A262" s="200"/>
      <c r="B262" s="17" t="s">
        <v>58</v>
      </c>
      <c r="C262" s="19">
        <v>0.5</v>
      </c>
      <c r="D262" s="19">
        <v>0.5</v>
      </c>
      <c r="E262" s="19">
        <v>0.5</v>
      </c>
      <c r="F262" s="19">
        <v>0.5</v>
      </c>
      <c r="G262" s="19">
        <v>0.5</v>
      </c>
      <c r="H262" s="19">
        <v>0.5</v>
      </c>
      <c r="I262" s="19">
        <v>0.5</v>
      </c>
      <c r="J262" s="19">
        <v>0.5</v>
      </c>
      <c r="K262" s="19">
        <v>0.5</v>
      </c>
      <c r="L262" s="19">
        <v>0.5</v>
      </c>
      <c r="M262" s="19">
        <v>0.5</v>
      </c>
      <c r="N262" s="19">
        <v>0.5</v>
      </c>
    </row>
    <row r="263" spans="1:14" ht="15" x14ac:dyDescent="0.25">
      <c r="A263" s="200" t="s">
        <v>230</v>
      </c>
      <c r="B263" s="17" t="s">
        <v>55</v>
      </c>
      <c r="C263" s="19">
        <v>0.3</v>
      </c>
      <c r="D263" s="19">
        <v>0.3</v>
      </c>
      <c r="E263" s="19">
        <v>0.3</v>
      </c>
      <c r="F263" s="19">
        <v>0.3</v>
      </c>
      <c r="G263" s="19">
        <v>0.3</v>
      </c>
      <c r="H263" s="19">
        <v>0.3</v>
      </c>
      <c r="I263" s="19">
        <v>0.3</v>
      </c>
      <c r="J263" s="19">
        <v>0.3</v>
      </c>
      <c r="K263" s="19">
        <v>0.3</v>
      </c>
      <c r="L263" s="19">
        <v>0.3</v>
      </c>
      <c r="M263" s="19">
        <v>0.3</v>
      </c>
      <c r="N263" s="19">
        <v>0.3</v>
      </c>
    </row>
    <row r="264" spans="1:14" ht="15" x14ac:dyDescent="0.25">
      <c r="A264" s="200"/>
      <c r="B264" s="17" t="s">
        <v>57</v>
      </c>
      <c r="C264" s="19">
        <v>0.2</v>
      </c>
      <c r="D264" s="19">
        <v>0.2</v>
      </c>
      <c r="E264" s="19">
        <v>0.2</v>
      </c>
      <c r="F264" s="19">
        <v>0.2</v>
      </c>
      <c r="G264" s="19">
        <v>0.2</v>
      </c>
      <c r="H264" s="19">
        <v>0.2</v>
      </c>
      <c r="I264" s="19">
        <v>0.2</v>
      </c>
      <c r="J264" s="19">
        <v>0.2</v>
      </c>
      <c r="K264" s="19">
        <v>0.2</v>
      </c>
      <c r="L264" s="19">
        <v>0.2</v>
      </c>
      <c r="M264" s="19">
        <v>0.2</v>
      </c>
      <c r="N264" s="19">
        <v>0.2</v>
      </c>
    </row>
    <row r="265" spans="1:14" ht="15" x14ac:dyDescent="0.25">
      <c r="A265" s="200"/>
      <c r="B265" s="17" t="s">
        <v>58</v>
      </c>
      <c r="C265" s="19">
        <v>0.5</v>
      </c>
      <c r="D265" s="19">
        <v>0.5</v>
      </c>
      <c r="E265" s="19">
        <v>0.5</v>
      </c>
      <c r="F265" s="19">
        <v>0.5</v>
      </c>
      <c r="G265" s="19">
        <v>0.5</v>
      </c>
      <c r="H265" s="19">
        <v>0.5</v>
      </c>
      <c r="I265" s="19">
        <v>0.5</v>
      </c>
      <c r="J265" s="19">
        <v>0.5</v>
      </c>
      <c r="K265" s="19">
        <v>0.5</v>
      </c>
      <c r="L265" s="19">
        <v>0.5</v>
      </c>
      <c r="M265" s="19">
        <v>0.5</v>
      </c>
      <c r="N265" s="19">
        <v>0.5</v>
      </c>
    </row>
    <row r="266" spans="1:14" ht="15" x14ac:dyDescent="0.25">
      <c r="A266" s="200" t="s">
        <v>231</v>
      </c>
      <c r="B266" s="17" t="s">
        <v>55</v>
      </c>
      <c r="C266" s="19">
        <v>0.3</v>
      </c>
      <c r="D266" s="19">
        <v>0.3</v>
      </c>
      <c r="E266" s="19">
        <v>0.3</v>
      </c>
      <c r="F266" s="19">
        <v>0.3</v>
      </c>
      <c r="G266" s="19">
        <v>0.3</v>
      </c>
      <c r="H266" s="19">
        <v>0.3</v>
      </c>
      <c r="I266" s="19">
        <v>0.3</v>
      </c>
      <c r="J266" s="19">
        <v>0.3</v>
      </c>
      <c r="K266" s="19">
        <v>0.3</v>
      </c>
      <c r="L266" s="19">
        <v>0.3</v>
      </c>
      <c r="M266" s="19">
        <v>0.3</v>
      </c>
      <c r="N266" s="19">
        <v>0.3</v>
      </c>
    </row>
    <row r="267" spans="1:14" ht="15" x14ac:dyDescent="0.25">
      <c r="A267" s="200"/>
      <c r="B267" s="17" t="s">
        <v>57</v>
      </c>
      <c r="C267" s="19">
        <v>0.2</v>
      </c>
      <c r="D267" s="19">
        <v>0.2</v>
      </c>
      <c r="E267" s="19">
        <v>0.2</v>
      </c>
      <c r="F267" s="19">
        <v>0.2</v>
      </c>
      <c r="G267" s="19">
        <v>0.2</v>
      </c>
      <c r="H267" s="19">
        <v>0.2</v>
      </c>
      <c r="I267" s="19">
        <v>0.2</v>
      </c>
      <c r="J267" s="19">
        <v>0.2</v>
      </c>
      <c r="K267" s="19">
        <v>0.2</v>
      </c>
      <c r="L267" s="19">
        <v>0.2</v>
      </c>
      <c r="M267" s="19">
        <v>0.2</v>
      </c>
      <c r="N267" s="19">
        <v>0.2</v>
      </c>
    </row>
    <row r="268" spans="1:14" ht="15" x14ac:dyDescent="0.25">
      <c r="A268" s="200"/>
      <c r="B268" s="17" t="s">
        <v>58</v>
      </c>
      <c r="C268" s="19">
        <v>0.5</v>
      </c>
      <c r="D268" s="19">
        <v>0.5</v>
      </c>
      <c r="E268" s="19">
        <v>0.5</v>
      </c>
      <c r="F268" s="19">
        <v>0.5</v>
      </c>
      <c r="G268" s="19">
        <v>0.5</v>
      </c>
      <c r="H268" s="19">
        <v>0.5</v>
      </c>
      <c r="I268" s="19">
        <v>0.5</v>
      </c>
      <c r="J268" s="19">
        <v>0.5</v>
      </c>
      <c r="K268" s="19">
        <v>0.5</v>
      </c>
      <c r="L268" s="19">
        <v>0.5</v>
      </c>
      <c r="M268" s="19">
        <v>0.5</v>
      </c>
      <c r="N268" s="19">
        <v>0.5</v>
      </c>
    </row>
    <row r="269" spans="1:14" ht="15" x14ac:dyDescent="0.25">
      <c r="A269" s="200" t="s">
        <v>232</v>
      </c>
      <c r="B269" s="17" t="s">
        <v>55</v>
      </c>
      <c r="C269" s="19">
        <v>0.3</v>
      </c>
      <c r="D269" s="19">
        <v>0.3</v>
      </c>
      <c r="E269" s="19">
        <v>0.3</v>
      </c>
      <c r="F269" s="19">
        <v>0.3</v>
      </c>
      <c r="G269" s="19">
        <v>0.3</v>
      </c>
      <c r="H269" s="19">
        <v>0.3</v>
      </c>
      <c r="I269" s="19">
        <v>0.3</v>
      </c>
      <c r="J269" s="19">
        <v>0.3</v>
      </c>
      <c r="K269" s="19">
        <v>0.3</v>
      </c>
      <c r="L269" s="19">
        <v>0.3</v>
      </c>
      <c r="M269" s="19">
        <v>0.3</v>
      </c>
      <c r="N269" s="19">
        <v>0.3</v>
      </c>
    </row>
    <row r="270" spans="1:14" ht="15" x14ac:dyDescent="0.25">
      <c r="A270" s="200"/>
      <c r="B270" s="17" t="s">
        <v>57</v>
      </c>
      <c r="C270" s="19">
        <v>0.2</v>
      </c>
      <c r="D270" s="19">
        <v>0.2</v>
      </c>
      <c r="E270" s="19">
        <v>0.2</v>
      </c>
      <c r="F270" s="19">
        <v>0.2</v>
      </c>
      <c r="G270" s="19">
        <v>0.2</v>
      </c>
      <c r="H270" s="19">
        <v>0.2</v>
      </c>
      <c r="I270" s="19">
        <v>0.2</v>
      </c>
      <c r="J270" s="19">
        <v>0.2</v>
      </c>
      <c r="K270" s="19">
        <v>0.2</v>
      </c>
      <c r="L270" s="19">
        <v>0.2</v>
      </c>
      <c r="M270" s="19">
        <v>0.2</v>
      </c>
      <c r="N270" s="19">
        <v>0.2</v>
      </c>
    </row>
    <row r="271" spans="1:14" ht="15" x14ac:dyDescent="0.25">
      <c r="A271" s="200"/>
      <c r="B271" s="17" t="s">
        <v>58</v>
      </c>
      <c r="C271" s="19">
        <v>0.5</v>
      </c>
      <c r="D271" s="19">
        <v>0.5</v>
      </c>
      <c r="E271" s="19">
        <v>0.5</v>
      </c>
      <c r="F271" s="19">
        <v>0.5</v>
      </c>
      <c r="G271" s="19">
        <v>0.5</v>
      </c>
      <c r="H271" s="19">
        <v>0.5</v>
      </c>
      <c r="I271" s="19">
        <v>0.5</v>
      </c>
      <c r="J271" s="19">
        <v>0.5</v>
      </c>
      <c r="K271" s="19">
        <v>0.5</v>
      </c>
      <c r="L271" s="19">
        <v>0.5</v>
      </c>
      <c r="M271" s="19">
        <v>0.5</v>
      </c>
      <c r="N271" s="19">
        <v>0.5</v>
      </c>
    </row>
    <row r="272" spans="1:14" ht="15" x14ac:dyDescent="0.25">
      <c r="A272" s="200" t="s">
        <v>233</v>
      </c>
      <c r="B272" s="17" t="s">
        <v>55</v>
      </c>
      <c r="C272" s="19">
        <v>0.3</v>
      </c>
      <c r="D272" s="19">
        <v>0.3</v>
      </c>
      <c r="E272" s="19">
        <v>0.3</v>
      </c>
      <c r="F272" s="19">
        <v>0.3</v>
      </c>
      <c r="G272" s="19">
        <v>0.3</v>
      </c>
      <c r="H272" s="19">
        <v>0.3</v>
      </c>
      <c r="I272" s="19">
        <v>0.3</v>
      </c>
      <c r="J272" s="19">
        <v>0.3</v>
      </c>
      <c r="K272" s="19">
        <v>0.3</v>
      </c>
      <c r="L272" s="19">
        <v>0.3</v>
      </c>
      <c r="M272" s="19">
        <v>0.3</v>
      </c>
      <c r="N272" s="19">
        <v>0.3</v>
      </c>
    </row>
    <row r="273" spans="1:14" ht="15" x14ac:dyDescent="0.25">
      <c r="A273" s="200"/>
      <c r="B273" s="17" t="s">
        <v>57</v>
      </c>
      <c r="C273" s="19">
        <v>0.2</v>
      </c>
      <c r="D273" s="19">
        <v>0.2</v>
      </c>
      <c r="E273" s="19">
        <v>0.2</v>
      </c>
      <c r="F273" s="19">
        <v>0.2</v>
      </c>
      <c r="G273" s="19">
        <v>0.2</v>
      </c>
      <c r="H273" s="19">
        <v>0.2</v>
      </c>
      <c r="I273" s="19">
        <v>0.2</v>
      </c>
      <c r="J273" s="19">
        <v>0.2</v>
      </c>
      <c r="K273" s="19">
        <v>0.2</v>
      </c>
      <c r="L273" s="19">
        <v>0.2</v>
      </c>
      <c r="M273" s="19">
        <v>0.2</v>
      </c>
      <c r="N273" s="19">
        <v>0.2</v>
      </c>
    </row>
    <row r="274" spans="1:14" ht="15" x14ac:dyDescent="0.25">
      <c r="A274" s="200"/>
      <c r="B274" s="17" t="s">
        <v>58</v>
      </c>
      <c r="C274" s="19">
        <v>0.5</v>
      </c>
      <c r="D274" s="19">
        <v>0.5</v>
      </c>
      <c r="E274" s="19">
        <v>0.5</v>
      </c>
      <c r="F274" s="19">
        <v>0.5</v>
      </c>
      <c r="G274" s="19">
        <v>0.5</v>
      </c>
      <c r="H274" s="19">
        <v>0.5</v>
      </c>
      <c r="I274" s="19">
        <v>0.5</v>
      </c>
      <c r="J274" s="19">
        <v>0.5</v>
      </c>
      <c r="K274" s="19">
        <v>0.5</v>
      </c>
      <c r="L274" s="19">
        <v>0.5</v>
      </c>
      <c r="M274" s="19">
        <v>0.5</v>
      </c>
      <c r="N274" s="19">
        <v>0.5</v>
      </c>
    </row>
    <row r="275" spans="1:14" ht="15" x14ac:dyDescent="0.25">
      <c r="A275" s="200" t="s">
        <v>234</v>
      </c>
      <c r="B275" s="17" t="s">
        <v>55</v>
      </c>
      <c r="C275" s="19">
        <v>0.3</v>
      </c>
      <c r="D275" s="19">
        <v>0.3</v>
      </c>
      <c r="E275" s="19">
        <v>0.3</v>
      </c>
      <c r="F275" s="19">
        <v>0.3</v>
      </c>
      <c r="G275" s="19">
        <v>0.3</v>
      </c>
      <c r="H275" s="19">
        <v>0.3</v>
      </c>
      <c r="I275" s="19">
        <v>0.3</v>
      </c>
      <c r="J275" s="19">
        <v>0.3</v>
      </c>
      <c r="K275" s="19">
        <v>0.3</v>
      </c>
      <c r="L275" s="19">
        <v>0.3</v>
      </c>
      <c r="M275" s="19">
        <v>0.3</v>
      </c>
      <c r="N275" s="19">
        <v>0.3</v>
      </c>
    </row>
    <row r="276" spans="1:14" ht="15" x14ac:dyDescent="0.25">
      <c r="A276" s="200"/>
      <c r="B276" s="17" t="s">
        <v>57</v>
      </c>
      <c r="C276" s="19">
        <v>0.2</v>
      </c>
      <c r="D276" s="19">
        <v>0.2</v>
      </c>
      <c r="E276" s="19">
        <v>0.2</v>
      </c>
      <c r="F276" s="19">
        <v>0.2</v>
      </c>
      <c r="G276" s="19">
        <v>0.2</v>
      </c>
      <c r="H276" s="19">
        <v>0.2</v>
      </c>
      <c r="I276" s="19">
        <v>0.2</v>
      </c>
      <c r="J276" s="19">
        <v>0.2</v>
      </c>
      <c r="K276" s="19">
        <v>0.2</v>
      </c>
      <c r="L276" s="19">
        <v>0.2</v>
      </c>
      <c r="M276" s="19">
        <v>0.2</v>
      </c>
      <c r="N276" s="19">
        <v>0.2</v>
      </c>
    </row>
    <row r="277" spans="1:14" ht="15" x14ac:dyDescent="0.25">
      <c r="A277" s="200"/>
      <c r="B277" s="17" t="s">
        <v>58</v>
      </c>
      <c r="C277" s="19">
        <v>0.5</v>
      </c>
      <c r="D277" s="19">
        <v>0.5</v>
      </c>
      <c r="E277" s="19">
        <v>0.5</v>
      </c>
      <c r="F277" s="19">
        <v>0.5</v>
      </c>
      <c r="G277" s="19">
        <v>0.5</v>
      </c>
      <c r="H277" s="19">
        <v>0.5</v>
      </c>
      <c r="I277" s="19">
        <v>0.5</v>
      </c>
      <c r="J277" s="19">
        <v>0.5</v>
      </c>
      <c r="K277" s="19">
        <v>0.5</v>
      </c>
      <c r="L277" s="19">
        <v>0.5</v>
      </c>
      <c r="M277" s="19">
        <v>0.5</v>
      </c>
      <c r="N277" s="19">
        <v>0.5</v>
      </c>
    </row>
    <row r="278" spans="1:14" ht="15" x14ac:dyDescent="0.25">
      <c r="A278" s="200" t="s">
        <v>235</v>
      </c>
      <c r="B278" s="17" t="s">
        <v>55</v>
      </c>
      <c r="C278" s="19">
        <v>0.3</v>
      </c>
      <c r="D278" s="19">
        <v>0.3</v>
      </c>
      <c r="E278" s="19">
        <v>0.3</v>
      </c>
      <c r="F278" s="19">
        <v>0.3</v>
      </c>
      <c r="G278" s="19">
        <v>0.3</v>
      </c>
      <c r="H278" s="19">
        <v>0.3</v>
      </c>
      <c r="I278" s="19">
        <v>0.3</v>
      </c>
      <c r="J278" s="19">
        <v>0.3</v>
      </c>
      <c r="K278" s="19">
        <v>0.3</v>
      </c>
      <c r="L278" s="19">
        <v>0.3</v>
      </c>
      <c r="M278" s="19">
        <v>0.3</v>
      </c>
      <c r="N278" s="19">
        <v>0.3</v>
      </c>
    </row>
    <row r="279" spans="1:14" ht="15" x14ac:dyDescent="0.25">
      <c r="A279" s="200"/>
      <c r="B279" s="17" t="s">
        <v>57</v>
      </c>
      <c r="C279" s="19">
        <v>0.2</v>
      </c>
      <c r="D279" s="19">
        <v>0.2</v>
      </c>
      <c r="E279" s="19">
        <v>0.2</v>
      </c>
      <c r="F279" s="19">
        <v>0.2</v>
      </c>
      <c r="G279" s="19">
        <v>0.2</v>
      </c>
      <c r="H279" s="19">
        <v>0.2</v>
      </c>
      <c r="I279" s="19">
        <v>0.2</v>
      </c>
      <c r="J279" s="19">
        <v>0.2</v>
      </c>
      <c r="K279" s="19">
        <v>0.2</v>
      </c>
      <c r="L279" s="19">
        <v>0.2</v>
      </c>
      <c r="M279" s="19">
        <v>0.2</v>
      </c>
      <c r="N279" s="19">
        <v>0.2</v>
      </c>
    </row>
    <row r="280" spans="1:14" ht="15" x14ac:dyDescent="0.25">
      <c r="A280" s="200"/>
      <c r="B280" s="17" t="s">
        <v>58</v>
      </c>
      <c r="C280" s="19">
        <v>0.5</v>
      </c>
      <c r="D280" s="19">
        <v>0.5</v>
      </c>
      <c r="E280" s="19">
        <v>0.5</v>
      </c>
      <c r="F280" s="19">
        <v>0.5</v>
      </c>
      <c r="G280" s="19">
        <v>0.5</v>
      </c>
      <c r="H280" s="19">
        <v>0.5</v>
      </c>
      <c r="I280" s="19">
        <v>0.5</v>
      </c>
      <c r="J280" s="19">
        <v>0.5</v>
      </c>
      <c r="K280" s="19">
        <v>0.5</v>
      </c>
      <c r="L280" s="19">
        <v>0.5</v>
      </c>
      <c r="M280" s="19">
        <v>0.5</v>
      </c>
      <c r="N280" s="19">
        <v>0.5</v>
      </c>
    </row>
    <row r="281" spans="1:14" ht="15" x14ac:dyDescent="0.25">
      <c r="A281" s="200" t="s">
        <v>236</v>
      </c>
      <c r="B281" s="17" t="s">
        <v>55</v>
      </c>
      <c r="C281" s="19">
        <v>0.3</v>
      </c>
      <c r="D281" s="19">
        <v>0.3</v>
      </c>
      <c r="E281" s="19">
        <v>0.3</v>
      </c>
      <c r="F281" s="19">
        <v>0.3</v>
      </c>
      <c r="G281" s="19">
        <v>0.3</v>
      </c>
      <c r="H281" s="19">
        <v>0.3</v>
      </c>
      <c r="I281" s="19">
        <v>0.3</v>
      </c>
      <c r="J281" s="19">
        <v>0.3</v>
      </c>
      <c r="K281" s="19">
        <v>0.3</v>
      </c>
      <c r="L281" s="19">
        <v>0.3</v>
      </c>
      <c r="M281" s="19">
        <v>0.3</v>
      </c>
      <c r="N281" s="19">
        <v>0.3</v>
      </c>
    </row>
    <row r="282" spans="1:14" ht="15" x14ac:dyDescent="0.25">
      <c r="A282" s="200"/>
      <c r="B282" s="17" t="s">
        <v>57</v>
      </c>
      <c r="C282" s="19">
        <v>0.2</v>
      </c>
      <c r="D282" s="19">
        <v>0.2</v>
      </c>
      <c r="E282" s="19">
        <v>0.2</v>
      </c>
      <c r="F282" s="19">
        <v>0.2</v>
      </c>
      <c r="G282" s="19">
        <v>0.2</v>
      </c>
      <c r="H282" s="19">
        <v>0.2</v>
      </c>
      <c r="I282" s="19">
        <v>0.2</v>
      </c>
      <c r="J282" s="19">
        <v>0.2</v>
      </c>
      <c r="K282" s="19">
        <v>0.2</v>
      </c>
      <c r="L282" s="19">
        <v>0.2</v>
      </c>
      <c r="M282" s="19">
        <v>0.2</v>
      </c>
      <c r="N282" s="19">
        <v>0.2</v>
      </c>
    </row>
    <row r="283" spans="1:14" ht="15" x14ac:dyDescent="0.25">
      <c r="A283" s="200"/>
      <c r="B283" s="17" t="s">
        <v>58</v>
      </c>
      <c r="C283" s="19">
        <v>0.5</v>
      </c>
      <c r="D283" s="19">
        <v>0.5</v>
      </c>
      <c r="E283" s="19">
        <v>0.5</v>
      </c>
      <c r="F283" s="19">
        <v>0.5</v>
      </c>
      <c r="G283" s="19">
        <v>0.5</v>
      </c>
      <c r="H283" s="19">
        <v>0.5</v>
      </c>
      <c r="I283" s="19">
        <v>0.5</v>
      </c>
      <c r="J283" s="19">
        <v>0.5</v>
      </c>
      <c r="K283" s="19">
        <v>0.5</v>
      </c>
      <c r="L283" s="19">
        <v>0.5</v>
      </c>
      <c r="M283" s="19">
        <v>0.5</v>
      </c>
      <c r="N283" s="19">
        <v>0.5</v>
      </c>
    </row>
    <row r="284" spans="1:14" ht="15" x14ac:dyDescent="0.25">
      <c r="A284" s="200" t="s">
        <v>237</v>
      </c>
      <c r="B284" s="17" t="s">
        <v>55</v>
      </c>
      <c r="C284" s="19">
        <v>0.3</v>
      </c>
      <c r="D284" s="19">
        <v>0.3</v>
      </c>
      <c r="E284" s="19">
        <v>0.3</v>
      </c>
      <c r="F284" s="19">
        <v>0.3</v>
      </c>
      <c r="G284" s="19">
        <v>0.3</v>
      </c>
      <c r="H284" s="19">
        <v>0.3</v>
      </c>
      <c r="I284" s="19">
        <v>0.3</v>
      </c>
      <c r="J284" s="19">
        <v>0.3</v>
      </c>
      <c r="K284" s="19">
        <v>0.3</v>
      </c>
      <c r="L284" s="19">
        <v>0.3</v>
      </c>
      <c r="M284" s="19">
        <v>0.3</v>
      </c>
      <c r="N284" s="19">
        <v>0.3</v>
      </c>
    </row>
    <row r="285" spans="1:14" ht="15" x14ac:dyDescent="0.25">
      <c r="A285" s="200"/>
      <c r="B285" s="17" t="s">
        <v>57</v>
      </c>
      <c r="C285" s="19">
        <v>0.2</v>
      </c>
      <c r="D285" s="19">
        <v>0.2</v>
      </c>
      <c r="E285" s="19">
        <v>0.2</v>
      </c>
      <c r="F285" s="19">
        <v>0.2</v>
      </c>
      <c r="G285" s="19">
        <v>0.2</v>
      </c>
      <c r="H285" s="19">
        <v>0.2</v>
      </c>
      <c r="I285" s="19">
        <v>0.2</v>
      </c>
      <c r="J285" s="19">
        <v>0.2</v>
      </c>
      <c r="K285" s="19">
        <v>0.2</v>
      </c>
      <c r="L285" s="19">
        <v>0.2</v>
      </c>
      <c r="M285" s="19">
        <v>0.2</v>
      </c>
      <c r="N285" s="19">
        <v>0.2</v>
      </c>
    </row>
    <row r="286" spans="1:14" ht="15" x14ac:dyDescent="0.25">
      <c r="A286" s="200"/>
      <c r="B286" s="17" t="s">
        <v>58</v>
      </c>
      <c r="C286" s="19">
        <v>0.5</v>
      </c>
      <c r="D286" s="19">
        <v>0.5</v>
      </c>
      <c r="E286" s="19">
        <v>0.5</v>
      </c>
      <c r="F286" s="19">
        <v>0.5</v>
      </c>
      <c r="G286" s="19">
        <v>0.5</v>
      </c>
      <c r="H286" s="19">
        <v>0.5</v>
      </c>
      <c r="I286" s="19">
        <v>0.5</v>
      </c>
      <c r="J286" s="19">
        <v>0.5</v>
      </c>
      <c r="K286" s="19">
        <v>0.5</v>
      </c>
      <c r="L286" s="19">
        <v>0.5</v>
      </c>
      <c r="M286" s="19">
        <v>0.5</v>
      </c>
      <c r="N286" s="19">
        <v>0.5</v>
      </c>
    </row>
    <row r="287" spans="1:14" ht="15" x14ac:dyDescent="0.25">
      <c r="A287" s="200" t="s">
        <v>238</v>
      </c>
      <c r="B287" s="17" t="s">
        <v>55</v>
      </c>
      <c r="C287" s="19">
        <v>0.3</v>
      </c>
      <c r="D287" s="19">
        <v>0.3</v>
      </c>
      <c r="E287" s="19">
        <v>0.3</v>
      </c>
      <c r="F287" s="19">
        <v>0.3</v>
      </c>
      <c r="G287" s="19">
        <v>0.3</v>
      </c>
      <c r="H287" s="19">
        <v>0.3</v>
      </c>
      <c r="I287" s="19">
        <v>0.3</v>
      </c>
      <c r="J287" s="19">
        <v>0.3</v>
      </c>
      <c r="K287" s="19">
        <v>0.3</v>
      </c>
      <c r="L287" s="19">
        <v>0.3</v>
      </c>
      <c r="M287" s="19">
        <v>0.3</v>
      </c>
      <c r="N287" s="19">
        <v>0.3</v>
      </c>
    </row>
    <row r="288" spans="1:14" ht="15" x14ac:dyDescent="0.25">
      <c r="A288" s="200"/>
      <c r="B288" s="17" t="s">
        <v>57</v>
      </c>
      <c r="C288" s="19">
        <v>0.2</v>
      </c>
      <c r="D288" s="19">
        <v>0.2</v>
      </c>
      <c r="E288" s="19">
        <v>0.2</v>
      </c>
      <c r="F288" s="19">
        <v>0.2</v>
      </c>
      <c r="G288" s="19">
        <v>0.2</v>
      </c>
      <c r="H288" s="19">
        <v>0.2</v>
      </c>
      <c r="I288" s="19">
        <v>0.2</v>
      </c>
      <c r="J288" s="19">
        <v>0.2</v>
      </c>
      <c r="K288" s="19">
        <v>0.2</v>
      </c>
      <c r="L288" s="19">
        <v>0.2</v>
      </c>
      <c r="M288" s="19">
        <v>0.2</v>
      </c>
      <c r="N288" s="19">
        <v>0.2</v>
      </c>
    </row>
    <row r="289" spans="1:14" ht="15" x14ac:dyDescent="0.25">
      <c r="A289" s="200"/>
      <c r="B289" s="17" t="s">
        <v>58</v>
      </c>
      <c r="C289" s="19">
        <v>0.5</v>
      </c>
      <c r="D289" s="19">
        <v>0.5</v>
      </c>
      <c r="E289" s="19">
        <v>0.5</v>
      </c>
      <c r="F289" s="19">
        <v>0.5</v>
      </c>
      <c r="G289" s="19">
        <v>0.5</v>
      </c>
      <c r="H289" s="19">
        <v>0.5</v>
      </c>
      <c r="I289" s="19">
        <v>0.5</v>
      </c>
      <c r="J289" s="19">
        <v>0.5</v>
      </c>
      <c r="K289" s="19">
        <v>0.5</v>
      </c>
      <c r="L289" s="19">
        <v>0.5</v>
      </c>
      <c r="M289" s="19">
        <v>0.5</v>
      </c>
      <c r="N289" s="19">
        <v>0.5</v>
      </c>
    </row>
    <row r="290" spans="1:14" ht="15" x14ac:dyDescent="0.25">
      <c r="A290" s="200" t="s">
        <v>239</v>
      </c>
      <c r="B290" s="17" t="s">
        <v>55</v>
      </c>
      <c r="C290" s="19">
        <v>0.3</v>
      </c>
      <c r="D290" s="19">
        <v>0.3</v>
      </c>
      <c r="E290" s="19">
        <v>0.3</v>
      </c>
      <c r="F290" s="19">
        <v>0.3</v>
      </c>
      <c r="G290" s="19">
        <v>0.3</v>
      </c>
      <c r="H290" s="19">
        <v>0.3</v>
      </c>
      <c r="I290" s="19">
        <v>0.3</v>
      </c>
      <c r="J290" s="19">
        <v>0.3</v>
      </c>
      <c r="K290" s="19">
        <v>0.3</v>
      </c>
      <c r="L290" s="19">
        <v>0.3</v>
      </c>
      <c r="M290" s="19">
        <v>0.3</v>
      </c>
      <c r="N290" s="19">
        <v>0.3</v>
      </c>
    </row>
    <row r="291" spans="1:14" ht="15" x14ac:dyDescent="0.25">
      <c r="A291" s="200"/>
      <c r="B291" s="17" t="s">
        <v>57</v>
      </c>
      <c r="C291" s="19">
        <v>0.2</v>
      </c>
      <c r="D291" s="19">
        <v>0.2</v>
      </c>
      <c r="E291" s="19">
        <v>0.2</v>
      </c>
      <c r="F291" s="19">
        <v>0.2</v>
      </c>
      <c r="G291" s="19">
        <v>0.2</v>
      </c>
      <c r="H291" s="19">
        <v>0.2</v>
      </c>
      <c r="I291" s="19">
        <v>0.2</v>
      </c>
      <c r="J291" s="19">
        <v>0.2</v>
      </c>
      <c r="K291" s="19">
        <v>0.2</v>
      </c>
      <c r="L291" s="19">
        <v>0.2</v>
      </c>
      <c r="M291" s="19">
        <v>0.2</v>
      </c>
      <c r="N291" s="19">
        <v>0.2</v>
      </c>
    </row>
    <row r="292" spans="1:14" ht="15" x14ac:dyDescent="0.25">
      <c r="A292" s="200"/>
      <c r="B292" s="17" t="s">
        <v>58</v>
      </c>
      <c r="C292" s="19">
        <v>0.5</v>
      </c>
      <c r="D292" s="19">
        <v>0.5</v>
      </c>
      <c r="E292" s="19">
        <v>0.5</v>
      </c>
      <c r="F292" s="19">
        <v>0.5</v>
      </c>
      <c r="G292" s="19">
        <v>0.5</v>
      </c>
      <c r="H292" s="19">
        <v>0.5</v>
      </c>
      <c r="I292" s="19">
        <v>0.5</v>
      </c>
      <c r="J292" s="19">
        <v>0.5</v>
      </c>
      <c r="K292" s="19">
        <v>0.5</v>
      </c>
      <c r="L292" s="19">
        <v>0.5</v>
      </c>
      <c r="M292" s="19">
        <v>0.5</v>
      </c>
      <c r="N292" s="19">
        <v>0.5</v>
      </c>
    </row>
    <row r="293" spans="1:14" ht="15" x14ac:dyDescent="0.25">
      <c r="A293" s="200" t="s">
        <v>240</v>
      </c>
      <c r="B293" s="17" t="s">
        <v>55</v>
      </c>
      <c r="C293" s="19">
        <v>0.3</v>
      </c>
      <c r="D293" s="19">
        <v>0.3</v>
      </c>
      <c r="E293" s="19">
        <v>0.3</v>
      </c>
      <c r="F293" s="19">
        <v>0.3</v>
      </c>
      <c r="G293" s="19">
        <v>0.3</v>
      </c>
      <c r="H293" s="19">
        <v>0.3</v>
      </c>
      <c r="I293" s="19">
        <v>0.3</v>
      </c>
      <c r="J293" s="19">
        <v>0.3</v>
      </c>
      <c r="K293" s="19">
        <v>0.3</v>
      </c>
      <c r="L293" s="19">
        <v>0.3</v>
      </c>
      <c r="M293" s="19">
        <v>0.3</v>
      </c>
      <c r="N293" s="19">
        <v>0.3</v>
      </c>
    </row>
    <row r="294" spans="1:14" ht="15" x14ac:dyDescent="0.25">
      <c r="A294" s="200"/>
      <c r="B294" s="17" t="s">
        <v>57</v>
      </c>
      <c r="C294" s="19">
        <v>0.2</v>
      </c>
      <c r="D294" s="19">
        <v>0.2</v>
      </c>
      <c r="E294" s="19">
        <v>0.2</v>
      </c>
      <c r="F294" s="19">
        <v>0.2</v>
      </c>
      <c r="G294" s="19">
        <v>0.2</v>
      </c>
      <c r="H294" s="19">
        <v>0.2</v>
      </c>
      <c r="I294" s="19">
        <v>0.2</v>
      </c>
      <c r="J294" s="19">
        <v>0.2</v>
      </c>
      <c r="K294" s="19">
        <v>0.2</v>
      </c>
      <c r="L294" s="19">
        <v>0.2</v>
      </c>
      <c r="M294" s="19">
        <v>0.2</v>
      </c>
      <c r="N294" s="19">
        <v>0.2</v>
      </c>
    </row>
    <row r="295" spans="1:14" ht="15" x14ac:dyDescent="0.25">
      <c r="A295" s="200"/>
      <c r="B295" s="17" t="s">
        <v>58</v>
      </c>
      <c r="C295" s="19">
        <v>0.5</v>
      </c>
      <c r="D295" s="19">
        <v>0.5</v>
      </c>
      <c r="E295" s="19">
        <v>0.5</v>
      </c>
      <c r="F295" s="19">
        <v>0.5</v>
      </c>
      <c r="G295" s="19">
        <v>0.5</v>
      </c>
      <c r="H295" s="19">
        <v>0.5</v>
      </c>
      <c r="I295" s="19">
        <v>0.5</v>
      </c>
      <c r="J295" s="19">
        <v>0.5</v>
      </c>
      <c r="K295" s="19">
        <v>0.5</v>
      </c>
      <c r="L295" s="19">
        <v>0.5</v>
      </c>
      <c r="M295" s="19">
        <v>0.5</v>
      </c>
      <c r="N295" s="19">
        <v>0.5</v>
      </c>
    </row>
    <row r="296" spans="1:14" ht="15" x14ac:dyDescent="0.25">
      <c r="A296" s="200" t="s">
        <v>241</v>
      </c>
      <c r="B296" s="17" t="s">
        <v>55</v>
      </c>
      <c r="C296" s="19">
        <v>0.3</v>
      </c>
      <c r="D296" s="19">
        <v>0.3</v>
      </c>
      <c r="E296" s="19">
        <v>0.3</v>
      </c>
      <c r="F296" s="19">
        <v>0.3</v>
      </c>
      <c r="G296" s="19">
        <v>0.3</v>
      </c>
      <c r="H296" s="19">
        <v>0.3</v>
      </c>
      <c r="I296" s="19">
        <v>0.3</v>
      </c>
      <c r="J296" s="19">
        <v>0.3</v>
      </c>
      <c r="K296" s="19">
        <v>0.3</v>
      </c>
      <c r="L296" s="19">
        <v>0.3</v>
      </c>
      <c r="M296" s="19">
        <v>0.3</v>
      </c>
      <c r="N296" s="19">
        <v>0.3</v>
      </c>
    </row>
    <row r="297" spans="1:14" ht="15" x14ac:dyDescent="0.25">
      <c r="A297" s="200"/>
      <c r="B297" s="17" t="s">
        <v>57</v>
      </c>
      <c r="C297" s="19">
        <v>0.2</v>
      </c>
      <c r="D297" s="19">
        <v>0.2</v>
      </c>
      <c r="E297" s="19">
        <v>0.2</v>
      </c>
      <c r="F297" s="19">
        <v>0.2</v>
      </c>
      <c r="G297" s="19">
        <v>0.2</v>
      </c>
      <c r="H297" s="19">
        <v>0.2</v>
      </c>
      <c r="I297" s="19">
        <v>0.2</v>
      </c>
      <c r="J297" s="19">
        <v>0.2</v>
      </c>
      <c r="K297" s="19">
        <v>0.2</v>
      </c>
      <c r="L297" s="19">
        <v>0.2</v>
      </c>
      <c r="M297" s="19">
        <v>0.2</v>
      </c>
      <c r="N297" s="19">
        <v>0.2</v>
      </c>
    </row>
    <row r="298" spans="1:14" ht="15" x14ac:dyDescent="0.25">
      <c r="A298" s="200"/>
      <c r="B298" s="17" t="s">
        <v>58</v>
      </c>
      <c r="C298" s="19">
        <v>0.5</v>
      </c>
      <c r="D298" s="19">
        <v>0.5</v>
      </c>
      <c r="E298" s="19">
        <v>0.5</v>
      </c>
      <c r="F298" s="19">
        <v>0.5</v>
      </c>
      <c r="G298" s="19">
        <v>0.5</v>
      </c>
      <c r="H298" s="19">
        <v>0.5</v>
      </c>
      <c r="I298" s="19">
        <v>0.5</v>
      </c>
      <c r="J298" s="19">
        <v>0.5</v>
      </c>
      <c r="K298" s="19">
        <v>0.5</v>
      </c>
      <c r="L298" s="19">
        <v>0.5</v>
      </c>
      <c r="M298" s="19">
        <v>0.5</v>
      </c>
      <c r="N298" s="19">
        <v>0.5</v>
      </c>
    </row>
    <row r="299" spans="1:14" ht="15" x14ac:dyDescent="0.25">
      <c r="A299" s="200" t="s">
        <v>242</v>
      </c>
      <c r="B299" s="17" t="s">
        <v>55</v>
      </c>
      <c r="C299" s="19">
        <v>0.3</v>
      </c>
      <c r="D299" s="19">
        <v>0.3</v>
      </c>
      <c r="E299" s="19">
        <v>0.3</v>
      </c>
      <c r="F299" s="19">
        <v>0.3</v>
      </c>
      <c r="G299" s="19">
        <v>0.3</v>
      </c>
      <c r="H299" s="19">
        <v>0.3</v>
      </c>
      <c r="I299" s="19">
        <v>0.3</v>
      </c>
      <c r="J299" s="19">
        <v>0.3</v>
      </c>
      <c r="K299" s="19">
        <v>0.3</v>
      </c>
      <c r="L299" s="19">
        <v>0.3</v>
      </c>
      <c r="M299" s="19">
        <v>0.3</v>
      </c>
      <c r="N299" s="19">
        <v>0.3</v>
      </c>
    </row>
    <row r="300" spans="1:14" ht="15" x14ac:dyDescent="0.25">
      <c r="A300" s="200"/>
      <c r="B300" s="17" t="s">
        <v>57</v>
      </c>
      <c r="C300" s="19">
        <v>0.2</v>
      </c>
      <c r="D300" s="19">
        <v>0.2</v>
      </c>
      <c r="E300" s="19">
        <v>0.2</v>
      </c>
      <c r="F300" s="19">
        <v>0.2</v>
      </c>
      <c r="G300" s="19">
        <v>0.2</v>
      </c>
      <c r="H300" s="19">
        <v>0.2</v>
      </c>
      <c r="I300" s="19">
        <v>0.2</v>
      </c>
      <c r="J300" s="19">
        <v>0.2</v>
      </c>
      <c r="K300" s="19">
        <v>0.2</v>
      </c>
      <c r="L300" s="19">
        <v>0.2</v>
      </c>
      <c r="M300" s="19">
        <v>0.2</v>
      </c>
      <c r="N300" s="19">
        <v>0.2</v>
      </c>
    </row>
    <row r="301" spans="1:14" ht="15" x14ac:dyDescent="0.25">
      <c r="A301" s="200"/>
      <c r="B301" s="17" t="s">
        <v>58</v>
      </c>
      <c r="C301" s="19">
        <v>0.5</v>
      </c>
      <c r="D301" s="19">
        <v>0.5</v>
      </c>
      <c r="E301" s="19">
        <v>0.5</v>
      </c>
      <c r="F301" s="19">
        <v>0.5</v>
      </c>
      <c r="G301" s="19">
        <v>0.5</v>
      </c>
      <c r="H301" s="19">
        <v>0.5</v>
      </c>
      <c r="I301" s="19">
        <v>0.5</v>
      </c>
      <c r="J301" s="19">
        <v>0.5</v>
      </c>
      <c r="K301" s="19">
        <v>0.5</v>
      </c>
      <c r="L301" s="19">
        <v>0.5</v>
      </c>
      <c r="M301" s="19">
        <v>0.5</v>
      </c>
      <c r="N301" s="19">
        <v>0.5</v>
      </c>
    </row>
    <row r="302" spans="1:14" ht="15" x14ac:dyDescent="0.25">
      <c r="A302" s="178" t="s">
        <v>243</v>
      </c>
      <c r="B302" s="178" t="s">
        <v>67</v>
      </c>
      <c r="C302" s="17">
        <v>1995</v>
      </c>
      <c r="D302" s="17">
        <v>2000</v>
      </c>
      <c r="E302" s="17">
        <v>2005</v>
      </c>
      <c r="F302" s="17">
        <v>2010</v>
      </c>
      <c r="G302" s="17">
        <v>2015</v>
      </c>
      <c r="H302" s="17">
        <v>2020</v>
      </c>
      <c r="I302" s="17">
        <v>2025</v>
      </c>
      <c r="J302" s="17">
        <v>2030</v>
      </c>
      <c r="K302" s="17">
        <v>2035</v>
      </c>
      <c r="L302" s="17">
        <v>2040</v>
      </c>
      <c r="M302" s="17">
        <v>2045</v>
      </c>
      <c r="N302" s="17">
        <v>2050</v>
      </c>
    </row>
    <row r="303" spans="1:14" ht="15" x14ac:dyDescent="0.25">
      <c r="A303" s="199" t="s">
        <v>244</v>
      </c>
      <c r="B303" s="17" t="s">
        <v>245</v>
      </c>
      <c r="C303" s="19">
        <v>0.5</v>
      </c>
      <c r="D303" s="19">
        <v>0.5</v>
      </c>
      <c r="E303" s="19">
        <v>0.5</v>
      </c>
      <c r="F303" s="19">
        <v>0.5</v>
      </c>
      <c r="G303" s="19">
        <v>0.5</v>
      </c>
      <c r="H303" s="19">
        <v>0.5</v>
      </c>
      <c r="I303" s="19">
        <v>0.5</v>
      </c>
      <c r="J303" s="19">
        <v>0.5</v>
      </c>
      <c r="K303" s="19">
        <v>0.5</v>
      </c>
      <c r="L303" s="19">
        <v>0.5</v>
      </c>
      <c r="M303" s="19">
        <v>0.5</v>
      </c>
      <c r="N303" s="19">
        <v>0.5</v>
      </c>
    </row>
    <row r="304" spans="1:14" ht="15" x14ac:dyDescent="0.25">
      <c r="A304" s="199"/>
      <c r="B304" s="17" t="s">
        <v>246</v>
      </c>
      <c r="C304" s="19">
        <v>0.5</v>
      </c>
      <c r="D304" s="19">
        <v>0.5</v>
      </c>
      <c r="E304" s="19">
        <v>0.5</v>
      </c>
      <c r="F304" s="19">
        <v>0.5</v>
      </c>
      <c r="G304" s="19">
        <v>0.5</v>
      </c>
      <c r="H304" s="19">
        <v>0.5</v>
      </c>
      <c r="I304" s="19">
        <v>0.5</v>
      </c>
      <c r="J304" s="19">
        <v>0.5</v>
      </c>
      <c r="K304" s="19">
        <v>0.5</v>
      </c>
      <c r="L304" s="19">
        <v>0.5</v>
      </c>
      <c r="M304" s="19">
        <v>0.5</v>
      </c>
      <c r="N304" s="19">
        <v>0.5</v>
      </c>
    </row>
    <row r="306" spans="1:31" ht="15" x14ac:dyDescent="0.25">
      <c r="A306" s="198" t="s">
        <v>247</v>
      </c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  <c r="AA306" s="198"/>
      <c r="AB306" s="198"/>
      <c r="AC306" s="198"/>
      <c r="AD306" s="198"/>
    </row>
    <row r="307" spans="1:31" ht="15" x14ac:dyDescent="0.25">
      <c r="A307" s="17" t="s">
        <v>248</v>
      </c>
      <c r="B307" s="19" t="s">
        <v>67</v>
      </c>
      <c r="C307" s="19">
        <v>1995</v>
      </c>
      <c r="D307" s="19">
        <v>1996</v>
      </c>
      <c r="E307" s="19">
        <v>1997</v>
      </c>
      <c r="F307" s="19">
        <v>1998</v>
      </c>
      <c r="G307" s="19">
        <v>1999</v>
      </c>
      <c r="H307" s="19">
        <v>2000</v>
      </c>
      <c r="I307" s="19">
        <v>2001</v>
      </c>
      <c r="J307" s="19">
        <v>2002</v>
      </c>
      <c r="K307" s="19">
        <v>2003</v>
      </c>
      <c r="L307" s="19">
        <v>2004</v>
      </c>
      <c r="M307" s="19">
        <v>2005</v>
      </c>
      <c r="N307" s="19">
        <v>2006</v>
      </c>
      <c r="O307" s="19">
        <v>2007</v>
      </c>
      <c r="P307" s="19">
        <v>2008</v>
      </c>
      <c r="Q307" s="19">
        <v>2009</v>
      </c>
      <c r="R307" s="19">
        <v>2010</v>
      </c>
      <c r="S307" s="19">
        <v>2011</v>
      </c>
      <c r="T307" s="19">
        <v>2012</v>
      </c>
      <c r="U307" s="19">
        <v>2013</v>
      </c>
      <c r="V307" s="19">
        <v>2014</v>
      </c>
      <c r="W307" s="19">
        <v>2015</v>
      </c>
      <c r="X307" s="19">
        <v>2016</v>
      </c>
      <c r="Y307" s="19">
        <v>2017</v>
      </c>
      <c r="Z307" s="19">
        <v>2018</v>
      </c>
      <c r="AA307" s="19">
        <v>2019</v>
      </c>
      <c r="AB307" s="19">
        <v>2020</v>
      </c>
      <c r="AC307" s="19">
        <v>2021</v>
      </c>
      <c r="AD307" s="19">
        <v>2022</v>
      </c>
    </row>
    <row r="308" spans="1:31" ht="15" x14ac:dyDescent="0.25">
      <c r="A308" s="17" t="s">
        <v>249</v>
      </c>
      <c r="B308" s="19" t="s">
        <v>250</v>
      </c>
      <c r="C308">
        <v>0.57383755188132901</v>
      </c>
      <c r="D308">
        <v>0.56721704209323798</v>
      </c>
      <c r="E308">
        <v>0.55289628076196895</v>
      </c>
      <c r="F308">
        <v>0.57963804901643601</v>
      </c>
      <c r="G308">
        <v>0.55838747590596405</v>
      </c>
      <c r="H308">
        <v>0.52171400912395105</v>
      </c>
      <c r="I308">
        <v>0.53961419090937801</v>
      </c>
      <c r="J308">
        <v>0.57015129664276698</v>
      </c>
      <c r="K308">
        <v>0.58227650400525799</v>
      </c>
      <c r="L308">
        <v>0.57869998331856498</v>
      </c>
      <c r="M308">
        <v>0.55192181246743999</v>
      </c>
      <c r="N308">
        <v>0.54320344082553895</v>
      </c>
      <c r="O308">
        <v>0.537175065054734</v>
      </c>
      <c r="P308">
        <v>0.50249351959071398</v>
      </c>
      <c r="Q308">
        <v>0.55508041017278797</v>
      </c>
      <c r="R308">
        <v>0.51657537002409404</v>
      </c>
      <c r="S308">
        <v>0.50700188952194103</v>
      </c>
      <c r="T308">
        <v>0.50973124050820096</v>
      </c>
      <c r="U308">
        <v>0.53177643383909101</v>
      </c>
      <c r="V308">
        <v>0.50723723056501302</v>
      </c>
      <c r="W308">
        <v>0.48150193083968801</v>
      </c>
      <c r="X308">
        <v>0.47851080959243403</v>
      </c>
      <c r="Y308">
        <v>0.48423648646665501</v>
      </c>
      <c r="Z308">
        <v>0.44853561651791002</v>
      </c>
      <c r="AA308">
        <v>0.45228689759683499</v>
      </c>
      <c r="AB308">
        <v>0.43882977829744901</v>
      </c>
      <c r="AC308">
        <v>0.44828154382017599</v>
      </c>
      <c r="AD308">
        <v>0.41674836529807802</v>
      </c>
      <c r="AE308">
        <v>0.40359735120510698</v>
      </c>
    </row>
  </sheetData>
  <mergeCells count="91">
    <mergeCell ref="A1:C1"/>
    <mergeCell ref="E1:G1"/>
    <mergeCell ref="E5:F5"/>
    <mergeCell ref="E10:F10"/>
    <mergeCell ref="A16:B16"/>
    <mergeCell ref="E17:G17"/>
    <mergeCell ref="A29:D29"/>
    <mergeCell ref="D30:D38"/>
    <mergeCell ref="D39:D41"/>
    <mergeCell ref="D42:D45"/>
    <mergeCell ref="D46:D49"/>
    <mergeCell ref="A64:C64"/>
    <mergeCell ref="B85:B88"/>
    <mergeCell ref="A95:A98"/>
    <mergeCell ref="B95:B98"/>
    <mergeCell ref="A99:A102"/>
    <mergeCell ref="B99:B102"/>
    <mergeCell ref="A103:A106"/>
    <mergeCell ref="B103:B106"/>
    <mergeCell ref="A107:A110"/>
    <mergeCell ref="B107:B110"/>
    <mergeCell ref="A112:A115"/>
    <mergeCell ref="B112:B115"/>
    <mergeCell ref="A116:A119"/>
    <mergeCell ref="B116:B119"/>
    <mergeCell ref="A120:A123"/>
    <mergeCell ref="B120:B123"/>
    <mergeCell ref="A124:A127"/>
    <mergeCell ref="B124:B127"/>
    <mergeCell ref="A128:A131"/>
    <mergeCell ref="B128:B131"/>
    <mergeCell ref="A132:A135"/>
    <mergeCell ref="B132:B135"/>
    <mergeCell ref="A136:A139"/>
    <mergeCell ref="B136:B139"/>
    <mergeCell ref="A140:A143"/>
    <mergeCell ref="B140:B143"/>
    <mergeCell ref="A144:A147"/>
    <mergeCell ref="B144:B147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303:A304"/>
    <mergeCell ref="A306:AD306"/>
    <mergeCell ref="A287:A289"/>
    <mergeCell ref="A290:A292"/>
    <mergeCell ref="A293:A295"/>
    <mergeCell ref="A296:A298"/>
    <mergeCell ref="A299:A30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DC3E6"/>
  </sheetPr>
  <dimension ref="A1:AE217"/>
  <sheetViews>
    <sheetView topLeftCell="A185" zoomScaleNormal="100" workbookViewId="0">
      <selection activeCell="C60" sqref="C60"/>
    </sheetView>
  </sheetViews>
  <sheetFormatPr baseColWidth="10" defaultColWidth="11.42578125" defaultRowHeight="14.25" customHeight="1" x14ac:dyDescent="0.25"/>
  <cols>
    <col min="1" max="1" width="52.85546875" customWidth="1"/>
    <col min="2" max="2" width="22.140625" customWidth="1"/>
    <col min="3" max="3" width="25.7109375" customWidth="1"/>
    <col min="4" max="16" width="9.140625" customWidth="1"/>
    <col min="19" max="19" width="16.140625" customWidth="1"/>
    <col min="20" max="20" width="18" customWidth="1"/>
  </cols>
  <sheetData>
    <row r="1" spans="1:16" ht="15" x14ac:dyDescent="0.25">
      <c r="A1" s="120" t="s">
        <v>180</v>
      </c>
      <c r="B1" s="121"/>
      <c r="C1" s="121"/>
      <c r="D1" s="122">
        <v>1990</v>
      </c>
      <c r="E1" s="122">
        <v>2000</v>
      </c>
      <c r="F1" s="122">
        <v>2005</v>
      </c>
      <c r="G1" s="122">
        <v>2010</v>
      </c>
      <c r="H1" s="122">
        <v>2020</v>
      </c>
      <c r="I1" s="122">
        <v>2030</v>
      </c>
      <c r="J1" s="122">
        <v>2040</v>
      </c>
      <c r="K1" s="122">
        <v>2050</v>
      </c>
      <c r="L1" s="122">
        <v>2060</v>
      </c>
      <c r="M1" s="122">
        <v>2070</v>
      </c>
      <c r="N1" s="122">
        <v>2080</v>
      </c>
      <c r="O1" s="122">
        <v>2090</v>
      </c>
      <c r="P1" s="122">
        <v>2100</v>
      </c>
    </row>
    <row r="2" spans="1:16" ht="15.75" customHeight="1" x14ac:dyDescent="0.25">
      <c r="A2" s="214" t="s">
        <v>181</v>
      </c>
      <c r="B2" s="207" t="s">
        <v>135</v>
      </c>
      <c r="C2" s="123" t="s">
        <v>182</v>
      </c>
      <c r="D2" s="127">
        <v>34.441000000000003</v>
      </c>
      <c r="E2" s="125">
        <v>28.37</v>
      </c>
      <c r="F2" s="126">
        <v>25.94</v>
      </c>
      <c r="G2" s="126">
        <v>27.680297480620801</v>
      </c>
      <c r="H2" s="127">
        <v>21.235262058176001</v>
      </c>
      <c r="I2" s="127">
        <v>19.586175587278401</v>
      </c>
      <c r="J2" s="127">
        <v>18.800453200081598</v>
      </c>
      <c r="K2" s="127">
        <v>15.885981217140801</v>
      </c>
      <c r="L2" s="127">
        <v>13.969999998304001</v>
      </c>
      <c r="M2" s="127">
        <v>13.5370746318752</v>
      </c>
      <c r="N2" s="127">
        <v>13.0140516638512</v>
      </c>
      <c r="O2" s="127">
        <v>12.4570682689696</v>
      </c>
      <c r="P2" s="128">
        <v>11.921069910256</v>
      </c>
    </row>
    <row r="3" spans="1:16" ht="15" x14ac:dyDescent="0.25">
      <c r="A3" s="214"/>
      <c r="B3" s="207"/>
      <c r="C3" s="19" t="s">
        <v>183</v>
      </c>
      <c r="D3" s="117">
        <v>34.441000000000003</v>
      </c>
      <c r="E3" s="117">
        <v>28.37</v>
      </c>
      <c r="F3" s="130">
        <v>25.94</v>
      </c>
      <c r="G3" s="130">
        <v>26.611263825203</v>
      </c>
      <c r="H3" s="111">
        <v>27.954883220589</v>
      </c>
      <c r="I3" s="111">
        <v>28.545245512827499</v>
      </c>
      <c r="J3" s="111">
        <v>28.726984977067001</v>
      </c>
      <c r="K3" s="111">
        <v>28.500104193942001</v>
      </c>
      <c r="L3" s="111">
        <v>27.319295308737999</v>
      </c>
      <c r="M3" s="111">
        <v>25.870505595150501</v>
      </c>
      <c r="N3" s="111">
        <v>24.1536886017585</v>
      </c>
      <c r="O3" s="111">
        <v>23.51978240339</v>
      </c>
      <c r="P3" s="48">
        <v>22.886043946264</v>
      </c>
    </row>
    <row r="4" spans="1:16" ht="15" x14ac:dyDescent="0.25">
      <c r="A4" s="214"/>
      <c r="B4" s="207"/>
      <c r="C4" s="19" t="s">
        <v>184</v>
      </c>
      <c r="D4" s="117">
        <v>34.441000000000003</v>
      </c>
      <c r="E4" s="117">
        <v>28.37</v>
      </c>
      <c r="F4" s="130">
        <v>25.94</v>
      </c>
      <c r="G4" s="130">
        <v>26.673835974167002</v>
      </c>
      <c r="H4" s="111">
        <v>25.650263095739</v>
      </c>
      <c r="I4" s="111">
        <v>26.892303554325199</v>
      </c>
      <c r="J4" s="111">
        <v>28.4083066078096</v>
      </c>
      <c r="K4" s="111">
        <v>29.363696706652199</v>
      </c>
      <c r="L4" s="111">
        <v>30.098650020715201</v>
      </c>
      <c r="M4" s="111">
        <v>29.768095743572601</v>
      </c>
      <c r="N4" s="111">
        <v>28.1122187873626</v>
      </c>
      <c r="O4" s="111">
        <v>22.330176660614001</v>
      </c>
      <c r="P4" s="48">
        <v>20.342332826886199</v>
      </c>
    </row>
    <row r="5" spans="1:16" ht="15" x14ac:dyDescent="0.25">
      <c r="A5" s="214"/>
      <c r="B5" s="207"/>
      <c r="C5" s="131" t="s">
        <v>185</v>
      </c>
      <c r="D5" s="117">
        <v>34.441000000000003</v>
      </c>
      <c r="E5" s="133">
        <v>28.37</v>
      </c>
      <c r="F5" s="130">
        <v>25.94</v>
      </c>
      <c r="G5" s="134">
        <v>28.326039093026999</v>
      </c>
      <c r="H5" s="135">
        <v>33.625401333583802</v>
      </c>
      <c r="I5" s="135">
        <v>38.2315674764478</v>
      </c>
      <c r="J5" s="135">
        <v>44.905956836028601</v>
      </c>
      <c r="K5" s="135">
        <v>51.859267942586001</v>
      </c>
      <c r="L5" s="135">
        <v>57.097339074188397</v>
      </c>
      <c r="M5" s="135">
        <v>59.773880455171998</v>
      </c>
      <c r="N5" s="135">
        <v>62.935920243835596</v>
      </c>
      <c r="O5" s="135">
        <v>66.718325239009602</v>
      </c>
      <c r="P5" s="136">
        <v>68.009924943051004</v>
      </c>
    </row>
    <row r="6" spans="1:16" ht="15.75" customHeight="1" x14ac:dyDescent="0.25">
      <c r="A6" s="206" t="s">
        <v>186</v>
      </c>
      <c r="B6" s="207" t="s">
        <v>187</v>
      </c>
      <c r="C6" s="123" t="s">
        <v>182</v>
      </c>
      <c r="D6" s="127">
        <v>1.4239999999999999</v>
      </c>
      <c r="E6" s="125">
        <v>1.165</v>
      </c>
      <c r="F6" s="137">
        <v>1.2270000000000001</v>
      </c>
      <c r="G6" s="137">
        <v>1.093</v>
      </c>
      <c r="H6" s="137">
        <v>1.0268033979439599</v>
      </c>
      <c r="I6" s="137">
        <v>1.01867391283168</v>
      </c>
      <c r="J6" s="137">
        <v>1.00085222857124</v>
      </c>
      <c r="K6" s="137">
        <v>0.87108129588223004</v>
      </c>
      <c r="L6" s="137">
        <v>0.79738260157215402</v>
      </c>
      <c r="M6" s="137">
        <v>0.800589670581625</v>
      </c>
      <c r="N6" s="137">
        <v>0.78278218474513805</v>
      </c>
      <c r="O6" s="137">
        <v>0.76148809842768295</v>
      </c>
      <c r="P6" s="138">
        <v>0.73661068486611003</v>
      </c>
    </row>
    <row r="7" spans="1:16" ht="15" x14ac:dyDescent="0.25">
      <c r="A7" s="206"/>
      <c r="B7" s="207"/>
      <c r="C7" s="19" t="s">
        <v>183</v>
      </c>
      <c r="D7" s="111">
        <v>1.4239999999999999</v>
      </c>
      <c r="E7" s="117">
        <v>1.165</v>
      </c>
      <c r="F7" s="139">
        <v>1.2270000000000001</v>
      </c>
      <c r="G7" s="139">
        <v>1.093</v>
      </c>
      <c r="H7" s="139">
        <v>1.14399595852902</v>
      </c>
      <c r="I7" s="139">
        <v>1.19073989652476</v>
      </c>
      <c r="J7" s="139">
        <v>1.2069789021789299</v>
      </c>
      <c r="K7" s="139">
        <v>1.19303209803054</v>
      </c>
      <c r="L7" s="139">
        <v>1.18165507011714</v>
      </c>
      <c r="M7" s="139">
        <v>1.16122061967065</v>
      </c>
      <c r="N7" s="139">
        <v>1.1317013428165399</v>
      </c>
      <c r="O7" s="139">
        <v>1.1292703539461599</v>
      </c>
      <c r="P7" s="140">
        <v>1.1268261051364801</v>
      </c>
    </row>
    <row r="8" spans="1:16" ht="15" x14ac:dyDescent="0.25">
      <c r="A8" s="206"/>
      <c r="B8" s="207"/>
      <c r="C8" s="19" t="s">
        <v>184</v>
      </c>
      <c r="D8" s="111">
        <v>1.4239999999999999</v>
      </c>
      <c r="E8" s="117">
        <v>1.165</v>
      </c>
      <c r="F8" s="139">
        <v>1.2270000000000001</v>
      </c>
      <c r="G8" s="117">
        <v>1.093</v>
      </c>
      <c r="H8" s="117">
        <v>1.05884303303254</v>
      </c>
      <c r="I8" s="117">
        <v>1.1774581291588</v>
      </c>
      <c r="J8" s="117">
        <v>1.29902436955648</v>
      </c>
      <c r="K8" s="117">
        <v>1.4070236737499</v>
      </c>
      <c r="L8" s="117">
        <v>1.5170530049126301</v>
      </c>
      <c r="M8" s="117">
        <v>1.6065313933157499</v>
      </c>
      <c r="N8" s="117">
        <v>1.6507705159930599</v>
      </c>
      <c r="O8" s="117">
        <v>1.6503966307412801</v>
      </c>
      <c r="P8" s="141">
        <v>1.6384187068570799</v>
      </c>
    </row>
    <row r="9" spans="1:16" ht="15" x14ac:dyDescent="0.25">
      <c r="A9" s="206"/>
      <c r="B9" s="207"/>
      <c r="C9" s="131" t="s">
        <v>185</v>
      </c>
      <c r="D9" s="135">
        <v>1.4239999999999999</v>
      </c>
      <c r="E9" s="133">
        <v>1.165</v>
      </c>
      <c r="F9" s="142">
        <v>1.2270000000000001</v>
      </c>
      <c r="G9" s="142">
        <v>1.093</v>
      </c>
      <c r="H9" s="142">
        <v>1.2810404421378201</v>
      </c>
      <c r="I9" s="142">
        <v>1.4450835631418599</v>
      </c>
      <c r="J9" s="142">
        <v>1.6125588948584</v>
      </c>
      <c r="K9" s="142">
        <v>1.7154945029383999</v>
      </c>
      <c r="L9" s="142">
        <v>1.79938018981547</v>
      </c>
      <c r="M9" s="142">
        <v>1.8689065581486499</v>
      </c>
      <c r="N9" s="142">
        <v>1.95181283217512</v>
      </c>
      <c r="O9" s="142">
        <v>2.0502310264538002</v>
      </c>
      <c r="P9" s="143">
        <v>2.11497123965471</v>
      </c>
    </row>
    <row r="10" spans="1:16" ht="15" x14ac:dyDescent="0.25">
      <c r="A10" s="208" t="s">
        <v>188</v>
      </c>
      <c r="B10" s="209" t="s">
        <v>189</v>
      </c>
      <c r="C10" s="123" t="s">
        <v>182</v>
      </c>
      <c r="D10" s="144">
        <v>3630</v>
      </c>
      <c r="E10" s="145">
        <v>1800</v>
      </c>
      <c r="F10" s="146">
        <v>1410</v>
      </c>
      <c r="G10" s="144">
        <v>1150</v>
      </c>
      <c r="H10" s="144">
        <v>941.85175005195504</v>
      </c>
      <c r="I10" s="144">
        <v>516.14197510173199</v>
      </c>
      <c r="J10" s="144">
        <v>389.49834748972597</v>
      </c>
      <c r="K10" s="144">
        <v>203.41462924105201</v>
      </c>
      <c r="L10" s="144">
        <v>167.75828433902899</v>
      </c>
      <c r="M10" s="144">
        <v>164.805553507143</v>
      </c>
      <c r="N10" s="144">
        <v>111.324890894099</v>
      </c>
      <c r="O10" s="144">
        <v>92.182252106699195</v>
      </c>
      <c r="P10" s="147">
        <v>84.195230848646204</v>
      </c>
    </row>
    <row r="11" spans="1:16" ht="15" x14ac:dyDescent="0.25">
      <c r="A11" s="208"/>
      <c r="B11" s="209"/>
      <c r="C11" s="19" t="s">
        <v>183</v>
      </c>
      <c r="D11" s="148">
        <v>3630</v>
      </c>
      <c r="E11" s="149">
        <v>1800</v>
      </c>
      <c r="F11" s="150">
        <v>1410</v>
      </c>
      <c r="G11" s="148">
        <v>1150</v>
      </c>
      <c r="H11" s="148">
        <v>915.08068925211603</v>
      </c>
      <c r="I11" s="148">
        <v>915.52513998077097</v>
      </c>
      <c r="J11" s="148">
        <v>939.13522990781098</v>
      </c>
      <c r="K11" s="148">
        <v>990.33378579642999</v>
      </c>
      <c r="L11" s="148">
        <v>965.24942028165799</v>
      </c>
      <c r="M11" s="148">
        <v>976.04632090945097</v>
      </c>
      <c r="N11" s="148">
        <v>1026.0524480138799</v>
      </c>
      <c r="O11" s="148">
        <v>1147.07312934789</v>
      </c>
      <c r="P11" s="151">
        <v>1235.39958147164</v>
      </c>
    </row>
    <row r="12" spans="1:16" ht="15" x14ac:dyDescent="0.25">
      <c r="A12" s="208"/>
      <c r="B12" s="209"/>
      <c r="C12" s="19" t="s">
        <v>184</v>
      </c>
      <c r="D12" s="148">
        <v>3630</v>
      </c>
      <c r="E12" s="149">
        <v>1800</v>
      </c>
      <c r="F12" s="150">
        <v>1410</v>
      </c>
      <c r="G12" s="148">
        <v>1150</v>
      </c>
      <c r="H12" s="148">
        <v>1184.3710180686801</v>
      </c>
      <c r="I12" s="148">
        <v>1218.07408474675</v>
      </c>
      <c r="J12" s="148">
        <v>1234.06867269706</v>
      </c>
      <c r="K12" s="148">
        <v>1227.8292818002899</v>
      </c>
      <c r="L12" s="148">
        <v>1228.47652151988</v>
      </c>
      <c r="M12" s="148">
        <v>1214.7136161226899</v>
      </c>
      <c r="N12" s="148">
        <v>1187.534725818</v>
      </c>
      <c r="O12" s="148">
        <v>1136.0558674813301</v>
      </c>
      <c r="P12" s="151">
        <v>1076.9551142068599</v>
      </c>
    </row>
    <row r="13" spans="1:16" ht="15" x14ac:dyDescent="0.25">
      <c r="A13" s="208"/>
      <c r="B13" s="209"/>
      <c r="C13" s="152" t="s">
        <v>185</v>
      </c>
      <c r="D13" s="153">
        <v>3630</v>
      </c>
      <c r="E13" s="154">
        <v>1800</v>
      </c>
      <c r="F13" s="155">
        <v>1410</v>
      </c>
      <c r="G13" s="153">
        <v>1150</v>
      </c>
      <c r="H13" s="153">
        <v>1273.3007974121699</v>
      </c>
      <c r="I13" s="153">
        <v>1342.5317836455299</v>
      </c>
      <c r="J13" s="153">
        <v>1312.7717595727099</v>
      </c>
      <c r="K13" s="153">
        <v>1350.75039494471</v>
      </c>
      <c r="L13" s="153">
        <v>1273.18184382758</v>
      </c>
      <c r="M13" s="153">
        <v>1280.4704543744799</v>
      </c>
      <c r="N13" s="153">
        <v>1253.64101406755</v>
      </c>
      <c r="O13" s="153">
        <v>1199.61445873768</v>
      </c>
      <c r="P13" s="156">
        <v>1164.1662905288499</v>
      </c>
    </row>
    <row r="14" spans="1:16" ht="15" x14ac:dyDescent="0.25">
      <c r="A14" s="206" t="s">
        <v>190</v>
      </c>
      <c r="B14" s="210" t="s">
        <v>189</v>
      </c>
      <c r="C14" s="123" t="s">
        <v>182</v>
      </c>
      <c r="D14" s="144">
        <v>550</v>
      </c>
      <c r="E14" s="144">
        <v>610</v>
      </c>
      <c r="F14" s="144">
        <v>440</v>
      </c>
      <c r="G14" s="144">
        <v>540</v>
      </c>
      <c r="H14" s="144">
        <v>182.97594781899701</v>
      </c>
      <c r="I14" s="144">
        <v>159.17651854871599</v>
      </c>
      <c r="J14" s="144">
        <v>127.81084386465599</v>
      </c>
      <c r="K14" s="144">
        <v>51.5450468813698</v>
      </c>
      <c r="L14" s="144">
        <v>40.644109253974698</v>
      </c>
      <c r="M14" s="144">
        <v>34.105177333876902</v>
      </c>
      <c r="N14" s="144">
        <v>25.748063595597198</v>
      </c>
      <c r="O14" s="144">
        <v>15.0998777007746</v>
      </c>
      <c r="P14" s="147">
        <v>3.6037505095801099</v>
      </c>
    </row>
    <row r="15" spans="1:16" ht="15" x14ac:dyDescent="0.25">
      <c r="A15" s="206"/>
      <c r="B15" s="210"/>
      <c r="C15" s="157" t="s">
        <v>183</v>
      </c>
      <c r="D15" s="148">
        <v>550</v>
      </c>
      <c r="E15" s="149">
        <v>610</v>
      </c>
      <c r="F15" s="150">
        <v>440</v>
      </c>
      <c r="G15" s="148">
        <v>540</v>
      </c>
      <c r="H15" s="148">
        <v>238.967712274994</v>
      </c>
      <c r="I15" s="148">
        <v>277.94426565760199</v>
      </c>
      <c r="J15" s="148">
        <v>318.63953036036298</v>
      </c>
      <c r="K15" s="148">
        <v>361.082151571949</v>
      </c>
      <c r="L15" s="148">
        <v>409.91264985677401</v>
      </c>
      <c r="M15" s="148">
        <v>467.37489832726197</v>
      </c>
      <c r="N15" s="148">
        <v>533.45934858719102</v>
      </c>
      <c r="O15" s="148">
        <v>573.91590338437595</v>
      </c>
      <c r="P15" s="151">
        <v>614.372458181561</v>
      </c>
    </row>
    <row r="16" spans="1:16" ht="15" x14ac:dyDescent="0.25">
      <c r="A16" s="206"/>
      <c r="B16" s="210"/>
      <c r="C16" s="157" t="s">
        <v>184</v>
      </c>
      <c r="D16" s="149">
        <v>550</v>
      </c>
      <c r="E16" s="149">
        <v>610</v>
      </c>
      <c r="F16" s="150">
        <v>440</v>
      </c>
      <c r="G16" s="149">
        <v>540</v>
      </c>
      <c r="H16" s="148">
        <v>655.02181382958202</v>
      </c>
      <c r="I16" s="148">
        <v>667.32944673950794</v>
      </c>
      <c r="J16" s="148">
        <v>673.22265549592703</v>
      </c>
      <c r="K16" s="148">
        <v>679.63013011080704</v>
      </c>
      <c r="L16" s="148">
        <v>689.95019497316696</v>
      </c>
      <c r="M16" s="148">
        <v>700.70808076908202</v>
      </c>
      <c r="N16" s="148">
        <v>694.68283077873502</v>
      </c>
      <c r="O16" s="148">
        <v>686.25998996177805</v>
      </c>
      <c r="P16" s="151">
        <v>660.00463302575201</v>
      </c>
    </row>
    <row r="17" spans="1:16" ht="15" x14ac:dyDescent="0.25">
      <c r="A17" s="206"/>
      <c r="B17" s="210"/>
      <c r="C17" s="158" t="s">
        <v>185</v>
      </c>
      <c r="D17" s="149">
        <v>550</v>
      </c>
      <c r="E17" s="149">
        <v>610</v>
      </c>
      <c r="F17" s="150">
        <v>440</v>
      </c>
      <c r="G17" s="149">
        <v>540</v>
      </c>
      <c r="H17" s="159">
        <v>619.48639325412103</v>
      </c>
      <c r="I17" s="159">
        <v>765.68033729398303</v>
      </c>
      <c r="J17" s="159">
        <v>863.18896128785002</v>
      </c>
      <c r="K17" s="159">
        <v>917.23265619011102</v>
      </c>
      <c r="L17" s="159">
        <v>1077.7845917976199</v>
      </c>
      <c r="M17" s="159">
        <v>1034.26600229973</v>
      </c>
      <c r="N17" s="159">
        <v>1140.3449597547001</v>
      </c>
      <c r="O17" s="159">
        <v>1230.5634342660001</v>
      </c>
      <c r="P17" s="160">
        <v>1297.22499041778</v>
      </c>
    </row>
    <row r="18" spans="1:16" ht="15" x14ac:dyDescent="0.25">
      <c r="A18" s="161" t="s">
        <v>191</v>
      </c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3"/>
    </row>
    <row r="19" spans="1:16" ht="15" x14ac:dyDescent="0.25">
      <c r="A19" s="201" t="s">
        <v>8</v>
      </c>
      <c r="B19" s="202" t="s">
        <v>189</v>
      </c>
      <c r="C19" s="19" t="s">
        <v>182</v>
      </c>
      <c r="D19" s="149">
        <v>13.42</v>
      </c>
      <c r="E19" s="149">
        <v>18189.470710000001</v>
      </c>
      <c r="F19" s="150">
        <v>28642.560000000001</v>
      </c>
      <c r="G19" s="149">
        <v>38137</v>
      </c>
      <c r="H19" s="149">
        <v>42225.526913011097</v>
      </c>
      <c r="I19" s="149">
        <v>47156.966448679697</v>
      </c>
      <c r="J19" s="149">
        <v>51684.313041651003</v>
      </c>
      <c r="K19" s="149">
        <v>48168.413027005299</v>
      </c>
      <c r="L19" s="149">
        <v>54969.510955598103</v>
      </c>
      <c r="M19" s="149">
        <v>62130.747005597201</v>
      </c>
      <c r="N19" s="149">
        <v>64523.734900632298</v>
      </c>
      <c r="O19" s="149">
        <v>62374.077010754998</v>
      </c>
      <c r="P19" s="164">
        <v>57163.609355399502</v>
      </c>
    </row>
    <row r="20" spans="1:16" ht="15" x14ac:dyDescent="0.25">
      <c r="A20" s="201"/>
      <c r="B20" s="202"/>
      <c r="C20" s="19" t="s">
        <v>183</v>
      </c>
      <c r="D20" s="149">
        <v>13.42</v>
      </c>
      <c r="E20" s="149">
        <v>18189.470710000001</v>
      </c>
      <c r="F20" s="150">
        <v>28642.560000000001</v>
      </c>
      <c r="G20" s="149">
        <v>38137</v>
      </c>
      <c r="H20" s="149">
        <v>50616.339351647497</v>
      </c>
      <c r="I20" s="149">
        <v>55650.291891740402</v>
      </c>
      <c r="J20" s="149">
        <v>61302.266312153602</v>
      </c>
      <c r="K20" s="149">
        <v>67592.569427804803</v>
      </c>
      <c r="L20" s="149">
        <v>65046.7361049807</v>
      </c>
      <c r="M20" s="149">
        <v>68950.186883017697</v>
      </c>
      <c r="N20" s="149">
        <v>80323.072016590697</v>
      </c>
      <c r="O20" s="149">
        <v>94320.880173192898</v>
      </c>
      <c r="P20" s="164">
        <v>109302.76726849801</v>
      </c>
    </row>
    <row r="21" spans="1:16" ht="15" x14ac:dyDescent="0.25">
      <c r="A21" s="201"/>
      <c r="B21" s="202"/>
      <c r="C21" s="19" t="s">
        <v>184</v>
      </c>
      <c r="D21" s="149">
        <v>13.42</v>
      </c>
      <c r="E21" s="149">
        <v>18189.470710000001</v>
      </c>
      <c r="F21" s="150">
        <v>28642.560000000001</v>
      </c>
      <c r="G21" s="149">
        <v>38137</v>
      </c>
      <c r="H21" s="149">
        <v>40115.522566489599</v>
      </c>
      <c r="I21" s="149">
        <v>41478.330995687</v>
      </c>
      <c r="J21" s="149">
        <v>42653.974839543102</v>
      </c>
      <c r="K21" s="149">
        <v>43560.080826515201</v>
      </c>
      <c r="L21" s="149">
        <v>44828.003588492204</v>
      </c>
      <c r="M21" s="149">
        <v>45858.4515075085</v>
      </c>
      <c r="N21" s="149">
        <v>46158.227653946298</v>
      </c>
      <c r="O21" s="149">
        <v>45504.976329621801</v>
      </c>
      <c r="P21" s="164">
        <v>44445.072145781698</v>
      </c>
    </row>
    <row r="22" spans="1:16" ht="15" x14ac:dyDescent="0.25">
      <c r="A22" s="201"/>
      <c r="B22" s="202"/>
      <c r="C22" s="19" t="s">
        <v>185</v>
      </c>
      <c r="D22" s="149">
        <v>13.42</v>
      </c>
      <c r="E22" s="149">
        <v>18189.470710000001</v>
      </c>
      <c r="F22" s="150">
        <v>28642.560000000001</v>
      </c>
      <c r="G22" s="149">
        <v>38137</v>
      </c>
      <c r="H22" s="149">
        <v>66285.208211759003</v>
      </c>
      <c r="I22" s="149">
        <v>83488.155186770906</v>
      </c>
      <c r="J22" s="149">
        <v>101764.098345715</v>
      </c>
      <c r="K22" s="149">
        <v>116252.422488575</v>
      </c>
      <c r="L22" s="149">
        <v>127043.648384072</v>
      </c>
      <c r="M22" s="149">
        <v>138710.07508212401</v>
      </c>
      <c r="N22" s="149">
        <v>151297.463081836</v>
      </c>
      <c r="O22" s="149">
        <v>163320.47159258599</v>
      </c>
      <c r="P22" s="164">
        <v>175905.10896120299</v>
      </c>
    </row>
    <row r="23" spans="1:16" ht="15" x14ac:dyDescent="0.25">
      <c r="A23" s="201" t="s">
        <v>9</v>
      </c>
      <c r="B23" s="202" t="s">
        <v>189</v>
      </c>
      <c r="C23" s="165" t="s">
        <v>182</v>
      </c>
      <c r="D23" s="149">
        <v>1460.86</v>
      </c>
      <c r="E23" s="149">
        <v>1570.13</v>
      </c>
      <c r="F23" s="149">
        <v>377.38</v>
      </c>
      <c r="G23" s="149">
        <v>332.354084350721</v>
      </c>
      <c r="H23" s="149">
        <v>40.209189789123201</v>
      </c>
      <c r="I23" s="149">
        <v>24.118533111357799</v>
      </c>
      <c r="J23" s="149">
        <v>14.4152737698853</v>
      </c>
      <c r="K23" s="149">
        <v>8.5863374028856807</v>
      </c>
      <c r="L23" s="149">
        <v>4.8167258601553797</v>
      </c>
      <c r="M23" s="149">
        <v>2.5479781724010402</v>
      </c>
      <c r="N23" s="149">
        <v>1.2914409914909399</v>
      </c>
      <c r="O23" s="149">
        <v>0</v>
      </c>
      <c r="P23" s="164">
        <v>0</v>
      </c>
    </row>
    <row r="24" spans="1:16" ht="15" x14ac:dyDescent="0.25">
      <c r="A24" s="201"/>
      <c r="B24" s="202"/>
      <c r="C24" s="19" t="s">
        <v>183</v>
      </c>
      <c r="D24" s="149">
        <v>1460.86</v>
      </c>
      <c r="E24" s="149">
        <v>1570.13</v>
      </c>
      <c r="F24" s="149">
        <v>377.38</v>
      </c>
      <c r="G24" s="149">
        <v>332.354084350721</v>
      </c>
      <c r="H24" s="149">
        <v>40.209189789123201</v>
      </c>
      <c r="I24" s="149">
        <v>24.118533111357799</v>
      </c>
      <c r="J24" s="149">
        <v>14.4152737698853</v>
      </c>
      <c r="K24" s="149">
        <v>8.5863374028856807</v>
      </c>
      <c r="L24" s="149">
        <v>4.8167258601553797</v>
      </c>
      <c r="M24" s="149">
        <v>2.5479781724010402</v>
      </c>
      <c r="N24" s="149">
        <v>1.2914409914909399</v>
      </c>
      <c r="O24" s="149">
        <v>0</v>
      </c>
      <c r="P24" s="164">
        <v>0</v>
      </c>
    </row>
    <row r="25" spans="1:16" ht="15" x14ac:dyDescent="0.25">
      <c r="A25" s="201"/>
      <c r="B25" s="202"/>
      <c r="C25" s="19" t="s">
        <v>184</v>
      </c>
      <c r="D25" s="149">
        <v>1460.86</v>
      </c>
      <c r="E25" s="149">
        <v>1570.13</v>
      </c>
      <c r="F25" s="149">
        <v>377.38</v>
      </c>
      <c r="G25" s="149">
        <v>332.354084350721</v>
      </c>
      <c r="H25" s="149">
        <v>40.209189789123201</v>
      </c>
      <c r="I25" s="149">
        <v>24.118533111357799</v>
      </c>
      <c r="J25" s="149">
        <v>14.4152737698853</v>
      </c>
      <c r="K25" s="149">
        <v>8.5863374028856807</v>
      </c>
      <c r="L25" s="149">
        <v>4.8167258601553797</v>
      </c>
      <c r="M25" s="149">
        <v>2.5479781724010402</v>
      </c>
      <c r="N25" s="149">
        <v>1.2914409914909399</v>
      </c>
      <c r="O25" s="149">
        <v>0</v>
      </c>
      <c r="P25" s="164">
        <v>0</v>
      </c>
    </row>
    <row r="26" spans="1:16" ht="15" x14ac:dyDescent="0.25">
      <c r="A26" s="201"/>
      <c r="B26" s="202"/>
      <c r="C26" s="19" t="s">
        <v>185</v>
      </c>
      <c r="D26" s="149">
        <v>1460.86</v>
      </c>
      <c r="E26" s="149">
        <v>1570.13</v>
      </c>
      <c r="F26" s="149">
        <v>377.38</v>
      </c>
      <c r="G26" s="149">
        <v>332.354084350721</v>
      </c>
      <c r="H26" s="149">
        <v>40.209189789123201</v>
      </c>
      <c r="I26" s="149">
        <v>24.118533111357799</v>
      </c>
      <c r="J26" s="149">
        <v>14.4152737698853</v>
      </c>
      <c r="K26" s="149">
        <v>8.5863374028856807</v>
      </c>
      <c r="L26" s="149">
        <v>4.8167258601553797</v>
      </c>
      <c r="M26" s="149">
        <v>2.5479781724010402</v>
      </c>
      <c r="N26" s="149">
        <v>1.2914409914909399</v>
      </c>
      <c r="O26" s="149">
        <v>0</v>
      </c>
      <c r="P26" s="164">
        <v>0</v>
      </c>
    </row>
    <row r="27" spans="1:16" ht="15" x14ac:dyDescent="0.25">
      <c r="A27" s="201" t="s">
        <v>10</v>
      </c>
      <c r="B27" s="202" t="s">
        <v>189</v>
      </c>
      <c r="C27" s="19" t="s">
        <v>182</v>
      </c>
      <c r="D27" s="149">
        <v>0</v>
      </c>
      <c r="E27" s="149">
        <v>47.111138599999997</v>
      </c>
      <c r="F27" s="150">
        <v>344.47</v>
      </c>
      <c r="G27" s="149">
        <v>562.16852283063497</v>
      </c>
      <c r="H27" s="149">
        <v>1900.0681953793001</v>
      </c>
      <c r="I27" s="149">
        <v>2257.0398808441</v>
      </c>
      <c r="J27" s="149">
        <v>2528.9123740221899</v>
      </c>
      <c r="K27" s="149">
        <v>2337.6271866472598</v>
      </c>
      <c r="L27" s="149">
        <v>2634.6283809350598</v>
      </c>
      <c r="M27" s="149">
        <v>2941.4993269055799</v>
      </c>
      <c r="N27" s="149">
        <v>3016.4154420592999</v>
      </c>
      <c r="O27" s="149">
        <v>2857.6534364198701</v>
      </c>
      <c r="P27" s="164">
        <v>2545.0486347098399</v>
      </c>
    </row>
    <row r="28" spans="1:16" ht="15" x14ac:dyDescent="0.25">
      <c r="A28" s="201"/>
      <c r="B28" s="202"/>
      <c r="C28" s="19" t="s">
        <v>183</v>
      </c>
      <c r="D28" s="149">
        <v>0</v>
      </c>
      <c r="E28" s="149">
        <v>47.111138599999997</v>
      </c>
      <c r="F28" s="150">
        <v>344.47</v>
      </c>
      <c r="G28" s="149">
        <v>562.16852283063497</v>
      </c>
      <c r="H28" s="149">
        <v>1900.0681953793001</v>
      </c>
      <c r="I28" s="149">
        <v>2257.0398808441</v>
      </c>
      <c r="J28" s="149">
        <v>2528.9123740221899</v>
      </c>
      <c r="K28" s="149">
        <v>2337.6271866472598</v>
      </c>
      <c r="L28" s="149">
        <v>2634.6283809350598</v>
      </c>
      <c r="M28" s="149">
        <v>2941.4993269055799</v>
      </c>
      <c r="N28" s="149">
        <v>3016.4154420592999</v>
      </c>
      <c r="O28" s="149">
        <v>2857.6534364198701</v>
      </c>
      <c r="P28" s="164">
        <v>2545.0486347098399</v>
      </c>
    </row>
    <row r="29" spans="1:16" ht="15" x14ac:dyDescent="0.25">
      <c r="A29" s="201"/>
      <c r="B29" s="202"/>
      <c r="C29" s="19" t="s">
        <v>184</v>
      </c>
      <c r="D29" s="149">
        <v>0</v>
      </c>
      <c r="E29" s="149">
        <v>47.111138599999997</v>
      </c>
      <c r="F29" s="150">
        <v>344.47</v>
      </c>
      <c r="G29" s="149">
        <v>562.16852283063497</v>
      </c>
      <c r="H29" s="149">
        <v>1900.0681953793001</v>
      </c>
      <c r="I29" s="149">
        <v>2257.0398808441</v>
      </c>
      <c r="J29" s="149">
        <v>2528.9123740221899</v>
      </c>
      <c r="K29" s="149">
        <v>2337.6271866472598</v>
      </c>
      <c r="L29" s="149">
        <v>2634.6283809350598</v>
      </c>
      <c r="M29" s="149">
        <v>2941.4993269055799</v>
      </c>
      <c r="N29" s="149">
        <v>3016.4154420592999</v>
      </c>
      <c r="O29" s="149">
        <v>2857.6534364198701</v>
      </c>
      <c r="P29" s="164">
        <v>2545.0486347098399</v>
      </c>
    </row>
    <row r="30" spans="1:16" ht="15" x14ac:dyDescent="0.25">
      <c r="A30" s="201"/>
      <c r="B30" s="202"/>
      <c r="C30" s="19" t="s">
        <v>185</v>
      </c>
      <c r="D30" s="149">
        <v>0</v>
      </c>
      <c r="E30" s="149">
        <v>47.111138599999997</v>
      </c>
      <c r="F30" s="150">
        <v>344.47</v>
      </c>
      <c r="G30" s="149">
        <v>562.16852283063497</v>
      </c>
      <c r="H30" s="149">
        <v>1900.0681953793001</v>
      </c>
      <c r="I30" s="149">
        <v>2257.0398808441</v>
      </c>
      <c r="J30" s="149">
        <v>2528.9123740221899</v>
      </c>
      <c r="K30" s="149">
        <v>2337.6271866472598</v>
      </c>
      <c r="L30" s="149">
        <v>2634.6283809350598</v>
      </c>
      <c r="M30" s="149">
        <v>2941.4993269055799</v>
      </c>
      <c r="N30" s="149">
        <v>3016.4154420592999</v>
      </c>
      <c r="O30" s="149">
        <v>2857.6534364198701</v>
      </c>
      <c r="P30" s="164">
        <v>2545.0486347098399</v>
      </c>
    </row>
    <row r="31" spans="1:16" ht="15" x14ac:dyDescent="0.25">
      <c r="A31" s="201" t="s">
        <v>11</v>
      </c>
      <c r="B31" s="202" t="s">
        <v>189</v>
      </c>
      <c r="C31" s="19" t="s">
        <v>182</v>
      </c>
      <c r="D31" s="166">
        <v>0</v>
      </c>
      <c r="E31" s="166">
        <v>1060.0999999999999</v>
      </c>
      <c r="F31" s="167">
        <v>3848.27</v>
      </c>
      <c r="G31" s="167">
        <v>7576.4533333333302</v>
      </c>
      <c r="H31" s="167">
        <v>25760.056656646</v>
      </c>
      <c r="I31" s="167">
        <v>31396.483562794099</v>
      </c>
      <c r="J31" s="167">
        <v>36027.291182566601</v>
      </c>
      <c r="K31" s="167">
        <v>34348.183750269498</v>
      </c>
      <c r="L31" s="167">
        <v>40016.324567398602</v>
      </c>
      <c r="M31" s="167">
        <v>45893.488888719803</v>
      </c>
      <c r="N31" s="167">
        <v>48023.222165227002</v>
      </c>
      <c r="O31" s="167">
        <v>46577.932749343599</v>
      </c>
      <c r="P31" s="168">
        <v>42731.323655643901</v>
      </c>
    </row>
    <row r="32" spans="1:16" ht="15" x14ac:dyDescent="0.25">
      <c r="A32" s="201"/>
      <c r="B32" s="202"/>
      <c r="C32" s="19" t="s">
        <v>183</v>
      </c>
      <c r="D32" s="166">
        <v>0</v>
      </c>
      <c r="E32" s="166">
        <v>1060.0999999999999</v>
      </c>
      <c r="F32" s="167">
        <v>3848.27</v>
      </c>
      <c r="G32" s="167">
        <v>7576.4533333333302</v>
      </c>
      <c r="H32" s="167">
        <v>13838.1860905782</v>
      </c>
      <c r="I32" s="167">
        <v>14050.5231957338</v>
      </c>
      <c r="J32" s="167">
        <v>13881.538249547501</v>
      </c>
      <c r="K32" s="167">
        <v>13585.1510402678</v>
      </c>
      <c r="L32" s="167">
        <v>11599.7991070629</v>
      </c>
      <c r="M32" s="167">
        <v>10612.4315680894</v>
      </c>
      <c r="N32" s="167">
        <v>10411.5960561297</v>
      </c>
      <c r="O32" s="167">
        <v>10404.5181526245</v>
      </c>
      <c r="P32" s="168">
        <v>10177.1405025204</v>
      </c>
    </row>
    <row r="33" spans="1:16" ht="15" x14ac:dyDescent="0.25">
      <c r="A33" s="201"/>
      <c r="B33" s="202"/>
      <c r="C33" s="19" t="s">
        <v>184</v>
      </c>
      <c r="D33" s="166">
        <v>0</v>
      </c>
      <c r="E33" s="166">
        <v>1060.0999999999999</v>
      </c>
      <c r="F33" s="167">
        <v>3848.27</v>
      </c>
      <c r="G33" s="167">
        <v>7576.4533333333302</v>
      </c>
      <c r="H33" s="167">
        <v>8292.9557542174607</v>
      </c>
      <c r="I33" s="167">
        <v>8786.4841144358306</v>
      </c>
      <c r="J33" s="167">
        <v>9335.0562804252404</v>
      </c>
      <c r="K33" s="167">
        <v>9688.6427615646699</v>
      </c>
      <c r="L33" s="167">
        <v>10204.5618224357</v>
      </c>
      <c r="M33" s="167">
        <v>10654.241727209301</v>
      </c>
      <c r="N33" s="167">
        <v>10951.851456717201</v>
      </c>
      <c r="O33" s="167">
        <v>10989.1692911382</v>
      </c>
      <c r="P33" s="168">
        <v>10914.5336222961</v>
      </c>
    </row>
    <row r="34" spans="1:16" ht="15" x14ac:dyDescent="0.25">
      <c r="A34" s="201"/>
      <c r="B34" s="202"/>
      <c r="C34" s="19" t="s">
        <v>185</v>
      </c>
      <c r="D34" s="166">
        <v>0</v>
      </c>
      <c r="E34" s="166">
        <v>1060.0999999999999</v>
      </c>
      <c r="F34" s="167">
        <v>3848.27</v>
      </c>
      <c r="G34" s="167">
        <v>7576.4533333333302</v>
      </c>
      <c r="H34" s="167">
        <v>14605.4434221631</v>
      </c>
      <c r="I34" s="167">
        <v>17290.203173208502</v>
      </c>
      <c r="J34" s="167">
        <v>21953.276104591801</v>
      </c>
      <c r="K34" s="167">
        <v>25431.8575601673</v>
      </c>
      <c r="L34" s="167">
        <v>28047.636942405101</v>
      </c>
      <c r="M34" s="167">
        <v>30814.297194828199</v>
      </c>
      <c r="N34" s="167">
        <v>31692.866209607499</v>
      </c>
      <c r="O34" s="167">
        <v>32310.623734705299</v>
      </c>
      <c r="P34" s="168">
        <v>32476.395605140999</v>
      </c>
    </row>
    <row r="35" spans="1:16" ht="15" x14ac:dyDescent="0.25">
      <c r="A35" s="201" t="s">
        <v>12</v>
      </c>
      <c r="B35" s="202" t="s">
        <v>189</v>
      </c>
      <c r="C35" s="19" t="s">
        <v>182</v>
      </c>
      <c r="D35" s="149">
        <v>0</v>
      </c>
      <c r="E35" s="149">
        <v>1889.38</v>
      </c>
      <c r="F35" s="150">
        <v>4739.5200000000004</v>
      </c>
      <c r="G35" s="150">
        <v>7809.90333333333</v>
      </c>
      <c r="H35" s="150">
        <v>23258.452867320499</v>
      </c>
      <c r="I35" s="150">
        <v>27298.170167931199</v>
      </c>
      <c r="J35" s="150">
        <v>30249.645941894902</v>
      </c>
      <c r="K35" s="150">
        <v>27852.407386349601</v>
      </c>
      <c r="L35" s="150">
        <v>31286.2212871638</v>
      </c>
      <c r="M35" s="150">
        <v>34506.867027047898</v>
      </c>
      <c r="N35" s="150">
        <v>34616.341523254399</v>
      </c>
      <c r="O35" s="150">
        <v>32070.246557025701</v>
      </c>
      <c r="P35" s="169">
        <v>27985.366510455198</v>
      </c>
    </row>
    <row r="36" spans="1:16" ht="15" x14ac:dyDescent="0.25">
      <c r="A36" s="201"/>
      <c r="B36" s="202"/>
      <c r="C36" s="19" t="s">
        <v>183</v>
      </c>
      <c r="D36" s="149">
        <v>0</v>
      </c>
      <c r="E36" s="149">
        <v>1889.38</v>
      </c>
      <c r="F36" s="150">
        <v>4739.5200000000004</v>
      </c>
      <c r="G36" s="150">
        <v>7809.90333333333</v>
      </c>
      <c r="H36" s="150">
        <v>9741.5626835180901</v>
      </c>
      <c r="I36" s="150">
        <v>11281.706721504401</v>
      </c>
      <c r="J36" s="150">
        <v>12843.907960177899</v>
      </c>
      <c r="K36" s="150">
        <v>14402.249188731201</v>
      </c>
      <c r="L36" s="150">
        <v>14082.9712087834</v>
      </c>
      <c r="M36" s="150">
        <v>15465.406261856</v>
      </c>
      <c r="N36" s="150">
        <v>18632.820280543201</v>
      </c>
      <c r="O36" s="150">
        <v>22017.497725999699</v>
      </c>
      <c r="P36" s="169">
        <v>25514.666894960999</v>
      </c>
    </row>
    <row r="37" spans="1:16" ht="15" x14ac:dyDescent="0.25">
      <c r="A37" s="201"/>
      <c r="B37" s="202"/>
      <c r="C37" s="19" t="s">
        <v>184</v>
      </c>
      <c r="D37" s="149">
        <v>0</v>
      </c>
      <c r="E37" s="149">
        <v>1889.38</v>
      </c>
      <c r="F37" s="150">
        <v>4739.5200000000004</v>
      </c>
      <c r="G37" s="150">
        <v>7809.90333333333</v>
      </c>
      <c r="H37" s="150">
        <v>9609.2607694579801</v>
      </c>
      <c r="I37" s="150">
        <v>10482.987216807</v>
      </c>
      <c r="J37" s="150">
        <v>11486.4750177226</v>
      </c>
      <c r="K37" s="150">
        <v>12316.9476805494</v>
      </c>
      <c r="L37" s="150">
        <v>13422.5144129375</v>
      </c>
      <c r="M37" s="150">
        <v>14432.922819376799</v>
      </c>
      <c r="N37" s="150">
        <v>15169.967307635499</v>
      </c>
      <c r="O37" s="150">
        <v>15569.6322766209</v>
      </c>
      <c r="P37" s="169">
        <v>15742.6474147098</v>
      </c>
    </row>
    <row r="38" spans="1:16" ht="15" x14ac:dyDescent="0.25">
      <c r="A38" s="201"/>
      <c r="B38" s="202"/>
      <c r="C38" s="19" t="s">
        <v>185</v>
      </c>
      <c r="D38" s="149">
        <v>0</v>
      </c>
      <c r="E38" s="149">
        <v>1889.38</v>
      </c>
      <c r="F38" s="150">
        <v>4739.5200000000004</v>
      </c>
      <c r="G38" s="150">
        <v>7809.90333333333</v>
      </c>
      <c r="H38" s="150">
        <v>10320.302980367</v>
      </c>
      <c r="I38" s="150">
        <v>11237.643625127201</v>
      </c>
      <c r="J38" s="150">
        <v>13489.940049364999</v>
      </c>
      <c r="K38" s="150">
        <v>14776.0416270365</v>
      </c>
      <c r="L38" s="150">
        <v>15428.510093328799</v>
      </c>
      <c r="M38" s="150">
        <v>16074.5039063697</v>
      </c>
      <c r="N38" s="150">
        <v>15511.797678335901</v>
      </c>
      <c r="O38" s="150">
        <v>14767.212554420899</v>
      </c>
      <c r="P38" s="169">
        <v>13785.713981987399</v>
      </c>
    </row>
    <row r="39" spans="1:16" ht="15" x14ac:dyDescent="0.25">
      <c r="A39" s="201" t="s">
        <v>13</v>
      </c>
      <c r="B39" s="202" t="s">
        <v>189</v>
      </c>
      <c r="C39" s="19" t="s">
        <v>182</v>
      </c>
      <c r="D39" s="149">
        <v>2.4900000000000002</v>
      </c>
      <c r="E39" s="149">
        <v>3186.58</v>
      </c>
      <c r="F39" s="150">
        <v>4732.74</v>
      </c>
      <c r="G39" s="149">
        <v>7102.1952281616695</v>
      </c>
      <c r="H39" s="149">
        <v>0</v>
      </c>
      <c r="I39" s="149">
        <v>0</v>
      </c>
      <c r="J39" s="149">
        <v>0</v>
      </c>
      <c r="K39" s="149">
        <v>0</v>
      </c>
      <c r="L39" s="149">
        <v>0</v>
      </c>
      <c r="M39" s="149">
        <v>0</v>
      </c>
      <c r="N39" s="149">
        <v>0</v>
      </c>
      <c r="O39" s="149">
        <v>0</v>
      </c>
      <c r="P39" s="164">
        <v>0</v>
      </c>
    </row>
    <row r="40" spans="1:16" ht="15" x14ac:dyDescent="0.25">
      <c r="A40" s="201"/>
      <c r="B40" s="202"/>
      <c r="C40" s="19" t="s">
        <v>183</v>
      </c>
      <c r="D40" s="170">
        <v>2.4900000000000002</v>
      </c>
      <c r="E40" s="170">
        <v>3186.58</v>
      </c>
      <c r="F40" s="150">
        <v>4732.74</v>
      </c>
      <c r="G40" s="149">
        <v>7102.1952281616695</v>
      </c>
      <c r="H40" s="149">
        <v>0</v>
      </c>
      <c r="I40" s="149">
        <v>0</v>
      </c>
      <c r="J40" s="149">
        <v>0</v>
      </c>
      <c r="K40" s="149">
        <v>0</v>
      </c>
      <c r="L40" s="149">
        <v>0</v>
      </c>
      <c r="M40" s="149">
        <v>0</v>
      </c>
      <c r="N40" s="149">
        <v>0</v>
      </c>
      <c r="O40" s="149">
        <v>0</v>
      </c>
      <c r="P40" s="164">
        <v>0</v>
      </c>
    </row>
    <row r="41" spans="1:16" ht="15" x14ac:dyDescent="0.25">
      <c r="A41" s="201"/>
      <c r="B41" s="202"/>
      <c r="C41" s="19" t="s">
        <v>184</v>
      </c>
      <c r="D41" s="149">
        <v>2.4900000000000002</v>
      </c>
      <c r="E41" s="149">
        <v>3186.58</v>
      </c>
      <c r="F41" s="150">
        <v>4732.74</v>
      </c>
      <c r="G41" s="149">
        <v>7102.1952281616695</v>
      </c>
      <c r="H41" s="149">
        <v>0</v>
      </c>
      <c r="I41" s="149">
        <v>0</v>
      </c>
      <c r="J41" s="149">
        <v>0</v>
      </c>
      <c r="K41" s="149">
        <v>0</v>
      </c>
      <c r="L41" s="149">
        <v>0</v>
      </c>
      <c r="M41" s="149">
        <v>0</v>
      </c>
      <c r="N41" s="149">
        <v>0</v>
      </c>
      <c r="O41" s="149">
        <v>0</v>
      </c>
      <c r="P41" s="164">
        <v>0</v>
      </c>
    </row>
    <row r="42" spans="1:16" ht="15" x14ac:dyDescent="0.25">
      <c r="A42" s="201"/>
      <c r="B42" s="202"/>
      <c r="C42" s="19" t="s">
        <v>185</v>
      </c>
      <c r="D42" s="149">
        <v>2.4900000000000002</v>
      </c>
      <c r="E42" s="149">
        <v>3186.58</v>
      </c>
      <c r="F42" s="150">
        <v>4732.74</v>
      </c>
      <c r="G42" s="149">
        <v>7102.1952281616695</v>
      </c>
      <c r="H42" s="149">
        <v>0</v>
      </c>
      <c r="I42" s="149">
        <v>0</v>
      </c>
      <c r="J42" s="149">
        <v>0</v>
      </c>
      <c r="K42" s="149">
        <v>0</v>
      </c>
      <c r="L42" s="149">
        <v>0</v>
      </c>
      <c r="M42" s="149">
        <v>0</v>
      </c>
      <c r="N42" s="149">
        <v>0</v>
      </c>
      <c r="O42" s="149">
        <v>0</v>
      </c>
      <c r="P42" s="164">
        <v>0</v>
      </c>
    </row>
    <row r="43" spans="1:16" ht="15" x14ac:dyDescent="0.25">
      <c r="A43" s="201" t="s">
        <v>14</v>
      </c>
      <c r="B43" s="202" t="s">
        <v>189</v>
      </c>
      <c r="C43" s="19" t="s">
        <v>182</v>
      </c>
      <c r="D43" s="149">
        <v>0</v>
      </c>
      <c r="E43" s="149">
        <v>409.07</v>
      </c>
      <c r="F43" s="150">
        <v>1005.91</v>
      </c>
      <c r="G43" s="150">
        <v>1791.0933333333301</v>
      </c>
      <c r="H43" s="150">
        <v>320.75710880944399</v>
      </c>
      <c r="I43" s="150">
        <v>158.58327207929599</v>
      </c>
      <c r="J43" s="150">
        <v>176.73557114749201</v>
      </c>
      <c r="K43" s="150">
        <v>59.044840925121598</v>
      </c>
      <c r="L43" s="150">
        <v>28.3255655789435</v>
      </c>
      <c r="M43" s="150">
        <v>26.3308074395812</v>
      </c>
      <c r="N43" s="150">
        <v>23.937097672346599</v>
      </c>
      <c r="O43" s="150">
        <v>21.343912091175699</v>
      </c>
      <c r="P43" s="169">
        <v>18.1522990681962</v>
      </c>
    </row>
    <row r="44" spans="1:16" ht="15" x14ac:dyDescent="0.25">
      <c r="A44" s="201"/>
      <c r="B44" s="202"/>
      <c r="C44" s="19" t="s">
        <v>183</v>
      </c>
      <c r="D44" s="149">
        <v>0</v>
      </c>
      <c r="E44" s="149">
        <v>409.07</v>
      </c>
      <c r="F44" s="150">
        <v>1005.91</v>
      </c>
      <c r="G44" s="150">
        <v>1791.0933333333301</v>
      </c>
      <c r="H44" s="150">
        <v>172.996780424984</v>
      </c>
      <c r="I44" s="150">
        <v>74.3886155827431</v>
      </c>
      <c r="J44" s="150">
        <v>74.100287615368103</v>
      </c>
      <c r="K44" s="150">
        <v>25.661189096372599</v>
      </c>
      <c r="L44" s="150">
        <v>8.9381669886241699</v>
      </c>
      <c r="M44" s="150">
        <v>6.3432152822494103</v>
      </c>
      <c r="N44" s="150">
        <v>5.1899034127495201</v>
      </c>
      <c r="O44" s="150">
        <v>4.61324747799957</v>
      </c>
      <c r="P44" s="169">
        <v>4.03659154324962</v>
      </c>
    </row>
    <row r="45" spans="1:16" ht="15" x14ac:dyDescent="0.25">
      <c r="A45" s="201"/>
      <c r="B45" s="202"/>
      <c r="C45" s="19" t="s">
        <v>184</v>
      </c>
      <c r="D45" s="149">
        <v>0</v>
      </c>
      <c r="E45" s="149">
        <v>409.07</v>
      </c>
      <c r="F45" s="150">
        <v>1005.91</v>
      </c>
      <c r="G45" s="150">
        <v>1791.0933333333301</v>
      </c>
      <c r="H45" s="150">
        <v>307.85685865457299</v>
      </c>
      <c r="I45" s="150">
        <v>142.353336356765</v>
      </c>
      <c r="J45" s="150">
        <v>143.57176719576699</v>
      </c>
      <c r="K45" s="150">
        <v>42.0358639455782</v>
      </c>
      <c r="L45" s="150">
        <v>17.261103552532099</v>
      </c>
      <c r="M45" s="150">
        <v>13.402739229024901</v>
      </c>
      <c r="N45" s="150">
        <v>10.3566621315193</v>
      </c>
      <c r="O45" s="150">
        <v>7.7167286470143601</v>
      </c>
      <c r="P45" s="169">
        <v>5.4829387755101999</v>
      </c>
    </row>
    <row r="46" spans="1:16" ht="15" x14ac:dyDescent="0.25">
      <c r="A46" s="201"/>
      <c r="B46" s="202"/>
      <c r="C46" s="19" t="s">
        <v>185</v>
      </c>
      <c r="D46" s="149">
        <v>0</v>
      </c>
      <c r="E46" s="149">
        <v>409.07</v>
      </c>
      <c r="F46" s="150">
        <v>1005.91</v>
      </c>
      <c r="G46" s="150">
        <v>1791.0933333333301</v>
      </c>
      <c r="H46" s="150">
        <v>179.86978366981501</v>
      </c>
      <c r="I46" s="150">
        <v>94.047531409756502</v>
      </c>
      <c r="J46" s="150">
        <v>118.56817491263</v>
      </c>
      <c r="K46" s="150">
        <v>49.6620627906305</v>
      </c>
      <c r="L46" s="150">
        <v>22.968704040666601</v>
      </c>
      <c r="M46" s="150">
        <v>20.020019062472901</v>
      </c>
      <c r="N46" s="150">
        <v>17.5369159229414</v>
      </c>
      <c r="O46" s="150">
        <v>15.8297825145135</v>
      </c>
      <c r="P46" s="169">
        <v>14.1226491060856</v>
      </c>
    </row>
    <row r="47" spans="1:16" ht="15" x14ac:dyDescent="0.25">
      <c r="A47" s="203" t="s">
        <v>15</v>
      </c>
      <c r="B47" s="202" t="s">
        <v>189</v>
      </c>
      <c r="C47" s="19" t="s">
        <v>182</v>
      </c>
      <c r="D47" s="149">
        <v>0</v>
      </c>
      <c r="E47" s="149">
        <v>0</v>
      </c>
      <c r="F47" s="150">
        <v>448.65</v>
      </c>
      <c r="G47" s="150">
        <v>1114.61666666667</v>
      </c>
      <c r="H47" s="150">
        <v>705.64952663571898</v>
      </c>
      <c r="I47" s="150">
        <v>69.296482087242694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69">
        <v>0</v>
      </c>
    </row>
    <row r="48" spans="1:16" ht="15" x14ac:dyDescent="0.25">
      <c r="A48" s="203"/>
      <c r="B48" s="202"/>
      <c r="C48" s="19" t="s">
        <v>183</v>
      </c>
      <c r="D48" s="149">
        <v>0</v>
      </c>
      <c r="E48" s="149">
        <v>0</v>
      </c>
      <c r="F48" s="150">
        <v>448.65</v>
      </c>
      <c r="G48" s="150">
        <v>1114.61666666667</v>
      </c>
      <c r="H48" s="150">
        <v>2110.3999118583201</v>
      </c>
      <c r="I48" s="150">
        <v>2196.5031089664399</v>
      </c>
      <c r="J48" s="150">
        <v>2222.9028904985298</v>
      </c>
      <c r="K48" s="150">
        <v>2189.6221928416599</v>
      </c>
      <c r="L48" s="150">
        <v>1978.8597319395301</v>
      </c>
      <c r="M48" s="150">
        <v>1855.04911446758</v>
      </c>
      <c r="N48" s="150">
        <v>1818.21327681291</v>
      </c>
      <c r="O48" s="150">
        <v>1859.68226465827</v>
      </c>
      <c r="P48" s="169">
        <v>1901.1512525036401</v>
      </c>
    </row>
    <row r="49" spans="1:30" ht="15" x14ac:dyDescent="0.25">
      <c r="A49" s="203"/>
      <c r="B49" s="202"/>
      <c r="C49" s="19" t="s">
        <v>184</v>
      </c>
      <c r="D49" s="149">
        <v>0</v>
      </c>
      <c r="E49" s="149">
        <v>0</v>
      </c>
      <c r="F49" s="150">
        <v>448.65</v>
      </c>
      <c r="G49" s="150">
        <v>1114.61666666667</v>
      </c>
      <c r="H49" s="150">
        <v>1158.2452072559299</v>
      </c>
      <c r="I49" s="150">
        <v>1186.85495326659</v>
      </c>
      <c r="J49" s="150">
        <v>1207.67325889727</v>
      </c>
      <c r="K49" s="150">
        <v>1215.35893311825</v>
      </c>
      <c r="L49" s="150">
        <v>1234.36158635269</v>
      </c>
      <c r="M49" s="150">
        <v>1245.7667038319801</v>
      </c>
      <c r="N49" s="150">
        <v>1234.36158635269</v>
      </c>
      <c r="O49" s="150">
        <v>1194.4172336354</v>
      </c>
      <c r="P49" s="169">
        <v>1146.89297285614</v>
      </c>
    </row>
    <row r="50" spans="1:30" ht="15" x14ac:dyDescent="0.25">
      <c r="A50" s="203"/>
      <c r="B50" s="202"/>
      <c r="C50" s="19" t="s">
        <v>185</v>
      </c>
      <c r="D50" s="149">
        <v>0</v>
      </c>
      <c r="E50" s="149">
        <v>0</v>
      </c>
      <c r="F50" s="150">
        <v>448.65</v>
      </c>
      <c r="G50" s="150">
        <v>1114.61666666667</v>
      </c>
      <c r="H50" s="150">
        <v>1929.93196873236</v>
      </c>
      <c r="I50" s="150">
        <v>2522.9098582637298</v>
      </c>
      <c r="J50" s="150">
        <v>2358.93015731168</v>
      </c>
      <c r="K50" s="150">
        <v>2105.5389424293799</v>
      </c>
      <c r="L50" s="150">
        <v>1941.46809824193</v>
      </c>
      <c r="M50" s="150">
        <v>1777.1759061970699</v>
      </c>
      <c r="N50" s="150">
        <v>1669.6919907326301</v>
      </c>
      <c r="O50" s="150">
        <v>1565.6454772891</v>
      </c>
      <c r="P50" s="169">
        <v>1716.1620203259199</v>
      </c>
    </row>
    <row r="51" spans="1:30" ht="15" x14ac:dyDescent="0.25">
      <c r="A51" s="204" t="s">
        <v>16</v>
      </c>
      <c r="B51" s="205" t="s">
        <v>189</v>
      </c>
      <c r="C51" s="19" t="s">
        <v>182</v>
      </c>
      <c r="D51" s="117">
        <v>0.98</v>
      </c>
      <c r="E51" s="149">
        <v>102.24</v>
      </c>
      <c r="F51" s="171">
        <v>205.2</v>
      </c>
      <c r="G51" s="172">
        <v>303.13184898354302</v>
      </c>
      <c r="H51" s="149">
        <v>0</v>
      </c>
      <c r="I51" s="149">
        <v>0</v>
      </c>
      <c r="J51" s="149">
        <v>0</v>
      </c>
      <c r="K51" s="149">
        <v>0</v>
      </c>
      <c r="L51" s="149">
        <v>0</v>
      </c>
      <c r="M51" s="149">
        <v>0</v>
      </c>
      <c r="N51" s="149">
        <v>0</v>
      </c>
      <c r="O51" s="149">
        <v>0</v>
      </c>
      <c r="P51" s="164">
        <v>0</v>
      </c>
    </row>
    <row r="52" spans="1:30" ht="15" x14ac:dyDescent="0.25">
      <c r="A52" s="204"/>
      <c r="B52" s="205"/>
      <c r="C52" s="19" t="s">
        <v>183</v>
      </c>
      <c r="D52" s="117">
        <v>0.98</v>
      </c>
      <c r="E52" s="170">
        <v>102.24</v>
      </c>
      <c r="F52" s="171">
        <v>205.2</v>
      </c>
      <c r="G52" s="172">
        <v>303.13184898354302</v>
      </c>
      <c r="H52" s="149">
        <v>0</v>
      </c>
      <c r="I52" s="149">
        <v>0</v>
      </c>
      <c r="J52" s="149">
        <v>0</v>
      </c>
      <c r="K52" s="149">
        <v>0</v>
      </c>
      <c r="L52" s="149">
        <v>0</v>
      </c>
      <c r="M52" s="149">
        <v>0</v>
      </c>
      <c r="N52" s="149">
        <v>0</v>
      </c>
      <c r="O52" s="149">
        <v>0</v>
      </c>
      <c r="P52" s="164">
        <v>0</v>
      </c>
    </row>
    <row r="53" spans="1:30" ht="15" x14ac:dyDescent="0.25">
      <c r="A53" s="204"/>
      <c r="B53" s="205"/>
      <c r="C53" s="19" t="s">
        <v>184</v>
      </c>
      <c r="D53" s="117">
        <v>0.98</v>
      </c>
      <c r="E53" s="172">
        <v>102.24</v>
      </c>
      <c r="F53" s="171">
        <v>205.2</v>
      </c>
      <c r="G53" s="172">
        <v>303.13184898354302</v>
      </c>
      <c r="H53" s="149">
        <v>0</v>
      </c>
      <c r="I53" s="149">
        <v>0</v>
      </c>
      <c r="J53" s="149">
        <v>0</v>
      </c>
      <c r="K53" s="149">
        <v>0</v>
      </c>
      <c r="L53" s="149">
        <v>0</v>
      </c>
      <c r="M53" s="149">
        <v>0</v>
      </c>
      <c r="N53" s="149">
        <v>0</v>
      </c>
      <c r="O53" s="149">
        <v>0</v>
      </c>
      <c r="P53" s="164">
        <v>0</v>
      </c>
    </row>
    <row r="54" spans="1:30" ht="15" x14ac:dyDescent="0.25">
      <c r="A54" s="204"/>
      <c r="B54" s="205"/>
      <c r="C54" s="131" t="s">
        <v>185</v>
      </c>
      <c r="D54" s="133">
        <v>0.98</v>
      </c>
      <c r="E54" s="173">
        <v>102.24</v>
      </c>
      <c r="F54" s="174">
        <v>205.2</v>
      </c>
      <c r="G54" s="173">
        <v>303.13184898354302</v>
      </c>
      <c r="H54" s="175">
        <v>0</v>
      </c>
      <c r="I54" s="175">
        <v>0</v>
      </c>
      <c r="J54" s="175">
        <v>0</v>
      </c>
      <c r="K54" s="175">
        <v>0</v>
      </c>
      <c r="L54" s="175">
        <v>0</v>
      </c>
      <c r="M54" s="175">
        <v>0</v>
      </c>
      <c r="N54" s="175">
        <v>0</v>
      </c>
      <c r="O54" s="175">
        <v>0</v>
      </c>
      <c r="P54" s="176">
        <v>0</v>
      </c>
    </row>
    <row r="59" spans="1:30" ht="15" x14ac:dyDescent="0.25">
      <c r="A59" s="178" t="s">
        <v>243</v>
      </c>
      <c r="B59" s="178" t="s">
        <v>67</v>
      </c>
      <c r="C59" s="17">
        <v>1995</v>
      </c>
      <c r="D59" s="17">
        <v>2000</v>
      </c>
      <c r="E59" s="17">
        <v>2005</v>
      </c>
      <c r="F59" s="17">
        <v>2010</v>
      </c>
      <c r="G59" s="17">
        <v>2015</v>
      </c>
      <c r="H59" s="17">
        <v>2020</v>
      </c>
      <c r="I59" s="17">
        <v>2025</v>
      </c>
      <c r="J59" s="17">
        <v>2030</v>
      </c>
      <c r="K59" s="17">
        <v>2035</v>
      </c>
      <c r="L59" s="17">
        <v>2040</v>
      </c>
      <c r="M59" s="17">
        <v>2045</v>
      </c>
      <c r="N59" s="17">
        <v>2050</v>
      </c>
    </row>
    <row r="60" spans="1:30" ht="15" x14ac:dyDescent="0.25">
      <c r="A60" s="199" t="s">
        <v>244</v>
      </c>
      <c r="B60" s="17" t="s">
        <v>245</v>
      </c>
      <c r="C60" s="19">
        <v>0.5</v>
      </c>
      <c r="D60" s="19">
        <v>0.5</v>
      </c>
      <c r="E60" s="19">
        <v>0.5</v>
      </c>
      <c r="F60" s="19">
        <v>0.5</v>
      </c>
      <c r="G60" s="19">
        <v>0.5</v>
      </c>
      <c r="H60" s="19">
        <v>0.5</v>
      </c>
      <c r="I60" s="19">
        <v>0.5</v>
      </c>
      <c r="J60" s="19">
        <v>0.5</v>
      </c>
      <c r="K60" s="19">
        <v>0.5</v>
      </c>
      <c r="L60" s="19">
        <v>0.5</v>
      </c>
      <c r="M60" s="19">
        <v>0.5</v>
      </c>
      <c r="N60" s="19">
        <v>0.5</v>
      </c>
    </row>
    <row r="61" spans="1:30" ht="15" x14ac:dyDescent="0.25">
      <c r="A61" s="199"/>
      <c r="B61" s="17" t="s">
        <v>246</v>
      </c>
      <c r="C61" s="19">
        <v>0.5</v>
      </c>
      <c r="D61" s="19">
        <v>0.5</v>
      </c>
      <c r="E61" s="19">
        <v>0.5</v>
      </c>
      <c r="F61" s="19">
        <v>0.5</v>
      </c>
      <c r="G61" s="19">
        <v>0.5</v>
      </c>
      <c r="H61" s="19">
        <v>0.5</v>
      </c>
      <c r="I61" s="19">
        <v>0.5</v>
      </c>
      <c r="J61" s="19">
        <v>0.5</v>
      </c>
      <c r="K61" s="19">
        <v>0.5</v>
      </c>
      <c r="L61" s="19">
        <v>0.5</v>
      </c>
      <c r="M61" s="19">
        <v>0.5</v>
      </c>
      <c r="N61" s="19">
        <v>0.5</v>
      </c>
    </row>
    <row r="63" spans="1:30" ht="15" x14ac:dyDescent="0.25">
      <c r="A63" s="198" t="s">
        <v>247</v>
      </c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</row>
    <row r="64" spans="1:30" ht="15" x14ac:dyDescent="0.25">
      <c r="A64" s="17" t="s">
        <v>248</v>
      </c>
      <c r="B64" s="19" t="s">
        <v>67</v>
      </c>
      <c r="C64" s="19">
        <v>1995</v>
      </c>
      <c r="D64" s="19">
        <v>1996</v>
      </c>
      <c r="E64" s="19">
        <v>1997</v>
      </c>
      <c r="F64" s="19">
        <v>1998</v>
      </c>
      <c r="G64" s="19">
        <v>1999</v>
      </c>
      <c r="H64" s="19">
        <v>2000</v>
      </c>
      <c r="I64" s="19">
        <v>2001</v>
      </c>
      <c r="J64" s="19">
        <v>2002</v>
      </c>
      <c r="K64" s="19">
        <v>2003</v>
      </c>
      <c r="L64" s="19">
        <v>2004</v>
      </c>
      <c r="M64" s="19">
        <v>2005</v>
      </c>
      <c r="N64" s="19">
        <v>2006</v>
      </c>
      <c r="O64" s="19">
        <v>2007</v>
      </c>
      <c r="P64" s="19">
        <v>2008</v>
      </c>
      <c r="Q64" s="19">
        <v>2009</v>
      </c>
      <c r="R64" s="19">
        <v>2010</v>
      </c>
      <c r="S64" s="19">
        <v>2011</v>
      </c>
      <c r="T64" s="19">
        <v>2012</v>
      </c>
      <c r="U64" s="19">
        <v>2013</v>
      </c>
      <c r="V64" s="19">
        <v>2014</v>
      </c>
      <c r="W64" s="19">
        <v>2015</v>
      </c>
      <c r="X64" s="19">
        <v>2016</v>
      </c>
      <c r="Y64" s="19">
        <v>2017</v>
      </c>
      <c r="Z64" s="19">
        <v>2018</v>
      </c>
      <c r="AA64" s="19">
        <v>2019</v>
      </c>
      <c r="AB64" s="19">
        <v>2020</v>
      </c>
      <c r="AC64" s="19">
        <v>2021</v>
      </c>
      <c r="AD64" s="19">
        <v>2022</v>
      </c>
    </row>
    <row r="65" spans="1:31" ht="15" x14ac:dyDescent="0.25">
      <c r="A65" s="17" t="s">
        <v>249</v>
      </c>
      <c r="B65" s="19" t="s">
        <v>250</v>
      </c>
      <c r="C65">
        <v>0.60384178692375201</v>
      </c>
      <c r="D65">
        <v>0.57236660737890299</v>
      </c>
      <c r="E65">
        <v>0.56965970923904996</v>
      </c>
      <c r="F65">
        <v>0.54063569044871396</v>
      </c>
      <c r="G65">
        <v>0.50879678043716303</v>
      </c>
      <c r="H65">
        <v>0.49701907339620699</v>
      </c>
      <c r="I65">
        <v>0.48633137402589899</v>
      </c>
      <c r="J65">
        <v>0.49914687977884198</v>
      </c>
      <c r="K65">
        <v>0.50895823374957905</v>
      </c>
      <c r="L65">
        <v>0.51062416871341698</v>
      </c>
      <c r="M65">
        <v>0.48465213437763499</v>
      </c>
      <c r="N65">
        <v>0.47707648254068902</v>
      </c>
      <c r="O65">
        <v>0.475888492935577</v>
      </c>
      <c r="P65">
        <v>0.48267717328759902</v>
      </c>
      <c r="Q65">
        <v>0.48085873147663899</v>
      </c>
      <c r="R65">
        <v>0.47230431644218701</v>
      </c>
      <c r="S65">
        <v>0.46524384085769899</v>
      </c>
      <c r="T65">
        <v>0.45649773536459098</v>
      </c>
      <c r="U65">
        <v>0.437297186187102</v>
      </c>
      <c r="V65">
        <v>0.42765316602221398</v>
      </c>
      <c r="W65">
        <v>0.40289379524913299</v>
      </c>
      <c r="X65">
        <v>0.40214068086284799</v>
      </c>
      <c r="Y65">
        <v>0.40404887409628998</v>
      </c>
      <c r="Z65">
        <v>0.37355586173275601</v>
      </c>
      <c r="AA65">
        <v>0.37304953664971802</v>
      </c>
      <c r="AB65">
        <v>0.36349938940360199</v>
      </c>
      <c r="AC65">
        <v>0.39325100093945398</v>
      </c>
      <c r="AD65">
        <v>0.28345084125387698</v>
      </c>
      <c r="AE65">
        <v>0.29180389688736103</v>
      </c>
    </row>
    <row r="67" spans="1:31" ht="15" x14ac:dyDescent="0.25">
      <c r="A67" s="178" t="s">
        <v>192</v>
      </c>
      <c r="B67" s="178" t="s">
        <v>67</v>
      </c>
      <c r="C67" s="17">
        <v>1995</v>
      </c>
      <c r="D67" s="17">
        <v>2000</v>
      </c>
      <c r="E67" s="17">
        <v>2005</v>
      </c>
      <c r="F67" s="17">
        <v>2010</v>
      </c>
      <c r="G67" s="17">
        <v>2015</v>
      </c>
      <c r="H67" s="17">
        <v>2020</v>
      </c>
      <c r="I67" s="17">
        <v>2025</v>
      </c>
      <c r="J67" s="17">
        <v>2030</v>
      </c>
      <c r="K67" s="17">
        <v>2035</v>
      </c>
      <c r="L67" s="17">
        <v>2040</v>
      </c>
      <c r="M67" s="17">
        <v>2045</v>
      </c>
      <c r="N67" s="17">
        <v>2050</v>
      </c>
    </row>
    <row r="68" spans="1:31" ht="15" x14ac:dyDescent="0.25">
      <c r="A68" s="200" t="s">
        <v>193</v>
      </c>
      <c r="B68" s="17" t="s">
        <v>55</v>
      </c>
      <c r="C68" s="19">
        <v>0.5</v>
      </c>
      <c r="D68" s="19">
        <v>0.5</v>
      </c>
      <c r="E68" s="19">
        <v>0.5</v>
      </c>
      <c r="F68" s="19">
        <v>0.5</v>
      </c>
      <c r="G68" s="19">
        <v>0.5</v>
      </c>
      <c r="H68" s="19">
        <v>0.5</v>
      </c>
      <c r="I68" s="19">
        <v>0.5</v>
      </c>
      <c r="J68" s="19">
        <v>0.5</v>
      </c>
      <c r="K68" s="19">
        <v>0.5</v>
      </c>
      <c r="L68" s="19">
        <v>0.5</v>
      </c>
      <c r="M68" s="19">
        <v>0.5</v>
      </c>
      <c r="N68" s="19">
        <v>0.5</v>
      </c>
    </row>
    <row r="69" spans="1:31" ht="15" x14ac:dyDescent="0.25">
      <c r="A69" s="200"/>
      <c r="B69" s="17" t="s">
        <v>57</v>
      </c>
      <c r="C69" s="19">
        <v>0.3</v>
      </c>
      <c r="D69" s="19">
        <v>0.3</v>
      </c>
      <c r="E69" s="19">
        <v>0.3</v>
      </c>
      <c r="F69" s="19">
        <v>0.3</v>
      </c>
      <c r="G69" s="19">
        <v>0.3</v>
      </c>
      <c r="H69" s="19">
        <v>0.3</v>
      </c>
      <c r="I69" s="19">
        <v>0.3</v>
      </c>
      <c r="J69" s="19">
        <v>0.3</v>
      </c>
      <c r="K69" s="19">
        <v>0.3</v>
      </c>
      <c r="L69" s="19">
        <v>0.3</v>
      </c>
      <c r="M69" s="19">
        <v>0.3</v>
      </c>
      <c r="N69" s="19">
        <v>0.3</v>
      </c>
    </row>
    <row r="70" spans="1:31" ht="15" x14ac:dyDescent="0.25">
      <c r="A70" s="200"/>
      <c r="B70" s="17" t="s">
        <v>58</v>
      </c>
      <c r="C70" s="19">
        <v>0.2</v>
      </c>
      <c r="D70" s="19">
        <v>0.2</v>
      </c>
      <c r="E70" s="19">
        <v>0.2</v>
      </c>
      <c r="F70" s="19">
        <v>0.2</v>
      </c>
      <c r="G70" s="19">
        <v>0.2</v>
      </c>
      <c r="H70" s="19">
        <v>0.2</v>
      </c>
      <c r="I70" s="19">
        <v>0.2</v>
      </c>
      <c r="J70" s="19">
        <v>0.2</v>
      </c>
      <c r="K70" s="19">
        <v>0.2</v>
      </c>
      <c r="L70" s="19">
        <v>0.2</v>
      </c>
      <c r="M70" s="19">
        <v>0.2</v>
      </c>
      <c r="N70" s="19">
        <v>0.2</v>
      </c>
    </row>
    <row r="71" spans="1:31" ht="15" x14ac:dyDescent="0.25">
      <c r="A71" s="200" t="s">
        <v>194</v>
      </c>
      <c r="B71" s="17" t="s">
        <v>55</v>
      </c>
      <c r="C71" s="19">
        <v>0.5</v>
      </c>
      <c r="D71" s="19">
        <v>0.5</v>
      </c>
      <c r="E71" s="19">
        <v>0.5</v>
      </c>
      <c r="F71" s="19">
        <v>0.5</v>
      </c>
      <c r="G71" s="19">
        <v>0.5</v>
      </c>
      <c r="H71" s="19">
        <v>0.5</v>
      </c>
      <c r="I71" s="19">
        <v>0.5</v>
      </c>
      <c r="J71" s="19">
        <v>0.5</v>
      </c>
      <c r="K71" s="19">
        <v>0.5</v>
      </c>
      <c r="L71" s="19">
        <v>0.5</v>
      </c>
      <c r="M71" s="19">
        <v>0.5</v>
      </c>
      <c r="N71" s="19">
        <v>0.5</v>
      </c>
    </row>
    <row r="72" spans="1:31" ht="15" x14ac:dyDescent="0.25">
      <c r="A72" s="200"/>
      <c r="B72" s="17" t="s">
        <v>57</v>
      </c>
      <c r="C72" s="19">
        <v>0.3</v>
      </c>
      <c r="D72" s="19">
        <v>0.3</v>
      </c>
      <c r="E72" s="19">
        <v>0.3</v>
      </c>
      <c r="F72" s="19">
        <v>0.3</v>
      </c>
      <c r="G72" s="19">
        <v>0.3</v>
      </c>
      <c r="H72" s="19">
        <v>0.3</v>
      </c>
      <c r="I72" s="19">
        <v>0.3</v>
      </c>
      <c r="J72" s="19">
        <v>0.3</v>
      </c>
      <c r="K72" s="19">
        <v>0.3</v>
      </c>
      <c r="L72" s="19">
        <v>0.3</v>
      </c>
      <c r="M72" s="19">
        <v>0.3</v>
      </c>
      <c r="N72" s="19">
        <v>0.3</v>
      </c>
    </row>
    <row r="73" spans="1:31" ht="15" x14ac:dyDescent="0.25">
      <c r="A73" s="200"/>
      <c r="B73" s="17" t="s">
        <v>58</v>
      </c>
      <c r="C73" s="19">
        <v>0.2</v>
      </c>
      <c r="D73" s="19">
        <v>0.2</v>
      </c>
      <c r="E73" s="19">
        <v>0.2</v>
      </c>
      <c r="F73" s="19">
        <v>0.2</v>
      </c>
      <c r="G73" s="19">
        <v>0.2</v>
      </c>
      <c r="H73" s="19">
        <v>0.2</v>
      </c>
      <c r="I73" s="19">
        <v>0.2</v>
      </c>
      <c r="J73" s="19">
        <v>0.2</v>
      </c>
      <c r="K73" s="19">
        <v>0.2</v>
      </c>
      <c r="L73" s="19">
        <v>0.2</v>
      </c>
      <c r="M73" s="19">
        <v>0.2</v>
      </c>
      <c r="N73" s="19">
        <v>0.2</v>
      </c>
    </row>
    <row r="74" spans="1:31" ht="15" x14ac:dyDescent="0.25">
      <c r="A74" s="200" t="s">
        <v>195</v>
      </c>
      <c r="B74" s="17" t="s">
        <v>55</v>
      </c>
      <c r="C74" s="19">
        <v>0.5</v>
      </c>
      <c r="D74" s="19">
        <v>0.5</v>
      </c>
      <c r="E74" s="19">
        <v>0.5</v>
      </c>
      <c r="F74" s="19">
        <v>0.5</v>
      </c>
      <c r="G74" s="19">
        <v>0.5</v>
      </c>
      <c r="H74" s="19">
        <v>0.5</v>
      </c>
      <c r="I74" s="19">
        <v>0.5</v>
      </c>
      <c r="J74" s="19">
        <v>0.5</v>
      </c>
      <c r="K74" s="19">
        <v>0.5</v>
      </c>
      <c r="L74" s="19">
        <v>0.5</v>
      </c>
      <c r="M74" s="19">
        <v>0.5</v>
      </c>
      <c r="N74" s="19">
        <v>0.5</v>
      </c>
    </row>
    <row r="75" spans="1:31" ht="15" x14ac:dyDescent="0.25">
      <c r="A75" s="200"/>
      <c r="B75" s="17" t="s">
        <v>57</v>
      </c>
      <c r="C75" s="19">
        <v>0.3</v>
      </c>
      <c r="D75" s="19">
        <v>0.3</v>
      </c>
      <c r="E75" s="19">
        <v>0.3</v>
      </c>
      <c r="F75" s="19">
        <v>0.3</v>
      </c>
      <c r="G75" s="19">
        <v>0.3</v>
      </c>
      <c r="H75" s="19">
        <v>0.3</v>
      </c>
      <c r="I75" s="19">
        <v>0.3</v>
      </c>
      <c r="J75" s="19">
        <v>0.3</v>
      </c>
      <c r="K75" s="19">
        <v>0.3</v>
      </c>
      <c r="L75" s="19">
        <v>0.3</v>
      </c>
      <c r="M75" s="19">
        <v>0.3</v>
      </c>
      <c r="N75" s="19">
        <v>0.3</v>
      </c>
    </row>
    <row r="76" spans="1:31" ht="15" x14ac:dyDescent="0.25">
      <c r="A76" s="200"/>
      <c r="B76" s="17" t="s">
        <v>58</v>
      </c>
      <c r="C76" s="19">
        <v>0.2</v>
      </c>
      <c r="D76" s="19">
        <v>0.2</v>
      </c>
      <c r="E76" s="19">
        <v>0.2</v>
      </c>
      <c r="F76" s="19">
        <v>0.2</v>
      </c>
      <c r="G76" s="19">
        <v>0.2</v>
      </c>
      <c r="H76" s="19">
        <v>0.2</v>
      </c>
      <c r="I76" s="19">
        <v>0.2</v>
      </c>
      <c r="J76" s="19">
        <v>0.2</v>
      </c>
      <c r="K76" s="19">
        <v>0.2</v>
      </c>
      <c r="L76" s="19">
        <v>0.2</v>
      </c>
      <c r="M76" s="19">
        <v>0.2</v>
      </c>
      <c r="N76" s="19">
        <v>0.2</v>
      </c>
    </row>
    <row r="77" spans="1:31" ht="15" x14ac:dyDescent="0.25">
      <c r="A77" s="200" t="s">
        <v>196</v>
      </c>
      <c r="B77" s="17" t="s">
        <v>55</v>
      </c>
      <c r="C77" s="19">
        <v>0.5</v>
      </c>
      <c r="D77" s="19">
        <v>0.5</v>
      </c>
      <c r="E77" s="19">
        <v>0.5</v>
      </c>
      <c r="F77" s="19">
        <v>0.5</v>
      </c>
      <c r="G77" s="19">
        <v>0.5</v>
      </c>
      <c r="H77" s="19">
        <v>0.5</v>
      </c>
      <c r="I77" s="19">
        <v>0.5</v>
      </c>
      <c r="J77" s="19">
        <v>0.5</v>
      </c>
      <c r="K77" s="19">
        <v>0.5</v>
      </c>
      <c r="L77" s="19">
        <v>0.5</v>
      </c>
      <c r="M77" s="19">
        <v>0.5</v>
      </c>
      <c r="N77" s="19">
        <v>0.5</v>
      </c>
    </row>
    <row r="78" spans="1:31" ht="15" x14ac:dyDescent="0.25">
      <c r="A78" s="200"/>
      <c r="B78" s="17" t="s">
        <v>57</v>
      </c>
      <c r="C78" s="19">
        <v>0.3</v>
      </c>
      <c r="D78" s="19">
        <v>0.3</v>
      </c>
      <c r="E78" s="19">
        <v>0.3</v>
      </c>
      <c r="F78" s="19">
        <v>0.3</v>
      </c>
      <c r="G78" s="19">
        <v>0.3</v>
      </c>
      <c r="H78" s="19">
        <v>0.3</v>
      </c>
      <c r="I78" s="19">
        <v>0.3</v>
      </c>
      <c r="J78" s="19">
        <v>0.3</v>
      </c>
      <c r="K78" s="19">
        <v>0.3</v>
      </c>
      <c r="L78" s="19">
        <v>0.3</v>
      </c>
      <c r="M78" s="19">
        <v>0.3</v>
      </c>
      <c r="N78" s="19">
        <v>0.3</v>
      </c>
    </row>
    <row r="79" spans="1:31" ht="15" x14ac:dyDescent="0.25">
      <c r="A79" s="200"/>
      <c r="B79" s="17" t="s">
        <v>58</v>
      </c>
      <c r="C79" s="19">
        <v>0.2</v>
      </c>
      <c r="D79" s="19">
        <v>0.2</v>
      </c>
      <c r="E79" s="19">
        <v>0.2</v>
      </c>
      <c r="F79" s="19">
        <v>0.2</v>
      </c>
      <c r="G79" s="19">
        <v>0.2</v>
      </c>
      <c r="H79" s="19">
        <v>0.2</v>
      </c>
      <c r="I79" s="19">
        <v>0.2</v>
      </c>
      <c r="J79" s="19">
        <v>0.2</v>
      </c>
      <c r="K79" s="19">
        <v>0.2</v>
      </c>
      <c r="L79" s="19">
        <v>0.2</v>
      </c>
      <c r="M79" s="19">
        <v>0.2</v>
      </c>
      <c r="N79" s="19">
        <v>0.2</v>
      </c>
    </row>
    <row r="80" spans="1:31" ht="15" x14ac:dyDescent="0.25">
      <c r="A80" s="200" t="s">
        <v>197</v>
      </c>
      <c r="B80" s="17" t="s">
        <v>55</v>
      </c>
      <c r="C80" s="19">
        <v>0.5</v>
      </c>
      <c r="D80" s="19">
        <v>0.5</v>
      </c>
      <c r="E80" s="19">
        <v>0.5</v>
      </c>
      <c r="F80" s="19">
        <v>0.5</v>
      </c>
      <c r="G80" s="19">
        <v>0.5</v>
      </c>
      <c r="H80" s="19">
        <v>0.5</v>
      </c>
      <c r="I80" s="19">
        <v>0.5</v>
      </c>
      <c r="J80" s="19">
        <v>0.5</v>
      </c>
      <c r="K80" s="19">
        <v>0.5</v>
      </c>
      <c r="L80" s="19">
        <v>0.5</v>
      </c>
      <c r="M80" s="19">
        <v>0.5</v>
      </c>
      <c r="N80" s="19">
        <v>0.5</v>
      </c>
    </row>
    <row r="81" spans="1:14" ht="15" x14ac:dyDescent="0.25">
      <c r="A81" s="200"/>
      <c r="B81" s="17" t="s">
        <v>57</v>
      </c>
      <c r="C81" s="19">
        <v>0.3</v>
      </c>
      <c r="D81" s="19">
        <v>0.3</v>
      </c>
      <c r="E81" s="19">
        <v>0.3</v>
      </c>
      <c r="F81" s="19">
        <v>0.3</v>
      </c>
      <c r="G81" s="19">
        <v>0.3</v>
      </c>
      <c r="H81" s="19">
        <v>0.3</v>
      </c>
      <c r="I81" s="19">
        <v>0.3</v>
      </c>
      <c r="J81" s="19">
        <v>0.3</v>
      </c>
      <c r="K81" s="19">
        <v>0.3</v>
      </c>
      <c r="L81" s="19">
        <v>0.3</v>
      </c>
      <c r="M81" s="19">
        <v>0.3</v>
      </c>
      <c r="N81" s="19">
        <v>0.3</v>
      </c>
    </row>
    <row r="82" spans="1:14" ht="15" x14ac:dyDescent="0.25">
      <c r="A82" s="200"/>
      <c r="B82" s="17" t="s">
        <v>58</v>
      </c>
      <c r="C82" s="19">
        <v>0.2</v>
      </c>
      <c r="D82" s="19">
        <v>0.2</v>
      </c>
      <c r="E82" s="19">
        <v>0.2</v>
      </c>
      <c r="F82" s="19">
        <v>0.2</v>
      </c>
      <c r="G82" s="19">
        <v>0.2</v>
      </c>
      <c r="H82" s="19">
        <v>0.2</v>
      </c>
      <c r="I82" s="19">
        <v>0.2</v>
      </c>
      <c r="J82" s="19">
        <v>0.2</v>
      </c>
      <c r="K82" s="19">
        <v>0.2</v>
      </c>
      <c r="L82" s="19">
        <v>0.2</v>
      </c>
      <c r="M82" s="19">
        <v>0.2</v>
      </c>
      <c r="N82" s="19">
        <v>0.2</v>
      </c>
    </row>
    <row r="83" spans="1:14" ht="15" x14ac:dyDescent="0.25">
      <c r="A83" s="200" t="s">
        <v>198</v>
      </c>
      <c r="B83" s="17" t="s">
        <v>55</v>
      </c>
      <c r="C83" s="19">
        <v>0.5</v>
      </c>
      <c r="D83" s="19">
        <v>0.5</v>
      </c>
      <c r="E83" s="19">
        <v>0.5</v>
      </c>
      <c r="F83" s="19">
        <v>0.5</v>
      </c>
      <c r="G83" s="19">
        <v>0.5</v>
      </c>
      <c r="H83" s="19">
        <v>0.5</v>
      </c>
      <c r="I83" s="19">
        <v>0.5</v>
      </c>
      <c r="J83" s="19">
        <v>0.5</v>
      </c>
      <c r="K83" s="19">
        <v>0.5</v>
      </c>
      <c r="L83" s="19">
        <v>0.5</v>
      </c>
      <c r="M83" s="19">
        <v>0.5</v>
      </c>
      <c r="N83" s="19">
        <v>0.5</v>
      </c>
    </row>
    <row r="84" spans="1:14" ht="15" x14ac:dyDescent="0.25">
      <c r="A84" s="200"/>
      <c r="B84" s="17" t="s">
        <v>57</v>
      </c>
      <c r="C84" s="19">
        <v>0.3</v>
      </c>
      <c r="D84" s="19">
        <v>0.3</v>
      </c>
      <c r="E84" s="19">
        <v>0.3</v>
      </c>
      <c r="F84" s="19">
        <v>0.3</v>
      </c>
      <c r="G84" s="19">
        <v>0.3</v>
      </c>
      <c r="H84" s="19">
        <v>0.3</v>
      </c>
      <c r="I84" s="19">
        <v>0.3</v>
      </c>
      <c r="J84" s="19">
        <v>0.3</v>
      </c>
      <c r="K84" s="19">
        <v>0.3</v>
      </c>
      <c r="L84" s="19">
        <v>0.3</v>
      </c>
      <c r="M84" s="19">
        <v>0.3</v>
      </c>
      <c r="N84" s="19">
        <v>0.3</v>
      </c>
    </row>
    <row r="85" spans="1:14" ht="15" x14ac:dyDescent="0.25">
      <c r="A85" s="200"/>
      <c r="B85" s="17" t="s">
        <v>58</v>
      </c>
      <c r="C85" s="19">
        <v>0.2</v>
      </c>
      <c r="D85" s="19">
        <v>0.2</v>
      </c>
      <c r="E85" s="19">
        <v>0.2</v>
      </c>
      <c r="F85" s="19">
        <v>0.2</v>
      </c>
      <c r="G85" s="19">
        <v>0.2</v>
      </c>
      <c r="H85" s="19">
        <v>0.2</v>
      </c>
      <c r="I85" s="19">
        <v>0.2</v>
      </c>
      <c r="J85" s="19">
        <v>0.2</v>
      </c>
      <c r="K85" s="19">
        <v>0.2</v>
      </c>
      <c r="L85" s="19">
        <v>0.2</v>
      </c>
      <c r="M85" s="19">
        <v>0.2</v>
      </c>
      <c r="N85" s="19">
        <v>0.2</v>
      </c>
    </row>
    <row r="86" spans="1:14" ht="15" x14ac:dyDescent="0.25">
      <c r="A86" s="200" t="s">
        <v>199</v>
      </c>
      <c r="B86" s="17" t="s">
        <v>55</v>
      </c>
      <c r="C86" s="19">
        <v>0.5</v>
      </c>
      <c r="D86" s="19">
        <v>0.5</v>
      </c>
      <c r="E86" s="19">
        <v>0.5</v>
      </c>
      <c r="F86" s="19">
        <v>0.5</v>
      </c>
      <c r="G86" s="19">
        <v>0.5</v>
      </c>
      <c r="H86" s="19">
        <v>0.5</v>
      </c>
      <c r="I86" s="19">
        <v>0.5</v>
      </c>
      <c r="J86" s="19">
        <v>0.5</v>
      </c>
      <c r="K86" s="19">
        <v>0.5</v>
      </c>
      <c r="L86" s="19">
        <v>0.5</v>
      </c>
      <c r="M86" s="19">
        <v>0.5</v>
      </c>
      <c r="N86" s="19">
        <v>0.5</v>
      </c>
    </row>
    <row r="87" spans="1:14" ht="15" x14ac:dyDescent="0.25">
      <c r="A87" s="200"/>
      <c r="B87" s="17" t="s">
        <v>57</v>
      </c>
      <c r="C87" s="19">
        <v>0.3</v>
      </c>
      <c r="D87" s="19">
        <v>0.3</v>
      </c>
      <c r="E87" s="19">
        <v>0.3</v>
      </c>
      <c r="F87" s="19">
        <v>0.3</v>
      </c>
      <c r="G87" s="19">
        <v>0.3</v>
      </c>
      <c r="H87" s="19">
        <v>0.3</v>
      </c>
      <c r="I87" s="19">
        <v>0.3</v>
      </c>
      <c r="J87" s="19">
        <v>0.3</v>
      </c>
      <c r="K87" s="19">
        <v>0.3</v>
      </c>
      <c r="L87" s="19">
        <v>0.3</v>
      </c>
      <c r="M87" s="19">
        <v>0.3</v>
      </c>
      <c r="N87" s="19">
        <v>0.3</v>
      </c>
    </row>
    <row r="88" spans="1:14" ht="15" x14ac:dyDescent="0.25">
      <c r="A88" s="200"/>
      <c r="B88" s="17" t="s">
        <v>58</v>
      </c>
      <c r="C88" s="19">
        <v>0.2</v>
      </c>
      <c r="D88" s="19">
        <v>0.2</v>
      </c>
      <c r="E88" s="19">
        <v>0.2</v>
      </c>
      <c r="F88" s="19">
        <v>0.2</v>
      </c>
      <c r="G88" s="19">
        <v>0.2</v>
      </c>
      <c r="H88" s="19">
        <v>0.2</v>
      </c>
      <c r="I88" s="19">
        <v>0.2</v>
      </c>
      <c r="J88" s="19">
        <v>0.2</v>
      </c>
      <c r="K88" s="19">
        <v>0.2</v>
      </c>
      <c r="L88" s="19">
        <v>0.2</v>
      </c>
      <c r="M88" s="19">
        <v>0.2</v>
      </c>
      <c r="N88" s="19">
        <v>0.2</v>
      </c>
    </row>
    <row r="89" spans="1:14" ht="15" x14ac:dyDescent="0.25">
      <c r="A89" s="200" t="s">
        <v>200</v>
      </c>
      <c r="B89" s="17" t="s">
        <v>55</v>
      </c>
      <c r="C89" s="19">
        <v>0.5</v>
      </c>
      <c r="D89" s="19">
        <v>0.5</v>
      </c>
      <c r="E89" s="19">
        <v>0.5</v>
      </c>
      <c r="F89" s="19">
        <v>0.5</v>
      </c>
      <c r="G89" s="19">
        <v>0.5</v>
      </c>
      <c r="H89" s="19">
        <v>0.5</v>
      </c>
      <c r="I89" s="19">
        <v>0.5</v>
      </c>
      <c r="J89" s="19">
        <v>0.5</v>
      </c>
      <c r="K89" s="19">
        <v>0.5</v>
      </c>
      <c r="L89" s="19">
        <v>0.5</v>
      </c>
      <c r="M89" s="19">
        <v>0.5</v>
      </c>
      <c r="N89" s="19">
        <v>0.5</v>
      </c>
    </row>
    <row r="90" spans="1:14" ht="15" x14ac:dyDescent="0.25">
      <c r="A90" s="200"/>
      <c r="B90" s="17" t="s">
        <v>57</v>
      </c>
      <c r="C90" s="19">
        <v>0.3</v>
      </c>
      <c r="D90" s="19">
        <v>0.3</v>
      </c>
      <c r="E90" s="19">
        <v>0.3</v>
      </c>
      <c r="F90" s="19">
        <v>0.3</v>
      </c>
      <c r="G90" s="19">
        <v>0.3</v>
      </c>
      <c r="H90" s="19">
        <v>0.3</v>
      </c>
      <c r="I90" s="19">
        <v>0.3</v>
      </c>
      <c r="J90" s="19">
        <v>0.3</v>
      </c>
      <c r="K90" s="19">
        <v>0.3</v>
      </c>
      <c r="L90" s="19">
        <v>0.3</v>
      </c>
      <c r="M90" s="19">
        <v>0.3</v>
      </c>
      <c r="N90" s="19">
        <v>0.3</v>
      </c>
    </row>
    <row r="91" spans="1:14" ht="15" x14ac:dyDescent="0.25">
      <c r="A91" s="200"/>
      <c r="B91" s="17" t="s">
        <v>58</v>
      </c>
      <c r="C91" s="19">
        <v>0.2</v>
      </c>
      <c r="D91" s="19">
        <v>0.2</v>
      </c>
      <c r="E91" s="19">
        <v>0.2</v>
      </c>
      <c r="F91" s="19">
        <v>0.2</v>
      </c>
      <c r="G91" s="19">
        <v>0.2</v>
      </c>
      <c r="H91" s="19">
        <v>0.2</v>
      </c>
      <c r="I91" s="19">
        <v>0.2</v>
      </c>
      <c r="J91" s="19">
        <v>0.2</v>
      </c>
      <c r="K91" s="19">
        <v>0.2</v>
      </c>
      <c r="L91" s="19">
        <v>0.2</v>
      </c>
      <c r="M91" s="19">
        <v>0.2</v>
      </c>
      <c r="N91" s="19">
        <v>0.2</v>
      </c>
    </row>
    <row r="92" spans="1:14" ht="15" x14ac:dyDescent="0.25">
      <c r="A92" s="200" t="s">
        <v>201</v>
      </c>
      <c r="B92" s="17" t="s">
        <v>55</v>
      </c>
      <c r="C92" s="19">
        <v>0.5</v>
      </c>
      <c r="D92" s="19">
        <v>0.5</v>
      </c>
      <c r="E92" s="19">
        <v>0.5</v>
      </c>
      <c r="F92" s="19">
        <v>0.5</v>
      </c>
      <c r="G92" s="19">
        <v>0.5</v>
      </c>
      <c r="H92" s="19">
        <v>0.5</v>
      </c>
      <c r="I92" s="19">
        <v>0.5</v>
      </c>
      <c r="J92" s="19">
        <v>0.5</v>
      </c>
      <c r="K92" s="19">
        <v>0.5</v>
      </c>
      <c r="L92" s="19">
        <v>0.5</v>
      </c>
      <c r="M92" s="19">
        <v>0.5</v>
      </c>
      <c r="N92" s="19">
        <v>0.5</v>
      </c>
    </row>
    <row r="93" spans="1:14" ht="15" x14ac:dyDescent="0.25">
      <c r="A93" s="200"/>
      <c r="B93" s="17" t="s">
        <v>57</v>
      </c>
      <c r="C93" s="19">
        <v>0.3</v>
      </c>
      <c r="D93" s="19">
        <v>0.3</v>
      </c>
      <c r="E93" s="19">
        <v>0.3</v>
      </c>
      <c r="F93" s="19">
        <v>0.3</v>
      </c>
      <c r="G93" s="19">
        <v>0.3</v>
      </c>
      <c r="H93" s="19">
        <v>0.3</v>
      </c>
      <c r="I93" s="19">
        <v>0.3</v>
      </c>
      <c r="J93" s="19">
        <v>0.3</v>
      </c>
      <c r="K93" s="19">
        <v>0.3</v>
      </c>
      <c r="L93" s="19">
        <v>0.3</v>
      </c>
      <c r="M93" s="19">
        <v>0.3</v>
      </c>
      <c r="N93" s="19">
        <v>0.3</v>
      </c>
    </row>
    <row r="94" spans="1:14" ht="15" x14ac:dyDescent="0.25">
      <c r="A94" s="200"/>
      <c r="B94" s="17" t="s">
        <v>58</v>
      </c>
      <c r="C94" s="19">
        <v>0.2</v>
      </c>
      <c r="D94" s="19">
        <v>0.2</v>
      </c>
      <c r="E94" s="19">
        <v>0.2</v>
      </c>
      <c r="F94" s="19">
        <v>0.2</v>
      </c>
      <c r="G94" s="19">
        <v>0.2</v>
      </c>
      <c r="H94" s="19">
        <v>0.2</v>
      </c>
      <c r="I94" s="19">
        <v>0.2</v>
      </c>
      <c r="J94" s="19">
        <v>0.2</v>
      </c>
      <c r="K94" s="19">
        <v>0.2</v>
      </c>
      <c r="L94" s="19">
        <v>0.2</v>
      </c>
      <c r="M94" s="19">
        <v>0.2</v>
      </c>
      <c r="N94" s="19">
        <v>0.2</v>
      </c>
    </row>
    <row r="95" spans="1:14" ht="15" x14ac:dyDescent="0.25">
      <c r="A95" s="200" t="s">
        <v>202</v>
      </c>
      <c r="B95" s="17" t="s">
        <v>55</v>
      </c>
      <c r="C95" s="19">
        <v>0.5</v>
      </c>
      <c r="D95" s="19">
        <v>0.5</v>
      </c>
      <c r="E95" s="19">
        <v>0.5</v>
      </c>
      <c r="F95" s="19">
        <v>0.5</v>
      </c>
      <c r="G95" s="19">
        <v>0.5</v>
      </c>
      <c r="H95" s="19">
        <v>0.5</v>
      </c>
      <c r="I95" s="19">
        <v>0.5</v>
      </c>
      <c r="J95" s="19">
        <v>0.5</v>
      </c>
      <c r="K95" s="19">
        <v>0.5</v>
      </c>
      <c r="L95" s="19">
        <v>0.5</v>
      </c>
      <c r="M95" s="19">
        <v>0.5</v>
      </c>
      <c r="N95" s="19">
        <v>0.5</v>
      </c>
    </row>
    <row r="96" spans="1:14" ht="15" x14ac:dyDescent="0.25">
      <c r="A96" s="200"/>
      <c r="B96" s="17" t="s">
        <v>57</v>
      </c>
      <c r="C96" s="19">
        <v>0.3</v>
      </c>
      <c r="D96" s="19">
        <v>0.3</v>
      </c>
      <c r="E96" s="19">
        <v>0.3</v>
      </c>
      <c r="F96" s="19">
        <v>0.3</v>
      </c>
      <c r="G96" s="19">
        <v>0.3</v>
      </c>
      <c r="H96" s="19">
        <v>0.3</v>
      </c>
      <c r="I96" s="19">
        <v>0.3</v>
      </c>
      <c r="J96" s="19">
        <v>0.3</v>
      </c>
      <c r="K96" s="19">
        <v>0.3</v>
      </c>
      <c r="L96" s="19">
        <v>0.3</v>
      </c>
      <c r="M96" s="19">
        <v>0.3</v>
      </c>
      <c r="N96" s="19">
        <v>0.3</v>
      </c>
    </row>
    <row r="97" spans="1:14" ht="15" x14ac:dyDescent="0.25">
      <c r="A97" s="200"/>
      <c r="B97" s="17" t="s">
        <v>58</v>
      </c>
      <c r="C97" s="19">
        <v>0.2</v>
      </c>
      <c r="D97" s="19">
        <v>0.2</v>
      </c>
      <c r="E97" s="19">
        <v>0.2</v>
      </c>
      <c r="F97" s="19">
        <v>0.2</v>
      </c>
      <c r="G97" s="19">
        <v>0.2</v>
      </c>
      <c r="H97" s="19">
        <v>0.2</v>
      </c>
      <c r="I97" s="19">
        <v>0.2</v>
      </c>
      <c r="J97" s="19">
        <v>0.2</v>
      </c>
      <c r="K97" s="19">
        <v>0.2</v>
      </c>
      <c r="L97" s="19">
        <v>0.2</v>
      </c>
      <c r="M97" s="19">
        <v>0.2</v>
      </c>
      <c r="N97" s="19">
        <v>0.2</v>
      </c>
    </row>
    <row r="98" spans="1:14" ht="15" x14ac:dyDescent="0.25">
      <c r="A98" s="200" t="s">
        <v>203</v>
      </c>
      <c r="B98" s="17" t="s">
        <v>55</v>
      </c>
      <c r="C98" s="19">
        <v>0.5</v>
      </c>
      <c r="D98" s="19">
        <v>0.5</v>
      </c>
      <c r="E98" s="19">
        <v>0.5</v>
      </c>
      <c r="F98" s="19">
        <v>0.5</v>
      </c>
      <c r="G98" s="19">
        <v>0.5</v>
      </c>
      <c r="H98" s="19">
        <v>0.5</v>
      </c>
      <c r="I98" s="19">
        <v>0.5</v>
      </c>
      <c r="J98" s="19">
        <v>0.5</v>
      </c>
      <c r="K98" s="19">
        <v>0.5</v>
      </c>
      <c r="L98" s="19">
        <v>0.5</v>
      </c>
      <c r="M98" s="19">
        <v>0.5</v>
      </c>
      <c r="N98" s="19">
        <v>0.5</v>
      </c>
    </row>
    <row r="99" spans="1:14" ht="15" x14ac:dyDescent="0.25">
      <c r="A99" s="200"/>
      <c r="B99" s="17" t="s">
        <v>57</v>
      </c>
      <c r="C99" s="19">
        <v>0.3</v>
      </c>
      <c r="D99" s="19">
        <v>0.3</v>
      </c>
      <c r="E99" s="19">
        <v>0.3</v>
      </c>
      <c r="F99" s="19">
        <v>0.3</v>
      </c>
      <c r="G99" s="19">
        <v>0.3</v>
      </c>
      <c r="H99" s="19">
        <v>0.3</v>
      </c>
      <c r="I99" s="19">
        <v>0.3</v>
      </c>
      <c r="J99" s="19">
        <v>0.3</v>
      </c>
      <c r="K99" s="19">
        <v>0.3</v>
      </c>
      <c r="L99" s="19">
        <v>0.3</v>
      </c>
      <c r="M99" s="19">
        <v>0.3</v>
      </c>
      <c r="N99" s="19">
        <v>0.3</v>
      </c>
    </row>
    <row r="100" spans="1:14" ht="15" x14ac:dyDescent="0.25">
      <c r="A100" s="200"/>
      <c r="B100" s="17" t="s">
        <v>58</v>
      </c>
      <c r="C100" s="19">
        <v>0.2</v>
      </c>
      <c r="D100" s="19">
        <v>0.2</v>
      </c>
      <c r="E100" s="19">
        <v>0.2</v>
      </c>
      <c r="F100" s="19">
        <v>0.2</v>
      </c>
      <c r="G100" s="19">
        <v>0.2</v>
      </c>
      <c r="H100" s="19">
        <v>0.2</v>
      </c>
      <c r="I100" s="19">
        <v>0.2</v>
      </c>
      <c r="J100" s="19">
        <v>0.2</v>
      </c>
      <c r="K100" s="19">
        <v>0.2</v>
      </c>
      <c r="L100" s="19">
        <v>0.2</v>
      </c>
      <c r="M100" s="19">
        <v>0.2</v>
      </c>
      <c r="N100" s="19">
        <v>0.2</v>
      </c>
    </row>
    <row r="101" spans="1:14" ht="15" x14ac:dyDescent="0.25">
      <c r="A101" s="200" t="s">
        <v>204</v>
      </c>
      <c r="B101" s="17" t="s">
        <v>55</v>
      </c>
      <c r="C101" s="19">
        <v>0.5</v>
      </c>
      <c r="D101" s="19">
        <v>0.5</v>
      </c>
      <c r="E101" s="19">
        <v>0.5</v>
      </c>
      <c r="F101" s="19">
        <v>0.5</v>
      </c>
      <c r="G101" s="19">
        <v>0.5</v>
      </c>
      <c r="H101" s="19">
        <v>0.5</v>
      </c>
      <c r="I101" s="19">
        <v>0.5</v>
      </c>
      <c r="J101" s="19">
        <v>0.5</v>
      </c>
      <c r="K101" s="19">
        <v>0.5</v>
      </c>
      <c r="L101" s="19">
        <v>0.5</v>
      </c>
      <c r="M101" s="19">
        <v>0.5</v>
      </c>
      <c r="N101" s="19">
        <v>0.5</v>
      </c>
    </row>
    <row r="102" spans="1:14" ht="15" x14ac:dyDescent="0.25">
      <c r="A102" s="200"/>
      <c r="B102" s="17" t="s">
        <v>57</v>
      </c>
      <c r="C102" s="19">
        <v>0.3</v>
      </c>
      <c r="D102" s="19">
        <v>0.3</v>
      </c>
      <c r="E102" s="19">
        <v>0.3</v>
      </c>
      <c r="F102" s="19">
        <v>0.3</v>
      </c>
      <c r="G102" s="19">
        <v>0.3</v>
      </c>
      <c r="H102" s="19">
        <v>0.3</v>
      </c>
      <c r="I102" s="19">
        <v>0.3</v>
      </c>
      <c r="J102" s="19">
        <v>0.3</v>
      </c>
      <c r="K102" s="19">
        <v>0.3</v>
      </c>
      <c r="L102" s="19">
        <v>0.3</v>
      </c>
      <c r="M102" s="19">
        <v>0.3</v>
      </c>
      <c r="N102" s="19">
        <v>0.3</v>
      </c>
    </row>
    <row r="103" spans="1:14" ht="15" x14ac:dyDescent="0.25">
      <c r="A103" s="200"/>
      <c r="B103" s="17" t="s">
        <v>58</v>
      </c>
      <c r="C103" s="19">
        <v>0.2</v>
      </c>
      <c r="D103" s="19">
        <v>0.2</v>
      </c>
      <c r="E103" s="19">
        <v>0.2</v>
      </c>
      <c r="F103" s="19">
        <v>0.2</v>
      </c>
      <c r="G103" s="19">
        <v>0.2</v>
      </c>
      <c r="H103" s="19">
        <v>0.2</v>
      </c>
      <c r="I103" s="19">
        <v>0.2</v>
      </c>
      <c r="J103" s="19">
        <v>0.2</v>
      </c>
      <c r="K103" s="19">
        <v>0.2</v>
      </c>
      <c r="L103" s="19">
        <v>0.2</v>
      </c>
      <c r="M103" s="19">
        <v>0.2</v>
      </c>
      <c r="N103" s="19">
        <v>0.2</v>
      </c>
    </row>
    <row r="104" spans="1:14" ht="15" x14ac:dyDescent="0.25">
      <c r="A104" s="200" t="s">
        <v>205</v>
      </c>
      <c r="B104" s="17" t="s">
        <v>55</v>
      </c>
      <c r="C104" s="19">
        <v>0.5</v>
      </c>
      <c r="D104" s="19">
        <v>0.5</v>
      </c>
      <c r="E104" s="19">
        <v>0.5</v>
      </c>
      <c r="F104" s="19">
        <v>0.5</v>
      </c>
      <c r="G104" s="19">
        <v>0.5</v>
      </c>
      <c r="H104" s="19">
        <v>0.5</v>
      </c>
      <c r="I104" s="19">
        <v>0.5</v>
      </c>
      <c r="J104" s="19">
        <v>0.5</v>
      </c>
      <c r="K104" s="19">
        <v>0.5</v>
      </c>
      <c r="L104" s="19">
        <v>0.5</v>
      </c>
      <c r="M104" s="19">
        <v>0.5</v>
      </c>
      <c r="N104" s="19">
        <v>0.5</v>
      </c>
    </row>
    <row r="105" spans="1:14" ht="15" x14ac:dyDescent="0.25">
      <c r="A105" s="200"/>
      <c r="B105" s="17" t="s">
        <v>57</v>
      </c>
      <c r="C105" s="19">
        <v>0.3</v>
      </c>
      <c r="D105" s="19">
        <v>0.3</v>
      </c>
      <c r="E105" s="19">
        <v>0.3</v>
      </c>
      <c r="F105" s="19">
        <v>0.3</v>
      </c>
      <c r="G105" s="19">
        <v>0.3</v>
      </c>
      <c r="H105" s="19">
        <v>0.3</v>
      </c>
      <c r="I105" s="19">
        <v>0.3</v>
      </c>
      <c r="J105" s="19">
        <v>0.3</v>
      </c>
      <c r="K105" s="19">
        <v>0.3</v>
      </c>
      <c r="L105" s="19">
        <v>0.3</v>
      </c>
      <c r="M105" s="19">
        <v>0.3</v>
      </c>
      <c r="N105" s="19">
        <v>0.3</v>
      </c>
    </row>
    <row r="106" spans="1:14" ht="15" x14ac:dyDescent="0.25">
      <c r="A106" s="200"/>
      <c r="B106" s="17" t="s">
        <v>58</v>
      </c>
      <c r="C106" s="19">
        <v>0.2</v>
      </c>
      <c r="D106" s="19">
        <v>0.2</v>
      </c>
      <c r="E106" s="19">
        <v>0.2</v>
      </c>
      <c r="F106" s="19">
        <v>0.2</v>
      </c>
      <c r="G106" s="19">
        <v>0.2</v>
      </c>
      <c r="H106" s="19">
        <v>0.2</v>
      </c>
      <c r="I106" s="19">
        <v>0.2</v>
      </c>
      <c r="J106" s="19">
        <v>0.2</v>
      </c>
      <c r="K106" s="19">
        <v>0.2</v>
      </c>
      <c r="L106" s="19">
        <v>0.2</v>
      </c>
      <c r="M106" s="19">
        <v>0.2</v>
      </c>
      <c r="N106" s="19">
        <v>0.2</v>
      </c>
    </row>
    <row r="107" spans="1:14" ht="15" x14ac:dyDescent="0.25">
      <c r="A107" s="200" t="s">
        <v>206</v>
      </c>
      <c r="B107" s="17" t="s">
        <v>55</v>
      </c>
      <c r="C107" s="19">
        <v>0.5</v>
      </c>
      <c r="D107" s="19">
        <v>0.5</v>
      </c>
      <c r="E107" s="19">
        <v>0.5</v>
      </c>
      <c r="F107" s="19">
        <v>0.5</v>
      </c>
      <c r="G107" s="19">
        <v>0.5</v>
      </c>
      <c r="H107" s="19">
        <v>0.5</v>
      </c>
      <c r="I107" s="19">
        <v>0.5</v>
      </c>
      <c r="J107" s="19">
        <v>0.5</v>
      </c>
      <c r="K107" s="19">
        <v>0.5</v>
      </c>
      <c r="L107" s="19">
        <v>0.5</v>
      </c>
      <c r="M107" s="19">
        <v>0.5</v>
      </c>
      <c r="N107" s="19">
        <v>0.5</v>
      </c>
    </row>
    <row r="108" spans="1:14" ht="15" x14ac:dyDescent="0.25">
      <c r="A108" s="200"/>
      <c r="B108" s="17" t="s">
        <v>57</v>
      </c>
      <c r="C108" s="19">
        <v>0.3</v>
      </c>
      <c r="D108" s="19">
        <v>0.3</v>
      </c>
      <c r="E108" s="19">
        <v>0.3</v>
      </c>
      <c r="F108" s="19">
        <v>0.3</v>
      </c>
      <c r="G108" s="19">
        <v>0.3</v>
      </c>
      <c r="H108" s="19">
        <v>0.3</v>
      </c>
      <c r="I108" s="19">
        <v>0.3</v>
      </c>
      <c r="J108" s="19">
        <v>0.3</v>
      </c>
      <c r="K108" s="19">
        <v>0.3</v>
      </c>
      <c r="L108" s="19">
        <v>0.3</v>
      </c>
      <c r="M108" s="19">
        <v>0.3</v>
      </c>
      <c r="N108" s="19">
        <v>0.3</v>
      </c>
    </row>
    <row r="109" spans="1:14" ht="15" x14ac:dyDescent="0.25">
      <c r="A109" s="200"/>
      <c r="B109" s="17" t="s">
        <v>58</v>
      </c>
      <c r="C109" s="19">
        <v>0.2</v>
      </c>
      <c r="D109" s="19">
        <v>0.2</v>
      </c>
      <c r="E109" s="19">
        <v>0.2</v>
      </c>
      <c r="F109" s="19">
        <v>0.2</v>
      </c>
      <c r="G109" s="19">
        <v>0.2</v>
      </c>
      <c r="H109" s="19">
        <v>0.2</v>
      </c>
      <c r="I109" s="19">
        <v>0.2</v>
      </c>
      <c r="J109" s="19">
        <v>0.2</v>
      </c>
      <c r="K109" s="19">
        <v>0.2</v>
      </c>
      <c r="L109" s="19">
        <v>0.2</v>
      </c>
      <c r="M109" s="19">
        <v>0.2</v>
      </c>
      <c r="N109" s="19">
        <v>0.2</v>
      </c>
    </row>
    <row r="110" spans="1:14" ht="15" x14ac:dyDescent="0.25">
      <c r="A110" s="200" t="s">
        <v>207</v>
      </c>
      <c r="B110" s="17" t="s">
        <v>55</v>
      </c>
      <c r="C110" s="19">
        <v>0.5</v>
      </c>
      <c r="D110" s="19">
        <v>0.5</v>
      </c>
      <c r="E110" s="19">
        <v>0.5</v>
      </c>
      <c r="F110" s="19">
        <v>0.5</v>
      </c>
      <c r="G110" s="19">
        <v>0.5</v>
      </c>
      <c r="H110" s="19">
        <v>0.5</v>
      </c>
      <c r="I110" s="19">
        <v>0.5</v>
      </c>
      <c r="J110" s="19">
        <v>0.5</v>
      </c>
      <c r="K110" s="19">
        <v>0.5</v>
      </c>
      <c r="L110" s="19">
        <v>0.5</v>
      </c>
      <c r="M110" s="19">
        <v>0.5</v>
      </c>
      <c r="N110" s="19">
        <v>0.5</v>
      </c>
    </row>
    <row r="111" spans="1:14" ht="15" x14ac:dyDescent="0.25">
      <c r="A111" s="200"/>
      <c r="B111" s="17" t="s">
        <v>57</v>
      </c>
      <c r="C111" s="19">
        <v>0.3</v>
      </c>
      <c r="D111" s="19">
        <v>0.3</v>
      </c>
      <c r="E111" s="19">
        <v>0.3</v>
      </c>
      <c r="F111" s="19">
        <v>0.3</v>
      </c>
      <c r="G111" s="19">
        <v>0.3</v>
      </c>
      <c r="H111" s="19">
        <v>0.3</v>
      </c>
      <c r="I111" s="19">
        <v>0.3</v>
      </c>
      <c r="J111" s="19">
        <v>0.3</v>
      </c>
      <c r="K111" s="19">
        <v>0.3</v>
      </c>
      <c r="L111" s="19">
        <v>0.3</v>
      </c>
      <c r="M111" s="19">
        <v>0.3</v>
      </c>
      <c r="N111" s="19">
        <v>0.3</v>
      </c>
    </row>
    <row r="112" spans="1:14" ht="15" x14ac:dyDescent="0.25">
      <c r="A112" s="200"/>
      <c r="B112" s="17" t="s">
        <v>58</v>
      </c>
      <c r="C112" s="19">
        <v>0.2</v>
      </c>
      <c r="D112" s="19">
        <v>0.2</v>
      </c>
      <c r="E112" s="19">
        <v>0.2</v>
      </c>
      <c r="F112" s="19">
        <v>0.2</v>
      </c>
      <c r="G112" s="19">
        <v>0.2</v>
      </c>
      <c r="H112" s="19">
        <v>0.2</v>
      </c>
      <c r="I112" s="19">
        <v>0.2</v>
      </c>
      <c r="J112" s="19">
        <v>0.2</v>
      </c>
      <c r="K112" s="19">
        <v>0.2</v>
      </c>
      <c r="L112" s="19">
        <v>0.2</v>
      </c>
      <c r="M112" s="19">
        <v>0.2</v>
      </c>
      <c r="N112" s="19">
        <v>0.2</v>
      </c>
    </row>
    <row r="113" spans="1:14" ht="15" x14ac:dyDescent="0.25">
      <c r="A113" s="200" t="s">
        <v>208</v>
      </c>
      <c r="B113" s="17" t="s">
        <v>55</v>
      </c>
      <c r="C113" s="19">
        <v>0.5</v>
      </c>
      <c r="D113" s="19">
        <v>0.5</v>
      </c>
      <c r="E113" s="19">
        <v>0.5</v>
      </c>
      <c r="F113" s="19">
        <v>0.5</v>
      </c>
      <c r="G113" s="19">
        <v>0.5</v>
      </c>
      <c r="H113" s="19">
        <v>0.5</v>
      </c>
      <c r="I113" s="19">
        <v>0.5</v>
      </c>
      <c r="J113" s="19">
        <v>0.5</v>
      </c>
      <c r="K113" s="19">
        <v>0.5</v>
      </c>
      <c r="L113" s="19">
        <v>0.5</v>
      </c>
      <c r="M113" s="19">
        <v>0.5</v>
      </c>
      <c r="N113" s="19">
        <v>0.5</v>
      </c>
    </row>
    <row r="114" spans="1:14" ht="15" x14ac:dyDescent="0.25">
      <c r="A114" s="200"/>
      <c r="B114" s="17" t="s">
        <v>57</v>
      </c>
      <c r="C114" s="19">
        <v>0.3</v>
      </c>
      <c r="D114" s="19">
        <v>0.3</v>
      </c>
      <c r="E114" s="19">
        <v>0.3</v>
      </c>
      <c r="F114" s="19">
        <v>0.3</v>
      </c>
      <c r="G114" s="19">
        <v>0.3</v>
      </c>
      <c r="H114" s="19">
        <v>0.3</v>
      </c>
      <c r="I114" s="19">
        <v>0.3</v>
      </c>
      <c r="J114" s="19">
        <v>0.3</v>
      </c>
      <c r="K114" s="19">
        <v>0.3</v>
      </c>
      <c r="L114" s="19">
        <v>0.3</v>
      </c>
      <c r="M114" s="19">
        <v>0.3</v>
      </c>
      <c r="N114" s="19">
        <v>0.3</v>
      </c>
    </row>
    <row r="115" spans="1:14" ht="15" x14ac:dyDescent="0.25">
      <c r="A115" s="200"/>
      <c r="B115" s="17" t="s">
        <v>58</v>
      </c>
      <c r="C115" s="19">
        <v>0.2</v>
      </c>
      <c r="D115" s="19">
        <v>0.2</v>
      </c>
      <c r="E115" s="19">
        <v>0.2</v>
      </c>
      <c r="F115" s="19">
        <v>0.2</v>
      </c>
      <c r="G115" s="19">
        <v>0.2</v>
      </c>
      <c r="H115" s="19">
        <v>0.2</v>
      </c>
      <c r="I115" s="19">
        <v>0.2</v>
      </c>
      <c r="J115" s="19">
        <v>0.2</v>
      </c>
      <c r="K115" s="19">
        <v>0.2</v>
      </c>
      <c r="L115" s="19">
        <v>0.2</v>
      </c>
      <c r="M115" s="19">
        <v>0.2</v>
      </c>
      <c r="N115" s="19">
        <v>0.2</v>
      </c>
    </row>
    <row r="116" spans="1:14" ht="15" x14ac:dyDescent="0.25">
      <c r="A116" s="200" t="s">
        <v>209</v>
      </c>
      <c r="B116" s="17" t="s">
        <v>55</v>
      </c>
      <c r="C116" s="19">
        <v>0.5</v>
      </c>
      <c r="D116" s="19">
        <v>0.5</v>
      </c>
      <c r="E116" s="19">
        <v>0.5</v>
      </c>
      <c r="F116" s="19">
        <v>0.5</v>
      </c>
      <c r="G116" s="19">
        <v>0.5</v>
      </c>
      <c r="H116" s="19">
        <v>0.5</v>
      </c>
      <c r="I116" s="19">
        <v>0.5</v>
      </c>
      <c r="J116" s="19">
        <v>0.5</v>
      </c>
      <c r="K116" s="19">
        <v>0.5</v>
      </c>
      <c r="L116" s="19">
        <v>0.5</v>
      </c>
      <c r="M116" s="19">
        <v>0.5</v>
      </c>
      <c r="N116" s="19">
        <v>0.5</v>
      </c>
    </row>
    <row r="117" spans="1:14" ht="15" x14ac:dyDescent="0.25">
      <c r="A117" s="200"/>
      <c r="B117" s="17" t="s">
        <v>57</v>
      </c>
      <c r="C117" s="19">
        <v>0.3</v>
      </c>
      <c r="D117" s="19">
        <v>0.3</v>
      </c>
      <c r="E117" s="19">
        <v>0.3</v>
      </c>
      <c r="F117" s="19">
        <v>0.3</v>
      </c>
      <c r="G117" s="19">
        <v>0.3</v>
      </c>
      <c r="H117" s="19">
        <v>0.3</v>
      </c>
      <c r="I117" s="19">
        <v>0.3</v>
      </c>
      <c r="J117" s="19">
        <v>0.3</v>
      </c>
      <c r="K117" s="19">
        <v>0.3</v>
      </c>
      <c r="L117" s="19">
        <v>0.3</v>
      </c>
      <c r="M117" s="19">
        <v>0.3</v>
      </c>
      <c r="N117" s="19">
        <v>0.3</v>
      </c>
    </row>
    <row r="118" spans="1:14" ht="15" x14ac:dyDescent="0.25">
      <c r="A118" s="200"/>
      <c r="B118" s="17" t="s">
        <v>58</v>
      </c>
      <c r="C118" s="19">
        <v>0.2</v>
      </c>
      <c r="D118" s="19">
        <v>0.2</v>
      </c>
      <c r="E118" s="19">
        <v>0.2</v>
      </c>
      <c r="F118" s="19">
        <v>0.2</v>
      </c>
      <c r="G118" s="19">
        <v>0.2</v>
      </c>
      <c r="H118" s="19">
        <v>0.2</v>
      </c>
      <c r="I118" s="19">
        <v>0.2</v>
      </c>
      <c r="J118" s="19">
        <v>0.2</v>
      </c>
      <c r="K118" s="19">
        <v>0.2</v>
      </c>
      <c r="L118" s="19">
        <v>0.2</v>
      </c>
      <c r="M118" s="19">
        <v>0.2</v>
      </c>
      <c r="N118" s="19">
        <v>0.2</v>
      </c>
    </row>
    <row r="119" spans="1:14" ht="15" x14ac:dyDescent="0.25">
      <c r="A119" s="200" t="s">
        <v>210</v>
      </c>
      <c r="B119" s="17" t="s">
        <v>55</v>
      </c>
      <c r="C119" s="19">
        <v>0.5</v>
      </c>
      <c r="D119" s="19">
        <v>0.5</v>
      </c>
      <c r="E119" s="19">
        <v>0.5</v>
      </c>
      <c r="F119" s="19">
        <v>0.5</v>
      </c>
      <c r="G119" s="19">
        <v>0.5</v>
      </c>
      <c r="H119" s="19">
        <v>0.5</v>
      </c>
      <c r="I119" s="19">
        <v>0.5</v>
      </c>
      <c r="J119" s="19">
        <v>0.5</v>
      </c>
      <c r="K119" s="19">
        <v>0.5</v>
      </c>
      <c r="L119" s="19">
        <v>0.5</v>
      </c>
      <c r="M119" s="19">
        <v>0.5</v>
      </c>
      <c r="N119" s="19">
        <v>0.5</v>
      </c>
    </row>
    <row r="120" spans="1:14" ht="15" x14ac:dyDescent="0.25">
      <c r="A120" s="200"/>
      <c r="B120" s="17" t="s">
        <v>57</v>
      </c>
      <c r="C120" s="19">
        <v>0.3</v>
      </c>
      <c r="D120" s="19">
        <v>0.3</v>
      </c>
      <c r="E120" s="19">
        <v>0.3</v>
      </c>
      <c r="F120" s="19">
        <v>0.3</v>
      </c>
      <c r="G120" s="19">
        <v>0.3</v>
      </c>
      <c r="H120" s="19">
        <v>0.3</v>
      </c>
      <c r="I120" s="19">
        <v>0.3</v>
      </c>
      <c r="J120" s="19">
        <v>0.3</v>
      </c>
      <c r="K120" s="19">
        <v>0.3</v>
      </c>
      <c r="L120" s="19">
        <v>0.3</v>
      </c>
      <c r="M120" s="19">
        <v>0.3</v>
      </c>
      <c r="N120" s="19">
        <v>0.3</v>
      </c>
    </row>
    <row r="121" spans="1:14" ht="15" x14ac:dyDescent="0.25">
      <c r="A121" s="200"/>
      <c r="B121" s="17" t="s">
        <v>58</v>
      </c>
      <c r="C121" s="19">
        <v>0.2</v>
      </c>
      <c r="D121" s="19">
        <v>0.2</v>
      </c>
      <c r="E121" s="19">
        <v>0.2</v>
      </c>
      <c r="F121" s="19">
        <v>0.2</v>
      </c>
      <c r="G121" s="19">
        <v>0.2</v>
      </c>
      <c r="H121" s="19">
        <v>0.2</v>
      </c>
      <c r="I121" s="19">
        <v>0.2</v>
      </c>
      <c r="J121" s="19">
        <v>0.2</v>
      </c>
      <c r="K121" s="19">
        <v>0.2</v>
      </c>
      <c r="L121" s="19">
        <v>0.2</v>
      </c>
      <c r="M121" s="19">
        <v>0.2</v>
      </c>
      <c r="N121" s="19">
        <v>0.2</v>
      </c>
    </row>
    <row r="122" spans="1:14" ht="15" x14ac:dyDescent="0.25">
      <c r="A122" s="200" t="s">
        <v>211</v>
      </c>
      <c r="B122" s="17" t="s">
        <v>55</v>
      </c>
      <c r="C122" s="19">
        <v>0.5</v>
      </c>
      <c r="D122" s="19">
        <v>0.5</v>
      </c>
      <c r="E122" s="19">
        <v>0.5</v>
      </c>
      <c r="F122" s="19">
        <v>0.5</v>
      </c>
      <c r="G122" s="19">
        <v>0.5</v>
      </c>
      <c r="H122" s="19">
        <v>0.5</v>
      </c>
      <c r="I122" s="19">
        <v>0.5</v>
      </c>
      <c r="J122" s="19">
        <v>0.5</v>
      </c>
      <c r="K122" s="19">
        <v>0.5</v>
      </c>
      <c r="L122" s="19">
        <v>0.5</v>
      </c>
      <c r="M122" s="19">
        <v>0.5</v>
      </c>
      <c r="N122" s="19">
        <v>0.5</v>
      </c>
    </row>
    <row r="123" spans="1:14" ht="15" x14ac:dyDescent="0.25">
      <c r="A123" s="200"/>
      <c r="B123" s="17" t="s">
        <v>57</v>
      </c>
      <c r="C123" s="19">
        <v>0.3</v>
      </c>
      <c r="D123" s="19">
        <v>0.3</v>
      </c>
      <c r="E123" s="19">
        <v>0.3</v>
      </c>
      <c r="F123" s="19">
        <v>0.3</v>
      </c>
      <c r="G123" s="19">
        <v>0.3</v>
      </c>
      <c r="H123" s="19">
        <v>0.3</v>
      </c>
      <c r="I123" s="19">
        <v>0.3</v>
      </c>
      <c r="J123" s="19">
        <v>0.3</v>
      </c>
      <c r="K123" s="19">
        <v>0.3</v>
      </c>
      <c r="L123" s="19">
        <v>0.3</v>
      </c>
      <c r="M123" s="19">
        <v>0.3</v>
      </c>
      <c r="N123" s="19">
        <v>0.3</v>
      </c>
    </row>
    <row r="124" spans="1:14" ht="15" x14ac:dyDescent="0.25">
      <c r="A124" s="200"/>
      <c r="B124" s="17" t="s">
        <v>58</v>
      </c>
      <c r="C124" s="19">
        <v>0.2</v>
      </c>
      <c r="D124" s="19">
        <v>0.2</v>
      </c>
      <c r="E124" s="19">
        <v>0.2</v>
      </c>
      <c r="F124" s="19">
        <v>0.2</v>
      </c>
      <c r="G124" s="19">
        <v>0.2</v>
      </c>
      <c r="H124" s="19">
        <v>0.2</v>
      </c>
      <c r="I124" s="19">
        <v>0.2</v>
      </c>
      <c r="J124" s="19">
        <v>0.2</v>
      </c>
      <c r="K124" s="19">
        <v>0.2</v>
      </c>
      <c r="L124" s="19">
        <v>0.2</v>
      </c>
      <c r="M124" s="19">
        <v>0.2</v>
      </c>
      <c r="N124" s="19">
        <v>0.2</v>
      </c>
    </row>
    <row r="125" spans="1:14" ht="15" x14ac:dyDescent="0.25">
      <c r="A125" s="200" t="s">
        <v>212</v>
      </c>
      <c r="B125" s="17" t="s">
        <v>55</v>
      </c>
      <c r="C125" s="19">
        <v>0.5</v>
      </c>
      <c r="D125" s="19">
        <v>0.5</v>
      </c>
      <c r="E125" s="19">
        <v>0.5</v>
      </c>
      <c r="F125" s="19">
        <v>0.5</v>
      </c>
      <c r="G125" s="19">
        <v>0.5</v>
      </c>
      <c r="H125" s="19">
        <v>0.5</v>
      </c>
      <c r="I125" s="19">
        <v>0.5</v>
      </c>
      <c r="J125" s="19">
        <v>0.5</v>
      </c>
      <c r="K125" s="19">
        <v>0.5</v>
      </c>
      <c r="L125" s="19">
        <v>0.5</v>
      </c>
      <c r="M125" s="19">
        <v>0.5</v>
      </c>
      <c r="N125" s="19">
        <v>0.5</v>
      </c>
    </row>
    <row r="126" spans="1:14" ht="15" x14ac:dyDescent="0.25">
      <c r="A126" s="200"/>
      <c r="B126" s="17" t="s">
        <v>57</v>
      </c>
      <c r="C126" s="19">
        <v>0.3</v>
      </c>
      <c r="D126" s="19">
        <v>0.3</v>
      </c>
      <c r="E126" s="19">
        <v>0.3</v>
      </c>
      <c r="F126" s="19">
        <v>0.3</v>
      </c>
      <c r="G126" s="19">
        <v>0.3</v>
      </c>
      <c r="H126" s="19">
        <v>0.3</v>
      </c>
      <c r="I126" s="19">
        <v>0.3</v>
      </c>
      <c r="J126" s="19">
        <v>0.3</v>
      </c>
      <c r="K126" s="19">
        <v>0.3</v>
      </c>
      <c r="L126" s="19">
        <v>0.3</v>
      </c>
      <c r="M126" s="19">
        <v>0.3</v>
      </c>
      <c r="N126" s="19">
        <v>0.3</v>
      </c>
    </row>
    <row r="127" spans="1:14" ht="15" x14ac:dyDescent="0.25">
      <c r="A127" s="200"/>
      <c r="B127" s="17" t="s">
        <v>58</v>
      </c>
      <c r="C127" s="19">
        <v>0.2</v>
      </c>
      <c r="D127" s="19">
        <v>0.2</v>
      </c>
      <c r="E127" s="19">
        <v>0.2</v>
      </c>
      <c r="F127" s="19">
        <v>0.2</v>
      </c>
      <c r="G127" s="19">
        <v>0.2</v>
      </c>
      <c r="H127" s="19">
        <v>0.2</v>
      </c>
      <c r="I127" s="19">
        <v>0.2</v>
      </c>
      <c r="J127" s="19">
        <v>0.2</v>
      </c>
      <c r="K127" s="19">
        <v>0.2</v>
      </c>
      <c r="L127" s="19">
        <v>0.2</v>
      </c>
      <c r="M127" s="19">
        <v>0.2</v>
      </c>
      <c r="N127" s="19">
        <v>0.2</v>
      </c>
    </row>
    <row r="128" spans="1:14" ht="15" x14ac:dyDescent="0.25">
      <c r="A128" s="200" t="s">
        <v>213</v>
      </c>
      <c r="B128" s="17" t="s">
        <v>55</v>
      </c>
      <c r="C128" s="19">
        <v>0.5</v>
      </c>
      <c r="D128" s="19">
        <v>0.5</v>
      </c>
      <c r="E128" s="19">
        <v>0.5</v>
      </c>
      <c r="F128" s="19">
        <v>0.5</v>
      </c>
      <c r="G128" s="19">
        <v>0.5</v>
      </c>
      <c r="H128" s="19">
        <v>0.5</v>
      </c>
      <c r="I128" s="19">
        <v>0.5</v>
      </c>
      <c r="J128" s="19">
        <v>0.5</v>
      </c>
      <c r="K128" s="19">
        <v>0.5</v>
      </c>
      <c r="L128" s="19">
        <v>0.5</v>
      </c>
      <c r="M128" s="19">
        <v>0.5</v>
      </c>
      <c r="N128" s="19">
        <v>0.5</v>
      </c>
    </row>
    <row r="129" spans="1:14" ht="15" x14ac:dyDescent="0.25">
      <c r="A129" s="200"/>
      <c r="B129" s="17" t="s">
        <v>57</v>
      </c>
      <c r="C129" s="19">
        <v>0.3</v>
      </c>
      <c r="D129" s="19">
        <v>0.3</v>
      </c>
      <c r="E129" s="19">
        <v>0.3</v>
      </c>
      <c r="F129" s="19">
        <v>0.3</v>
      </c>
      <c r="G129" s="19">
        <v>0.3</v>
      </c>
      <c r="H129" s="19">
        <v>0.3</v>
      </c>
      <c r="I129" s="19">
        <v>0.3</v>
      </c>
      <c r="J129" s="19">
        <v>0.3</v>
      </c>
      <c r="K129" s="19">
        <v>0.3</v>
      </c>
      <c r="L129" s="19">
        <v>0.3</v>
      </c>
      <c r="M129" s="19">
        <v>0.3</v>
      </c>
      <c r="N129" s="19">
        <v>0.3</v>
      </c>
    </row>
    <row r="130" spans="1:14" ht="15" x14ac:dyDescent="0.25">
      <c r="A130" s="200"/>
      <c r="B130" s="17" t="s">
        <v>58</v>
      </c>
      <c r="C130" s="19">
        <v>0.2</v>
      </c>
      <c r="D130" s="19">
        <v>0.2</v>
      </c>
      <c r="E130" s="19">
        <v>0.2</v>
      </c>
      <c r="F130" s="19">
        <v>0.2</v>
      </c>
      <c r="G130" s="19">
        <v>0.2</v>
      </c>
      <c r="H130" s="19">
        <v>0.2</v>
      </c>
      <c r="I130" s="19">
        <v>0.2</v>
      </c>
      <c r="J130" s="19">
        <v>0.2</v>
      </c>
      <c r="K130" s="19">
        <v>0.2</v>
      </c>
      <c r="L130" s="19">
        <v>0.2</v>
      </c>
      <c r="M130" s="19">
        <v>0.2</v>
      </c>
      <c r="N130" s="19">
        <v>0.2</v>
      </c>
    </row>
    <row r="131" spans="1:14" ht="15" x14ac:dyDescent="0.25">
      <c r="A131" s="200" t="s">
        <v>214</v>
      </c>
      <c r="B131" s="17" t="s">
        <v>55</v>
      </c>
      <c r="C131" s="19">
        <v>0.5</v>
      </c>
      <c r="D131" s="19">
        <v>0.5</v>
      </c>
      <c r="E131" s="19">
        <v>0.5</v>
      </c>
      <c r="F131" s="19">
        <v>0.5</v>
      </c>
      <c r="G131" s="19">
        <v>0.5</v>
      </c>
      <c r="H131" s="19">
        <v>0.5</v>
      </c>
      <c r="I131" s="19">
        <v>0.5</v>
      </c>
      <c r="J131" s="19">
        <v>0.5</v>
      </c>
      <c r="K131" s="19">
        <v>0.5</v>
      </c>
      <c r="L131" s="19">
        <v>0.5</v>
      </c>
      <c r="M131" s="19">
        <v>0.5</v>
      </c>
      <c r="N131" s="19">
        <v>0.5</v>
      </c>
    </row>
    <row r="132" spans="1:14" ht="15" x14ac:dyDescent="0.25">
      <c r="A132" s="200"/>
      <c r="B132" s="17" t="s">
        <v>57</v>
      </c>
      <c r="C132" s="19">
        <v>0.3</v>
      </c>
      <c r="D132" s="19">
        <v>0.3</v>
      </c>
      <c r="E132" s="19">
        <v>0.3</v>
      </c>
      <c r="F132" s="19">
        <v>0.3</v>
      </c>
      <c r="G132" s="19">
        <v>0.3</v>
      </c>
      <c r="H132" s="19">
        <v>0.3</v>
      </c>
      <c r="I132" s="19">
        <v>0.3</v>
      </c>
      <c r="J132" s="19">
        <v>0.3</v>
      </c>
      <c r="K132" s="19">
        <v>0.3</v>
      </c>
      <c r="L132" s="19">
        <v>0.3</v>
      </c>
      <c r="M132" s="19">
        <v>0.3</v>
      </c>
      <c r="N132" s="19">
        <v>0.3</v>
      </c>
    </row>
    <row r="133" spans="1:14" ht="15" x14ac:dyDescent="0.25">
      <c r="A133" s="200"/>
      <c r="B133" s="17" t="s">
        <v>58</v>
      </c>
      <c r="C133" s="19">
        <v>0.2</v>
      </c>
      <c r="D133" s="19">
        <v>0.2</v>
      </c>
      <c r="E133" s="19">
        <v>0.2</v>
      </c>
      <c r="F133" s="19">
        <v>0.2</v>
      </c>
      <c r="G133" s="19">
        <v>0.2</v>
      </c>
      <c r="H133" s="19">
        <v>0.2</v>
      </c>
      <c r="I133" s="19">
        <v>0.2</v>
      </c>
      <c r="J133" s="19">
        <v>0.2</v>
      </c>
      <c r="K133" s="19">
        <v>0.2</v>
      </c>
      <c r="L133" s="19">
        <v>0.2</v>
      </c>
      <c r="M133" s="19">
        <v>0.2</v>
      </c>
      <c r="N133" s="19">
        <v>0.2</v>
      </c>
    </row>
    <row r="134" spans="1:14" ht="15" x14ac:dyDescent="0.25">
      <c r="A134" s="200" t="s">
        <v>215</v>
      </c>
      <c r="B134" s="17" t="s">
        <v>55</v>
      </c>
      <c r="C134" s="19">
        <f t="shared" ref="C134:N134" si="0">1-C135-C136</f>
        <v>0.13700000000000001</v>
      </c>
      <c r="D134" s="19">
        <f t="shared" si="0"/>
        <v>0.13700000000000001</v>
      </c>
      <c r="E134" s="19">
        <f t="shared" si="0"/>
        <v>0.13700000000000001</v>
      </c>
      <c r="F134" s="19">
        <f t="shared" si="0"/>
        <v>0.13700000000000001</v>
      </c>
      <c r="G134" s="19">
        <f t="shared" si="0"/>
        <v>0.13700000000000001</v>
      </c>
      <c r="H134" s="19">
        <f t="shared" si="0"/>
        <v>0.13700000000000001</v>
      </c>
      <c r="I134" s="19">
        <f t="shared" si="0"/>
        <v>0.13700000000000001</v>
      </c>
      <c r="J134" s="19">
        <f t="shared" si="0"/>
        <v>0.13700000000000001</v>
      </c>
      <c r="K134" s="19">
        <f t="shared" si="0"/>
        <v>0.13700000000000001</v>
      </c>
      <c r="L134" s="19">
        <f t="shared" si="0"/>
        <v>0.13700000000000001</v>
      </c>
      <c r="M134" s="19">
        <f t="shared" si="0"/>
        <v>0.13700000000000001</v>
      </c>
      <c r="N134" s="19">
        <f t="shared" si="0"/>
        <v>0.13700000000000001</v>
      </c>
    </row>
    <row r="135" spans="1:14" ht="15" x14ac:dyDescent="0.25">
      <c r="A135" s="200"/>
      <c r="B135" s="17" t="s">
        <v>57</v>
      </c>
      <c r="C135" s="19">
        <v>0.85899999999999999</v>
      </c>
      <c r="D135" s="19">
        <v>0.85899999999999999</v>
      </c>
      <c r="E135" s="19">
        <v>0.85899999999999999</v>
      </c>
      <c r="F135" s="19">
        <v>0.85899999999999999</v>
      </c>
      <c r="G135" s="19">
        <v>0.85899999999999999</v>
      </c>
      <c r="H135" s="19">
        <v>0.85899999999999999</v>
      </c>
      <c r="I135" s="19">
        <v>0.85899999999999999</v>
      </c>
      <c r="J135" s="19">
        <v>0.85899999999999999</v>
      </c>
      <c r="K135" s="19">
        <v>0.85899999999999999</v>
      </c>
      <c r="L135" s="19">
        <v>0.85899999999999999</v>
      </c>
      <c r="M135" s="19">
        <v>0.85899999999999999</v>
      </c>
      <c r="N135" s="19">
        <v>0.85899999999999999</v>
      </c>
    </row>
    <row r="136" spans="1:14" ht="15" x14ac:dyDescent="0.25">
      <c r="A136" s="200"/>
      <c r="B136" s="17" t="s">
        <v>58</v>
      </c>
      <c r="C136" s="19">
        <v>4.0000000000000001E-3</v>
      </c>
      <c r="D136" s="19">
        <v>4.0000000000000001E-3</v>
      </c>
      <c r="E136" s="19">
        <v>4.0000000000000001E-3</v>
      </c>
      <c r="F136" s="19">
        <v>4.0000000000000001E-3</v>
      </c>
      <c r="G136" s="19">
        <v>4.0000000000000001E-3</v>
      </c>
      <c r="H136" s="19">
        <v>4.0000000000000001E-3</v>
      </c>
      <c r="I136" s="19">
        <v>4.0000000000000001E-3</v>
      </c>
      <c r="J136" s="19">
        <v>4.0000000000000001E-3</v>
      </c>
      <c r="K136" s="19">
        <v>4.0000000000000001E-3</v>
      </c>
      <c r="L136" s="19">
        <v>4.0000000000000001E-3</v>
      </c>
      <c r="M136" s="19">
        <v>4.0000000000000001E-3</v>
      </c>
      <c r="N136" s="19">
        <v>4.0000000000000001E-3</v>
      </c>
    </row>
    <row r="137" spans="1:14" ht="15" x14ac:dyDescent="0.25">
      <c r="A137" s="200" t="s">
        <v>216</v>
      </c>
      <c r="B137" s="17" t="s">
        <v>55</v>
      </c>
      <c r="C137" s="19">
        <v>0.51900000000000002</v>
      </c>
      <c r="D137" s="19">
        <v>0.51900000000000002</v>
      </c>
      <c r="E137" s="19">
        <v>0.51900000000000002</v>
      </c>
      <c r="F137" s="19">
        <v>0.51900000000000002</v>
      </c>
      <c r="G137" s="19">
        <v>0.51900000000000002</v>
      </c>
      <c r="H137" s="19">
        <v>0.51900000000000002</v>
      </c>
      <c r="I137" s="19">
        <v>0.51900000000000002</v>
      </c>
      <c r="J137" s="19">
        <v>0.51900000000000002</v>
      </c>
      <c r="K137" s="19">
        <v>0.51900000000000002</v>
      </c>
      <c r="L137" s="19">
        <v>0.51900000000000002</v>
      </c>
      <c r="M137" s="19">
        <v>0.51900000000000002</v>
      </c>
      <c r="N137" s="19">
        <v>0.51900000000000002</v>
      </c>
    </row>
    <row r="138" spans="1:14" ht="15" x14ac:dyDescent="0.25">
      <c r="A138" s="200"/>
      <c r="B138" s="17" t="s">
        <v>57</v>
      </c>
      <c r="C138" s="19">
        <v>0.47</v>
      </c>
      <c r="D138" s="19">
        <v>0.47</v>
      </c>
      <c r="E138" s="19">
        <v>0.47</v>
      </c>
      <c r="F138" s="19">
        <v>0.47</v>
      </c>
      <c r="G138" s="19">
        <v>0.47</v>
      </c>
      <c r="H138" s="19">
        <v>0.47</v>
      </c>
      <c r="I138" s="19">
        <v>0.47</v>
      </c>
      <c r="J138" s="19">
        <v>0.47</v>
      </c>
      <c r="K138" s="19">
        <v>0.47</v>
      </c>
      <c r="L138" s="19">
        <v>0.47</v>
      </c>
      <c r="M138" s="19">
        <v>0.47</v>
      </c>
      <c r="N138" s="19">
        <v>0.47</v>
      </c>
    </row>
    <row r="139" spans="1:14" ht="15" x14ac:dyDescent="0.25">
      <c r="A139" s="200"/>
      <c r="B139" s="17" t="s">
        <v>58</v>
      </c>
      <c r="C139" s="19">
        <v>1.0999999999999999E-2</v>
      </c>
      <c r="D139" s="19">
        <v>1.0999999999999999E-2</v>
      </c>
      <c r="E139" s="19">
        <v>1.0999999999999999E-2</v>
      </c>
      <c r="F139" s="19">
        <v>1.0999999999999999E-2</v>
      </c>
      <c r="G139" s="19">
        <v>1.0999999999999999E-2</v>
      </c>
      <c r="H139" s="19">
        <v>1.0999999999999999E-2</v>
      </c>
      <c r="I139" s="19">
        <v>1.0999999999999999E-2</v>
      </c>
      <c r="J139" s="19">
        <v>1.0999999999999999E-2</v>
      </c>
      <c r="K139" s="19">
        <v>1.0999999999999999E-2</v>
      </c>
      <c r="L139" s="19">
        <v>1.0999999999999999E-2</v>
      </c>
      <c r="M139" s="19">
        <v>1.0999999999999999E-2</v>
      </c>
      <c r="N139" s="19">
        <v>1.0999999999999999E-2</v>
      </c>
    </row>
    <row r="140" spans="1:14" ht="15" x14ac:dyDescent="0.25">
      <c r="A140" s="200" t="s">
        <v>217</v>
      </c>
      <c r="B140" s="17" t="s">
        <v>55</v>
      </c>
      <c r="C140" s="19">
        <v>0.51900000000000002</v>
      </c>
      <c r="D140" s="19">
        <v>0.51900000000000002</v>
      </c>
      <c r="E140" s="19">
        <v>0.51900000000000002</v>
      </c>
      <c r="F140" s="19">
        <v>0.51900000000000002</v>
      </c>
      <c r="G140" s="19">
        <v>0.51900000000000002</v>
      </c>
      <c r="H140" s="19">
        <v>0.51900000000000002</v>
      </c>
      <c r="I140" s="19">
        <v>0.51900000000000002</v>
      </c>
      <c r="J140" s="19">
        <v>0.51900000000000002</v>
      </c>
      <c r="K140" s="19">
        <v>0.51900000000000002</v>
      </c>
      <c r="L140" s="19">
        <v>0.51900000000000002</v>
      </c>
      <c r="M140" s="19">
        <v>0.51900000000000002</v>
      </c>
      <c r="N140" s="19">
        <v>0.51900000000000002</v>
      </c>
    </row>
    <row r="141" spans="1:14" ht="15" x14ac:dyDescent="0.25">
      <c r="A141" s="200"/>
      <c r="B141" s="17" t="s">
        <v>57</v>
      </c>
      <c r="C141" s="19">
        <v>0.47</v>
      </c>
      <c r="D141" s="19">
        <v>0.47</v>
      </c>
      <c r="E141" s="19">
        <v>0.47</v>
      </c>
      <c r="F141" s="19">
        <v>0.47</v>
      </c>
      <c r="G141" s="19">
        <v>0.47</v>
      </c>
      <c r="H141" s="19">
        <v>0.47</v>
      </c>
      <c r="I141" s="19">
        <v>0.47</v>
      </c>
      <c r="J141" s="19">
        <v>0.47</v>
      </c>
      <c r="K141" s="19">
        <v>0.47</v>
      </c>
      <c r="L141" s="19">
        <v>0.47</v>
      </c>
      <c r="M141" s="19">
        <v>0.47</v>
      </c>
      <c r="N141" s="19">
        <v>0.47</v>
      </c>
    </row>
    <row r="142" spans="1:14" ht="15" x14ac:dyDescent="0.25">
      <c r="A142" s="200"/>
      <c r="B142" s="17" t="s">
        <v>58</v>
      </c>
      <c r="C142" s="19">
        <v>1.0999999999999999E-2</v>
      </c>
      <c r="D142" s="19">
        <v>1.0999999999999999E-2</v>
      </c>
      <c r="E142" s="19">
        <v>1.0999999999999999E-2</v>
      </c>
      <c r="F142" s="19">
        <v>1.0999999999999999E-2</v>
      </c>
      <c r="G142" s="19">
        <v>1.0999999999999999E-2</v>
      </c>
      <c r="H142" s="19">
        <v>1.0999999999999999E-2</v>
      </c>
      <c r="I142" s="19">
        <v>1.0999999999999999E-2</v>
      </c>
      <c r="J142" s="19">
        <v>1.0999999999999999E-2</v>
      </c>
      <c r="K142" s="19">
        <v>1.0999999999999999E-2</v>
      </c>
      <c r="L142" s="19">
        <v>1.0999999999999999E-2</v>
      </c>
      <c r="M142" s="19">
        <v>1.0999999999999999E-2</v>
      </c>
      <c r="N142" s="19">
        <v>1.0999999999999999E-2</v>
      </c>
    </row>
    <row r="143" spans="1:14" ht="15" x14ac:dyDescent="0.25">
      <c r="A143" s="200" t="s">
        <v>218</v>
      </c>
      <c r="B143" s="17" t="s">
        <v>55</v>
      </c>
      <c r="C143" s="19">
        <v>0.51900000000000002</v>
      </c>
      <c r="D143" s="19">
        <v>0.51900000000000002</v>
      </c>
      <c r="E143" s="19">
        <v>0.51900000000000002</v>
      </c>
      <c r="F143" s="19">
        <v>0.51900000000000002</v>
      </c>
      <c r="G143" s="19">
        <v>0.51900000000000002</v>
      </c>
      <c r="H143" s="19">
        <v>0.51900000000000002</v>
      </c>
      <c r="I143" s="19">
        <v>0.51900000000000002</v>
      </c>
      <c r="J143" s="19">
        <v>0.51900000000000002</v>
      </c>
      <c r="K143" s="19">
        <v>0.51900000000000002</v>
      </c>
      <c r="L143" s="19">
        <v>0.51900000000000002</v>
      </c>
      <c r="M143" s="19">
        <v>0.51900000000000002</v>
      </c>
      <c r="N143" s="19">
        <v>0.51900000000000002</v>
      </c>
    </row>
    <row r="144" spans="1:14" ht="15" x14ac:dyDescent="0.25">
      <c r="A144" s="200"/>
      <c r="B144" s="17" t="s">
        <v>57</v>
      </c>
      <c r="C144" s="19">
        <v>0.47</v>
      </c>
      <c r="D144" s="19">
        <v>0.47</v>
      </c>
      <c r="E144" s="19">
        <v>0.47</v>
      </c>
      <c r="F144" s="19">
        <v>0.47</v>
      </c>
      <c r="G144" s="19">
        <v>0.47</v>
      </c>
      <c r="H144" s="19">
        <v>0.47</v>
      </c>
      <c r="I144" s="19">
        <v>0.47</v>
      </c>
      <c r="J144" s="19">
        <v>0.47</v>
      </c>
      <c r="K144" s="19">
        <v>0.47</v>
      </c>
      <c r="L144" s="19">
        <v>0.47</v>
      </c>
      <c r="M144" s="19">
        <v>0.47</v>
      </c>
      <c r="N144" s="19">
        <v>0.47</v>
      </c>
    </row>
    <row r="145" spans="1:14" ht="15" x14ac:dyDescent="0.25">
      <c r="A145" s="200"/>
      <c r="B145" s="17" t="s">
        <v>58</v>
      </c>
      <c r="C145" s="19">
        <v>1.0999999999999999E-2</v>
      </c>
      <c r="D145" s="19">
        <v>1.0999999999999999E-2</v>
      </c>
      <c r="E145" s="19">
        <v>1.0999999999999999E-2</v>
      </c>
      <c r="F145" s="19">
        <v>1.0999999999999999E-2</v>
      </c>
      <c r="G145" s="19">
        <v>1.0999999999999999E-2</v>
      </c>
      <c r="H145" s="19">
        <v>1.0999999999999999E-2</v>
      </c>
      <c r="I145" s="19">
        <v>1.0999999999999999E-2</v>
      </c>
      <c r="J145" s="19">
        <v>1.0999999999999999E-2</v>
      </c>
      <c r="K145" s="19">
        <v>1.0999999999999999E-2</v>
      </c>
      <c r="L145" s="19">
        <v>1.0999999999999999E-2</v>
      </c>
      <c r="M145" s="19">
        <v>1.0999999999999999E-2</v>
      </c>
      <c r="N145" s="19">
        <v>1.0999999999999999E-2</v>
      </c>
    </row>
    <row r="146" spans="1:14" ht="15" x14ac:dyDescent="0.25">
      <c r="A146" s="200" t="s">
        <v>219</v>
      </c>
      <c r="B146" s="17" t="s">
        <v>55</v>
      </c>
      <c r="C146" s="19">
        <v>0.51900000000000002</v>
      </c>
      <c r="D146" s="19">
        <v>0.51900000000000002</v>
      </c>
      <c r="E146" s="19">
        <v>0.51900000000000002</v>
      </c>
      <c r="F146" s="19">
        <v>0.51900000000000002</v>
      </c>
      <c r="G146" s="19">
        <v>0.51900000000000002</v>
      </c>
      <c r="H146" s="19">
        <v>0.51900000000000002</v>
      </c>
      <c r="I146" s="19">
        <v>0.51900000000000002</v>
      </c>
      <c r="J146" s="19">
        <v>0.51900000000000002</v>
      </c>
      <c r="K146" s="19">
        <v>0.51900000000000002</v>
      </c>
      <c r="L146" s="19">
        <v>0.51900000000000002</v>
      </c>
      <c r="M146" s="19">
        <v>0.51900000000000002</v>
      </c>
      <c r="N146" s="19">
        <v>0.51900000000000002</v>
      </c>
    </row>
    <row r="147" spans="1:14" ht="15" x14ac:dyDescent="0.25">
      <c r="A147" s="200"/>
      <c r="B147" s="17" t="s">
        <v>57</v>
      </c>
      <c r="C147" s="19">
        <v>0.47</v>
      </c>
      <c r="D147" s="19">
        <v>0.47</v>
      </c>
      <c r="E147" s="19">
        <v>0.47</v>
      </c>
      <c r="F147" s="19">
        <v>0.47</v>
      </c>
      <c r="G147" s="19">
        <v>0.47</v>
      </c>
      <c r="H147" s="19">
        <v>0.47</v>
      </c>
      <c r="I147" s="19">
        <v>0.47</v>
      </c>
      <c r="J147" s="19">
        <v>0.47</v>
      </c>
      <c r="K147" s="19">
        <v>0.47</v>
      </c>
      <c r="L147" s="19">
        <v>0.47</v>
      </c>
      <c r="M147" s="19">
        <v>0.47</v>
      </c>
      <c r="N147" s="19">
        <v>0.47</v>
      </c>
    </row>
    <row r="148" spans="1:14" ht="15" x14ac:dyDescent="0.25">
      <c r="A148" s="200"/>
      <c r="B148" s="17" t="s">
        <v>58</v>
      </c>
      <c r="C148" s="19">
        <v>1.0999999999999999E-2</v>
      </c>
      <c r="D148" s="19">
        <v>1.0999999999999999E-2</v>
      </c>
      <c r="E148" s="19">
        <v>1.0999999999999999E-2</v>
      </c>
      <c r="F148" s="19">
        <v>1.0999999999999999E-2</v>
      </c>
      <c r="G148" s="19">
        <v>1.0999999999999999E-2</v>
      </c>
      <c r="H148" s="19">
        <v>1.0999999999999999E-2</v>
      </c>
      <c r="I148" s="19">
        <v>1.0999999999999999E-2</v>
      </c>
      <c r="J148" s="19">
        <v>1.0999999999999999E-2</v>
      </c>
      <c r="K148" s="19">
        <v>1.0999999999999999E-2</v>
      </c>
      <c r="L148" s="19">
        <v>1.0999999999999999E-2</v>
      </c>
      <c r="M148" s="19">
        <v>1.0999999999999999E-2</v>
      </c>
      <c r="N148" s="19">
        <v>1.0999999999999999E-2</v>
      </c>
    </row>
    <row r="149" spans="1:14" ht="15" x14ac:dyDescent="0.25">
      <c r="A149" s="200" t="s">
        <v>220</v>
      </c>
      <c r="B149" s="17" t="s">
        <v>55</v>
      </c>
      <c r="C149" s="19">
        <v>0.51900000000000002</v>
      </c>
      <c r="D149" s="19">
        <v>0.51900000000000002</v>
      </c>
      <c r="E149" s="19">
        <v>0.51900000000000002</v>
      </c>
      <c r="F149" s="19">
        <v>0.51900000000000002</v>
      </c>
      <c r="G149" s="19">
        <v>0.51900000000000002</v>
      </c>
      <c r="H149" s="19">
        <v>0.51900000000000002</v>
      </c>
      <c r="I149" s="19">
        <v>0.51900000000000002</v>
      </c>
      <c r="J149" s="19">
        <v>0.51900000000000002</v>
      </c>
      <c r="K149" s="19">
        <v>0.51900000000000002</v>
      </c>
      <c r="L149" s="19">
        <v>0.51900000000000002</v>
      </c>
      <c r="M149" s="19">
        <v>0.51900000000000002</v>
      </c>
      <c r="N149" s="19">
        <v>0.51900000000000002</v>
      </c>
    </row>
    <row r="150" spans="1:14" ht="15" x14ac:dyDescent="0.25">
      <c r="A150" s="200"/>
      <c r="B150" s="17" t="s">
        <v>57</v>
      </c>
      <c r="C150" s="19">
        <v>0.47</v>
      </c>
      <c r="D150" s="19">
        <v>0.47</v>
      </c>
      <c r="E150" s="19">
        <v>0.47</v>
      </c>
      <c r="F150" s="19">
        <v>0.47</v>
      </c>
      <c r="G150" s="19">
        <v>0.47</v>
      </c>
      <c r="H150" s="19">
        <v>0.47</v>
      </c>
      <c r="I150" s="19">
        <v>0.47</v>
      </c>
      <c r="J150" s="19">
        <v>0.47</v>
      </c>
      <c r="K150" s="19">
        <v>0.47</v>
      </c>
      <c r="L150" s="19">
        <v>0.47</v>
      </c>
      <c r="M150" s="19">
        <v>0.47</v>
      </c>
      <c r="N150" s="19">
        <v>0.47</v>
      </c>
    </row>
    <row r="151" spans="1:14" ht="15" x14ac:dyDescent="0.25">
      <c r="A151" s="200"/>
      <c r="B151" s="17" t="s">
        <v>58</v>
      </c>
      <c r="C151" s="19">
        <v>1.0999999999999999E-2</v>
      </c>
      <c r="D151" s="19">
        <v>1.0999999999999999E-2</v>
      </c>
      <c r="E151" s="19">
        <v>1.0999999999999999E-2</v>
      </c>
      <c r="F151" s="19">
        <v>1.0999999999999999E-2</v>
      </c>
      <c r="G151" s="19">
        <v>1.0999999999999999E-2</v>
      </c>
      <c r="H151" s="19">
        <v>1.0999999999999999E-2</v>
      </c>
      <c r="I151" s="19">
        <v>1.0999999999999999E-2</v>
      </c>
      <c r="J151" s="19">
        <v>1.0999999999999999E-2</v>
      </c>
      <c r="K151" s="19">
        <v>1.0999999999999999E-2</v>
      </c>
      <c r="L151" s="19">
        <v>1.0999999999999999E-2</v>
      </c>
      <c r="M151" s="19">
        <v>1.0999999999999999E-2</v>
      </c>
      <c r="N151" s="19">
        <v>1.0999999999999999E-2</v>
      </c>
    </row>
    <row r="152" spans="1:14" ht="15" x14ac:dyDescent="0.25">
      <c r="A152" s="200" t="s">
        <v>221</v>
      </c>
      <c r="B152" s="17" t="s">
        <v>55</v>
      </c>
      <c r="C152" s="19">
        <v>0.3</v>
      </c>
      <c r="D152" s="19">
        <v>0.3</v>
      </c>
      <c r="E152" s="19">
        <v>0.3</v>
      </c>
      <c r="F152" s="19">
        <v>0.3</v>
      </c>
      <c r="G152" s="19">
        <v>0.3</v>
      </c>
      <c r="H152" s="19">
        <v>0.3</v>
      </c>
      <c r="I152" s="19">
        <v>0.3</v>
      </c>
      <c r="J152" s="19">
        <v>0.3</v>
      </c>
      <c r="K152" s="19">
        <v>0.3</v>
      </c>
      <c r="L152" s="19">
        <v>0.3</v>
      </c>
      <c r="M152" s="19">
        <v>0.3</v>
      </c>
      <c r="N152" s="19">
        <v>0.3</v>
      </c>
    </row>
    <row r="153" spans="1:14" ht="15" x14ac:dyDescent="0.25">
      <c r="A153" s="200"/>
      <c r="B153" s="17" t="s">
        <v>57</v>
      </c>
      <c r="C153" s="19">
        <v>0.2</v>
      </c>
      <c r="D153" s="19">
        <v>0.2</v>
      </c>
      <c r="E153" s="19">
        <v>0.2</v>
      </c>
      <c r="F153" s="19">
        <v>0.2</v>
      </c>
      <c r="G153" s="19">
        <v>0.2</v>
      </c>
      <c r="H153" s="19">
        <v>0.2</v>
      </c>
      <c r="I153" s="19">
        <v>0.2</v>
      </c>
      <c r="J153" s="19">
        <v>0.2</v>
      </c>
      <c r="K153" s="19">
        <v>0.2</v>
      </c>
      <c r="L153" s="19">
        <v>0.2</v>
      </c>
      <c r="M153" s="19">
        <v>0.2</v>
      </c>
      <c r="N153" s="19">
        <v>0.2</v>
      </c>
    </row>
    <row r="154" spans="1:14" ht="15" x14ac:dyDescent="0.25">
      <c r="A154" s="200"/>
      <c r="B154" s="17" t="s">
        <v>58</v>
      </c>
      <c r="C154" s="19">
        <v>0.5</v>
      </c>
      <c r="D154" s="19">
        <v>0.5</v>
      </c>
      <c r="E154" s="19">
        <v>0.5</v>
      </c>
      <c r="F154" s="19">
        <v>0.5</v>
      </c>
      <c r="G154" s="19">
        <v>0.5</v>
      </c>
      <c r="H154" s="19">
        <v>0.5</v>
      </c>
      <c r="I154" s="19">
        <v>0.5</v>
      </c>
      <c r="J154" s="19">
        <v>0.5</v>
      </c>
      <c r="K154" s="19">
        <v>0.5</v>
      </c>
      <c r="L154" s="19">
        <v>0.5</v>
      </c>
      <c r="M154" s="19">
        <v>0.5</v>
      </c>
      <c r="N154" s="19">
        <v>0.5</v>
      </c>
    </row>
    <row r="155" spans="1:14" ht="15" x14ac:dyDescent="0.25">
      <c r="A155" s="200" t="s">
        <v>222</v>
      </c>
      <c r="B155" s="17" t="s">
        <v>55</v>
      </c>
      <c r="C155" s="19">
        <v>0.3</v>
      </c>
      <c r="D155" s="19">
        <v>0.3</v>
      </c>
      <c r="E155" s="19">
        <v>0.3</v>
      </c>
      <c r="F155" s="19">
        <v>0.3</v>
      </c>
      <c r="G155" s="19">
        <v>0.3</v>
      </c>
      <c r="H155" s="19">
        <v>0.3</v>
      </c>
      <c r="I155" s="19">
        <v>0.3</v>
      </c>
      <c r="J155" s="19">
        <v>0.3</v>
      </c>
      <c r="K155" s="19">
        <v>0.3</v>
      </c>
      <c r="L155" s="19">
        <v>0.3</v>
      </c>
      <c r="M155" s="19">
        <v>0.3</v>
      </c>
      <c r="N155" s="19">
        <v>0.3</v>
      </c>
    </row>
    <row r="156" spans="1:14" ht="15" x14ac:dyDescent="0.25">
      <c r="A156" s="200"/>
      <c r="B156" s="17" t="s">
        <v>57</v>
      </c>
      <c r="C156" s="19">
        <v>0.2</v>
      </c>
      <c r="D156" s="19">
        <v>0.2</v>
      </c>
      <c r="E156" s="19">
        <v>0.2</v>
      </c>
      <c r="F156" s="19">
        <v>0.2</v>
      </c>
      <c r="G156" s="19">
        <v>0.2</v>
      </c>
      <c r="H156" s="19">
        <v>0.2</v>
      </c>
      <c r="I156" s="19">
        <v>0.2</v>
      </c>
      <c r="J156" s="19">
        <v>0.2</v>
      </c>
      <c r="K156" s="19">
        <v>0.2</v>
      </c>
      <c r="L156" s="19">
        <v>0.2</v>
      </c>
      <c r="M156" s="19">
        <v>0.2</v>
      </c>
      <c r="N156" s="19">
        <v>0.2</v>
      </c>
    </row>
    <row r="157" spans="1:14" ht="15" x14ac:dyDescent="0.25">
      <c r="A157" s="200"/>
      <c r="B157" s="17" t="s">
        <v>58</v>
      </c>
      <c r="C157" s="19">
        <v>0.5</v>
      </c>
      <c r="D157" s="19">
        <v>0.5</v>
      </c>
      <c r="E157" s="19">
        <v>0.5</v>
      </c>
      <c r="F157" s="19">
        <v>0.5</v>
      </c>
      <c r="G157" s="19">
        <v>0.5</v>
      </c>
      <c r="H157" s="19">
        <v>0.5</v>
      </c>
      <c r="I157" s="19">
        <v>0.5</v>
      </c>
      <c r="J157" s="19">
        <v>0.5</v>
      </c>
      <c r="K157" s="19">
        <v>0.5</v>
      </c>
      <c r="L157" s="19">
        <v>0.5</v>
      </c>
      <c r="M157" s="19">
        <v>0.5</v>
      </c>
      <c r="N157" s="19">
        <v>0.5</v>
      </c>
    </row>
    <row r="158" spans="1:14" ht="15" x14ac:dyDescent="0.25">
      <c r="A158" s="200" t="s">
        <v>223</v>
      </c>
      <c r="B158" s="17" t="s">
        <v>55</v>
      </c>
      <c r="C158" s="19">
        <v>0.3</v>
      </c>
      <c r="D158" s="19">
        <v>0.3</v>
      </c>
      <c r="E158" s="19">
        <v>0.3</v>
      </c>
      <c r="F158" s="19">
        <v>0.3</v>
      </c>
      <c r="G158" s="19">
        <v>0.3</v>
      </c>
      <c r="H158" s="19">
        <v>0.3</v>
      </c>
      <c r="I158" s="19">
        <v>0.3</v>
      </c>
      <c r="J158" s="19">
        <v>0.3</v>
      </c>
      <c r="K158" s="19">
        <v>0.3</v>
      </c>
      <c r="L158" s="19">
        <v>0.3</v>
      </c>
      <c r="M158" s="19">
        <v>0.3</v>
      </c>
      <c r="N158" s="19">
        <v>0.3</v>
      </c>
    </row>
    <row r="159" spans="1:14" ht="15" x14ac:dyDescent="0.25">
      <c r="A159" s="200"/>
      <c r="B159" s="17" t="s">
        <v>57</v>
      </c>
      <c r="C159" s="19">
        <v>0.2</v>
      </c>
      <c r="D159" s="19">
        <v>0.2</v>
      </c>
      <c r="E159" s="19">
        <v>0.2</v>
      </c>
      <c r="F159" s="19">
        <v>0.2</v>
      </c>
      <c r="G159" s="19">
        <v>0.2</v>
      </c>
      <c r="H159" s="19">
        <v>0.2</v>
      </c>
      <c r="I159" s="19">
        <v>0.2</v>
      </c>
      <c r="J159" s="19">
        <v>0.2</v>
      </c>
      <c r="K159" s="19">
        <v>0.2</v>
      </c>
      <c r="L159" s="19">
        <v>0.2</v>
      </c>
      <c r="M159" s="19">
        <v>0.2</v>
      </c>
      <c r="N159" s="19">
        <v>0.2</v>
      </c>
    </row>
    <row r="160" spans="1:14" ht="15" x14ac:dyDescent="0.25">
      <c r="A160" s="200"/>
      <c r="B160" s="17" t="s">
        <v>58</v>
      </c>
      <c r="C160" s="19">
        <v>0.5</v>
      </c>
      <c r="D160" s="19">
        <v>0.5</v>
      </c>
      <c r="E160" s="19">
        <v>0.5</v>
      </c>
      <c r="F160" s="19">
        <v>0.5</v>
      </c>
      <c r="G160" s="19">
        <v>0.5</v>
      </c>
      <c r="H160" s="19">
        <v>0.5</v>
      </c>
      <c r="I160" s="19">
        <v>0.5</v>
      </c>
      <c r="J160" s="19">
        <v>0.5</v>
      </c>
      <c r="K160" s="19">
        <v>0.5</v>
      </c>
      <c r="L160" s="19">
        <v>0.5</v>
      </c>
      <c r="M160" s="19">
        <v>0.5</v>
      </c>
      <c r="N160" s="19">
        <v>0.5</v>
      </c>
    </row>
    <row r="161" spans="1:14" ht="15" x14ac:dyDescent="0.25">
      <c r="A161" s="200" t="s">
        <v>224</v>
      </c>
      <c r="B161" s="17" t="s">
        <v>55</v>
      </c>
      <c r="C161" s="19">
        <v>0.3</v>
      </c>
      <c r="D161" s="19">
        <v>0.3</v>
      </c>
      <c r="E161" s="19">
        <v>0.3</v>
      </c>
      <c r="F161" s="19">
        <v>0.3</v>
      </c>
      <c r="G161" s="19">
        <v>0.3</v>
      </c>
      <c r="H161" s="19">
        <v>0.3</v>
      </c>
      <c r="I161" s="19">
        <v>0.3</v>
      </c>
      <c r="J161" s="19">
        <v>0.3</v>
      </c>
      <c r="K161" s="19">
        <v>0.3</v>
      </c>
      <c r="L161" s="19">
        <v>0.3</v>
      </c>
      <c r="M161" s="19">
        <v>0.3</v>
      </c>
      <c r="N161" s="19">
        <v>0.3</v>
      </c>
    </row>
    <row r="162" spans="1:14" ht="15" x14ac:dyDescent="0.25">
      <c r="A162" s="200"/>
      <c r="B162" s="17" t="s">
        <v>57</v>
      </c>
      <c r="C162" s="19">
        <v>0.2</v>
      </c>
      <c r="D162" s="19">
        <v>0.2</v>
      </c>
      <c r="E162" s="19">
        <v>0.2</v>
      </c>
      <c r="F162" s="19">
        <v>0.2</v>
      </c>
      <c r="G162" s="19">
        <v>0.2</v>
      </c>
      <c r="H162" s="19">
        <v>0.2</v>
      </c>
      <c r="I162" s="19">
        <v>0.2</v>
      </c>
      <c r="J162" s="19">
        <v>0.2</v>
      </c>
      <c r="K162" s="19">
        <v>0.2</v>
      </c>
      <c r="L162" s="19">
        <v>0.2</v>
      </c>
      <c r="M162" s="19">
        <v>0.2</v>
      </c>
      <c r="N162" s="19">
        <v>0.2</v>
      </c>
    </row>
    <row r="163" spans="1:14" ht="15" x14ac:dyDescent="0.25">
      <c r="A163" s="200"/>
      <c r="B163" s="17" t="s">
        <v>58</v>
      </c>
      <c r="C163" s="19">
        <v>0.5</v>
      </c>
      <c r="D163" s="19">
        <v>0.5</v>
      </c>
      <c r="E163" s="19">
        <v>0.5</v>
      </c>
      <c r="F163" s="19">
        <v>0.5</v>
      </c>
      <c r="G163" s="19">
        <v>0.5</v>
      </c>
      <c r="H163" s="19">
        <v>0.5</v>
      </c>
      <c r="I163" s="19">
        <v>0.5</v>
      </c>
      <c r="J163" s="19">
        <v>0.5</v>
      </c>
      <c r="K163" s="19">
        <v>0.5</v>
      </c>
      <c r="L163" s="19">
        <v>0.5</v>
      </c>
      <c r="M163" s="19">
        <v>0.5</v>
      </c>
      <c r="N163" s="19">
        <v>0.5</v>
      </c>
    </row>
    <row r="164" spans="1:14" ht="15" x14ac:dyDescent="0.25">
      <c r="A164" s="200" t="s">
        <v>225</v>
      </c>
      <c r="B164" s="17" t="s">
        <v>55</v>
      </c>
      <c r="C164" s="19">
        <v>0.3</v>
      </c>
      <c r="D164" s="19">
        <v>0.3</v>
      </c>
      <c r="E164" s="19">
        <v>0.3</v>
      </c>
      <c r="F164" s="19">
        <v>0.3</v>
      </c>
      <c r="G164" s="19">
        <v>0.3</v>
      </c>
      <c r="H164" s="19">
        <v>0.3</v>
      </c>
      <c r="I164" s="19">
        <v>0.3</v>
      </c>
      <c r="J164" s="19">
        <v>0.3</v>
      </c>
      <c r="K164" s="19">
        <v>0.3</v>
      </c>
      <c r="L164" s="19">
        <v>0.3</v>
      </c>
      <c r="M164" s="19">
        <v>0.3</v>
      </c>
      <c r="N164" s="19">
        <v>0.3</v>
      </c>
    </row>
    <row r="165" spans="1:14" ht="15" x14ac:dyDescent="0.25">
      <c r="A165" s="200"/>
      <c r="B165" s="17" t="s">
        <v>57</v>
      </c>
      <c r="C165" s="19">
        <v>0.2</v>
      </c>
      <c r="D165" s="19">
        <v>0.2</v>
      </c>
      <c r="E165" s="19">
        <v>0.2</v>
      </c>
      <c r="F165" s="19">
        <v>0.2</v>
      </c>
      <c r="G165" s="19">
        <v>0.2</v>
      </c>
      <c r="H165" s="19">
        <v>0.2</v>
      </c>
      <c r="I165" s="19">
        <v>0.2</v>
      </c>
      <c r="J165" s="19">
        <v>0.2</v>
      </c>
      <c r="K165" s="19">
        <v>0.2</v>
      </c>
      <c r="L165" s="19">
        <v>0.2</v>
      </c>
      <c r="M165" s="19">
        <v>0.2</v>
      </c>
      <c r="N165" s="19">
        <v>0.2</v>
      </c>
    </row>
    <row r="166" spans="1:14" ht="15" x14ac:dyDescent="0.25">
      <c r="A166" s="200"/>
      <c r="B166" s="17" t="s">
        <v>58</v>
      </c>
      <c r="C166" s="19">
        <v>0.5</v>
      </c>
      <c r="D166" s="19">
        <v>0.5</v>
      </c>
      <c r="E166" s="19">
        <v>0.5</v>
      </c>
      <c r="F166" s="19">
        <v>0.5</v>
      </c>
      <c r="G166" s="19">
        <v>0.5</v>
      </c>
      <c r="H166" s="19">
        <v>0.5</v>
      </c>
      <c r="I166" s="19">
        <v>0.5</v>
      </c>
      <c r="J166" s="19">
        <v>0.5</v>
      </c>
      <c r="K166" s="19">
        <v>0.5</v>
      </c>
      <c r="L166" s="19">
        <v>0.5</v>
      </c>
      <c r="M166" s="19">
        <v>0.5</v>
      </c>
      <c r="N166" s="19">
        <v>0.5</v>
      </c>
    </row>
    <row r="167" spans="1:14" ht="15" x14ac:dyDescent="0.25">
      <c r="A167" s="200" t="s">
        <v>226</v>
      </c>
      <c r="B167" s="17" t="s">
        <v>55</v>
      </c>
      <c r="C167" s="19">
        <v>0.3</v>
      </c>
      <c r="D167" s="19">
        <v>0.3</v>
      </c>
      <c r="E167" s="19">
        <v>0.3</v>
      </c>
      <c r="F167" s="19">
        <v>0.3</v>
      </c>
      <c r="G167" s="19">
        <v>0.3</v>
      </c>
      <c r="H167" s="19">
        <v>0.3</v>
      </c>
      <c r="I167" s="19">
        <v>0.3</v>
      </c>
      <c r="J167" s="19">
        <v>0.3</v>
      </c>
      <c r="K167" s="19">
        <v>0.3</v>
      </c>
      <c r="L167" s="19">
        <v>0.3</v>
      </c>
      <c r="M167" s="19">
        <v>0.3</v>
      </c>
      <c r="N167" s="19">
        <v>0.3</v>
      </c>
    </row>
    <row r="168" spans="1:14" ht="15" x14ac:dyDescent="0.25">
      <c r="A168" s="200"/>
      <c r="B168" s="17" t="s">
        <v>57</v>
      </c>
      <c r="C168" s="19">
        <v>0.2</v>
      </c>
      <c r="D168" s="19">
        <v>0.2</v>
      </c>
      <c r="E168" s="19">
        <v>0.2</v>
      </c>
      <c r="F168" s="19">
        <v>0.2</v>
      </c>
      <c r="G168" s="19">
        <v>0.2</v>
      </c>
      <c r="H168" s="19">
        <v>0.2</v>
      </c>
      <c r="I168" s="19">
        <v>0.2</v>
      </c>
      <c r="J168" s="19">
        <v>0.2</v>
      </c>
      <c r="K168" s="19">
        <v>0.2</v>
      </c>
      <c r="L168" s="19">
        <v>0.2</v>
      </c>
      <c r="M168" s="19">
        <v>0.2</v>
      </c>
      <c r="N168" s="19">
        <v>0.2</v>
      </c>
    </row>
    <row r="169" spans="1:14" ht="15" x14ac:dyDescent="0.25">
      <c r="A169" s="200"/>
      <c r="B169" s="17" t="s">
        <v>58</v>
      </c>
      <c r="C169" s="19">
        <v>0.5</v>
      </c>
      <c r="D169" s="19">
        <v>0.5</v>
      </c>
      <c r="E169" s="19">
        <v>0.5</v>
      </c>
      <c r="F169" s="19">
        <v>0.5</v>
      </c>
      <c r="G169" s="19">
        <v>0.5</v>
      </c>
      <c r="H169" s="19">
        <v>0.5</v>
      </c>
      <c r="I169" s="19">
        <v>0.5</v>
      </c>
      <c r="J169" s="19">
        <v>0.5</v>
      </c>
      <c r="K169" s="19">
        <v>0.5</v>
      </c>
      <c r="L169" s="19">
        <v>0.5</v>
      </c>
      <c r="M169" s="19">
        <v>0.5</v>
      </c>
      <c r="N169" s="19">
        <v>0.5</v>
      </c>
    </row>
    <row r="170" spans="1:14" ht="15" x14ac:dyDescent="0.25">
      <c r="A170" s="200" t="s">
        <v>227</v>
      </c>
      <c r="B170" s="17" t="s">
        <v>55</v>
      </c>
      <c r="C170" s="19">
        <v>0.3</v>
      </c>
      <c r="D170" s="19">
        <v>0.3</v>
      </c>
      <c r="E170" s="19">
        <v>0.3</v>
      </c>
      <c r="F170" s="19">
        <v>0.3</v>
      </c>
      <c r="G170" s="19">
        <v>0.3</v>
      </c>
      <c r="H170" s="19">
        <v>0.3</v>
      </c>
      <c r="I170" s="19">
        <v>0.3</v>
      </c>
      <c r="J170" s="19">
        <v>0.3</v>
      </c>
      <c r="K170" s="19">
        <v>0.3</v>
      </c>
      <c r="L170" s="19">
        <v>0.3</v>
      </c>
      <c r="M170" s="19">
        <v>0.3</v>
      </c>
      <c r="N170" s="19">
        <v>0.3</v>
      </c>
    </row>
    <row r="171" spans="1:14" ht="15" x14ac:dyDescent="0.25">
      <c r="A171" s="200"/>
      <c r="B171" s="17" t="s">
        <v>57</v>
      </c>
      <c r="C171" s="19">
        <v>0.2</v>
      </c>
      <c r="D171" s="19">
        <v>0.2</v>
      </c>
      <c r="E171" s="19">
        <v>0.2</v>
      </c>
      <c r="F171" s="19">
        <v>0.2</v>
      </c>
      <c r="G171" s="19">
        <v>0.2</v>
      </c>
      <c r="H171" s="19">
        <v>0.2</v>
      </c>
      <c r="I171" s="19">
        <v>0.2</v>
      </c>
      <c r="J171" s="19">
        <v>0.2</v>
      </c>
      <c r="K171" s="19">
        <v>0.2</v>
      </c>
      <c r="L171" s="19">
        <v>0.2</v>
      </c>
      <c r="M171" s="19">
        <v>0.2</v>
      </c>
      <c r="N171" s="19">
        <v>0.2</v>
      </c>
    </row>
    <row r="172" spans="1:14" ht="15" x14ac:dyDescent="0.25">
      <c r="A172" s="200"/>
      <c r="B172" s="17" t="s">
        <v>58</v>
      </c>
      <c r="C172" s="19">
        <v>0.5</v>
      </c>
      <c r="D172" s="19">
        <v>0.5</v>
      </c>
      <c r="E172" s="19">
        <v>0.5</v>
      </c>
      <c r="F172" s="19">
        <v>0.5</v>
      </c>
      <c r="G172" s="19">
        <v>0.5</v>
      </c>
      <c r="H172" s="19">
        <v>0.5</v>
      </c>
      <c r="I172" s="19">
        <v>0.5</v>
      </c>
      <c r="J172" s="19">
        <v>0.5</v>
      </c>
      <c r="K172" s="19">
        <v>0.5</v>
      </c>
      <c r="L172" s="19">
        <v>0.5</v>
      </c>
      <c r="M172" s="19">
        <v>0.5</v>
      </c>
      <c r="N172" s="19">
        <v>0.5</v>
      </c>
    </row>
    <row r="173" spans="1:14" ht="15" x14ac:dyDescent="0.25">
      <c r="A173" s="200" t="s">
        <v>228</v>
      </c>
      <c r="B173" s="17" t="s">
        <v>55</v>
      </c>
      <c r="C173" s="19">
        <v>0.3</v>
      </c>
      <c r="D173" s="19">
        <v>0.3</v>
      </c>
      <c r="E173" s="19">
        <v>0.3</v>
      </c>
      <c r="F173" s="19">
        <v>0.3</v>
      </c>
      <c r="G173" s="19">
        <v>0.3</v>
      </c>
      <c r="H173" s="19">
        <v>0.3</v>
      </c>
      <c r="I173" s="19">
        <v>0.3</v>
      </c>
      <c r="J173" s="19">
        <v>0.3</v>
      </c>
      <c r="K173" s="19">
        <v>0.3</v>
      </c>
      <c r="L173" s="19">
        <v>0.3</v>
      </c>
      <c r="M173" s="19">
        <v>0.3</v>
      </c>
      <c r="N173" s="19">
        <v>0.3</v>
      </c>
    </row>
    <row r="174" spans="1:14" ht="15" x14ac:dyDescent="0.25">
      <c r="A174" s="200"/>
      <c r="B174" s="17" t="s">
        <v>57</v>
      </c>
      <c r="C174" s="19">
        <v>0.2</v>
      </c>
      <c r="D174" s="19">
        <v>0.2</v>
      </c>
      <c r="E174" s="19">
        <v>0.2</v>
      </c>
      <c r="F174" s="19">
        <v>0.2</v>
      </c>
      <c r="G174" s="19">
        <v>0.2</v>
      </c>
      <c r="H174" s="19">
        <v>0.2</v>
      </c>
      <c r="I174" s="19">
        <v>0.2</v>
      </c>
      <c r="J174" s="19">
        <v>0.2</v>
      </c>
      <c r="K174" s="19">
        <v>0.2</v>
      </c>
      <c r="L174" s="19">
        <v>0.2</v>
      </c>
      <c r="M174" s="19">
        <v>0.2</v>
      </c>
      <c r="N174" s="19">
        <v>0.2</v>
      </c>
    </row>
    <row r="175" spans="1:14" ht="15" x14ac:dyDescent="0.25">
      <c r="A175" s="200"/>
      <c r="B175" s="17" t="s">
        <v>58</v>
      </c>
      <c r="C175" s="19">
        <v>0.5</v>
      </c>
      <c r="D175" s="19">
        <v>0.5</v>
      </c>
      <c r="E175" s="19">
        <v>0.5</v>
      </c>
      <c r="F175" s="19">
        <v>0.5</v>
      </c>
      <c r="G175" s="19">
        <v>0.5</v>
      </c>
      <c r="H175" s="19">
        <v>0.5</v>
      </c>
      <c r="I175" s="19">
        <v>0.5</v>
      </c>
      <c r="J175" s="19">
        <v>0.5</v>
      </c>
      <c r="K175" s="19">
        <v>0.5</v>
      </c>
      <c r="L175" s="19">
        <v>0.5</v>
      </c>
      <c r="M175" s="19">
        <v>0.5</v>
      </c>
      <c r="N175" s="19">
        <v>0.5</v>
      </c>
    </row>
    <row r="176" spans="1:14" ht="15" x14ac:dyDescent="0.25">
      <c r="A176" s="200" t="s">
        <v>229</v>
      </c>
      <c r="B176" s="17" t="s">
        <v>55</v>
      </c>
      <c r="C176" s="19">
        <v>0.3</v>
      </c>
      <c r="D176" s="19">
        <v>0.3</v>
      </c>
      <c r="E176" s="19">
        <v>0.3</v>
      </c>
      <c r="F176" s="19">
        <v>0.3</v>
      </c>
      <c r="G176" s="19">
        <v>0.3</v>
      </c>
      <c r="H176" s="19">
        <v>0.3</v>
      </c>
      <c r="I176" s="19">
        <v>0.3</v>
      </c>
      <c r="J176" s="19">
        <v>0.3</v>
      </c>
      <c r="K176" s="19">
        <v>0.3</v>
      </c>
      <c r="L176" s="19">
        <v>0.3</v>
      </c>
      <c r="M176" s="19">
        <v>0.3</v>
      </c>
      <c r="N176" s="19">
        <v>0.3</v>
      </c>
    </row>
    <row r="177" spans="1:14" ht="15" x14ac:dyDescent="0.25">
      <c r="A177" s="200"/>
      <c r="B177" s="17" t="s">
        <v>57</v>
      </c>
      <c r="C177" s="19">
        <v>0.2</v>
      </c>
      <c r="D177" s="19">
        <v>0.2</v>
      </c>
      <c r="E177" s="19">
        <v>0.2</v>
      </c>
      <c r="F177" s="19">
        <v>0.2</v>
      </c>
      <c r="G177" s="19">
        <v>0.2</v>
      </c>
      <c r="H177" s="19">
        <v>0.2</v>
      </c>
      <c r="I177" s="19">
        <v>0.2</v>
      </c>
      <c r="J177" s="19">
        <v>0.2</v>
      </c>
      <c r="K177" s="19">
        <v>0.2</v>
      </c>
      <c r="L177" s="19">
        <v>0.2</v>
      </c>
      <c r="M177" s="19">
        <v>0.2</v>
      </c>
      <c r="N177" s="19">
        <v>0.2</v>
      </c>
    </row>
    <row r="178" spans="1:14" ht="15" x14ac:dyDescent="0.25">
      <c r="A178" s="200"/>
      <c r="B178" s="17" t="s">
        <v>58</v>
      </c>
      <c r="C178" s="19">
        <v>0.5</v>
      </c>
      <c r="D178" s="19">
        <v>0.5</v>
      </c>
      <c r="E178" s="19">
        <v>0.5</v>
      </c>
      <c r="F178" s="19">
        <v>0.5</v>
      </c>
      <c r="G178" s="19">
        <v>0.5</v>
      </c>
      <c r="H178" s="19">
        <v>0.5</v>
      </c>
      <c r="I178" s="19">
        <v>0.5</v>
      </c>
      <c r="J178" s="19">
        <v>0.5</v>
      </c>
      <c r="K178" s="19">
        <v>0.5</v>
      </c>
      <c r="L178" s="19">
        <v>0.5</v>
      </c>
      <c r="M178" s="19">
        <v>0.5</v>
      </c>
      <c r="N178" s="19">
        <v>0.5</v>
      </c>
    </row>
    <row r="179" spans="1:14" ht="15" x14ac:dyDescent="0.25">
      <c r="A179" s="200" t="s">
        <v>230</v>
      </c>
      <c r="B179" s="17" t="s">
        <v>55</v>
      </c>
      <c r="C179" s="19">
        <v>0.3</v>
      </c>
      <c r="D179" s="19">
        <v>0.3</v>
      </c>
      <c r="E179" s="19">
        <v>0.3</v>
      </c>
      <c r="F179" s="19">
        <v>0.3</v>
      </c>
      <c r="G179" s="19">
        <v>0.3</v>
      </c>
      <c r="H179" s="19">
        <v>0.3</v>
      </c>
      <c r="I179" s="19">
        <v>0.3</v>
      </c>
      <c r="J179" s="19">
        <v>0.3</v>
      </c>
      <c r="K179" s="19">
        <v>0.3</v>
      </c>
      <c r="L179" s="19">
        <v>0.3</v>
      </c>
      <c r="M179" s="19">
        <v>0.3</v>
      </c>
      <c r="N179" s="19">
        <v>0.3</v>
      </c>
    </row>
    <row r="180" spans="1:14" ht="15" x14ac:dyDescent="0.25">
      <c r="A180" s="200"/>
      <c r="B180" s="17" t="s">
        <v>57</v>
      </c>
      <c r="C180" s="19">
        <v>0.2</v>
      </c>
      <c r="D180" s="19">
        <v>0.2</v>
      </c>
      <c r="E180" s="19">
        <v>0.2</v>
      </c>
      <c r="F180" s="19">
        <v>0.2</v>
      </c>
      <c r="G180" s="19">
        <v>0.2</v>
      </c>
      <c r="H180" s="19">
        <v>0.2</v>
      </c>
      <c r="I180" s="19">
        <v>0.2</v>
      </c>
      <c r="J180" s="19">
        <v>0.2</v>
      </c>
      <c r="K180" s="19">
        <v>0.2</v>
      </c>
      <c r="L180" s="19">
        <v>0.2</v>
      </c>
      <c r="M180" s="19">
        <v>0.2</v>
      </c>
      <c r="N180" s="19">
        <v>0.2</v>
      </c>
    </row>
    <row r="181" spans="1:14" ht="15" x14ac:dyDescent="0.25">
      <c r="A181" s="200"/>
      <c r="B181" s="17" t="s">
        <v>58</v>
      </c>
      <c r="C181" s="19">
        <v>0.5</v>
      </c>
      <c r="D181" s="19">
        <v>0.5</v>
      </c>
      <c r="E181" s="19">
        <v>0.5</v>
      </c>
      <c r="F181" s="19">
        <v>0.5</v>
      </c>
      <c r="G181" s="19">
        <v>0.5</v>
      </c>
      <c r="H181" s="19">
        <v>0.5</v>
      </c>
      <c r="I181" s="19">
        <v>0.5</v>
      </c>
      <c r="J181" s="19">
        <v>0.5</v>
      </c>
      <c r="K181" s="19">
        <v>0.5</v>
      </c>
      <c r="L181" s="19">
        <v>0.5</v>
      </c>
      <c r="M181" s="19">
        <v>0.5</v>
      </c>
      <c r="N181" s="19">
        <v>0.5</v>
      </c>
    </row>
    <row r="182" spans="1:14" ht="15" x14ac:dyDescent="0.25">
      <c r="A182" s="200" t="s">
        <v>231</v>
      </c>
      <c r="B182" s="17" t="s">
        <v>55</v>
      </c>
      <c r="C182" s="19">
        <v>0.3</v>
      </c>
      <c r="D182" s="19">
        <v>0.3</v>
      </c>
      <c r="E182" s="19">
        <v>0.3</v>
      </c>
      <c r="F182" s="19">
        <v>0.3</v>
      </c>
      <c r="G182" s="19">
        <v>0.3</v>
      </c>
      <c r="H182" s="19">
        <v>0.3</v>
      </c>
      <c r="I182" s="19">
        <v>0.3</v>
      </c>
      <c r="J182" s="19">
        <v>0.3</v>
      </c>
      <c r="K182" s="19">
        <v>0.3</v>
      </c>
      <c r="L182" s="19">
        <v>0.3</v>
      </c>
      <c r="M182" s="19">
        <v>0.3</v>
      </c>
      <c r="N182" s="19">
        <v>0.3</v>
      </c>
    </row>
    <row r="183" spans="1:14" ht="15" x14ac:dyDescent="0.25">
      <c r="A183" s="200"/>
      <c r="B183" s="17" t="s">
        <v>57</v>
      </c>
      <c r="C183" s="19">
        <v>0.2</v>
      </c>
      <c r="D183" s="19">
        <v>0.2</v>
      </c>
      <c r="E183" s="19">
        <v>0.2</v>
      </c>
      <c r="F183" s="19">
        <v>0.2</v>
      </c>
      <c r="G183" s="19">
        <v>0.2</v>
      </c>
      <c r="H183" s="19">
        <v>0.2</v>
      </c>
      <c r="I183" s="19">
        <v>0.2</v>
      </c>
      <c r="J183" s="19">
        <v>0.2</v>
      </c>
      <c r="K183" s="19">
        <v>0.2</v>
      </c>
      <c r="L183" s="19">
        <v>0.2</v>
      </c>
      <c r="M183" s="19">
        <v>0.2</v>
      </c>
      <c r="N183" s="19">
        <v>0.2</v>
      </c>
    </row>
    <row r="184" spans="1:14" ht="15" x14ac:dyDescent="0.25">
      <c r="A184" s="200"/>
      <c r="B184" s="17" t="s">
        <v>58</v>
      </c>
      <c r="C184" s="19">
        <v>0.5</v>
      </c>
      <c r="D184" s="19">
        <v>0.5</v>
      </c>
      <c r="E184" s="19">
        <v>0.5</v>
      </c>
      <c r="F184" s="19">
        <v>0.5</v>
      </c>
      <c r="G184" s="19">
        <v>0.5</v>
      </c>
      <c r="H184" s="19">
        <v>0.5</v>
      </c>
      <c r="I184" s="19">
        <v>0.5</v>
      </c>
      <c r="J184" s="19">
        <v>0.5</v>
      </c>
      <c r="K184" s="19">
        <v>0.5</v>
      </c>
      <c r="L184" s="19">
        <v>0.5</v>
      </c>
      <c r="M184" s="19">
        <v>0.5</v>
      </c>
      <c r="N184" s="19">
        <v>0.5</v>
      </c>
    </row>
    <row r="185" spans="1:14" ht="15" x14ac:dyDescent="0.25">
      <c r="A185" s="200" t="s">
        <v>232</v>
      </c>
      <c r="B185" s="17" t="s">
        <v>55</v>
      </c>
      <c r="C185" s="19">
        <v>0.3</v>
      </c>
      <c r="D185" s="19">
        <v>0.3</v>
      </c>
      <c r="E185" s="19">
        <v>0.3</v>
      </c>
      <c r="F185" s="19">
        <v>0.3</v>
      </c>
      <c r="G185" s="19">
        <v>0.3</v>
      </c>
      <c r="H185" s="19">
        <v>0.3</v>
      </c>
      <c r="I185" s="19">
        <v>0.3</v>
      </c>
      <c r="J185" s="19">
        <v>0.3</v>
      </c>
      <c r="K185" s="19">
        <v>0.3</v>
      </c>
      <c r="L185" s="19">
        <v>0.3</v>
      </c>
      <c r="M185" s="19">
        <v>0.3</v>
      </c>
      <c r="N185" s="19">
        <v>0.3</v>
      </c>
    </row>
    <row r="186" spans="1:14" ht="15" x14ac:dyDescent="0.25">
      <c r="A186" s="200"/>
      <c r="B186" s="17" t="s">
        <v>57</v>
      </c>
      <c r="C186" s="19">
        <v>0.2</v>
      </c>
      <c r="D186" s="19">
        <v>0.2</v>
      </c>
      <c r="E186" s="19">
        <v>0.2</v>
      </c>
      <c r="F186" s="19">
        <v>0.2</v>
      </c>
      <c r="G186" s="19">
        <v>0.2</v>
      </c>
      <c r="H186" s="19">
        <v>0.2</v>
      </c>
      <c r="I186" s="19">
        <v>0.2</v>
      </c>
      <c r="J186" s="19">
        <v>0.2</v>
      </c>
      <c r="K186" s="19">
        <v>0.2</v>
      </c>
      <c r="L186" s="19">
        <v>0.2</v>
      </c>
      <c r="M186" s="19">
        <v>0.2</v>
      </c>
      <c r="N186" s="19">
        <v>0.2</v>
      </c>
    </row>
    <row r="187" spans="1:14" ht="15" x14ac:dyDescent="0.25">
      <c r="A187" s="200"/>
      <c r="B187" s="17" t="s">
        <v>58</v>
      </c>
      <c r="C187" s="19">
        <v>0.5</v>
      </c>
      <c r="D187" s="19">
        <v>0.5</v>
      </c>
      <c r="E187" s="19">
        <v>0.5</v>
      </c>
      <c r="F187" s="19">
        <v>0.5</v>
      </c>
      <c r="G187" s="19">
        <v>0.5</v>
      </c>
      <c r="H187" s="19">
        <v>0.5</v>
      </c>
      <c r="I187" s="19">
        <v>0.5</v>
      </c>
      <c r="J187" s="19">
        <v>0.5</v>
      </c>
      <c r="K187" s="19">
        <v>0.5</v>
      </c>
      <c r="L187" s="19">
        <v>0.5</v>
      </c>
      <c r="M187" s="19">
        <v>0.5</v>
      </c>
      <c r="N187" s="19">
        <v>0.5</v>
      </c>
    </row>
    <row r="188" spans="1:14" ht="15" x14ac:dyDescent="0.25">
      <c r="A188" s="200" t="s">
        <v>233</v>
      </c>
      <c r="B188" s="17" t="s">
        <v>55</v>
      </c>
      <c r="C188" s="19">
        <v>0.3</v>
      </c>
      <c r="D188" s="19">
        <v>0.3</v>
      </c>
      <c r="E188" s="19">
        <v>0.3</v>
      </c>
      <c r="F188" s="19">
        <v>0.3</v>
      </c>
      <c r="G188" s="19">
        <v>0.3</v>
      </c>
      <c r="H188" s="19">
        <v>0.3</v>
      </c>
      <c r="I188" s="19">
        <v>0.3</v>
      </c>
      <c r="J188" s="19">
        <v>0.3</v>
      </c>
      <c r="K188" s="19">
        <v>0.3</v>
      </c>
      <c r="L188" s="19">
        <v>0.3</v>
      </c>
      <c r="M188" s="19">
        <v>0.3</v>
      </c>
      <c r="N188" s="19">
        <v>0.3</v>
      </c>
    </row>
    <row r="189" spans="1:14" ht="15" x14ac:dyDescent="0.25">
      <c r="A189" s="200"/>
      <c r="B189" s="17" t="s">
        <v>57</v>
      </c>
      <c r="C189" s="19">
        <v>0.2</v>
      </c>
      <c r="D189" s="19">
        <v>0.2</v>
      </c>
      <c r="E189" s="19">
        <v>0.2</v>
      </c>
      <c r="F189" s="19">
        <v>0.2</v>
      </c>
      <c r="G189" s="19">
        <v>0.2</v>
      </c>
      <c r="H189" s="19">
        <v>0.2</v>
      </c>
      <c r="I189" s="19">
        <v>0.2</v>
      </c>
      <c r="J189" s="19">
        <v>0.2</v>
      </c>
      <c r="K189" s="19">
        <v>0.2</v>
      </c>
      <c r="L189" s="19">
        <v>0.2</v>
      </c>
      <c r="M189" s="19">
        <v>0.2</v>
      </c>
      <c r="N189" s="19">
        <v>0.2</v>
      </c>
    </row>
    <row r="190" spans="1:14" ht="15" x14ac:dyDescent="0.25">
      <c r="A190" s="200"/>
      <c r="B190" s="17" t="s">
        <v>58</v>
      </c>
      <c r="C190" s="19">
        <v>0.5</v>
      </c>
      <c r="D190" s="19">
        <v>0.5</v>
      </c>
      <c r="E190" s="19">
        <v>0.5</v>
      </c>
      <c r="F190" s="19">
        <v>0.5</v>
      </c>
      <c r="G190" s="19">
        <v>0.5</v>
      </c>
      <c r="H190" s="19">
        <v>0.5</v>
      </c>
      <c r="I190" s="19">
        <v>0.5</v>
      </c>
      <c r="J190" s="19">
        <v>0.5</v>
      </c>
      <c r="K190" s="19">
        <v>0.5</v>
      </c>
      <c r="L190" s="19">
        <v>0.5</v>
      </c>
      <c r="M190" s="19">
        <v>0.5</v>
      </c>
      <c r="N190" s="19">
        <v>0.5</v>
      </c>
    </row>
    <row r="191" spans="1:14" ht="15" x14ac:dyDescent="0.25">
      <c r="A191" s="200" t="s">
        <v>234</v>
      </c>
      <c r="B191" s="17" t="s">
        <v>55</v>
      </c>
      <c r="C191" s="19">
        <v>0.3</v>
      </c>
      <c r="D191" s="19">
        <v>0.3</v>
      </c>
      <c r="E191" s="19">
        <v>0.3</v>
      </c>
      <c r="F191" s="19">
        <v>0.3</v>
      </c>
      <c r="G191" s="19">
        <v>0.3</v>
      </c>
      <c r="H191" s="19">
        <v>0.3</v>
      </c>
      <c r="I191" s="19">
        <v>0.3</v>
      </c>
      <c r="J191" s="19">
        <v>0.3</v>
      </c>
      <c r="K191" s="19">
        <v>0.3</v>
      </c>
      <c r="L191" s="19">
        <v>0.3</v>
      </c>
      <c r="M191" s="19">
        <v>0.3</v>
      </c>
      <c r="N191" s="19">
        <v>0.3</v>
      </c>
    </row>
    <row r="192" spans="1:14" ht="15" x14ac:dyDescent="0.25">
      <c r="A192" s="200"/>
      <c r="B192" s="17" t="s">
        <v>57</v>
      </c>
      <c r="C192" s="19">
        <v>0.2</v>
      </c>
      <c r="D192" s="19">
        <v>0.2</v>
      </c>
      <c r="E192" s="19">
        <v>0.2</v>
      </c>
      <c r="F192" s="19">
        <v>0.2</v>
      </c>
      <c r="G192" s="19">
        <v>0.2</v>
      </c>
      <c r="H192" s="19">
        <v>0.2</v>
      </c>
      <c r="I192" s="19">
        <v>0.2</v>
      </c>
      <c r="J192" s="19">
        <v>0.2</v>
      </c>
      <c r="K192" s="19">
        <v>0.2</v>
      </c>
      <c r="L192" s="19">
        <v>0.2</v>
      </c>
      <c r="M192" s="19">
        <v>0.2</v>
      </c>
      <c r="N192" s="19">
        <v>0.2</v>
      </c>
    </row>
    <row r="193" spans="1:14" ht="15" x14ac:dyDescent="0.25">
      <c r="A193" s="200"/>
      <c r="B193" s="17" t="s">
        <v>58</v>
      </c>
      <c r="C193" s="19">
        <v>0.5</v>
      </c>
      <c r="D193" s="19">
        <v>0.5</v>
      </c>
      <c r="E193" s="19">
        <v>0.5</v>
      </c>
      <c r="F193" s="19">
        <v>0.5</v>
      </c>
      <c r="G193" s="19">
        <v>0.5</v>
      </c>
      <c r="H193" s="19">
        <v>0.5</v>
      </c>
      <c r="I193" s="19">
        <v>0.5</v>
      </c>
      <c r="J193" s="19">
        <v>0.5</v>
      </c>
      <c r="K193" s="19">
        <v>0.5</v>
      </c>
      <c r="L193" s="19">
        <v>0.5</v>
      </c>
      <c r="M193" s="19">
        <v>0.5</v>
      </c>
      <c r="N193" s="19">
        <v>0.5</v>
      </c>
    </row>
    <row r="194" spans="1:14" ht="15" x14ac:dyDescent="0.25">
      <c r="A194" s="200" t="s">
        <v>235</v>
      </c>
      <c r="B194" s="17" t="s">
        <v>55</v>
      </c>
      <c r="C194" s="19">
        <v>0.3</v>
      </c>
      <c r="D194" s="19">
        <v>0.3</v>
      </c>
      <c r="E194" s="19">
        <v>0.3</v>
      </c>
      <c r="F194" s="19">
        <v>0.3</v>
      </c>
      <c r="G194" s="19">
        <v>0.3</v>
      </c>
      <c r="H194" s="19">
        <v>0.3</v>
      </c>
      <c r="I194" s="19">
        <v>0.3</v>
      </c>
      <c r="J194" s="19">
        <v>0.3</v>
      </c>
      <c r="K194" s="19">
        <v>0.3</v>
      </c>
      <c r="L194" s="19">
        <v>0.3</v>
      </c>
      <c r="M194" s="19">
        <v>0.3</v>
      </c>
      <c r="N194" s="19">
        <v>0.3</v>
      </c>
    </row>
    <row r="195" spans="1:14" ht="15" x14ac:dyDescent="0.25">
      <c r="A195" s="200"/>
      <c r="B195" s="17" t="s">
        <v>57</v>
      </c>
      <c r="C195" s="19">
        <v>0.2</v>
      </c>
      <c r="D195" s="19">
        <v>0.2</v>
      </c>
      <c r="E195" s="19">
        <v>0.2</v>
      </c>
      <c r="F195" s="19">
        <v>0.2</v>
      </c>
      <c r="G195" s="19">
        <v>0.2</v>
      </c>
      <c r="H195" s="19">
        <v>0.2</v>
      </c>
      <c r="I195" s="19">
        <v>0.2</v>
      </c>
      <c r="J195" s="19">
        <v>0.2</v>
      </c>
      <c r="K195" s="19">
        <v>0.2</v>
      </c>
      <c r="L195" s="19">
        <v>0.2</v>
      </c>
      <c r="M195" s="19">
        <v>0.2</v>
      </c>
      <c r="N195" s="19">
        <v>0.2</v>
      </c>
    </row>
    <row r="196" spans="1:14" ht="15" x14ac:dyDescent="0.25">
      <c r="A196" s="200"/>
      <c r="B196" s="17" t="s">
        <v>58</v>
      </c>
      <c r="C196" s="19">
        <v>0.5</v>
      </c>
      <c r="D196" s="19">
        <v>0.5</v>
      </c>
      <c r="E196" s="19">
        <v>0.5</v>
      </c>
      <c r="F196" s="19">
        <v>0.5</v>
      </c>
      <c r="G196" s="19">
        <v>0.5</v>
      </c>
      <c r="H196" s="19">
        <v>0.5</v>
      </c>
      <c r="I196" s="19">
        <v>0.5</v>
      </c>
      <c r="J196" s="19">
        <v>0.5</v>
      </c>
      <c r="K196" s="19">
        <v>0.5</v>
      </c>
      <c r="L196" s="19">
        <v>0.5</v>
      </c>
      <c r="M196" s="19">
        <v>0.5</v>
      </c>
      <c r="N196" s="19">
        <v>0.5</v>
      </c>
    </row>
    <row r="197" spans="1:14" ht="15" x14ac:dyDescent="0.25">
      <c r="A197" s="200" t="s">
        <v>236</v>
      </c>
      <c r="B197" s="17" t="s">
        <v>55</v>
      </c>
      <c r="C197" s="19">
        <v>0.3</v>
      </c>
      <c r="D197" s="19">
        <v>0.3</v>
      </c>
      <c r="E197" s="19">
        <v>0.3</v>
      </c>
      <c r="F197" s="19">
        <v>0.3</v>
      </c>
      <c r="G197" s="19">
        <v>0.3</v>
      </c>
      <c r="H197" s="19">
        <v>0.3</v>
      </c>
      <c r="I197" s="19">
        <v>0.3</v>
      </c>
      <c r="J197" s="19">
        <v>0.3</v>
      </c>
      <c r="K197" s="19">
        <v>0.3</v>
      </c>
      <c r="L197" s="19">
        <v>0.3</v>
      </c>
      <c r="M197" s="19">
        <v>0.3</v>
      </c>
      <c r="N197" s="19">
        <v>0.3</v>
      </c>
    </row>
    <row r="198" spans="1:14" ht="15" x14ac:dyDescent="0.25">
      <c r="A198" s="200"/>
      <c r="B198" s="17" t="s">
        <v>57</v>
      </c>
      <c r="C198" s="19">
        <v>0.2</v>
      </c>
      <c r="D198" s="19">
        <v>0.2</v>
      </c>
      <c r="E198" s="19">
        <v>0.2</v>
      </c>
      <c r="F198" s="19">
        <v>0.2</v>
      </c>
      <c r="G198" s="19">
        <v>0.2</v>
      </c>
      <c r="H198" s="19">
        <v>0.2</v>
      </c>
      <c r="I198" s="19">
        <v>0.2</v>
      </c>
      <c r="J198" s="19">
        <v>0.2</v>
      </c>
      <c r="K198" s="19">
        <v>0.2</v>
      </c>
      <c r="L198" s="19">
        <v>0.2</v>
      </c>
      <c r="M198" s="19">
        <v>0.2</v>
      </c>
      <c r="N198" s="19">
        <v>0.2</v>
      </c>
    </row>
    <row r="199" spans="1:14" ht="15" x14ac:dyDescent="0.25">
      <c r="A199" s="200"/>
      <c r="B199" s="17" t="s">
        <v>58</v>
      </c>
      <c r="C199" s="19">
        <v>0.5</v>
      </c>
      <c r="D199" s="19">
        <v>0.5</v>
      </c>
      <c r="E199" s="19">
        <v>0.5</v>
      </c>
      <c r="F199" s="19">
        <v>0.5</v>
      </c>
      <c r="G199" s="19">
        <v>0.5</v>
      </c>
      <c r="H199" s="19">
        <v>0.5</v>
      </c>
      <c r="I199" s="19">
        <v>0.5</v>
      </c>
      <c r="J199" s="19">
        <v>0.5</v>
      </c>
      <c r="K199" s="19">
        <v>0.5</v>
      </c>
      <c r="L199" s="19">
        <v>0.5</v>
      </c>
      <c r="M199" s="19">
        <v>0.5</v>
      </c>
      <c r="N199" s="19">
        <v>0.5</v>
      </c>
    </row>
    <row r="200" spans="1:14" ht="15" x14ac:dyDescent="0.25">
      <c r="A200" s="200" t="s">
        <v>237</v>
      </c>
      <c r="B200" s="17" t="s">
        <v>55</v>
      </c>
      <c r="C200" s="19">
        <v>0.3</v>
      </c>
      <c r="D200" s="19">
        <v>0.3</v>
      </c>
      <c r="E200" s="19">
        <v>0.3</v>
      </c>
      <c r="F200" s="19">
        <v>0.3</v>
      </c>
      <c r="G200" s="19">
        <v>0.3</v>
      </c>
      <c r="H200" s="19">
        <v>0.3</v>
      </c>
      <c r="I200" s="19">
        <v>0.3</v>
      </c>
      <c r="J200" s="19">
        <v>0.3</v>
      </c>
      <c r="K200" s="19">
        <v>0.3</v>
      </c>
      <c r="L200" s="19">
        <v>0.3</v>
      </c>
      <c r="M200" s="19">
        <v>0.3</v>
      </c>
      <c r="N200" s="19">
        <v>0.3</v>
      </c>
    </row>
    <row r="201" spans="1:14" ht="15" x14ac:dyDescent="0.25">
      <c r="A201" s="200"/>
      <c r="B201" s="17" t="s">
        <v>57</v>
      </c>
      <c r="C201" s="19">
        <v>0.2</v>
      </c>
      <c r="D201" s="19">
        <v>0.2</v>
      </c>
      <c r="E201" s="19">
        <v>0.2</v>
      </c>
      <c r="F201" s="19">
        <v>0.2</v>
      </c>
      <c r="G201" s="19">
        <v>0.2</v>
      </c>
      <c r="H201" s="19">
        <v>0.2</v>
      </c>
      <c r="I201" s="19">
        <v>0.2</v>
      </c>
      <c r="J201" s="19">
        <v>0.2</v>
      </c>
      <c r="K201" s="19">
        <v>0.2</v>
      </c>
      <c r="L201" s="19">
        <v>0.2</v>
      </c>
      <c r="M201" s="19">
        <v>0.2</v>
      </c>
      <c r="N201" s="19">
        <v>0.2</v>
      </c>
    </row>
    <row r="202" spans="1:14" ht="15" x14ac:dyDescent="0.25">
      <c r="A202" s="200"/>
      <c r="B202" s="17" t="s">
        <v>58</v>
      </c>
      <c r="C202" s="19">
        <v>0.5</v>
      </c>
      <c r="D202" s="19">
        <v>0.5</v>
      </c>
      <c r="E202" s="19">
        <v>0.5</v>
      </c>
      <c r="F202" s="19">
        <v>0.5</v>
      </c>
      <c r="G202" s="19">
        <v>0.5</v>
      </c>
      <c r="H202" s="19">
        <v>0.5</v>
      </c>
      <c r="I202" s="19">
        <v>0.5</v>
      </c>
      <c r="J202" s="19">
        <v>0.5</v>
      </c>
      <c r="K202" s="19">
        <v>0.5</v>
      </c>
      <c r="L202" s="19">
        <v>0.5</v>
      </c>
      <c r="M202" s="19">
        <v>0.5</v>
      </c>
      <c r="N202" s="19">
        <v>0.5</v>
      </c>
    </row>
    <row r="203" spans="1:14" ht="15" x14ac:dyDescent="0.25">
      <c r="A203" s="200" t="s">
        <v>238</v>
      </c>
      <c r="B203" s="17" t="s">
        <v>55</v>
      </c>
      <c r="C203" s="19">
        <v>0.3</v>
      </c>
      <c r="D203" s="19">
        <v>0.3</v>
      </c>
      <c r="E203" s="19">
        <v>0.3</v>
      </c>
      <c r="F203" s="19">
        <v>0.3</v>
      </c>
      <c r="G203" s="19">
        <v>0.3</v>
      </c>
      <c r="H203" s="19">
        <v>0.3</v>
      </c>
      <c r="I203" s="19">
        <v>0.3</v>
      </c>
      <c r="J203" s="19">
        <v>0.3</v>
      </c>
      <c r="K203" s="19">
        <v>0.3</v>
      </c>
      <c r="L203" s="19">
        <v>0.3</v>
      </c>
      <c r="M203" s="19">
        <v>0.3</v>
      </c>
      <c r="N203" s="19">
        <v>0.3</v>
      </c>
    </row>
    <row r="204" spans="1:14" ht="15" x14ac:dyDescent="0.25">
      <c r="A204" s="200"/>
      <c r="B204" s="17" t="s">
        <v>57</v>
      </c>
      <c r="C204" s="19">
        <v>0.2</v>
      </c>
      <c r="D204" s="19">
        <v>0.2</v>
      </c>
      <c r="E204" s="19">
        <v>0.2</v>
      </c>
      <c r="F204" s="19">
        <v>0.2</v>
      </c>
      <c r="G204" s="19">
        <v>0.2</v>
      </c>
      <c r="H204" s="19">
        <v>0.2</v>
      </c>
      <c r="I204" s="19">
        <v>0.2</v>
      </c>
      <c r="J204" s="19">
        <v>0.2</v>
      </c>
      <c r="K204" s="19">
        <v>0.2</v>
      </c>
      <c r="L204" s="19">
        <v>0.2</v>
      </c>
      <c r="M204" s="19">
        <v>0.2</v>
      </c>
      <c r="N204" s="19">
        <v>0.2</v>
      </c>
    </row>
    <row r="205" spans="1:14" ht="15" x14ac:dyDescent="0.25">
      <c r="A205" s="200"/>
      <c r="B205" s="17" t="s">
        <v>58</v>
      </c>
      <c r="C205" s="19">
        <v>0.5</v>
      </c>
      <c r="D205" s="19">
        <v>0.5</v>
      </c>
      <c r="E205" s="19">
        <v>0.5</v>
      </c>
      <c r="F205" s="19">
        <v>0.5</v>
      </c>
      <c r="G205" s="19">
        <v>0.5</v>
      </c>
      <c r="H205" s="19">
        <v>0.5</v>
      </c>
      <c r="I205" s="19">
        <v>0.5</v>
      </c>
      <c r="J205" s="19">
        <v>0.5</v>
      </c>
      <c r="K205" s="19">
        <v>0.5</v>
      </c>
      <c r="L205" s="19">
        <v>0.5</v>
      </c>
      <c r="M205" s="19">
        <v>0.5</v>
      </c>
      <c r="N205" s="19">
        <v>0.5</v>
      </c>
    </row>
    <row r="206" spans="1:14" ht="15" x14ac:dyDescent="0.25">
      <c r="A206" s="200" t="s">
        <v>239</v>
      </c>
      <c r="B206" s="17" t="s">
        <v>55</v>
      </c>
      <c r="C206" s="19">
        <v>0.3</v>
      </c>
      <c r="D206" s="19">
        <v>0.3</v>
      </c>
      <c r="E206" s="19">
        <v>0.3</v>
      </c>
      <c r="F206" s="19">
        <v>0.3</v>
      </c>
      <c r="G206" s="19">
        <v>0.3</v>
      </c>
      <c r="H206" s="19">
        <v>0.3</v>
      </c>
      <c r="I206" s="19">
        <v>0.3</v>
      </c>
      <c r="J206" s="19">
        <v>0.3</v>
      </c>
      <c r="K206" s="19">
        <v>0.3</v>
      </c>
      <c r="L206" s="19">
        <v>0.3</v>
      </c>
      <c r="M206" s="19">
        <v>0.3</v>
      </c>
      <c r="N206" s="19">
        <v>0.3</v>
      </c>
    </row>
    <row r="207" spans="1:14" ht="15" x14ac:dyDescent="0.25">
      <c r="A207" s="200"/>
      <c r="B207" s="17" t="s">
        <v>57</v>
      </c>
      <c r="C207" s="19">
        <v>0.2</v>
      </c>
      <c r="D207" s="19">
        <v>0.2</v>
      </c>
      <c r="E207" s="19">
        <v>0.2</v>
      </c>
      <c r="F207" s="19">
        <v>0.2</v>
      </c>
      <c r="G207" s="19">
        <v>0.2</v>
      </c>
      <c r="H207" s="19">
        <v>0.2</v>
      </c>
      <c r="I207" s="19">
        <v>0.2</v>
      </c>
      <c r="J207" s="19">
        <v>0.2</v>
      </c>
      <c r="K207" s="19">
        <v>0.2</v>
      </c>
      <c r="L207" s="19">
        <v>0.2</v>
      </c>
      <c r="M207" s="19">
        <v>0.2</v>
      </c>
      <c r="N207" s="19">
        <v>0.2</v>
      </c>
    </row>
    <row r="208" spans="1:14" ht="15" x14ac:dyDescent="0.25">
      <c r="A208" s="200"/>
      <c r="B208" s="17" t="s">
        <v>58</v>
      </c>
      <c r="C208" s="19">
        <v>0.5</v>
      </c>
      <c r="D208" s="19">
        <v>0.5</v>
      </c>
      <c r="E208" s="19">
        <v>0.5</v>
      </c>
      <c r="F208" s="19">
        <v>0.5</v>
      </c>
      <c r="G208" s="19">
        <v>0.5</v>
      </c>
      <c r="H208" s="19">
        <v>0.5</v>
      </c>
      <c r="I208" s="19">
        <v>0.5</v>
      </c>
      <c r="J208" s="19">
        <v>0.5</v>
      </c>
      <c r="K208" s="19">
        <v>0.5</v>
      </c>
      <c r="L208" s="19">
        <v>0.5</v>
      </c>
      <c r="M208" s="19">
        <v>0.5</v>
      </c>
      <c r="N208" s="19">
        <v>0.5</v>
      </c>
    </row>
    <row r="209" spans="1:14" ht="15" x14ac:dyDescent="0.25">
      <c r="A209" s="200" t="s">
        <v>240</v>
      </c>
      <c r="B209" s="17" t="s">
        <v>55</v>
      </c>
      <c r="C209" s="19">
        <v>0.3</v>
      </c>
      <c r="D209" s="19">
        <v>0.3</v>
      </c>
      <c r="E209" s="19">
        <v>0.3</v>
      </c>
      <c r="F209" s="19">
        <v>0.3</v>
      </c>
      <c r="G209" s="19">
        <v>0.3</v>
      </c>
      <c r="H209" s="19">
        <v>0.3</v>
      </c>
      <c r="I209" s="19">
        <v>0.3</v>
      </c>
      <c r="J209" s="19">
        <v>0.3</v>
      </c>
      <c r="K209" s="19">
        <v>0.3</v>
      </c>
      <c r="L209" s="19">
        <v>0.3</v>
      </c>
      <c r="M209" s="19">
        <v>0.3</v>
      </c>
      <c r="N209" s="19">
        <v>0.3</v>
      </c>
    </row>
    <row r="210" spans="1:14" ht="15" x14ac:dyDescent="0.25">
      <c r="A210" s="200"/>
      <c r="B210" s="17" t="s">
        <v>57</v>
      </c>
      <c r="C210" s="19">
        <v>0.2</v>
      </c>
      <c r="D210" s="19">
        <v>0.2</v>
      </c>
      <c r="E210" s="19">
        <v>0.2</v>
      </c>
      <c r="F210" s="19">
        <v>0.2</v>
      </c>
      <c r="G210" s="19">
        <v>0.2</v>
      </c>
      <c r="H210" s="19">
        <v>0.2</v>
      </c>
      <c r="I210" s="19">
        <v>0.2</v>
      </c>
      <c r="J210" s="19">
        <v>0.2</v>
      </c>
      <c r="K210" s="19">
        <v>0.2</v>
      </c>
      <c r="L210" s="19">
        <v>0.2</v>
      </c>
      <c r="M210" s="19">
        <v>0.2</v>
      </c>
      <c r="N210" s="19">
        <v>0.2</v>
      </c>
    </row>
    <row r="211" spans="1:14" ht="15" x14ac:dyDescent="0.25">
      <c r="A211" s="200"/>
      <c r="B211" s="17" t="s">
        <v>58</v>
      </c>
      <c r="C211" s="19">
        <v>0.5</v>
      </c>
      <c r="D211" s="19">
        <v>0.5</v>
      </c>
      <c r="E211" s="19">
        <v>0.5</v>
      </c>
      <c r="F211" s="19">
        <v>0.5</v>
      </c>
      <c r="G211" s="19">
        <v>0.5</v>
      </c>
      <c r="H211" s="19">
        <v>0.5</v>
      </c>
      <c r="I211" s="19">
        <v>0.5</v>
      </c>
      <c r="J211" s="19">
        <v>0.5</v>
      </c>
      <c r="K211" s="19">
        <v>0.5</v>
      </c>
      <c r="L211" s="19">
        <v>0.5</v>
      </c>
      <c r="M211" s="19">
        <v>0.5</v>
      </c>
      <c r="N211" s="19">
        <v>0.5</v>
      </c>
    </row>
    <row r="212" spans="1:14" ht="15" x14ac:dyDescent="0.25">
      <c r="A212" s="200" t="s">
        <v>241</v>
      </c>
      <c r="B212" s="17" t="s">
        <v>55</v>
      </c>
      <c r="C212" s="19">
        <v>0.3</v>
      </c>
      <c r="D212" s="19">
        <v>0.3</v>
      </c>
      <c r="E212" s="19">
        <v>0.3</v>
      </c>
      <c r="F212" s="19">
        <v>0.3</v>
      </c>
      <c r="G212" s="19">
        <v>0.3</v>
      </c>
      <c r="H212" s="19">
        <v>0.3</v>
      </c>
      <c r="I212" s="19">
        <v>0.3</v>
      </c>
      <c r="J212" s="19">
        <v>0.3</v>
      </c>
      <c r="K212" s="19">
        <v>0.3</v>
      </c>
      <c r="L212" s="19">
        <v>0.3</v>
      </c>
      <c r="M212" s="19">
        <v>0.3</v>
      </c>
      <c r="N212" s="19">
        <v>0.3</v>
      </c>
    </row>
    <row r="213" spans="1:14" ht="15" x14ac:dyDescent="0.25">
      <c r="A213" s="200"/>
      <c r="B213" s="17" t="s">
        <v>57</v>
      </c>
      <c r="C213" s="19">
        <v>0.2</v>
      </c>
      <c r="D213" s="19">
        <v>0.2</v>
      </c>
      <c r="E213" s="19">
        <v>0.2</v>
      </c>
      <c r="F213" s="19">
        <v>0.2</v>
      </c>
      <c r="G213" s="19">
        <v>0.2</v>
      </c>
      <c r="H213" s="19">
        <v>0.2</v>
      </c>
      <c r="I213" s="19">
        <v>0.2</v>
      </c>
      <c r="J213" s="19">
        <v>0.2</v>
      </c>
      <c r="K213" s="19">
        <v>0.2</v>
      </c>
      <c r="L213" s="19">
        <v>0.2</v>
      </c>
      <c r="M213" s="19">
        <v>0.2</v>
      </c>
      <c r="N213" s="19">
        <v>0.2</v>
      </c>
    </row>
    <row r="214" spans="1:14" ht="15" x14ac:dyDescent="0.25">
      <c r="A214" s="200"/>
      <c r="B214" s="17" t="s">
        <v>58</v>
      </c>
      <c r="C214" s="19">
        <v>0.5</v>
      </c>
      <c r="D214" s="19">
        <v>0.5</v>
      </c>
      <c r="E214" s="19">
        <v>0.5</v>
      </c>
      <c r="F214" s="19">
        <v>0.5</v>
      </c>
      <c r="G214" s="19">
        <v>0.5</v>
      </c>
      <c r="H214" s="19">
        <v>0.5</v>
      </c>
      <c r="I214" s="19">
        <v>0.5</v>
      </c>
      <c r="J214" s="19">
        <v>0.5</v>
      </c>
      <c r="K214" s="19">
        <v>0.5</v>
      </c>
      <c r="L214" s="19">
        <v>0.5</v>
      </c>
      <c r="M214" s="19">
        <v>0.5</v>
      </c>
      <c r="N214" s="19">
        <v>0.5</v>
      </c>
    </row>
    <row r="215" spans="1:14" ht="15" x14ac:dyDescent="0.25">
      <c r="A215" s="200" t="s">
        <v>242</v>
      </c>
      <c r="B215" s="17" t="s">
        <v>55</v>
      </c>
      <c r="C215" s="19">
        <v>0.3</v>
      </c>
      <c r="D215" s="19">
        <v>0.3</v>
      </c>
      <c r="E215" s="19">
        <v>0.3</v>
      </c>
      <c r="F215" s="19">
        <v>0.3</v>
      </c>
      <c r="G215" s="19">
        <v>0.3</v>
      </c>
      <c r="H215" s="19">
        <v>0.3</v>
      </c>
      <c r="I215" s="19">
        <v>0.3</v>
      </c>
      <c r="J215" s="19">
        <v>0.3</v>
      </c>
      <c r="K215" s="19">
        <v>0.3</v>
      </c>
      <c r="L215" s="19">
        <v>0.3</v>
      </c>
      <c r="M215" s="19">
        <v>0.3</v>
      </c>
      <c r="N215" s="19">
        <v>0.3</v>
      </c>
    </row>
    <row r="216" spans="1:14" ht="15" x14ac:dyDescent="0.25">
      <c r="A216" s="200"/>
      <c r="B216" s="17" t="s">
        <v>57</v>
      </c>
      <c r="C216" s="19">
        <v>0.2</v>
      </c>
      <c r="D216" s="19">
        <v>0.2</v>
      </c>
      <c r="E216" s="19">
        <v>0.2</v>
      </c>
      <c r="F216" s="19">
        <v>0.2</v>
      </c>
      <c r="G216" s="19">
        <v>0.2</v>
      </c>
      <c r="H216" s="19">
        <v>0.2</v>
      </c>
      <c r="I216" s="19">
        <v>0.2</v>
      </c>
      <c r="J216" s="19">
        <v>0.2</v>
      </c>
      <c r="K216" s="19">
        <v>0.2</v>
      </c>
      <c r="L216" s="19">
        <v>0.2</v>
      </c>
      <c r="M216" s="19">
        <v>0.2</v>
      </c>
      <c r="N216" s="19">
        <v>0.2</v>
      </c>
    </row>
    <row r="217" spans="1:14" ht="15" x14ac:dyDescent="0.25">
      <c r="A217" s="200"/>
      <c r="B217" s="17" t="s">
        <v>58</v>
      </c>
      <c r="C217" s="19">
        <v>0.5</v>
      </c>
      <c r="D217" s="19">
        <v>0.5</v>
      </c>
      <c r="E217" s="19">
        <v>0.5</v>
      </c>
      <c r="F217" s="19">
        <v>0.5</v>
      </c>
      <c r="G217" s="19">
        <v>0.5</v>
      </c>
      <c r="H217" s="19">
        <v>0.5</v>
      </c>
      <c r="I217" s="19">
        <v>0.5</v>
      </c>
      <c r="J217" s="19">
        <v>0.5</v>
      </c>
      <c r="K217" s="19">
        <v>0.5</v>
      </c>
      <c r="L217" s="19">
        <v>0.5</v>
      </c>
      <c r="M217" s="19">
        <v>0.5</v>
      </c>
      <c r="N217" s="19">
        <v>0.5</v>
      </c>
    </row>
  </sheetData>
  <mergeCells count="78">
    <mergeCell ref="A2:A5"/>
    <mergeCell ref="B2:B5"/>
    <mergeCell ref="A6:A9"/>
    <mergeCell ref="B6:B9"/>
    <mergeCell ref="A10:A13"/>
    <mergeCell ref="B10:B13"/>
    <mergeCell ref="A14:A17"/>
    <mergeCell ref="B14:B17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60:A61"/>
    <mergeCell ref="A63:AD63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206:A208"/>
    <mergeCell ref="A209:A211"/>
    <mergeCell ref="A212:A214"/>
    <mergeCell ref="A215:A217"/>
    <mergeCell ref="A191:A193"/>
    <mergeCell ref="A194:A196"/>
    <mergeCell ref="A197:A199"/>
    <mergeCell ref="A200:A202"/>
    <mergeCell ref="A203:A20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DC3E6"/>
  </sheetPr>
  <dimension ref="A1:AD227"/>
  <sheetViews>
    <sheetView tabSelected="1" topLeftCell="A165" zoomScale="70" zoomScaleNormal="70" workbookViewId="0">
      <selection activeCell="Z202" sqref="Z202"/>
    </sheetView>
  </sheetViews>
  <sheetFormatPr baseColWidth="10" defaultColWidth="11.42578125" defaultRowHeight="14.25" customHeight="1" x14ac:dyDescent="0.25"/>
  <cols>
    <col min="1" max="1" width="36.28515625" customWidth="1"/>
    <col min="2" max="2" width="19.28515625" customWidth="1"/>
    <col min="3" max="3" width="7.140625" customWidth="1"/>
    <col min="4" max="16" width="9.140625" customWidth="1"/>
    <col min="19" max="19" width="16.140625" customWidth="1"/>
    <col min="20" max="20" width="18" customWidth="1"/>
  </cols>
  <sheetData>
    <row r="1" spans="1:16" ht="15" x14ac:dyDescent="0.25">
      <c r="A1" s="120" t="s">
        <v>180</v>
      </c>
      <c r="B1" s="121"/>
      <c r="C1" s="121"/>
      <c r="D1" s="122">
        <v>1990</v>
      </c>
      <c r="E1" s="122">
        <v>2000</v>
      </c>
      <c r="F1" s="122">
        <v>2005</v>
      </c>
      <c r="G1" s="122">
        <v>2010</v>
      </c>
      <c r="H1" s="122">
        <v>2020</v>
      </c>
      <c r="I1" s="122">
        <v>2030</v>
      </c>
      <c r="J1" s="122">
        <v>2040</v>
      </c>
      <c r="K1" s="122">
        <v>2050</v>
      </c>
      <c r="L1" s="122">
        <v>2060</v>
      </c>
      <c r="M1" s="122">
        <v>2070</v>
      </c>
      <c r="N1" s="122">
        <v>2080</v>
      </c>
      <c r="O1" s="122">
        <v>2090</v>
      </c>
      <c r="P1" s="122">
        <v>2100</v>
      </c>
    </row>
    <row r="2" spans="1:16" ht="13.5" customHeight="1" x14ac:dyDescent="0.25">
      <c r="A2" s="214" t="s">
        <v>181</v>
      </c>
      <c r="B2" s="207" t="s">
        <v>135</v>
      </c>
      <c r="C2" s="123" t="s">
        <v>182</v>
      </c>
      <c r="D2" s="127">
        <v>6.5601760500966805E-2</v>
      </c>
      <c r="E2" s="127">
        <v>7.9334920350669094E-2</v>
      </c>
      <c r="F2" s="127">
        <v>6.9056687904733599E-2</v>
      </c>
      <c r="G2" s="127">
        <v>6.6548257593916194E-2</v>
      </c>
      <c r="H2" s="127">
        <v>6.0390156247123697E-2</v>
      </c>
      <c r="I2" s="179">
        <v>3.8742578909999999E-2</v>
      </c>
      <c r="J2" s="179">
        <v>3.7188274095000001E-2</v>
      </c>
      <c r="K2" s="179">
        <v>3.1423418459999998E-2</v>
      </c>
      <c r="L2" s="179">
        <v>2.7633358305000001E-2</v>
      </c>
      <c r="M2" s="179">
        <v>2.6777104515E-2</v>
      </c>
      <c r="N2" s="179">
        <v>2.5742561354999999E-2</v>
      </c>
      <c r="O2" s="179">
        <v>2.4640786170000002E-2</v>
      </c>
      <c r="P2" s="180">
        <v>2.3580512235E-2</v>
      </c>
    </row>
    <row r="3" spans="1:16" ht="15" x14ac:dyDescent="0.25">
      <c r="A3" s="214"/>
      <c r="B3" s="207"/>
      <c r="C3" s="19" t="s">
        <v>183</v>
      </c>
      <c r="D3" s="127">
        <v>6.5601760500966805E-2</v>
      </c>
      <c r="E3" s="127">
        <v>7.9334920350669094E-2</v>
      </c>
      <c r="F3" s="127">
        <v>6.9056687904733599E-2</v>
      </c>
      <c r="G3" s="127">
        <v>6.6548257593916194E-2</v>
      </c>
      <c r="H3" s="127">
        <v>6.0390156247123697E-2</v>
      </c>
      <c r="I3" s="181">
        <v>1.1751914496</v>
      </c>
      <c r="J3" s="181">
        <v>1.18267451232</v>
      </c>
      <c r="K3" s="181">
        <v>1.1733321936000001</v>
      </c>
      <c r="L3" s="181">
        <v>1.12471884672</v>
      </c>
      <c r="M3" s="181">
        <v>1.0650739142400001</v>
      </c>
      <c r="N3" s="181">
        <v>0.99439385471999997</v>
      </c>
      <c r="O3" s="181">
        <v>0.96829698336000003</v>
      </c>
      <c r="P3" s="182">
        <v>0.94220365344000001</v>
      </c>
    </row>
    <row r="4" spans="1:16" ht="15" x14ac:dyDescent="0.25">
      <c r="A4" s="214"/>
      <c r="B4" s="207"/>
      <c r="C4" s="19" t="s">
        <v>184</v>
      </c>
      <c r="D4" s="127">
        <v>6.5601760500966805E-2</v>
      </c>
      <c r="E4" s="127">
        <v>7.9334920350669094E-2</v>
      </c>
      <c r="F4" s="127">
        <v>6.9056687904733599E-2</v>
      </c>
      <c r="G4" s="127">
        <v>6.6548257593916194E-2</v>
      </c>
      <c r="H4" s="127">
        <v>6.0390156247123697E-2</v>
      </c>
      <c r="I4" s="181">
        <v>1.4628558208</v>
      </c>
      <c r="J4" s="181">
        <v>1.5453202911999999</v>
      </c>
      <c r="K4" s="181">
        <v>1.5972913529599999</v>
      </c>
      <c r="L4" s="181">
        <v>1.63726840064</v>
      </c>
      <c r="M4" s="181">
        <v>1.6192863772799999</v>
      </c>
      <c r="N4" s="181">
        <v>1.5292143008000001</v>
      </c>
      <c r="O4" s="181">
        <v>1.2146886022400001</v>
      </c>
      <c r="P4" s="182">
        <v>1.1065580214399999</v>
      </c>
    </row>
    <row r="5" spans="1:16" ht="15" x14ac:dyDescent="0.25">
      <c r="A5" s="214"/>
      <c r="B5" s="207"/>
      <c r="C5" s="131" t="s">
        <v>185</v>
      </c>
      <c r="D5" s="127">
        <v>6.5601760500966805E-2</v>
      </c>
      <c r="E5" s="127">
        <v>7.9334920350669094E-2</v>
      </c>
      <c r="F5" s="127">
        <v>6.9056687904733599E-2</v>
      </c>
      <c r="G5" s="127">
        <v>6.6548257593916194E-2</v>
      </c>
      <c r="H5" s="127">
        <v>6.0390156247123697E-2</v>
      </c>
      <c r="I5" s="183">
        <v>2.03362256084</v>
      </c>
      <c r="J5" s="183">
        <v>2.3886526108699999</v>
      </c>
      <c r="K5" s="183">
        <v>2.7585188859400001</v>
      </c>
      <c r="L5" s="183">
        <v>3.0371464529000001</v>
      </c>
      <c r="M5" s="183">
        <v>3.1795171508800002</v>
      </c>
      <c r="N5" s="183">
        <v>3.3477126625559999</v>
      </c>
      <c r="O5" s="183">
        <v>3.5489065472879999</v>
      </c>
      <c r="P5" s="184">
        <v>3.6176096817040002</v>
      </c>
    </row>
    <row r="6" spans="1:16" ht="13.5" customHeight="1" x14ac:dyDescent="0.25">
      <c r="A6" s="206" t="s">
        <v>186</v>
      </c>
      <c r="B6" s="207" t="s">
        <v>187</v>
      </c>
      <c r="C6" s="123" t="s">
        <v>182</v>
      </c>
      <c r="D6" s="127">
        <v>5.0461442797519003E-3</v>
      </c>
      <c r="E6" s="127">
        <v>6.3648677170897302E-3</v>
      </c>
      <c r="F6" s="127">
        <v>5.7619688980048399E-3</v>
      </c>
      <c r="G6" s="127">
        <v>5.4789476854999099E-3</v>
      </c>
      <c r="H6" s="127">
        <v>5.86719756252479E-3</v>
      </c>
      <c r="I6" s="185">
        <v>1.43633021709267E-2</v>
      </c>
      <c r="J6" s="185">
        <v>1.4112016422854499E-2</v>
      </c>
      <c r="K6" s="185">
        <v>1.22822462719394E-2</v>
      </c>
      <c r="L6" s="185">
        <v>1.1243094682167399E-2</v>
      </c>
      <c r="M6" s="185">
        <v>1.1288314355200901E-2</v>
      </c>
      <c r="N6" s="185">
        <v>1.10372288049064E-2</v>
      </c>
      <c r="O6" s="185">
        <v>1.0736982187830301E-2</v>
      </c>
      <c r="P6" s="186">
        <v>1.03862106566122E-2</v>
      </c>
    </row>
    <row r="7" spans="1:16" ht="15" x14ac:dyDescent="0.25">
      <c r="A7" s="206"/>
      <c r="B7" s="207"/>
      <c r="C7" s="19" t="s">
        <v>183</v>
      </c>
      <c r="D7" s="127">
        <v>5.0461442797519003E-3</v>
      </c>
      <c r="E7" s="127">
        <v>6.3648677170897302E-3</v>
      </c>
      <c r="F7" s="127">
        <v>5.7619688980048399E-3</v>
      </c>
      <c r="G7" s="127">
        <v>5.4789476854999099E-3</v>
      </c>
      <c r="H7" s="127">
        <v>5.86719756252479E-3</v>
      </c>
      <c r="I7" s="187">
        <v>1.67894325409991E-2</v>
      </c>
      <c r="J7" s="187">
        <v>1.7018402520722901E-2</v>
      </c>
      <c r="K7" s="187">
        <v>1.6821752582230599E-2</v>
      </c>
      <c r="L7" s="187">
        <v>1.6661336488651701E-2</v>
      </c>
      <c r="M7" s="187">
        <v>1.63732107373562E-2</v>
      </c>
      <c r="N7" s="187">
        <v>1.5956988933713199E-2</v>
      </c>
      <c r="O7" s="187">
        <v>1.5922711990640898E-2</v>
      </c>
      <c r="P7" s="188">
        <v>1.5888248082424401E-2</v>
      </c>
    </row>
    <row r="8" spans="1:16" ht="15" x14ac:dyDescent="0.25">
      <c r="A8" s="206"/>
      <c r="B8" s="207"/>
      <c r="C8" s="19" t="s">
        <v>184</v>
      </c>
      <c r="D8" s="127">
        <v>5.0461442797519003E-3</v>
      </c>
      <c r="E8" s="127">
        <v>6.3648677170897302E-3</v>
      </c>
      <c r="F8" s="127">
        <v>5.7619688980048399E-3</v>
      </c>
      <c r="G8" s="127">
        <v>5.4789476854999099E-3</v>
      </c>
      <c r="H8" s="127">
        <v>5.86719756252479E-3</v>
      </c>
      <c r="I8" s="189">
        <v>1.66021596211391E-2</v>
      </c>
      <c r="J8" s="189">
        <v>1.8316243610746401E-2</v>
      </c>
      <c r="K8" s="189">
        <v>1.98390337998736E-2</v>
      </c>
      <c r="L8" s="189">
        <v>2.1390447369268099E-2</v>
      </c>
      <c r="M8" s="189">
        <v>2.26520926457521E-2</v>
      </c>
      <c r="N8" s="189">
        <v>2.3275864275502101E-2</v>
      </c>
      <c r="O8" s="189">
        <v>2.3270592493452098E-2</v>
      </c>
      <c r="P8" s="190">
        <v>2.31017037666848E-2</v>
      </c>
    </row>
    <row r="9" spans="1:16" ht="15" x14ac:dyDescent="0.25">
      <c r="A9" s="206"/>
      <c r="B9" s="207"/>
      <c r="C9" s="131" t="s">
        <v>185</v>
      </c>
      <c r="D9" s="127">
        <v>5.0461442797519003E-3</v>
      </c>
      <c r="E9" s="127">
        <v>6.3648677170897302E-3</v>
      </c>
      <c r="F9" s="127">
        <v>5.7619688980048399E-3</v>
      </c>
      <c r="G9" s="127">
        <v>5.4789476854999099E-3</v>
      </c>
      <c r="H9" s="127">
        <v>5.86719756252479E-3</v>
      </c>
      <c r="I9" s="191">
        <v>2.0375678240300201E-2</v>
      </c>
      <c r="J9" s="191">
        <v>2.27370804175034E-2</v>
      </c>
      <c r="K9" s="191">
        <v>2.4188472491431402E-2</v>
      </c>
      <c r="L9" s="191">
        <v>2.53712606763981E-2</v>
      </c>
      <c r="M9" s="191">
        <v>2.6351582469895999E-2</v>
      </c>
      <c r="N9" s="191">
        <v>2.75205609336692E-2</v>
      </c>
      <c r="O9" s="191">
        <v>2.8908257472998598E-2</v>
      </c>
      <c r="P9" s="192">
        <v>2.9821094479131401E-2</v>
      </c>
    </row>
    <row r="10" spans="1:16" ht="15" x14ac:dyDescent="0.25">
      <c r="A10" s="208" t="s">
        <v>188</v>
      </c>
      <c r="B10" s="209" t="s">
        <v>189</v>
      </c>
      <c r="C10" s="123" t="s">
        <v>182</v>
      </c>
      <c r="D10" s="127">
        <v>0</v>
      </c>
      <c r="E10" s="127">
        <v>4.2326501184277703E-3</v>
      </c>
      <c r="F10" s="127">
        <v>6.6181339765186298E-3</v>
      </c>
      <c r="G10" s="127">
        <v>1.1555882116385899E-2</v>
      </c>
      <c r="H10" s="127">
        <v>0.12135294350178701</v>
      </c>
      <c r="I10" s="144">
        <v>0</v>
      </c>
      <c r="J10" s="144">
        <v>0</v>
      </c>
      <c r="K10" s="144">
        <v>0</v>
      </c>
      <c r="L10" s="144">
        <v>0</v>
      </c>
      <c r="M10" s="144">
        <v>0</v>
      </c>
      <c r="N10" s="144">
        <v>0</v>
      </c>
      <c r="O10" s="144">
        <v>0</v>
      </c>
      <c r="P10" s="147">
        <v>0</v>
      </c>
    </row>
    <row r="11" spans="1:16" ht="15" x14ac:dyDescent="0.25">
      <c r="A11" s="208"/>
      <c r="B11" s="209"/>
      <c r="C11" s="19" t="s">
        <v>183</v>
      </c>
      <c r="D11" s="127">
        <v>0</v>
      </c>
      <c r="E11" s="127">
        <v>4.2326501184277703E-3</v>
      </c>
      <c r="F11" s="127">
        <v>6.6181339765186298E-3</v>
      </c>
      <c r="G11" s="127">
        <v>1.1555882116385899E-2</v>
      </c>
      <c r="H11" s="127">
        <v>0.12135294350178701</v>
      </c>
      <c r="I11" s="148">
        <v>0</v>
      </c>
      <c r="J11" s="148">
        <v>0</v>
      </c>
      <c r="K11" s="148">
        <v>0</v>
      </c>
      <c r="L11" s="148">
        <v>0</v>
      </c>
      <c r="M11" s="148">
        <v>0</v>
      </c>
      <c r="N11" s="148">
        <v>0</v>
      </c>
      <c r="O11" s="148">
        <v>0</v>
      </c>
      <c r="P11" s="151">
        <v>0</v>
      </c>
    </row>
    <row r="12" spans="1:16" ht="15" x14ac:dyDescent="0.25">
      <c r="A12" s="208"/>
      <c r="B12" s="209"/>
      <c r="C12" s="19" t="s">
        <v>184</v>
      </c>
      <c r="D12" s="127">
        <v>0</v>
      </c>
      <c r="E12" s="127">
        <v>4.2326501184277703E-3</v>
      </c>
      <c r="F12" s="127">
        <v>6.6181339765186298E-3</v>
      </c>
      <c r="G12" s="127">
        <v>1.1555882116385899E-2</v>
      </c>
      <c r="H12" s="127">
        <v>0.12135294350178701</v>
      </c>
      <c r="I12" s="148">
        <v>0</v>
      </c>
      <c r="J12" s="148">
        <v>0</v>
      </c>
      <c r="K12" s="148">
        <v>0</v>
      </c>
      <c r="L12" s="148">
        <v>0</v>
      </c>
      <c r="M12" s="148">
        <v>0</v>
      </c>
      <c r="N12" s="148">
        <v>0</v>
      </c>
      <c r="O12" s="148">
        <v>0</v>
      </c>
      <c r="P12" s="151">
        <v>0</v>
      </c>
    </row>
    <row r="13" spans="1:16" ht="15" x14ac:dyDescent="0.25">
      <c r="A13" s="208"/>
      <c r="B13" s="209"/>
      <c r="C13" s="152" t="s">
        <v>185</v>
      </c>
      <c r="D13" s="127">
        <v>0</v>
      </c>
      <c r="E13" s="127">
        <v>4.2326501184277703E-3</v>
      </c>
      <c r="F13" s="127">
        <v>6.6181339765186298E-3</v>
      </c>
      <c r="G13" s="127">
        <v>1.1555882116385899E-2</v>
      </c>
      <c r="H13" s="127">
        <v>0.12135294350178701</v>
      </c>
      <c r="I13" s="153">
        <v>0</v>
      </c>
      <c r="J13" s="153">
        <v>0</v>
      </c>
      <c r="K13" s="153">
        <v>0</v>
      </c>
      <c r="L13" s="153">
        <v>0</v>
      </c>
      <c r="M13" s="153">
        <v>0</v>
      </c>
      <c r="N13" s="153">
        <v>0</v>
      </c>
      <c r="O13" s="153">
        <v>0</v>
      </c>
      <c r="P13" s="156">
        <v>0</v>
      </c>
    </row>
    <row r="14" spans="1:16" ht="15" x14ac:dyDescent="0.25">
      <c r="A14" s="206" t="s">
        <v>190</v>
      </c>
      <c r="B14" s="210" t="s">
        <v>189</v>
      </c>
      <c r="C14" s="123" t="s">
        <v>182</v>
      </c>
      <c r="D14" s="127">
        <f>0.000000552232907*1000000</f>
        <v>0.55223290700000005</v>
      </c>
      <c r="E14" s="127">
        <v>1.4340200620000001</v>
      </c>
      <c r="F14" s="127">
        <v>1.7440823729999999</v>
      </c>
      <c r="G14" s="127">
        <v>1.851693432</v>
      </c>
      <c r="H14" s="127">
        <v>1.7744274710000001</v>
      </c>
      <c r="I14" s="144">
        <v>0</v>
      </c>
      <c r="J14" s="144">
        <v>0</v>
      </c>
      <c r="K14" s="144">
        <v>0</v>
      </c>
      <c r="L14" s="144">
        <v>0</v>
      </c>
      <c r="M14" s="144">
        <v>0</v>
      </c>
      <c r="N14" s="144">
        <v>0</v>
      </c>
      <c r="O14" s="144">
        <v>0</v>
      </c>
      <c r="P14" s="147">
        <v>0</v>
      </c>
    </row>
    <row r="15" spans="1:16" ht="15" x14ac:dyDescent="0.25">
      <c r="A15" s="206"/>
      <c r="B15" s="210"/>
      <c r="C15" s="157" t="s">
        <v>183</v>
      </c>
      <c r="D15" s="127">
        <f>0.000000552232907*1000000</f>
        <v>0.55223290700000005</v>
      </c>
      <c r="E15" s="127">
        <v>1.4340200620000001</v>
      </c>
      <c r="F15" s="127">
        <v>1.7440823729999999</v>
      </c>
      <c r="G15" s="127">
        <v>1.851693432</v>
      </c>
      <c r="H15" s="127">
        <v>1.7744274710000001</v>
      </c>
      <c r="I15" s="148">
        <v>0</v>
      </c>
      <c r="J15" s="148">
        <v>0</v>
      </c>
      <c r="K15" s="148">
        <v>0</v>
      </c>
      <c r="L15" s="148">
        <v>0</v>
      </c>
      <c r="M15" s="148">
        <v>0</v>
      </c>
      <c r="N15" s="148">
        <v>0</v>
      </c>
      <c r="O15" s="148">
        <v>0</v>
      </c>
      <c r="P15" s="151">
        <v>0</v>
      </c>
    </row>
    <row r="16" spans="1:16" ht="15" x14ac:dyDescent="0.25">
      <c r="A16" s="206"/>
      <c r="B16" s="210"/>
      <c r="C16" s="157" t="s">
        <v>184</v>
      </c>
      <c r="D16" s="127">
        <f>0.000000552232907*1000000</f>
        <v>0.55223290700000005</v>
      </c>
      <c r="E16" s="127">
        <v>1.4340200620000001</v>
      </c>
      <c r="F16" s="127">
        <v>1.7440823729999999</v>
      </c>
      <c r="G16" s="127">
        <v>1.851693432</v>
      </c>
      <c r="H16" s="127">
        <v>1.7744274710000001</v>
      </c>
      <c r="I16" s="148">
        <v>0</v>
      </c>
      <c r="J16" s="148">
        <v>0</v>
      </c>
      <c r="K16" s="148">
        <v>0</v>
      </c>
      <c r="L16" s="148">
        <v>0</v>
      </c>
      <c r="M16" s="148">
        <v>0</v>
      </c>
      <c r="N16" s="148">
        <v>0</v>
      </c>
      <c r="O16" s="148">
        <v>0</v>
      </c>
      <c r="P16" s="151">
        <v>0</v>
      </c>
    </row>
    <row r="17" spans="1:16" ht="15" x14ac:dyDescent="0.25">
      <c r="A17" s="206"/>
      <c r="B17" s="210"/>
      <c r="C17" s="158" t="s">
        <v>185</v>
      </c>
      <c r="D17" s="127">
        <f>0.000000552232907*1000000</f>
        <v>0.55223290700000005</v>
      </c>
      <c r="E17" s="127">
        <v>1.4340200620000001</v>
      </c>
      <c r="F17" s="127">
        <v>1.7440823729999999</v>
      </c>
      <c r="G17" s="127">
        <v>1.851693432</v>
      </c>
      <c r="H17" s="127">
        <v>1.7744274710000001</v>
      </c>
      <c r="I17" s="159">
        <v>0</v>
      </c>
      <c r="J17" s="159">
        <v>0</v>
      </c>
      <c r="K17" s="159">
        <v>0</v>
      </c>
      <c r="L17" s="159">
        <v>0</v>
      </c>
      <c r="M17" s="159">
        <v>0</v>
      </c>
      <c r="N17" s="159">
        <v>0</v>
      </c>
      <c r="O17" s="159">
        <v>0</v>
      </c>
      <c r="P17" s="160">
        <v>0</v>
      </c>
    </row>
    <row r="18" spans="1:16" ht="15" x14ac:dyDescent="0.25">
      <c r="A18" s="161" t="s">
        <v>191</v>
      </c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3"/>
    </row>
    <row r="19" spans="1:16" ht="15" x14ac:dyDescent="0.25">
      <c r="A19" s="201" t="s">
        <v>8</v>
      </c>
      <c r="B19" s="202" t="s">
        <v>189</v>
      </c>
      <c r="C19" s="19" t="s">
        <v>182</v>
      </c>
      <c r="D19" s="149">
        <v>0</v>
      </c>
      <c r="E19" s="149">
        <v>0</v>
      </c>
      <c r="F19" s="150">
        <v>0</v>
      </c>
      <c r="G19" s="149">
        <v>0</v>
      </c>
      <c r="H19" s="149">
        <v>0</v>
      </c>
      <c r="I19" s="149">
        <v>0</v>
      </c>
      <c r="J19" s="149">
        <v>0</v>
      </c>
      <c r="K19" s="149">
        <v>0</v>
      </c>
      <c r="L19" s="149">
        <v>0</v>
      </c>
      <c r="M19" s="149">
        <v>0</v>
      </c>
      <c r="N19" s="149">
        <v>0</v>
      </c>
      <c r="O19" s="149">
        <v>0</v>
      </c>
      <c r="P19" s="164">
        <v>0</v>
      </c>
    </row>
    <row r="20" spans="1:16" ht="15" x14ac:dyDescent="0.25">
      <c r="A20" s="201"/>
      <c r="B20" s="202"/>
      <c r="C20" s="19" t="s">
        <v>183</v>
      </c>
      <c r="D20" s="149">
        <v>0</v>
      </c>
      <c r="E20" s="149">
        <v>0</v>
      </c>
      <c r="F20" s="150">
        <v>0</v>
      </c>
      <c r="G20" s="149">
        <v>0</v>
      </c>
      <c r="H20" s="149">
        <v>0</v>
      </c>
      <c r="I20" s="149">
        <v>0</v>
      </c>
      <c r="J20" s="149">
        <v>0</v>
      </c>
      <c r="K20" s="149">
        <v>0</v>
      </c>
      <c r="L20" s="149">
        <v>0</v>
      </c>
      <c r="M20" s="149">
        <v>0</v>
      </c>
      <c r="N20" s="149">
        <v>0</v>
      </c>
      <c r="O20" s="149">
        <v>0</v>
      </c>
      <c r="P20" s="164">
        <v>0</v>
      </c>
    </row>
    <row r="21" spans="1:16" ht="15" x14ac:dyDescent="0.25">
      <c r="A21" s="201"/>
      <c r="B21" s="202"/>
      <c r="C21" s="19" t="s">
        <v>184</v>
      </c>
      <c r="D21" s="149">
        <v>0</v>
      </c>
      <c r="E21" s="149">
        <v>0</v>
      </c>
      <c r="F21" s="150">
        <v>0</v>
      </c>
      <c r="G21" s="149">
        <v>0</v>
      </c>
      <c r="H21" s="149">
        <v>0</v>
      </c>
      <c r="I21" s="149">
        <v>0</v>
      </c>
      <c r="J21" s="149">
        <v>0</v>
      </c>
      <c r="K21" s="149">
        <v>0</v>
      </c>
      <c r="L21" s="149">
        <v>0</v>
      </c>
      <c r="M21" s="149">
        <v>0</v>
      </c>
      <c r="N21" s="149">
        <v>0</v>
      </c>
      <c r="O21" s="149">
        <v>0</v>
      </c>
      <c r="P21" s="164">
        <v>0</v>
      </c>
    </row>
    <row r="22" spans="1:16" ht="15" x14ac:dyDescent="0.25">
      <c r="A22" s="201"/>
      <c r="B22" s="202"/>
      <c r="C22" s="19" t="s">
        <v>185</v>
      </c>
      <c r="D22" s="149">
        <v>0</v>
      </c>
      <c r="E22" s="149">
        <v>0</v>
      </c>
      <c r="F22" s="150">
        <v>0</v>
      </c>
      <c r="G22" s="149">
        <v>0</v>
      </c>
      <c r="H22" s="149">
        <v>0</v>
      </c>
      <c r="I22" s="149">
        <v>0</v>
      </c>
      <c r="J22" s="149">
        <v>0</v>
      </c>
      <c r="K22" s="149">
        <v>0</v>
      </c>
      <c r="L22" s="149">
        <v>0</v>
      </c>
      <c r="M22" s="149">
        <v>0</v>
      </c>
      <c r="N22" s="149">
        <v>0</v>
      </c>
      <c r="O22" s="149">
        <v>0</v>
      </c>
      <c r="P22" s="164">
        <v>0</v>
      </c>
    </row>
    <row r="23" spans="1:16" ht="15" x14ac:dyDescent="0.25">
      <c r="A23" s="201" t="s">
        <v>9</v>
      </c>
      <c r="B23" s="202" t="s">
        <v>189</v>
      </c>
      <c r="C23" s="165" t="s">
        <v>182</v>
      </c>
      <c r="D23" s="149">
        <v>0</v>
      </c>
      <c r="E23" s="149">
        <v>0</v>
      </c>
      <c r="F23" s="149">
        <v>0</v>
      </c>
      <c r="G23" s="149">
        <v>0</v>
      </c>
      <c r="H23" s="149">
        <v>0</v>
      </c>
      <c r="I23" s="149">
        <v>0</v>
      </c>
      <c r="J23" s="149">
        <v>0</v>
      </c>
      <c r="K23" s="149">
        <v>0</v>
      </c>
      <c r="L23" s="149">
        <v>0</v>
      </c>
      <c r="M23" s="149">
        <v>0</v>
      </c>
      <c r="N23" s="149">
        <v>0</v>
      </c>
      <c r="O23" s="149">
        <v>0</v>
      </c>
      <c r="P23" s="164">
        <v>0</v>
      </c>
    </row>
    <row r="24" spans="1:16" ht="15" x14ac:dyDescent="0.25">
      <c r="A24" s="201"/>
      <c r="B24" s="202"/>
      <c r="C24" s="19" t="s">
        <v>183</v>
      </c>
      <c r="D24" s="149">
        <v>0</v>
      </c>
      <c r="E24" s="149">
        <v>0</v>
      </c>
      <c r="F24" s="149">
        <v>0</v>
      </c>
      <c r="G24" s="149">
        <v>0</v>
      </c>
      <c r="H24" s="149">
        <v>0</v>
      </c>
      <c r="I24" s="149">
        <v>0</v>
      </c>
      <c r="J24" s="149">
        <v>0</v>
      </c>
      <c r="K24" s="149">
        <v>0</v>
      </c>
      <c r="L24" s="149">
        <v>0</v>
      </c>
      <c r="M24" s="149">
        <v>0</v>
      </c>
      <c r="N24" s="149">
        <v>0</v>
      </c>
      <c r="O24" s="149">
        <v>0</v>
      </c>
      <c r="P24" s="164">
        <v>0</v>
      </c>
    </row>
    <row r="25" spans="1:16" ht="15" x14ac:dyDescent="0.25">
      <c r="A25" s="201"/>
      <c r="B25" s="202"/>
      <c r="C25" s="19" t="s">
        <v>184</v>
      </c>
      <c r="D25" s="149">
        <v>0</v>
      </c>
      <c r="E25" s="149">
        <v>0</v>
      </c>
      <c r="F25" s="149">
        <v>0</v>
      </c>
      <c r="G25" s="149">
        <v>0</v>
      </c>
      <c r="H25" s="149">
        <v>0</v>
      </c>
      <c r="I25" s="149">
        <v>0</v>
      </c>
      <c r="J25" s="149">
        <v>0</v>
      </c>
      <c r="K25" s="149">
        <v>0</v>
      </c>
      <c r="L25" s="149">
        <v>0</v>
      </c>
      <c r="M25" s="149">
        <v>0</v>
      </c>
      <c r="N25" s="149">
        <v>0</v>
      </c>
      <c r="O25" s="149">
        <v>0</v>
      </c>
      <c r="P25" s="164">
        <v>0</v>
      </c>
    </row>
    <row r="26" spans="1:16" ht="15" x14ac:dyDescent="0.25">
      <c r="A26" s="201"/>
      <c r="B26" s="202"/>
      <c r="C26" s="19" t="s">
        <v>185</v>
      </c>
      <c r="D26" s="149">
        <v>0</v>
      </c>
      <c r="E26" s="149">
        <v>0</v>
      </c>
      <c r="F26" s="149">
        <v>0</v>
      </c>
      <c r="G26" s="149">
        <v>0</v>
      </c>
      <c r="H26" s="149">
        <v>0</v>
      </c>
      <c r="I26" s="149">
        <v>0</v>
      </c>
      <c r="J26" s="149">
        <v>0</v>
      </c>
      <c r="K26" s="149">
        <v>0</v>
      </c>
      <c r="L26" s="149">
        <v>0</v>
      </c>
      <c r="M26" s="149">
        <v>0</v>
      </c>
      <c r="N26" s="149">
        <v>0</v>
      </c>
      <c r="O26" s="149">
        <v>0</v>
      </c>
      <c r="P26" s="164">
        <v>0</v>
      </c>
    </row>
    <row r="27" spans="1:16" ht="15" x14ac:dyDescent="0.25">
      <c r="A27" s="201" t="s">
        <v>10</v>
      </c>
      <c r="B27" s="202" t="s">
        <v>189</v>
      </c>
      <c r="C27" s="19" t="s">
        <v>182</v>
      </c>
      <c r="D27" s="149">
        <v>0</v>
      </c>
      <c r="E27" s="149">
        <v>0</v>
      </c>
      <c r="F27" s="150">
        <v>0</v>
      </c>
      <c r="G27" s="149">
        <v>0</v>
      </c>
      <c r="H27" s="149">
        <v>0</v>
      </c>
      <c r="I27" s="149">
        <v>0</v>
      </c>
      <c r="J27" s="149">
        <v>0</v>
      </c>
      <c r="K27" s="149">
        <v>0</v>
      </c>
      <c r="L27" s="149">
        <v>0</v>
      </c>
      <c r="M27" s="149">
        <v>0</v>
      </c>
      <c r="N27" s="149">
        <v>0</v>
      </c>
      <c r="O27" s="149">
        <v>0</v>
      </c>
      <c r="P27" s="164">
        <v>0</v>
      </c>
    </row>
    <row r="28" spans="1:16" ht="15" x14ac:dyDescent="0.25">
      <c r="A28" s="201"/>
      <c r="B28" s="202"/>
      <c r="C28" s="19" t="s">
        <v>183</v>
      </c>
      <c r="D28" s="149">
        <v>0</v>
      </c>
      <c r="E28" s="149">
        <v>0</v>
      </c>
      <c r="F28" s="150">
        <v>0</v>
      </c>
      <c r="G28" s="149">
        <v>0</v>
      </c>
      <c r="H28" s="149">
        <v>0</v>
      </c>
      <c r="I28" s="149">
        <v>0</v>
      </c>
      <c r="J28" s="149">
        <v>0</v>
      </c>
      <c r="K28" s="149">
        <v>0</v>
      </c>
      <c r="L28" s="149">
        <v>0</v>
      </c>
      <c r="M28" s="149">
        <v>0</v>
      </c>
      <c r="N28" s="149">
        <v>0</v>
      </c>
      <c r="O28" s="149">
        <v>0</v>
      </c>
      <c r="P28" s="164">
        <v>0</v>
      </c>
    </row>
    <row r="29" spans="1:16" ht="15" x14ac:dyDescent="0.25">
      <c r="A29" s="201"/>
      <c r="B29" s="202"/>
      <c r="C29" s="19" t="s">
        <v>184</v>
      </c>
      <c r="D29" s="149">
        <v>0</v>
      </c>
      <c r="E29" s="149">
        <v>0</v>
      </c>
      <c r="F29" s="150">
        <v>0</v>
      </c>
      <c r="G29" s="149">
        <v>0</v>
      </c>
      <c r="H29" s="149">
        <v>0</v>
      </c>
      <c r="I29" s="149">
        <v>0</v>
      </c>
      <c r="J29" s="149">
        <v>0</v>
      </c>
      <c r="K29" s="149">
        <v>0</v>
      </c>
      <c r="L29" s="149">
        <v>0</v>
      </c>
      <c r="M29" s="149">
        <v>0</v>
      </c>
      <c r="N29" s="149">
        <v>0</v>
      </c>
      <c r="O29" s="149">
        <v>0</v>
      </c>
      <c r="P29" s="164">
        <v>0</v>
      </c>
    </row>
    <row r="30" spans="1:16" ht="15" x14ac:dyDescent="0.25">
      <c r="A30" s="201"/>
      <c r="B30" s="202"/>
      <c r="C30" s="19" t="s">
        <v>185</v>
      </c>
      <c r="D30" s="149">
        <v>0</v>
      </c>
      <c r="E30" s="149">
        <v>0</v>
      </c>
      <c r="F30" s="150">
        <v>0</v>
      </c>
      <c r="G30" s="149">
        <v>0</v>
      </c>
      <c r="H30" s="149">
        <v>0</v>
      </c>
      <c r="I30" s="149">
        <v>0</v>
      </c>
      <c r="J30" s="149">
        <v>0</v>
      </c>
      <c r="K30" s="149">
        <v>0</v>
      </c>
      <c r="L30" s="149">
        <v>0</v>
      </c>
      <c r="M30" s="149">
        <v>0</v>
      </c>
      <c r="N30" s="149">
        <v>0</v>
      </c>
      <c r="O30" s="149">
        <v>0</v>
      </c>
      <c r="P30" s="164">
        <v>0</v>
      </c>
    </row>
    <row r="31" spans="1:16" ht="15" x14ac:dyDescent="0.25">
      <c r="A31" s="201" t="s">
        <v>11</v>
      </c>
      <c r="B31" s="202" t="s">
        <v>189</v>
      </c>
      <c r="C31" s="19" t="s">
        <v>182</v>
      </c>
      <c r="D31" s="166">
        <v>0</v>
      </c>
      <c r="E31" s="166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67">
        <v>0</v>
      </c>
      <c r="L31" s="167">
        <v>0</v>
      </c>
      <c r="M31" s="167">
        <v>0</v>
      </c>
      <c r="N31" s="167">
        <v>0</v>
      </c>
      <c r="O31" s="167">
        <v>0</v>
      </c>
      <c r="P31" s="168">
        <v>0</v>
      </c>
    </row>
    <row r="32" spans="1:16" ht="15" x14ac:dyDescent="0.25">
      <c r="A32" s="201"/>
      <c r="B32" s="202"/>
      <c r="C32" s="19" t="s">
        <v>183</v>
      </c>
      <c r="D32" s="166">
        <v>0</v>
      </c>
      <c r="E32" s="166">
        <v>0</v>
      </c>
      <c r="F32" s="167">
        <v>0</v>
      </c>
      <c r="G32" s="167">
        <v>0</v>
      </c>
      <c r="H32" s="167">
        <v>0</v>
      </c>
      <c r="I32" s="167">
        <v>0</v>
      </c>
      <c r="J32" s="167">
        <v>0</v>
      </c>
      <c r="K32" s="167">
        <v>0</v>
      </c>
      <c r="L32" s="167">
        <v>0</v>
      </c>
      <c r="M32" s="167">
        <v>0</v>
      </c>
      <c r="N32" s="167">
        <v>0</v>
      </c>
      <c r="O32" s="167">
        <v>0</v>
      </c>
      <c r="P32" s="168">
        <v>0</v>
      </c>
    </row>
    <row r="33" spans="1:16" ht="15" x14ac:dyDescent="0.25">
      <c r="A33" s="201"/>
      <c r="B33" s="202"/>
      <c r="C33" s="19" t="s">
        <v>184</v>
      </c>
      <c r="D33" s="166">
        <v>0</v>
      </c>
      <c r="E33" s="166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>
        <v>0</v>
      </c>
      <c r="L33" s="167">
        <v>0</v>
      </c>
      <c r="M33" s="167">
        <v>0</v>
      </c>
      <c r="N33" s="167">
        <v>0</v>
      </c>
      <c r="O33" s="167">
        <v>0</v>
      </c>
      <c r="P33" s="168">
        <v>0</v>
      </c>
    </row>
    <row r="34" spans="1:16" ht="15" x14ac:dyDescent="0.25">
      <c r="A34" s="201"/>
      <c r="B34" s="202"/>
      <c r="C34" s="19" t="s">
        <v>185</v>
      </c>
      <c r="D34" s="166">
        <v>0</v>
      </c>
      <c r="E34" s="166">
        <v>0</v>
      </c>
      <c r="F34" s="167">
        <v>0</v>
      </c>
      <c r="G34" s="167">
        <v>0</v>
      </c>
      <c r="H34" s="167">
        <v>0</v>
      </c>
      <c r="I34" s="167">
        <v>0</v>
      </c>
      <c r="J34" s="167">
        <v>0</v>
      </c>
      <c r="K34" s="167">
        <v>0</v>
      </c>
      <c r="L34" s="167">
        <v>0</v>
      </c>
      <c r="M34" s="167">
        <v>0</v>
      </c>
      <c r="N34" s="167">
        <v>0</v>
      </c>
      <c r="O34" s="167">
        <v>0</v>
      </c>
      <c r="P34" s="168">
        <v>0</v>
      </c>
    </row>
    <row r="35" spans="1:16" ht="15" x14ac:dyDescent="0.25">
      <c r="A35" s="201" t="s">
        <v>12</v>
      </c>
      <c r="B35" s="202" t="s">
        <v>189</v>
      </c>
      <c r="C35" s="19" t="s">
        <v>182</v>
      </c>
      <c r="D35" s="149">
        <v>0</v>
      </c>
      <c r="E35" s="149">
        <v>0</v>
      </c>
      <c r="F35" s="150">
        <v>0</v>
      </c>
      <c r="G35" s="150">
        <v>0</v>
      </c>
      <c r="H35" s="150">
        <v>0</v>
      </c>
      <c r="I35" s="150">
        <v>0</v>
      </c>
      <c r="J35" s="150">
        <v>0</v>
      </c>
      <c r="K35" s="150">
        <v>0</v>
      </c>
      <c r="L35" s="150">
        <v>0</v>
      </c>
      <c r="M35" s="150">
        <v>0</v>
      </c>
      <c r="N35" s="150">
        <v>0</v>
      </c>
      <c r="O35" s="150">
        <v>0</v>
      </c>
      <c r="P35" s="169">
        <v>0</v>
      </c>
    </row>
    <row r="36" spans="1:16" ht="15" x14ac:dyDescent="0.25">
      <c r="A36" s="201"/>
      <c r="B36" s="202"/>
      <c r="C36" s="19" t="s">
        <v>183</v>
      </c>
      <c r="D36" s="149">
        <v>0</v>
      </c>
      <c r="E36" s="149">
        <v>0</v>
      </c>
      <c r="F36" s="150">
        <v>0</v>
      </c>
      <c r="G36" s="150">
        <v>0</v>
      </c>
      <c r="H36" s="150">
        <v>0</v>
      </c>
      <c r="I36" s="150">
        <v>0</v>
      </c>
      <c r="J36" s="150">
        <v>0</v>
      </c>
      <c r="K36" s="150">
        <v>0</v>
      </c>
      <c r="L36" s="150">
        <v>0</v>
      </c>
      <c r="M36" s="150">
        <v>0</v>
      </c>
      <c r="N36" s="150">
        <v>0</v>
      </c>
      <c r="O36" s="150">
        <v>0</v>
      </c>
      <c r="P36" s="169">
        <v>0</v>
      </c>
    </row>
    <row r="37" spans="1:16" ht="15" x14ac:dyDescent="0.25">
      <c r="A37" s="201"/>
      <c r="B37" s="202"/>
      <c r="C37" s="19" t="s">
        <v>184</v>
      </c>
      <c r="D37" s="149">
        <v>0</v>
      </c>
      <c r="E37" s="149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69">
        <v>0</v>
      </c>
    </row>
    <row r="38" spans="1:16" ht="15" x14ac:dyDescent="0.25">
      <c r="A38" s="201"/>
      <c r="B38" s="202"/>
      <c r="C38" s="19" t="s">
        <v>185</v>
      </c>
      <c r="D38" s="149">
        <v>0</v>
      </c>
      <c r="E38" s="149">
        <v>0</v>
      </c>
      <c r="F38" s="150">
        <v>0</v>
      </c>
      <c r="G38" s="150">
        <v>0</v>
      </c>
      <c r="H38" s="150">
        <v>0</v>
      </c>
      <c r="I38" s="150">
        <v>0</v>
      </c>
      <c r="J38" s="150">
        <v>0</v>
      </c>
      <c r="K38" s="150">
        <v>0</v>
      </c>
      <c r="L38" s="150">
        <v>0</v>
      </c>
      <c r="M38" s="150">
        <v>0</v>
      </c>
      <c r="N38" s="150">
        <v>0</v>
      </c>
      <c r="O38" s="150">
        <v>0</v>
      </c>
      <c r="P38" s="169">
        <v>0</v>
      </c>
    </row>
    <row r="39" spans="1:16" ht="15" x14ac:dyDescent="0.25">
      <c r="A39" s="201" t="s">
        <v>13</v>
      </c>
      <c r="B39" s="202" t="s">
        <v>189</v>
      </c>
      <c r="C39" s="19" t="s">
        <v>182</v>
      </c>
      <c r="D39" s="149">
        <v>0</v>
      </c>
      <c r="E39" s="149">
        <v>0</v>
      </c>
      <c r="F39" s="150">
        <v>0</v>
      </c>
      <c r="G39" s="149">
        <v>0</v>
      </c>
      <c r="H39" s="149">
        <v>0</v>
      </c>
      <c r="I39" s="149">
        <v>0</v>
      </c>
      <c r="J39" s="149">
        <v>0</v>
      </c>
      <c r="K39" s="149">
        <v>0</v>
      </c>
      <c r="L39" s="149">
        <v>0</v>
      </c>
      <c r="M39" s="149">
        <v>0</v>
      </c>
      <c r="N39" s="149">
        <v>0</v>
      </c>
      <c r="O39" s="149">
        <v>0</v>
      </c>
      <c r="P39" s="164">
        <v>0</v>
      </c>
    </row>
    <row r="40" spans="1:16" ht="15" x14ac:dyDescent="0.25">
      <c r="A40" s="201"/>
      <c r="B40" s="202"/>
      <c r="C40" s="19" t="s">
        <v>183</v>
      </c>
      <c r="D40" s="170">
        <v>0</v>
      </c>
      <c r="E40" s="170">
        <v>0</v>
      </c>
      <c r="F40" s="150">
        <v>0</v>
      </c>
      <c r="G40" s="149">
        <v>0</v>
      </c>
      <c r="H40" s="149">
        <v>0</v>
      </c>
      <c r="I40" s="149">
        <v>0</v>
      </c>
      <c r="J40" s="149">
        <v>0</v>
      </c>
      <c r="K40" s="149">
        <v>0</v>
      </c>
      <c r="L40" s="149">
        <v>0</v>
      </c>
      <c r="M40" s="149">
        <v>0</v>
      </c>
      <c r="N40" s="149">
        <v>0</v>
      </c>
      <c r="O40" s="149">
        <v>0</v>
      </c>
      <c r="P40" s="164">
        <v>0</v>
      </c>
    </row>
    <row r="41" spans="1:16" ht="15" x14ac:dyDescent="0.25">
      <c r="A41" s="201"/>
      <c r="B41" s="202"/>
      <c r="C41" s="19" t="s">
        <v>184</v>
      </c>
      <c r="D41" s="149">
        <v>0</v>
      </c>
      <c r="E41" s="149">
        <v>0</v>
      </c>
      <c r="F41" s="150">
        <v>0</v>
      </c>
      <c r="G41" s="149">
        <v>0</v>
      </c>
      <c r="H41" s="149">
        <v>0</v>
      </c>
      <c r="I41" s="149">
        <v>0</v>
      </c>
      <c r="J41" s="149">
        <v>0</v>
      </c>
      <c r="K41" s="149">
        <v>0</v>
      </c>
      <c r="L41" s="149">
        <v>0</v>
      </c>
      <c r="M41" s="149">
        <v>0</v>
      </c>
      <c r="N41" s="149">
        <v>0</v>
      </c>
      <c r="O41" s="149">
        <v>0</v>
      </c>
      <c r="P41" s="164">
        <v>0</v>
      </c>
    </row>
    <row r="42" spans="1:16" ht="15" x14ac:dyDescent="0.25">
      <c r="A42" s="201"/>
      <c r="B42" s="202"/>
      <c r="C42" s="19" t="s">
        <v>185</v>
      </c>
      <c r="D42" s="149">
        <v>0</v>
      </c>
      <c r="E42" s="149">
        <v>0</v>
      </c>
      <c r="F42" s="150">
        <v>0</v>
      </c>
      <c r="G42" s="149">
        <v>0</v>
      </c>
      <c r="H42" s="149">
        <v>0</v>
      </c>
      <c r="I42" s="149">
        <v>0</v>
      </c>
      <c r="J42" s="149">
        <v>0</v>
      </c>
      <c r="K42" s="149">
        <v>0</v>
      </c>
      <c r="L42" s="149">
        <v>0</v>
      </c>
      <c r="M42" s="149">
        <v>0</v>
      </c>
      <c r="N42" s="149">
        <v>0</v>
      </c>
      <c r="O42" s="149">
        <v>0</v>
      </c>
      <c r="P42" s="164">
        <v>0</v>
      </c>
    </row>
    <row r="43" spans="1:16" ht="15" x14ac:dyDescent="0.25">
      <c r="A43" s="201" t="s">
        <v>14</v>
      </c>
      <c r="B43" s="202" t="s">
        <v>189</v>
      </c>
      <c r="C43" s="19" t="s">
        <v>182</v>
      </c>
      <c r="D43" s="149">
        <v>0</v>
      </c>
      <c r="E43" s="149">
        <v>0</v>
      </c>
      <c r="F43" s="150">
        <v>0</v>
      </c>
      <c r="G43" s="150">
        <v>0</v>
      </c>
      <c r="H43" s="150">
        <v>0</v>
      </c>
      <c r="I43" s="150">
        <v>0</v>
      </c>
      <c r="J43" s="150">
        <v>0</v>
      </c>
      <c r="K43" s="150">
        <v>0</v>
      </c>
      <c r="L43" s="150">
        <v>0</v>
      </c>
      <c r="M43" s="150">
        <v>0</v>
      </c>
      <c r="N43" s="150">
        <v>0</v>
      </c>
      <c r="O43" s="150">
        <v>0</v>
      </c>
      <c r="P43" s="169">
        <v>0</v>
      </c>
    </row>
    <row r="44" spans="1:16" ht="15" x14ac:dyDescent="0.25">
      <c r="A44" s="201"/>
      <c r="B44" s="202"/>
      <c r="C44" s="19" t="s">
        <v>183</v>
      </c>
      <c r="D44" s="149">
        <v>0</v>
      </c>
      <c r="E44" s="149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69">
        <v>0</v>
      </c>
    </row>
    <row r="45" spans="1:16" ht="15" x14ac:dyDescent="0.25">
      <c r="A45" s="201"/>
      <c r="B45" s="202"/>
      <c r="C45" s="19" t="s">
        <v>184</v>
      </c>
      <c r="D45" s="149">
        <v>0</v>
      </c>
      <c r="E45" s="149">
        <v>0</v>
      </c>
      <c r="F45" s="150">
        <v>0</v>
      </c>
      <c r="G45" s="150">
        <v>0</v>
      </c>
      <c r="H45" s="150">
        <v>0</v>
      </c>
      <c r="I45" s="150">
        <v>0</v>
      </c>
      <c r="J45" s="150">
        <v>0</v>
      </c>
      <c r="K45" s="150">
        <v>0</v>
      </c>
      <c r="L45" s="150">
        <v>0</v>
      </c>
      <c r="M45" s="150">
        <v>0</v>
      </c>
      <c r="N45" s="150">
        <v>0</v>
      </c>
      <c r="O45" s="150">
        <v>0</v>
      </c>
      <c r="P45" s="169">
        <v>0</v>
      </c>
    </row>
    <row r="46" spans="1:16" ht="15" x14ac:dyDescent="0.25">
      <c r="A46" s="201"/>
      <c r="B46" s="202"/>
      <c r="C46" s="19" t="s">
        <v>185</v>
      </c>
      <c r="D46" s="149">
        <v>0</v>
      </c>
      <c r="E46" s="149">
        <v>0</v>
      </c>
      <c r="F46" s="150">
        <v>0</v>
      </c>
      <c r="G46" s="150">
        <v>0</v>
      </c>
      <c r="H46" s="150">
        <v>0</v>
      </c>
      <c r="I46" s="150">
        <v>0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0">
        <v>0</v>
      </c>
      <c r="P46" s="169">
        <v>0</v>
      </c>
    </row>
    <row r="47" spans="1:16" ht="15" x14ac:dyDescent="0.25">
      <c r="A47" s="203" t="s">
        <v>15</v>
      </c>
      <c r="B47" s="202" t="s">
        <v>189</v>
      </c>
      <c r="C47" s="19" t="s">
        <v>182</v>
      </c>
      <c r="D47" s="149">
        <v>0</v>
      </c>
      <c r="E47" s="149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69">
        <v>0</v>
      </c>
    </row>
    <row r="48" spans="1:16" ht="15" x14ac:dyDescent="0.25">
      <c r="A48" s="203"/>
      <c r="B48" s="202"/>
      <c r="C48" s="19" t="s">
        <v>183</v>
      </c>
      <c r="D48" s="149">
        <v>0</v>
      </c>
      <c r="E48" s="149">
        <v>0</v>
      </c>
      <c r="F48" s="150">
        <v>0</v>
      </c>
      <c r="G48" s="150">
        <v>0</v>
      </c>
      <c r="H48" s="150">
        <v>0</v>
      </c>
      <c r="I48" s="150">
        <v>0</v>
      </c>
      <c r="J48" s="150">
        <v>0</v>
      </c>
      <c r="K48" s="150">
        <v>0</v>
      </c>
      <c r="L48" s="150">
        <v>0</v>
      </c>
      <c r="M48" s="150">
        <v>0</v>
      </c>
      <c r="N48" s="150">
        <v>0</v>
      </c>
      <c r="O48" s="150">
        <v>0</v>
      </c>
      <c r="P48" s="169">
        <v>0</v>
      </c>
    </row>
    <row r="49" spans="1:23" ht="15" x14ac:dyDescent="0.25">
      <c r="A49" s="203"/>
      <c r="B49" s="202"/>
      <c r="C49" s="19" t="s">
        <v>184</v>
      </c>
      <c r="D49" s="149">
        <v>0</v>
      </c>
      <c r="E49" s="149">
        <v>0</v>
      </c>
      <c r="F49" s="150">
        <v>0</v>
      </c>
      <c r="G49" s="150">
        <v>0</v>
      </c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69">
        <v>0</v>
      </c>
    </row>
    <row r="50" spans="1:23" ht="15" x14ac:dyDescent="0.25">
      <c r="A50" s="203"/>
      <c r="B50" s="202"/>
      <c r="C50" s="19" t="s">
        <v>185</v>
      </c>
      <c r="D50" s="149">
        <v>0</v>
      </c>
      <c r="E50" s="149">
        <v>0</v>
      </c>
      <c r="F50" s="150">
        <v>0</v>
      </c>
      <c r="G50" s="150">
        <v>0</v>
      </c>
      <c r="H50" s="150">
        <v>0</v>
      </c>
      <c r="I50" s="150">
        <v>0</v>
      </c>
      <c r="J50" s="150">
        <v>0</v>
      </c>
      <c r="K50" s="150">
        <v>0</v>
      </c>
      <c r="L50" s="150">
        <v>0</v>
      </c>
      <c r="M50" s="150">
        <v>0</v>
      </c>
      <c r="N50" s="150">
        <v>0</v>
      </c>
      <c r="O50" s="150">
        <v>0</v>
      </c>
      <c r="P50" s="169">
        <v>0</v>
      </c>
    </row>
    <row r="51" spans="1:23" ht="15" x14ac:dyDescent="0.25">
      <c r="A51" s="204" t="s">
        <v>16</v>
      </c>
      <c r="B51" s="205" t="s">
        <v>189</v>
      </c>
      <c r="C51" s="19" t="s">
        <v>182</v>
      </c>
      <c r="D51" s="117">
        <v>0</v>
      </c>
      <c r="E51" s="149">
        <v>0</v>
      </c>
      <c r="F51" s="171">
        <v>0</v>
      </c>
      <c r="G51" s="172">
        <v>0</v>
      </c>
      <c r="H51" s="149">
        <v>0</v>
      </c>
      <c r="I51" s="149">
        <v>0</v>
      </c>
      <c r="J51" s="149">
        <v>0</v>
      </c>
      <c r="K51" s="149">
        <v>0</v>
      </c>
      <c r="L51" s="149">
        <v>0</v>
      </c>
      <c r="M51" s="149">
        <v>0</v>
      </c>
      <c r="N51" s="149">
        <v>0</v>
      </c>
      <c r="O51" s="149">
        <v>0</v>
      </c>
      <c r="P51" s="164">
        <v>0</v>
      </c>
    </row>
    <row r="52" spans="1:23" ht="15" x14ac:dyDescent="0.25">
      <c r="A52" s="204"/>
      <c r="B52" s="205"/>
      <c r="C52" s="19" t="s">
        <v>183</v>
      </c>
      <c r="D52" s="117">
        <v>0</v>
      </c>
      <c r="E52" s="170">
        <v>0</v>
      </c>
      <c r="F52" s="171">
        <v>0</v>
      </c>
      <c r="G52" s="172">
        <v>0</v>
      </c>
      <c r="H52" s="149">
        <v>0</v>
      </c>
      <c r="I52" s="149">
        <v>0</v>
      </c>
      <c r="J52" s="149">
        <v>0</v>
      </c>
      <c r="K52" s="149">
        <v>0</v>
      </c>
      <c r="L52" s="149">
        <v>0</v>
      </c>
      <c r="M52" s="149">
        <v>0</v>
      </c>
      <c r="N52" s="149">
        <v>0</v>
      </c>
      <c r="O52" s="149">
        <v>0</v>
      </c>
      <c r="P52" s="164">
        <v>0</v>
      </c>
    </row>
    <row r="53" spans="1:23" ht="15" x14ac:dyDescent="0.25">
      <c r="A53" s="204"/>
      <c r="B53" s="205"/>
      <c r="C53" s="19" t="s">
        <v>184</v>
      </c>
      <c r="D53" s="117">
        <v>0</v>
      </c>
      <c r="E53" s="172">
        <v>0</v>
      </c>
      <c r="F53" s="171">
        <v>0</v>
      </c>
      <c r="G53" s="172">
        <v>0</v>
      </c>
      <c r="H53" s="149">
        <v>0</v>
      </c>
      <c r="I53" s="149">
        <v>0</v>
      </c>
      <c r="J53" s="149">
        <v>0</v>
      </c>
      <c r="K53" s="149">
        <v>0</v>
      </c>
      <c r="L53" s="149">
        <v>0</v>
      </c>
      <c r="M53" s="149">
        <v>0</v>
      </c>
      <c r="N53" s="149">
        <v>0</v>
      </c>
      <c r="O53" s="149">
        <v>0</v>
      </c>
      <c r="P53" s="164">
        <v>0</v>
      </c>
    </row>
    <row r="54" spans="1:23" ht="15" x14ac:dyDescent="0.25">
      <c r="A54" s="204"/>
      <c r="B54" s="205"/>
      <c r="C54" s="131" t="s">
        <v>185</v>
      </c>
      <c r="D54" s="133">
        <v>0</v>
      </c>
      <c r="E54" s="173">
        <v>0</v>
      </c>
      <c r="F54" s="174">
        <v>0</v>
      </c>
      <c r="G54" s="173">
        <v>0</v>
      </c>
      <c r="H54" s="175">
        <v>0</v>
      </c>
      <c r="I54" s="175">
        <v>0</v>
      </c>
      <c r="J54" s="175">
        <v>0</v>
      </c>
      <c r="K54" s="175">
        <v>0</v>
      </c>
      <c r="L54" s="175">
        <v>0</v>
      </c>
      <c r="M54" s="175">
        <v>0</v>
      </c>
      <c r="N54" s="175">
        <v>0</v>
      </c>
      <c r="O54" s="175">
        <v>0</v>
      </c>
      <c r="P54" s="176">
        <v>0</v>
      </c>
    </row>
    <row r="58" spans="1:23" ht="15" x14ac:dyDescent="0.25">
      <c r="A58" s="224" t="s">
        <v>251</v>
      </c>
      <c r="B58" s="224"/>
      <c r="C58" s="19">
        <v>1995</v>
      </c>
      <c r="D58" s="19">
        <v>1996</v>
      </c>
      <c r="E58" s="19">
        <v>1997</v>
      </c>
      <c r="F58" s="19">
        <v>1998</v>
      </c>
      <c r="G58" s="19">
        <v>1999</v>
      </c>
      <c r="H58" s="19">
        <v>2000</v>
      </c>
      <c r="I58" s="19">
        <v>2001</v>
      </c>
      <c r="J58" s="19">
        <v>2002</v>
      </c>
      <c r="K58" s="19">
        <v>2003</v>
      </c>
      <c r="L58" s="19">
        <v>2004</v>
      </c>
      <c r="M58" s="19">
        <v>2005</v>
      </c>
      <c r="N58" s="19">
        <v>2006</v>
      </c>
      <c r="O58" s="19">
        <v>2007</v>
      </c>
      <c r="P58" s="19">
        <v>2008</v>
      </c>
      <c r="Q58" s="19">
        <v>2009</v>
      </c>
      <c r="R58" s="19">
        <v>2010</v>
      </c>
      <c r="S58" s="19">
        <v>2011</v>
      </c>
      <c r="T58" s="19">
        <v>2012</v>
      </c>
      <c r="U58" s="19">
        <v>2013</v>
      </c>
      <c r="V58" s="19">
        <v>2014</v>
      </c>
      <c r="W58" s="19">
        <v>2015</v>
      </c>
    </row>
    <row r="59" spans="1:23" ht="15" x14ac:dyDescent="0.25">
      <c r="A59" s="193" t="s">
        <v>252</v>
      </c>
      <c r="B59" s="36" t="s">
        <v>253</v>
      </c>
      <c r="C59" s="36">
        <v>3.7822894609789298E-2</v>
      </c>
      <c r="D59" s="36">
        <v>3.6219798094064302E-2</v>
      </c>
      <c r="E59" s="36">
        <v>3.5659302965301301E-2</v>
      </c>
      <c r="F59" s="36">
        <v>3.6488991318034299E-2</v>
      </c>
      <c r="G59" s="36">
        <v>3.7910786351988503E-2</v>
      </c>
      <c r="H59" s="36">
        <v>3.8413879677980399E-2</v>
      </c>
      <c r="I59" s="36">
        <v>3.9473087291392303E-2</v>
      </c>
      <c r="J59" s="36">
        <v>4.0996040096379499E-2</v>
      </c>
      <c r="K59" s="36">
        <v>4.3359444025075897E-2</v>
      </c>
      <c r="L59" s="36">
        <v>4.5630150347915399E-2</v>
      </c>
      <c r="M59" s="36">
        <v>4.7707521597545197E-2</v>
      </c>
      <c r="N59" s="36">
        <v>4.6243015731123799E-2</v>
      </c>
      <c r="O59" s="36">
        <v>4.6481617553558299E-2</v>
      </c>
      <c r="P59" s="36">
        <v>4.3347436177764098E-2</v>
      </c>
      <c r="Q59" s="36">
        <v>3.9832963426088303E-2</v>
      </c>
      <c r="R59" s="36">
        <v>3.9549852535339797E-2</v>
      </c>
      <c r="S59" s="36">
        <v>3.6758684774549202E-2</v>
      </c>
      <c r="T59" s="36">
        <v>3.4201478036081902E-2</v>
      </c>
      <c r="U59" s="36">
        <v>3.1595995412919901E-2</v>
      </c>
      <c r="V59" s="194">
        <v>3.1653364088576399E-2</v>
      </c>
      <c r="W59" s="36">
        <v>3.3208666217348699E-2</v>
      </c>
    </row>
    <row r="60" spans="1:23" ht="15" x14ac:dyDescent="0.25">
      <c r="A60" s="193" t="s">
        <v>254</v>
      </c>
      <c r="B60" s="36" t="s">
        <v>255</v>
      </c>
      <c r="C60" s="36">
        <v>4.9915585218267902E-2</v>
      </c>
      <c r="D60" s="36">
        <v>4.8985189913599403E-2</v>
      </c>
      <c r="E60" s="36">
        <v>4.8720286395102598E-2</v>
      </c>
      <c r="F60" s="36">
        <v>4.9153062757368297E-2</v>
      </c>
      <c r="G60" s="36">
        <v>5.2401405500144799E-2</v>
      </c>
      <c r="H60" s="36">
        <v>5.39642593986022E-2</v>
      </c>
      <c r="I60" s="36">
        <v>5.1556926123494502E-2</v>
      </c>
      <c r="J60" s="36">
        <v>5.0367846816792301E-2</v>
      </c>
      <c r="K60" s="36">
        <v>5.38787967653169E-2</v>
      </c>
      <c r="L60" s="36">
        <v>5.557572065237E-2</v>
      </c>
      <c r="M60" s="36">
        <v>5.7500105228362297E-2</v>
      </c>
      <c r="N60" s="36">
        <v>5.6232556231023398E-2</v>
      </c>
      <c r="O60" s="36">
        <v>5.71411880056448E-2</v>
      </c>
      <c r="P60" s="36">
        <v>5.33590728562068E-2</v>
      </c>
      <c r="Q60" s="36">
        <v>4.9998871569439801E-2</v>
      </c>
      <c r="R60" s="36">
        <v>4.9287921763734498E-2</v>
      </c>
      <c r="S60" s="36">
        <v>4.6724680190694798E-2</v>
      </c>
      <c r="T60" s="36">
        <v>4.43134999149482E-2</v>
      </c>
      <c r="U60" s="36">
        <v>4.1026816382784603E-2</v>
      </c>
      <c r="V60" s="194">
        <v>4.1285488840661203E-2</v>
      </c>
      <c r="W60" s="36">
        <v>4.2011336128108201E-2</v>
      </c>
    </row>
    <row r="61" spans="1:23" ht="15" x14ac:dyDescent="0.25">
      <c r="A61" s="193" t="s">
        <v>256</v>
      </c>
      <c r="B61" s="36" t="s">
        <v>257</v>
      </c>
      <c r="C61" s="36">
        <v>4.9915585218267902E-2</v>
      </c>
      <c r="D61" s="36">
        <v>4.8985189913599403E-2</v>
      </c>
      <c r="E61" s="36">
        <v>4.8720286395102598E-2</v>
      </c>
      <c r="F61" s="36">
        <v>4.9153062757368297E-2</v>
      </c>
      <c r="G61" s="36">
        <v>5.2401405500144799E-2</v>
      </c>
      <c r="H61" s="36">
        <v>5.39642593986022E-2</v>
      </c>
      <c r="I61" s="36">
        <v>5.1556926123494502E-2</v>
      </c>
      <c r="J61" s="36">
        <v>5.0367846816792301E-2</v>
      </c>
      <c r="K61" s="36">
        <v>5.38787967653169E-2</v>
      </c>
      <c r="L61" s="36">
        <v>5.557572065237E-2</v>
      </c>
      <c r="M61" s="36">
        <v>5.7500105228362297E-2</v>
      </c>
      <c r="N61" s="36">
        <v>5.6232556231023398E-2</v>
      </c>
      <c r="O61" s="36">
        <v>5.71411880056448E-2</v>
      </c>
      <c r="P61" s="36">
        <v>5.33590728562068E-2</v>
      </c>
      <c r="Q61" s="36">
        <v>4.9998871569439801E-2</v>
      </c>
      <c r="R61" s="36">
        <v>4.9287921763734498E-2</v>
      </c>
      <c r="S61" s="36">
        <v>4.6724680190694798E-2</v>
      </c>
      <c r="T61" s="36">
        <v>4.43134999149482E-2</v>
      </c>
      <c r="U61" s="36">
        <v>4.1026816382784603E-2</v>
      </c>
      <c r="V61" s="194">
        <v>4.1285488840661203E-2</v>
      </c>
      <c r="W61" s="36">
        <v>4.2011336128108201E-2</v>
      </c>
    </row>
    <row r="67" spans="1:14" ht="15" x14ac:dyDescent="0.25">
      <c r="A67" s="178" t="s">
        <v>192</v>
      </c>
      <c r="B67" s="178" t="s">
        <v>67</v>
      </c>
      <c r="C67" s="17">
        <v>1995</v>
      </c>
      <c r="D67" s="17">
        <v>2000</v>
      </c>
      <c r="E67" s="17">
        <v>2005</v>
      </c>
      <c r="F67" s="17">
        <v>2010</v>
      </c>
      <c r="G67" s="17">
        <v>2015</v>
      </c>
      <c r="H67" s="17">
        <v>2020</v>
      </c>
      <c r="I67" s="17">
        <v>2025</v>
      </c>
      <c r="J67" s="17">
        <v>2030</v>
      </c>
      <c r="K67" s="17">
        <v>2035</v>
      </c>
      <c r="L67" s="17">
        <v>2040</v>
      </c>
      <c r="M67" s="17">
        <v>2045</v>
      </c>
      <c r="N67" s="17">
        <v>2050</v>
      </c>
    </row>
    <row r="68" spans="1:14" ht="15" x14ac:dyDescent="0.25">
      <c r="A68" s="200" t="s">
        <v>193</v>
      </c>
      <c r="B68" s="17" t="s">
        <v>55</v>
      </c>
      <c r="C68" s="19">
        <v>0.5</v>
      </c>
      <c r="D68" s="19">
        <v>0.5</v>
      </c>
      <c r="E68" s="19">
        <v>0.5</v>
      </c>
      <c r="F68" s="19">
        <v>0.5</v>
      </c>
      <c r="G68" s="19">
        <v>0.5</v>
      </c>
      <c r="H68" s="19">
        <v>0.5</v>
      </c>
      <c r="I68" s="19">
        <v>0.5</v>
      </c>
      <c r="J68" s="19">
        <v>0.5</v>
      </c>
      <c r="K68" s="19">
        <v>0.5</v>
      </c>
      <c r="L68" s="19">
        <v>0.5</v>
      </c>
      <c r="M68" s="19">
        <v>0.5</v>
      </c>
      <c r="N68" s="19">
        <v>0.5</v>
      </c>
    </row>
    <row r="69" spans="1:14" ht="15" x14ac:dyDescent="0.25">
      <c r="A69" s="200"/>
      <c r="B69" s="17" t="s">
        <v>57</v>
      </c>
      <c r="C69" s="19">
        <v>0.3</v>
      </c>
      <c r="D69" s="19">
        <v>0.3</v>
      </c>
      <c r="E69" s="19">
        <v>0.3</v>
      </c>
      <c r="F69" s="19">
        <v>0.3</v>
      </c>
      <c r="G69" s="19">
        <v>0.3</v>
      </c>
      <c r="H69" s="19">
        <v>0.3</v>
      </c>
      <c r="I69" s="19">
        <v>0.3</v>
      </c>
      <c r="J69" s="19">
        <v>0.3</v>
      </c>
      <c r="K69" s="19">
        <v>0.3</v>
      </c>
      <c r="L69" s="19">
        <v>0.3</v>
      </c>
      <c r="M69" s="19">
        <v>0.3</v>
      </c>
      <c r="N69" s="19">
        <v>0.3</v>
      </c>
    </row>
    <row r="70" spans="1:14" ht="15" x14ac:dyDescent="0.25">
      <c r="A70" s="200"/>
      <c r="B70" s="17" t="s">
        <v>58</v>
      </c>
      <c r="C70" s="19">
        <v>0.2</v>
      </c>
      <c r="D70" s="19">
        <v>0.2</v>
      </c>
      <c r="E70" s="19">
        <v>0.2</v>
      </c>
      <c r="F70" s="19">
        <v>0.2</v>
      </c>
      <c r="G70" s="19">
        <v>0.2</v>
      </c>
      <c r="H70" s="19">
        <v>0.2</v>
      </c>
      <c r="I70" s="19">
        <v>0.2</v>
      </c>
      <c r="J70" s="19">
        <v>0.2</v>
      </c>
      <c r="K70" s="19">
        <v>0.2</v>
      </c>
      <c r="L70" s="19">
        <v>0.2</v>
      </c>
      <c r="M70" s="19">
        <v>0.2</v>
      </c>
      <c r="N70" s="19">
        <v>0.2</v>
      </c>
    </row>
    <row r="71" spans="1:14" ht="15" x14ac:dyDescent="0.25">
      <c r="A71" s="200" t="s">
        <v>194</v>
      </c>
      <c r="B71" s="17" t="s">
        <v>55</v>
      </c>
      <c r="C71" s="19">
        <v>0.5</v>
      </c>
      <c r="D71" s="19">
        <v>0.5</v>
      </c>
      <c r="E71" s="19">
        <v>0.5</v>
      </c>
      <c r="F71" s="19">
        <v>0.5</v>
      </c>
      <c r="G71" s="19">
        <v>0.5</v>
      </c>
      <c r="H71" s="19">
        <v>0.5</v>
      </c>
      <c r="I71" s="19">
        <v>0.5</v>
      </c>
      <c r="J71" s="19">
        <v>0.5</v>
      </c>
      <c r="K71" s="19">
        <v>0.5</v>
      </c>
      <c r="L71" s="19">
        <v>0.5</v>
      </c>
      <c r="M71" s="19">
        <v>0.5</v>
      </c>
      <c r="N71" s="19">
        <v>0.5</v>
      </c>
    </row>
    <row r="72" spans="1:14" ht="15" x14ac:dyDescent="0.25">
      <c r="A72" s="200"/>
      <c r="B72" s="17" t="s">
        <v>57</v>
      </c>
      <c r="C72" s="19">
        <v>0.3</v>
      </c>
      <c r="D72" s="19">
        <v>0.3</v>
      </c>
      <c r="E72" s="19">
        <v>0.3</v>
      </c>
      <c r="F72" s="19">
        <v>0.3</v>
      </c>
      <c r="G72" s="19">
        <v>0.3</v>
      </c>
      <c r="H72" s="19">
        <v>0.3</v>
      </c>
      <c r="I72" s="19">
        <v>0.3</v>
      </c>
      <c r="J72" s="19">
        <v>0.3</v>
      </c>
      <c r="K72" s="19">
        <v>0.3</v>
      </c>
      <c r="L72" s="19">
        <v>0.3</v>
      </c>
      <c r="M72" s="19">
        <v>0.3</v>
      </c>
      <c r="N72" s="19">
        <v>0.3</v>
      </c>
    </row>
    <row r="73" spans="1:14" ht="15" x14ac:dyDescent="0.25">
      <c r="A73" s="200"/>
      <c r="B73" s="17" t="s">
        <v>58</v>
      </c>
      <c r="C73" s="19">
        <v>0.2</v>
      </c>
      <c r="D73" s="19">
        <v>0.2</v>
      </c>
      <c r="E73" s="19">
        <v>0.2</v>
      </c>
      <c r="F73" s="19">
        <v>0.2</v>
      </c>
      <c r="G73" s="19">
        <v>0.2</v>
      </c>
      <c r="H73" s="19">
        <v>0.2</v>
      </c>
      <c r="I73" s="19">
        <v>0.2</v>
      </c>
      <c r="J73" s="19">
        <v>0.2</v>
      </c>
      <c r="K73" s="19">
        <v>0.2</v>
      </c>
      <c r="L73" s="19">
        <v>0.2</v>
      </c>
      <c r="M73" s="19">
        <v>0.2</v>
      </c>
      <c r="N73" s="19">
        <v>0.2</v>
      </c>
    </row>
    <row r="74" spans="1:14" ht="15" x14ac:dyDescent="0.25">
      <c r="A74" s="200" t="s">
        <v>195</v>
      </c>
      <c r="B74" s="17" t="s">
        <v>55</v>
      </c>
      <c r="C74" s="19">
        <v>0.5</v>
      </c>
      <c r="D74" s="19">
        <v>0.5</v>
      </c>
      <c r="E74" s="19">
        <v>0.5</v>
      </c>
      <c r="F74" s="19">
        <v>0.5</v>
      </c>
      <c r="G74" s="19">
        <v>0.5</v>
      </c>
      <c r="H74" s="19">
        <v>0.5</v>
      </c>
      <c r="I74" s="19">
        <v>0.5</v>
      </c>
      <c r="J74" s="19">
        <v>0.5</v>
      </c>
      <c r="K74" s="19">
        <v>0.5</v>
      </c>
      <c r="L74" s="19">
        <v>0.5</v>
      </c>
      <c r="M74" s="19">
        <v>0.5</v>
      </c>
      <c r="N74" s="19">
        <v>0.5</v>
      </c>
    </row>
    <row r="75" spans="1:14" ht="15" x14ac:dyDescent="0.25">
      <c r="A75" s="200"/>
      <c r="B75" s="17" t="s">
        <v>57</v>
      </c>
      <c r="C75" s="19">
        <v>0.3</v>
      </c>
      <c r="D75" s="19">
        <v>0.3</v>
      </c>
      <c r="E75" s="19">
        <v>0.3</v>
      </c>
      <c r="F75" s="19">
        <v>0.3</v>
      </c>
      <c r="G75" s="19">
        <v>0.3</v>
      </c>
      <c r="H75" s="19">
        <v>0.3</v>
      </c>
      <c r="I75" s="19">
        <v>0.3</v>
      </c>
      <c r="J75" s="19">
        <v>0.3</v>
      </c>
      <c r="K75" s="19">
        <v>0.3</v>
      </c>
      <c r="L75" s="19">
        <v>0.3</v>
      </c>
      <c r="M75" s="19">
        <v>0.3</v>
      </c>
      <c r="N75" s="19">
        <v>0.3</v>
      </c>
    </row>
    <row r="76" spans="1:14" ht="15" x14ac:dyDescent="0.25">
      <c r="A76" s="200"/>
      <c r="B76" s="17" t="s">
        <v>58</v>
      </c>
      <c r="C76" s="19">
        <v>0.2</v>
      </c>
      <c r="D76" s="19">
        <v>0.2</v>
      </c>
      <c r="E76" s="19">
        <v>0.2</v>
      </c>
      <c r="F76" s="19">
        <v>0.2</v>
      </c>
      <c r="G76" s="19">
        <v>0.2</v>
      </c>
      <c r="H76" s="19">
        <v>0.2</v>
      </c>
      <c r="I76" s="19">
        <v>0.2</v>
      </c>
      <c r="J76" s="19">
        <v>0.2</v>
      </c>
      <c r="K76" s="19">
        <v>0.2</v>
      </c>
      <c r="L76" s="19">
        <v>0.2</v>
      </c>
      <c r="M76" s="19">
        <v>0.2</v>
      </c>
      <c r="N76" s="19">
        <v>0.2</v>
      </c>
    </row>
    <row r="77" spans="1:14" ht="15" x14ac:dyDescent="0.25">
      <c r="A77" s="200" t="s">
        <v>196</v>
      </c>
      <c r="B77" s="17" t="s">
        <v>55</v>
      </c>
      <c r="C77" s="19">
        <v>0.5</v>
      </c>
      <c r="D77" s="19">
        <v>0.5</v>
      </c>
      <c r="E77" s="19">
        <v>0.5</v>
      </c>
      <c r="F77" s="19">
        <v>0.5</v>
      </c>
      <c r="G77" s="19">
        <v>0.5</v>
      </c>
      <c r="H77" s="19">
        <v>0.5</v>
      </c>
      <c r="I77" s="19">
        <v>0.5</v>
      </c>
      <c r="J77" s="19">
        <v>0.5</v>
      </c>
      <c r="K77" s="19">
        <v>0.5</v>
      </c>
      <c r="L77" s="19">
        <v>0.5</v>
      </c>
      <c r="M77" s="19">
        <v>0.5</v>
      </c>
      <c r="N77" s="19">
        <v>0.5</v>
      </c>
    </row>
    <row r="78" spans="1:14" ht="15" x14ac:dyDescent="0.25">
      <c r="A78" s="200"/>
      <c r="B78" s="17" t="s">
        <v>57</v>
      </c>
      <c r="C78" s="19">
        <v>0.3</v>
      </c>
      <c r="D78" s="19">
        <v>0.3</v>
      </c>
      <c r="E78" s="19">
        <v>0.3</v>
      </c>
      <c r="F78" s="19">
        <v>0.3</v>
      </c>
      <c r="G78" s="19">
        <v>0.3</v>
      </c>
      <c r="H78" s="19">
        <v>0.3</v>
      </c>
      <c r="I78" s="19">
        <v>0.3</v>
      </c>
      <c r="J78" s="19">
        <v>0.3</v>
      </c>
      <c r="K78" s="19">
        <v>0.3</v>
      </c>
      <c r="L78" s="19">
        <v>0.3</v>
      </c>
      <c r="M78" s="19">
        <v>0.3</v>
      </c>
      <c r="N78" s="19">
        <v>0.3</v>
      </c>
    </row>
    <row r="79" spans="1:14" ht="15" x14ac:dyDescent="0.25">
      <c r="A79" s="200"/>
      <c r="B79" s="17" t="s">
        <v>58</v>
      </c>
      <c r="C79" s="19">
        <v>0.2</v>
      </c>
      <c r="D79" s="19">
        <v>0.2</v>
      </c>
      <c r="E79" s="19">
        <v>0.2</v>
      </c>
      <c r="F79" s="19">
        <v>0.2</v>
      </c>
      <c r="G79" s="19">
        <v>0.2</v>
      </c>
      <c r="H79" s="19">
        <v>0.2</v>
      </c>
      <c r="I79" s="19">
        <v>0.2</v>
      </c>
      <c r="J79" s="19">
        <v>0.2</v>
      </c>
      <c r="K79" s="19">
        <v>0.2</v>
      </c>
      <c r="L79" s="19">
        <v>0.2</v>
      </c>
      <c r="M79" s="19">
        <v>0.2</v>
      </c>
      <c r="N79" s="19">
        <v>0.2</v>
      </c>
    </row>
    <row r="80" spans="1:14" ht="15" x14ac:dyDescent="0.25">
      <c r="A80" s="200" t="s">
        <v>197</v>
      </c>
      <c r="B80" s="17" t="s">
        <v>55</v>
      </c>
      <c r="C80" s="19">
        <v>0.5</v>
      </c>
      <c r="D80" s="19">
        <v>0.5</v>
      </c>
      <c r="E80" s="19">
        <v>0.5</v>
      </c>
      <c r="F80" s="19">
        <v>0.5</v>
      </c>
      <c r="G80" s="19">
        <v>0.5</v>
      </c>
      <c r="H80" s="19">
        <v>0.5</v>
      </c>
      <c r="I80" s="19">
        <v>0.5</v>
      </c>
      <c r="J80" s="19">
        <v>0.5</v>
      </c>
      <c r="K80" s="19">
        <v>0.5</v>
      </c>
      <c r="L80" s="19">
        <v>0.5</v>
      </c>
      <c r="M80" s="19">
        <v>0.5</v>
      </c>
      <c r="N80" s="19">
        <v>0.5</v>
      </c>
    </row>
    <row r="81" spans="1:14" ht="15" x14ac:dyDescent="0.25">
      <c r="A81" s="200"/>
      <c r="B81" s="17" t="s">
        <v>57</v>
      </c>
      <c r="C81" s="19">
        <v>0.3</v>
      </c>
      <c r="D81" s="19">
        <v>0.3</v>
      </c>
      <c r="E81" s="19">
        <v>0.3</v>
      </c>
      <c r="F81" s="19">
        <v>0.3</v>
      </c>
      <c r="G81" s="19">
        <v>0.3</v>
      </c>
      <c r="H81" s="19">
        <v>0.3</v>
      </c>
      <c r="I81" s="19">
        <v>0.3</v>
      </c>
      <c r="J81" s="19">
        <v>0.3</v>
      </c>
      <c r="K81" s="19">
        <v>0.3</v>
      </c>
      <c r="L81" s="19">
        <v>0.3</v>
      </c>
      <c r="M81" s="19">
        <v>0.3</v>
      </c>
      <c r="N81" s="19">
        <v>0.3</v>
      </c>
    </row>
    <row r="82" spans="1:14" ht="15" x14ac:dyDescent="0.25">
      <c r="A82" s="200"/>
      <c r="B82" s="17" t="s">
        <v>58</v>
      </c>
      <c r="C82" s="19">
        <v>0.2</v>
      </c>
      <c r="D82" s="19">
        <v>0.2</v>
      </c>
      <c r="E82" s="19">
        <v>0.2</v>
      </c>
      <c r="F82" s="19">
        <v>0.2</v>
      </c>
      <c r="G82" s="19">
        <v>0.2</v>
      </c>
      <c r="H82" s="19">
        <v>0.2</v>
      </c>
      <c r="I82" s="19">
        <v>0.2</v>
      </c>
      <c r="J82" s="19">
        <v>0.2</v>
      </c>
      <c r="K82" s="19">
        <v>0.2</v>
      </c>
      <c r="L82" s="19">
        <v>0.2</v>
      </c>
      <c r="M82" s="19">
        <v>0.2</v>
      </c>
      <c r="N82" s="19">
        <v>0.2</v>
      </c>
    </row>
    <row r="83" spans="1:14" ht="15" x14ac:dyDescent="0.25">
      <c r="A83" s="200" t="s">
        <v>198</v>
      </c>
      <c r="B83" s="17" t="s">
        <v>55</v>
      </c>
      <c r="C83" s="19">
        <v>0.5</v>
      </c>
      <c r="D83" s="19">
        <v>0.5</v>
      </c>
      <c r="E83" s="19">
        <v>0.5</v>
      </c>
      <c r="F83" s="19">
        <v>0.5</v>
      </c>
      <c r="G83" s="19">
        <v>0.5</v>
      </c>
      <c r="H83" s="19">
        <v>0.5</v>
      </c>
      <c r="I83" s="19">
        <v>0.5</v>
      </c>
      <c r="J83" s="19">
        <v>0.5</v>
      </c>
      <c r="K83" s="19">
        <v>0.5</v>
      </c>
      <c r="L83" s="19">
        <v>0.5</v>
      </c>
      <c r="M83" s="19">
        <v>0.5</v>
      </c>
      <c r="N83" s="19">
        <v>0.5</v>
      </c>
    </row>
    <row r="84" spans="1:14" ht="15" x14ac:dyDescent="0.25">
      <c r="A84" s="200"/>
      <c r="B84" s="17" t="s">
        <v>57</v>
      </c>
      <c r="C84" s="19">
        <v>0.3</v>
      </c>
      <c r="D84" s="19">
        <v>0.3</v>
      </c>
      <c r="E84" s="19">
        <v>0.3</v>
      </c>
      <c r="F84" s="19">
        <v>0.3</v>
      </c>
      <c r="G84" s="19">
        <v>0.3</v>
      </c>
      <c r="H84" s="19">
        <v>0.3</v>
      </c>
      <c r="I84" s="19">
        <v>0.3</v>
      </c>
      <c r="J84" s="19">
        <v>0.3</v>
      </c>
      <c r="K84" s="19">
        <v>0.3</v>
      </c>
      <c r="L84" s="19">
        <v>0.3</v>
      </c>
      <c r="M84" s="19">
        <v>0.3</v>
      </c>
      <c r="N84" s="19">
        <v>0.3</v>
      </c>
    </row>
    <row r="85" spans="1:14" ht="15" x14ac:dyDescent="0.25">
      <c r="A85" s="200"/>
      <c r="B85" s="17" t="s">
        <v>58</v>
      </c>
      <c r="C85" s="19">
        <v>0.2</v>
      </c>
      <c r="D85" s="19">
        <v>0.2</v>
      </c>
      <c r="E85" s="19">
        <v>0.2</v>
      </c>
      <c r="F85" s="19">
        <v>0.2</v>
      </c>
      <c r="G85" s="19">
        <v>0.2</v>
      </c>
      <c r="H85" s="19">
        <v>0.2</v>
      </c>
      <c r="I85" s="19">
        <v>0.2</v>
      </c>
      <c r="J85" s="19">
        <v>0.2</v>
      </c>
      <c r="K85" s="19">
        <v>0.2</v>
      </c>
      <c r="L85" s="19">
        <v>0.2</v>
      </c>
      <c r="M85" s="19">
        <v>0.2</v>
      </c>
      <c r="N85" s="19">
        <v>0.2</v>
      </c>
    </row>
    <row r="86" spans="1:14" ht="15" x14ac:dyDescent="0.25">
      <c r="A86" s="200" t="s">
        <v>199</v>
      </c>
      <c r="B86" s="17" t="s">
        <v>55</v>
      </c>
      <c r="C86" s="19">
        <v>0.5</v>
      </c>
      <c r="D86" s="19">
        <v>0.5</v>
      </c>
      <c r="E86" s="19">
        <v>0.5</v>
      </c>
      <c r="F86" s="19">
        <v>0.5</v>
      </c>
      <c r="G86" s="19">
        <v>0.5</v>
      </c>
      <c r="H86" s="19">
        <v>0.5</v>
      </c>
      <c r="I86" s="19">
        <v>0.5</v>
      </c>
      <c r="J86" s="19">
        <v>0.5</v>
      </c>
      <c r="K86" s="19">
        <v>0.5</v>
      </c>
      <c r="L86" s="19">
        <v>0.5</v>
      </c>
      <c r="M86" s="19">
        <v>0.5</v>
      </c>
      <c r="N86" s="19">
        <v>0.5</v>
      </c>
    </row>
    <row r="87" spans="1:14" ht="15" x14ac:dyDescent="0.25">
      <c r="A87" s="200"/>
      <c r="B87" s="17" t="s">
        <v>57</v>
      </c>
      <c r="C87" s="19">
        <v>0.3</v>
      </c>
      <c r="D87" s="19">
        <v>0.3</v>
      </c>
      <c r="E87" s="19">
        <v>0.3</v>
      </c>
      <c r="F87" s="19">
        <v>0.3</v>
      </c>
      <c r="G87" s="19">
        <v>0.3</v>
      </c>
      <c r="H87" s="19">
        <v>0.3</v>
      </c>
      <c r="I87" s="19">
        <v>0.3</v>
      </c>
      <c r="J87" s="19">
        <v>0.3</v>
      </c>
      <c r="K87" s="19">
        <v>0.3</v>
      </c>
      <c r="L87" s="19">
        <v>0.3</v>
      </c>
      <c r="M87" s="19">
        <v>0.3</v>
      </c>
      <c r="N87" s="19">
        <v>0.3</v>
      </c>
    </row>
    <row r="88" spans="1:14" ht="15" x14ac:dyDescent="0.25">
      <c r="A88" s="200"/>
      <c r="B88" s="17" t="s">
        <v>58</v>
      </c>
      <c r="C88" s="19">
        <v>0.2</v>
      </c>
      <c r="D88" s="19">
        <v>0.2</v>
      </c>
      <c r="E88" s="19">
        <v>0.2</v>
      </c>
      <c r="F88" s="19">
        <v>0.2</v>
      </c>
      <c r="G88" s="19">
        <v>0.2</v>
      </c>
      <c r="H88" s="19">
        <v>0.2</v>
      </c>
      <c r="I88" s="19">
        <v>0.2</v>
      </c>
      <c r="J88" s="19">
        <v>0.2</v>
      </c>
      <c r="K88" s="19">
        <v>0.2</v>
      </c>
      <c r="L88" s="19">
        <v>0.2</v>
      </c>
      <c r="M88" s="19">
        <v>0.2</v>
      </c>
      <c r="N88" s="19">
        <v>0.2</v>
      </c>
    </row>
    <row r="89" spans="1:14" ht="15" x14ac:dyDescent="0.25">
      <c r="A89" s="200" t="s">
        <v>200</v>
      </c>
      <c r="B89" s="17" t="s">
        <v>55</v>
      </c>
      <c r="C89" s="19">
        <v>0.5</v>
      </c>
      <c r="D89" s="19">
        <v>0.5</v>
      </c>
      <c r="E89" s="19">
        <v>0.5</v>
      </c>
      <c r="F89" s="19">
        <v>0.5</v>
      </c>
      <c r="G89" s="19">
        <v>0.5</v>
      </c>
      <c r="H89" s="19">
        <v>0.5</v>
      </c>
      <c r="I89" s="19">
        <v>0.5</v>
      </c>
      <c r="J89" s="19">
        <v>0.5</v>
      </c>
      <c r="K89" s="19">
        <v>0.5</v>
      </c>
      <c r="L89" s="19">
        <v>0.5</v>
      </c>
      <c r="M89" s="19">
        <v>0.5</v>
      </c>
      <c r="N89" s="19">
        <v>0.5</v>
      </c>
    </row>
    <row r="90" spans="1:14" ht="15" x14ac:dyDescent="0.25">
      <c r="A90" s="200"/>
      <c r="B90" s="17" t="s">
        <v>57</v>
      </c>
      <c r="C90" s="19">
        <v>0.3</v>
      </c>
      <c r="D90" s="19">
        <v>0.3</v>
      </c>
      <c r="E90" s="19">
        <v>0.3</v>
      </c>
      <c r="F90" s="19">
        <v>0.3</v>
      </c>
      <c r="G90" s="19">
        <v>0.3</v>
      </c>
      <c r="H90" s="19">
        <v>0.3</v>
      </c>
      <c r="I90" s="19">
        <v>0.3</v>
      </c>
      <c r="J90" s="19">
        <v>0.3</v>
      </c>
      <c r="K90" s="19">
        <v>0.3</v>
      </c>
      <c r="L90" s="19">
        <v>0.3</v>
      </c>
      <c r="M90" s="19">
        <v>0.3</v>
      </c>
      <c r="N90" s="19">
        <v>0.3</v>
      </c>
    </row>
    <row r="91" spans="1:14" ht="15" x14ac:dyDescent="0.25">
      <c r="A91" s="200"/>
      <c r="B91" s="17" t="s">
        <v>58</v>
      </c>
      <c r="C91" s="19">
        <v>0.2</v>
      </c>
      <c r="D91" s="19">
        <v>0.2</v>
      </c>
      <c r="E91" s="19">
        <v>0.2</v>
      </c>
      <c r="F91" s="19">
        <v>0.2</v>
      </c>
      <c r="G91" s="19">
        <v>0.2</v>
      </c>
      <c r="H91" s="19">
        <v>0.2</v>
      </c>
      <c r="I91" s="19">
        <v>0.2</v>
      </c>
      <c r="J91" s="19">
        <v>0.2</v>
      </c>
      <c r="K91" s="19">
        <v>0.2</v>
      </c>
      <c r="L91" s="19">
        <v>0.2</v>
      </c>
      <c r="M91" s="19">
        <v>0.2</v>
      </c>
      <c r="N91" s="19">
        <v>0.2</v>
      </c>
    </row>
    <row r="92" spans="1:14" ht="15" x14ac:dyDescent="0.25">
      <c r="A92" s="200" t="s">
        <v>201</v>
      </c>
      <c r="B92" s="17" t="s">
        <v>55</v>
      </c>
      <c r="C92" s="19">
        <v>0.5</v>
      </c>
      <c r="D92" s="19">
        <v>0.5</v>
      </c>
      <c r="E92" s="19">
        <v>0.5</v>
      </c>
      <c r="F92" s="19">
        <v>0.5</v>
      </c>
      <c r="G92" s="19">
        <v>0.5</v>
      </c>
      <c r="H92" s="19">
        <v>0.5</v>
      </c>
      <c r="I92" s="19">
        <v>0.5</v>
      </c>
      <c r="J92" s="19">
        <v>0.5</v>
      </c>
      <c r="K92" s="19">
        <v>0.5</v>
      </c>
      <c r="L92" s="19">
        <v>0.5</v>
      </c>
      <c r="M92" s="19">
        <v>0.5</v>
      </c>
      <c r="N92" s="19">
        <v>0.5</v>
      </c>
    </row>
    <row r="93" spans="1:14" ht="15" x14ac:dyDescent="0.25">
      <c r="A93" s="200"/>
      <c r="B93" s="17" t="s">
        <v>57</v>
      </c>
      <c r="C93" s="19">
        <v>0.3</v>
      </c>
      <c r="D93" s="19">
        <v>0.3</v>
      </c>
      <c r="E93" s="19">
        <v>0.3</v>
      </c>
      <c r="F93" s="19">
        <v>0.3</v>
      </c>
      <c r="G93" s="19">
        <v>0.3</v>
      </c>
      <c r="H93" s="19">
        <v>0.3</v>
      </c>
      <c r="I93" s="19">
        <v>0.3</v>
      </c>
      <c r="J93" s="19">
        <v>0.3</v>
      </c>
      <c r="K93" s="19">
        <v>0.3</v>
      </c>
      <c r="L93" s="19">
        <v>0.3</v>
      </c>
      <c r="M93" s="19">
        <v>0.3</v>
      </c>
      <c r="N93" s="19">
        <v>0.3</v>
      </c>
    </row>
    <row r="94" spans="1:14" ht="15" x14ac:dyDescent="0.25">
      <c r="A94" s="200"/>
      <c r="B94" s="17" t="s">
        <v>58</v>
      </c>
      <c r="C94" s="19">
        <v>0.2</v>
      </c>
      <c r="D94" s="19">
        <v>0.2</v>
      </c>
      <c r="E94" s="19">
        <v>0.2</v>
      </c>
      <c r="F94" s="19">
        <v>0.2</v>
      </c>
      <c r="G94" s="19">
        <v>0.2</v>
      </c>
      <c r="H94" s="19">
        <v>0.2</v>
      </c>
      <c r="I94" s="19">
        <v>0.2</v>
      </c>
      <c r="J94" s="19">
        <v>0.2</v>
      </c>
      <c r="K94" s="19">
        <v>0.2</v>
      </c>
      <c r="L94" s="19">
        <v>0.2</v>
      </c>
      <c r="M94" s="19">
        <v>0.2</v>
      </c>
      <c r="N94" s="19">
        <v>0.2</v>
      </c>
    </row>
    <row r="95" spans="1:14" ht="15" x14ac:dyDescent="0.25">
      <c r="A95" s="200" t="s">
        <v>202</v>
      </c>
      <c r="B95" s="17" t="s">
        <v>55</v>
      </c>
      <c r="C95" s="19">
        <v>0.5</v>
      </c>
      <c r="D95" s="19">
        <v>0.5</v>
      </c>
      <c r="E95" s="19">
        <v>0.5</v>
      </c>
      <c r="F95" s="19">
        <v>0.5</v>
      </c>
      <c r="G95" s="19">
        <v>0.5</v>
      </c>
      <c r="H95" s="19">
        <v>0.5</v>
      </c>
      <c r="I95" s="19">
        <v>0.5</v>
      </c>
      <c r="J95" s="19">
        <v>0.5</v>
      </c>
      <c r="K95" s="19">
        <v>0.5</v>
      </c>
      <c r="L95" s="19">
        <v>0.5</v>
      </c>
      <c r="M95" s="19">
        <v>0.5</v>
      </c>
      <c r="N95" s="19">
        <v>0.5</v>
      </c>
    </row>
    <row r="96" spans="1:14" ht="15" x14ac:dyDescent="0.25">
      <c r="A96" s="200"/>
      <c r="B96" s="17" t="s">
        <v>57</v>
      </c>
      <c r="C96" s="19">
        <v>0.3</v>
      </c>
      <c r="D96" s="19">
        <v>0.3</v>
      </c>
      <c r="E96" s="19">
        <v>0.3</v>
      </c>
      <c r="F96" s="19">
        <v>0.3</v>
      </c>
      <c r="G96" s="19">
        <v>0.3</v>
      </c>
      <c r="H96" s="19">
        <v>0.3</v>
      </c>
      <c r="I96" s="19">
        <v>0.3</v>
      </c>
      <c r="J96" s="19">
        <v>0.3</v>
      </c>
      <c r="K96" s="19">
        <v>0.3</v>
      </c>
      <c r="L96" s="19">
        <v>0.3</v>
      </c>
      <c r="M96" s="19">
        <v>0.3</v>
      </c>
      <c r="N96" s="19">
        <v>0.3</v>
      </c>
    </row>
    <row r="97" spans="1:14" ht="15" x14ac:dyDescent="0.25">
      <c r="A97" s="200"/>
      <c r="B97" s="17" t="s">
        <v>58</v>
      </c>
      <c r="C97" s="19">
        <v>0.2</v>
      </c>
      <c r="D97" s="19">
        <v>0.2</v>
      </c>
      <c r="E97" s="19">
        <v>0.2</v>
      </c>
      <c r="F97" s="19">
        <v>0.2</v>
      </c>
      <c r="G97" s="19">
        <v>0.2</v>
      </c>
      <c r="H97" s="19">
        <v>0.2</v>
      </c>
      <c r="I97" s="19">
        <v>0.2</v>
      </c>
      <c r="J97" s="19">
        <v>0.2</v>
      </c>
      <c r="K97" s="19">
        <v>0.2</v>
      </c>
      <c r="L97" s="19">
        <v>0.2</v>
      </c>
      <c r="M97" s="19">
        <v>0.2</v>
      </c>
      <c r="N97" s="19">
        <v>0.2</v>
      </c>
    </row>
    <row r="98" spans="1:14" ht="15" x14ac:dyDescent="0.25">
      <c r="A98" s="200" t="s">
        <v>203</v>
      </c>
      <c r="B98" s="17" t="s">
        <v>55</v>
      </c>
      <c r="C98" s="19">
        <v>0.5</v>
      </c>
      <c r="D98" s="19">
        <v>0.5</v>
      </c>
      <c r="E98" s="19">
        <v>0.5</v>
      </c>
      <c r="F98" s="19">
        <v>0.5</v>
      </c>
      <c r="G98" s="19">
        <v>0.5</v>
      </c>
      <c r="H98" s="19">
        <v>0.5</v>
      </c>
      <c r="I98" s="19">
        <v>0.5</v>
      </c>
      <c r="J98" s="19">
        <v>0.5</v>
      </c>
      <c r="K98" s="19">
        <v>0.5</v>
      </c>
      <c r="L98" s="19">
        <v>0.5</v>
      </c>
      <c r="M98" s="19">
        <v>0.5</v>
      </c>
      <c r="N98" s="19">
        <v>0.5</v>
      </c>
    </row>
    <row r="99" spans="1:14" ht="15" x14ac:dyDescent="0.25">
      <c r="A99" s="200"/>
      <c r="B99" s="17" t="s">
        <v>57</v>
      </c>
      <c r="C99" s="19">
        <v>0.3</v>
      </c>
      <c r="D99" s="19">
        <v>0.3</v>
      </c>
      <c r="E99" s="19">
        <v>0.3</v>
      </c>
      <c r="F99" s="19">
        <v>0.3</v>
      </c>
      <c r="G99" s="19">
        <v>0.3</v>
      </c>
      <c r="H99" s="19">
        <v>0.3</v>
      </c>
      <c r="I99" s="19">
        <v>0.3</v>
      </c>
      <c r="J99" s="19">
        <v>0.3</v>
      </c>
      <c r="K99" s="19">
        <v>0.3</v>
      </c>
      <c r="L99" s="19">
        <v>0.3</v>
      </c>
      <c r="M99" s="19">
        <v>0.3</v>
      </c>
      <c r="N99" s="19">
        <v>0.3</v>
      </c>
    </row>
    <row r="100" spans="1:14" ht="15" x14ac:dyDescent="0.25">
      <c r="A100" s="200"/>
      <c r="B100" s="17" t="s">
        <v>58</v>
      </c>
      <c r="C100" s="19">
        <v>0.2</v>
      </c>
      <c r="D100" s="19">
        <v>0.2</v>
      </c>
      <c r="E100" s="19">
        <v>0.2</v>
      </c>
      <c r="F100" s="19">
        <v>0.2</v>
      </c>
      <c r="G100" s="19">
        <v>0.2</v>
      </c>
      <c r="H100" s="19">
        <v>0.2</v>
      </c>
      <c r="I100" s="19">
        <v>0.2</v>
      </c>
      <c r="J100" s="19">
        <v>0.2</v>
      </c>
      <c r="K100" s="19">
        <v>0.2</v>
      </c>
      <c r="L100" s="19">
        <v>0.2</v>
      </c>
      <c r="M100" s="19">
        <v>0.2</v>
      </c>
      <c r="N100" s="19">
        <v>0.2</v>
      </c>
    </row>
    <row r="101" spans="1:14" ht="15" x14ac:dyDescent="0.25">
      <c r="A101" s="200" t="s">
        <v>204</v>
      </c>
      <c r="B101" s="17" t="s">
        <v>55</v>
      </c>
      <c r="C101" s="19">
        <v>0.5</v>
      </c>
      <c r="D101" s="19">
        <v>0.5</v>
      </c>
      <c r="E101" s="19">
        <v>0.5</v>
      </c>
      <c r="F101" s="19">
        <v>0.5</v>
      </c>
      <c r="G101" s="19">
        <v>0.5</v>
      </c>
      <c r="H101" s="19">
        <v>0.5</v>
      </c>
      <c r="I101" s="19">
        <v>0.5</v>
      </c>
      <c r="J101" s="19">
        <v>0.5</v>
      </c>
      <c r="K101" s="19">
        <v>0.5</v>
      </c>
      <c r="L101" s="19">
        <v>0.5</v>
      </c>
      <c r="M101" s="19">
        <v>0.5</v>
      </c>
      <c r="N101" s="19">
        <v>0.5</v>
      </c>
    </row>
    <row r="102" spans="1:14" ht="15" x14ac:dyDescent="0.25">
      <c r="A102" s="200"/>
      <c r="B102" s="17" t="s">
        <v>57</v>
      </c>
      <c r="C102" s="19">
        <v>0.3</v>
      </c>
      <c r="D102" s="19">
        <v>0.3</v>
      </c>
      <c r="E102" s="19">
        <v>0.3</v>
      </c>
      <c r="F102" s="19">
        <v>0.3</v>
      </c>
      <c r="G102" s="19">
        <v>0.3</v>
      </c>
      <c r="H102" s="19">
        <v>0.3</v>
      </c>
      <c r="I102" s="19">
        <v>0.3</v>
      </c>
      <c r="J102" s="19">
        <v>0.3</v>
      </c>
      <c r="K102" s="19">
        <v>0.3</v>
      </c>
      <c r="L102" s="19">
        <v>0.3</v>
      </c>
      <c r="M102" s="19">
        <v>0.3</v>
      </c>
      <c r="N102" s="19">
        <v>0.3</v>
      </c>
    </row>
    <row r="103" spans="1:14" ht="15" x14ac:dyDescent="0.25">
      <c r="A103" s="200"/>
      <c r="B103" s="17" t="s">
        <v>58</v>
      </c>
      <c r="C103" s="19">
        <v>0.2</v>
      </c>
      <c r="D103" s="19">
        <v>0.2</v>
      </c>
      <c r="E103" s="19">
        <v>0.2</v>
      </c>
      <c r="F103" s="19">
        <v>0.2</v>
      </c>
      <c r="G103" s="19">
        <v>0.2</v>
      </c>
      <c r="H103" s="19">
        <v>0.2</v>
      </c>
      <c r="I103" s="19">
        <v>0.2</v>
      </c>
      <c r="J103" s="19">
        <v>0.2</v>
      </c>
      <c r="K103" s="19">
        <v>0.2</v>
      </c>
      <c r="L103" s="19">
        <v>0.2</v>
      </c>
      <c r="M103" s="19">
        <v>0.2</v>
      </c>
      <c r="N103" s="19">
        <v>0.2</v>
      </c>
    </row>
    <row r="104" spans="1:14" ht="15" x14ac:dyDescent="0.25">
      <c r="A104" s="200" t="s">
        <v>205</v>
      </c>
      <c r="B104" s="17" t="s">
        <v>55</v>
      </c>
      <c r="C104" s="19">
        <v>0.5</v>
      </c>
      <c r="D104" s="19">
        <v>0.5</v>
      </c>
      <c r="E104" s="19">
        <v>0.5</v>
      </c>
      <c r="F104" s="19">
        <v>0.5</v>
      </c>
      <c r="G104" s="19">
        <v>0.5</v>
      </c>
      <c r="H104" s="19">
        <v>0.5</v>
      </c>
      <c r="I104" s="19">
        <v>0.5</v>
      </c>
      <c r="J104" s="19">
        <v>0.5</v>
      </c>
      <c r="K104" s="19">
        <v>0.5</v>
      </c>
      <c r="L104" s="19">
        <v>0.5</v>
      </c>
      <c r="M104" s="19">
        <v>0.5</v>
      </c>
      <c r="N104" s="19">
        <v>0.5</v>
      </c>
    </row>
    <row r="105" spans="1:14" ht="15" x14ac:dyDescent="0.25">
      <c r="A105" s="200"/>
      <c r="B105" s="17" t="s">
        <v>57</v>
      </c>
      <c r="C105" s="19">
        <v>0.3</v>
      </c>
      <c r="D105" s="19">
        <v>0.3</v>
      </c>
      <c r="E105" s="19">
        <v>0.3</v>
      </c>
      <c r="F105" s="19">
        <v>0.3</v>
      </c>
      <c r="G105" s="19">
        <v>0.3</v>
      </c>
      <c r="H105" s="19">
        <v>0.3</v>
      </c>
      <c r="I105" s="19">
        <v>0.3</v>
      </c>
      <c r="J105" s="19">
        <v>0.3</v>
      </c>
      <c r="K105" s="19">
        <v>0.3</v>
      </c>
      <c r="L105" s="19">
        <v>0.3</v>
      </c>
      <c r="M105" s="19">
        <v>0.3</v>
      </c>
      <c r="N105" s="19">
        <v>0.3</v>
      </c>
    </row>
    <row r="106" spans="1:14" ht="15" x14ac:dyDescent="0.25">
      <c r="A106" s="200"/>
      <c r="B106" s="17" t="s">
        <v>58</v>
      </c>
      <c r="C106" s="19">
        <v>0.2</v>
      </c>
      <c r="D106" s="19">
        <v>0.2</v>
      </c>
      <c r="E106" s="19">
        <v>0.2</v>
      </c>
      <c r="F106" s="19">
        <v>0.2</v>
      </c>
      <c r="G106" s="19">
        <v>0.2</v>
      </c>
      <c r="H106" s="19">
        <v>0.2</v>
      </c>
      <c r="I106" s="19">
        <v>0.2</v>
      </c>
      <c r="J106" s="19">
        <v>0.2</v>
      </c>
      <c r="K106" s="19">
        <v>0.2</v>
      </c>
      <c r="L106" s="19">
        <v>0.2</v>
      </c>
      <c r="M106" s="19">
        <v>0.2</v>
      </c>
      <c r="N106" s="19">
        <v>0.2</v>
      </c>
    </row>
    <row r="107" spans="1:14" ht="15" x14ac:dyDescent="0.25">
      <c r="A107" s="200" t="s">
        <v>206</v>
      </c>
      <c r="B107" s="17" t="s">
        <v>55</v>
      </c>
      <c r="C107" s="19">
        <v>0.5</v>
      </c>
      <c r="D107" s="19">
        <v>0.5</v>
      </c>
      <c r="E107" s="19">
        <v>0.5</v>
      </c>
      <c r="F107" s="19">
        <v>0.5</v>
      </c>
      <c r="G107" s="19">
        <v>0.5</v>
      </c>
      <c r="H107" s="19">
        <v>0.5</v>
      </c>
      <c r="I107" s="19">
        <v>0.5</v>
      </c>
      <c r="J107" s="19">
        <v>0.5</v>
      </c>
      <c r="K107" s="19">
        <v>0.5</v>
      </c>
      <c r="L107" s="19">
        <v>0.5</v>
      </c>
      <c r="M107" s="19">
        <v>0.5</v>
      </c>
      <c r="N107" s="19">
        <v>0.5</v>
      </c>
    </row>
    <row r="108" spans="1:14" ht="15" x14ac:dyDescent="0.25">
      <c r="A108" s="200"/>
      <c r="B108" s="17" t="s">
        <v>57</v>
      </c>
      <c r="C108" s="19">
        <v>0.3</v>
      </c>
      <c r="D108" s="19">
        <v>0.3</v>
      </c>
      <c r="E108" s="19">
        <v>0.3</v>
      </c>
      <c r="F108" s="19">
        <v>0.3</v>
      </c>
      <c r="G108" s="19">
        <v>0.3</v>
      </c>
      <c r="H108" s="19">
        <v>0.3</v>
      </c>
      <c r="I108" s="19">
        <v>0.3</v>
      </c>
      <c r="J108" s="19">
        <v>0.3</v>
      </c>
      <c r="K108" s="19">
        <v>0.3</v>
      </c>
      <c r="L108" s="19">
        <v>0.3</v>
      </c>
      <c r="M108" s="19">
        <v>0.3</v>
      </c>
      <c r="N108" s="19">
        <v>0.3</v>
      </c>
    </row>
    <row r="109" spans="1:14" ht="15" x14ac:dyDescent="0.25">
      <c r="A109" s="200"/>
      <c r="B109" s="17" t="s">
        <v>58</v>
      </c>
      <c r="C109" s="19">
        <v>0.2</v>
      </c>
      <c r="D109" s="19">
        <v>0.2</v>
      </c>
      <c r="E109" s="19">
        <v>0.2</v>
      </c>
      <c r="F109" s="19">
        <v>0.2</v>
      </c>
      <c r="G109" s="19">
        <v>0.2</v>
      </c>
      <c r="H109" s="19">
        <v>0.2</v>
      </c>
      <c r="I109" s="19">
        <v>0.2</v>
      </c>
      <c r="J109" s="19">
        <v>0.2</v>
      </c>
      <c r="K109" s="19">
        <v>0.2</v>
      </c>
      <c r="L109" s="19">
        <v>0.2</v>
      </c>
      <c r="M109" s="19">
        <v>0.2</v>
      </c>
      <c r="N109" s="19">
        <v>0.2</v>
      </c>
    </row>
    <row r="110" spans="1:14" ht="15" x14ac:dyDescent="0.25">
      <c r="A110" s="200" t="s">
        <v>207</v>
      </c>
      <c r="B110" s="17" t="s">
        <v>55</v>
      </c>
      <c r="C110" s="19">
        <v>0.5</v>
      </c>
      <c r="D110" s="19">
        <v>0.5</v>
      </c>
      <c r="E110" s="19">
        <v>0.5</v>
      </c>
      <c r="F110" s="19">
        <v>0.5</v>
      </c>
      <c r="G110" s="19">
        <v>0.5</v>
      </c>
      <c r="H110" s="19">
        <v>0.5</v>
      </c>
      <c r="I110" s="19">
        <v>0.5</v>
      </c>
      <c r="J110" s="19">
        <v>0.5</v>
      </c>
      <c r="K110" s="19">
        <v>0.5</v>
      </c>
      <c r="L110" s="19">
        <v>0.5</v>
      </c>
      <c r="M110" s="19">
        <v>0.5</v>
      </c>
      <c r="N110" s="19">
        <v>0.5</v>
      </c>
    </row>
    <row r="111" spans="1:14" ht="15" x14ac:dyDescent="0.25">
      <c r="A111" s="200"/>
      <c r="B111" s="17" t="s">
        <v>57</v>
      </c>
      <c r="C111" s="19">
        <v>0.3</v>
      </c>
      <c r="D111" s="19">
        <v>0.3</v>
      </c>
      <c r="E111" s="19">
        <v>0.3</v>
      </c>
      <c r="F111" s="19">
        <v>0.3</v>
      </c>
      <c r="G111" s="19">
        <v>0.3</v>
      </c>
      <c r="H111" s="19">
        <v>0.3</v>
      </c>
      <c r="I111" s="19">
        <v>0.3</v>
      </c>
      <c r="J111" s="19">
        <v>0.3</v>
      </c>
      <c r="K111" s="19">
        <v>0.3</v>
      </c>
      <c r="L111" s="19">
        <v>0.3</v>
      </c>
      <c r="M111" s="19">
        <v>0.3</v>
      </c>
      <c r="N111" s="19">
        <v>0.3</v>
      </c>
    </row>
    <row r="112" spans="1:14" ht="15" x14ac:dyDescent="0.25">
      <c r="A112" s="200"/>
      <c r="B112" s="17" t="s">
        <v>58</v>
      </c>
      <c r="C112" s="19">
        <v>0.2</v>
      </c>
      <c r="D112" s="19">
        <v>0.2</v>
      </c>
      <c r="E112" s="19">
        <v>0.2</v>
      </c>
      <c r="F112" s="19">
        <v>0.2</v>
      </c>
      <c r="G112" s="19">
        <v>0.2</v>
      </c>
      <c r="H112" s="19">
        <v>0.2</v>
      </c>
      <c r="I112" s="19">
        <v>0.2</v>
      </c>
      <c r="J112" s="19">
        <v>0.2</v>
      </c>
      <c r="K112" s="19">
        <v>0.2</v>
      </c>
      <c r="L112" s="19">
        <v>0.2</v>
      </c>
      <c r="M112" s="19">
        <v>0.2</v>
      </c>
      <c r="N112" s="19">
        <v>0.2</v>
      </c>
    </row>
    <row r="113" spans="1:14" ht="15" x14ac:dyDescent="0.25">
      <c r="A113" s="200" t="s">
        <v>208</v>
      </c>
      <c r="B113" s="17" t="s">
        <v>55</v>
      </c>
      <c r="C113" s="19">
        <v>0.5</v>
      </c>
      <c r="D113" s="19">
        <v>0.5</v>
      </c>
      <c r="E113" s="19">
        <v>0.5</v>
      </c>
      <c r="F113" s="19">
        <v>0.5</v>
      </c>
      <c r="G113" s="19">
        <v>0.5</v>
      </c>
      <c r="H113" s="19">
        <v>0.5</v>
      </c>
      <c r="I113" s="19">
        <v>0.5</v>
      </c>
      <c r="J113" s="19">
        <v>0.5</v>
      </c>
      <c r="K113" s="19">
        <v>0.5</v>
      </c>
      <c r="L113" s="19">
        <v>0.5</v>
      </c>
      <c r="M113" s="19">
        <v>0.5</v>
      </c>
      <c r="N113" s="19">
        <v>0.5</v>
      </c>
    </row>
    <row r="114" spans="1:14" ht="15" x14ac:dyDescent="0.25">
      <c r="A114" s="200"/>
      <c r="B114" s="17" t="s">
        <v>57</v>
      </c>
      <c r="C114" s="19">
        <v>0.3</v>
      </c>
      <c r="D114" s="19">
        <v>0.3</v>
      </c>
      <c r="E114" s="19">
        <v>0.3</v>
      </c>
      <c r="F114" s="19">
        <v>0.3</v>
      </c>
      <c r="G114" s="19">
        <v>0.3</v>
      </c>
      <c r="H114" s="19">
        <v>0.3</v>
      </c>
      <c r="I114" s="19">
        <v>0.3</v>
      </c>
      <c r="J114" s="19">
        <v>0.3</v>
      </c>
      <c r="K114" s="19">
        <v>0.3</v>
      </c>
      <c r="L114" s="19">
        <v>0.3</v>
      </c>
      <c r="M114" s="19">
        <v>0.3</v>
      </c>
      <c r="N114" s="19">
        <v>0.3</v>
      </c>
    </row>
    <row r="115" spans="1:14" ht="15" x14ac:dyDescent="0.25">
      <c r="A115" s="200"/>
      <c r="B115" s="17" t="s">
        <v>58</v>
      </c>
      <c r="C115" s="19">
        <v>0.2</v>
      </c>
      <c r="D115" s="19">
        <v>0.2</v>
      </c>
      <c r="E115" s="19">
        <v>0.2</v>
      </c>
      <c r="F115" s="19">
        <v>0.2</v>
      </c>
      <c r="G115" s="19">
        <v>0.2</v>
      </c>
      <c r="H115" s="19">
        <v>0.2</v>
      </c>
      <c r="I115" s="19">
        <v>0.2</v>
      </c>
      <c r="J115" s="19">
        <v>0.2</v>
      </c>
      <c r="K115" s="19">
        <v>0.2</v>
      </c>
      <c r="L115" s="19">
        <v>0.2</v>
      </c>
      <c r="M115" s="19">
        <v>0.2</v>
      </c>
      <c r="N115" s="19">
        <v>0.2</v>
      </c>
    </row>
    <row r="116" spans="1:14" ht="15" x14ac:dyDescent="0.25">
      <c r="A116" s="200" t="s">
        <v>209</v>
      </c>
      <c r="B116" s="17" t="s">
        <v>55</v>
      </c>
      <c r="C116" s="19">
        <v>0.5</v>
      </c>
      <c r="D116" s="19">
        <v>0.5</v>
      </c>
      <c r="E116" s="19">
        <v>0.5</v>
      </c>
      <c r="F116" s="19">
        <v>0.5</v>
      </c>
      <c r="G116" s="19">
        <v>0.5</v>
      </c>
      <c r="H116" s="19">
        <v>0.5</v>
      </c>
      <c r="I116" s="19">
        <v>0.5</v>
      </c>
      <c r="J116" s="19">
        <v>0.5</v>
      </c>
      <c r="K116" s="19">
        <v>0.5</v>
      </c>
      <c r="L116" s="19">
        <v>0.5</v>
      </c>
      <c r="M116" s="19">
        <v>0.5</v>
      </c>
      <c r="N116" s="19">
        <v>0.5</v>
      </c>
    </row>
    <row r="117" spans="1:14" ht="15" x14ac:dyDescent="0.25">
      <c r="A117" s="200"/>
      <c r="B117" s="17" t="s">
        <v>57</v>
      </c>
      <c r="C117" s="19">
        <v>0.3</v>
      </c>
      <c r="D117" s="19">
        <v>0.3</v>
      </c>
      <c r="E117" s="19">
        <v>0.3</v>
      </c>
      <c r="F117" s="19">
        <v>0.3</v>
      </c>
      <c r="G117" s="19">
        <v>0.3</v>
      </c>
      <c r="H117" s="19">
        <v>0.3</v>
      </c>
      <c r="I117" s="19">
        <v>0.3</v>
      </c>
      <c r="J117" s="19">
        <v>0.3</v>
      </c>
      <c r="K117" s="19">
        <v>0.3</v>
      </c>
      <c r="L117" s="19">
        <v>0.3</v>
      </c>
      <c r="M117" s="19">
        <v>0.3</v>
      </c>
      <c r="N117" s="19">
        <v>0.3</v>
      </c>
    </row>
    <row r="118" spans="1:14" ht="15" x14ac:dyDescent="0.25">
      <c r="A118" s="200"/>
      <c r="B118" s="17" t="s">
        <v>58</v>
      </c>
      <c r="C118" s="19">
        <v>0.2</v>
      </c>
      <c r="D118" s="19">
        <v>0.2</v>
      </c>
      <c r="E118" s="19">
        <v>0.2</v>
      </c>
      <c r="F118" s="19">
        <v>0.2</v>
      </c>
      <c r="G118" s="19">
        <v>0.2</v>
      </c>
      <c r="H118" s="19">
        <v>0.2</v>
      </c>
      <c r="I118" s="19">
        <v>0.2</v>
      </c>
      <c r="J118" s="19">
        <v>0.2</v>
      </c>
      <c r="K118" s="19">
        <v>0.2</v>
      </c>
      <c r="L118" s="19">
        <v>0.2</v>
      </c>
      <c r="M118" s="19">
        <v>0.2</v>
      </c>
      <c r="N118" s="19">
        <v>0.2</v>
      </c>
    </row>
    <row r="119" spans="1:14" ht="15" x14ac:dyDescent="0.25">
      <c r="A119" s="200" t="s">
        <v>210</v>
      </c>
      <c r="B119" s="17" t="s">
        <v>55</v>
      </c>
      <c r="C119" s="19">
        <v>0.5</v>
      </c>
      <c r="D119" s="19">
        <v>0.5</v>
      </c>
      <c r="E119" s="19">
        <v>0.5</v>
      </c>
      <c r="F119" s="19">
        <v>0.5</v>
      </c>
      <c r="G119" s="19">
        <v>0.5</v>
      </c>
      <c r="H119" s="19">
        <v>0.5</v>
      </c>
      <c r="I119" s="19">
        <v>0.5</v>
      </c>
      <c r="J119" s="19">
        <v>0.5</v>
      </c>
      <c r="K119" s="19">
        <v>0.5</v>
      </c>
      <c r="L119" s="19">
        <v>0.5</v>
      </c>
      <c r="M119" s="19">
        <v>0.5</v>
      </c>
      <c r="N119" s="19">
        <v>0.5</v>
      </c>
    </row>
    <row r="120" spans="1:14" ht="15" x14ac:dyDescent="0.25">
      <c r="A120" s="200"/>
      <c r="B120" s="17" t="s">
        <v>57</v>
      </c>
      <c r="C120" s="19">
        <v>0.3</v>
      </c>
      <c r="D120" s="19">
        <v>0.3</v>
      </c>
      <c r="E120" s="19">
        <v>0.3</v>
      </c>
      <c r="F120" s="19">
        <v>0.3</v>
      </c>
      <c r="G120" s="19">
        <v>0.3</v>
      </c>
      <c r="H120" s="19">
        <v>0.3</v>
      </c>
      <c r="I120" s="19">
        <v>0.3</v>
      </c>
      <c r="J120" s="19">
        <v>0.3</v>
      </c>
      <c r="K120" s="19">
        <v>0.3</v>
      </c>
      <c r="L120" s="19">
        <v>0.3</v>
      </c>
      <c r="M120" s="19">
        <v>0.3</v>
      </c>
      <c r="N120" s="19">
        <v>0.3</v>
      </c>
    </row>
    <row r="121" spans="1:14" ht="15" x14ac:dyDescent="0.25">
      <c r="A121" s="200"/>
      <c r="B121" s="17" t="s">
        <v>58</v>
      </c>
      <c r="C121" s="19">
        <v>0.2</v>
      </c>
      <c r="D121" s="19">
        <v>0.2</v>
      </c>
      <c r="E121" s="19">
        <v>0.2</v>
      </c>
      <c r="F121" s="19">
        <v>0.2</v>
      </c>
      <c r="G121" s="19">
        <v>0.2</v>
      </c>
      <c r="H121" s="19">
        <v>0.2</v>
      </c>
      <c r="I121" s="19">
        <v>0.2</v>
      </c>
      <c r="J121" s="19">
        <v>0.2</v>
      </c>
      <c r="K121" s="19">
        <v>0.2</v>
      </c>
      <c r="L121" s="19">
        <v>0.2</v>
      </c>
      <c r="M121" s="19">
        <v>0.2</v>
      </c>
      <c r="N121" s="19">
        <v>0.2</v>
      </c>
    </row>
    <row r="122" spans="1:14" ht="15" x14ac:dyDescent="0.25">
      <c r="A122" s="200" t="s">
        <v>211</v>
      </c>
      <c r="B122" s="17" t="s">
        <v>55</v>
      </c>
      <c r="C122" s="19">
        <v>0.5</v>
      </c>
      <c r="D122" s="19">
        <v>0.5</v>
      </c>
      <c r="E122" s="19">
        <v>0.5</v>
      </c>
      <c r="F122" s="19">
        <v>0.5</v>
      </c>
      <c r="G122" s="19">
        <v>0.5</v>
      </c>
      <c r="H122" s="19">
        <v>0.5</v>
      </c>
      <c r="I122" s="19">
        <v>0.5</v>
      </c>
      <c r="J122" s="19">
        <v>0.5</v>
      </c>
      <c r="K122" s="19">
        <v>0.5</v>
      </c>
      <c r="L122" s="19">
        <v>0.5</v>
      </c>
      <c r="M122" s="19">
        <v>0.5</v>
      </c>
      <c r="N122" s="19">
        <v>0.5</v>
      </c>
    </row>
    <row r="123" spans="1:14" ht="15" x14ac:dyDescent="0.25">
      <c r="A123" s="200"/>
      <c r="B123" s="17" t="s">
        <v>57</v>
      </c>
      <c r="C123" s="19">
        <v>0.3</v>
      </c>
      <c r="D123" s="19">
        <v>0.3</v>
      </c>
      <c r="E123" s="19">
        <v>0.3</v>
      </c>
      <c r="F123" s="19">
        <v>0.3</v>
      </c>
      <c r="G123" s="19">
        <v>0.3</v>
      </c>
      <c r="H123" s="19">
        <v>0.3</v>
      </c>
      <c r="I123" s="19">
        <v>0.3</v>
      </c>
      <c r="J123" s="19">
        <v>0.3</v>
      </c>
      <c r="K123" s="19">
        <v>0.3</v>
      </c>
      <c r="L123" s="19">
        <v>0.3</v>
      </c>
      <c r="M123" s="19">
        <v>0.3</v>
      </c>
      <c r="N123" s="19">
        <v>0.3</v>
      </c>
    </row>
    <row r="124" spans="1:14" ht="15" x14ac:dyDescent="0.25">
      <c r="A124" s="200"/>
      <c r="B124" s="17" t="s">
        <v>58</v>
      </c>
      <c r="C124" s="19">
        <v>0.2</v>
      </c>
      <c r="D124" s="19">
        <v>0.2</v>
      </c>
      <c r="E124" s="19">
        <v>0.2</v>
      </c>
      <c r="F124" s="19">
        <v>0.2</v>
      </c>
      <c r="G124" s="19">
        <v>0.2</v>
      </c>
      <c r="H124" s="19">
        <v>0.2</v>
      </c>
      <c r="I124" s="19">
        <v>0.2</v>
      </c>
      <c r="J124" s="19">
        <v>0.2</v>
      </c>
      <c r="K124" s="19">
        <v>0.2</v>
      </c>
      <c r="L124" s="19">
        <v>0.2</v>
      </c>
      <c r="M124" s="19">
        <v>0.2</v>
      </c>
      <c r="N124" s="19">
        <v>0.2</v>
      </c>
    </row>
    <row r="125" spans="1:14" ht="15" x14ac:dyDescent="0.25">
      <c r="A125" s="200" t="s">
        <v>212</v>
      </c>
      <c r="B125" s="17" t="s">
        <v>55</v>
      </c>
      <c r="C125" s="19">
        <v>0.5</v>
      </c>
      <c r="D125" s="19">
        <v>0.5</v>
      </c>
      <c r="E125" s="19">
        <v>0.5</v>
      </c>
      <c r="F125" s="19">
        <v>0.5</v>
      </c>
      <c r="G125" s="19">
        <v>0.5</v>
      </c>
      <c r="H125" s="19">
        <v>0.5</v>
      </c>
      <c r="I125" s="19">
        <v>0.5</v>
      </c>
      <c r="J125" s="19">
        <v>0.5</v>
      </c>
      <c r="K125" s="19">
        <v>0.5</v>
      </c>
      <c r="L125" s="19">
        <v>0.5</v>
      </c>
      <c r="M125" s="19">
        <v>0.5</v>
      </c>
      <c r="N125" s="19">
        <v>0.5</v>
      </c>
    </row>
    <row r="126" spans="1:14" ht="15" x14ac:dyDescent="0.25">
      <c r="A126" s="200"/>
      <c r="B126" s="17" t="s">
        <v>57</v>
      </c>
      <c r="C126" s="19">
        <v>0.3</v>
      </c>
      <c r="D126" s="19">
        <v>0.3</v>
      </c>
      <c r="E126" s="19">
        <v>0.3</v>
      </c>
      <c r="F126" s="19">
        <v>0.3</v>
      </c>
      <c r="G126" s="19">
        <v>0.3</v>
      </c>
      <c r="H126" s="19">
        <v>0.3</v>
      </c>
      <c r="I126" s="19">
        <v>0.3</v>
      </c>
      <c r="J126" s="19">
        <v>0.3</v>
      </c>
      <c r="K126" s="19">
        <v>0.3</v>
      </c>
      <c r="L126" s="19">
        <v>0.3</v>
      </c>
      <c r="M126" s="19">
        <v>0.3</v>
      </c>
      <c r="N126" s="19">
        <v>0.3</v>
      </c>
    </row>
    <row r="127" spans="1:14" ht="15" x14ac:dyDescent="0.25">
      <c r="A127" s="200"/>
      <c r="B127" s="17" t="s">
        <v>58</v>
      </c>
      <c r="C127" s="19">
        <v>0.2</v>
      </c>
      <c r="D127" s="19">
        <v>0.2</v>
      </c>
      <c r="E127" s="19">
        <v>0.2</v>
      </c>
      <c r="F127" s="19">
        <v>0.2</v>
      </c>
      <c r="G127" s="19">
        <v>0.2</v>
      </c>
      <c r="H127" s="19">
        <v>0.2</v>
      </c>
      <c r="I127" s="19">
        <v>0.2</v>
      </c>
      <c r="J127" s="19">
        <v>0.2</v>
      </c>
      <c r="K127" s="19">
        <v>0.2</v>
      </c>
      <c r="L127" s="19">
        <v>0.2</v>
      </c>
      <c r="M127" s="19">
        <v>0.2</v>
      </c>
      <c r="N127" s="19">
        <v>0.2</v>
      </c>
    </row>
    <row r="128" spans="1:14" ht="15" x14ac:dyDescent="0.25">
      <c r="A128" s="200" t="s">
        <v>213</v>
      </c>
      <c r="B128" s="17" t="s">
        <v>55</v>
      </c>
      <c r="C128" s="19">
        <v>0.5</v>
      </c>
      <c r="D128" s="19">
        <v>0.5</v>
      </c>
      <c r="E128" s="19">
        <v>0.5</v>
      </c>
      <c r="F128" s="19">
        <v>0.5</v>
      </c>
      <c r="G128" s="19">
        <v>0.5</v>
      </c>
      <c r="H128" s="19">
        <v>0.5</v>
      </c>
      <c r="I128" s="19">
        <v>0.5</v>
      </c>
      <c r="J128" s="19">
        <v>0.5</v>
      </c>
      <c r="K128" s="19">
        <v>0.5</v>
      </c>
      <c r="L128" s="19">
        <v>0.5</v>
      </c>
      <c r="M128" s="19">
        <v>0.5</v>
      </c>
      <c r="N128" s="19">
        <v>0.5</v>
      </c>
    </row>
    <row r="129" spans="1:14" ht="15" x14ac:dyDescent="0.25">
      <c r="A129" s="200"/>
      <c r="B129" s="17" t="s">
        <v>57</v>
      </c>
      <c r="C129" s="19">
        <v>0.3</v>
      </c>
      <c r="D129" s="19">
        <v>0.3</v>
      </c>
      <c r="E129" s="19">
        <v>0.3</v>
      </c>
      <c r="F129" s="19">
        <v>0.3</v>
      </c>
      <c r="G129" s="19">
        <v>0.3</v>
      </c>
      <c r="H129" s="19">
        <v>0.3</v>
      </c>
      <c r="I129" s="19">
        <v>0.3</v>
      </c>
      <c r="J129" s="19">
        <v>0.3</v>
      </c>
      <c r="K129" s="19">
        <v>0.3</v>
      </c>
      <c r="L129" s="19">
        <v>0.3</v>
      </c>
      <c r="M129" s="19">
        <v>0.3</v>
      </c>
      <c r="N129" s="19">
        <v>0.3</v>
      </c>
    </row>
    <row r="130" spans="1:14" ht="15" x14ac:dyDescent="0.25">
      <c r="A130" s="200"/>
      <c r="B130" s="17" t="s">
        <v>58</v>
      </c>
      <c r="C130" s="19">
        <v>0.2</v>
      </c>
      <c r="D130" s="19">
        <v>0.2</v>
      </c>
      <c r="E130" s="19">
        <v>0.2</v>
      </c>
      <c r="F130" s="19">
        <v>0.2</v>
      </c>
      <c r="G130" s="19">
        <v>0.2</v>
      </c>
      <c r="H130" s="19">
        <v>0.2</v>
      </c>
      <c r="I130" s="19">
        <v>0.2</v>
      </c>
      <c r="J130" s="19">
        <v>0.2</v>
      </c>
      <c r="K130" s="19">
        <v>0.2</v>
      </c>
      <c r="L130" s="19">
        <v>0.2</v>
      </c>
      <c r="M130" s="19">
        <v>0.2</v>
      </c>
      <c r="N130" s="19">
        <v>0.2</v>
      </c>
    </row>
    <row r="131" spans="1:14" ht="15" x14ac:dyDescent="0.25">
      <c r="A131" s="200" t="s">
        <v>214</v>
      </c>
      <c r="B131" s="17" t="s">
        <v>55</v>
      </c>
      <c r="C131" s="19">
        <v>0.5</v>
      </c>
      <c r="D131" s="19">
        <v>0.5</v>
      </c>
      <c r="E131" s="19">
        <v>0.5</v>
      </c>
      <c r="F131" s="19">
        <v>0.5</v>
      </c>
      <c r="G131" s="19">
        <v>0.5</v>
      </c>
      <c r="H131" s="19">
        <v>0.5</v>
      </c>
      <c r="I131" s="19">
        <v>0.5</v>
      </c>
      <c r="J131" s="19">
        <v>0.5</v>
      </c>
      <c r="K131" s="19">
        <v>0.5</v>
      </c>
      <c r="L131" s="19">
        <v>0.5</v>
      </c>
      <c r="M131" s="19">
        <v>0.5</v>
      </c>
      <c r="N131" s="19">
        <v>0.5</v>
      </c>
    </row>
    <row r="132" spans="1:14" ht="15" x14ac:dyDescent="0.25">
      <c r="A132" s="200"/>
      <c r="B132" s="17" t="s">
        <v>57</v>
      </c>
      <c r="C132" s="19">
        <v>0.3</v>
      </c>
      <c r="D132" s="19">
        <v>0.3</v>
      </c>
      <c r="E132" s="19">
        <v>0.3</v>
      </c>
      <c r="F132" s="19">
        <v>0.3</v>
      </c>
      <c r="G132" s="19">
        <v>0.3</v>
      </c>
      <c r="H132" s="19">
        <v>0.3</v>
      </c>
      <c r="I132" s="19">
        <v>0.3</v>
      </c>
      <c r="J132" s="19">
        <v>0.3</v>
      </c>
      <c r="K132" s="19">
        <v>0.3</v>
      </c>
      <c r="L132" s="19">
        <v>0.3</v>
      </c>
      <c r="M132" s="19">
        <v>0.3</v>
      </c>
      <c r="N132" s="19">
        <v>0.3</v>
      </c>
    </row>
    <row r="133" spans="1:14" ht="15" x14ac:dyDescent="0.25">
      <c r="A133" s="200"/>
      <c r="B133" s="17" t="s">
        <v>58</v>
      </c>
      <c r="C133" s="19">
        <v>0.2</v>
      </c>
      <c r="D133" s="19">
        <v>0.2</v>
      </c>
      <c r="E133" s="19">
        <v>0.2</v>
      </c>
      <c r="F133" s="19">
        <v>0.2</v>
      </c>
      <c r="G133" s="19">
        <v>0.2</v>
      </c>
      <c r="H133" s="19">
        <v>0.2</v>
      </c>
      <c r="I133" s="19">
        <v>0.2</v>
      </c>
      <c r="J133" s="19">
        <v>0.2</v>
      </c>
      <c r="K133" s="19">
        <v>0.2</v>
      </c>
      <c r="L133" s="19">
        <v>0.2</v>
      </c>
      <c r="M133" s="19">
        <v>0.2</v>
      </c>
      <c r="N133" s="19">
        <v>0.2</v>
      </c>
    </row>
    <row r="134" spans="1:14" ht="15" x14ac:dyDescent="0.25">
      <c r="A134" s="200" t="s">
        <v>215</v>
      </c>
      <c r="B134" s="17" t="s">
        <v>55</v>
      </c>
      <c r="C134" s="19">
        <f t="shared" ref="C134:N134" si="0">1-C135-C136</f>
        <v>0.13700000000000001</v>
      </c>
      <c r="D134" s="19">
        <f t="shared" si="0"/>
        <v>0.13700000000000001</v>
      </c>
      <c r="E134" s="19">
        <f t="shared" si="0"/>
        <v>0.13700000000000001</v>
      </c>
      <c r="F134" s="19">
        <f t="shared" si="0"/>
        <v>0.13700000000000001</v>
      </c>
      <c r="G134" s="19">
        <f t="shared" si="0"/>
        <v>0.13700000000000001</v>
      </c>
      <c r="H134" s="19">
        <f t="shared" si="0"/>
        <v>0.13700000000000001</v>
      </c>
      <c r="I134" s="19">
        <f t="shared" si="0"/>
        <v>0.13700000000000001</v>
      </c>
      <c r="J134" s="19">
        <f t="shared" si="0"/>
        <v>0.13700000000000001</v>
      </c>
      <c r="K134" s="19">
        <f t="shared" si="0"/>
        <v>0.13700000000000001</v>
      </c>
      <c r="L134" s="19">
        <f t="shared" si="0"/>
        <v>0.13700000000000001</v>
      </c>
      <c r="M134" s="19">
        <f t="shared" si="0"/>
        <v>0.13700000000000001</v>
      </c>
      <c r="N134" s="19">
        <f t="shared" si="0"/>
        <v>0.13700000000000001</v>
      </c>
    </row>
    <row r="135" spans="1:14" ht="15" x14ac:dyDescent="0.25">
      <c r="A135" s="200"/>
      <c r="B135" s="17" t="s">
        <v>57</v>
      </c>
      <c r="C135" s="19">
        <v>0.85899999999999999</v>
      </c>
      <c r="D135" s="19">
        <v>0.85899999999999999</v>
      </c>
      <c r="E135" s="19">
        <v>0.85899999999999999</v>
      </c>
      <c r="F135" s="19">
        <v>0.85899999999999999</v>
      </c>
      <c r="G135" s="19">
        <v>0.85899999999999999</v>
      </c>
      <c r="H135" s="19">
        <v>0.85899999999999999</v>
      </c>
      <c r="I135" s="19">
        <v>0.85899999999999999</v>
      </c>
      <c r="J135" s="19">
        <v>0.85899999999999999</v>
      </c>
      <c r="K135" s="19">
        <v>0.85899999999999999</v>
      </c>
      <c r="L135" s="19">
        <v>0.85899999999999999</v>
      </c>
      <c r="M135" s="19">
        <v>0.85899999999999999</v>
      </c>
      <c r="N135" s="19">
        <v>0.85899999999999999</v>
      </c>
    </row>
    <row r="136" spans="1:14" ht="15" x14ac:dyDescent="0.25">
      <c r="A136" s="200"/>
      <c r="B136" s="17" t="s">
        <v>58</v>
      </c>
      <c r="C136" s="19">
        <v>4.0000000000000001E-3</v>
      </c>
      <c r="D136" s="19">
        <v>4.0000000000000001E-3</v>
      </c>
      <c r="E136" s="19">
        <v>4.0000000000000001E-3</v>
      </c>
      <c r="F136" s="19">
        <v>4.0000000000000001E-3</v>
      </c>
      <c r="G136" s="19">
        <v>4.0000000000000001E-3</v>
      </c>
      <c r="H136" s="19">
        <v>4.0000000000000001E-3</v>
      </c>
      <c r="I136" s="19">
        <v>4.0000000000000001E-3</v>
      </c>
      <c r="J136" s="19">
        <v>4.0000000000000001E-3</v>
      </c>
      <c r="K136" s="19">
        <v>4.0000000000000001E-3</v>
      </c>
      <c r="L136" s="19">
        <v>4.0000000000000001E-3</v>
      </c>
      <c r="M136" s="19">
        <v>4.0000000000000001E-3</v>
      </c>
      <c r="N136" s="19">
        <v>4.0000000000000001E-3</v>
      </c>
    </row>
    <row r="137" spans="1:14" ht="15" x14ac:dyDescent="0.25">
      <c r="A137" s="200" t="s">
        <v>216</v>
      </c>
      <c r="B137" s="17" t="s">
        <v>55</v>
      </c>
      <c r="C137" s="19">
        <v>0.51900000000000002</v>
      </c>
      <c r="D137" s="19">
        <v>0.51900000000000002</v>
      </c>
      <c r="E137" s="19">
        <v>0.51900000000000002</v>
      </c>
      <c r="F137" s="19">
        <v>0.51900000000000002</v>
      </c>
      <c r="G137" s="19">
        <v>0.51900000000000002</v>
      </c>
      <c r="H137" s="19">
        <v>0.51900000000000002</v>
      </c>
      <c r="I137" s="19">
        <v>0.51900000000000002</v>
      </c>
      <c r="J137" s="19">
        <v>0.51900000000000002</v>
      </c>
      <c r="K137" s="19">
        <v>0.51900000000000002</v>
      </c>
      <c r="L137" s="19">
        <v>0.51900000000000002</v>
      </c>
      <c r="M137" s="19">
        <v>0.51900000000000002</v>
      </c>
      <c r="N137" s="19">
        <v>0.51900000000000002</v>
      </c>
    </row>
    <row r="138" spans="1:14" ht="15" x14ac:dyDescent="0.25">
      <c r="A138" s="200"/>
      <c r="B138" s="17" t="s">
        <v>57</v>
      </c>
      <c r="C138" s="19">
        <v>0.47</v>
      </c>
      <c r="D138" s="19">
        <v>0.47</v>
      </c>
      <c r="E138" s="19">
        <v>0.47</v>
      </c>
      <c r="F138" s="19">
        <v>0.47</v>
      </c>
      <c r="G138" s="19">
        <v>0.47</v>
      </c>
      <c r="H138" s="19">
        <v>0.47</v>
      </c>
      <c r="I138" s="19">
        <v>0.47</v>
      </c>
      <c r="J138" s="19">
        <v>0.47</v>
      </c>
      <c r="K138" s="19">
        <v>0.47</v>
      </c>
      <c r="L138" s="19">
        <v>0.47</v>
      </c>
      <c r="M138" s="19">
        <v>0.47</v>
      </c>
      <c r="N138" s="19">
        <v>0.47</v>
      </c>
    </row>
    <row r="139" spans="1:14" ht="15" x14ac:dyDescent="0.25">
      <c r="A139" s="200"/>
      <c r="B139" s="17" t="s">
        <v>58</v>
      </c>
      <c r="C139" s="19">
        <v>1.0999999999999999E-2</v>
      </c>
      <c r="D139" s="19">
        <v>1.0999999999999999E-2</v>
      </c>
      <c r="E139" s="19">
        <v>1.0999999999999999E-2</v>
      </c>
      <c r="F139" s="19">
        <v>1.0999999999999999E-2</v>
      </c>
      <c r="G139" s="19">
        <v>1.0999999999999999E-2</v>
      </c>
      <c r="H139" s="19">
        <v>1.0999999999999999E-2</v>
      </c>
      <c r="I139" s="19">
        <v>1.0999999999999999E-2</v>
      </c>
      <c r="J139" s="19">
        <v>1.0999999999999999E-2</v>
      </c>
      <c r="K139" s="19">
        <v>1.0999999999999999E-2</v>
      </c>
      <c r="L139" s="19">
        <v>1.0999999999999999E-2</v>
      </c>
      <c r="M139" s="19">
        <v>1.0999999999999999E-2</v>
      </c>
      <c r="N139" s="19">
        <v>1.0999999999999999E-2</v>
      </c>
    </row>
    <row r="140" spans="1:14" ht="15" x14ac:dyDescent="0.25">
      <c r="A140" s="200" t="s">
        <v>217</v>
      </c>
      <c r="B140" s="17" t="s">
        <v>55</v>
      </c>
      <c r="C140" s="19">
        <v>0.51900000000000002</v>
      </c>
      <c r="D140" s="19">
        <v>0.51900000000000002</v>
      </c>
      <c r="E140" s="19">
        <v>0.51900000000000002</v>
      </c>
      <c r="F140" s="19">
        <v>0.51900000000000002</v>
      </c>
      <c r="G140" s="19">
        <v>0.51900000000000002</v>
      </c>
      <c r="H140" s="19">
        <v>0.51900000000000002</v>
      </c>
      <c r="I140" s="19">
        <v>0.51900000000000002</v>
      </c>
      <c r="J140" s="19">
        <v>0.51900000000000002</v>
      </c>
      <c r="K140" s="19">
        <v>0.51900000000000002</v>
      </c>
      <c r="L140" s="19">
        <v>0.51900000000000002</v>
      </c>
      <c r="M140" s="19">
        <v>0.51900000000000002</v>
      </c>
      <c r="N140" s="19">
        <v>0.51900000000000002</v>
      </c>
    </row>
    <row r="141" spans="1:14" ht="15" x14ac:dyDescent="0.25">
      <c r="A141" s="200"/>
      <c r="B141" s="17" t="s">
        <v>57</v>
      </c>
      <c r="C141" s="19">
        <v>0.47</v>
      </c>
      <c r="D141" s="19">
        <v>0.47</v>
      </c>
      <c r="E141" s="19">
        <v>0.47</v>
      </c>
      <c r="F141" s="19">
        <v>0.47</v>
      </c>
      <c r="G141" s="19">
        <v>0.47</v>
      </c>
      <c r="H141" s="19">
        <v>0.47</v>
      </c>
      <c r="I141" s="19">
        <v>0.47</v>
      </c>
      <c r="J141" s="19">
        <v>0.47</v>
      </c>
      <c r="K141" s="19">
        <v>0.47</v>
      </c>
      <c r="L141" s="19">
        <v>0.47</v>
      </c>
      <c r="M141" s="19">
        <v>0.47</v>
      </c>
      <c r="N141" s="19">
        <v>0.47</v>
      </c>
    </row>
    <row r="142" spans="1:14" ht="15" x14ac:dyDescent="0.25">
      <c r="A142" s="200"/>
      <c r="B142" s="17" t="s">
        <v>58</v>
      </c>
      <c r="C142" s="19">
        <v>1.0999999999999999E-2</v>
      </c>
      <c r="D142" s="19">
        <v>1.0999999999999999E-2</v>
      </c>
      <c r="E142" s="19">
        <v>1.0999999999999999E-2</v>
      </c>
      <c r="F142" s="19">
        <v>1.0999999999999999E-2</v>
      </c>
      <c r="G142" s="19">
        <v>1.0999999999999999E-2</v>
      </c>
      <c r="H142" s="19">
        <v>1.0999999999999999E-2</v>
      </c>
      <c r="I142" s="19">
        <v>1.0999999999999999E-2</v>
      </c>
      <c r="J142" s="19">
        <v>1.0999999999999999E-2</v>
      </c>
      <c r="K142" s="19">
        <v>1.0999999999999999E-2</v>
      </c>
      <c r="L142" s="19">
        <v>1.0999999999999999E-2</v>
      </c>
      <c r="M142" s="19">
        <v>1.0999999999999999E-2</v>
      </c>
      <c r="N142" s="19">
        <v>1.0999999999999999E-2</v>
      </c>
    </row>
    <row r="143" spans="1:14" ht="15" x14ac:dyDescent="0.25">
      <c r="A143" s="200" t="s">
        <v>218</v>
      </c>
      <c r="B143" s="17" t="s">
        <v>55</v>
      </c>
      <c r="C143" s="19">
        <v>0.51900000000000002</v>
      </c>
      <c r="D143" s="19">
        <v>0.51900000000000002</v>
      </c>
      <c r="E143" s="19">
        <v>0.51900000000000002</v>
      </c>
      <c r="F143" s="19">
        <v>0.51900000000000002</v>
      </c>
      <c r="G143" s="19">
        <v>0.51900000000000002</v>
      </c>
      <c r="H143" s="19">
        <v>0.51900000000000002</v>
      </c>
      <c r="I143" s="19">
        <v>0.51900000000000002</v>
      </c>
      <c r="J143" s="19">
        <v>0.51900000000000002</v>
      </c>
      <c r="K143" s="19">
        <v>0.51900000000000002</v>
      </c>
      <c r="L143" s="19">
        <v>0.51900000000000002</v>
      </c>
      <c r="M143" s="19">
        <v>0.51900000000000002</v>
      </c>
      <c r="N143" s="19">
        <v>0.51900000000000002</v>
      </c>
    </row>
    <row r="144" spans="1:14" ht="15" x14ac:dyDescent="0.25">
      <c r="A144" s="200"/>
      <c r="B144" s="17" t="s">
        <v>57</v>
      </c>
      <c r="C144" s="19">
        <v>0.47</v>
      </c>
      <c r="D144" s="19">
        <v>0.47</v>
      </c>
      <c r="E144" s="19">
        <v>0.47</v>
      </c>
      <c r="F144" s="19">
        <v>0.47</v>
      </c>
      <c r="G144" s="19">
        <v>0.47</v>
      </c>
      <c r="H144" s="19">
        <v>0.47</v>
      </c>
      <c r="I144" s="19">
        <v>0.47</v>
      </c>
      <c r="J144" s="19">
        <v>0.47</v>
      </c>
      <c r="K144" s="19">
        <v>0.47</v>
      </c>
      <c r="L144" s="19">
        <v>0.47</v>
      </c>
      <c r="M144" s="19">
        <v>0.47</v>
      </c>
      <c r="N144" s="19">
        <v>0.47</v>
      </c>
    </row>
    <row r="145" spans="1:14" ht="15" x14ac:dyDescent="0.25">
      <c r="A145" s="200"/>
      <c r="B145" s="17" t="s">
        <v>58</v>
      </c>
      <c r="C145" s="19">
        <v>1.0999999999999999E-2</v>
      </c>
      <c r="D145" s="19">
        <v>1.0999999999999999E-2</v>
      </c>
      <c r="E145" s="19">
        <v>1.0999999999999999E-2</v>
      </c>
      <c r="F145" s="19">
        <v>1.0999999999999999E-2</v>
      </c>
      <c r="G145" s="19">
        <v>1.0999999999999999E-2</v>
      </c>
      <c r="H145" s="19">
        <v>1.0999999999999999E-2</v>
      </c>
      <c r="I145" s="19">
        <v>1.0999999999999999E-2</v>
      </c>
      <c r="J145" s="19">
        <v>1.0999999999999999E-2</v>
      </c>
      <c r="K145" s="19">
        <v>1.0999999999999999E-2</v>
      </c>
      <c r="L145" s="19">
        <v>1.0999999999999999E-2</v>
      </c>
      <c r="M145" s="19">
        <v>1.0999999999999999E-2</v>
      </c>
      <c r="N145" s="19">
        <v>1.0999999999999999E-2</v>
      </c>
    </row>
    <row r="146" spans="1:14" ht="15" x14ac:dyDescent="0.25">
      <c r="A146" s="200" t="s">
        <v>219</v>
      </c>
      <c r="B146" s="17" t="s">
        <v>55</v>
      </c>
      <c r="C146" s="19">
        <v>0.51900000000000002</v>
      </c>
      <c r="D146" s="19">
        <v>0.51900000000000002</v>
      </c>
      <c r="E146" s="19">
        <v>0.51900000000000002</v>
      </c>
      <c r="F146" s="19">
        <v>0.51900000000000002</v>
      </c>
      <c r="G146" s="19">
        <v>0.51900000000000002</v>
      </c>
      <c r="H146" s="19">
        <v>0.51900000000000002</v>
      </c>
      <c r="I146" s="19">
        <v>0.51900000000000002</v>
      </c>
      <c r="J146" s="19">
        <v>0.51900000000000002</v>
      </c>
      <c r="K146" s="19">
        <v>0.51900000000000002</v>
      </c>
      <c r="L146" s="19">
        <v>0.51900000000000002</v>
      </c>
      <c r="M146" s="19">
        <v>0.51900000000000002</v>
      </c>
      <c r="N146" s="19">
        <v>0.51900000000000002</v>
      </c>
    </row>
    <row r="147" spans="1:14" ht="15" x14ac:dyDescent="0.25">
      <c r="A147" s="200"/>
      <c r="B147" s="17" t="s">
        <v>57</v>
      </c>
      <c r="C147" s="19">
        <v>0.47</v>
      </c>
      <c r="D147" s="19">
        <v>0.47</v>
      </c>
      <c r="E147" s="19">
        <v>0.47</v>
      </c>
      <c r="F147" s="19">
        <v>0.47</v>
      </c>
      <c r="G147" s="19">
        <v>0.47</v>
      </c>
      <c r="H147" s="19">
        <v>0.47</v>
      </c>
      <c r="I147" s="19">
        <v>0.47</v>
      </c>
      <c r="J147" s="19">
        <v>0.47</v>
      </c>
      <c r="K147" s="19">
        <v>0.47</v>
      </c>
      <c r="L147" s="19">
        <v>0.47</v>
      </c>
      <c r="M147" s="19">
        <v>0.47</v>
      </c>
      <c r="N147" s="19">
        <v>0.47</v>
      </c>
    </row>
    <row r="148" spans="1:14" ht="15" x14ac:dyDescent="0.25">
      <c r="A148" s="200"/>
      <c r="B148" s="17" t="s">
        <v>58</v>
      </c>
      <c r="C148" s="19">
        <v>1.0999999999999999E-2</v>
      </c>
      <c r="D148" s="19">
        <v>1.0999999999999999E-2</v>
      </c>
      <c r="E148" s="19">
        <v>1.0999999999999999E-2</v>
      </c>
      <c r="F148" s="19">
        <v>1.0999999999999999E-2</v>
      </c>
      <c r="G148" s="19">
        <v>1.0999999999999999E-2</v>
      </c>
      <c r="H148" s="19">
        <v>1.0999999999999999E-2</v>
      </c>
      <c r="I148" s="19">
        <v>1.0999999999999999E-2</v>
      </c>
      <c r="J148" s="19">
        <v>1.0999999999999999E-2</v>
      </c>
      <c r="K148" s="19">
        <v>1.0999999999999999E-2</v>
      </c>
      <c r="L148" s="19">
        <v>1.0999999999999999E-2</v>
      </c>
      <c r="M148" s="19">
        <v>1.0999999999999999E-2</v>
      </c>
      <c r="N148" s="19">
        <v>1.0999999999999999E-2</v>
      </c>
    </row>
    <row r="149" spans="1:14" ht="15" x14ac:dyDescent="0.25">
      <c r="A149" s="200" t="s">
        <v>220</v>
      </c>
      <c r="B149" s="17" t="s">
        <v>55</v>
      </c>
      <c r="C149" s="19">
        <v>0.51900000000000002</v>
      </c>
      <c r="D149" s="19">
        <v>0.51900000000000002</v>
      </c>
      <c r="E149" s="19">
        <v>0.51900000000000002</v>
      </c>
      <c r="F149" s="19">
        <v>0.51900000000000002</v>
      </c>
      <c r="G149" s="19">
        <v>0.51900000000000002</v>
      </c>
      <c r="H149" s="19">
        <v>0.51900000000000002</v>
      </c>
      <c r="I149" s="19">
        <v>0.51900000000000002</v>
      </c>
      <c r="J149" s="19">
        <v>0.51900000000000002</v>
      </c>
      <c r="K149" s="19">
        <v>0.51900000000000002</v>
      </c>
      <c r="L149" s="19">
        <v>0.51900000000000002</v>
      </c>
      <c r="M149" s="19">
        <v>0.51900000000000002</v>
      </c>
      <c r="N149" s="19">
        <v>0.51900000000000002</v>
      </c>
    </row>
    <row r="150" spans="1:14" ht="15" x14ac:dyDescent="0.25">
      <c r="A150" s="200"/>
      <c r="B150" s="17" t="s">
        <v>57</v>
      </c>
      <c r="C150" s="19">
        <v>0.47</v>
      </c>
      <c r="D150" s="19">
        <v>0.47</v>
      </c>
      <c r="E150" s="19">
        <v>0.47</v>
      </c>
      <c r="F150" s="19">
        <v>0.47</v>
      </c>
      <c r="G150" s="19">
        <v>0.47</v>
      </c>
      <c r="H150" s="19">
        <v>0.47</v>
      </c>
      <c r="I150" s="19">
        <v>0.47</v>
      </c>
      <c r="J150" s="19">
        <v>0.47</v>
      </c>
      <c r="K150" s="19">
        <v>0.47</v>
      </c>
      <c r="L150" s="19">
        <v>0.47</v>
      </c>
      <c r="M150" s="19">
        <v>0.47</v>
      </c>
      <c r="N150" s="19">
        <v>0.47</v>
      </c>
    </row>
    <row r="151" spans="1:14" ht="15" x14ac:dyDescent="0.25">
      <c r="A151" s="200"/>
      <c r="B151" s="17" t="s">
        <v>58</v>
      </c>
      <c r="C151" s="19">
        <v>1.0999999999999999E-2</v>
      </c>
      <c r="D151" s="19">
        <v>1.0999999999999999E-2</v>
      </c>
      <c r="E151" s="19">
        <v>1.0999999999999999E-2</v>
      </c>
      <c r="F151" s="19">
        <v>1.0999999999999999E-2</v>
      </c>
      <c r="G151" s="19">
        <v>1.0999999999999999E-2</v>
      </c>
      <c r="H151" s="19">
        <v>1.0999999999999999E-2</v>
      </c>
      <c r="I151" s="19">
        <v>1.0999999999999999E-2</v>
      </c>
      <c r="J151" s="19">
        <v>1.0999999999999999E-2</v>
      </c>
      <c r="K151" s="19">
        <v>1.0999999999999999E-2</v>
      </c>
      <c r="L151" s="19">
        <v>1.0999999999999999E-2</v>
      </c>
      <c r="M151" s="19">
        <v>1.0999999999999999E-2</v>
      </c>
      <c r="N151" s="19">
        <v>1.0999999999999999E-2</v>
      </c>
    </row>
    <row r="152" spans="1:14" ht="15" x14ac:dyDescent="0.25">
      <c r="A152" s="200" t="s">
        <v>221</v>
      </c>
      <c r="B152" s="17" t="s">
        <v>55</v>
      </c>
      <c r="C152" s="19">
        <v>0.3</v>
      </c>
      <c r="D152" s="19">
        <v>0.3</v>
      </c>
      <c r="E152" s="19">
        <v>0.3</v>
      </c>
      <c r="F152" s="19">
        <v>0.3</v>
      </c>
      <c r="G152" s="19">
        <v>0.3</v>
      </c>
      <c r="H152" s="19">
        <v>0.3</v>
      </c>
      <c r="I152" s="19">
        <v>0.3</v>
      </c>
      <c r="J152" s="19">
        <v>0.3</v>
      </c>
      <c r="K152" s="19">
        <v>0.3</v>
      </c>
      <c r="L152" s="19">
        <v>0.3</v>
      </c>
      <c r="M152" s="19">
        <v>0.3</v>
      </c>
      <c r="N152" s="19">
        <v>0.3</v>
      </c>
    </row>
    <row r="153" spans="1:14" ht="15" x14ac:dyDescent="0.25">
      <c r="A153" s="200"/>
      <c r="B153" s="17" t="s">
        <v>57</v>
      </c>
      <c r="C153" s="19">
        <v>0.2</v>
      </c>
      <c r="D153" s="19">
        <v>0.2</v>
      </c>
      <c r="E153" s="19">
        <v>0.2</v>
      </c>
      <c r="F153" s="19">
        <v>0.2</v>
      </c>
      <c r="G153" s="19">
        <v>0.2</v>
      </c>
      <c r="H153" s="19">
        <v>0.2</v>
      </c>
      <c r="I153" s="19">
        <v>0.2</v>
      </c>
      <c r="J153" s="19">
        <v>0.2</v>
      </c>
      <c r="K153" s="19">
        <v>0.2</v>
      </c>
      <c r="L153" s="19">
        <v>0.2</v>
      </c>
      <c r="M153" s="19">
        <v>0.2</v>
      </c>
      <c r="N153" s="19">
        <v>0.2</v>
      </c>
    </row>
    <row r="154" spans="1:14" ht="15" x14ac:dyDescent="0.25">
      <c r="A154" s="200"/>
      <c r="B154" s="17" t="s">
        <v>58</v>
      </c>
      <c r="C154" s="19">
        <v>0.5</v>
      </c>
      <c r="D154" s="19">
        <v>0.5</v>
      </c>
      <c r="E154" s="19">
        <v>0.5</v>
      </c>
      <c r="F154" s="19">
        <v>0.5</v>
      </c>
      <c r="G154" s="19">
        <v>0.5</v>
      </c>
      <c r="H154" s="19">
        <v>0.5</v>
      </c>
      <c r="I154" s="19">
        <v>0.5</v>
      </c>
      <c r="J154" s="19">
        <v>0.5</v>
      </c>
      <c r="K154" s="19">
        <v>0.5</v>
      </c>
      <c r="L154" s="19">
        <v>0.5</v>
      </c>
      <c r="M154" s="19">
        <v>0.5</v>
      </c>
      <c r="N154" s="19">
        <v>0.5</v>
      </c>
    </row>
    <row r="155" spans="1:14" ht="15" x14ac:dyDescent="0.25">
      <c r="A155" s="200" t="s">
        <v>222</v>
      </c>
      <c r="B155" s="17" t="s">
        <v>55</v>
      </c>
      <c r="C155" s="19">
        <v>0.3</v>
      </c>
      <c r="D155" s="19">
        <v>0.3</v>
      </c>
      <c r="E155" s="19">
        <v>0.3</v>
      </c>
      <c r="F155" s="19">
        <v>0.3</v>
      </c>
      <c r="G155" s="19">
        <v>0.3</v>
      </c>
      <c r="H155" s="19">
        <v>0.3</v>
      </c>
      <c r="I155" s="19">
        <v>0.3</v>
      </c>
      <c r="J155" s="19">
        <v>0.3</v>
      </c>
      <c r="K155" s="19">
        <v>0.3</v>
      </c>
      <c r="L155" s="19">
        <v>0.3</v>
      </c>
      <c r="M155" s="19">
        <v>0.3</v>
      </c>
      <c r="N155" s="19">
        <v>0.3</v>
      </c>
    </row>
    <row r="156" spans="1:14" ht="15" x14ac:dyDescent="0.25">
      <c r="A156" s="200"/>
      <c r="B156" s="17" t="s">
        <v>57</v>
      </c>
      <c r="C156" s="19">
        <v>0.2</v>
      </c>
      <c r="D156" s="19">
        <v>0.2</v>
      </c>
      <c r="E156" s="19">
        <v>0.2</v>
      </c>
      <c r="F156" s="19">
        <v>0.2</v>
      </c>
      <c r="G156" s="19">
        <v>0.2</v>
      </c>
      <c r="H156" s="19">
        <v>0.2</v>
      </c>
      <c r="I156" s="19">
        <v>0.2</v>
      </c>
      <c r="J156" s="19">
        <v>0.2</v>
      </c>
      <c r="K156" s="19">
        <v>0.2</v>
      </c>
      <c r="L156" s="19">
        <v>0.2</v>
      </c>
      <c r="M156" s="19">
        <v>0.2</v>
      </c>
      <c r="N156" s="19">
        <v>0.2</v>
      </c>
    </row>
    <row r="157" spans="1:14" ht="15" x14ac:dyDescent="0.25">
      <c r="A157" s="200"/>
      <c r="B157" s="17" t="s">
        <v>58</v>
      </c>
      <c r="C157" s="19">
        <v>0.5</v>
      </c>
      <c r="D157" s="19">
        <v>0.5</v>
      </c>
      <c r="E157" s="19">
        <v>0.5</v>
      </c>
      <c r="F157" s="19">
        <v>0.5</v>
      </c>
      <c r="G157" s="19">
        <v>0.5</v>
      </c>
      <c r="H157" s="19">
        <v>0.5</v>
      </c>
      <c r="I157" s="19">
        <v>0.5</v>
      </c>
      <c r="J157" s="19">
        <v>0.5</v>
      </c>
      <c r="K157" s="19">
        <v>0.5</v>
      </c>
      <c r="L157" s="19">
        <v>0.5</v>
      </c>
      <c r="M157" s="19">
        <v>0.5</v>
      </c>
      <c r="N157" s="19">
        <v>0.5</v>
      </c>
    </row>
    <row r="158" spans="1:14" ht="15" x14ac:dyDescent="0.25">
      <c r="A158" s="200" t="s">
        <v>223</v>
      </c>
      <c r="B158" s="17" t="s">
        <v>55</v>
      </c>
      <c r="C158" s="19">
        <v>0.3</v>
      </c>
      <c r="D158" s="19">
        <v>0.3</v>
      </c>
      <c r="E158" s="19">
        <v>0.3</v>
      </c>
      <c r="F158" s="19">
        <v>0.3</v>
      </c>
      <c r="G158" s="19">
        <v>0.3</v>
      </c>
      <c r="H158" s="19">
        <v>0.3</v>
      </c>
      <c r="I158" s="19">
        <v>0.3</v>
      </c>
      <c r="J158" s="19">
        <v>0.3</v>
      </c>
      <c r="K158" s="19">
        <v>0.3</v>
      </c>
      <c r="L158" s="19">
        <v>0.3</v>
      </c>
      <c r="M158" s="19">
        <v>0.3</v>
      </c>
      <c r="N158" s="19">
        <v>0.3</v>
      </c>
    </row>
    <row r="159" spans="1:14" ht="15" x14ac:dyDescent="0.25">
      <c r="A159" s="200"/>
      <c r="B159" s="17" t="s">
        <v>57</v>
      </c>
      <c r="C159" s="19">
        <v>0.2</v>
      </c>
      <c r="D159" s="19">
        <v>0.2</v>
      </c>
      <c r="E159" s="19">
        <v>0.2</v>
      </c>
      <c r="F159" s="19">
        <v>0.2</v>
      </c>
      <c r="G159" s="19">
        <v>0.2</v>
      </c>
      <c r="H159" s="19">
        <v>0.2</v>
      </c>
      <c r="I159" s="19">
        <v>0.2</v>
      </c>
      <c r="J159" s="19">
        <v>0.2</v>
      </c>
      <c r="K159" s="19">
        <v>0.2</v>
      </c>
      <c r="L159" s="19">
        <v>0.2</v>
      </c>
      <c r="M159" s="19">
        <v>0.2</v>
      </c>
      <c r="N159" s="19">
        <v>0.2</v>
      </c>
    </row>
    <row r="160" spans="1:14" ht="15" x14ac:dyDescent="0.25">
      <c r="A160" s="200"/>
      <c r="B160" s="17" t="s">
        <v>58</v>
      </c>
      <c r="C160" s="19">
        <v>0.5</v>
      </c>
      <c r="D160" s="19">
        <v>0.5</v>
      </c>
      <c r="E160" s="19">
        <v>0.5</v>
      </c>
      <c r="F160" s="19">
        <v>0.5</v>
      </c>
      <c r="G160" s="19">
        <v>0.5</v>
      </c>
      <c r="H160" s="19">
        <v>0.5</v>
      </c>
      <c r="I160" s="19">
        <v>0.5</v>
      </c>
      <c r="J160" s="19">
        <v>0.5</v>
      </c>
      <c r="K160" s="19">
        <v>0.5</v>
      </c>
      <c r="L160" s="19">
        <v>0.5</v>
      </c>
      <c r="M160" s="19">
        <v>0.5</v>
      </c>
      <c r="N160" s="19">
        <v>0.5</v>
      </c>
    </row>
    <row r="161" spans="1:14" ht="15" x14ac:dyDescent="0.25">
      <c r="A161" s="200" t="s">
        <v>224</v>
      </c>
      <c r="B161" s="17" t="s">
        <v>55</v>
      </c>
      <c r="C161" s="19">
        <v>0.3</v>
      </c>
      <c r="D161" s="19">
        <v>0.3</v>
      </c>
      <c r="E161" s="19">
        <v>0.3</v>
      </c>
      <c r="F161" s="19">
        <v>0.3</v>
      </c>
      <c r="G161" s="19">
        <v>0.3</v>
      </c>
      <c r="H161" s="19">
        <v>0.3</v>
      </c>
      <c r="I161" s="19">
        <v>0.3</v>
      </c>
      <c r="J161" s="19">
        <v>0.3</v>
      </c>
      <c r="K161" s="19">
        <v>0.3</v>
      </c>
      <c r="L161" s="19">
        <v>0.3</v>
      </c>
      <c r="M161" s="19">
        <v>0.3</v>
      </c>
      <c r="N161" s="19">
        <v>0.3</v>
      </c>
    </row>
    <row r="162" spans="1:14" ht="15" x14ac:dyDescent="0.25">
      <c r="A162" s="200"/>
      <c r="B162" s="17" t="s">
        <v>57</v>
      </c>
      <c r="C162" s="19">
        <v>0.2</v>
      </c>
      <c r="D162" s="19">
        <v>0.2</v>
      </c>
      <c r="E162" s="19">
        <v>0.2</v>
      </c>
      <c r="F162" s="19">
        <v>0.2</v>
      </c>
      <c r="G162" s="19">
        <v>0.2</v>
      </c>
      <c r="H162" s="19">
        <v>0.2</v>
      </c>
      <c r="I162" s="19">
        <v>0.2</v>
      </c>
      <c r="J162" s="19">
        <v>0.2</v>
      </c>
      <c r="K162" s="19">
        <v>0.2</v>
      </c>
      <c r="L162" s="19">
        <v>0.2</v>
      </c>
      <c r="M162" s="19">
        <v>0.2</v>
      </c>
      <c r="N162" s="19">
        <v>0.2</v>
      </c>
    </row>
    <row r="163" spans="1:14" ht="15" x14ac:dyDescent="0.25">
      <c r="A163" s="200"/>
      <c r="B163" s="17" t="s">
        <v>58</v>
      </c>
      <c r="C163" s="19">
        <v>0.5</v>
      </c>
      <c r="D163" s="19">
        <v>0.5</v>
      </c>
      <c r="E163" s="19">
        <v>0.5</v>
      </c>
      <c r="F163" s="19">
        <v>0.5</v>
      </c>
      <c r="G163" s="19">
        <v>0.5</v>
      </c>
      <c r="H163" s="19">
        <v>0.5</v>
      </c>
      <c r="I163" s="19">
        <v>0.5</v>
      </c>
      <c r="J163" s="19">
        <v>0.5</v>
      </c>
      <c r="K163" s="19">
        <v>0.5</v>
      </c>
      <c r="L163" s="19">
        <v>0.5</v>
      </c>
      <c r="M163" s="19">
        <v>0.5</v>
      </c>
      <c r="N163" s="19">
        <v>0.5</v>
      </c>
    </row>
    <row r="164" spans="1:14" ht="15" x14ac:dyDescent="0.25">
      <c r="A164" s="200" t="s">
        <v>225</v>
      </c>
      <c r="B164" s="17" t="s">
        <v>55</v>
      </c>
      <c r="C164" s="19">
        <v>0.3</v>
      </c>
      <c r="D164" s="19">
        <v>0.3</v>
      </c>
      <c r="E164" s="19">
        <v>0.3</v>
      </c>
      <c r="F164" s="19">
        <v>0.3</v>
      </c>
      <c r="G164" s="19">
        <v>0.3</v>
      </c>
      <c r="H164" s="19">
        <v>0.3</v>
      </c>
      <c r="I164" s="19">
        <v>0.3</v>
      </c>
      <c r="J164" s="19">
        <v>0.3</v>
      </c>
      <c r="K164" s="19">
        <v>0.3</v>
      </c>
      <c r="L164" s="19">
        <v>0.3</v>
      </c>
      <c r="M164" s="19">
        <v>0.3</v>
      </c>
      <c r="N164" s="19">
        <v>0.3</v>
      </c>
    </row>
    <row r="165" spans="1:14" ht="15" x14ac:dyDescent="0.25">
      <c r="A165" s="200"/>
      <c r="B165" s="17" t="s">
        <v>57</v>
      </c>
      <c r="C165" s="19">
        <v>0.2</v>
      </c>
      <c r="D165" s="19">
        <v>0.2</v>
      </c>
      <c r="E165" s="19">
        <v>0.2</v>
      </c>
      <c r="F165" s="19">
        <v>0.2</v>
      </c>
      <c r="G165" s="19">
        <v>0.2</v>
      </c>
      <c r="H165" s="19">
        <v>0.2</v>
      </c>
      <c r="I165" s="19">
        <v>0.2</v>
      </c>
      <c r="J165" s="19">
        <v>0.2</v>
      </c>
      <c r="K165" s="19">
        <v>0.2</v>
      </c>
      <c r="L165" s="19">
        <v>0.2</v>
      </c>
      <c r="M165" s="19">
        <v>0.2</v>
      </c>
      <c r="N165" s="19">
        <v>0.2</v>
      </c>
    </row>
    <row r="166" spans="1:14" ht="15" x14ac:dyDescent="0.25">
      <c r="A166" s="200"/>
      <c r="B166" s="17" t="s">
        <v>58</v>
      </c>
      <c r="C166" s="19">
        <v>0.5</v>
      </c>
      <c r="D166" s="19">
        <v>0.5</v>
      </c>
      <c r="E166" s="19">
        <v>0.5</v>
      </c>
      <c r="F166" s="19">
        <v>0.5</v>
      </c>
      <c r="G166" s="19">
        <v>0.5</v>
      </c>
      <c r="H166" s="19">
        <v>0.5</v>
      </c>
      <c r="I166" s="19">
        <v>0.5</v>
      </c>
      <c r="J166" s="19">
        <v>0.5</v>
      </c>
      <c r="K166" s="19">
        <v>0.5</v>
      </c>
      <c r="L166" s="19">
        <v>0.5</v>
      </c>
      <c r="M166" s="19">
        <v>0.5</v>
      </c>
      <c r="N166" s="19">
        <v>0.5</v>
      </c>
    </row>
    <row r="167" spans="1:14" ht="15" x14ac:dyDescent="0.25">
      <c r="A167" s="200" t="s">
        <v>226</v>
      </c>
      <c r="B167" s="17" t="s">
        <v>55</v>
      </c>
      <c r="C167" s="19">
        <v>0.3</v>
      </c>
      <c r="D167" s="19">
        <v>0.3</v>
      </c>
      <c r="E167" s="19">
        <v>0.3</v>
      </c>
      <c r="F167" s="19">
        <v>0.3</v>
      </c>
      <c r="G167" s="19">
        <v>0.3</v>
      </c>
      <c r="H167" s="19">
        <v>0.3</v>
      </c>
      <c r="I167" s="19">
        <v>0.3</v>
      </c>
      <c r="J167" s="19">
        <v>0.3</v>
      </c>
      <c r="K167" s="19">
        <v>0.3</v>
      </c>
      <c r="L167" s="19">
        <v>0.3</v>
      </c>
      <c r="M167" s="19">
        <v>0.3</v>
      </c>
      <c r="N167" s="19">
        <v>0.3</v>
      </c>
    </row>
    <row r="168" spans="1:14" ht="15" x14ac:dyDescent="0.25">
      <c r="A168" s="200"/>
      <c r="B168" s="17" t="s">
        <v>57</v>
      </c>
      <c r="C168" s="19">
        <v>0.2</v>
      </c>
      <c r="D168" s="19">
        <v>0.2</v>
      </c>
      <c r="E168" s="19">
        <v>0.2</v>
      </c>
      <c r="F168" s="19">
        <v>0.2</v>
      </c>
      <c r="G168" s="19">
        <v>0.2</v>
      </c>
      <c r="H168" s="19">
        <v>0.2</v>
      </c>
      <c r="I168" s="19">
        <v>0.2</v>
      </c>
      <c r="J168" s="19">
        <v>0.2</v>
      </c>
      <c r="K168" s="19">
        <v>0.2</v>
      </c>
      <c r="L168" s="19">
        <v>0.2</v>
      </c>
      <c r="M168" s="19">
        <v>0.2</v>
      </c>
      <c r="N168" s="19">
        <v>0.2</v>
      </c>
    </row>
    <row r="169" spans="1:14" ht="15" x14ac:dyDescent="0.25">
      <c r="A169" s="200"/>
      <c r="B169" s="17" t="s">
        <v>58</v>
      </c>
      <c r="C169" s="19">
        <v>0.5</v>
      </c>
      <c r="D169" s="19">
        <v>0.5</v>
      </c>
      <c r="E169" s="19">
        <v>0.5</v>
      </c>
      <c r="F169" s="19">
        <v>0.5</v>
      </c>
      <c r="G169" s="19">
        <v>0.5</v>
      </c>
      <c r="H169" s="19">
        <v>0.5</v>
      </c>
      <c r="I169" s="19">
        <v>0.5</v>
      </c>
      <c r="J169" s="19">
        <v>0.5</v>
      </c>
      <c r="K169" s="19">
        <v>0.5</v>
      </c>
      <c r="L169" s="19">
        <v>0.5</v>
      </c>
      <c r="M169" s="19">
        <v>0.5</v>
      </c>
      <c r="N169" s="19">
        <v>0.5</v>
      </c>
    </row>
    <row r="170" spans="1:14" ht="15" x14ac:dyDescent="0.25">
      <c r="A170" s="200" t="s">
        <v>227</v>
      </c>
      <c r="B170" s="17" t="s">
        <v>55</v>
      </c>
      <c r="C170" s="19">
        <v>0.3</v>
      </c>
      <c r="D170" s="19">
        <v>0.3</v>
      </c>
      <c r="E170" s="19">
        <v>0.3</v>
      </c>
      <c r="F170" s="19">
        <v>0.3</v>
      </c>
      <c r="G170" s="19">
        <v>0.3</v>
      </c>
      <c r="H170" s="19">
        <v>0.3</v>
      </c>
      <c r="I170" s="19">
        <v>0.3</v>
      </c>
      <c r="J170" s="19">
        <v>0.3</v>
      </c>
      <c r="K170" s="19">
        <v>0.3</v>
      </c>
      <c r="L170" s="19">
        <v>0.3</v>
      </c>
      <c r="M170" s="19">
        <v>0.3</v>
      </c>
      <c r="N170" s="19">
        <v>0.3</v>
      </c>
    </row>
    <row r="171" spans="1:14" ht="15" x14ac:dyDescent="0.25">
      <c r="A171" s="200"/>
      <c r="B171" s="17" t="s">
        <v>57</v>
      </c>
      <c r="C171" s="19">
        <v>0.2</v>
      </c>
      <c r="D171" s="19">
        <v>0.2</v>
      </c>
      <c r="E171" s="19">
        <v>0.2</v>
      </c>
      <c r="F171" s="19">
        <v>0.2</v>
      </c>
      <c r="G171" s="19">
        <v>0.2</v>
      </c>
      <c r="H171" s="19">
        <v>0.2</v>
      </c>
      <c r="I171" s="19">
        <v>0.2</v>
      </c>
      <c r="J171" s="19">
        <v>0.2</v>
      </c>
      <c r="K171" s="19">
        <v>0.2</v>
      </c>
      <c r="L171" s="19">
        <v>0.2</v>
      </c>
      <c r="M171" s="19">
        <v>0.2</v>
      </c>
      <c r="N171" s="19">
        <v>0.2</v>
      </c>
    </row>
    <row r="172" spans="1:14" ht="15" x14ac:dyDescent="0.25">
      <c r="A172" s="200"/>
      <c r="B172" s="17" t="s">
        <v>58</v>
      </c>
      <c r="C172" s="19">
        <v>0.5</v>
      </c>
      <c r="D172" s="19">
        <v>0.5</v>
      </c>
      <c r="E172" s="19">
        <v>0.5</v>
      </c>
      <c r="F172" s="19">
        <v>0.5</v>
      </c>
      <c r="G172" s="19">
        <v>0.5</v>
      </c>
      <c r="H172" s="19">
        <v>0.5</v>
      </c>
      <c r="I172" s="19">
        <v>0.5</v>
      </c>
      <c r="J172" s="19">
        <v>0.5</v>
      </c>
      <c r="K172" s="19">
        <v>0.5</v>
      </c>
      <c r="L172" s="19">
        <v>0.5</v>
      </c>
      <c r="M172" s="19">
        <v>0.5</v>
      </c>
      <c r="N172" s="19">
        <v>0.5</v>
      </c>
    </row>
    <row r="173" spans="1:14" ht="15" x14ac:dyDescent="0.25">
      <c r="A173" s="200" t="s">
        <v>228</v>
      </c>
      <c r="B173" s="17" t="s">
        <v>55</v>
      </c>
      <c r="C173" s="19">
        <v>0.3</v>
      </c>
      <c r="D173" s="19">
        <v>0.3</v>
      </c>
      <c r="E173" s="19">
        <v>0.3</v>
      </c>
      <c r="F173" s="19">
        <v>0.3</v>
      </c>
      <c r="G173" s="19">
        <v>0.3</v>
      </c>
      <c r="H173" s="19">
        <v>0.3</v>
      </c>
      <c r="I173" s="19">
        <v>0.3</v>
      </c>
      <c r="J173" s="19">
        <v>0.3</v>
      </c>
      <c r="K173" s="19">
        <v>0.3</v>
      </c>
      <c r="L173" s="19">
        <v>0.3</v>
      </c>
      <c r="M173" s="19">
        <v>0.3</v>
      </c>
      <c r="N173" s="19">
        <v>0.3</v>
      </c>
    </row>
    <row r="174" spans="1:14" ht="15" x14ac:dyDescent="0.25">
      <c r="A174" s="200"/>
      <c r="B174" s="17" t="s">
        <v>57</v>
      </c>
      <c r="C174" s="19">
        <v>0.2</v>
      </c>
      <c r="D174" s="19">
        <v>0.2</v>
      </c>
      <c r="E174" s="19">
        <v>0.2</v>
      </c>
      <c r="F174" s="19">
        <v>0.2</v>
      </c>
      <c r="G174" s="19">
        <v>0.2</v>
      </c>
      <c r="H174" s="19">
        <v>0.2</v>
      </c>
      <c r="I174" s="19">
        <v>0.2</v>
      </c>
      <c r="J174" s="19">
        <v>0.2</v>
      </c>
      <c r="K174" s="19">
        <v>0.2</v>
      </c>
      <c r="L174" s="19">
        <v>0.2</v>
      </c>
      <c r="M174" s="19">
        <v>0.2</v>
      </c>
      <c r="N174" s="19">
        <v>0.2</v>
      </c>
    </row>
    <row r="175" spans="1:14" ht="15" x14ac:dyDescent="0.25">
      <c r="A175" s="200"/>
      <c r="B175" s="17" t="s">
        <v>58</v>
      </c>
      <c r="C175" s="19">
        <v>0.5</v>
      </c>
      <c r="D175" s="19">
        <v>0.5</v>
      </c>
      <c r="E175" s="19">
        <v>0.5</v>
      </c>
      <c r="F175" s="19">
        <v>0.5</v>
      </c>
      <c r="G175" s="19">
        <v>0.5</v>
      </c>
      <c r="H175" s="19">
        <v>0.5</v>
      </c>
      <c r="I175" s="19">
        <v>0.5</v>
      </c>
      <c r="J175" s="19">
        <v>0.5</v>
      </c>
      <c r="K175" s="19">
        <v>0.5</v>
      </c>
      <c r="L175" s="19">
        <v>0.5</v>
      </c>
      <c r="M175" s="19">
        <v>0.5</v>
      </c>
      <c r="N175" s="19">
        <v>0.5</v>
      </c>
    </row>
    <row r="176" spans="1:14" ht="15" x14ac:dyDescent="0.25">
      <c r="A176" s="200" t="s">
        <v>229</v>
      </c>
      <c r="B176" s="17" t="s">
        <v>55</v>
      </c>
      <c r="C176" s="19">
        <v>0.3</v>
      </c>
      <c r="D176" s="19">
        <v>0.3</v>
      </c>
      <c r="E176" s="19">
        <v>0.3</v>
      </c>
      <c r="F176" s="19">
        <v>0.3</v>
      </c>
      <c r="G176" s="19">
        <v>0.3</v>
      </c>
      <c r="H176" s="19">
        <v>0.3</v>
      </c>
      <c r="I176" s="19">
        <v>0.3</v>
      </c>
      <c r="J176" s="19">
        <v>0.3</v>
      </c>
      <c r="K176" s="19">
        <v>0.3</v>
      </c>
      <c r="L176" s="19">
        <v>0.3</v>
      </c>
      <c r="M176" s="19">
        <v>0.3</v>
      </c>
      <c r="N176" s="19">
        <v>0.3</v>
      </c>
    </row>
    <row r="177" spans="1:14" ht="15" x14ac:dyDescent="0.25">
      <c r="A177" s="200"/>
      <c r="B177" s="17" t="s">
        <v>57</v>
      </c>
      <c r="C177" s="19">
        <v>0.2</v>
      </c>
      <c r="D177" s="19">
        <v>0.2</v>
      </c>
      <c r="E177" s="19">
        <v>0.2</v>
      </c>
      <c r="F177" s="19">
        <v>0.2</v>
      </c>
      <c r="G177" s="19">
        <v>0.2</v>
      </c>
      <c r="H177" s="19">
        <v>0.2</v>
      </c>
      <c r="I177" s="19">
        <v>0.2</v>
      </c>
      <c r="J177" s="19">
        <v>0.2</v>
      </c>
      <c r="K177" s="19">
        <v>0.2</v>
      </c>
      <c r="L177" s="19">
        <v>0.2</v>
      </c>
      <c r="M177" s="19">
        <v>0.2</v>
      </c>
      <c r="N177" s="19">
        <v>0.2</v>
      </c>
    </row>
    <row r="178" spans="1:14" ht="15" x14ac:dyDescent="0.25">
      <c r="A178" s="200"/>
      <c r="B178" s="17" t="s">
        <v>58</v>
      </c>
      <c r="C178" s="19">
        <v>0.5</v>
      </c>
      <c r="D178" s="19">
        <v>0.5</v>
      </c>
      <c r="E178" s="19">
        <v>0.5</v>
      </c>
      <c r="F178" s="19">
        <v>0.5</v>
      </c>
      <c r="G178" s="19">
        <v>0.5</v>
      </c>
      <c r="H178" s="19">
        <v>0.5</v>
      </c>
      <c r="I178" s="19">
        <v>0.5</v>
      </c>
      <c r="J178" s="19">
        <v>0.5</v>
      </c>
      <c r="K178" s="19">
        <v>0.5</v>
      </c>
      <c r="L178" s="19">
        <v>0.5</v>
      </c>
      <c r="M178" s="19">
        <v>0.5</v>
      </c>
      <c r="N178" s="19">
        <v>0.5</v>
      </c>
    </row>
    <row r="179" spans="1:14" ht="15" x14ac:dyDescent="0.25">
      <c r="A179" s="200" t="s">
        <v>230</v>
      </c>
      <c r="B179" s="17" t="s">
        <v>55</v>
      </c>
      <c r="C179" s="19">
        <v>0.3</v>
      </c>
      <c r="D179" s="19">
        <v>0.3</v>
      </c>
      <c r="E179" s="19">
        <v>0.3</v>
      </c>
      <c r="F179" s="19">
        <v>0.3</v>
      </c>
      <c r="G179" s="19">
        <v>0.3</v>
      </c>
      <c r="H179" s="19">
        <v>0.3</v>
      </c>
      <c r="I179" s="19">
        <v>0.3</v>
      </c>
      <c r="J179" s="19">
        <v>0.3</v>
      </c>
      <c r="K179" s="19">
        <v>0.3</v>
      </c>
      <c r="L179" s="19">
        <v>0.3</v>
      </c>
      <c r="M179" s="19">
        <v>0.3</v>
      </c>
      <c r="N179" s="19">
        <v>0.3</v>
      </c>
    </row>
    <row r="180" spans="1:14" ht="15" x14ac:dyDescent="0.25">
      <c r="A180" s="200"/>
      <c r="B180" s="17" t="s">
        <v>57</v>
      </c>
      <c r="C180" s="19">
        <v>0.2</v>
      </c>
      <c r="D180" s="19">
        <v>0.2</v>
      </c>
      <c r="E180" s="19">
        <v>0.2</v>
      </c>
      <c r="F180" s="19">
        <v>0.2</v>
      </c>
      <c r="G180" s="19">
        <v>0.2</v>
      </c>
      <c r="H180" s="19">
        <v>0.2</v>
      </c>
      <c r="I180" s="19">
        <v>0.2</v>
      </c>
      <c r="J180" s="19">
        <v>0.2</v>
      </c>
      <c r="K180" s="19">
        <v>0.2</v>
      </c>
      <c r="L180" s="19">
        <v>0.2</v>
      </c>
      <c r="M180" s="19">
        <v>0.2</v>
      </c>
      <c r="N180" s="19">
        <v>0.2</v>
      </c>
    </row>
    <row r="181" spans="1:14" ht="15" x14ac:dyDescent="0.25">
      <c r="A181" s="200"/>
      <c r="B181" s="17" t="s">
        <v>58</v>
      </c>
      <c r="C181" s="19">
        <v>0.5</v>
      </c>
      <c r="D181" s="19">
        <v>0.5</v>
      </c>
      <c r="E181" s="19">
        <v>0.5</v>
      </c>
      <c r="F181" s="19">
        <v>0.5</v>
      </c>
      <c r="G181" s="19">
        <v>0.5</v>
      </c>
      <c r="H181" s="19">
        <v>0.5</v>
      </c>
      <c r="I181" s="19">
        <v>0.5</v>
      </c>
      <c r="J181" s="19">
        <v>0.5</v>
      </c>
      <c r="K181" s="19">
        <v>0.5</v>
      </c>
      <c r="L181" s="19">
        <v>0.5</v>
      </c>
      <c r="M181" s="19">
        <v>0.5</v>
      </c>
      <c r="N181" s="19">
        <v>0.5</v>
      </c>
    </row>
    <row r="182" spans="1:14" ht="15" x14ac:dyDescent="0.25">
      <c r="A182" s="200" t="s">
        <v>231</v>
      </c>
      <c r="B182" s="17" t="s">
        <v>55</v>
      </c>
      <c r="C182" s="19">
        <v>0.3</v>
      </c>
      <c r="D182" s="19">
        <v>0.3</v>
      </c>
      <c r="E182" s="19">
        <v>0.3</v>
      </c>
      <c r="F182" s="19">
        <v>0.3</v>
      </c>
      <c r="G182" s="19">
        <v>0.3</v>
      </c>
      <c r="H182" s="19">
        <v>0.3</v>
      </c>
      <c r="I182" s="19">
        <v>0.3</v>
      </c>
      <c r="J182" s="19">
        <v>0.3</v>
      </c>
      <c r="K182" s="19">
        <v>0.3</v>
      </c>
      <c r="L182" s="19">
        <v>0.3</v>
      </c>
      <c r="M182" s="19">
        <v>0.3</v>
      </c>
      <c r="N182" s="19">
        <v>0.3</v>
      </c>
    </row>
    <row r="183" spans="1:14" ht="15" x14ac:dyDescent="0.25">
      <c r="A183" s="200"/>
      <c r="B183" s="17" t="s">
        <v>57</v>
      </c>
      <c r="C183" s="19">
        <v>0.2</v>
      </c>
      <c r="D183" s="19">
        <v>0.2</v>
      </c>
      <c r="E183" s="19">
        <v>0.2</v>
      </c>
      <c r="F183" s="19">
        <v>0.2</v>
      </c>
      <c r="G183" s="19">
        <v>0.2</v>
      </c>
      <c r="H183" s="19">
        <v>0.2</v>
      </c>
      <c r="I183" s="19">
        <v>0.2</v>
      </c>
      <c r="J183" s="19">
        <v>0.2</v>
      </c>
      <c r="K183" s="19">
        <v>0.2</v>
      </c>
      <c r="L183" s="19">
        <v>0.2</v>
      </c>
      <c r="M183" s="19">
        <v>0.2</v>
      </c>
      <c r="N183" s="19">
        <v>0.2</v>
      </c>
    </row>
    <row r="184" spans="1:14" ht="15" x14ac:dyDescent="0.25">
      <c r="A184" s="200"/>
      <c r="B184" s="17" t="s">
        <v>58</v>
      </c>
      <c r="C184" s="19">
        <v>0.5</v>
      </c>
      <c r="D184" s="19">
        <v>0.5</v>
      </c>
      <c r="E184" s="19">
        <v>0.5</v>
      </c>
      <c r="F184" s="19">
        <v>0.5</v>
      </c>
      <c r="G184" s="19">
        <v>0.5</v>
      </c>
      <c r="H184" s="19">
        <v>0.5</v>
      </c>
      <c r="I184" s="19">
        <v>0.5</v>
      </c>
      <c r="J184" s="19">
        <v>0.5</v>
      </c>
      <c r="K184" s="19">
        <v>0.5</v>
      </c>
      <c r="L184" s="19">
        <v>0.5</v>
      </c>
      <c r="M184" s="19">
        <v>0.5</v>
      </c>
      <c r="N184" s="19">
        <v>0.5</v>
      </c>
    </row>
    <row r="185" spans="1:14" ht="15" x14ac:dyDescent="0.25">
      <c r="A185" s="200" t="s">
        <v>232</v>
      </c>
      <c r="B185" s="17" t="s">
        <v>55</v>
      </c>
      <c r="C185" s="19">
        <v>0.3</v>
      </c>
      <c r="D185" s="19">
        <v>0.3</v>
      </c>
      <c r="E185" s="19">
        <v>0.3</v>
      </c>
      <c r="F185" s="19">
        <v>0.3</v>
      </c>
      <c r="G185" s="19">
        <v>0.3</v>
      </c>
      <c r="H185" s="19">
        <v>0.3</v>
      </c>
      <c r="I185" s="19">
        <v>0.3</v>
      </c>
      <c r="J185" s="19">
        <v>0.3</v>
      </c>
      <c r="K185" s="19">
        <v>0.3</v>
      </c>
      <c r="L185" s="19">
        <v>0.3</v>
      </c>
      <c r="M185" s="19">
        <v>0.3</v>
      </c>
      <c r="N185" s="19">
        <v>0.3</v>
      </c>
    </row>
    <row r="186" spans="1:14" ht="15" x14ac:dyDescent="0.25">
      <c r="A186" s="200"/>
      <c r="B186" s="17" t="s">
        <v>57</v>
      </c>
      <c r="C186" s="19">
        <v>0.2</v>
      </c>
      <c r="D186" s="19">
        <v>0.2</v>
      </c>
      <c r="E186" s="19">
        <v>0.2</v>
      </c>
      <c r="F186" s="19">
        <v>0.2</v>
      </c>
      <c r="G186" s="19">
        <v>0.2</v>
      </c>
      <c r="H186" s="19">
        <v>0.2</v>
      </c>
      <c r="I186" s="19">
        <v>0.2</v>
      </c>
      <c r="J186" s="19">
        <v>0.2</v>
      </c>
      <c r="K186" s="19">
        <v>0.2</v>
      </c>
      <c r="L186" s="19">
        <v>0.2</v>
      </c>
      <c r="M186" s="19">
        <v>0.2</v>
      </c>
      <c r="N186" s="19">
        <v>0.2</v>
      </c>
    </row>
    <row r="187" spans="1:14" ht="15" x14ac:dyDescent="0.25">
      <c r="A187" s="200"/>
      <c r="B187" s="17" t="s">
        <v>58</v>
      </c>
      <c r="C187" s="19">
        <v>0.5</v>
      </c>
      <c r="D187" s="19">
        <v>0.5</v>
      </c>
      <c r="E187" s="19">
        <v>0.5</v>
      </c>
      <c r="F187" s="19">
        <v>0.5</v>
      </c>
      <c r="G187" s="19">
        <v>0.5</v>
      </c>
      <c r="H187" s="19">
        <v>0.5</v>
      </c>
      <c r="I187" s="19">
        <v>0.5</v>
      </c>
      <c r="J187" s="19">
        <v>0.5</v>
      </c>
      <c r="K187" s="19">
        <v>0.5</v>
      </c>
      <c r="L187" s="19">
        <v>0.5</v>
      </c>
      <c r="M187" s="19">
        <v>0.5</v>
      </c>
      <c r="N187" s="19">
        <v>0.5</v>
      </c>
    </row>
    <row r="188" spans="1:14" ht="15" x14ac:dyDescent="0.25">
      <c r="A188" s="200" t="s">
        <v>233</v>
      </c>
      <c r="B188" s="17" t="s">
        <v>55</v>
      </c>
      <c r="C188" s="19">
        <v>0.3</v>
      </c>
      <c r="D188" s="19">
        <v>0.3</v>
      </c>
      <c r="E188" s="19">
        <v>0.3</v>
      </c>
      <c r="F188" s="19">
        <v>0.3</v>
      </c>
      <c r="G188" s="19">
        <v>0.3</v>
      </c>
      <c r="H188" s="19">
        <v>0.3</v>
      </c>
      <c r="I188" s="19">
        <v>0.3</v>
      </c>
      <c r="J188" s="19">
        <v>0.3</v>
      </c>
      <c r="K188" s="19">
        <v>0.3</v>
      </c>
      <c r="L188" s="19">
        <v>0.3</v>
      </c>
      <c r="M188" s="19">
        <v>0.3</v>
      </c>
      <c r="N188" s="19">
        <v>0.3</v>
      </c>
    </row>
    <row r="189" spans="1:14" ht="15" x14ac:dyDescent="0.25">
      <c r="A189" s="200"/>
      <c r="B189" s="17" t="s">
        <v>57</v>
      </c>
      <c r="C189" s="19">
        <v>0.2</v>
      </c>
      <c r="D189" s="19">
        <v>0.2</v>
      </c>
      <c r="E189" s="19">
        <v>0.2</v>
      </c>
      <c r="F189" s="19">
        <v>0.2</v>
      </c>
      <c r="G189" s="19">
        <v>0.2</v>
      </c>
      <c r="H189" s="19">
        <v>0.2</v>
      </c>
      <c r="I189" s="19">
        <v>0.2</v>
      </c>
      <c r="J189" s="19">
        <v>0.2</v>
      </c>
      <c r="K189" s="19">
        <v>0.2</v>
      </c>
      <c r="L189" s="19">
        <v>0.2</v>
      </c>
      <c r="M189" s="19">
        <v>0.2</v>
      </c>
      <c r="N189" s="19">
        <v>0.2</v>
      </c>
    </row>
    <row r="190" spans="1:14" ht="15" x14ac:dyDescent="0.25">
      <c r="A190" s="200"/>
      <c r="B190" s="17" t="s">
        <v>58</v>
      </c>
      <c r="C190" s="19">
        <v>0.5</v>
      </c>
      <c r="D190" s="19">
        <v>0.5</v>
      </c>
      <c r="E190" s="19">
        <v>0.5</v>
      </c>
      <c r="F190" s="19">
        <v>0.5</v>
      </c>
      <c r="G190" s="19">
        <v>0.5</v>
      </c>
      <c r="H190" s="19">
        <v>0.5</v>
      </c>
      <c r="I190" s="19">
        <v>0.5</v>
      </c>
      <c r="J190" s="19">
        <v>0.5</v>
      </c>
      <c r="K190" s="19">
        <v>0.5</v>
      </c>
      <c r="L190" s="19">
        <v>0.5</v>
      </c>
      <c r="M190" s="19">
        <v>0.5</v>
      </c>
      <c r="N190" s="19">
        <v>0.5</v>
      </c>
    </row>
    <row r="191" spans="1:14" ht="15" x14ac:dyDescent="0.25">
      <c r="A191" s="200" t="s">
        <v>234</v>
      </c>
      <c r="B191" s="17" t="s">
        <v>55</v>
      </c>
      <c r="C191" s="19">
        <v>0.3</v>
      </c>
      <c r="D191" s="19">
        <v>0.3</v>
      </c>
      <c r="E191" s="19">
        <v>0.3</v>
      </c>
      <c r="F191" s="19">
        <v>0.3</v>
      </c>
      <c r="G191" s="19">
        <v>0.3</v>
      </c>
      <c r="H191" s="19">
        <v>0.3</v>
      </c>
      <c r="I191" s="19">
        <v>0.3</v>
      </c>
      <c r="J191" s="19">
        <v>0.3</v>
      </c>
      <c r="K191" s="19">
        <v>0.3</v>
      </c>
      <c r="L191" s="19">
        <v>0.3</v>
      </c>
      <c r="M191" s="19">
        <v>0.3</v>
      </c>
      <c r="N191" s="19">
        <v>0.3</v>
      </c>
    </row>
    <row r="192" spans="1:14" ht="15" x14ac:dyDescent="0.25">
      <c r="A192" s="200"/>
      <c r="B192" s="17" t="s">
        <v>57</v>
      </c>
      <c r="C192" s="19">
        <v>0.2</v>
      </c>
      <c r="D192" s="19">
        <v>0.2</v>
      </c>
      <c r="E192" s="19">
        <v>0.2</v>
      </c>
      <c r="F192" s="19">
        <v>0.2</v>
      </c>
      <c r="G192" s="19">
        <v>0.2</v>
      </c>
      <c r="H192" s="19">
        <v>0.2</v>
      </c>
      <c r="I192" s="19">
        <v>0.2</v>
      </c>
      <c r="J192" s="19">
        <v>0.2</v>
      </c>
      <c r="K192" s="19">
        <v>0.2</v>
      </c>
      <c r="L192" s="19">
        <v>0.2</v>
      </c>
      <c r="M192" s="19">
        <v>0.2</v>
      </c>
      <c r="N192" s="19">
        <v>0.2</v>
      </c>
    </row>
    <row r="193" spans="1:14" ht="15" x14ac:dyDescent="0.25">
      <c r="A193" s="200"/>
      <c r="B193" s="17" t="s">
        <v>58</v>
      </c>
      <c r="C193" s="19">
        <v>0.5</v>
      </c>
      <c r="D193" s="19">
        <v>0.5</v>
      </c>
      <c r="E193" s="19">
        <v>0.5</v>
      </c>
      <c r="F193" s="19">
        <v>0.5</v>
      </c>
      <c r="G193" s="19">
        <v>0.5</v>
      </c>
      <c r="H193" s="19">
        <v>0.5</v>
      </c>
      <c r="I193" s="19">
        <v>0.5</v>
      </c>
      <c r="J193" s="19">
        <v>0.5</v>
      </c>
      <c r="K193" s="19">
        <v>0.5</v>
      </c>
      <c r="L193" s="19">
        <v>0.5</v>
      </c>
      <c r="M193" s="19">
        <v>0.5</v>
      </c>
      <c r="N193" s="19">
        <v>0.5</v>
      </c>
    </row>
    <row r="194" spans="1:14" ht="15" x14ac:dyDescent="0.25">
      <c r="A194" s="200" t="s">
        <v>235</v>
      </c>
      <c r="B194" s="17" t="s">
        <v>55</v>
      </c>
      <c r="C194" s="19">
        <v>0.3</v>
      </c>
      <c r="D194" s="19">
        <v>0.3</v>
      </c>
      <c r="E194" s="19">
        <v>0.3</v>
      </c>
      <c r="F194" s="19">
        <v>0.3</v>
      </c>
      <c r="G194" s="19">
        <v>0.3</v>
      </c>
      <c r="H194" s="19">
        <v>0.3</v>
      </c>
      <c r="I194" s="19">
        <v>0.3</v>
      </c>
      <c r="J194" s="19">
        <v>0.3</v>
      </c>
      <c r="K194" s="19">
        <v>0.3</v>
      </c>
      <c r="L194" s="19">
        <v>0.3</v>
      </c>
      <c r="M194" s="19">
        <v>0.3</v>
      </c>
      <c r="N194" s="19">
        <v>0.3</v>
      </c>
    </row>
    <row r="195" spans="1:14" ht="15" x14ac:dyDescent="0.25">
      <c r="A195" s="200"/>
      <c r="B195" s="17" t="s">
        <v>57</v>
      </c>
      <c r="C195" s="19">
        <v>0.2</v>
      </c>
      <c r="D195" s="19">
        <v>0.2</v>
      </c>
      <c r="E195" s="19">
        <v>0.2</v>
      </c>
      <c r="F195" s="19">
        <v>0.2</v>
      </c>
      <c r="G195" s="19">
        <v>0.2</v>
      </c>
      <c r="H195" s="19">
        <v>0.2</v>
      </c>
      <c r="I195" s="19">
        <v>0.2</v>
      </c>
      <c r="J195" s="19">
        <v>0.2</v>
      </c>
      <c r="K195" s="19">
        <v>0.2</v>
      </c>
      <c r="L195" s="19">
        <v>0.2</v>
      </c>
      <c r="M195" s="19">
        <v>0.2</v>
      </c>
      <c r="N195" s="19">
        <v>0.2</v>
      </c>
    </row>
    <row r="196" spans="1:14" ht="15" x14ac:dyDescent="0.25">
      <c r="A196" s="200"/>
      <c r="B196" s="17" t="s">
        <v>58</v>
      </c>
      <c r="C196" s="19">
        <v>0.5</v>
      </c>
      <c r="D196" s="19">
        <v>0.5</v>
      </c>
      <c r="E196" s="19">
        <v>0.5</v>
      </c>
      <c r="F196" s="19">
        <v>0.5</v>
      </c>
      <c r="G196" s="19">
        <v>0.5</v>
      </c>
      <c r="H196" s="19">
        <v>0.5</v>
      </c>
      <c r="I196" s="19">
        <v>0.5</v>
      </c>
      <c r="J196" s="19">
        <v>0.5</v>
      </c>
      <c r="K196" s="19">
        <v>0.5</v>
      </c>
      <c r="L196" s="19">
        <v>0.5</v>
      </c>
      <c r="M196" s="19">
        <v>0.5</v>
      </c>
      <c r="N196" s="19">
        <v>0.5</v>
      </c>
    </row>
    <row r="197" spans="1:14" ht="15" x14ac:dyDescent="0.25">
      <c r="A197" s="200" t="s">
        <v>236</v>
      </c>
      <c r="B197" s="17" t="s">
        <v>55</v>
      </c>
      <c r="C197" s="19">
        <v>0.3</v>
      </c>
      <c r="D197" s="19">
        <v>0.3</v>
      </c>
      <c r="E197" s="19">
        <v>0.3</v>
      </c>
      <c r="F197" s="19">
        <v>0.3</v>
      </c>
      <c r="G197" s="19">
        <v>0.3</v>
      </c>
      <c r="H197" s="19">
        <v>0.3</v>
      </c>
      <c r="I197" s="19">
        <v>0.3</v>
      </c>
      <c r="J197" s="19">
        <v>0.3</v>
      </c>
      <c r="K197" s="19">
        <v>0.3</v>
      </c>
      <c r="L197" s="19">
        <v>0.3</v>
      </c>
      <c r="M197" s="19">
        <v>0.3</v>
      </c>
      <c r="N197" s="19">
        <v>0.3</v>
      </c>
    </row>
    <row r="198" spans="1:14" ht="15" x14ac:dyDescent="0.25">
      <c r="A198" s="200"/>
      <c r="B198" s="17" t="s">
        <v>57</v>
      </c>
      <c r="C198" s="19">
        <v>0.2</v>
      </c>
      <c r="D198" s="19">
        <v>0.2</v>
      </c>
      <c r="E198" s="19">
        <v>0.2</v>
      </c>
      <c r="F198" s="19">
        <v>0.2</v>
      </c>
      <c r="G198" s="19">
        <v>0.2</v>
      </c>
      <c r="H198" s="19">
        <v>0.2</v>
      </c>
      <c r="I198" s="19">
        <v>0.2</v>
      </c>
      <c r="J198" s="19">
        <v>0.2</v>
      </c>
      <c r="K198" s="19">
        <v>0.2</v>
      </c>
      <c r="L198" s="19">
        <v>0.2</v>
      </c>
      <c r="M198" s="19">
        <v>0.2</v>
      </c>
      <c r="N198" s="19">
        <v>0.2</v>
      </c>
    </row>
    <row r="199" spans="1:14" ht="15" x14ac:dyDescent="0.25">
      <c r="A199" s="200"/>
      <c r="B199" s="17" t="s">
        <v>58</v>
      </c>
      <c r="C199" s="19">
        <v>0.5</v>
      </c>
      <c r="D199" s="19">
        <v>0.5</v>
      </c>
      <c r="E199" s="19">
        <v>0.5</v>
      </c>
      <c r="F199" s="19">
        <v>0.5</v>
      </c>
      <c r="G199" s="19">
        <v>0.5</v>
      </c>
      <c r="H199" s="19">
        <v>0.5</v>
      </c>
      <c r="I199" s="19">
        <v>0.5</v>
      </c>
      <c r="J199" s="19">
        <v>0.5</v>
      </c>
      <c r="K199" s="19">
        <v>0.5</v>
      </c>
      <c r="L199" s="19">
        <v>0.5</v>
      </c>
      <c r="M199" s="19">
        <v>0.5</v>
      </c>
      <c r="N199" s="19">
        <v>0.5</v>
      </c>
    </row>
    <row r="200" spans="1:14" ht="15" x14ac:dyDescent="0.25">
      <c r="A200" s="200" t="s">
        <v>237</v>
      </c>
      <c r="B200" s="17" t="s">
        <v>55</v>
      </c>
      <c r="C200" s="19">
        <v>0.3</v>
      </c>
      <c r="D200" s="19">
        <v>0.3</v>
      </c>
      <c r="E200" s="19">
        <v>0.3</v>
      </c>
      <c r="F200" s="19">
        <v>0.3</v>
      </c>
      <c r="G200" s="19">
        <v>0.3</v>
      </c>
      <c r="H200" s="19">
        <v>0.3</v>
      </c>
      <c r="I200" s="19">
        <v>0.3</v>
      </c>
      <c r="J200" s="19">
        <v>0.3</v>
      </c>
      <c r="K200" s="19">
        <v>0.3</v>
      </c>
      <c r="L200" s="19">
        <v>0.3</v>
      </c>
      <c r="M200" s="19">
        <v>0.3</v>
      </c>
      <c r="N200" s="19">
        <v>0.3</v>
      </c>
    </row>
    <row r="201" spans="1:14" ht="15" x14ac:dyDescent="0.25">
      <c r="A201" s="200"/>
      <c r="B201" s="17" t="s">
        <v>57</v>
      </c>
      <c r="C201" s="19">
        <v>0.2</v>
      </c>
      <c r="D201" s="19">
        <v>0.2</v>
      </c>
      <c r="E201" s="19">
        <v>0.2</v>
      </c>
      <c r="F201" s="19">
        <v>0.2</v>
      </c>
      <c r="G201" s="19">
        <v>0.2</v>
      </c>
      <c r="H201" s="19">
        <v>0.2</v>
      </c>
      <c r="I201" s="19">
        <v>0.2</v>
      </c>
      <c r="J201" s="19">
        <v>0.2</v>
      </c>
      <c r="K201" s="19">
        <v>0.2</v>
      </c>
      <c r="L201" s="19">
        <v>0.2</v>
      </c>
      <c r="M201" s="19">
        <v>0.2</v>
      </c>
      <c r="N201" s="19">
        <v>0.2</v>
      </c>
    </row>
    <row r="202" spans="1:14" ht="15" x14ac:dyDescent="0.25">
      <c r="A202" s="200"/>
      <c r="B202" s="17" t="s">
        <v>58</v>
      </c>
      <c r="C202" s="19">
        <v>0.5</v>
      </c>
      <c r="D202" s="19">
        <v>0.5</v>
      </c>
      <c r="E202" s="19">
        <v>0.5</v>
      </c>
      <c r="F202" s="19">
        <v>0.5</v>
      </c>
      <c r="G202" s="19">
        <v>0.5</v>
      </c>
      <c r="H202" s="19">
        <v>0.5</v>
      </c>
      <c r="I202" s="19">
        <v>0.5</v>
      </c>
      <c r="J202" s="19">
        <v>0.5</v>
      </c>
      <c r="K202" s="19">
        <v>0.5</v>
      </c>
      <c r="L202" s="19">
        <v>0.5</v>
      </c>
      <c r="M202" s="19">
        <v>0.5</v>
      </c>
      <c r="N202" s="19">
        <v>0.5</v>
      </c>
    </row>
    <row r="203" spans="1:14" ht="15" x14ac:dyDescent="0.25">
      <c r="A203" s="200" t="s">
        <v>238</v>
      </c>
      <c r="B203" s="17" t="s">
        <v>55</v>
      </c>
      <c r="C203" s="19">
        <v>0.3</v>
      </c>
      <c r="D203" s="19">
        <v>0.3</v>
      </c>
      <c r="E203" s="19">
        <v>0.3</v>
      </c>
      <c r="F203" s="19">
        <v>0.3</v>
      </c>
      <c r="G203" s="19">
        <v>0.3</v>
      </c>
      <c r="H203" s="19">
        <v>0.3</v>
      </c>
      <c r="I203" s="19">
        <v>0.3</v>
      </c>
      <c r="J203" s="19">
        <v>0.3</v>
      </c>
      <c r="K203" s="19">
        <v>0.3</v>
      </c>
      <c r="L203" s="19">
        <v>0.3</v>
      </c>
      <c r="M203" s="19">
        <v>0.3</v>
      </c>
      <c r="N203" s="19">
        <v>0.3</v>
      </c>
    </row>
    <row r="204" spans="1:14" ht="15" x14ac:dyDescent="0.25">
      <c r="A204" s="200"/>
      <c r="B204" s="17" t="s">
        <v>57</v>
      </c>
      <c r="C204" s="19">
        <v>0.2</v>
      </c>
      <c r="D204" s="19">
        <v>0.2</v>
      </c>
      <c r="E204" s="19">
        <v>0.2</v>
      </c>
      <c r="F204" s="19">
        <v>0.2</v>
      </c>
      <c r="G204" s="19">
        <v>0.2</v>
      </c>
      <c r="H204" s="19">
        <v>0.2</v>
      </c>
      <c r="I204" s="19">
        <v>0.2</v>
      </c>
      <c r="J204" s="19">
        <v>0.2</v>
      </c>
      <c r="K204" s="19">
        <v>0.2</v>
      </c>
      <c r="L204" s="19">
        <v>0.2</v>
      </c>
      <c r="M204" s="19">
        <v>0.2</v>
      </c>
      <c r="N204" s="19">
        <v>0.2</v>
      </c>
    </row>
    <row r="205" spans="1:14" ht="15" x14ac:dyDescent="0.25">
      <c r="A205" s="200"/>
      <c r="B205" s="17" t="s">
        <v>58</v>
      </c>
      <c r="C205" s="19">
        <v>0.5</v>
      </c>
      <c r="D205" s="19">
        <v>0.5</v>
      </c>
      <c r="E205" s="19">
        <v>0.5</v>
      </c>
      <c r="F205" s="19">
        <v>0.5</v>
      </c>
      <c r="G205" s="19">
        <v>0.5</v>
      </c>
      <c r="H205" s="19">
        <v>0.5</v>
      </c>
      <c r="I205" s="19">
        <v>0.5</v>
      </c>
      <c r="J205" s="19">
        <v>0.5</v>
      </c>
      <c r="K205" s="19">
        <v>0.5</v>
      </c>
      <c r="L205" s="19">
        <v>0.5</v>
      </c>
      <c r="M205" s="19">
        <v>0.5</v>
      </c>
      <c r="N205" s="19">
        <v>0.5</v>
      </c>
    </row>
    <row r="206" spans="1:14" ht="15" x14ac:dyDescent="0.25">
      <c r="A206" s="200" t="s">
        <v>239</v>
      </c>
      <c r="B206" s="17" t="s">
        <v>55</v>
      </c>
      <c r="C206" s="19">
        <v>0.3</v>
      </c>
      <c r="D206" s="19">
        <v>0.3</v>
      </c>
      <c r="E206" s="19">
        <v>0.3</v>
      </c>
      <c r="F206" s="19">
        <v>0.3</v>
      </c>
      <c r="G206" s="19">
        <v>0.3</v>
      </c>
      <c r="H206" s="19">
        <v>0.3</v>
      </c>
      <c r="I206" s="19">
        <v>0.3</v>
      </c>
      <c r="J206" s="19">
        <v>0.3</v>
      </c>
      <c r="K206" s="19">
        <v>0.3</v>
      </c>
      <c r="L206" s="19">
        <v>0.3</v>
      </c>
      <c r="M206" s="19">
        <v>0.3</v>
      </c>
      <c r="N206" s="19">
        <v>0.3</v>
      </c>
    </row>
    <row r="207" spans="1:14" ht="15" x14ac:dyDescent="0.25">
      <c r="A207" s="200"/>
      <c r="B207" s="17" t="s">
        <v>57</v>
      </c>
      <c r="C207" s="19">
        <v>0.2</v>
      </c>
      <c r="D207" s="19">
        <v>0.2</v>
      </c>
      <c r="E207" s="19">
        <v>0.2</v>
      </c>
      <c r="F207" s="19">
        <v>0.2</v>
      </c>
      <c r="G207" s="19">
        <v>0.2</v>
      </c>
      <c r="H207" s="19">
        <v>0.2</v>
      </c>
      <c r="I207" s="19">
        <v>0.2</v>
      </c>
      <c r="J207" s="19">
        <v>0.2</v>
      </c>
      <c r="K207" s="19">
        <v>0.2</v>
      </c>
      <c r="L207" s="19">
        <v>0.2</v>
      </c>
      <c r="M207" s="19">
        <v>0.2</v>
      </c>
      <c r="N207" s="19">
        <v>0.2</v>
      </c>
    </row>
    <row r="208" spans="1:14" ht="15" x14ac:dyDescent="0.25">
      <c r="A208" s="200"/>
      <c r="B208" s="17" t="s">
        <v>58</v>
      </c>
      <c r="C208" s="19">
        <v>0.5</v>
      </c>
      <c r="D208" s="19">
        <v>0.5</v>
      </c>
      <c r="E208" s="19">
        <v>0.5</v>
      </c>
      <c r="F208" s="19">
        <v>0.5</v>
      </c>
      <c r="G208" s="19">
        <v>0.5</v>
      </c>
      <c r="H208" s="19">
        <v>0.5</v>
      </c>
      <c r="I208" s="19">
        <v>0.5</v>
      </c>
      <c r="J208" s="19">
        <v>0.5</v>
      </c>
      <c r="K208" s="19">
        <v>0.5</v>
      </c>
      <c r="L208" s="19">
        <v>0.5</v>
      </c>
      <c r="M208" s="19">
        <v>0.5</v>
      </c>
      <c r="N208" s="19">
        <v>0.5</v>
      </c>
    </row>
    <row r="209" spans="1:14" ht="15" x14ac:dyDescent="0.25">
      <c r="A209" s="200" t="s">
        <v>240</v>
      </c>
      <c r="B209" s="17" t="s">
        <v>55</v>
      </c>
      <c r="C209" s="19">
        <v>0.3</v>
      </c>
      <c r="D209" s="19">
        <v>0.3</v>
      </c>
      <c r="E209" s="19">
        <v>0.3</v>
      </c>
      <c r="F209" s="19">
        <v>0.3</v>
      </c>
      <c r="G209" s="19">
        <v>0.3</v>
      </c>
      <c r="H209" s="19">
        <v>0.3</v>
      </c>
      <c r="I209" s="19">
        <v>0.3</v>
      </c>
      <c r="J209" s="19">
        <v>0.3</v>
      </c>
      <c r="K209" s="19">
        <v>0.3</v>
      </c>
      <c r="L209" s="19">
        <v>0.3</v>
      </c>
      <c r="M209" s="19">
        <v>0.3</v>
      </c>
      <c r="N209" s="19">
        <v>0.3</v>
      </c>
    </row>
    <row r="210" spans="1:14" ht="15" x14ac:dyDescent="0.25">
      <c r="A210" s="200"/>
      <c r="B210" s="17" t="s">
        <v>57</v>
      </c>
      <c r="C210" s="19">
        <v>0.2</v>
      </c>
      <c r="D210" s="19">
        <v>0.2</v>
      </c>
      <c r="E210" s="19">
        <v>0.2</v>
      </c>
      <c r="F210" s="19">
        <v>0.2</v>
      </c>
      <c r="G210" s="19">
        <v>0.2</v>
      </c>
      <c r="H210" s="19">
        <v>0.2</v>
      </c>
      <c r="I210" s="19">
        <v>0.2</v>
      </c>
      <c r="J210" s="19">
        <v>0.2</v>
      </c>
      <c r="K210" s="19">
        <v>0.2</v>
      </c>
      <c r="L210" s="19">
        <v>0.2</v>
      </c>
      <c r="M210" s="19">
        <v>0.2</v>
      </c>
      <c r="N210" s="19">
        <v>0.2</v>
      </c>
    </row>
    <row r="211" spans="1:14" ht="15" x14ac:dyDescent="0.25">
      <c r="A211" s="200"/>
      <c r="B211" s="17" t="s">
        <v>58</v>
      </c>
      <c r="C211" s="19">
        <v>0.5</v>
      </c>
      <c r="D211" s="19">
        <v>0.5</v>
      </c>
      <c r="E211" s="19">
        <v>0.5</v>
      </c>
      <c r="F211" s="19">
        <v>0.5</v>
      </c>
      <c r="G211" s="19">
        <v>0.5</v>
      </c>
      <c r="H211" s="19">
        <v>0.5</v>
      </c>
      <c r="I211" s="19">
        <v>0.5</v>
      </c>
      <c r="J211" s="19">
        <v>0.5</v>
      </c>
      <c r="K211" s="19">
        <v>0.5</v>
      </c>
      <c r="L211" s="19">
        <v>0.5</v>
      </c>
      <c r="M211" s="19">
        <v>0.5</v>
      </c>
      <c r="N211" s="19">
        <v>0.5</v>
      </c>
    </row>
    <row r="212" spans="1:14" ht="15" x14ac:dyDescent="0.25">
      <c r="A212" s="200" t="s">
        <v>241</v>
      </c>
      <c r="B212" s="17" t="s">
        <v>55</v>
      </c>
      <c r="C212" s="19">
        <v>0.3</v>
      </c>
      <c r="D212" s="19">
        <v>0.3</v>
      </c>
      <c r="E212" s="19">
        <v>0.3</v>
      </c>
      <c r="F212" s="19">
        <v>0.3</v>
      </c>
      <c r="G212" s="19">
        <v>0.3</v>
      </c>
      <c r="H212" s="19">
        <v>0.3</v>
      </c>
      <c r="I212" s="19">
        <v>0.3</v>
      </c>
      <c r="J212" s="19">
        <v>0.3</v>
      </c>
      <c r="K212" s="19">
        <v>0.3</v>
      </c>
      <c r="L212" s="19">
        <v>0.3</v>
      </c>
      <c r="M212" s="19">
        <v>0.3</v>
      </c>
      <c r="N212" s="19">
        <v>0.3</v>
      </c>
    </row>
    <row r="213" spans="1:14" ht="15" x14ac:dyDescent="0.25">
      <c r="A213" s="200"/>
      <c r="B213" s="17" t="s">
        <v>57</v>
      </c>
      <c r="C213" s="19">
        <v>0.2</v>
      </c>
      <c r="D213" s="19">
        <v>0.2</v>
      </c>
      <c r="E213" s="19">
        <v>0.2</v>
      </c>
      <c r="F213" s="19">
        <v>0.2</v>
      </c>
      <c r="G213" s="19">
        <v>0.2</v>
      </c>
      <c r="H213" s="19">
        <v>0.2</v>
      </c>
      <c r="I213" s="19">
        <v>0.2</v>
      </c>
      <c r="J213" s="19">
        <v>0.2</v>
      </c>
      <c r="K213" s="19">
        <v>0.2</v>
      </c>
      <c r="L213" s="19">
        <v>0.2</v>
      </c>
      <c r="M213" s="19">
        <v>0.2</v>
      </c>
      <c r="N213" s="19">
        <v>0.2</v>
      </c>
    </row>
    <row r="214" spans="1:14" ht="15" x14ac:dyDescent="0.25">
      <c r="A214" s="200"/>
      <c r="B214" s="17" t="s">
        <v>58</v>
      </c>
      <c r="C214" s="19">
        <v>0.5</v>
      </c>
      <c r="D214" s="19">
        <v>0.5</v>
      </c>
      <c r="E214" s="19">
        <v>0.5</v>
      </c>
      <c r="F214" s="19">
        <v>0.5</v>
      </c>
      <c r="G214" s="19">
        <v>0.5</v>
      </c>
      <c r="H214" s="19">
        <v>0.5</v>
      </c>
      <c r="I214" s="19">
        <v>0.5</v>
      </c>
      <c r="J214" s="19">
        <v>0.5</v>
      </c>
      <c r="K214" s="19">
        <v>0.5</v>
      </c>
      <c r="L214" s="19">
        <v>0.5</v>
      </c>
      <c r="M214" s="19">
        <v>0.5</v>
      </c>
      <c r="N214" s="19">
        <v>0.5</v>
      </c>
    </row>
    <row r="215" spans="1:14" ht="15" x14ac:dyDescent="0.25">
      <c r="A215" s="200" t="s">
        <v>242</v>
      </c>
      <c r="B215" s="17" t="s">
        <v>55</v>
      </c>
      <c r="C215" s="19">
        <v>0.3</v>
      </c>
      <c r="D215" s="19">
        <v>0.3</v>
      </c>
      <c r="E215" s="19">
        <v>0.3</v>
      </c>
      <c r="F215" s="19">
        <v>0.3</v>
      </c>
      <c r="G215" s="19">
        <v>0.3</v>
      </c>
      <c r="H215" s="19">
        <v>0.3</v>
      </c>
      <c r="I215" s="19">
        <v>0.3</v>
      </c>
      <c r="J215" s="19">
        <v>0.3</v>
      </c>
      <c r="K215" s="19">
        <v>0.3</v>
      </c>
      <c r="L215" s="19">
        <v>0.3</v>
      </c>
      <c r="M215" s="19">
        <v>0.3</v>
      </c>
      <c r="N215" s="19">
        <v>0.3</v>
      </c>
    </row>
    <row r="216" spans="1:14" ht="15" x14ac:dyDescent="0.25">
      <c r="A216" s="200"/>
      <c r="B216" s="17" t="s">
        <v>57</v>
      </c>
      <c r="C216" s="19">
        <v>0.2</v>
      </c>
      <c r="D216" s="19">
        <v>0.2</v>
      </c>
      <c r="E216" s="19">
        <v>0.2</v>
      </c>
      <c r="F216" s="19">
        <v>0.2</v>
      </c>
      <c r="G216" s="19">
        <v>0.2</v>
      </c>
      <c r="H216" s="19">
        <v>0.2</v>
      </c>
      <c r="I216" s="19">
        <v>0.2</v>
      </c>
      <c r="J216" s="19">
        <v>0.2</v>
      </c>
      <c r="K216" s="19">
        <v>0.2</v>
      </c>
      <c r="L216" s="19">
        <v>0.2</v>
      </c>
      <c r="M216" s="19">
        <v>0.2</v>
      </c>
      <c r="N216" s="19">
        <v>0.2</v>
      </c>
    </row>
    <row r="217" spans="1:14" ht="15" x14ac:dyDescent="0.25">
      <c r="A217" s="200"/>
      <c r="B217" s="17" t="s">
        <v>58</v>
      </c>
      <c r="C217" s="19">
        <v>0.5</v>
      </c>
      <c r="D217" s="19">
        <v>0.5</v>
      </c>
      <c r="E217" s="19">
        <v>0.5</v>
      </c>
      <c r="F217" s="19">
        <v>0.5</v>
      </c>
      <c r="G217" s="19">
        <v>0.5</v>
      </c>
      <c r="H217" s="19">
        <v>0.5</v>
      </c>
      <c r="I217" s="19">
        <v>0.5</v>
      </c>
      <c r="J217" s="19">
        <v>0.5</v>
      </c>
      <c r="K217" s="19">
        <v>0.5</v>
      </c>
      <c r="L217" s="19">
        <v>0.5</v>
      </c>
      <c r="M217" s="19">
        <v>0.5</v>
      </c>
      <c r="N217" s="19">
        <v>0.5</v>
      </c>
    </row>
    <row r="220" spans="1:14" ht="15" x14ac:dyDescent="0.25">
      <c r="A220" s="178" t="s">
        <v>243</v>
      </c>
      <c r="B220" s="178" t="s">
        <v>67</v>
      </c>
      <c r="C220" s="17">
        <v>1995</v>
      </c>
      <c r="D220" s="17">
        <v>2000</v>
      </c>
      <c r="E220" s="17">
        <v>2005</v>
      </c>
      <c r="F220" s="17">
        <v>2010</v>
      </c>
      <c r="G220" s="17">
        <v>2015</v>
      </c>
      <c r="H220" s="17">
        <v>2020</v>
      </c>
      <c r="I220" s="17">
        <v>2025</v>
      </c>
      <c r="J220" s="17">
        <v>2030</v>
      </c>
      <c r="K220" s="17">
        <v>2035</v>
      </c>
      <c r="L220" s="17">
        <v>2040</v>
      </c>
      <c r="M220" s="17">
        <v>2045</v>
      </c>
      <c r="N220" s="17">
        <v>2050</v>
      </c>
    </row>
    <row r="221" spans="1:14" ht="15" x14ac:dyDescent="0.25">
      <c r="A221" s="199" t="s">
        <v>244</v>
      </c>
      <c r="B221" s="17" t="s">
        <v>245</v>
      </c>
      <c r="C221" s="19">
        <v>0.5</v>
      </c>
      <c r="D221" s="19">
        <v>0.5</v>
      </c>
      <c r="E221" s="19">
        <v>0.5</v>
      </c>
      <c r="F221" s="19">
        <v>0.5</v>
      </c>
      <c r="G221" s="19">
        <v>0.5</v>
      </c>
      <c r="H221" s="19">
        <v>0.5</v>
      </c>
      <c r="I221" s="19">
        <v>0.5</v>
      </c>
      <c r="J221" s="19">
        <v>0.5</v>
      </c>
      <c r="K221" s="19">
        <v>0.5</v>
      </c>
      <c r="L221" s="19">
        <v>0.5</v>
      </c>
      <c r="M221" s="19">
        <v>0.5</v>
      </c>
      <c r="N221" s="19">
        <v>0.5</v>
      </c>
    </row>
    <row r="222" spans="1:14" ht="15" x14ac:dyDescent="0.25">
      <c r="A222" s="199"/>
      <c r="B222" s="17" t="s">
        <v>246</v>
      </c>
      <c r="C222" s="19">
        <v>0.5</v>
      </c>
      <c r="D222" s="19">
        <v>0.5</v>
      </c>
      <c r="E222" s="19">
        <v>0.5</v>
      </c>
      <c r="F222" s="19">
        <v>0.5</v>
      </c>
      <c r="G222" s="19">
        <v>0.5</v>
      </c>
      <c r="H222" s="19">
        <v>0.5</v>
      </c>
      <c r="I222" s="19">
        <v>0.5</v>
      </c>
      <c r="J222" s="19">
        <v>0.5</v>
      </c>
      <c r="K222" s="19">
        <v>0.5</v>
      </c>
      <c r="L222" s="19">
        <v>0.5</v>
      </c>
      <c r="M222" s="19">
        <v>0.5</v>
      </c>
      <c r="N222" s="19">
        <v>0.5</v>
      </c>
    </row>
    <row r="225" spans="1:30" ht="15" x14ac:dyDescent="0.25">
      <c r="A225" s="223" t="s">
        <v>247</v>
      </c>
      <c r="B225" s="223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3"/>
      <c r="U225" s="223"/>
      <c r="V225" s="223"/>
      <c r="W225" s="223"/>
      <c r="X225" s="223"/>
      <c r="Y225" s="223"/>
      <c r="Z225" s="223"/>
      <c r="AA225" s="223"/>
      <c r="AB225" s="223"/>
      <c r="AC225" s="223"/>
      <c r="AD225" s="223"/>
    </row>
    <row r="226" spans="1:30" ht="15" x14ac:dyDescent="0.25">
      <c r="A226" s="17" t="s">
        <v>248</v>
      </c>
      <c r="B226" s="19" t="s">
        <v>67</v>
      </c>
      <c r="C226" s="19">
        <v>1995</v>
      </c>
      <c r="D226" s="19">
        <v>1996</v>
      </c>
      <c r="E226" s="19">
        <v>1997</v>
      </c>
      <c r="F226" s="19">
        <v>1998</v>
      </c>
      <c r="G226" s="19">
        <v>1999</v>
      </c>
      <c r="H226" s="19">
        <v>2000</v>
      </c>
      <c r="I226" s="19">
        <v>2001</v>
      </c>
      <c r="J226" s="19">
        <v>2002</v>
      </c>
      <c r="K226" s="19">
        <v>2003</v>
      </c>
      <c r="L226" s="19">
        <v>2004</v>
      </c>
      <c r="M226" s="19">
        <v>2005</v>
      </c>
      <c r="N226" s="19">
        <v>2006</v>
      </c>
      <c r="O226" s="19">
        <v>2007</v>
      </c>
      <c r="P226" s="19">
        <v>2008</v>
      </c>
      <c r="Q226" s="19">
        <v>2009</v>
      </c>
      <c r="R226" s="19">
        <v>2010</v>
      </c>
      <c r="S226" s="19">
        <v>2011</v>
      </c>
      <c r="T226" s="19">
        <v>2012</v>
      </c>
      <c r="U226" s="19">
        <v>2013</v>
      </c>
      <c r="V226" s="19">
        <v>2014</v>
      </c>
      <c r="W226" s="19">
        <v>2015</v>
      </c>
      <c r="X226" s="19">
        <v>2016</v>
      </c>
      <c r="Y226" s="19">
        <v>2017</v>
      </c>
      <c r="Z226" s="19">
        <v>2018</v>
      </c>
      <c r="AA226" s="19">
        <v>2019</v>
      </c>
      <c r="AB226" s="19">
        <v>2020</v>
      </c>
      <c r="AC226" s="19">
        <v>2021</v>
      </c>
      <c r="AD226" s="19">
        <v>2022</v>
      </c>
    </row>
    <row r="227" spans="1:30" ht="15" x14ac:dyDescent="0.25">
      <c r="A227" s="17" t="s">
        <v>249</v>
      </c>
      <c r="B227" s="19" t="s">
        <v>250</v>
      </c>
      <c r="C227">
        <v>0.17412841572721091</v>
      </c>
      <c r="D227">
        <v>0.16537357178676201</v>
      </c>
      <c r="E227">
        <v>0.17307257720562791</v>
      </c>
      <c r="F227">
        <v>0.18312011415636709</v>
      </c>
      <c r="G227">
        <v>0.1779830074820094</v>
      </c>
      <c r="H227">
        <v>0.1713162651526525</v>
      </c>
      <c r="I227">
        <v>0.17337136752338009</v>
      </c>
      <c r="J227">
        <v>0.1872483666651725</v>
      </c>
      <c r="K227">
        <v>0.2015629136528698</v>
      </c>
      <c r="L227">
        <v>0.20651122326691809</v>
      </c>
      <c r="M227">
        <v>0.21830596413707029</v>
      </c>
      <c r="N227">
        <v>0.21095610111514751</v>
      </c>
      <c r="O227">
        <v>0.21207196467900069</v>
      </c>
      <c r="P227">
        <v>0.18120953805896239</v>
      </c>
      <c r="Q227">
        <v>0.16038257413061971</v>
      </c>
      <c r="R227">
        <v>0.1630747215197671</v>
      </c>
      <c r="S227">
        <v>0.151259385337463</v>
      </c>
      <c r="T227">
        <v>0.1366317682204555</v>
      </c>
      <c r="U227">
        <v>0.1183722871970647</v>
      </c>
      <c r="V227">
        <v>0.14727769589918299</v>
      </c>
      <c r="W227">
        <v>0.16659223634396481</v>
      </c>
      <c r="X227">
        <v>0.18530239498886611</v>
      </c>
      <c r="Y227">
        <v>0.18688318308447599</v>
      </c>
      <c r="Z227">
        <v>0.17883786739801899</v>
      </c>
      <c r="AA227">
        <v>0.17157285467677399</v>
      </c>
      <c r="AB227">
        <v>0.18132354363205139</v>
      </c>
      <c r="AC227">
        <v>0.15994309918658331</v>
      </c>
    </row>
  </sheetData>
  <mergeCells count="79">
    <mergeCell ref="A2:A5"/>
    <mergeCell ref="B2:B5"/>
    <mergeCell ref="A6:A9"/>
    <mergeCell ref="B6:B9"/>
    <mergeCell ref="A10:A13"/>
    <mergeCell ref="B10:B13"/>
    <mergeCell ref="A14:A17"/>
    <mergeCell ref="B14:B17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8:B58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21:A222"/>
    <mergeCell ref="A225:AD22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384</vt:i4>
      </vt:variant>
    </vt:vector>
  </HeadingPairs>
  <TitlesOfParts>
    <vt:vector size="388" baseType="lpstr">
      <vt:lpstr>Global</vt:lpstr>
      <vt:lpstr>World</vt:lpstr>
      <vt:lpstr>Europe</vt:lpstr>
      <vt:lpstr>Catalonia</vt:lpstr>
      <vt:lpstr>World!atm_ocean_mixing_time</vt:lpstr>
      <vt:lpstr>World!biomass_residence_time</vt:lpstr>
      <vt:lpstr>World!biostim_coeff_index</vt:lpstr>
      <vt:lpstr>World!biostim_coeff_mean</vt:lpstr>
      <vt:lpstr>World!buffer_C_coeff</vt:lpstr>
      <vt:lpstr>World!C_humification_fraction</vt:lpstr>
      <vt:lpstr>World!C_humus_residence_time</vt:lpstr>
      <vt:lpstr>Global!ccs_efficiency</vt:lpstr>
      <vt:lpstr>Catalonia!ccs_tech_share</vt:lpstr>
      <vt:lpstr>Europe!ccs_tech_share</vt:lpstr>
      <vt:lpstr>World!ccs_tech_share</vt:lpstr>
      <vt:lpstr>Catalonia!ccs_tech_share_accommodation_food_and_beverage_services</vt:lpstr>
      <vt:lpstr>Europe!ccs_tech_share_accommodation_food_and_beverage_services</vt:lpstr>
      <vt:lpstr>World!ccs_tech_share_accommodation_food_and_beverage_services</vt:lpstr>
      <vt:lpstr>Catalonia!ccs_tech_share_activities_of_membership_organisations</vt:lpstr>
      <vt:lpstr>Europe!ccs_tech_share_activities_of_membership_organisations</vt:lpstr>
      <vt:lpstr>World!ccs_tech_share_activities_of_membership_organisations</vt:lpstr>
      <vt:lpstr>Catalonia!ccs_tech_share_agriculture_livestock_and_related_services</vt:lpstr>
      <vt:lpstr>Europe!ccs_tech_share_agriculture_livestock_and_related_services</vt:lpstr>
      <vt:lpstr>World!ccs_tech_share_agriculture_livestock_and_related_services</vt:lpstr>
      <vt:lpstr>Catalonia!ccs_tech_share_air_transport</vt:lpstr>
      <vt:lpstr>Europe!ccs_tech_share_air_transport</vt:lpstr>
      <vt:lpstr>World!ccs_tech_share_air_transport</vt:lpstr>
      <vt:lpstr>Catalonia!ccs_tech_share_chemical_industry</vt:lpstr>
      <vt:lpstr>Europe!ccs_tech_share_chemical_industry</vt:lpstr>
      <vt:lpstr>World!ccs_tech_share_chemical_industry</vt:lpstr>
      <vt:lpstr>Catalonia!ccs_tech_share_coke</vt:lpstr>
      <vt:lpstr>Europe!ccs_tech_share_coke</vt:lpstr>
      <vt:lpstr>Catalonia!ccs_tech_share_coke_and_petroleum_refineries</vt:lpstr>
      <vt:lpstr>Europe!ccs_tech_share_coke_and_petroleum_refineries</vt:lpstr>
      <vt:lpstr>World!ccs_tech_share_coke_and_petroleum_refineries</vt:lpstr>
      <vt:lpstr>Catalonia!ccs_tech_share_coke_oven_products</vt:lpstr>
      <vt:lpstr>Europe!ccs_tech_share_coke_oven_products</vt:lpstr>
      <vt:lpstr>Catalonia!ccs_tech_share_commercial_and_public_services</vt:lpstr>
      <vt:lpstr>Europe!ccs_tech_share_commercial_and_public_services</vt:lpstr>
      <vt:lpstr>Catalonia!ccs_tech_share_computer_activities_and_information_services</vt:lpstr>
      <vt:lpstr>Europe!ccs_tech_share_computer_activities_and_information_services</vt:lpstr>
      <vt:lpstr>World!ccs_tech_share_computer_activities_and_information_services</vt:lpstr>
      <vt:lpstr>Catalonia!ccs_tech_share_cons</vt:lpstr>
      <vt:lpstr>Europe!ccs_tech_share_cons</vt:lpstr>
      <vt:lpstr>Catalonia!ccs_tech_share_construction</vt:lpstr>
      <vt:lpstr>Europe!ccs_tech_share_construction</vt:lpstr>
      <vt:lpstr>World!ccs_tech_share_construction</vt:lpstr>
      <vt:lpstr>Catalonia!ccs_tech_share_dist</vt:lpstr>
      <vt:lpstr>Europe!ccs_tech_share_dist</vt:lpstr>
      <vt:lpstr>Catalonia!ccs_tech_share_education</vt:lpstr>
      <vt:lpstr>Europe!ccs_tech_share_education</vt:lpstr>
      <vt:lpstr>World!ccs_tech_share_education</vt:lpstr>
      <vt:lpstr>Catalonia!ccs_tech_share_electricity_and_heat_generation</vt:lpstr>
      <vt:lpstr>Europe!ccs_tech_share_electricity_and_heat_generation</vt:lpstr>
      <vt:lpstr>Catalonia!ccs_tech_share_electricity_gas_steam_and_air_conditioning_supply</vt:lpstr>
      <vt:lpstr>Europe!ccs_tech_share_electricity_gas_steam_and_air_conditioning_supply</vt:lpstr>
      <vt:lpstr>World!ccs_tech_share_electricity_gas_steam_and_air_conditioning_supply</vt:lpstr>
      <vt:lpstr>Catalonia!ccs_tech_share_eoete</vt:lpstr>
      <vt:lpstr>Europe!ccs_tech_share_eoete</vt:lpstr>
      <vt:lpstr>Catalonia!ccs_tech_share_extractive_industries_mining_and_quarrying</vt:lpstr>
      <vt:lpstr>Europe!ccs_tech_share_extractive_industries_mining_and_quarrying</vt:lpstr>
      <vt:lpstr>World!ccs_tech_share_extractive_industries_mining_and_quarrying</vt:lpstr>
      <vt:lpstr>Catalonia!ccs_tech_share_fi</vt:lpstr>
      <vt:lpstr>Europe!ccs_tech_share_fi</vt:lpstr>
      <vt:lpstr>Catalonia!ccs_tech_share_financial_intermediation</vt:lpstr>
      <vt:lpstr>Europe!ccs_tech_share_financial_intermediation</vt:lpstr>
      <vt:lpstr>World!ccs_tech_share_financial_intermediation</vt:lpstr>
      <vt:lpstr>Catalonia!ccs_tech_share_fishing</vt:lpstr>
      <vt:lpstr>Europe!ccs_tech_share_fishing</vt:lpstr>
      <vt:lpstr>Catalonia!ccs_tech_share_fishing_and_aquaculture</vt:lpstr>
      <vt:lpstr>Europe!ccs_tech_share_fishing_and_aquaculture</vt:lpstr>
      <vt:lpstr>World!ccs_tech_share_fishing_and_aquaculture</vt:lpstr>
      <vt:lpstr>Catalonia!ccs_tech_share_food_and_tobacco</vt:lpstr>
      <vt:lpstr>Europe!ccs_tech_share_food_and_tobacco</vt:lpstr>
      <vt:lpstr>Catalonia!ccs_tech_share_food_beverages_and_tobacco_industries</vt:lpstr>
      <vt:lpstr>Europe!ccs_tech_share_food_beverages_and_tobacco_industries</vt:lpstr>
      <vt:lpstr>World!ccs_tech_share_food_beverages_and_tobacco_industries</vt:lpstr>
      <vt:lpstr>Catalonia!ccs_tech_share_forestry_and_logging</vt:lpstr>
      <vt:lpstr>Europe!ccs_tech_share_forestry_and_logging</vt:lpstr>
      <vt:lpstr>World!ccs_tech_share_forestry_and_logging</vt:lpstr>
      <vt:lpstr>Catalonia!ccs_tech_share_graphic_arts_and_recorded_media</vt:lpstr>
      <vt:lpstr>Europe!ccs_tech_share_graphic_arts_and_recorded_media</vt:lpstr>
      <vt:lpstr>World!ccs_tech_share_graphic_arts_and_recorded_media</vt:lpstr>
      <vt:lpstr>Catalonia!ccs_tech_share_healthcare_and_social_work_activities</vt:lpstr>
      <vt:lpstr>Europe!ccs_tech_share_healthcare_and_social_work_activities</vt:lpstr>
      <vt:lpstr>World!ccs_tech_share_healthcare_and_social_work_activities</vt:lpstr>
      <vt:lpstr>Catalonia!ccs_tech_share_households</vt:lpstr>
      <vt:lpstr>Europe!ccs_tech_share_households</vt:lpstr>
      <vt:lpstr>World!ccs_tech_share_households</vt:lpstr>
      <vt:lpstr>Catalonia!ccs_tech_share_hr</vt:lpstr>
      <vt:lpstr>Europe!ccs_tech_share_hr</vt:lpstr>
      <vt:lpstr>Catalonia!ccs_tech_share_insurance_and_pension_funds</vt:lpstr>
      <vt:lpstr>Europe!ccs_tech_share_insurance_and_pension_funds</vt:lpstr>
      <vt:lpstr>World!ccs_tech_share_insurance_and_pension_funds</vt:lpstr>
      <vt:lpstr>Catalonia!ccs_tech_share_iron_and_steel</vt:lpstr>
      <vt:lpstr>Europe!ccs_tech_share_iron_and_steel</vt:lpstr>
      <vt:lpstr>Catalonia!ccs_tech_share_land_transport</vt:lpstr>
      <vt:lpstr>Europe!ccs_tech_share_land_transport</vt:lpstr>
      <vt:lpstr>Catalonia!ccs_tech_share_land_transport_pipeline_transport</vt:lpstr>
      <vt:lpstr>Europe!ccs_tech_share_land_transport_pipeline_transport</vt:lpstr>
      <vt:lpstr>World!ccs_tech_share_land_transport_pipeline_transport</vt:lpstr>
      <vt:lpstr>Catalonia!ccs_tech_share_liquefaction_and_regasification_plants</vt:lpstr>
      <vt:lpstr>Europe!ccs_tech_share_liquefaction_and_regasification_plants</vt:lpstr>
      <vt:lpstr>Catalonia!ccs_tech_share_machinery</vt:lpstr>
      <vt:lpstr>Europe!ccs_tech_share_machinery</vt:lpstr>
      <vt:lpstr>Catalonia!ccs_tech_share_manufacture_of_computer_electronic_and_optical_products</vt:lpstr>
      <vt:lpstr>Europe!ccs_tech_share_manufacture_of_computer_electronic_and_optical_products</vt:lpstr>
      <vt:lpstr>World!ccs_tech_share_manufacture_of_computer_electronic_and_optical_products</vt:lpstr>
      <vt:lpstr>Catalonia!ccs_tech_share_manufacture_of_electrical_equipment</vt:lpstr>
      <vt:lpstr>Europe!ccs_tech_share_manufacture_of_electrical_equipment</vt:lpstr>
      <vt:lpstr>World!ccs_tech_share_manufacture_of_electrical_equipment</vt:lpstr>
      <vt:lpstr>Catalonia!ccs_tech_share_manufacture_of_fabricated_metal_products_except_machinery_and_equipment</vt:lpstr>
      <vt:lpstr>Europe!ccs_tech_share_manufacture_of_fabricated_metal_products_except_machinery_and_equipment</vt:lpstr>
      <vt:lpstr>World!ccs_tech_share_manufacture_of_fabricated_metal_products_except_machinery_and_equipment</vt:lpstr>
      <vt:lpstr>Catalonia!ccs_tech_share_manufacture_of_furniture_manufacturing_n_e_c</vt:lpstr>
      <vt:lpstr>Europe!ccs_tech_share_manufacture_of_furniture_manufacturing_n_e_c</vt:lpstr>
      <vt:lpstr>World!ccs_tech_share_manufacture_of_furniture_manufacturing_n_e_c</vt:lpstr>
      <vt:lpstr>Catalonia!ccs_tech_share_manufacture_of_machinery_and_equipment_n_e_c</vt:lpstr>
      <vt:lpstr>Europe!ccs_tech_share_manufacture_of_machinery_and_equipment_n_e_c</vt:lpstr>
      <vt:lpstr>World!ccs_tech_share_manufacture_of_machinery_and_equipment_n_e_c</vt:lpstr>
      <vt:lpstr>Catalonia!ccs_tech_share_manufacture_of_motor_vehicles_trailers_and_semi_trailers</vt:lpstr>
      <vt:lpstr>Europe!ccs_tech_share_manufacture_of_motor_vehicles_trailers_and_semi_trailers</vt:lpstr>
      <vt:lpstr>World!ccs_tech_share_manufacture_of_motor_vehicles_trailers_and_semi_trailers</vt:lpstr>
      <vt:lpstr>Catalonia!ccs_tech_share_manufacture_of_other_non_metallic_mineral_products</vt:lpstr>
      <vt:lpstr>Europe!ccs_tech_share_manufacture_of_other_non_metallic_mineral_products</vt:lpstr>
      <vt:lpstr>World!ccs_tech_share_manufacture_of_other_non_metallic_mineral_products</vt:lpstr>
      <vt:lpstr>Catalonia!ccs_tech_share_manufacture_of_other_transport_equipment</vt:lpstr>
      <vt:lpstr>Europe!ccs_tech_share_manufacture_of_other_transport_equipment</vt:lpstr>
      <vt:lpstr>World!ccs_tech_share_manufacture_of_other_transport_equipment</vt:lpstr>
      <vt:lpstr>Catalonia!ccs_tech_share_manufacture_of_rubber_and_plastic_products</vt:lpstr>
      <vt:lpstr>Europe!ccs_tech_share_manufacture_of_rubber_and_plastic_products</vt:lpstr>
      <vt:lpstr>World!ccs_tech_share_manufacture_of_rubber_and_plastic_products</vt:lpstr>
      <vt:lpstr>Catalonia!ccs_tech_share_maritime_and_inland_water_transport</vt:lpstr>
      <vt:lpstr>Europe!ccs_tech_share_maritime_and_inland_water_transport</vt:lpstr>
      <vt:lpstr>World!ccs_tech_share_maritime_and_inland_water_transport</vt:lpstr>
      <vt:lpstr>Catalonia!ccs_tech_share_metallurgy</vt:lpstr>
      <vt:lpstr>Europe!ccs_tech_share_metallurgy</vt:lpstr>
      <vt:lpstr>World!ccs_tech_share_metallurgy</vt:lpstr>
      <vt:lpstr>Catalonia!ccs_tech_share_mining_and_quarrying</vt:lpstr>
      <vt:lpstr>Europe!ccs_tech_share_mining_and_quarrying</vt:lpstr>
      <vt:lpstr>Catalonia!ccs_tech_share_non_ferrous_metals</vt:lpstr>
      <vt:lpstr>Europe!ccs_tech_share_non_ferrous_metals</vt:lpstr>
      <vt:lpstr>Catalonia!ccs_tech_share_non_metallic_minerals</vt:lpstr>
      <vt:lpstr>Europe!ccs_tech_share_non_metallic_minerals</vt:lpstr>
      <vt:lpstr>Catalonia!ccs_tech_share_nuclear_industry</vt:lpstr>
      <vt:lpstr>Europe!ccs_tech_share_nuclear_industry</vt:lpstr>
      <vt:lpstr>Catalonia!ccs_tech_share_oil_and_gas_extraction</vt:lpstr>
      <vt:lpstr>Europe!ccs_tech_share_oil_and_gas_extraction</vt:lpstr>
      <vt:lpstr>Catalonia!ccs_tech_share_oil_refineries</vt:lpstr>
      <vt:lpstr>Europe!ccs_tech_share_oil_refineries</vt:lpstr>
      <vt:lpstr>Catalonia!ccs_tech_share_om</vt:lpstr>
      <vt:lpstr>Europe!ccs_tech_share_om</vt:lpstr>
      <vt:lpstr>Catalonia!ccs_tech_share_other_business_activities</vt:lpstr>
      <vt:lpstr>Europe!ccs_tech_share_other_business_activities</vt:lpstr>
      <vt:lpstr>World!ccs_tech_share_other_business_activities</vt:lpstr>
      <vt:lpstr>Catalonia!ccs_tech_share_other_industry</vt:lpstr>
      <vt:lpstr>Europe!ccs_tech_share_other_industry</vt:lpstr>
      <vt:lpstr>Catalonia!ccs_tech_share_other_personal_service_activities</vt:lpstr>
      <vt:lpstr>Europe!ccs_tech_share_other_personal_service_activities</vt:lpstr>
      <vt:lpstr>World!ccs_tech_share_other_personal_service_activities</vt:lpstr>
      <vt:lpstr>Catalonia!ccs_tech_share_paper_and_paper_products_industry</vt:lpstr>
      <vt:lpstr>Europe!ccs_tech_share_paper_and_paper_products_industry</vt:lpstr>
      <vt:lpstr>World!ccs_tech_share_paper_and_paper_products_industry</vt:lpstr>
      <vt:lpstr>Catalonia!ccs_tech_share_paper_pulp_and_print</vt:lpstr>
      <vt:lpstr>Europe!ccs_tech_share_paper_pulp_and_print</vt:lpstr>
      <vt:lpstr>Catalonia!ccs_tech_share_pipeline_transport</vt:lpstr>
      <vt:lpstr>Europe!ccs_tech_share_pipeline_transport</vt:lpstr>
      <vt:lpstr>Catalonia!ccs_tech_share_postal_and_telecommunication_activities</vt:lpstr>
      <vt:lpstr>Europe!ccs_tech_share_postal_and_telecommunication_activities</vt:lpstr>
      <vt:lpstr>World!ccs_tech_share_postal_and_telecommunication_activities</vt:lpstr>
      <vt:lpstr>Catalonia!ccs_tech_share_private_households_with_employed_persons</vt:lpstr>
      <vt:lpstr>Europe!ccs_tech_share_private_households_with_employed_persons</vt:lpstr>
      <vt:lpstr>World!ccs_tech_share_private_households_with_employed_persons</vt:lpstr>
      <vt:lpstr>Catalonia!ccs_tech_share_public_administration_defense_and_compulsory_social_security</vt:lpstr>
      <vt:lpstr>Europe!ccs_tech_share_public_administration_defense_and_compulsory_social_security</vt:lpstr>
      <vt:lpstr>World!ccs_tech_share_public_administration_defense_and_compulsory_social_security</vt:lpstr>
      <vt:lpstr>Catalonia!ccs_tech_share_re</vt:lpstr>
      <vt:lpstr>Europe!ccs_tech_share_re</vt:lpstr>
      <vt:lpstr>World!ccs_tech_share_re</vt:lpstr>
      <vt:lpstr>Catalonia!ccs_tech_share_real_estate_activities</vt:lpstr>
      <vt:lpstr>Europe!ccs_tech_share_real_estate_activities</vt:lpstr>
      <vt:lpstr>World!ccs_tech_share_real_estate_activities</vt:lpstr>
      <vt:lpstr>Catalonia!ccs_tech_share_recreational_cultural_and_sporting_activities</vt:lpstr>
      <vt:lpstr>Europe!ccs_tech_share_recreational_cultural_and_sporting_activities</vt:lpstr>
      <vt:lpstr>World!ccs_tech_share_recreational_cultural_and_sporting_activities</vt:lpstr>
      <vt:lpstr>Catalonia!ccs_tech_share_rental_activities</vt:lpstr>
      <vt:lpstr>Europe!ccs_tech_share_rental_activities</vt:lpstr>
      <vt:lpstr>World!ccs_tech_share_rental_activities</vt:lpstr>
      <vt:lpstr>Catalonia!ccs_tech_share_research_and_development</vt:lpstr>
      <vt:lpstr>Europe!ccs_tech_share_research_and_development</vt:lpstr>
      <vt:lpstr>World!ccs_tech_share_research_and_development</vt:lpstr>
      <vt:lpstr>Catalonia!ccs_tech_share_retail_trade_except_motor_vehicles_and_motorcycles</vt:lpstr>
      <vt:lpstr>Europe!ccs_tech_share_retail_trade_except_motor_vehicles_and_motorcycles</vt:lpstr>
      <vt:lpstr>World!ccs_tech_share_retail_trade_except_motor_vehicles_and_motorcycles</vt:lpstr>
      <vt:lpstr>Catalonia!ccs_tech_share_sale_and_repair_of_motor_vehicles_and_motorcycles</vt:lpstr>
      <vt:lpstr>Europe!ccs_tech_share_sale_and_repair_of_motor_vehicles_and_motorcycles</vt:lpstr>
      <vt:lpstr>World!ccs_tech_share_sale_and_repair_of_motor_vehicles_and_motorcycles</vt:lpstr>
      <vt:lpstr>Catalonia!ccs_tech_share_sanitation_waste_management_and_decontamination_activities</vt:lpstr>
      <vt:lpstr>Europe!ccs_tech_share_sanitation_waste_management_and_decontamination_activities</vt:lpstr>
      <vt:lpstr>World!ccs_tech_share_sanitation_waste_management_and_decontamination_activities</vt:lpstr>
      <vt:lpstr>Catalonia!ccs_tech_share_support_activities_for_financial_intermediation_and_insurance</vt:lpstr>
      <vt:lpstr>Europe!ccs_tech_share_support_activities_for_financial_intermediation_and_insurance</vt:lpstr>
      <vt:lpstr>World!ccs_tech_share_support_activities_for_financial_intermediation_and_insurance</vt:lpstr>
      <vt:lpstr>Catalonia!ccs_tech_share_textile_and_leather</vt:lpstr>
      <vt:lpstr>Europe!ccs_tech_share_textile_and_leather</vt:lpstr>
      <vt:lpstr>Catalonia!ccs_tech_share_textile_clothing_leather_and_footwear_industries</vt:lpstr>
      <vt:lpstr>Europe!ccs_tech_share_textile_clothing_leather_and_footwear_industries</vt:lpstr>
      <vt:lpstr>World!ccs_tech_share_textile_clothing_leather_and_footwear_industries</vt:lpstr>
      <vt:lpstr>Catalonia!ccs_tech_share_transport_equipment</vt:lpstr>
      <vt:lpstr>Europe!ccs_tech_share_transport_equipment</vt:lpstr>
      <vt:lpstr>Catalonia!ccs_tech_share_tsc</vt:lpstr>
      <vt:lpstr>Europe!ccs_tech_share_tsc</vt:lpstr>
      <vt:lpstr>Catalonia!ccs_tech_share_warehousing_and_support_activities_for_transportation</vt:lpstr>
      <vt:lpstr>Europe!ccs_tech_share_warehousing_and_support_activities_for_transportation</vt:lpstr>
      <vt:lpstr>World!ccs_tech_share_warehousing_and_support_activities_for_transportation</vt:lpstr>
      <vt:lpstr>Catalonia!ccs_tech_share_water_collection_treatment_and_supply</vt:lpstr>
      <vt:lpstr>Europe!ccs_tech_share_water_collection_treatment_and_supply</vt:lpstr>
      <vt:lpstr>World!ccs_tech_share_water_collection_treatment_and_supply</vt:lpstr>
      <vt:lpstr>Catalonia!ccs_tech_share_water_transport</vt:lpstr>
      <vt:lpstr>Europe!ccs_tech_share_water_transport</vt:lpstr>
      <vt:lpstr>Catalonia!ccs_tech_share_wholesale_trade_and_intermediation_except_motor_vehicles</vt:lpstr>
      <vt:lpstr>Europe!ccs_tech_share_wholesale_trade_and_intermediation_except_motor_vehicles</vt:lpstr>
      <vt:lpstr>World!ccs_tech_share_wholesale_trade_and_intermediation_except_motor_vehicles</vt:lpstr>
      <vt:lpstr>Catalonia!ccs_tech_share_wood_and_cork_industry</vt:lpstr>
      <vt:lpstr>Europe!ccs_tech_share_wood_and_cork_industry</vt:lpstr>
      <vt:lpstr>World!ccs_tech_share_wood_and_cork_industry</vt:lpstr>
      <vt:lpstr>Global!ch4_biofuels</vt:lpstr>
      <vt:lpstr>Global!ch4_biogas</vt:lpstr>
      <vt:lpstr>Global!ch4_coal</vt:lpstr>
      <vt:lpstr>Global!ch4_conv_gas</vt:lpstr>
      <vt:lpstr>Global!ch4_conv_oil</vt:lpstr>
      <vt:lpstr>Global!ch4_ctl</vt:lpstr>
      <vt:lpstr>Catalonia!CH4_emissions</vt:lpstr>
      <vt:lpstr>Europe!CH4_emissions</vt:lpstr>
      <vt:lpstr>World!CH4_emissions</vt:lpstr>
      <vt:lpstr>World!CH4_generation_rate_from_biomass</vt:lpstr>
      <vt:lpstr>World!CH4_generation_rate_from_humus</vt:lpstr>
      <vt:lpstr>Global!ch4_gtl</vt:lpstr>
      <vt:lpstr>World!CH4_N2O_interaction_coef_1</vt:lpstr>
      <vt:lpstr>World!CH4_N2O_interaction_coef_2</vt:lpstr>
      <vt:lpstr>World!CH4_N2O_interaction_coef_3</vt:lpstr>
      <vt:lpstr>World!CH4_N2O_interaction_exp_1</vt:lpstr>
      <vt:lpstr>World!CH4_N2O_interaction_exp_2</vt:lpstr>
      <vt:lpstr>World!CH4_N2O_unit_adj</vt:lpstr>
      <vt:lpstr>Global!ch4_peat</vt:lpstr>
      <vt:lpstr>World!CH4_radiative_efficiency_coef</vt:lpstr>
      <vt:lpstr>World!CH4_reference_conc</vt:lpstr>
      <vt:lpstr>Global!ch4_shale_oil</vt:lpstr>
      <vt:lpstr>Global!ch4_solid_bioe</vt:lpstr>
      <vt:lpstr>Global!ch4_traditional_biomass</vt:lpstr>
      <vt:lpstr>Global!ch4_unconv_gas</vt:lpstr>
      <vt:lpstr>Global!ch4_unconv_oil</vt:lpstr>
      <vt:lpstr>Global!ch4_waste</vt:lpstr>
      <vt:lpstr>World!climate_sensitivity_to_2x_CO2</vt:lpstr>
      <vt:lpstr>Global!co2_biofuels</vt:lpstr>
      <vt:lpstr>Global!co2_biogas</vt:lpstr>
      <vt:lpstr>Global!co2_coal</vt:lpstr>
      <vt:lpstr>Global!co2_conv_gas</vt:lpstr>
      <vt:lpstr>Global!co2_conv_oil</vt:lpstr>
      <vt:lpstr>Global!co2_ctl</vt:lpstr>
      <vt:lpstr>Global!co2_gtl</vt:lpstr>
      <vt:lpstr>Global!co2_peat</vt:lpstr>
      <vt:lpstr>Global!co2_shale_oil</vt:lpstr>
      <vt:lpstr>Global!co2_solid_bioe</vt:lpstr>
      <vt:lpstr>Global!co2_traditional_biomass</vt:lpstr>
      <vt:lpstr>Global!co2_unconv_gas</vt:lpstr>
      <vt:lpstr>Global!co2_unconv_oil</vt:lpstr>
      <vt:lpstr>Global!co2_waste</vt:lpstr>
      <vt:lpstr>Global!dac_efficiency</vt:lpstr>
      <vt:lpstr>Catalonia!dac_tech_share</vt:lpstr>
      <vt:lpstr>Europe!dac_tech_share</vt:lpstr>
      <vt:lpstr>World!dac_tech_share</vt:lpstr>
      <vt:lpstr>World!eddy_diffusion_coef_index</vt:lpstr>
      <vt:lpstr>World!eddy_diffusion_mean</vt:lpstr>
      <vt:lpstr>Global!GWP_100_year</vt:lpstr>
      <vt:lpstr>Global!GWP_20_year</vt:lpstr>
      <vt:lpstr>World!heat_diffusion_covar</vt:lpstr>
      <vt:lpstr>World!heat_transfer_rate</vt:lpstr>
      <vt:lpstr>World!HFC_radiative_efficiency</vt:lpstr>
      <vt:lpstr>Catalonia!HFC125_emissions</vt:lpstr>
      <vt:lpstr>Europe!HFC125_emissions</vt:lpstr>
      <vt:lpstr>World!HFC125_emissions</vt:lpstr>
      <vt:lpstr>Catalonia!HFC134a_emissions</vt:lpstr>
      <vt:lpstr>Europe!HFC134a_emissions</vt:lpstr>
      <vt:lpstr>World!HFC134a_emissions</vt:lpstr>
      <vt:lpstr>Catalonia!HFC143a_emissions</vt:lpstr>
      <vt:lpstr>Europe!HFC143a_emissions</vt:lpstr>
      <vt:lpstr>World!HFC143a_emissions</vt:lpstr>
      <vt:lpstr>Catalonia!HFC152a_emissions</vt:lpstr>
      <vt:lpstr>Europe!HFC152a_emissions</vt:lpstr>
      <vt:lpstr>World!HFC152a_emissions</vt:lpstr>
      <vt:lpstr>Catalonia!HFC227ea_emissions</vt:lpstr>
      <vt:lpstr>Europe!HFC227ea_emissions</vt:lpstr>
      <vt:lpstr>World!HFC227ea_emissions</vt:lpstr>
      <vt:lpstr>Catalonia!HFC23_emissions</vt:lpstr>
      <vt:lpstr>Europe!HFC23_emissions</vt:lpstr>
      <vt:lpstr>World!HFC23_emissions</vt:lpstr>
      <vt:lpstr>Catalonia!HFC245ca_emissions</vt:lpstr>
      <vt:lpstr>Europe!HFC245ca_emissions</vt:lpstr>
      <vt:lpstr>World!HFC245ca_emissions</vt:lpstr>
      <vt:lpstr>Catalonia!HFC32_emissions</vt:lpstr>
      <vt:lpstr>Europe!HFC32_emissions</vt:lpstr>
      <vt:lpstr>World!HFC32_emissions</vt:lpstr>
      <vt:lpstr>Catalonia!HFC4310mee_emissions</vt:lpstr>
      <vt:lpstr>Europe!HFC4310mee_emissions</vt:lpstr>
      <vt:lpstr>World!HFC4310mee_emissions</vt:lpstr>
      <vt:lpstr>Catalonia!historic_co2_emissions_from_fossils_and_cement</vt:lpstr>
      <vt:lpstr>Catalonia!historic_total_ghg_emissions_excluding_land_use_changes_and_forestry</vt:lpstr>
      <vt:lpstr>Catalonia!historic_total_ghg_emissions_including_land_use_changes_and_forestry</vt:lpstr>
      <vt:lpstr>World!init_atm_uppocean_temperature_ano</vt:lpstr>
      <vt:lpstr>World!init_C_in_biomass</vt:lpstr>
      <vt:lpstr>World!init_C_in_deep_ocean</vt:lpstr>
      <vt:lpstr>World!init_C_in_humus</vt:lpstr>
      <vt:lpstr>World!init_C_in_mixed_ocean</vt:lpstr>
      <vt:lpstr>World!init_CO2_in_atm_ppm</vt:lpstr>
      <vt:lpstr>World!init_deep_ocean_temperature</vt:lpstr>
      <vt:lpstr>World!init_NPP</vt:lpstr>
      <vt:lpstr>World!init_PFC_in_atm_con</vt:lpstr>
      <vt:lpstr>World!inital_HFC_con</vt:lpstr>
      <vt:lpstr>World!initial_CH4_conc</vt:lpstr>
      <vt:lpstr>World!initial_N2O_conc</vt:lpstr>
      <vt:lpstr>World!initial_SF6_conc</vt:lpstr>
      <vt:lpstr>World!land_thickness</vt:lpstr>
      <vt:lpstr>World!last_historical_RF_year</vt:lpstr>
      <vt:lpstr>Catalonia!last_year_process_emissions</vt:lpstr>
      <vt:lpstr>Europe!last_year_process_emissions</vt:lpstr>
      <vt:lpstr>World!last_year_process_emissions</vt:lpstr>
      <vt:lpstr>World!layer_depth</vt:lpstr>
      <vt:lpstr>World!mineral_aerosols_and_land_RF</vt:lpstr>
      <vt:lpstr>World!mixed_layer_depth</vt:lpstr>
      <vt:lpstr>World!MP_RF_total</vt:lpstr>
      <vt:lpstr>World!MP_RF_total_time</vt:lpstr>
      <vt:lpstr>Catalonia!N2O_emissions</vt:lpstr>
      <vt:lpstr>Europe!N2O_emissions</vt:lpstr>
      <vt:lpstr>World!N2O_emissions</vt:lpstr>
      <vt:lpstr>World!N2O_radiative_efficiency_coeff</vt:lpstr>
      <vt:lpstr>World!N2O_reference_conc</vt:lpstr>
      <vt:lpstr>World!natural_N2O_emissions</vt:lpstr>
      <vt:lpstr>World!other_forcings_history</vt:lpstr>
      <vt:lpstr>World!other_forcings_history_time</vt:lpstr>
      <vt:lpstr>World!other_forcings_RCP</vt:lpstr>
      <vt:lpstr>World!other_forcings_RCP_time</vt:lpstr>
      <vt:lpstr>World!PFC_radiative_efficiency</vt:lpstr>
      <vt:lpstr>Catalonia!PFCs_emissions</vt:lpstr>
      <vt:lpstr>Europe!PFCs_emissions</vt:lpstr>
      <vt:lpstr>World!PFCs_emissions</vt:lpstr>
      <vt:lpstr>World!preind_C_in_ocean</vt:lpstr>
      <vt:lpstr>World!preindustrial_C</vt:lpstr>
      <vt:lpstr>World!preindustrial_CH4</vt:lpstr>
      <vt:lpstr>World!preindustrial_HFC_conc</vt:lpstr>
      <vt:lpstr>World!preindustrial_PFC_conc</vt:lpstr>
      <vt:lpstr>World!preindustrial_SF6_conc</vt:lpstr>
      <vt:lpstr>Catalonia!process_emissions_intensity</vt:lpstr>
      <vt:lpstr>Europe!process_emissions_intensity</vt:lpstr>
      <vt:lpstr>World!process_emissions_intensity</vt:lpstr>
      <vt:lpstr>World!ref_buffer_factor</vt:lpstr>
      <vt:lpstr>World!reference_CH4_time_constant</vt:lpstr>
      <vt:lpstr>World!reference_CO2_radiative_forcing</vt:lpstr>
      <vt:lpstr>World!reference_sensitivity_of_C_from_permafrost_and_clathrate_to_temperature</vt:lpstr>
      <vt:lpstr>World!reference_sensitivity_of_CH4_from_permafrost_and_clathrate_to_temperature</vt:lpstr>
      <vt:lpstr>World!reference_temperature_change_for_effect_of_warming_on_CH4_from_respiration</vt:lpstr>
      <vt:lpstr>World!sensitivity_of_C_uptake_to_temperature</vt:lpstr>
      <vt:lpstr>World!sensitivity_of_methane_emissions_to_permafrost_and_clathrate</vt:lpstr>
      <vt:lpstr>World!sensitivity_of_methane_emissions_to_temperature</vt:lpstr>
      <vt:lpstr>World!sensitivity_of_pCO2_DIC_to_temperature_mean</vt:lpstr>
      <vt:lpstr>Catalonia!SF6_emissions</vt:lpstr>
      <vt:lpstr>Europe!SF6_emissions</vt:lpstr>
      <vt:lpstr>World!SF6_emissions</vt:lpstr>
      <vt:lpstr>World!SF6_radiative_efficiency</vt:lpstr>
      <vt:lpstr>World!stratospheric_CH4_path_share</vt:lpstr>
      <vt:lpstr>World!strength_of_temp_effect_on_land_C_flux_mean</vt:lpstr>
      <vt:lpstr>World!temperature_threshold_for_methane_emissions_from_permafrost_and_clathrate</vt:lpstr>
      <vt:lpstr>World!time_const_for_HFC</vt:lpstr>
      <vt:lpstr>World!time_const_for_N2O</vt:lpstr>
      <vt:lpstr>time_const_for_PFC</vt:lpstr>
      <vt:lpstr>World!time_const_for_SF6</vt:lpstr>
      <vt:lpstr>Catalonia!time_emissions</vt:lpstr>
      <vt:lpstr>World!time_to_commit_RF</vt:lpstr>
      <vt:lpstr>World!tropospheric_CH4_path_share</vt:lpstr>
      <vt:lpstr>Catalonia!year_ccs_tech</vt:lpstr>
      <vt:lpstr>Europe!year_ccs_tech</vt:lpstr>
      <vt:lpstr>World!year_ccs_tech</vt:lpstr>
      <vt:lpstr>Catalonia!year_emissions</vt:lpstr>
      <vt:lpstr>Europe!year_emissions</vt:lpstr>
      <vt:lpstr>World!year_emissions</vt:lpstr>
      <vt:lpstr>Catalonia!years_process_emissions</vt:lpstr>
      <vt:lpstr>Europe!years_process_emissions</vt:lpstr>
      <vt:lpstr>World!years_process_emissions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IdB</dc:creator>
  <dc:description/>
  <cp:lastModifiedBy>Joan Enric Alcover</cp:lastModifiedBy>
  <cp:revision>16</cp:revision>
  <dcterms:created xsi:type="dcterms:W3CDTF">2017-01-25T13:20:29Z</dcterms:created>
  <dcterms:modified xsi:type="dcterms:W3CDTF">2025-12-16T11:22:38Z</dcterms:modified>
  <dc:language>en-US</dc:language>
</cp:coreProperties>
</file>