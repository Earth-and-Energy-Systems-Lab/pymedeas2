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lobal" sheetId="1" state="visible" r:id="rId3"/>
  </sheets>
  <definedNames>
    <definedName function="false" hidden="false" localSheetId="0" name="a_extraction_projection_minerals" vbProcedure="false">Global!$T$5:$T$62</definedName>
    <definedName function="false" hidden="false" localSheetId="0" name="current_mineral_reserves_mt" vbProcedure="false">Global!$R$5:$R$62</definedName>
    <definedName function="false" hidden="false" localSheetId="0" name="current_mineral_resources_mt" vbProcedure="false">Global!$S$5:$S$62</definedName>
    <definedName function="false" hidden="false" localSheetId="0" name="current_recycling_rates_minerals" vbProcedure="false">Global!$Q$5:$Q$62</definedName>
    <definedName function="false" hidden="false" localSheetId="0" name="energy_requirements_per_unit_of_water_consumption" vbProcedure="false">Global!$M$157:$M$158</definedName>
    <definedName function="false" hidden="false" localSheetId="0" name="grid_correction_factor_ev_batteries" vbProcedure="false">Global!$F$64</definedName>
    <definedName function="false" hidden="false" localSheetId="0" name="grid_correction_factor_res_elec" vbProcedure="false">Global!$B$64:$E$64</definedName>
    <definedName function="false" hidden="false" localSheetId="0" name="historical_extraction_minerals_rest" vbProcedure="false">Global!$V$5:$AR$62</definedName>
    <definedName function="false" hidden="false" localSheetId="0" name="initial_energy_cons_per_material_recycled" vbProcedure="false">Global!$N$5:$N$62</definedName>
    <definedName function="false" hidden="false" localSheetId="0" name="initial_energy_cons_per_material_virgin" vbProcedure="false">Global!$M$5:$M$62</definedName>
    <definedName function="false" hidden="false" localSheetId="0" name="initial_minerals_extraction_rest" vbProcedure="false">Global!$W$5:$W$62</definedName>
    <definedName function="false" hidden="false" localSheetId="0" name="materials_for_om_per_capacity_installed_res_elec" vbProcedure="false">Global!$B$99:$E$156</definedName>
    <definedName function="false" hidden="false" localSheetId="0" name="materials_per_new_capacity_installed_ev_batteries" vbProcedure="false">Global!$F$5:$J$62</definedName>
    <definedName function="false" hidden="false" localSheetId="0" name="materials_per_new_capacity_installed_res" vbProcedure="false">Global!$B$5:$E$62</definedName>
    <definedName function="false" hidden="false" localSheetId="0" name="materials_per_new_res_elec_capacity_installed_hvdcs" vbProcedure="false">Global!$L$5:$L$62</definedName>
    <definedName function="false" hidden="false" localSheetId="0" name="materials_per_new_res_elec_capacity_installed_material_overgrid_high_power" vbProcedure="false">Global!$K$5:$K$62</definedName>
    <definedName function="false" hidden="false" localSheetId="0" name="self_electricity_consumption_res_elec" vbProcedure="false">Global!$B$160:$E$160</definedName>
    <definedName function="false" hidden="false" localSheetId="0" name="share_energy_requirements_for_decom_ev_batteries" vbProcedure="false">Global!$F$161</definedName>
    <definedName function="false" hidden="false" localSheetId="0" name="share_energy_requirements_for_decom_res_elec" vbProcedure="false">Global!$B$161:$E$161</definedName>
    <definedName function="false" hidden="false" localSheetId="0" name="time" vbProcedure="false">Global!$V$3:$AR$3</definedName>
    <definedName function="false" hidden="false" localSheetId="0" name="water_for_om_res_elec" vbProcedure="false">Global!$B$157:$E$158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EM</author>
  </authors>
  <commentList>
    <comment ref="A64" authorId="0">
      <text>
        <r>
          <rPr>
            <sz val="10"/>
            <rFont val="Arial"/>
            <family val="2"/>
          </rPr>
          <t xml:space="preserve">carlos:
</t>
        </r>
        <r>
          <rPr>
            <sz val="9"/>
            <color rgb="FF000000"/>
            <rFont val="Tahoma"/>
            <family val="2"/>
            <charset val="1"/>
          </rPr>
          <t xml:space="preserve">Electricity losses due to Joule effect in the power plant as a share of the energy inputs requires for the construction of new capacities</t>
        </r>
      </text>
    </comment>
    <comment ref="A161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10% of the CED of the construction Hertwich et al (2015)</t>
        </r>
      </text>
    </comment>
    <comment ref="M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0"/>
            <charset val="1"/>
          </rPr>
          <t xml:space="preserve">Main reference: Hammond and Jones (2011)</t>
        </r>
      </text>
    </comment>
    <comment ref="N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Main reference: Hammond and Jones (2011)</t>
        </r>
      </text>
    </comment>
    <comment ref="O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UNEP (2011)</t>
        </r>
      </text>
    </comment>
    <comment ref="P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UNEP (2011)</t>
        </r>
      </text>
    </comment>
    <comment ref="Q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UNEP (2011)
mean of the minimum and maximum values if a range is reported</t>
        </r>
      </text>
    </comment>
    <comment ref="Q19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&lt;1</t>
        </r>
      </text>
    </comment>
    <comment ref="Q23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&lt;1</t>
        </r>
      </text>
    </comment>
    <comment ref="Q29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&lt;1</t>
        </r>
      </text>
    </comment>
    <comment ref="Q57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&lt;1</t>
        </r>
      </text>
    </comment>
    <comment ref="Q60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&lt;1</t>
        </r>
      </text>
    </comment>
    <comment ref="R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Table 1 Task 2.2c.2 deliverable MEDEAS
</t>
        </r>
      </text>
    </comment>
    <comment ref="R39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includes sulphides and laterites</t>
        </r>
      </text>
    </comment>
    <comment ref="R58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includes ilmenite and rutile</t>
        </r>
      </text>
    </comment>
    <comment ref="S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Table 1 Task 2.2c.2 deliverable MEDEAS</t>
        </r>
      </text>
    </comment>
    <comment ref="S39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includes sulphides and laterites</t>
        </r>
      </text>
    </comment>
    <comment ref="S58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includes ilmenite and rutile</t>
        </r>
      </text>
    </comment>
    <comment ref="T1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Regression using historical data from USGS (1994-2015)</t>
        </r>
      </text>
    </comment>
    <comment ref="V2" authorId="0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Source: USGS</t>
        </r>
      </text>
    </comment>
  </commentList>
</comments>
</file>

<file path=xl/sharedStrings.xml><?xml version="1.0" encoding="utf-8"?>
<sst xmlns="http://schemas.openxmlformats.org/spreadsheetml/2006/main" count="167" uniqueCount="101">
  <si>
    <t xml:space="preserve">Material intensity of technologies</t>
  </si>
  <si>
    <t xml:space="preserve">Materials extraction projection Rest of the economy (cte rr)</t>
  </si>
  <si>
    <t xml:space="preserve">wind onshore</t>
  </si>
  <si>
    <t xml:space="preserve">wind offshore</t>
  </si>
  <si>
    <t xml:space="preserve">Solar PV</t>
  </si>
  <si>
    <t xml:space="preserve">CSP</t>
  </si>
  <si>
    <t xml:space="preserve">NCM_111</t>
  </si>
  <si>
    <t xml:space="preserve">LFP</t>
  </si>
  <si>
    <t xml:space="preserve">NMC_LEGACY</t>
  </si>
  <si>
    <t xml:space="preserve">NMC_811</t>
  </si>
  <si>
    <t xml:space="preserve">NCA</t>
  </si>
  <si>
    <t xml:space="preserve">material overgrid high power</t>
  </si>
  <si>
    <t xml:space="preserve">Inter-regional grids (HVDC)</t>
  </si>
  <si>
    <t xml:space="preserve">Initial energy consumption per unit of material consumption (virgin)</t>
  </si>
  <si>
    <t xml:space="preserve">Initial energy consumption per unit of material consumption (recycled)</t>
  </si>
  <si>
    <t xml:space="preserve">min range current recycling rates minerals</t>
  </si>
  <si>
    <t xml:space="preserve">MAX range current recycling rates minerals</t>
  </si>
  <si>
    <t xml:space="preserve">Current recycling rates minerals (EOL-RR)</t>
  </si>
  <si>
    <t xml:space="preserve">Reserves</t>
  </si>
  <si>
    <t xml:space="preserve">Resources</t>
  </si>
  <si>
    <t xml:space="preserve">M(t)=a*GDP[T$](t)+b [tonnes]</t>
  </si>
  <si>
    <t xml:space="preserve">Historical mineral production (tonnes) Rest of the economy (without RES elec and EV batteries)</t>
  </si>
  <si>
    <t xml:space="preserve">kg/new MW</t>
  </si>
  <si>
    <t xml:space="preserve">kg/kwh</t>
  </si>
  <si>
    <t xml:space="preserve">kg/new MW of each RES var elec techn</t>
  </si>
  <si>
    <t xml:space="preserve">MJ/kg</t>
  </si>
  <si>
    <t xml:space="preserve">MJ/Kg</t>
  </si>
  <si>
    <t xml:space="preserve">share</t>
  </si>
  <si>
    <t xml:space="preserve">Mt</t>
  </si>
  <si>
    <t xml:space="preserve">a</t>
  </si>
  <si>
    <t xml:space="preserve">b</t>
  </si>
  <si>
    <t xml:space="preserve">Construction phase</t>
  </si>
  <si>
    <t xml:space="preserve">Adhesive</t>
  </si>
  <si>
    <t xml:space="preserve">Aluminium (Al)</t>
  </si>
  <si>
    <t xml:space="preserve">Aluminium mirrors</t>
  </si>
  <si>
    <t xml:space="preserve">Cadmium (Cd)</t>
  </si>
  <si>
    <t xml:space="preserve">Carbon fiber</t>
  </si>
  <si>
    <t xml:space="preserve">Cement</t>
  </si>
  <si>
    <t xml:space="preserve">Chromium (Cr)</t>
  </si>
  <si>
    <t xml:space="preserve">Copper (Cu)</t>
  </si>
  <si>
    <t xml:space="preserve">Diesel</t>
  </si>
  <si>
    <t xml:space="preserve">Dysprosium (Dy)</t>
  </si>
  <si>
    <t xml:space="preserve">Electric/electronic components</t>
  </si>
  <si>
    <t xml:space="preserve">Evacuation lines (KM)</t>
  </si>
  <si>
    <t xml:space="preserve">Fiberglass</t>
  </si>
  <si>
    <t xml:space="preserve">Foam glass</t>
  </si>
  <si>
    <t xml:space="preserve">Galium (Ga)</t>
  </si>
  <si>
    <t xml:space="preserve">Glass</t>
  </si>
  <si>
    <t xml:space="preserve">Glass reinforcing plastic (GRP)</t>
  </si>
  <si>
    <t xml:space="preserve">gravel (roads, protection…)</t>
  </si>
  <si>
    <t xml:space="preserve">Indium (In)</t>
  </si>
  <si>
    <t xml:space="preserve">Iron (Fe)</t>
  </si>
  <si>
    <t xml:space="preserve">KNO3 mined</t>
  </si>
  <si>
    <t xml:space="preserve">Asphalt</t>
  </si>
  <si>
    <t xml:space="preserve">Nickel (Ni)</t>
  </si>
  <si>
    <t xml:space="preserve">Limestone</t>
  </si>
  <si>
    <t xml:space="preserve">Lithium (Li)</t>
  </si>
  <si>
    <t xml:space="preserve">Lubricant</t>
  </si>
  <si>
    <t xml:space="preserve">Magnesium (Mg)</t>
  </si>
  <si>
    <t xml:space="preserve">Manganese (Mn)</t>
  </si>
  <si>
    <t xml:space="preserve">Heavy machinery (depreciation and reposition)</t>
  </si>
  <si>
    <t xml:space="preserve">Concrete</t>
  </si>
  <si>
    <t xml:space="preserve">Molybdenum (Mo)</t>
  </si>
  <si>
    <t xml:space="preserve">NaNO3 mined</t>
  </si>
  <si>
    <t xml:space="preserve">NaNO3 synthetic</t>
  </si>
  <si>
    <t xml:space="preserve">Neodymium (Nd)</t>
  </si>
  <si>
    <t xml:space="preserve">Over grid (15%)</t>
  </si>
  <si>
    <t xml:space="preserve">Over grid (5%)</t>
  </si>
  <si>
    <t xml:space="preserve">Paint</t>
  </si>
  <si>
    <t xml:space="preserve">Lead (Pb)</t>
  </si>
  <si>
    <t xml:space="preserve">Plastics</t>
  </si>
  <si>
    <t xml:space="preserve">Polypropylene</t>
  </si>
  <si>
    <t xml:space="preserve">Rock</t>
  </si>
  <si>
    <t xml:space="preserve">Rock wool</t>
  </si>
  <si>
    <t xml:space="preserve">Sand</t>
  </si>
  <si>
    <t xml:space="preserve">Silicon sand</t>
  </si>
  <si>
    <t xml:space="preserve">Sillicon wafer modules</t>
  </si>
  <si>
    <t xml:space="preserve">Silver (Ag)</t>
  </si>
  <si>
    <t xml:space="preserve">Site preparation (soil works), etc.</t>
  </si>
  <si>
    <t xml:space="preserve">Tin (Sn)</t>
  </si>
  <si>
    <t xml:space="preserve">Soda ash</t>
  </si>
  <si>
    <t xml:space="preserve">Steel</t>
  </si>
  <si>
    <t xml:space="preserve">Syntethic oil</t>
  </si>
  <si>
    <t xml:space="preserve">Tellurium (Te)</t>
  </si>
  <si>
    <t xml:space="preserve">Titanium (Ti)</t>
  </si>
  <si>
    <t xml:space="preserve">Titanium dioxide</t>
  </si>
  <si>
    <t xml:space="preserve">Vanadium (V)</t>
  </si>
  <si>
    <t xml:space="preserve">Wires</t>
  </si>
  <si>
    <t xml:space="preserve">Zinc (Zn)</t>
  </si>
  <si>
    <t xml:space="preserve">Total construction phase</t>
  </si>
  <si>
    <t xml:space="preserve">grid correction factor (A34+A41)</t>
  </si>
  <si>
    <t xml:space="preserve">Operation and maintenance (yearly)</t>
  </si>
  <si>
    <t xml:space="preserve">kg/installed MW</t>
  </si>
  <si>
    <t xml:space="preserve">Gallium (Ga)</t>
  </si>
  <si>
    <t xml:space="preserve">Lime</t>
  </si>
  <si>
    <t xml:space="preserve">sillicon wafer modules</t>
  </si>
  <si>
    <t xml:space="preserve">synthetic oil</t>
  </si>
  <si>
    <t xml:space="preserve">Clean, pumped Water</t>
  </si>
  <si>
    <t xml:space="preserve">Distilled, deionized water</t>
  </si>
  <si>
    <t xml:space="preserve">Self-electricity consumption</t>
  </si>
  <si>
    <t xml:space="preserve">Decommissioning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</si>
</sst>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.00E+00"/>
    <numFmt numFmtId="167" formatCode="0.00"/>
    <numFmt numFmtId="168" formatCode="0%"/>
    <numFmt numFmtId="169" formatCode="0.00%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i val="true"/>
      <sz val="11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A9D18E"/>
        <bgColor rgb="FFBFBFBF"/>
      </patternFill>
    </fill>
    <fill>
      <patternFill patternType="solid">
        <fgColor rgb="FFBDD7EE"/>
        <bgColor rgb="FFBFBFBF"/>
      </patternFill>
    </fill>
    <fill>
      <patternFill patternType="solid">
        <fgColor rgb="FFBFBFBF"/>
        <bgColor rgb="FFBDD7EE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AR1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C21" activePane="bottomRight" state="frozen"/>
      <selection pane="topLeft" activeCell="A1" activeCellId="0" sqref="A1"/>
      <selection pane="topRight" activeCell="C1" activeCellId="0" sqref="C1"/>
      <selection pane="bottomLeft" activeCell="A21" activeCellId="0" sqref="A21"/>
      <selection pane="bottomRight" activeCell="F32" activeCellId="0" sqref="F32"/>
    </sheetView>
  </sheetViews>
  <sheetFormatPr defaultColWidth="11.57421875" defaultRowHeight="15" customHeight="false" zeroHeight="false" outlineLevelRow="0" outlineLevelCol="0"/>
  <cols>
    <col collapsed="false" customWidth="true" hidden="false" outlineLevel="0" max="1" min="1" style="0" width="45.71"/>
    <col collapsed="false" customWidth="true" hidden="false" outlineLevel="0" max="5" min="2" style="0" width="15.57"/>
    <col collapsed="false" customWidth="true" hidden="false" outlineLevel="0" max="10" min="6" style="0" width="16.43"/>
    <col collapsed="false" customWidth="true" hidden="false" outlineLevel="0" max="11" min="11" style="0" width="18.29"/>
    <col collapsed="false" customWidth="true" hidden="false" outlineLevel="0" max="12" min="12" style="0" width="18.57"/>
    <col collapsed="false" customWidth="true" hidden="false" outlineLevel="0" max="13" min="13" style="1" width="31.86"/>
    <col collapsed="false" customWidth="true" hidden="false" outlineLevel="0" max="14" min="14" style="0" width="32.57"/>
    <col collapsed="false" customWidth="true" hidden="false" outlineLevel="0" max="15" min="15" style="0" width="17.71"/>
    <col collapsed="false" customWidth="true" hidden="false" outlineLevel="0" max="16" min="16" style="0" width="16.29"/>
    <col collapsed="false" customWidth="true" hidden="false" outlineLevel="0" max="17" min="17" style="0" width="18"/>
    <col collapsed="false" customWidth="true" hidden="false" outlineLevel="0" max="19" min="18" style="0" width="12"/>
    <col collapsed="false" customWidth="true" hidden="false" outlineLevel="0" max="20" min="20" style="2" width="12"/>
    <col collapsed="false" customWidth="true" hidden="false" outlineLevel="0" max="21" min="21" style="2" width="11.72"/>
  </cols>
  <sheetData>
    <row r="1" customFormat="false" ht="15" hidden="false" customHeight="false" outlineLevel="0" collapsed="false">
      <c r="A1" s="3"/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  <c r="N1" s="6"/>
      <c r="O1" s="7"/>
      <c r="P1" s="8"/>
      <c r="Q1" s="9"/>
      <c r="R1" s="7"/>
      <c r="S1" s="9"/>
      <c r="T1" s="10" t="s">
        <v>1</v>
      </c>
      <c r="U1" s="1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</row>
    <row r="2" customFormat="false" ht="46.25" hidden="false" customHeight="false" outlineLevel="0" collapsed="false">
      <c r="A2" s="12"/>
      <c r="B2" s="13" t="s">
        <v>2</v>
      </c>
      <c r="C2" s="14" t="s">
        <v>3</v>
      </c>
      <c r="D2" s="14" t="s">
        <v>4</v>
      </c>
      <c r="E2" s="15" t="s">
        <v>5</v>
      </c>
      <c r="F2" s="13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6" t="s">
        <v>11</v>
      </c>
      <c r="L2" s="17" t="s">
        <v>12</v>
      </c>
      <c r="M2" s="18" t="s">
        <v>13</v>
      </c>
      <c r="N2" s="17" t="s">
        <v>14</v>
      </c>
      <c r="O2" s="18" t="s">
        <v>15</v>
      </c>
      <c r="P2" s="16" t="s">
        <v>16</v>
      </c>
      <c r="Q2" s="17" t="s">
        <v>17</v>
      </c>
      <c r="R2" s="13" t="s">
        <v>18</v>
      </c>
      <c r="S2" s="15" t="s">
        <v>19</v>
      </c>
      <c r="T2" s="19" t="s">
        <v>20</v>
      </c>
      <c r="U2" s="12"/>
      <c r="V2" s="20" t="s">
        <v>21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21"/>
    </row>
    <row r="3" customFormat="false" ht="31.3" hidden="false" customHeight="false" outlineLevel="0" collapsed="false">
      <c r="A3" s="3"/>
      <c r="B3" s="22" t="s">
        <v>22</v>
      </c>
      <c r="C3" s="23" t="s">
        <v>22</v>
      </c>
      <c r="D3" s="23" t="s">
        <v>22</v>
      </c>
      <c r="E3" s="24" t="s">
        <v>22</v>
      </c>
      <c r="F3" s="25" t="s">
        <v>23</v>
      </c>
      <c r="G3" s="25" t="s">
        <v>23</v>
      </c>
      <c r="H3" s="25" t="s">
        <v>23</v>
      </c>
      <c r="I3" s="25" t="s">
        <v>23</v>
      </c>
      <c r="J3" s="25" t="s">
        <v>23</v>
      </c>
      <c r="K3" s="25" t="s">
        <v>24</v>
      </c>
      <c r="L3" s="25" t="s">
        <v>24</v>
      </c>
      <c r="M3" s="22" t="s">
        <v>25</v>
      </c>
      <c r="N3" s="26" t="s">
        <v>26</v>
      </c>
      <c r="O3" s="27" t="s">
        <v>27</v>
      </c>
      <c r="P3" s="28" t="s">
        <v>27</v>
      </c>
      <c r="Q3" s="26" t="s">
        <v>27</v>
      </c>
      <c r="R3" s="27" t="s">
        <v>28</v>
      </c>
      <c r="S3" s="26" t="s">
        <v>28</v>
      </c>
      <c r="T3" s="19" t="s">
        <v>29</v>
      </c>
      <c r="U3" s="12" t="s">
        <v>30</v>
      </c>
      <c r="V3" s="3" t="n">
        <v>1994</v>
      </c>
      <c r="W3" s="3" t="n">
        <v>1995</v>
      </c>
      <c r="X3" s="3" t="n">
        <v>1996</v>
      </c>
      <c r="Y3" s="3" t="n">
        <v>1997</v>
      </c>
      <c r="Z3" s="3" t="n">
        <v>1998</v>
      </c>
      <c r="AA3" s="3" t="n">
        <v>1999</v>
      </c>
      <c r="AB3" s="3" t="n">
        <v>2000</v>
      </c>
      <c r="AC3" s="3" t="n">
        <v>2001</v>
      </c>
      <c r="AD3" s="3" t="n">
        <v>2002</v>
      </c>
      <c r="AE3" s="3" t="n">
        <v>2003</v>
      </c>
      <c r="AF3" s="3" t="n">
        <v>2004</v>
      </c>
      <c r="AG3" s="3" t="n">
        <v>2005</v>
      </c>
      <c r="AH3" s="3" t="n">
        <v>2006</v>
      </c>
      <c r="AI3" s="3" t="n">
        <v>2007</v>
      </c>
      <c r="AJ3" s="3" t="n">
        <v>2008</v>
      </c>
      <c r="AK3" s="3" t="n">
        <v>2009</v>
      </c>
      <c r="AL3" s="3" t="n">
        <v>2010</v>
      </c>
      <c r="AM3" s="3" t="n">
        <v>2011</v>
      </c>
      <c r="AN3" s="3" t="n">
        <v>2012</v>
      </c>
      <c r="AO3" s="3" t="n">
        <v>2013</v>
      </c>
      <c r="AP3" s="3" t="n">
        <v>2014</v>
      </c>
      <c r="AQ3" s="3" t="n">
        <v>2015</v>
      </c>
      <c r="AR3" s="21" t="n">
        <v>2016</v>
      </c>
    </row>
    <row r="4" s="31" customFormat="true" ht="15" hidden="false" customHeight="false" outlineLevel="0" collapsed="false">
      <c r="A4" s="29" t="s">
        <v>31</v>
      </c>
      <c r="B4" s="30"/>
      <c r="E4" s="32"/>
      <c r="F4" s="30"/>
      <c r="J4" s="33"/>
      <c r="L4" s="32"/>
      <c r="M4" s="34"/>
      <c r="N4" s="35"/>
      <c r="O4" s="30"/>
      <c r="Q4" s="32"/>
      <c r="R4" s="30"/>
      <c r="S4" s="32"/>
      <c r="T4" s="36"/>
      <c r="U4" s="37"/>
      <c r="AR4" s="32"/>
    </row>
    <row r="5" s="40" customFormat="true" ht="15" hidden="false" customHeight="false" outlineLevel="0" collapsed="false">
      <c r="A5" s="38" t="s">
        <v>32</v>
      </c>
      <c r="B5" s="39" t="n">
        <v>0.74</v>
      </c>
      <c r="C5" s="40" t="n">
        <v>0.74</v>
      </c>
      <c r="D5" s="40" t="n">
        <v>0</v>
      </c>
      <c r="E5" s="41" t="n">
        <v>0</v>
      </c>
      <c r="F5" s="39" t="n">
        <v>0</v>
      </c>
      <c r="G5" s="33" t="n">
        <v>0</v>
      </c>
      <c r="H5" s="33" t="n">
        <v>0</v>
      </c>
      <c r="I5" s="33" t="n">
        <v>0</v>
      </c>
      <c r="J5" s="42" t="n">
        <v>0</v>
      </c>
      <c r="K5" s="40" t="n">
        <v>0</v>
      </c>
      <c r="L5" s="43" t="n">
        <v>0</v>
      </c>
      <c r="M5" s="44" t="n">
        <v>100</v>
      </c>
      <c r="N5" s="45" t="n">
        <v>0</v>
      </c>
      <c r="O5" s="39"/>
      <c r="Q5" s="43" t="n">
        <v>0</v>
      </c>
      <c r="R5" s="39" t="n">
        <v>0</v>
      </c>
      <c r="S5" s="43" t="n">
        <v>0</v>
      </c>
      <c r="T5" s="46" t="n">
        <v>0</v>
      </c>
      <c r="U5" s="47" t="n">
        <v>0</v>
      </c>
      <c r="V5" s="40" t="n">
        <v>0</v>
      </c>
      <c r="W5" s="40" t="n">
        <v>0</v>
      </c>
      <c r="X5" s="40" t="n">
        <v>0</v>
      </c>
      <c r="Y5" s="40" t="n">
        <v>0</v>
      </c>
      <c r="Z5" s="40" t="n">
        <v>0</v>
      </c>
      <c r="AA5" s="40" t="n">
        <v>0</v>
      </c>
      <c r="AB5" s="40" t="n">
        <v>0</v>
      </c>
      <c r="AC5" s="40" t="n">
        <v>0</v>
      </c>
      <c r="AD5" s="40" t="n">
        <v>0</v>
      </c>
      <c r="AE5" s="40" t="n">
        <v>0</v>
      </c>
      <c r="AF5" s="40" t="n">
        <v>0</v>
      </c>
      <c r="AG5" s="40" t="n">
        <v>0</v>
      </c>
      <c r="AH5" s="40" t="n">
        <v>0</v>
      </c>
      <c r="AI5" s="40" t="n">
        <v>0</v>
      </c>
      <c r="AJ5" s="40" t="n">
        <v>0</v>
      </c>
      <c r="AK5" s="40" t="n">
        <v>0</v>
      </c>
      <c r="AL5" s="40" t="n">
        <v>0</v>
      </c>
      <c r="AM5" s="40" t="n">
        <v>0</v>
      </c>
      <c r="AN5" s="40" t="n">
        <v>0</v>
      </c>
      <c r="AO5" s="40" t="n">
        <v>0</v>
      </c>
      <c r="AP5" s="40" t="n">
        <v>0</v>
      </c>
      <c r="AQ5" s="40" t="n">
        <v>0</v>
      </c>
      <c r="AR5" s="43" t="n">
        <v>0</v>
      </c>
    </row>
    <row r="6" s="40" customFormat="true" ht="15" hidden="false" customHeight="false" outlineLevel="0" collapsed="false">
      <c r="A6" s="38" t="s">
        <v>33</v>
      </c>
      <c r="B6" s="39" t="n">
        <v>2030</v>
      </c>
      <c r="C6" s="40" t="n">
        <v>9400</v>
      </c>
      <c r="D6" s="40" t="n">
        <v>16000</v>
      </c>
      <c r="E6" s="41" t="n">
        <v>740</v>
      </c>
      <c r="F6" s="39" t="n">
        <v>500</v>
      </c>
      <c r="G6" s="33" t="n">
        <v>0</v>
      </c>
      <c r="H6" s="33" t="n">
        <v>0</v>
      </c>
      <c r="I6" s="33" t="n">
        <v>0</v>
      </c>
      <c r="J6" s="42" t="n">
        <v>0</v>
      </c>
      <c r="K6" s="40" t="n">
        <v>7362</v>
      </c>
      <c r="L6" s="43" t="n">
        <v>100</v>
      </c>
      <c r="M6" s="44" t="n">
        <v>218</v>
      </c>
      <c r="N6" s="45" t="n">
        <v>29</v>
      </c>
      <c r="O6" s="39" t="n">
        <v>0.42</v>
      </c>
      <c r="P6" s="40" t="n">
        <v>0.7</v>
      </c>
      <c r="Q6" s="43" t="n">
        <f aca="false">(O6+P6)/2</f>
        <v>0.56</v>
      </c>
      <c r="R6" s="39" t="n">
        <v>28000</v>
      </c>
      <c r="S6" s="43" t="n">
        <v>75000</v>
      </c>
      <c r="T6" s="46" t="n">
        <v>1006851.44431989</v>
      </c>
      <c r="U6" s="47" t="n">
        <v>-24747508.8404687</v>
      </c>
      <c r="V6" s="40" t="n">
        <v>19100000</v>
      </c>
      <c r="W6" s="40" t="n">
        <v>19393200</v>
      </c>
      <c r="X6" s="40" t="n">
        <v>20694690</v>
      </c>
      <c r="Y6" s="40" t="n">
        <v>21392970</v>
      </c>
      <c r="Z6" s="40" t="n">
        <v>22089700</v>
      </c>
      <c r="AA6" s="40" t="n">
        <v>23084960</v>
      </c>
      <c r="AB6" s="40" t="n">
        <v>23982470</v>
      </c>
      <c r="AC6" s="40" t="n">
        <v>24378590</v>
      </c>
      <c r="AD6" s="40" t="n">
        <v>25872770</v>
      </c>
      <c r="AE6" s="40" t="n">
        <v>27662610</v>
      </c>
      <c r="AF6" s="40" t="n">
        <v>29751750</v>
      </c>
      <c r="AG6" s="40" t="n">
        <v>31838150</v>
      </c>
      <c r="AH6" s="40" t="n">
        <v>33607000</v>
      </c>
      <c r="AI6" s="40" t="n">
        <v>37851990</v>
      </c>
      <c r="AJ6" s="40" t="n">
        <v>38789070</v>
      </c>
      <c r="AK6" s="40" t="n">
        <v>36941740</v>
      </c>
      <c r="AL6" s="40" t="n">
        <v>40260150</v>
      </c>
      <c r="AM6" s="40" t="n">
        <v>43814260</v>
      </c>
      <c r="AN6" s="40" t="n">
        <v>45233790</v>
      </c>
      <c r="AO6" s="40" t="n">
        <v>46864630</v>
      </c>
      <c r="AP6" s="40" t="n">
        <v>49355110</v>
      </c>
      <c r="AQ6" s="40" t="n">
        <v>55928650</v>
      </c>
      <c r="AR6" s="43" t="n">
        <v>55520790</v>
      </c>
    </row>
    <row r="7" s="40" customFormat="true" ht="15" hidden="false" customHeight="false" outlineLevel="0" collapsed="false">
      <c r="A7" s="38" t="s">
        <v>34</v>
      </c>
      <c r="B7" s="39" t="n">
        <v>0</v>
      </c>
      <c r="C7" s="40" t="n">
        <v>0</v>
      </c>
      <c r="D7" s="40" t="n">
        <v>0</v>
      </c>
      <c r="E7" s="41" t="n">
        <v>3280</v>
      </c>
      <c r="F7" s="39" t="n">
        <v>0</v>
      </c>
      <c r="G7" s="33" t="n">
        <v>0</v>
      </c>
      <c r="H7" s="33" t="n">
        <v>0</v>
      </c>
      <c r="I7" s="33" t="n">
        <v>0</v>
      </c>
      <c r="J7" s="42" t="n">
        <v>0</v>
      </c>
      <c r="K7" s="40" t="n">
        <v>0</v>
      </c>
      <c r="L7" s="43" t="n">
        <v>0</v>
      </c>
      <c r="M7" s="44" t="n">
        <v>0</v>
      </c>
      <c r="N7" s="45" t="n">
        <v>0</v>
      </c>
      <c r="O7" s="39"/>
      <c r="Q7" s="43" t="n">
        <v>0</v>
      </c>
      <c r="R7" s="39" t="n">
        <v>0</v>
      </c>
      <c r="S7" s="43" t="n">
        <v>0</v>
      </c>
      <c r="T7" s="46" t="n">
        <v>0</v>
      </c>
      <c r="U7" s="47" t="n">
        <v>0</v>
      </c>
      <c r="V7" s="40" t="n">
        <v>0</v>
      </c>
      <c r="W7" s="40" t="n">
        <v>0</v>
      </c>
      <c r="X7" s="40" t="n">
        <v>0</v>
      </c>
      <c r="Y7" s="40" t="n">
        <v>0</v>
      </c>
      <c r="Z7" s="40" t="n">
        <v>0</v>
      </c>
      <c r="AA7" s="40" t="n">
        <v>0</v>
      </c>
      <c r="AB7" s="40" t="n">
        <v>0</v>
      </c>
      <c r="AC7" s="40" t="n">
        <v>0</v>
      </c>
      <c r="AD7" s="40" t="n">
        <v>0</v>
      </c>
      <c r="AE7" s="40" t="n">
        <v>0</v>
      </c>
      <c r="AF7" s="40" t="n">
        <v>0</v>
      </c>
      <c r="AG7" s="40" t="n">
        <v>0</v>
      </c>
      <c r="AH7" s="40" t="n">
        <v>0</v>
      </c>
      <c r="AI7" s="40" t="n">
        <v>0</v>
      </c>
      <c r="AJ7" s="40" t="n">
        <v>0</v>
      </c>
      <c r="AK7" s="40" t="n">
        <v>0</v>
      </c>
      <c r="AL7" s="40" t="n">
        <v>0</v>
      </c>
      <c r="AM7" s="40" t="n">
        <v>0</v>
      </c>
      <c r="AN7" s="40" t="n">
        <v>0</v>
      </c>
      <c r="AO7" s="40" t="n">
        <v>0</v>
      </c>
      <c r="AP7" s="40" t="n">
        <v>0</v>
      </c>
      <c r="AQ7" s="40" t="n">
        <v>0</v>
      </c>
      <c r="AR7" s="43" t="n">
        <v>0</v>
      </c>
    </row>
    <row r="8" s="40" customFormat="true" ht="15" hidden="false" customHeight="false" outlineLevel="0" collapsed="false">
      <c r="A8" s="38" t="s">
        <v>35</v>
      </c>
      <c r="B8" s="39" t="n">
        <v>0</v>
      </c>
      <c r="C8" s="40" t="n">
        <v>0</v>
      </c>
      <c r="D8" s="40" t="n">
        <v>6.1</v>
      </c>
      <c r="E8" s="41" t="n">
        <v>0</v>
      </c>
      <c r="F8" s="39" t="n">
        <v>0</v>
      </c>
      <c r="G8" s="33" t="n">
        <v>0</v>
      </c>
      <c r="H8" s="33" t="n">
        <v>0</v>
      </c>
      <c r="I8" s="33" t="n">
        <v>0</v>
      </c>
      <c r="J8" s="42" t="n">
        <v>0</v>
      </c>
      <c r="K8" s="40" t="n">
        <v>0</v>
      </c>
      <c r="L8" s="43" t="n">
        <v>0</v>
      </c>
      <c r="M8" s="44" t="n">
        <v>264</v>
      </c>
      <c r="N8" s="45" t="n">
        <v>0</v>
      </c>
      <c r="O8" s="39"/>
      <c r="Q8" s="43" t="n">
        <v>0.15</v>
      </c>
      <c r="R8" s="39" t="n">
        <v>0.5</v>
      </c>
      <c r="S8" s="43" t="n">
        <v>6</v>
      </c>
      <c r="T8" s="46" t="n">
        <v>119.692871936237</v>
      </c>
      <c r="U8" s="47" t="n">
        <v>12862.9927690069</v>
      </c>
      <c r="V8" s="40" t="n">
        <v>18100</v>
      </c>
      <c r="W8" s="40" t="n">
        <v>18500</v>
      </c>
      <c r="X8" s="40" t="n">
        <v>18900</v>
      </c>
      <c r="Y8" s="40" t="n">
        <v>20000</v>
      </c>
      <c r="Z8" s="40" t="n">
        <v>19600</v>
      </c>
      <c r="AA8" s="40" t="n">
        <v>19100</v>
      </c>
      <c r="AB8" s="40" t="n">
        <v>19700</v>
      </c>
      <c r="AC8" s="40" t="n">
        <v>18200</v>
      </c>
      <c r="AD8" s="40" t="n">
        <v>15800</v>
      </c>
      <c r="AE8" s="40" t="n">
        <v>16890</v>
      </c>
      <c r="AF8" s="40" t="n">
        <v>18790</v>
      </c>
      <c r="AG8" s="40" t="n">
        <v>19390</v>
      </c>
      <c r="AH8" s="40" t="n">
        <v>19280</v>
      </c>
      <c r="AI8" s="40" t="n">
        <v>20370</v>
      </c>
      <c r="AJ8" s="40" t="n">
        <v>19550</v>
      </c>
      <c r="AK8" s="40" t="n">
        <v>18690</v>
      </c>
      <c r="AL8" s="40" t="n">
        <v>20930</v>
      </c>
      <c r="AM8" s="40" t="n">
        <v>22010</v>
      </c>
      <c r="AN8" s="40" t="n">
        <v>22780</v>
      </c>
      <c r="AO8" s="40" t="n">
        <v>21770</v>
      </c>
      <c r="AP8" s="40" t="n">
        <v>22020</v>
      </c>
      <c r="AQ8" s="40" t="n">
        <v>22680</v>
      </c>
      <c r="AR8" s="43" t="n">
        <v>22320</v>
      </c>
    </row>
    <row r="9" s="40" customFormat="true" ht="15" hidden="false" customHeight="false" outlineLevel="0" collapsed="false">
      <c r="A9" s="38" t="s">
        <v>36</v>
      </c>
      <c r="B9" s="39" t="n">
        <v>1500</v>
      </c>
      <c r="C9" s="40" t="n">
        <v>3800</v>
      </c>
      <c r="D9" s="40" t="n">
        <v>0</v>
      </c>
      <c r="E9" s="41" t="n">
        <v>0</v>
      </c>
      <c r="F9" s="39" t="n">
        <v>0</v>
      </c>
      <c r="G9" s="33" t="n">
        <v>0</v>
      </c>
      <c r="H9" s="33" t="n">
        <v>0</v>
      </c>
      <c r="I9" s="33" t="n">
        <v>0</v>
      </c>
      <c r="J9" s="42" t="n">
        <v>0</v>
      </c>
      <c r="K9" s="40" t="n">
        <v>0</v>
      </c>
      <c r="L9" s="43" t="n">
        <v>0</v>
      </c>
      <c r="M9" s="44" t="n">
        <v>200</v>
      </c>
      <c r="N9" s="45" t="n">
        <v>0</v>
      </c>
      <c r="O9" s="39"/>
      <c r="Q9" s="43" t="n">
        <v>0</v>
      </c>
      <c r="R9" s="39" t="n">
        <v>0</v>
      </c>
      <c r="S9" s="43" t="n">
        <v>0</v>
      </c>
      <c r="T9" s="46" t="n">
        <v>0</v>
      </c>
      <c r="U9" s="47" t="n">
        <v>0</v>
      </c>
      <c r="V9" s="40" t="n">
        <v>0</v>
      </c>
      <c r="W9" s="40" t="n">
        <v>0</v>
      </c>
      <c r="X9" s="40" t="n">
        <v>0</v>
      </c>
      <c r="Y9" s="40" t="n">
        <v>0</v>
      </c>
      <c r="Z9" s="40" t="n">
        <v>0</v>
      </c>
      <c r="AA9" s="40" t="n">
        <v>0</v>
      </c>
      <c r="AB9" s="40" t="n">
        <v>0</v>
      </c>
      <c r="AC9" s="40" t="n">
        <v>0</v>
      </c>
      <c r="AD9" s="40" t="n">
        <v>0</v>
      </c>
      <c r="AE9" s="40" t="n">
        <v>0</v>
      </c>
      <c r="AF9" s="40" t="n">
        <v>0</v>
      </c>
      <c r="AG9" s="40" t="n">
        <v>0</v>
      </c>
      <c r="AH9" s="40" t="n">
        <v>0</v>
      </c>
      <c r="AI9" s="40" t="n">
        <v>0</v>
      </c>
      <c r="AJ9" s="40" t="n">
        <v>0</v>
      </c>
      <c r="AK9" s="40" t="n">
        <v>0</v>
      </c>
      <c r="AL9" s="40" t="n">
        <v>0</v>
      </c>
      <c r="AM9" s="40" t="n">
        <v>0</v>
      </c>
      <c r="AN9" s="40" t="n">
        <v>0</v>
      </c>
      <c r="AO9" s="40" t="n">
        <v>0</v>
      </c>
      <c r="AP9" s="40" t="n">
        <v>0</v>
      </c>
      <c r="AQ9" s="40" t="n">
        <v>0</v>
      </c>
      <c r="AR9" s="43" t="n">
        <v>0</v>
      </c>
    </row>
    <row r="10" s="40" customFormat="true" ht="15" hidden="false" customHeight="false" outlineLevel="0" collapsed="false">
      <c r="A10" s="38" t="s">
        <v>37</v>
      </c>
      <c r="B10" s="39" t="n">
        <v>561600</v>
      </c>
      <c r="C10" s="40" t="n">
        <v>24000</v>
      </c>
      <c r="D10" s="40" t="n">
        <v>75000</v>
      </c>
      <c r="E10" s="41" t="n">
        <v>250000</v>
      </c>
      <c r="F10" s="39" t="n">
        <v>0</v>
      </c>
      <c r="G10" s="33" t="n">
        <v>0</v>
      </c>
      <c r="H10" s="33" t="n">
        <v>0</v>
      </c>
      <c r="I10" s="33" t="n">
        <v>0</v>
      </c>
      <c r="J10" s="42" t="n">
        <v>0</v>
      </c>
      <c r="K10" s="40" t="n">
        <v>48</v>
      </c>
      <c r="L10" s="43" t="n">
        <v>0</v>
      </c>
      <c r="M10" s="44" t="n">
        <v>4.5</v>
      </c>
      <c r="N10" s="45" t="n">
        <v>0</v>
      </c>
      <c r="O10" s="39"/>
      <c r="Q10" s="43" t="n">
        <v>0</v>
      </c>
      <c r="R10" s="39" t="n">
        <v>0</v>
      </c>
      <c r="S10" s="43" t="n">
        <v>0</v>
      </c>
      <c r="T10" s="46" t="n">
        <v>0</v>
      </c>
      <c r="U10" s="47" t="n">
        <v>0</v>
      </c>
      <c r="V10" s="40" t="n">
        <v>0</v>
      </c>
      <c r="W10" s="40" t="n">
        <v>0</v>
      </c>
      <c r="X10" s="40" t="n">
        <v>0</v>
      </c>
      <c r="Y10" s="40" t="n">
        <v>0</v>
      </c>
      <c r="Z10" s="40" t="n">
        <v>0</v>
      </c>
      <c r="AA10" s="40" t="n">
        <v>0</v>
      </c>
      <c r="AB10" s="40" t="n">
        <v>0</v>
      </c>
      <c r="AC10" s="40" t="n">
        <v>0</v>
      </c>
      <c r="AD10" s="40" t="n">
        <v>0</v>
      </c>
      <c r="AE10" s="40" t="n">
        <v>0</v>
      </c>
      <c r="AF10" s="40" t="n">
        <v>0</v>
      </c>
      <c r="AG10" s="40" t="n">
        <v>0</v>
      </c>
      <c r="AH10" s="40" t="n">
        <v>0</v>
      </c>
      <c r="AI10" s="40" t="n">
        <v>0</v>
      </c>
      <c r="AJ10" s="40" t="n">
        <v>0</v>
      </c>
      <c r="AK10" s="40" t="n">
        <v>0</v>
      </c>
      <c r="AL10" s="40" t="n">
        <v>0</v>
      </c>
      <c r="AM10" s="40" t="n">
        <v>0</v>
      </c>
      <c r="AN10" s="40" t="n">
        <v>0</v>
      </c>
      <c r="AO10" s="40" t="n">
        <v>0</v>
      </c>
      <c r="AP10" s="40" t="n">
        <v>0</v>
      </c>
      <c r="AQ10" s="40" t="n">
        <v>0</v>
      </c>
      <c r="AR10" s="43" t="n">
        <v>0</v>
      </c>
    </row>
    <row r="11" s="40" customFormat="true" ht="15" hidden="false" customHeight="false" outlineLevel="0" collapsed="false">
      <c r="A11" s="38" t="s">
        <v>38</v>
      </c>
      <c r="B11" s="39" t="n">
        <v>0</v>
      </c>
      <c r="C11" s="40" t="n">
        <v>0</v>
      </c>
      <c r="D11" s="40" t="n">
        <f aca="false">E11/4</f>
        <v>550</v>
      </c>
      <c r="E11" s="41" t="n">
        <v>2200</v>
      </c>
      <c r="F11" s="39" t="n">
        <v>0</v>
      </c>
      <c r="G11" s="33" t="n">
        <v>0</v>
      </c>
      <c r="H11" s="33" t="n">
        <v>0</v>
      </c>
      <c r="I11" s="33" t="n">
        <v>0</v>
      </c>
      <c r="J11" s="42" t="n">
        <v>0</v>
      </c>
      <c r="K11" s="40" t="n">
        <v>0</v>
      </c>
      <c r="L11" s="43" t="n">
        <v>0</v>
      </c>
      <c r="M11" s="44" t="n">
        <v>83</v>
      </c>
      <c r="N11" s="45" t="n">
        <v>0</v>
      </c>
      <c r="O11" s="39" t="n">
        <v>0.87</v>
      </c>
      <c r="P11" s="40" t="n">
        <v>0.93</v>
      </c>
      <c r="Q11" s="43" t="n">
        <f aca="false">(O11+P11)/2</f>
        <v>0.9</v>
      </c>
      <c r="R11" s="39" t="n">
        <v>480</v>
      </c>
      <c r="S11" s="43" t="n">
        <v>12000</v>
      </c>
      <c r="T11" s="46" t="n">
        <v>561172.975773779</v>
      </c>
      <c r="U11" s="47" t="n">
        <v>-13481662.0715207</v>
      </c>
      <c r="V11" s="40" t="n">
        <v>9570000</v>
      </c>
      <c r="W11" s="40" t="n">
        <v>11999960</v>
      </c>
      <c r="X11" s="40" t="n">
        <v>12189960</v>
      </c>
      <c r="Y11" s="40" t="n">
        <v>12499930</v>
      </c>
      <c r="Z11" s="40" t="n">
        <v>12699880</v>
      </c>
      <c r="AA11" s="40" t="n">
        <v>13499820</v>
      </c>
      <c r="AB11" s="40" t="n">
        <v>14399830</v>
      </c>
      <c r="AC11" s="40" t="n">
        <v>12099800</v>
      </c>
      <c r="AD11" s="40" t="n">
        <v>13499670</v>
      </c>
      <c r="AE11" s="40" t="n">
        <v>15499420</v>
      </c>
      <c r="AF11" s="40" t="n">
        <v>17499230</v>
      </c>
      <c r="AG11" s="40" t="n">
        <v>19298990</v>
      </c>
      <c r="AH11" s="40" t="n">
        <v>19598220</v>
      </c>
      <c r="AI11" s="40" t="n">
        <v>21496500</v>
      </c>
      <c r="AJ11" s="40" t="n">
        <v>23794450</v>
      </c>
      <c r="AK11" s="40" t="n">
        <v>19289490</v>
      </c>
      <c r="AL11" s="40" t="n">
        <v>23683310</v>
      </c>
      <c r="AM11" s="40" t="n">
        <v>23281570</v>
      </c>
      <c r="AN11" s="40" t="n">
        <v>25578710</v>
      </c>
      <c r="AO11" s="40" t="n">
        <v>28777200</v>
      </c>
      <c r="AP11" s="40" t="n">
        <v>26364160</v>
      </c>
      <c r="AQ11" s="40" t="n">
        <v>30350300</v>
      </c>
      <c r="AR11" s="43" t="n">
        <v>30335910</v>
      </c>
    </row>
    <row r="12" s="40" customFormat="true" ht="15" hidden="false" customHeight="false" outlineLevel="0" collapsed="false">
      <c r="A12" s="38" t="s">
        <v>39</v>
      </c>
      <c r="B12" s="39" t="n">
        <v>2700</v>
      </c>
      <c r="C12" s="40" t="n">
        <v>22200</v>
      </c>
      <c r="D12" s="40" t="n">
        <v>2200</v>
      </c>
      <c r="E12" s="41" t="n">
        <v>3200</v>
      </c>
      <c r="F12" s="39" t="n">
        <v>289</v>
      </c>
      <c r="G12" s="33" t="n">
        <v>0</v>
      </c>
      <c r="H12" s="33" t="n">
        <v>0</v>
      </c>
      <c r="I12" s="33" t="n">
        <v>0</v>
      </c>
      <c r="J12" s="42" t="n">
        <v>0</v>
      </c>
      <c r="K12" s="40" t="n">
        <v>2044</v>
      </c>
      <c r="L12" s="43" t="n">
        <v>125</v>
      </c>
      <c r="M12" s="44" t="n">
        <v>57</v>
      </c>
      <c r="N12" s="45" t="n">
        <v>16.5</v>
      </c>
      <c r="O12" s="39" t="n">
        <v>0.43</v>
      </c>
      <c r="P12" s="40" t="n">
        <v>0.53</v>
      </c>
      <c r="Q12" s="43" t="n">
        <f aca="false">(O12+P12)/2</f>
        <v>0.48</v>
      </c>
      <c r="R12" s="39" t="n">
        <v>720</v>
      </c>
      <c r="S12" s="43" t="n">
        <v>2100</v>
      </c>
      <c r="T12" s="46" t="n">
        <v>230741.487187447</v>
      </c>
      <c r="U12" s="47" t="n">
        <v>1147112.83580538</v>
      </c>
      <c r="V12" s="40" t="n">
        <v>9430000</v>
      </c>
      <c r="W12" s="40" t="n">
        <v>9992170</v>
      </c>
      <c r="X12" s="40" t="n">
        <v>10994390</v>
      </c>
      <c r="Y12" s="40" t="n">
        <v>11392880</v>
      </c>
      <c r="Z12" s="40" t="n">
        <v>12190320</v>
      </c>
      <c r="AA12" s="40" t="n">
        <v>12586080</v>
      </c>
      <c r="AB12" s="40" t="n">
        <v>13182150</v>
      </c>
      <c r="AC12" s="40" t="n">
        <v>13677330</v>
      </c>
      <c r="AD12" s="40" t="n">
        <v>13573660</v>
      </c>
      <c r="AE12" s="40" t="n">
        <v>13569730</v>
      </c>
      <c r="AF12" s="40" t="n">
        <v>14561920</v>
      </c>
      <c r="AG12" s="40" t="n">
        <v>14949450</v>
      </c>
      <c r="AH12" s="40" t="n">
        <v>15032000</v>
      </c>
      <c r="AI12" s="40" t="n">
        <v>15309050</v>
      </c>
      <c r="AJ12" s="40" t="n">
        <v>15285180</v>
      </c>
      <c r="AK12" s="40" t="n">
        <v>15750700</v>
      </c>
      <c r="AL12" s="40" t="n">
        <v>15707320</v>
      </c>
      <c r="AM12" s="40" t="n">
        <v>15891470</v>
      </c>
      <c r="AN12" s="40" t="n">
        <v>16672810</v>
      </c>
      <c r="AO12" s="40" t="n">
        <v>18037090</v>
      </c>
      <c r="AP12" s="40" t="n">
        <v>18126070</v>
      </c>
      <c r="AQ12" s="40" t="n">
        <v>18615350</v>
      </c>
      <c r="AR12" s="43" t="n">
        <v>18700270</v>
      </c>
    </row>
    <row r="13" s="40" customFormat="true" ht="15" hidden="false" customHeight="false" outlineLevel="0" collapsed="false">
      <c r="A13" s="38" t="s">
        <v>40</v>
      </c>
      <c r="B13" s="39" t="n">
        <v>5700</v>
      </c>
      <c r="C13" s="40" t="n">
        <f aca="false">B13*C55/B55</f>
        <v>18080.888183981</v>
      </c>
      <c r="D13" s="40" t="n">
        <v>15600</v>
      </c>
      <c r="E13" s="41" t="n">
        <v>15600</v>
      </c>
      <c r="F13" s="39" t="n">
        <v>0</v>
      </c>
      <c r="G13" s="33" t="n">
        <v>0</v>
      </c>
      <c r="H13" s="33" t="n">
        <v>0</v>
      </c>
      <c r="I13" s="33" t="n">
        <v>0</v>
      </c>
      <c r="J13" s="42" t="n">
        <v>0</v>
      </c>
      <c r="K13" s="40" t="n">
        <v>6200</v>
      </c>
      <c r="L13" s="43" t="n">
        <v>0</v>
      </c>
      <c r="M13" s="44" t="n">
        <v>38.5</v>
      </c>
      <c r="N13" s="45" t="n">
        <v>0</v>
      </c>
      <c r="O13" s="39"/>
      <c r="Q13" s="43" t="n">
        <v>0</v>
      </c>
      <c r="R13" s="39" t="n">
        <v>0</v>
      </c>
      <c r="S13" s="43" t="n">
        <v>0</v>
      </c>
      <c r="T13" s="46" t="n">
        <v>0</v>
      </c>
      <c r="U13" s="47" t="n">
        <v>0</v>
      </c>
      <c r="V13" s="40" t="n">
        <v>0</v>
      </c>
      <c r="W13" s="40" t="n">
        <v>0</v>
      </c>
      <c r="X13" s="40" t="n">
        <v>0</v>
      </c>
      <c r="Y13" s="40" t="n">
        <v>0</v>
      </c>
      <c r="Z13" s="40" t="n">
        <v>0</v>
      </c>
      <c r="AA13" s="40" t="n">
        <v>0</v>
      </c>
      <c r="AB13" s="40" t="n">
        <v>0</v>
      </c>
      <c r="AC13" s="40" t="n">
        <v>0</v>
      </c>
      <c r="AD13" s="40" t="n">
        <v>0</v>
      </c>
      <c r="AE13" s="40" t="n">
        <v>0</v>
      </c>
      <c r="AF13" s="40" t="n">
        <v>0</v>
      </c>
      <c r="AG13" s="40" t="n">
        <v>0</v>
      </c>
      <c r="AH13" s="40" t="n">
        <v>0</v>
      </c>
      <c r="AI13" s="40" t="n">
        <v>0</v>
      </c>
      <c r="AJ13" s="40" t="n">
        <v>0</v>
      </c>
      <c r="AK13" s="40" t="n">
        <v>0</v>
      </c>
      <c r="AL13" s="40" t="n">
        <v>0</v>
      </c>
      <c r="AM13" s="40" t="n">
        <v>0</v>
      </c>
      <c r="AN13" s="40" t="n">
        <v>0</v>
      </c>
      <c r="AO13" s="40" t="n">
        <v>0</v>
      </c>
      <c r="AP13" s="40" t="n">
        <v>0</v>
      </c>
      <c r="AQ13" s="40" t="n">
        <v>0</v>
      </c>
      <c r="AR13" s="43" t="n">
        <v>0</v>
      </c>
    </row>
    <row r="14" s="40" customFormat="true" ht="15" hidden="false" customHeight="false" outlineLevel="0" collapsed="false">
      <c r="A14" s="38" t="s">
        <v>41</v>
      </c>
      <c r="B14" s="39" t="n">
        <v>4.86</v>
      </c>
      <c r="C14" s="40" t="n">
        <v>14.58</v>
      </c>
      <c r="D14" s="40" t="n">
        <v>0</v>
      </c>
      <c r="E14" s="41" t="n">
        <v>0</v>
      </c>
      <c r="F14" s="39" t="n">
        <v>0</v>
      </c>
      <c r="G14" s="33" t="n">
        <v>0</v>
      </c>
      <c r="H14" s="33" t="n">
        <v>0</v>
      </c>
      <c r="I14" s="33" t="n">
        <v>0</v>
      </c>
      <c r="J14" s="42" t="n">
        <v>0</v>
      </c>
      <c r="K14" s="40" t="n">
        <v>0</v>
      </c>
      <c r="L14" s="43" t="n">
        <v>0</v>
      </c>
      <c r="M14" s="44" t="n">
        <v>384.2</v>
      </c>
      <c r="N14" s="45" t="n">
        <v>0</v>
      </c>
      <c r="O14" s="39"/>
      <c r="Q14" s="43" t="n">
        <v>0</v>
      </c>
      <c r="R14" s="39" t="n">
        <v>0</v>
      </c>
      <c r="S14" s="43" t="n">
        <v>0</v>
      </c>
      <c r="T14" s="46" t="n">
        <v>0</v>
      </c>
      <c r="U14" s="47" t="n">
        <v>0</v>
      </c>
      <c r="V14" s="40" t="n">
        <v>0</v>
      </c>
      <c r="W14" s="40" t="n">
        <v>0</v>
      </c>
      <c r="X14" s="40" t="n">
        <v>0</v>
      </c>
      <c r="Y14" s="40" t="n">
        <v>0</v>
      </c>
      <c r="Z14" s="40" t="n">
        <v>0</v>
      </c>
      <c r="AA14" s="40" t="n">
        <v>0</v>
      </c>
      <c r="AB14" s="40" t="n">
        <v>0</v>
      </c>
      <c r="AC14" s="40" t="n">
        <v>0</v>
      </c>
      <c r="AD14" s="40" t="n">
        <v>0</v>
      </c>
      <c r="AE14" s="40" t="n">
        <v>0</v>
      </c>
      <c r="AF14" s="40" t="n">
        <v>0</v>
      </c>
      <c r="AG14" s="40" t="n">
        <v>0</v>
      </c>
      <c r="AH14" s="40" t="n">
        <v>0</v>
      </c>
      <c r="AI14" s="40" t="n">
        <v>0</v>
      </c>
      <c r="AJ14" s="40" t="n">
        <v>0</v>
      </c>
      <c r="AK14" s="40" t="n">
        <v>0</v>
      </c>
      <c r="AL14" s="40" t="n">
        <v>0</v>
      </c>
      <c r="AM14" s="40" t="n">
        <v>0</v>
      </c>
      <c r="AN14" s="40" t="n">
        <v>0</v>
      </c>
      <c r="AO14" s="40" t="n">
        <v>0</v>
      </c>
      <c r="AP14" s="40" t="n">
        <v>0</v>
      </c>
      <c r="AQ14" s="40" t="n">
        <v>0</v>
      </c>
      <c r="AR14" s="43" t="n">
        <v>0</v>
      </c>
    </row>
    <row r="15" s="40" customFormat="true" ht="15" hidden="false" customHeight="false" outlineLevel="0" collapsed="false">
      <c r="A15" s="38" t="s">
        <v>42</v>
      </c>
      <c r="B15" s="39" t="n">
        <v>450</v>
      </c>
      <c r="C15" s="40" t="n">
        <v>450</v>
      </c>
      <c r="D15" s="40" t="n">
        <v>0</v>
      </c>
      <c r="E15" s="41" t="n">
        <v>0</v>
      </c>
      <c r="F15" s="39" t="n">
        <v>0</v>
      </c>
      <c r="G15" s="33" t="n">
        <v>0</v>
      </c>
      <c r="H15" s="33" t="n">
        <v>0</v>
      </c>
      <c r="I15" s="33" t="n">
        <v>0</v>
      </c>
      <c r="J15" s="42" t="n">
        <v>0</v>
      </c>
      <c r="K15" s="40" t="n">
        <v>0</v>
      </c>
      <c r="L15" s="43" t="n">
        <v>0</v>
      </c>
      <c r="M15" s="44" t="n">
        <v>2000</v>
      </c>
      <c r="N15" s="45" t="n">
        <v>0</v>
      </c>
      <c r="O15" s="39"/>
      <c r="Q15" s="43" t="n">
        <v>0</v>
      </c>
      <c r="R15" s="39" t="n">
        <v>0</v>
      </c>
      <c r="S15" s="43" t="n">
        <v>0</v>
      </c>
      <c r="T15" s="46" t="n">
        <v>0</v>
      </c>
      <c r="U15" s="47" t="n">
        <v>0</v>
      </c>
      <c r="V15" s="40" t="n">
        <v>0</v>
      </c>
      <c r="W15" s="40" t="n">
        <v>0</v>
      </c>
      <c r="X15" s="40" t="n">
        <v>0</v>
      </c>
      <c r="Y15" s="40" t="n">
        <v>0</v>
      </c>
      <c r="Z15" s="40" t="n">
        <v>0</v>
      </c>
      <c r="AA15" s="40" t="n">
        <v>0</v>
      </c>
      <c r="AB15" s="40" t="n">
        <v>0</v>
      </c>
      <c r="AC15" s="40" t="n">
        <v>0</v>
      </c>
      <c r="AD15" s="40" t="n">
        <v>0</v>
      </c>
      <c r="AE15" s="40" t="n">
        <v>0</v>
      </c>
      <c r="AF15" s="40" t="n">
        <v>0</v>
      </c>
      <c r="AG15" s="40" t="n">
        <v>0</v>
      </c>
      <c r="AH15" s="40" t="n">
        <v>0</v>
      </c>
      <c r="AI15" s="40" t="n">
        <v>0</v>
      </c>
      <c r="AJ15" s="40" t="n">
        <v>0</v>
      </c>
      <c r="AK15" s="40" t="n">
        <v>0</v>
      </c>
      <c r="AL15" s="40" t="n">
        <v>0</v>
      </c>
      <c r="AM15" s="40" t="n">
        <v>0</v>
      </c>
      <c r="AN15" s="40" t="n">
        <v>0</v>
      </c>
      <c r="AO15" s="40" t="n">
        <v>0</v>
      </c>
      <c r="AP15" s="40" t="n">
        <v>0</v>
      </c>
      <c r="AQ15" s="40" t="n">
        <v>0</v>
      </c>
      <c r="AR15" s="43" t="n">
        <v>0</v>
      </c>
    </row>
    <row r="16" s="40" customFormat="true" ht="15" hidden="false" customHeight="false" outlineLevel="0" collapsed="false">
      <c r="A16" s="38" t="s">
        <v>43</v>
      </c>
      <c r="B16" s="39" t="n">
        <v>0</v>
      </c>
      <c r="C16" s="40" t="n">
        <v>0</v>
      </c>
      <c r="D16" s="40" t="n">
        <v>150</v>
      </c>
      <c r="E16" s="41" t="n">
        <v>150</v>
      </c>
      <c r="F16" s="39" t="n">
        <v>0</v>
      </c>
      <c r="G16" s="33" t="n">
        <v>0</v>
      </c>
      <c r="H16" s="33" t="n">
        <v>0</v>
      </c>
      <c r="I16" s="33" t="n">
        <v>0</v>
      </c>
      <c r="J16" s="42" t="n">
        <v>0</v>
      </c>
      <c r="K16" s="40" t="n">
        <v>0</v>
      </c>
      <c r="L16" s="43" t="n">
        <v>0</v>
      </c>
      <c r="M16" s="44" t="n">
        <v>120</v>
      </c>
      <c r="N16" s="45" t="n">
        <v>0</v>
      </c>
      <c r="O16" s="39"/>
      <c r="Q16" s="43" t="n">
        <v>0</v>
      </c>
      <c r="R16" s="39" t="n">
        <v>0</v>
      </c>
      <c r="S16" s="43" t="n">
        <v>0</v>
      </c>
      <c r="T16" s="46" t="n">
        <v>0</v>
      </c>
      <c r="U16" s="47" t="n">
        <v>0</v>
      </c>
      <c r="V16" s="40" t="n">
        <v>0</v>
      </c>
      <c r="W16" s="40" t="n">
        <v>0</v>
      </c>
      <c r="X16" s="40" t="n">
        <v>0</v>
      </c>
      <c r="Y16" s="40" t="n">
        <v>0</v>
      </c>
      <c r="Z16" s="40" t="n">
        <v>0</v>
      </c>
      <c r="AA16" s="40" t="n">
        <v>0</v>
      </c>
      <c r="AB16" s="40" t="n">
        <v>0</v>
      </c>
      <c r="AC16" s="40" t="n">
        <v>0</v>
      </c>
      <c r="AD16" s="40" t="n">
        <v>0</v>
      </c>
      <c r="AE16" s="40" t="n">
        <v>0</v>
      </c>
      <c r="AF16" s="40" t="n">
        <v>0</v>
      </c>
      <c r="AG16" s="40" t="n">
        <v>0</v>
      </c>
      <c r="AH16" s="40" t="n">
        <v>0</v>
      </c>
      <c r="AI16" s="40" t="n">
        <v>0</v>
      </c>
      <c r="AJ16" s="40" t="n">
        <v>0</v>
      </c>
      <c r="AK16" s="40" t="n">
        <v>0</v>
      </c>
      <c r="AL16" s="40" t="n">
        <v>0</v>
      </c>
      <c r="AM16" s="40" t="n">
        <v>0</v>
      </c>
      <c r="AN16" s="40" t="n">
        <v>0</v>
      </c>
      <c r="AO16" s="40" t="n">
        <v>0</v>
      </c>
      <c r="AP16" s="40" t="n">
        <v>0</v>
      </c>
      <c r="AQ16" s="40" t="n">
        <v>0</v>
      </c>
      <c r="AR16" s="43" t="n">
        <v>0</v>
      </c>
    </row>
    <row r="17" s="40" customFormat="true" ht="15" hidden="false" customHeight="false" outlineLevel="0" collapsed="false">
      <c r="A17" s="38" t="s">
        <v>44</v>
      </c>
      <c r="B17" s="39" t="n">
        <v>6090</v>
      </c>
      <c r="C17" s="40" t="n">
        <v>3800</v>
      </c>
      <c r="D17" s="40" t="n">
        <v>0</v>
      </c>
      <c r="E17" s="41" t="n">
        <v>310</v>
      </c>
      <c r="F17" s="39" t="n">
        <v>0</v>
      </c>
      <c r="G17" s="33" t="n">
        <v>0</v>
      </c>
      <c r="H17" s="33" t="n">
        <v>0</v>
      </c>
      <c r="I17" s="33" t="n">
        <v>0</v>
      </c>
      <c r="J17" s="42" t="n">
        <v>0</v>
      </c>
      <c r="K17" s="40" t="n">
        <v>1140</v>
      </c>
      <c r="L17" s="43" t="n">
        <v>0</v>
      </c>
      <c r="M17" s="44" t="n">
        <v>28</v>
      </c>
      <c r="N17" s="45" t="n">
        <v>0</v>
      </c>
      <c r="O17" s="39"/>
      <c r="Q17" s="43" t="n">
        <v>0</v>
      </c>
      <c r="R17" s="39" t="n">
        <v>0</v>
      </c>
      <c r="S17" s="43" t="n">
        <v>0</v>
      </c>
      <c r="T17" s="46" t="n">
        <v>0</v>
      </c>
      <c r="U17" s="47" t="n">
        <v>0</v>
      </c>
      <c r="V17" s="40" t="n">
        <v>0</v>
      </c>
      <c r="W17" s="40" t="n">
        <v>0</v>
      </c>
      <c r="X17" s="40" t="n">
        <v>0</v>
      </c>
      <c r="Y17" s="40" t="n">
        <v>0</v>
      </c>
      <c r="Z17" s="40" t="n">
        <v>0</v>
      </c>
      <c r="AA17" s="40" t="n">
        <v>0</v>
      </c>
      <c r="AB17" s="40" t="n">
        <v>0</v>
      </c>
      <c r="AC17" s="40" t="n">
        <v>0</v>
      </c>
      <c r="AD17" s="40" t="n">
        <v>0</v>
      </c>
      <c r="AE17" s="40" t="n">
        <v>0</v>
      </c>
      <c r="AF17" s="40" t="n">
        <v>0</v>
      </c>
      <c r="AG17" s="40" t="n">
        <v>0</v>
      </c>
      <c r="AH17" s="40" t="n">
        <v>0</v>
      </c>
      <c r="AI17" s="40" t="n">
        <v>0</v>
      </c>
      <c r="AJ17" s="40" t="n">
        <v>0</v>
      </c>
      <c r="AK17" s="40" t="n">
        <v>0</v>
      </c>
      <c r="AL17" s="40" t="n">
        <v>0</v>
      </c>
      <c r="AM17" s="40" t="n">
        <v>0</v>
      </c>
      <c r="AN17" s="40" t="n">
        <v>0</v>
      </c>
      <c r="AO17" s="40" t="n">
        <v>0</v>
      </c>
      <c r="AP17" s="40" t="n">
        <v>0</v>
      </c>
      <c r="AQ17" s="40" t="n">
        <v>0</v>
      </c>
      <c r="AR17" s="43" t="n">
        <v>0</v>
      </c>
    </row>
    <row r="18" s="40" customFormat="true" ht="15" hidden="false" customHeight="false" outlineLevel="0" collapsed="false">
      <c r="A18" s="38" t="s">
        <v>45</v>
      </c>
      <c r="B18" s="39" t="n">
        <v>0</v>
      </c>
      <c r="C18" s="40" t="n">
        <v>0</v>
      </c>
      <c r="D18" s="40" t="n">
        <v>0</v>
      </c>
      <c r="E18" s="41" t="n">
        <v>2500</v>
      </c>
      <c r="F18" s="39" t="n">
        <v>0</v>
      </c>
      <c r="G18" s="33" t="n">
        <v>0</v>
      </c>
      <c r="H18" s="33" t="n">
        <v>0</v>
      </c>
      <c r="I18" s="33" t="n">
        <v>0</v>
      </c>
      <c r="J18" s="42" t="n">
        <v>0</v>
      </c>
      <c r="K18" s="40" t="n">
        <v>0</v>
      </c>
      <c r="L18" s="43" t="n">
        <v>0</v>
      </c>
      <c r="M18" s="44" t="n">
        <v>28</v>
      </c>
      <c r="N18" s="45" t="n">
        <v>0</v>
      </c>
      <c r="O18" s="39"/>
      <c r="Q18" s="43" t="n">
        <v>0</v>
      </c>
      <c r="R18" s="39" t="n">
        <v>0</v>
      </c>
      <c r="S18" s="43" t="n">
        <v>0</v>
      </c>
      <c r="T18" s="46" t="n">
        <v>0</v>
      </c>
      <c r="U18" s="47" t="n">
        <v>0</v>
      </c>
      <c r="V18" s="40" t="n">
        <v>0</v>
      </c>
      <c r="W18" s="40" t="n">
        <v>0</v>
      </c>
      <c r="X18" s="40" t="n">
        <v>0</v>
      </c>
      <c r="Y18" s="40" t="n">
        <v>0</v>
      </c>
      <c r="Z18" s="40" t="n">
        <v>0</v>
      </c>
      <c r="AA18" s="40" t="n">
        <v>0</v>
      </c>
      <c r="AB18" s="40" t="n">
        <v>0</v>
      </c>
      <c r="AC18" s="40" t="n">
        <v>0</v>
      </c>
      <c r="AD18" s="40" t="n">
        <v>0</v>
      </c>
      <c r="AE18" s="40" t="n">
        <v>0</v>
      </c>
      <c r="AF18" s="40" t="n">
        <v>0</v>
      </c>
      <c r="AG18" s="40" t="n">
        <v>0</v>
      </c>
      <c r="AH18" s="40" t="n">
        <v>0</v>
      </c>
      <c r="AI18" s="40" t="n">
        <v>0</v>
      </c>
      <c r="AJ18" s="40" t="n">
        <v>0</v>
      </c>
      <c r="AK18" s="40" t="n">
        <v>0</v>
      </c>
      <c r="AL18" s="40" t="n">
        <v>0</v>
      </c>
      <c r="AM18" s="40" t="n">
        <v>0</v>
      </c>
      <c r="AN18" s="40" t="n">
        <v>0</v>
      </c>
      <c r="AO18" s="40" t="n">
        <v>0</v>
      </c>
      <c r="AP18" s="40" t="n">
        <v>0</v>
      </c>
      <c r="AQ18" s="40" t="n">
        <v>0</v>
      </c>
      <c r="AR18" s="43" t="n">
        <v>0</v>
      </c>
    </row>
    <row r="19" s="40" customFormat="true" ht="15" hidden="false" customHeight="false" outlineLevel="0" collapsed="false">
      <c r="A19" s="38" t="s">
        <v>46</v>
      </c>
      <c r="B19" s="39" t="n">
        <v>0</v>
      </c>
      <c r="C19" s="40" t="n">
        <v>0</v>
      </c>
      <c r="D19" s="40" t="n">
        <v>0.3</v>
      </c>
      <c r="E19" s="41" t="n">
        <v>0</v>
      </c>
      <c r="F19" s="39" t="n">
        <v>0</v>
      </c>
      <c r="G19" s="33" t="n">
        <v>0</v>
      </c>
      <c r="H19" s="33" t="n">
        <v>0</v>
      </c>
      <c r="I19" s="33" t="n">
        <v>0</v>
      </c>
      <c r="J19" s="42" t="n">
        <v>0</v>
      </c>
      <c r="K19" s="40" t="n">
        <v>0</v>
      </c>
      <c r="L19" s="43" t="n">
        <v>0</v>
      </c>
      <c r="M19" s="44" t="n">
        <v>218</v>
      </c>
      <c r="N19" s="45" t="n">
        <v>0</v>
      </c>
      <c r="O19" s="39"/>
      <c r="Q19" s="43" t="n">
        <v>0.005</v>
      </c>
      <c r="R19" s="39" t="n">
        <v>0.0052</v>
      </c>
      <c r="S19" s="43" t="n">
        <v>1</v>
      </c>
      <c r="T19" s="46" t="n">
        <v>10.1109898130647</v>
      </c>
      <c r="U19" s="47" t="n">
        <v>-434.34489379048</v>
      </c>
      <c r="V19" s="40" t="n">
        <v>35</v>
      </c>
      <c r="W19" s="40" t="n">
        <v>35</v>
      </c>
      <c r="X19" s="40" t="n">
        <v>63</v>
      </c>
      <c r="Y19" s="40" t="n">
        <v>54</v>
      </c>
      <c r="Z19" s="40" t="n">
        <v>60</v>
      </c>
      <c r="AA19" s="40" t="n">
        <v>75</v>
      </c>
      <c r="AB19" s="40" t="n">
        <v>100</v>
      </c>
      <c r="AC19" s="40" t="n">
        <v>75</v>
      </c>
      <c r="AD19" s="40" t="n">
        <v>64</v>
      </c>
      <c r="AE19" s="40" t="n">
        <v>69</v>
      </c>
      <c r="AF19" s="40" t="n">
        <v>60</v>
      </c>
      <c r="AG19" s="40" t="n">
        <v>69</v>
      </c>
      <c r="AH19" s="40" t="n">
        <v>80</v>
      </c>
      <c r="AI19" s="40" t="n">
        <v>80</v>
      </c>
      <c r="AJ19" s="40" t="n">
        <v>111</v>
      </c>
      <c r="AK19" s="40" t="n">
        <v>69</v>
      </c>
      <c r="AL19" s="40" t="n">
        <v>172</v>
      </c>
      <c r="AM19" s="40" t="n">
        <v>282</v>
      </c>
      <c r="AN19" s="40" t="n">
        <v>373</v>
      </c>
      <c r="AO19" s="40" t="n">
        <v>340</v>
      </c>
      <c r="AP19" s="40" t="n">
        <v>415</v>
      </c>
      <c r="AQ19" s="40" t="n">
        <v>440</v>
      </c>
      <c r="AR19" s="43" t="n">
        <v>345</v>
      </c>
    </row>
    <row r="20" s="40" customFormat="true" ht="15" hidden="false" customHeight="false" outlineLevel="0" collapsed="false">
      <c r="A20" s="38" t="s">
        <v>47</v>
      </c>
      <c r="B20" s="39" t="n">
        <v>0</v>
      </c>
      <c r="C20" s="40" t="n">
        <v>0</v>
      </c>
      <c r="D20" s="40" t="n">
        <v>66075</v>
      </c>
      <c r="E20" s="41" t="n">
        <v>130000</v>
      </c>
      <c r="F20" s="39" t="n">
        <v>0</v>
      </c>
      <c r="G20" s="33" t="n">
        <v>0</v>
      </c>
      <c r="H20" s="33" t="n">
        <v>0</v>
      </c>
      <c r="I20" s="33" t="n">
        <v>0</v>
      </c>
      <c r="J20" s="42" t="n">
        <v>0</v>
      </c>
      <c r="K20" s="40" t="n">
        <v>562</v>
      </c>
      <c r="L20" s="43" t="n">
        <v>0</v>
      </c>
      <c r="M20" s="44" t="n">
        <v>23.5</v>
      </c>
      <c r="N20" s="45" t="n">
        <v>0</v>
      </c>
      <c r="O20" s="39"/>
      <c r="Q20" s="43" t="n">
        <v>0</v>
      </c>
      <c r="R20" s="39" t="n">
        <v>0</v>
      </c>
      <c r="S20" s="43" t="n">
        <v>0</v>
      </c>
      <c r="T20" s="46" t="n">
        <v>0</v>
      </c>
      <c r="U20" s="47" t="n">
        <v>0</v>
      </c>
      <c r="V20" s="40" t="n">
        <v>0</v>
      </c>
      <c r="W20" s="40" t="n">
        <v>0</v>
      </c>
      <c r="X20" s="40" t="n">
        <v>0</v>
      </c>
      <c r="Y20" s="40" t="n">
        <v>0</v>
      </c>
      <c r="Z20" s="40" t="n">
        <v>0</v>
      </c>
      <c r="AA20" s="40" t="n">
        <v>0</v>
      </c>
      <c r="AB20" s="40" t="n">
        <v>0</v>
      </c>
      <c r="AC20" s="40" t="n">
        <v>0</v>
      </c>
      <c r="AD20" s="40" t="n">
        <v>0</v>
      </c>
      <c r="AE20" s="40" t="n">
        <v>0</v>
      </c>
      <c r="AF20" s="40" t="n">
        <v>0</v>
      </c>
      <c r="AG20" s="40" t="n">
        <v>0</v>
      </c>
      <c r="AH20" s="40" t="n">
        <v>0</v>
      </c>
      <c r="AI20" s="40" t="n">
        <v>0</v>
      </c>
      <c r="AJ20" s="40" t="n">
        <v>0</v>
      </c>
      <c r="AK20" s="40" t="n">
        <v>0</v>
      </c>
      <c r="AL20" s="40" t="n">
        <v>0</v>
      </c>
      <c r="AM20" s="40" t="n">
        <v>0</v>
      </c>
      <c r="AN20" s="40" t="n">
        <v>0</v>
      </c>
      <c r="AO20" s="40" t="n">
        <v>0</v>
      </c>
      <c r="AP20" s="40" t="n">
        <v>0</v>
      </c>
      <c r="AQ20" s="40" t="n">
        <v>0</v>
      </c>
      <c r="AR20" s="43" t="n">
        <v>0</v>
      </c>
    </row>
    <row r="21" s="40" customFormat="true" ht="15" hidden="false" customHeight="false" outlineLevel="0" collapsed="false">
      <c r="A21" s="38" t="s">
        <v>48</v>
      </c>
      <c r="B21" s="39" t="n">
        <v>950</v>
      </c>
      <c r="C21" s="40" t="n">
        <v>950</v>
      </c>
      <c r="D21" s="40" t="n">
        <v>0</v>
      </c>
      <c r="E21" s="41" t="n">
        <v>0</v>
      </c>
      <c r="F21" s="39" t="n">
        <v>0</v>
      </c>
      <c r="G21" s="33" t="n">
        <v>0</v>
      </c>
      <c r="H21" s="33" t="n">
        <v>0</v>
      </c>
      <c r="I21" s="33" t="n">
        <v>0</v>
      </c>
      <c r="J21" s="42" t="n">
        <v>0</v>
      </c>
      <c r="K21" s="40" t="n">
        <v>0</v>
      </c>
      <c r="L21" s="43" t="n">
        <v>0</v>
      </c>
      <c r="M21" s="44" t="n">
        <v>100</v>
      </c>
      <c r="N21" s="45" t="n">
        <v>0</v>
      </c>
      <c r="O21" s="39"/>
      <c r="Q21" s="43" t="n">
        <v>0</v>
      </c>
      <c r="R21" s="39" t="n">
        <v>0</v>
      </c>
      <c r="S21" s="43" t="n">
        <v>0</v>
      </c>
      <c r="T21" s="46" t="n">
        <v>0</v>
      </c>
      <c r="U21" s="47" t="n">
        <v>0</v>
      </c>
      <c r="V21" s="40" t="n">
        <v>0</v>
      </c>
      <c r="W21" s="40" t="n">
        <v>0</v>
      </c>
      <c r="X21" s="40" t="n">
        <v>0</v>
      </c>
      <c r="Y21" s="40" t="n">
        <v>0</v>
      </c>
      <c r="Z21" s="40" t="n">
        <v>0</v>
      </c>
      <c r="AA21" s="40" t="n">
        <v>0</v>
      </c>
      <c r="AB21" s="40" t="n">
        <v>0</v>
      </c>
      <c r="AC21" s="40" t="n">
        <v>0</v>
      </c>
      <c r="AD21" s="40" t="n">
        <v>0</v>
      </c>
      <c r="AE21" s="40" t="n">
        <v>0</v>
      </c>
      <c r="AF21" s="40" t="n">
        <v>0</v>
      </c>
      <c r="AG21" s="40" t="n">
        <v>0</v>
      </c>
      <c r="AH21" s="40" t="n">
        <v>0</v>
      </c>
      <c r="AI21" s="40" t="n">
        <v>0</v>
      </c>
      <c r="AJ21" s="40" t="n">
        <v>0</v>
      </c>
      <c r="AK21" s="40" t="n">
        <v>0</v>
      </c>
      <c r="AL21" s="40" t="n">
        <v>0</v>
      </c>
      <c r="AM21" s="40" t="n">
        <v>0</v>
      </c>
      <c r="AN21" s="40" t="n">
        <v>0</v>
      </c>
      <c r="AO21" s="40" t="n">
        <v>0</v>
      </c>
      <c r="AP21" s="40" t="n">
        <v>0</v>
      </c>
      <c r="AQ21" s="40" t="n">
        <v>0</v>
      </c>
      <c r="AR21" s="43" t="n">
        <v>0</v>
      </c>
    </row>
    <row r="22" s="40" customFormat="true" ht="15" hidden="false" customHeight="false" outlineLevel="0" collapsed="false">
      <c r="A22" s="38" t="s">
        <v>49</v>
      </c>
      <c r="B22" s="39" t="n">
        <v>11900</v>
      </c>
      <c r="C22" s="40" t="n">
        <v>900000</v>
      </c>
      <c r="D22" s="40" t="n">
        <v>500000</v>
      </c>
      <c r="E22" s="41" t="n">
        <v>500000</v>
      </c>
      <c r="F22" s="39" t="n">
        <v>0</v>
      </c>
      <c r="G22" s="33" t="n">
        <v>0</v>
      </c>
      <c r="H22" s="33" t="n">
        <v>0</v>
      </c>
      <c r="I22" s="33" t="n">
        <v>0</v>
      </c>
      <c r="J22" s="42" t="n">
        <v>0</v>
      </c>
      <c r="K22" s="40" t="n">
        <v>0</v>
      </c>
      <c r="L22" s="43" t="n">
        <v>0</v>
      </c>
      <c r="M22" s="44" t="n">
        <v>0.083</v>
      </c>
      <c r="N22" s="45" t="n">
        <v>0</v>
      </c>
      <c r="O22" s="39"/>
      <c r="Q22" s="43" t="n">
        <v>0</v>
      </c>
      <c r="R22" s="39" t="n">
        <v>0</v>
      </c>
      <c r="S22" s="43" t="n">
        <v>0</v>
      </c>
      <c r="T22" s="46" t="n">
        <v>0</v>
      </c>
      <c r="U22" s="47" t="n">
        <v>0</v>
      </c>
      <c r="V22" s="40" t="n">
        <v>0</v>
      </c>
      <c r="W22" s="40" t="n">
        <v>0</v>
      </c>
      <c r="X22" s="40" t="n">
        <v>0</v>
      </c>
      <c r="Y22" s="40" t="n">
        <v>0</v>
      </c>
      <c r="Z22" s="40" t="n">
        <v>0</v>
      </c>
      <c r="AA22" s="40" t="n">
        <v>0</v>
      </c>
      <c r="AB22" s="40" t="n">
        <v>0</v>
      </c>
      <c r="AC22" s="40" t="n">
        <v>0</v>
      </c>
      <c r="AD22" s="40" t="n">
        <v>0</v>
      </c>
      <c r="AE22" s="40" t="n">
        <v>0</v>
      </c>
      <c r="AF22" s="40" t="n">
        <v>0</v>
      </c>
      <c r="AG22" s="40" t="n">
        <v>0</v>
      </c>
      <c r="AH22" s="40" t="n">
        <v>0</v>
      </c>
      <c r="AI22" s="40" t="n">
        <v>0</v>
      </c>
      <c r="AJ22" s="40" t="n">
        <v>0</v>
      </c>
      <c r="AK22" s="40" t="n">
        <v>0</v>
      </c>
      <c r="AL22" s="40" t="n">
        <v>0</v>
      </c>
      <c r="AM22" s="40" t="n">
        <v>0</v>
      </c>
      <c r="AN22" s="40" t="n">
        <v>0</v>
      </c>
      <c r="AO22" s="40" t="n">
        <v>0</v>
      </c>
      <c r="AP22" s="40" t="n">
        <v>0</v>
      </c>
      <c r="AQ22" s="40" t="n">
        <v>0</v>
      </c>
      <c r="AR22" s="43" t="n">
        <v>0</v>
      </c>
    </row>
    <row r="23" s="40" customFormat="true" ht="15" hidden="false" customHeight="false" outlineLevel="0" collapsed="false">
      <c r="A23" s="38" t="s">
        <v>50</v>
      </c>
      <c r="B23" s="39" t="n">
        <v>0</v>
      </c>
      <c r="C23" s="40" t="n">
        <v>0</v>
      </c>
      <c r="D23" s="40" t="n">
        <v>4.5</v>
      </c>
      <c r="E23" s="41" t="n">
        <v>0</v>
      </c>
      <c r="F23" s="39" t="n">
        <v>0</v>
      </c>
      <c r="G23" s="33" t="n">
        <v>0</v>
      </c>
      <c r="H23" s="33" t="n">
        <v>0</v>
      </c>
      <c r="I23" s="33" t="n">
        <v>0</v>
      </c>
      <c r="J23" s="42" t="n">
        <v>0</v>
      </c>
      <c r="K23" s="40" t="n">
        <v>0</v>
      </c>
      <c r="L23" s="43" t="n">
        <v>0</v>
      </c>
      <c r="M23" s="44" t="n">
        <v>3320</v>
      </c>
      <c r="N23" s="45" t="n">
        <v>0</v>
      </c>
      <c r="O23" s="39"/>
      <c r="Q23" s="43" t="n">
        <v>0.005</v>
      </c>
      <c r="R23" s="39" t="n">
        <v>0.011</v>
      </c>
      <c r="S23" s="43" t="n">
        <v>0.0471</v>
      </c>
      <c r="T23" s="46" t="n">
        <v>12.0529021132057</v>
      </c>
      <c r="U23" s="47" t="n">
        <v>-286.283980424645</v>
      </c>
      <c r="V23" s="40" t="n">
        <v>145</v>
      </c>
      <c r="W23" s="40" t="n">
        <v>239</v>
      </c>
      <c r="X23" s="40" t="n">
        <v>200</v>
      </c>
      <c r="Y23" s="40" t="n">
        <v>230</v>
      </c>
      <c r="Z23" s="40" t="n">
        <v>230</v>
      </c>
      <c r="AA23" s="40" t="n">
        <v>215</v>
      </c>
      <c r="AB23" s="40" t="n">
        <v>335</v>
      </c>
      <c r="AC23" s="40" t="n">
        <v>345</v>
      </c>
      <c r="AD23" s="40" t="n">
        <v>335</v>
      </c>
      <c r="AE23" s="40" t="n">
        <v>370</v>
      </c>
      <c r="AF23" s="40" t="n">
        <v>395</v>
      </c>
      <c r="AG23" s="40" t="n">
        <v>490</v>
      </c>
      <c r="AH23" s="40" t="n">
        <v>570</v>
      </c>
      <c r="AI23" s="40" t="n">
        <v>533</v>
      </c>
      <c r="AJ23" s="40" t="n">
        <v>530</v>
      </c>
      <c r="AK23" s="40" t="n">
        <v>466</v>
      </c>
      <c r="AL23" s="40" t="n">
        <v>479</v>
      </c>
      <c r="AM23" s="40" t="n">
        <v>522</v>
      </c>
      <c r="AN23" s="40" t="n">
        <v>622</v>
      </c>
      <c r="AO23" s="40" t="n">
        <v>629</v>
      </c>
      <c r="AP23" s="40" t="n">
        <v>564</v>
      </c>
      <c r="AQ23" s="40" t="n">
        <v>369</v>
      </c>
      <c r="AR23" s="43" t="n">
        <v>155</v>
      </c>
    </row>
    <row r="24" s="40" customFormat="true" ht="15" hidden="false" customHeight="false" outlineLevel="0" collapsed="false">
      <c r="A24" s="38" t="s">
        <v>51</v>
      </c>
      <c r="B24" s="39" t="n">
        <v>22000</v>
      </c>
      <c r="C24" s="40" t="n">
        <v>0</v>
      </c>
      <c r="D24" s="40" t="n">
        <f aca="false">E24/4</f>
        <v>162500</v>
      </c>
      <c r="E24" s="41" t="n">
        <v>650000</v>
      </c>
      <c r="F24" s="39" t="n">
        <v>0</v>
      </c>
      <c r="G24" s="33" t="n">
        <v>0</v>
      </c>
      <c r="H24" s="33" t="n">
        <v>0</v>
      </c>
      <c r="I24" s="33" t="n">
        <v>0</v>
      </c>
      <c r="J24" s="42" t="n">
        <v>0</v>
      </c>
      <c r="K24" s="40" t="n">
        <v>29683</v>
      </c>
      <c r="L24" s="43" t="n">
        <v>435</v>
      </c>
      <c r="M24" s="44" t="n">
        <v>25</v>
      </c>
      <c r="N24" s="45" t="n">
        <v>9.4</v>
      </c>
      <c r="O24" s="39" t="n">
        <v>0.52</v>
      </c>
      <c r="P24" s="40" t="n">
        <v>0.9</v>
      </c>
      <c r="Q24" s="43" t="n">
        <f aca="false">(O24+P24)/2</f>
        <v>0.71</v>
      </c>
      <c r="R24" s="39" t="n">
        <v>160000</v>
      </c>
      <c r="S24" s="43" t="n">
        <v>800000</v>
      </c>
      <c r="T24" s="46" t="n">
        <v>80787194.1649799</v>
      </c>
      <c r="U24" s="47" t="n">
        <v>-2777690174.63939</v>
      </c>
      <c r="V24" s="40" t="n">
        <v>1000000000</v>
      </c>
      <c r="W24" s="40" t="n">
        <v>999928230</v>
      </c>
      <c r="X24" s="40" t="n">
        <v>1019944840</v>
      </c>
      <c r="Y24" s="40" t="n">
        <v>1039927180</v>
      </c>
      <c r="Z24" s="40" t="n">
        <v>1019893920</v>
      </c>
      <c r="AA24" s="40" t="n">
        <v>993844440</v>
      </c>
      <c r="AB24" s="40" t="n">
        <v>1059821110</v>
      </c>
      <c r="AC24" s="40" t="n">
        <v>1059791350</v>
      </c>
      <c r="AD24" s="40" t="n">
        <v>1079735210</v>
      </c>
      <c r="AE24" s="40" t="n">
        <v>1159623830</v>
      </c>
      <c r="AF24" s="40" t="n">
        <v>1339511300</v>
      </c>
      <c r="AG24" s="40" t="n">
        <v>1539358150</v>
      </c>
      <c r="AH24" s="40" t="n">
        <v>1799023770</v>
      </c>
      <c r="AI24" s="40" t="n">
        <v>1998410780</v>
      </c>
      <c r="AJ24" s="40" t="n">
        <v>2217726110</v>
      </c>
      <c r="AK24" s="40" t="n">
        <v>2236160950</v>
      </c>
      <c r="AL24" s="40" t="n">
        <v>2584196110</v>
      </c>
      <c r="AM24" s="40" t="n">
        <v>2933714900</v>
      </c>
      <c r="AN24" s="40" t="n">
        <v>2922833710</v>
      </c>
      <c r="AO24" s="40" t="n">
        <v>3102160850</v>
      </c>
      <c r="AP24" s="40" t="n">
        <v>3408008320</v>
      </c>
      <c r="AQ24" s="40" t="n">
        <v>3663619920</v>
      </c>
      <c r="AR24" s="43" t="n">
        <v>3568372660</v>
      </c>
    </row>
    <row r="25" s="40" customFormat="true" ht="15" hidden="false" customHeight="false" outlineLevel="0" collapsed="false">
      <c r="A25" s="38" t="s">
        <v>52</v>
      </c>
      <c r="B25" s="39" t="n">
        <v>0</v>
      </c>
      <c r="C25" s="40" t="n">
        <v>0</v>
      </c>
      <c r="D25" s="40" t="n">
        <v>0</v>
      </c>
      <c r="E25" s="41" t="n">
        <v>220000</v>
      </c>
      <c r="F25" s="39" t="n">
        <v>0</v>
      </c>
      <c r="G25" s="33" t="n">
        <v>0</v>
      </c>
      <c r="H25" s="33" t="n">
        <v>0</v>
      </c>
      <c r="I25" s="33" t="n">
        <v>0</v>
      </c>
      <c r="J25" s="42" t="n">
        <v>0</v>
      </c>
      <c r="K25" s="40" t="n">
        <v>0</v>
      </c>
      <c r="L25" s="43" t="n">
        <v>0</v>
      </c>
      <c r="M25" s="44" t="n">
        <v>21.5</v>
      </c>
      <c r="N25" s="45" t="n">
        <v>0</v>
      </c>
      <c r="O25" s="39"/>
      <c r="Q25" s="43" t="n">
        <v>0</v>
      </c>
      <c r="R25" s="39" t="n">
        <v>0</v>
      </c>
      <c r="S25" s="43" t="n">
        <v>0</v>
      </c>
      <c r="T25" s="46" t="n">
        <v>0</v>
      </c>
      <c r="U25" s="47" t="n">
        <v>0</v>
      </c>
      <c r="V25" s="40" t="n">
        <v>0</v>
      </c>
      <c r="W25" s="40" t="n">
        <v>0</v>
      </c>
      <c r="X25" s="40" t="n">
        <v>0</v>
      </c>
      <c r="Y25" s="40" t="n">
        <v>0</v>
      </c>
      <c r="Z25" s="40" t="n">
        <v>0</v>
      </c>
      <c r="AA25" s="40" t="n">
        <v>0</v>
      </c>
      <c r="AB25" s="40" t="n">
        <v>0</v>
      </c>
      <c r="AC25" s="40" t="n">
        <v>0</v>
      </c>
      <c r="AD25" s="40" t="n">
        <v>0</v>
      </c>
      <c r="AE25" s="40" t="n">
        <v>0</v>
      </c>
      <c r="AF25" s="40" t="n">
        <v>0</v>
      </c>
      <c r="AG25" s="40" t="n">
        <v>0</v>
      </c>
      <c r="AH25" s="40" t="n">
        <v>0</v>
      </c>
      <c r="AI25" s="40" t="n">
        <v>0</v>
      </c>
      <c r="AJ25" s="40" t="n">
        <v>0</v>
      </c>
      <c r="AK25" s="40" t="n">
        <v>0</v>
      </c>
      <c r="AL25" s="40" t="n">
        <v>0</v>
      </c>
      <c r="AM25" s="40" t="n">
        <v>0</v>
      </c>
      <c r="AN25" s="40" t="n">
        <v>0</v>
      </c>
      <c r="AO25" s="40" t="n">
        <v>0</v>
      </c>
      <c r="AP25" s="40" t="n">
        <v>0</v>
      </c>
      <c r="AQ25" s="40" t="n">
        <v>0</v>
      </c>
      <c r="AR25" s="43" t="n">
        <v>0</v>
      </c>
    </row>
    <row r="26" s="40" customFormat="true" ht="15" hidden="false" customHeight="false" outlineLevel="0" collapsed="false">
      <c r="A26" s="38" t="s">
        <v>53</v>
      </c>
      <c r="B26" s="39" t="n">
        <v>0</v>
      </c>
      <c r="C26" s="40" t="n">
        <v>0</v>
      </c>
      <c r="D26" s="40" t="n">
        <v>0</v>
      </c>
      <c r="E26" s="41" t="n">
        <v>0</v>
      </c>
      <c r="F26" s="39" t="n">
        <v>0</v>
      </c>
      <c r="G26" s="33" t="n">
        <v>0</v>
      </c>
      <c r="H26" s="33" t="n">
        <v>0</v>
      </c>
      <c r="I26" s="33" t="n">
        <v>0</v>
      </c>
      <c r="J26" s="42" t="n">
        <v>0</v>
      </c>
      <c r="K26" s="40" t="n">
        <v>7500</v>
      </c>
      <c r="L26" s="43" t="n">
        <v>0</v>
      </c>
      <c r="M26" s="44" t="n">
        <v>3</v>
      </c>
      <c r="N26" s="45" t="n">
        <v>0</v>
      </c>
      <c r="O26" s="39"/>
      <c r="Q26" s="43" t="n">
        <v>0</v>
      </c>
      <c r="R26" s="39" t="n">
        <v>0</v>
      </c>
      <c r="S26" s="43" t="n">
        <v>0</v>
      </c>
      <c r="T26" s="46" t="n">
        <v>0</v>
      </c>
      <c r="U26" s="47" t="n">
        <v>0</v>
      </c>
      <c r="V26" s="40" t="n">
        <v>0</v>
      </c>
      <c r="W26" s="40" t="n">
        <v>0</v>
      </c>
      <c r="X26" s="40" t="n">
        <v>0</v>
      </c>
      <c r="Y26" s="40" t="n">
        <v>0</v>
      </c>
      <c r="Z26" s="40" t="n">
        <v>0</v>
      </c>
      <c r="AA26" s="40" t="n">
        <v>0</v>
      </c>
      <c r="AB26" s="40" t="n">
        <v>0</v>
      </c>
      <c r="AC26" s="40" t="n">
        <v>0</v>
      </c>
      <c r="AD26" s="40" t="n">
        <v>0</v>
      </c>
      <c r="AE26" s="40" t="n">
        <v>0</v>
      </c>
      <c r="AF26" s="40" t="n">
        <v>0</v>
      </c>
      <c r="AG26" s="40" t="n">
        <v>0</v>
      </c>
      <c r="AH26" s="40" t="n">
        <v>0</v>
      </c>
      <c r="AI26" s="40" t="n">
        <v>0</v>
      </c>
      <c r="AJ26" s="40" t="n">
        <v>0</v>
      </c>
      <c r="AK26" s="40" t="n">
        <v>0</v>
      </c>
      <c r="AL26" s="40" t="n">
        <v>0</v>
      </c>
      <c r="AM26" s="40" t="n">
        <v>0</v>
      </c>
      <c r="AN26" s="40" t="n">
        <v>0</v>
      </c>
      <c r="AO26" s="40" t="n">
        <v>0</v>
      </c>
      <c r="AP26" s="40" t="n">
        <v>0</v>
      </c>
      <c r="AQ26" s="40" t="n">
        <v>0</v>
      </c>
      <c r="AR26" s="43" t="n">
        <v>0</v>
      </c>
    </row>
    <row r="27" s="40" customFormat="true" ht="15" hidden="false" customHeight="false" outlineLevel="0" collapsed="false">
      <c r="A27" s="38" t="s">
        <v>54</v>
      </c>
      <c r="B27" s="39" t="n">
        <v>0</v>
      </c>
      <c r="C27" s="40" t="n">
        <v>0</v>
      </c>
      <c r="D27" s="40" t="n">
        <v>0</v>
      </c>
      <c r="E27" s="41" t="n">
        <v>11000</v>
      </c>
      <c r="F27" s="39" t="n">
        <v>0.351210909090909</v>
      </c>
      <c r="G27" s="33" t="n">
        <v>0</v>
      </c>
      <c r="H27" s="33" t="n">
        <v>0.527482121212121</v>
      </c>
      <c r="I27" s="33" t="n">
        <v>0.670550454545455</v>
      </c>
      <c r="J27" s="42" t="n">
        <v>0.67055803030303</v>
      </c>
      <c r="K27" s="40" t="n">
        <v>0</v>
      </c>
      <c r="L27" s="43" t="n">
        <v>0</v>
      </c>
      <c r="M27" s="44" t="n">
        <v>5.3</v>
      </c>
      <c r="N27" s="45" t="n">
        <v>0</v>
      </c>
      <c r="O27" s="39"/>
      <c r="Q27" s="43" t="n">
        <v>0</v>
      </c>
      <c r="R27" s="39" t="n">
        <v>0</v>
      </c>
      <c r="S27" s="43" t="n">
        <v>0</v>
      </c>
      <c r="T27" s="46" t="n">
        <v>0</v>
      </c>
      <c r="U27" s="47" t="n">
        <v>0</v>
      </c>
      <c r="V27" s="40" t="n">
        <v>0</v>
      </c>
      <c r="W27" s="40" t="n">
        <v>0</v>
      </c>
      <c r="X27" s="40" t="n">
        <v>0</v>
      </c>
      <c r="Y27" s="40" t="n">
        <v>0</v>
      </c>
      <c r="Z27" s="40" t="n">
        <v>0</v>
      </c>
      <c r="AA27" s="40" t="n">
        <v>0</v>
      </c>
      <c r="AB27" s="40" t="n">
        <v>0</v>
      </c>
      <c r="AC27" s="40" t="n">
        <v>0</v>
      </c>
      <c r="AD27" s="40" t="n">
        <v>0</v>
      </c>
      <c r="AE27" s="40" t="n">
        <v>0</v>
      </c>
      <c r="AF27" s="40" t="n">
        <v>0</v>
      </c>
      <c r="AG27" s="40" t="n">
        <v>0</v>
      </c>
      <c r="AH27" s="40" t="n">
        <v>0</v>
      </c>
      <c r="AI27" s="40" t="n">
        <v>0</v>
      </c>
      <c r="AJ27" s="40" t="n">
        <v>0</v>
      </c>
      <c r="AK27" s="40" t="n">
        <v>0</v>
      </c>
      <c r="AL27" s="40" t="n">
        <v>0</v>
      </c>
      <c r="AM27" s="40" t="n">
        <v>0</v>
      </c>
      <c r="AN27" s="40" t="n">
        <v>0</v>
      </c>
      <c r="AO27" s="40" t="n">
        <v>0</v>
      </c>
      <c r="AP27" s="40" t="n">
        <v>0</v>
      </c>
      <c r="AQ27" s="40" t="n">
        <v>0</v>
      </c>
      <c r="AR27" s="43" t="n">
        <v>0</v>
      </c>
    </row>
    <row r="28" s="40" customFormat="true" ht="15" hidden="false" customHeight="false" outlineLevel="0" collapsed="false">
      <c r="A28" s="38" t="s">
        <v>55</v>
      </c>
      <c r="B28" s="39" t="n">
        <v>0</v>
      </c>
      <c r="C28" s="40" t="n">
        <v>0</v>
      </c>
      <c r="D28" s="40" t="n">
        <v>0</v>
      </c>
      <c r="E28" s="41" t="n">
        <v>170000</v>
      </c>
      <c r="F28" s="39" t="n">
        <v>0</v>
      </c>
      <c r="G28" s="33" t="n">
        <v>0</v>
      </c>
      <c r="H28" s="33" t="n">
        <v>0</v>
      </c>
      <c r="I28" s="33" t="n">
        <v>0</v>
      </c>
      <c r="J28" s="42" t="n">
        <v>0</v>
      </c>
      <c r="K28" s="40" t="n">
        <v>0</v>
      </c>
      <c r="L28" s="43" t="n">
        <v>0</v>
      </c>
      <c r="M28" s="44" t="n">
        <v>0.85</v>
      </c>
      <c r="N28" s="45" t="n">
        <v>0</v>
      </c>
      <c r="O28" s="39"/>
      <c r="Q28" s="43" t="n">
        <v>0</v>
      </c>
      <c r="R28" s="39" t="n">
        <v>0</v>
      </c>
      <c r="S28" s="43" t="n">
        <v>0</v>
      </c>
      <c r="T28" s="46" t="n">
        <v>0</v>
      </c>
      <c r="U28" s="47" t="n">
        <v>0</v>
      </c>
      <c r="V28" s="40" t="n">
        <v>0</v>
      </c>
      <c r="W28" s="40" t="n">
        <v>0</v>
      </c>
      <c r="X28" s="40" t="n">
        <v>0</v>
      </c>
      <c r="Y28" s="40" t="n">
        <v>0</v>
      </c>
      <c r="Z28" s="40" t="n">
        <v>0</v>
      </c>
      <c r="AA28" s="40" t="n">
        <v>0</v>
      </c>
      <c r="AB28" s="40" t="n">
        <v>0</v>
      </c>
      <c r="AC28" s="40" t="n">
        <v>0</v>
      </c>
      <c r="AD28" s="40" t="n">
        <v>0</v>
      </c>
      <c r="AE28" s="40" t="n">
        <v>0</v>
      </c>
      <c r="AF28" s="40" t="n">
        <v>0</v>
      </c>
      <c r="AG28" s="40" t="n">
        <v>0</v>
      </c>
      <c r="AH28" s="40" t="n">
        <v>0</v>
      </c>
      <c r="AI28" s="40" t="n">
        <v>0</v>
      </c>
      <c r="AJ28" s="40" t="n">
        <v>0</v>
      </c>
      <c r="AK28" s="40" t="n">
        <v>0</v>
      </c>
      <c r="AL28" s="40" t="n">
        <v>0</v>
      </c>
      <c r="AM28" s="40" t="n">
        <v>0</v>
      </c>
      <c r="AN28" s="40" t="n">
        <v>0</v>
      </c>
      <c r="AO28" s="40" t="n">
        <v>0</v>
      </c>
      <c r="AP28" s="40" t="n">
        <v>0</v>
      </c>
      <c r="AQ28" s="40" t="n">
        <v>0</v>
      </c>
      <c r="AR28" s="43" t="n">
        <v>0</v>
      </c>
    </row>
    <row r="29" s="40" customFormat="true" ht="15" hidden="false" customHeight="false" outlineLevel="0" collapsed="false">
      <c r="A29" s="38" t="s">
        <v>56</v>
      </c>
      <c r="B29" s="39" t="n">
        <v>0</v>
      </c>
      <c r="C29" s="40" t="n">
        <v>0</v>
      </c>
      <c r="D29" s="40" t="n">
        <v>0</v>
      </c>
      <c r="E29" s="41" t="n">
        <v>0</v>
      </c>
      <c r="F29" s="39" t="n">
        <v>0.142816363636364</v>
      </c>
      <c r="G29" s="42" t="n">
        <v>0.100353484848485</v>
      </c>
      <c r="H29" s="42" t="n">
        <v>0.126946363636364</v>
      </c>
      <c r="I29" s="42" t="n">
        <v>0.113552878787879</v>
      </c>
      <c r="J29" s="42" t="n">
        <v>0.103710303030303</v>
      </c>
      <c r="K29" s="40" t="n">
        <v>0</v>
      </c>
      <c r="L29" s="43" t="n">
        <v>0</v>
      </c>
      <c r="M29" s="44" t="n">
        <v>853</v>
      </c>
      <c r="N29" s="45" t="n">
        <v>0</v>
      </c>
      <c r="O29" s="39"/>
      <c r="Q29" s="43" t="n">
        <v>0.005</v>
      </c>
      <c r="R29" s="39" t="n">
        <v>13.5</v>
      </c>
      <c r="S29" s="43" t="n">
        <v>39.5</v>
      </c>
      <c r="T29" s="46" t="n">
        <v>804.077483788764</v>
      </c>
      <c r="U29" s="47" t="n">
        <v>-25209.405062563</v>
      </c>
      <c r="V29" s="40" t="n">
        <v>6100</v>
      </c>
      <c r="W29" s="40" t="n">
        <v>6300</v>
      </c>
      <c r="X29" s="40" t="n">
        <v>11000</v>
      </c>
      <c r="Y29" s="40" t="n">
        <v>14000</v>
      </c>
      <c r="Z29" s="40" t="n">
        <v>15000</v>
      </c>
      <c r="AA29" s="40" t="n">
        <v>14000</v>
      </c>
      <c r="AB29" s="40" t="n">
        <v>14000</v>
      </c>
      <c r="AC29" s="40" t="n">
        <v>15100</v>
      </c>
      <c r="AD29" s="40" t="n">
        <v>14200</v>
      </c>
      <c r="AE29" s="40" t="n">
        <v>15100</v>
      </c>
      <c r="AF29" s="40" t="n">
        <v>20200</v>
      </c>
      <c r="AG29" s="40" t="n">
        <v>20600</v>
      </c>
      <c r="AH29" s="40" t="n">
        <v>23500</v>
      </c>
      <c r="AI29" s="40" t="n">
        <v>25800</v>
      </c>
      <c r="AJ29" s="40" t="n">
        <v>25400</v>
      </c>
      <c r="AK29" s="40" t="n">
        <v>18800</v>
      </c>
      <c r="AL29" s="40" t="n">
        <v>28100</v>
      </c>
      <c r="AM29" s="40" t="n">
        <v>34100</v>
      </c>
      <c r="AN29" s="40" t="n">
        <v>35000</v>
      </c>
      <c r="AO29" s="40" t="n">
        <v>34000</v>
      </c>
      <c r="AP29" s="40" t="n">
        <v>31700</v>
      </c>
      <c r="AQ29" s="40" t="n">
        <v>31500</v>
      </c>
      <c r="AR29" s="43" t="n">
        <v>35000</v>
      </c>
    </row>
    <row r="30" s="40" customFormat="true" ht="15" hidden="false" customHeight="false" outlineLevel="0" collapsed="false">
      <c r="A30" s="38" t="s">
        <v>57</v>
      </c>
      <c r="B30" s="39" t="n">
        <v>640</v>
      </c>
      <c r="C30" s="40" t="n">
        <v>640</v>
      </c>
      <c r="D30" s="40" t="n">
        <v>0</v>
      </c>
      <c r="E30" s="41" t="n">
        <v>0</v>
      </c>
      <c r="F30" s="39" t="n">
        <v>0</v>
      </c>
      <c r="G30" s="42" t="n">
        <v>0</v>
      </c>
      <c r="H30" s="42" t="n">
        <v>0</v>
      </c>
      <c r="I30" s="42" t="n">
        <v>0</v>
      </c>
      <c r="J30" s="42" t="n">
        <v>0</v>
      </c>
      <c r="K30" s="40" t="n">
        <v>0</v>
      </c>
      <c r="L30" s="43" t="n">
        <v>0</v>
      </c>
      <c r="M30" s="44" t="n">
        <v>100</v>
      </c>
      <c r="N30" s="45" t="n">
        <v>0</v>
      </c>
      <c r="O30" s="39"/>
      <c r="Q30" s="43" t="n">
        <v>0</v>
      </c>
      <c r="R30" s="39" t="n">
        <v>0</v>
      </c>
      <c r="S30" s="43" t="n">
        <v>0</v>
      </c>
      <c r="T30" s="46" t="n">
        <v>0</v>
      </c>
      <c r="U30" s="47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s="40" t="n">
        <v>0</v>
      </c>
      <c r="AH30" s="40" t="n">
        <v>0</v>
      </c>
      <c r="AI30" s="40" t="n">
        <v>0</v>
      </c>
      <c r="AJ30" s="40" t="n">
        <v>0</v>
      </c>
      <c r="AK30" s="40" t="n">
        <v>0</v>
      </c>
      <c r="AL30" s="40" t="n">
        <v>0</v>
      </c>
      <c r="AM30" s="40" t="n">
        <v>0</v>
      </c>
      <c r="AN30" s="40" t="n">
        <v>0</v>
      </c>
      <c r="AO30" s="40" t="n">
        <v>0</v>
      </c>
      <c r="AP30" s="40" t="n">
        <v>0</v>
      </c>
      <c r="AQ30" s="40" t="n">
        <v>0</v>
      </c>
      <c r="AR30" s="43" t="n">
        <v>0</v>
      </c>
    </row>
    <row r="31" s="40" customFormat="true" ht="15" hidden="false" customHeight="false" outlineLevel="0" collapsed="false">
      <c r="A31" s="38" t="s">
        <v>58</v>
      </c>
      <c r="B31" s="39" t="n">
        <v>0</v>
      </c>
      <c r="C31" s="40" t="n">
        <v>0</v>
      </c>
      <c r="D31" s="40" t="n">
        <v>53.5</v>
      </c>
      <c r="E31" s="41" t="n">
        <v>3000</v>
      </c>
      <c r="F31" s="39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3" t="n">
        <v>0</v>
      </c>
      <c r="M31" s="44" t="n">
        <v>220</v>
      </c>
      <c r="N31" s="45" t="n">
        <v>0</v>
      </c>
      <c r="O31" s="39"/>
      <c r="Q31" s="43" t="n">
        <v>0.39</v>
      </c>
      <c r="R31" s="39" t="n">
        <v>2400</v>
      </c>
      <c r="S31" s="43" t="n">
        <v>12000</v>
      </c>
      <c r="T31" s="46" t="n">
        <v>302664.460642363</v>
      </c>
      <c r="U31" s="47" t="n">
        <v>-11844018.973561</v>
      </c>
      <c r="V31" s="40" t="n">
        <v>2460000</v>
      </c>
      <c r="W31" s="40" t="n">
        <v>2640000</v>
      </c>
      <c r="X31" s="40" t="n">
        <v>2639990</v>
      </c>
      <c r="Y31" s="40" t="n">
        <v>3029990</v>
      </c>
      <c r="Z31" s="40" t="n">
        <v>3089990</v>
      </c>
      <c r="AA31" s="40" t="n">
        <v>3089980</v>
      </c>
      <c r="AB31" s="40" t="n">
        <v>3089980</v>
      </c>
      <c r="AC31" s="40" t="n">
        <v>3169980</v>
      </c>
      <c r="AD31" s="40" t="n">
        <v>3319970</v>
      </c>
      <c r="AE31" s="40" t="n">
        <v>3459940</v>
      </c>
      <c r="AF31" s="40" t="n">
        <v>4269920</v>
      </c>
      <c r="AG31" s="40" t="n">
        <v>4209830</v>
      </c>
      <c r="AH31" s="40" t="n">
        <v>4059670</v>
      </c>
      <c r="AI31" s="40" t="n">
        <v>4389210</v>
      </c>
      <c r="AJ31" s="40" t="n">
        <v>5428700</v>
      </c>
      <c r="AK31" s="40" t="n">
        <v>5507890</v>
      </c>
      <c r="AL31" s="40" t="n">
        <v>5756730</v>
      </c>
      <c r="AM31" s="40" t="n">
        <v>5926210</v>
      </c>
      <c r="AN31" s="40" t="n">
        <v>6345590</v>
      </c>
      <c r="AO31" s="40" t="n">
        <v>6905580</v>
      </c>
      <c r="AP31" s="40" t="n">
        <v>8413980</v>
      </c>
      <c r="AQ31" s="40" t="n">
        <v>27692050</v>
      </c>
      <c r="AR31" s="43" t="n">
        <v>27689810</v>
      </c>
    </row>
    <row r="32" s="40" customFormat="true" ht="15" hidden="false" customHeight="false" outlineLevel="0" collapsed="false">
      <c r="A32" s="38" t="s">
        <v>59</v>
      </c>
      <c r="B32" s="39" t="n">
        <v>0</v>
      </c>
      <c r="C32" s="40" t="n">
        <v>0</v>
      </c>
      <c r="D32" s="40" t="n">
        <f aca="false">E32/4</f>
        <v>500</v>
      </c>
      <c r="E32" s="41" t="n">
        <v>2000</v>
      </c>
      <c r="F32" s="39" t="n">
        <v>0.328741515151515</v>
      </c>
      <c r="G32" s="42" t="n">
        <v>0</v>
      </c>
      <c r="H32" s="42" t="n">
        <v>0.207077929292929</v>
      </c>
      <c r="I32" s="42" t="n">
        <v>0.0784563636363636</v>
      </c>
      <c r="J32" s="42" t="n">
        <v>0</v>
      </c>
      <c r="K32" s="40" t="n">
        <v>0</v>
      </c>
      <c r="L32" s="43" t="n">
        <v>0</v>
      </c>
      <c r="M32" s="44" t="n">
        <v>57.6</v>
      </c>
      <c r="N32" s="45" t="n">
        <v>0</v>
      </c>
      <c r="O32" s="39"/>
      <c r="Q32" s="43" t="n">
        <v>0.53</v>
      </c>
      <c r="R32" s="39" t="n">
        <v>570</v>
      </c>
      <c r="S32" s="43" t="n">
        <v>1030</v>
      </c>
      <c r="T32" s="46" t="n">
        <v>343350.035301507</v>
      </c>
      <c r="U32" s="47" t="n">
        <v>-8586601.90070709</v>
      </c>
      <c r="V32" s="40" t="n">
        <v>7190000</v>
      </c>
      <c r="W32" s="40" t="n">
        <v>7579970</v>
      </c>
      <c r="X32" s="40" t="n">
        <v>7729960</v>
      </c>
      <c r="Y32" s="40" t="n">
        <v>7679940</v>
      </c>
      <c r="Z32" s="40" t="n">
        <v>7039890</v>
      </c>
      <c r="AA32" s="40" t="n">
        <v>6989840</v>
      </c>
      <c r="AB32" s="40" t="n">
        <v>7279850</v>
      </c>
      <c r="AC32" s="40" t="n">
        <v>7599810</v>
      </c>
      <c r="AD32" s="40" t="n">
        <v>8099700</v>
      </c>
      <c r="AE32" s="40" t="n">
        <v>8199470</v>
      </c>
      <c r="AF32" s="40" t="n">
        <v>9349300</v>
      </c>
      <c r="AG32" s="40" t="n">
        <v>10499090</v>
      </c>
      <c r="AH32" s="40" t="n">
        <v>11898380</v>
      </c>
      <c r="AI32" s="40" t="n">
        <v>12596810</v>
      </c>
      <c r="AJ32" s="40" t="n">
        <v>13294950</v>
      </c>
      <c r="AK32" s="40" t="n">
        <v>10790450</v>
      </c>
      <c r="AL32" s="40" t="n">
        <v>13884820</v>
      </c>
      <c r="AM32" s="40" t="n">
        <v>15983240</v>
      </c>
      <c r="AN32" s="40" t="n">
        <v>15780650</v>
      </c>
      <c r="AO32" s="40" t="n">
        <v>16879270</v>
      </c>
      <c r="AP32" s="40" t="n">
        <v>17767420</v>
      </c>
      <c r="AQ32" s="40" t="n">
        <v>17454820</v>
      </c>
      <c r="AR32" s="43" t="n">
        <v>15941730</v>
      </c>
    </row>
    <row r="33" s="40" customFormat="true" ht="15" hidden="false" customHeight="false" outlineLevel="0" collapsed="false">
      <c r="A33" s="38" t="s">
        <v>60</v>
      </c>
      <c r="B33" s="48" t="n">
        <f aca="false">D33*B13/D13</f>
        <v>36.5384615384615</v>
      </c>
      <c r="C33" s="49" t="n">
        <f aca="false">B33*C13/B13</f>
        <v>115.903129384493</v>
      </c>
      <c r="D33" s="40" t="n">
        <v>100</v>
      </c>
      <c r="E33" s="41" t="n">
        <v>100</v>
      </c>
      <c r="F33" s="39" t="n">
        <v>0</v>
      </c>
      <c r="G33" s="33" t="n">
        <v>0</v>
      </c>
      <c r="H33" s="33" t="n">
        <v>0</v>
      </c>
      <c r="I33" s="33" t="n">
        <v>0</v>
      </c>
      <c r="J33" s="42" t="n">
        <v>0</v>
      </c>
      <c r="K33" s="40" t="n">
        <v>40</v>
      </c>
      <c r="L33" s="43" t="n">
        <v>0</v>
      </c>
      <c r="M33" s="44" t="n">
        <v>2000</v>
      </c>
      <c r="N33" s="45" t="n">
        <v>0</v>
      </c>
      <c r="O33" s="39"/>
      <c r="Q33" s="43" t="n">
        <v>0</v>
      </c>
      <c r="R33" s="39" t="n">
        <v>0</v>
      </c>
      <c r="S33" s="43" t="n">
        <v>0</v>
      </c>
      <c r="T33" s="46" t="n">
        <v>0</v>
      </c>
      <c r="U33" s="47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s="40" t="n">
        <v>0</v>
      </c>
      <c r="AH33" s="40" t="n">
        <v>0</v>
      </c>
      <c r="AI33" s="40" t="n">
        <v>0</v>
      </c>
      <c r="AJ33" s="40" t="n">
        <v>0</v>
      </c>
      <c r="AK33" s="40" t="n">
        <v>0</v>
      </c>
      <c r="AL33" s="40" t="n">
        <v>0</v>
      </c>
      <c r="AM33" s="40" t="n">
        <v>0</v>
      </c>
      <c r="AN33" s="40" t="n">
        <v>0</v>
      </c>
      <c r="AO33" s="40" t="n">
        <v>0</v>
      </c>
      <c r="AP33" s="40" t="n">
        <v>0</v>
      </c>
      <c r="AQ33" s="40" t="n">
        <v>0</v>
      </c>
      <c r="AR33" s="43" t="n">
        <v>0</v>
      </c>
    </row>
    <row r="34" s="40" customFormat="true" ht="15" hidden="false" customHeight="false" outlineLevel="0" collapsed="false">
      <c r="A34" s="38" t="s">
        <v>61</v>
      </c>
      <c r="B34" s="39" t="n">
        <v>0</v>
      </c>
      <c r="C34" s="40" t="n">
        <v>0</v>
      </c>
      <c r="D34" s="40" t="n">
        <v>0</v>
      </c>
      <c r="E34" s="41" t="n">
        <v>0</v>
      </c>
      <c r="F34" s="39" t="n">
        <v>0</v>
      </c>
      <c r="G34" s="33" t="n">
        <v>0</v>
      </c>
      <c r="H34" s="33" t="n">
        <v>0</v>
      </c>
      <c r="I34" s="33" t="n">
        <v>0</v>
      </c>
      <c r="J34" s="42" t="n">
        <v>0</v>
      </c>
      <c r="K34" s="40" t="n">
        <v>130000</v>
      </c>
      <c r="L34" s="43" t="n">
        <v>1160</v>
      </c>
      <c r="M34" s="44" t="n">
        <v>0.95</v>
      </c>
      <c r="N34" s="45" t="n">
        <v>0</v>
      </c>
      <c r="O34" s="39"/>
      <c r="Q34" s="43" t="n">
        <v>0</v>
      </c>
      <c r="R34" s="39" t="n">
        <v>0</v>
      </c>
      <c r="S34" s="43" t="n">
        <v>0</v>
      </c>
      <c r="T34" s="46" t="n">
        <v>0</v>
      </c>
      <c r="U34" s="47" t="n">
        <v>0</v>
      </c>
      <c r="V34" s="40" t="n">
        <v>0</v>
      </c>
      <c r="W34" s="40" t="n">
        <v>0</v>
      </c>
      <c r="X34" s="40" t="n">
        <v>0</v>
      </c>
      <c r="Y34" s="40" t="n">
        <v>0</v>
      </c>
      <c r="Z34" s="40" t="n">
        <v>0</v>
      </c>
      <c r="AA34" s="40" t="n">
        <v>0</v>
      </c>
      <c r="AB34" s="40" t="n">
        <v>0</v>
      </c>
      <c r="AC34" s="40" t="n">
        <v>0</v>
      </c>
      <c r="AD34" s="40" t="n">
        <v>0</v>
      </c>
      <c r="AE34" s="40" t="n">
        <v>0</v>
      </c>
      <c r="AF34" s="40" t="n">
        <v>0</v>
      </c>
      <c r="AG34" s="40" t="n">
        <v>0</v>
      </c>
      <c r="AH34" s="40" t="n">
        <v>0</v>
      </c>
      <c r="AI34" s="40" t="n">
        <v>0</v>
      </c>
      <c r="AJ34" s="40" t="n">
        <v>0</v>
      </c>
      <c r="AK34" s="40" t="n">
        <v>0</v>
      </c>
      <c r="AL34" s="40" t="n">
        <v>0</v>
      </c>
      <c r="AM34" s="40" t="n">
        <v>0</v>
      </c>
      <c r="AN34" s="40" t="n">
        <v>0</v>
      </c>
      <c r="AO34" s="40" t="n">
        <v>0</v>
      </c>
      <c r="AP34" s="40" t="n">
        <v>0</v>
      </c>
      <c r="AQ34" s="40" t="n">
        <v>0</v>
      </c>
      <c r="AR34" s="43" t="n">
        <v>0</v>
      </c>
    </row>
    <row r="35" s="40" customFormat="true" ht="15" hidden="false" customHeight="false" outlineLevel="0" collapsed="false">
      <c r="A35" s="38" t="s">
        <v>62</v>
      </c>
      <c r="B35" s="39" t="n">
        <v>0</v>
      </c>
      <c r="C35" s="40" t="n">
        <v>0</v>
      </c>
      <c r="D35" s="40" t="n">
        <f aca="false">E35/4</f>
        <v>50</v>
      </c>
      <c r="E35" s="41" t="n">
        <v>200</v>
      </c>
      <c r="F35" s="39" t="n">
        <v>0</v>
      </c>
      <c r="G35" s="33" t="n">
        <v>0</v>
      </c>
      <c r="H35" s="33" t="n">
        <v>0</v>
      </c>
      <c r="I35" s="33" t="n">
        <v>0</v>
      </c>
      <c r="J35" s="42" t="n">
        <v>0</v>
      </c>
      <c r="K35" s="40" t="n">
        <v>0</v>
      </c>
      <c r="L35" s="43" t="n">
        <v>0</v>
      </c>
      <c r="M35" s="44" t="n">
        <v>378</v>
      </c>
      <c r="N35" s="45" t="n">
        <v>0</v>
      </c>
      <c r="O35" s="39"/>
      <c r="Q35" s="43" t="n">
        <v>0.3</v>
      </c>
      <c r="R35" s="39" t="n">
        <v>11</v>
      </c>
      <c r="S35" s="43" t="n">
        <v>14</v>
      </c>
      <c r="T35" s="46" t="n">
        <v>5023.51086970148</v>
      </c>
      <c r="U35" s="47" t="n">
        <v>-107292.911532271</v>
      </c>
      <c r="V35" s="40" t="n">
        <v>104000</v>
      </c>
      <c r="W35" s="40" t="n">
        <v>126000</v>
      </c>
      <c r="X35" s="40" t="n">
        <v>128000</v>
      </c>
      <c r="Y35" s="40" t="n">
        <v>139990</v>
      </c>
      <c r="Z35" s="40" t="n">
        <v>134990</v>
      </c>
      <c r="AA35" s="40" t="n">
        <v>121980</v>
      </c>
      <c r="AB35" s="40" t="n">
        <v>128980</v>
      </c>
      <c r="AC35" s="40" t="n">
        <v>129980</v>
      </c>
      <c r="AD35" s="40" t="n">
        <v>122970</v>
      </c>
      <c r="AE35" s="40" t="n">
        <v>124950</v>
      </c>
      <c r="AF35" s="40" t="n">
        <v>140930</v>
      </c>
      <c r="AG35" s="40" t="n">
        <v>184910</v>
      </c>
      <c r="AH35" s="40" t="n">
        <v>183840</v>
      </c>
      <c r="AI35" s="40" t="n">
        <v>204680</v>
      </c>
      <c r="AJ35" s="40" t="n">
        <v>217500</v>
      </c>
      <c r="AK35" s="40" t="n">
        <v>220040</v>
      </c>
      <c r="AL35" s="40" t="n">
        <v>240480</v>
      </c>
      <c r="AM35" s="40" t="n">
        <v>262320</v>
      </c>
      <c r="AN35" s="40" t="n">
        <v>257060</v>
      </c>
      <c r="AO35" s="40" t="n">
        <v>255930</v>
      </c>
      <c r="AP35" s="40" t="n">
        <v>277740</v>
      </c>
      <c r="AQ35" s="40" t="n">
        <v>230480</v>
      </c>
      <c r="AR35" s="43" t="n">
        <v>221170</v>
      </c>
    </row>
    <row r="36" s="40" customFormat="true" ht="15" hidden="false" customHeight="false" outlineLevel="0" collapsed="false">
      <c r="A36" s="38" t="s">
        <v>63</v>
      </c>
      <c r="B36" s="39" t="n">
        <v>0</v>
      </c>
      <c r="C36" s="40" t="n">
        <v>0</v>
      </c>
      <c r="D36" s="40" t="n">
        <v>0</v>
      </c>
      <c r="E36" s="41" t="n">
        <v>340000</v>
      </c>
      <c r="F36" s="39" t="n">
        <v>0</v>
      </c>
      <c r="G36" s="33" t="n">
        <v>0</v>
      </c>
      <c r="H36" s="33" t="n">
        <v>0</v>
      </c>
      <c r="I36" s="33" t="n">
        <v>0</v>
      </c>
      <c r="J36" s="42" t="n">
        <v>0</v>
      </c>
      <c r="K36" s="40" t="n">
        <v>0</v>
      </c>
      <c r="L36" s="43" t="n">
        <v>0</v>
      </c>
      <c r="M36" s="44" t="n">
        <v>21.5</v>
      </c>
      <c r="N36" s="45" t="n">
        <v>0</v>
      </c>
      <c r="O36" s="39"/>
      <c r="Q36" s="43" t="n">
        <v>0</v>
      </c>
      <c r="R36" s="39" t="n">
        <v>0</v>
      </c>
      <c r="S36" s="43" t="n">
        <v>0</v>
      </c>
      <c r="T36" s="46" t="n">
        <v>0</v>
      </c>
      <c r="U36" s="47" t="n">
        <v>0</v>
      </c>
      <c r="V36" s="40" t="n">
        <v>0</v>
      </c>
      <c r="W36" s="40" t="n">
        <v>0</v>
      </c>
      <c r="X36" s="40" t="n">
        <v>0</v>
      </c>
      <c r="Y36" s="40" t="n">
        <v>0</v>
      </c>
      <c r="Z36" s="40" t="n">
        <v>0</v>
      </c>
      <c r="AA36" s="40" t="n">
        <v>0</v>
      </c>
      <c r="AB36" s="40" t="n">
        <v>0</v>
      </c>
      <c r="AC36" s="40" t="n">
        <v>0</v>
      </c>
      <c r="AD36" s="40" t="n">
        <v>0</v>
      </c>
      <c r="AE36" s="40" t="n">
        <v>0</v>
      </c>
      <c r="AF36" s="40" t="n">
        <v>0</v>
      </c>
      <c r="AG36" s="40" t="n">
        <v>0</v>
      </c>
      <c r="AH36" s="40" t="n">
        <v>0</v>
      </c>
      <c r="AI36" s="40" t="n">
        <v>0</v>
      </c>
      <c r="AJ36" s="40" t="n">
        <v>0</v>
      </c>
      <c r="AK36" s="40" t="n">
        <v>0</v>
      </c>
      <c r="AL36" s="40" t="n">
        <v>0</v>
      </c>
      <c r="AM36" s="40" t="n">
        <v>0</v>
      </c>
      <c r="AN36" s="40" t="n">
        <v>0</v>
      </c>
      <c r="AO36" s="40" t="n">
        <v>0</v>
      </c>
      <c r="AP36" s="40" t="n">
        <v>0</v>
      </c>
      <c r="AQ36" s="40" t="n">
        <v>0</v>
      </c>
      <c r="AR36" s="43" t="n">
        <v>0</v>
      </c>
    </row>
    <row r="37" s="40" customFormat="true" ht="15" hidden="false" customHeight="false" outlineLevel="0" collapsed="false">
      <c r="A37" s="38" t="s">
        <v>64</v>
      </c>
      <c r="B37" s="39" t="n">
        <v>0</v>
      </c>
      <c r="C37" s="40" t="n">
        <v>0</v>
      </c>
      <c r="D37" s="40" t="n">
        <v>0</v>
      </c>
      <c r="E37" s="41" t="n">
        <v>340000</v>
      </c>
      <c r="F37" s="39" t="n">
        <v>0</v>
      </c>
      <c r="G37" s="33" t="n">
        <v>0</v>
      </c>
      <c r="H37" s="33" t="n">
        <v>0</v>
      </c>
      <c r="I37" s="33" t="n">
        <v>0</v>
      </c>
      <c r="J37" s="42" t="n">
        <v>0</v>
      </c>
      <c r="K37" s="40" t="n">
        <v>0</v>
      </c>
      <c r="L37" s="43" t="n">
        <v>0</v>
      </c>
      <c r="M37" s="44" t="n">
        <v>0</v>
      </c>
      <c r="N37" s="45" t="n">
        <v>0</v>
      </c>
      <c r="O37" s="39"/>
      <c r="Q37" s="43" t="n">
        <v>0</v>
      </c>
      <c r="R37" s="39" t="n">
        <v>0</v>
      </c>
      <c r="S37" s="43" t="n">
        <v>0</v>
      </c>
      <c r="T37" s="46" t="n">
        <v>0</v>
      </c>
      <c r="U37" s="47" t="n">
        <v>0</v>
      </c>
      <c r="V37" s="40" t="n">
        <v>0</v>
      </c>
      <c r="W37" s="40" t="n">
        <v>0</v>
      </c>
      <c r="X37" s="40" t="n">
        <v>0</v>
      </c>
      <c r="Y37" s="40" t="n">
        <v>0</v>
      </c>
      <c r="Z37" s="40" t="n">
        <v>0</v>
      </c>
      <c r="AA37" s="40" t="n">
        <v>0</v>
      </c>
      <c r="AB37" s="40" t="n">
        <v>0</v>
      </c>
      <c r="AC37" s="40" t="n">
        <v>0</v>
      </c>
      <c r="AD37" s="40" t="n">
        <v>0</v>
      </c>
      <c r="AE37" s="40" t="n">
        <v>0</v>
      </c>
      <c r="AF37" s="40" t="n">
        <v>0</v>
      </c>
      <c r="AG37" s="40" t="n">
        <v>0</v>
      </c>
      <c r="AH37" s="40" t="n">
        <v>0</v>
      </c>
      <c r="AI37" s="40" t="n">
        <v>0</v>
      </c>
      <c r="AJ37" s="40" t="n">
        <v>0</v>
      </c>
      <c r="AK37" s="40" t="n">
        <v>0</v>
      </c>
      <c r="AL37" s="40" t="n">
        <v>0</v>
      </c>
      <c r="AM37" s="40" t="n">
        <v>0</v>
      </c>
      <c r="AN37" s="40" t="n">
        <v>0</v>
      </c>
      <c r="AO37" s="40" t="n">
        <v>0</v>
      </c>
      <c r="AP37" s="40" t="n">
        <v>0</v>
      </c>
      <c r="AQ37" s="40" t="n">
        <v>0</v>
      </c>
      <c r="AR37" s="43" t="n">
        <v>0</v>
      </c>
    </row>
    <row r="38" s="40" customFormat="true" ht="15" hidden="false" customHeight="false" outlineLevel="0" collapsed="false">
      <c r="A38" s="38" t="s">
        <v>65</v>
      </c>
      <c r="B38" s="39" t="n">
        <v>61</v>
      </c>
      <c r="C38" s="40" t="n">
        <v>183</v>
      </c>
      <c r="D38" s="40" t="n">
        <v>0</v>
      </c>
      <c r="E38" s="41" t="n">
        <v>0</v>
      </c>
      <c r="F38" s="39" t="n">
        <v>0</v>
      </c>
      <c r="G38" s="33" t="n">
        <v>0</v>
      </c>
      <c r="H38" s="33" t="n">
        <v>0</v>
      </c>
      <c r="I38" s="33" t="n">
        <v>0</v>
      </c>
      <c r="J38" s="42" t="n">
        <v>0</v>
      </c>
      <c r="K38" s="40" t="n">
        <v>0</v>
      </c>
      <c r="L38" s="43" t="n">
        <v>0</v>
      </c>
      <c r="M38" s="44" t="n">
        <v>384.2</v>
      </c>
      <c r="N38" s="45" t="n">
        <v>0</v>
      </c>
      <c r="O38" s="39"/>
      <c r="Q38" s="43" t="n">
        <v>0</v>
      </c>
      <c r="R38" s="50" t="n">
        <v>0</v>
      </c>
      <c r="S38" s="51" t="n">
        <v>0</v>
      </c>
      <c r="T38" s="46" t="n">
        <v>0</v>
      </c>
      <c r="U38" s="47" t="n">
        <v>0</v>
      </c>
      <c r="V38" s="40" t="n">
        <v>0</v>
      </c>
      <c r="W38" s="40" t="n">
        <v>0</v>
      </c>
      <c r="X38" s="40" t="n">
        <v>0</v>
      </c>
      <c r="Y38" s="40" t="n">
        <v>0</v>
      </c>
      <c r="Z38" s="40" t="n">
        <v>0</v>
      </c>
      <c r="AA38" s="40" t="n">
        <v>0</v>
      </c>
      <c r="AB38" s="40" t="n">
        <v>0</v>
      </c>
      <c r="AC38" s="40" t="n">
        <v>0</v>
      </c>
      <c r="AD38" s="40" t="n">
        <v>0</v>
      </c>
      <c r="AE38" s="40" t="n">
        <v>0</v>
      </c>
      <c r="AF38" s="40" t="n">
        <v>0</v>
      </c>
      <c r="AG38" s="40" t="n">
        <v>0</v>
      </c>
      <c r="AH38" s="40" t="n">
        <v>0</v>
      </c>
      <c r="AI38" s="40" t="n">
        <v>0</v>
      </c>
      <c r="AJ38" s="40" t="n">
        <v>0</v>
      </c>
      <c r="AK38" s="40" t="n">
        <v>0</v>
      </c>
      <c r="AL38" s="40" t="n">
        <v>0</v>
      </c>
      <c r="AM38" s="40" t="n">
        <v>0</v>
      </c>
      <c r="AN38" s="40" t="n">
        <v>0</v>
      </c>
      <c r="AO38" s="40" t="n">
        <v>0</v>
      </c>
      <c r="AP38" s="40" t="n">
        <v>0</v>
      </c>
      <c r="AQ38" s="40" t="n">
        <v>0</v>
      </c>
      <c r="AR38" s="43" t="n">
        <v>0</v>
      </c>
    </row>
    <row r="39" s="40" customFormat="true" ht="15" hidden="false" customHeight="false" outlineLevel="0" collapsed="false">
      <c r="A39" s="38" t="s">
        <v>54</v>
      </c>
      <c r="B39" s="39" t="n">
        <v>111</v>
      </c>
      <c r="C39" s="40" t="n">
        <v>111</v>
      </c>
      <c r="D39" s="40" t="n">
        <f aca="false">E39/4</f>
        <v>235</v>
      </c>
      <c r="E39" s="41" t="n">
        <v>940</v>
      </c>
      <c r="F39" s="39" t="n">
        <v>0</v>
      </c>
      <c r="G39" s="42" t="n">
        <v>0</v>
      </c>
      <c r="H39" s="42" t="n">
        <v>0.181</v>
      </c>
      <c r="I39" s="42" t="n">
        <v>0.084</v>
      </c>
      <c r="J39" s="42" t="n">
        <v>0.126</v>
      </c>
      <c r="K39" s="40" t="n">
        <v>0</v>
      </c>
      <c r="L39" s="43" t="n">
        <v>0</v>
      </c>
      <c r="M39" s="44" t="n">
        <v>164</v>
      </c>
      <c r="N39" s="45" t="n">
        <v>0</v>
      </c>
      <c r="O39" s="39" t="n">
        <v>0.57</v>
      </c>
      <c r="P39" s="40" t="n">
        <v>0.63</v>
      </c>
      <c r="Q39" s="43" t="n">
        <f aca="false">(O39+P39)/2</f>
        <v>0.6</v>
      </c>
      <c r="R39" s="39" t="n">
        <v>81</v>
      </c>
      <c r="S39" s="43" t="n">
        <v>130</v>
      </c>
      <c r="T39" s="46" t="n">
        <v>40510.9580421735</v>
      </c>
      <c r="U39" s="47" t="n">
        <v>-772331.361377606</v>
      </c>
      <c r="V39" s="40" t="n">
        <v>906000</v>
      </c>
      <c r="W39" s="40" t="n">
        <v>1039680</v>
      </c>
      <c r="X39" s="40" t="n">
        <v>1079770</v>
      </c>
      <c r="Y39" s="40" t="n">
        <v>1119700</v>
      </c>
      <c r="Z39" s="40" t="n">
        <v>1139590</v>
      </c>
      <c r="AA39" s="40" t="n">
        <v>1119400</v>
      </c>
      <c r="AB39" s="40" t="n">
        <v>1249270</v>
      </c>
      <c r="AC39" s="40" t="n">
        <v>1329150</v>
      </c>
      <c r="AD39" s="40" t="n">
        <v>1338990</v>
      </c>
      <c r="AE39" s="40" t="n">
        <v>1398710</v>
      </c>
      <c r="AF39" s="40" t="n">
        <v>1398340</v>
      </c>
      <c r="AG39" s="40" t="n">
        <v>1487810</v>
      </c>
      <c r="AH39" s="40" t="n">
        <v>1576940</v>
      </c>
      <c r="AI39" s="40" t="n">
        <v>1655660</v>
      </c>
      <c r="AJ39" s="40" t="n">
        <v>1564350</v>
      </c>
      <c r="AK39" s="40" t="n">
        <v>1391710</v>
      </c>
      <c r="AL39" s="40" t="n">
        <v>1578370</v>
      </c>
      <c r="AM39" s="40" t="n">
        <v>1927720</v>
      </c>
      <c r="AN39" s="40" t="n">
        <v>2206300</v>
      </c>
      <c r="AO39" s="40" t="n">
        <v>2614500</v>
      </c>
      <c r="AP39" s="40" t="n">
        <v>2427300</v>
      </c>
      <c r="AQ39" s="40" t="n">
        <v>2249800</v>
      </c>
      <c r="AR39" s="43" t="n">
        <v>2208450</v>
      </c>
    </row>
    <row r="40" s="40" customFormat="true" ht="15" hidden="false" customHeight="false" outlineLevel="0" collapsed="false">
      <c r="A40" s="38" t="s">
        <v>66</v>
      </c>
      <c r="B40" s="39" t="n">
        <v>0</v>
      </c>
      <c r="C40" s="40" t="n">
        <v>0</v>
      </c>
      <c r="D40" s="40" t="n">
        <v>0</v>
      </c>
      <c r="E40" s="41" t="n">
        <v>0</v>
      </c>
      <c r="F40" s="39" t="n">
        <v>0</v>
      </c>
      <c r="G40" s="42" t="n">
        <v>0</v>
      </c>
      <c r="H40" s="42" t="n">
        <v>0</v>
      </c>
      <c r="I40" s="42" t="n">
        <v>0</v>
      </c>
      <c r="J40" s="42" t="n">
        <v>0</v>
      </c>
      <c r="K40" s="40" t="n">
        <v>0</v>
      </c>
      <c r="L40" s="43" t="n">
        <v>0</v>
      </c>
      <c r="M40" s="44" t="n">
        <v>0</v>
      </c>
      <c r="N40" s="45" t="n">
        <v>0</v>
      </c>
      <c r="O40" s="39"/>
      <c r="Q40" s="43" t="n">
        <v>0</v>
      </c>
      <c r="R40" s="39" t="n">
        <v>0</v>
      </c>
      <c r="S40" s="43" t="n">
        <v>0</v>
      </c>
      <c r="T40" s="46" t="n">
        <v>0</v>
      </c>
      <c r="U40" s="47" t="n">
        <v>0</v>
      </c>
      <c r="V40" s="40" t="n">
        <v>0</v>
      </c>
      <c r="W40" s="40" t="n">
        <v>0</v>
      </c>
      <c r="X40" s="40" t="n">
        <v>0</v>
      </c>
      <c r="Y40" s="40" t="n">
        <v>0</v>
      </c>
      <c r="Z40" s="40" t="n">
        <v>0</v>
      </c>
      <c r="AA40" s="40" t="n">
        <v>0</v>
      </c>
      <c r="AB40" s="40" t="n">
        <v>0</v>
      </c>
      <c r="AC40" s="40" t="n">
        <v>0</v>
      </c>
      <c r="AD40" s="40" t="n">
        <v>0</v>
      </c>
      <c r="AE40" s="40" t="n">
        <v>0</v>
      </c>
      <c r="AF40" s="40" t="n">
        <v>0</v>
      </c>
      <c r="AG40" s="40" t="n">
        <v>0</v>
      </c>
      <c r="AH40" s="40" t="n">
        <v>0</v>
      </c>
      <c r="AI40" s="40" t="n">
        <v>0</v>
      </c>
      <c r="AJ40" s="40" t="n">
        <v>0</v>
      </c>
      <c r="AK40" s="40" t="n">
        <v>0</v>
      </c>
      <c r="AL40" s="40" t="n">
        <v>0</v>
      </c>
      <c r="AM40" s="40" t="n">
        <v>0</v>
      </c>
      <c r="AN40" s="40" t="n">
        <v>0</v>
      </c>
      <c r="AO40" s="40" t="n">
        <v>0</v>
      </c>
      <c r="AP40" s="40" t="n">
        <v>0</v>
      </c>
      <c r="AQ40" s="40" t="n">
        <v>0</v>
      </c>
      <c r="AR40" s="43" t="n">
        <v>0</v>
      </c>
    </row>
    <row r="41" s="40" customFormat="true" ht="15" hidden="false" customHeight="false" outlineLevel="0" collapsed="false">
      <c r="A41" s="38" t="s">
        <v>67</v>
      </c>
      <c r="B41" s="39" t="n">
        <v>0</v>
      </c>
      <c r="C41" s="40" t="n">
        <v>0</v>
      </c>
      <c r="D41" s="40" t="n">
        <v>0</v>
      </c>
      <c r="E41" s="41" t="n">
        <v>0</v>
      </c>
      <c r="F41" s="39" t="n">
        <v>0</v>
      </c>
      <c r="G41" s="42" t="n">
        <v>0</v>
      </c>
      <c r="H41" s="42" t="n">
        <v>0</v>
      </c>
      <c r="I41" s="42" t="n">
        <v>0</v>
      </c>
      <c r="J41" s="42" t="n">
        <v>0</v>
      </c>
      <c r="K41" s="40" t="n">
        <v>0</v>
      </c>
      <c r="L41" s="43" t="n">
        <v>0</v>
      </c>
      <c r="M41" s="44" t="n">
        <v>0</v>
      </c>
      <c r="N41" s="45" t="n">
        <v>0</v>
      </c>
      <c r="O41" s="39"/>
      <c r="Q41" s="43" t="n">
        <v>0</v>
      </c>
      <c r="R41" s="39" t="n">
        <v>0</v>
      </c>
      <c r="S41" s="43" t="n">
        <v>0</v>
      </c>
      <c r="T41" s="46" t="n">
        <v>0</v>
      </c>
      <c r="U41" s="47" t="n">
        <v>0</v>
      </c>
      <c r="V41" s="40" t="n">
        <v>0</v>
      </c>
      <c r="W41" s="40" t="n">
        <v>0</v>
      </c>
      <c r="X41" s="40" t="n">
        <v>0</v>
      </c>
      <c r="Y41" s="40" t="n">
        <v>0</v>
      </c>
      <c r="Z41" s="40" t="n">
        <v>0</v>
      </c>
      <c r="AA41" s="40" t="n">
        <v>0</v>
      </c>
      <c r="AB41" s="40" t="n">
        <v>0</v>
      </c>
      <c r="AC41" s="40" t="n">
        <v>0</v>
      </c>
      <c r="AD41" s="40" t="n">
        <v>0</v>
      </c>
      <c r="AE41" s="40" t="n">
        <v>0</v>
      </c>
      <c r="AF41" s="40" t="n">
        <v>0</v>
      </c>
      <c r="AG41" s="40" t="n">
        <v>0</v>
      </c>
      <c r="AH41" s="40" t="n">
        <v>0</v>
      </c>
      <c r="AI41" s="40" t="n">
        <v>0</v>
      </c>
      <c r="AJ41" s="40" t="n">
        <v>0</v>
      </c>
      <c r="AK41" s="40" t="n">
        <v>0</v>
      </c>
      <c r="AL41" s="40" t="n">
        <v>0</v>
      </c>
      <c r="AM41" s="40" t="n">
        <v>0</v>
      </c>
      <c r="AN41" s="40" t="n">
        <v>0</v>
      </c>
      <c r="AO41" s="40" t="n">
        <v>0</v>
      </c>
      <c r="AP41" s="40" t="n">
        <v>0</v>
      </c>
      <c r="AQ41" s="40" t="n">
        <v>0</v>
      </c>
      <c r="AR41" s="43" t="n">
        <v>0</v>
      </c>
    </row>
    <row r="42" s="40" customFormat="true" ht="15" hidden="false" customHeight="false" outlineLevel="0" collapsed="false">
      <c r="A42" s="38" t="s">
        <v>68</v>
      </c>
      <c r="B42" s="39" t="n">
        <v>670</v>
      </c>
      <c r="C42" s="40" t="n">
        <v>670</v>
      </c>
      <c r="D42" s="40" t="n">
        <v>0</v>
      </c>
      <c r="E42" s="41" t="n">
        <v>0</v>
      </c>
      <c r="F42" s="39" t="n">
        <v>0</v>
      </c>
      <c r="G42" s="42" t="n">
        <v>0</v>
      </c>
      <c r="H42" s="42" t="n">
        <v>0</v>
      </c>
      <c r="I42" s="42" t="n">
        <v>0</v>
      </c>
      <c r="J42" s="42" t="n">
        <v>0</v>
      </c>
      <c r="K42" s="40" t="n">
        <v>11</v>
      </c>
      <c r="L42" s="43" t="n">
        <v>0</v>
      </c>
      <c r="M42" s="44" t="n">
        <v>70</v>
      </c>
      <c r="N42" s="45" t="n">
        <v>0</v>
      </c>
      <c r="O42" s="39"/>
      <c r="Q42" s="43" t="n">
        <v>0</v>
      </c>
      <c r="R42" s="39" t="n">
        <v>0</v>
      </c>
      <c r="S42" s="43" t="n">
        <v>0</v>
      </c>
      <c r="T42" s="46" t="n">
        <v>0</v>
      </c>
      <c r="U42" s="47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s="40" t="n">
        <v>0</v>
      </c>
      <c r="AH42" s="40" t="n">
        <v>0</v>
      </c>
      <c r="AI42" s="40" t="n">
        <v>0</v>
      </c>
      <c r="AJ42" s="40" t="n">
        <v>0</v>
      </c>
      <c r="AK42" s="40" t="n">
        <v>0</v>
      </c>
      <c r="AL42" s="40" t="n">
        <v>0</v>
      </c>
      <c r="AM42" s="40" t="n">
        <v>0</v>
      </c>
      <c r="AN42" s="40" t="n">
        <v>0</v>
      </c>
      <c r="AO42" s="40" t="n">
        <v>0</v>
      </c>
      <c r="AP42" s="40" t="n">
        <v>0</v>
      </c>
      <c r="AQ42" s="40" t="n">
        <v>0</v>
      </c>
      <c r="AR42" s="43" t="n">
        <v>0</v>
      </c>
    </row>
    <row r="43" s="40" customFormat="true" ht="15" hidden="false" customHeight="false" outlineLevel="0" collapsed="false">
      <c r="A43" s="38" t="s">
        <v>69</v>
      </c>
      <c r="B43" s="39" t="n">
        <v>0</v>
      </c>
      <c r="C43" s="40" t="n">
        <v>0</v>
      </c>
      <c r="D43" s="40" t="n">
        <v>21.2</v>
      </c>
      <c r="E43" s="41" t="n">
        <v>0</v>
      </c>
      <c r="F43" s="39" t="n">
        <v>0</v>
      </c>
      <c r="G43" s="42" t="n">
        <v>0</v>
      </c>
      <c r="H43" s="42" t="n">
        <v>0</v>
      </c>
      <c r="I43" s="42" t="n">
        <v>0</v>
      </c>
      <c r="J43" s="42" t="n">
        <v>0</v>
      </c>
      <c r="K43" s="40" t="n">
        <v>1390</v>
      </c>
      <c r="L43" s="43" t="n">
        <v>112</v>
      </c>
      <c r="M43" s="44" t="n">
        <v>49</v>
      </c>
      <c r="N43" s="45" t="n">
        <v>10</v>
      </c>
      <c r="O43" s="39" t="n">
        <v>0.52</v>
      </c>
      <c r="P43" s="40" t="n">
        <v>0.95</v>
      </c>
      <c r="Q43" s="43" t="n">
        <f aca="false">(O43+P43)/2</f>
        <v>0.735</v>
      </c>
      <c r="R43" s="39" t="n">
        <v>87</v>
      </c>
      <c r="S43" s="43" t="n">
        <v>2000</v>
      </c>
      <c r="T43" s="46" t="n">
        <v>73765.7666322486</v>
      </c>
      <c r="U43" s="47" t="n">
        <v>-554097.261680839</v>
      </c>
      <c r="V43" s="40" t="n">
        <v>2800000</v>
      </c>
      <c r="W43" s="40" t="n">
        <v>2710000</v>
      </c>
      <c r="X43" s="40" t="n">
        <v>2920000</v>
      </c>
      <c r="Y43" s="40" t="n">
        <v>3010000</v>
      </c>
      <c r="Z43" s="40" t="n">
        <v>3100000</v>
      </c>
      <c r="AA43" s="40" t="n">
        <v>3019990</v>
      </c>
      <c r="AB43" s="40" t="n">
        <v>3099990</v>
      </c>
      <c r="AC43" s="40" t="n">
        <v>3099990</v>
      </c>
      <c r="AD43" s="40" t="n">
        <v>2909990</v>
      </c>
      <c r="AE43" s="40" t="n">
        <v>2949980</v>
      </c>
      <c r="AF43" s="40" t="n">
        <v>3149970</v>
      </c>
      <c r="AG43" s="40" t="n">
        <v>3269960</v>
      </c>
      <c r="AH43" s="40" t="n">
        <v>3469940</v>
      </c>
      <c r="AI43" s="40" t="n">
        <v>3769880</v>
      </c>
      <c r="AJ43" s="40" t="n">
        <v>3839810</v>
      </c>
      <c r="AK43" s="40" t="n">
        <v>3859630</v>
      </c>
      <c r="AL43" s="40" t="n">
        <v>4139410</v>
      </c>
      <c r="AM43" s="40" t="n">
        <v>4699350</v>
      </c>
      <c r="AN43" s="40" t="n">
        <v>5169250</v>
      </c>
      <c r="AO43" s="40" t="n">
        <v>5489190</v>
      </c>
      <c r="AP43" s="40" t="n">
        <v>4868700</v>
      </c>
      <c r="AQ43" s="40" t="n">
        <v>4948180</v>
      </c>
      <c r="AR43" s="43" t="n">
        <v>4817650</v>
      </c>
    </row>
    <row r="44" s="40" customFormat="true" ht="15" hidden="false" customHeight="false" outlineLevel="0" collapsed="false">
      <c r="A44" s="38" t="s">
        <v>70</v>
      </c>
      <c r="B44" s="39" t="n">
        <v>1940</v>
      </c>
      <c r="C44" s="40" t="n">
        <v>9200</v>
      </c>
      <c r="D44" s="40" t="n">
        <v>5760</v>
      </c>
      <c r="E44" s="41" t="n">
        <v>0</v>
      </c>
      <c r="F44" s="39" t="n">
        <v>125</v>
      </c>
      <c r="G44" s="42" t="n">
        <v>0</v>
      </c>
      <c r="H44" s="42" t="n">
        <v>0</v>
      </c>
      <c r="I44" s="42" t="n">
        <v>0</v>
      </c>
      <c r="J44" s="42" t="n">
        <v>0</v>
      </c>
      <c r="K44" s="40" t="n">
        <v>970</v>
      </c>
      <c r="L44" s="43" t="n">
        <v>0</v>
      </c>
      <c r="M44" s="44" t="n">
        <v>80.5</v>
      </c>
      <c r="N44" s="45" t="n">
        <v>0</v>
      </c>
      <c r="O44" s="39"/>
      <c r="Q44" s="43" t="n">
        <v>0</v>
      </c>
      <c r="R44" s="39" t="n">
        <v>0</v>
      </c>
      <c r="S44" s="43" t="n">
        <v>0</v>
      </c>
      <c r="T44" s="46" t="n">
        <v>0</v>
      </c>
      <c r="U44" s="47" t="n">
        <v>0</v>
      </c>
      <c r="V44" s="40" t="n">
        <v>0</v>
      </c>
      <c r="W44" s="40" t="n">
        <v>0</v>
      </c>
      <c r="X44" s="40" t="n">
        <v>0</v>
      </c>
      <c r="Y44" s="40" t="n">
        <v>0</v>
      </c>
      <c r="Z44" s="40" t="n">
        <v>0</v>
      </c>
      <c r="AA44" s="40" t="n">
        <v>0</v>
      </c>
      <c r="AB44" s="40" t="n">
        <v>0</v>
      </c>
      <c r="AC44" s="40" t="n">
        <v>0</v>
      </c>
      <c r="AD44" s="40" t="n">
        <v>0</v>
      </c>
      <c r="AE44" s="40" t="n">
        <v>0</v>
      </c>
      <c r="AF44" s="40" t="n">
        <v>0</v>
      </c>
      <c r="AG44" s="40" t="n">
        <v>0</v>
      </c>
      <c r="AH44" s="40" t="n">
        <v>0</v>
      </c>
      <c r="AI44" s="40" t="n">
        <v>0</v>
      </c>
      <c r="AJ44" s="40" t="n">
        <v>0</v>
      </c>
      <c r="AK44" s="40" t="n">
        <v>0</v>
      </c>
      <c r="AL44" s="40" t="n">
        <v>0</v>
      </c>
      <c r="AM44" s="40" t="n">
        <v>0</v>
      </c>
      <c r="AN44" s="40" t="n">
        <v>0</v>
      </c>
      <c r="AO44" s="40" t="n">
        <v>0</v>
      </c>
      <c r="AP44" s="40" t="n">
        <v>0</v>
      </c>
      <c r="AQ44" s="40" t="n">
        <v>0</v>
      </c>
      <c r="AR44" s="43" t="n">
        <v>0</v>
      </c>
    </row>
    <row r="45" s="40" customFormat="true" ht="15" hidden="false" customHeight="false" outlineLevel="0" collapsed="false">
      <c r="A45" s="52" t="s">
        <v>71</v>
      </c>
      <c r="B45" s="39" t="n">
        <v>0</v>
      </c>
      <c r="C45" s="40" t="n">
        <v>0</v>
      </c>
      <c r="D45" s="40" t="n">
        <v>0</v>
      </c>
      <c r="E45" s="41" t="n">
        <v>500</v>
      </c>
      <c r="F45" s="39" t="n">
        <v>0</v>
      </c>
      <c r="G45" s="42" t="n">
        <v>0</v>
      </c>
      <c r="H45" s="42" t="n">
        <v>0</v>
      </c>
      <c r="I45" s="42" t="n">
        <v>0</v>
      </c>
      <c r="J45" s="42" t="n">
        <v>0</v>
      </c>
      <c r="K45" s="40" t="n">
        <v>190</v>
      </c>
      <c r="L45" s="43" t="n">
        <v>15</v>
      </c>
      <c r="M45" s="44" t="n">
        <v>95.4</v>
      </c>
      <c r="N45" s="45" t="n">
        <v>0</v>
      </c>
      <c r="O45" s="39"/>
      <c r="Q45" s="43" t="n">
        <v>0</v>
      </c>
      <c r="R45" s="39" t="n">
        <v>0</v>
      </c>
      <c r="S45" s="43" t="n">
        <v>0</v>
      </c>
      <c r="T45" s="46" t="n">
        <v>0</v>
      </c>
      <c r="U45" s="47" t="n">
        <v>0</v>
      </c>
      <c r="V45" s="40" t="n">
        <v>0</v>
      </c>
      <c r="W45" s="40" t="n">
        <v>0</v>
      </c>
      <c r="X45" s="40" t="n">
        <v>0</v>
      </c>
      <c r="Y45" s="40" t="n">
        <v>0</v>
      </c>
      <c r="Z45" s="40" t="n">
        <v>0</v>
      </c>
      <c r="AA45" s="40" t="n">
        <v>0</v>
      </c>
      <c r="AB45" s="40" t="n">
        <v>0</v>
      </c>
      <c r="AC45" s="40" t="n">
        <v>0</v>
      </c>
      <c r="AD45" s="40" t="n">
        <v>0</v>
      </c>
      <c r="AE45" s="40" t="n">
        <v>0</v>
      </c>
      <c r="AF45" s="40" t="n">
        <v>0</v>
      </c>
      <c r="AG45" s="40" t="n">
        <v>0</v>
      </c>
      <c r="AH45" s="40" t="n">
        <v>0</v>
      </c>
      <c r="AI45" s="40" t="n">
        <v>0</v>
      </c>
      <c r="AJ45" s="40" t="n">
        <v>0</v>
      </c>
      <c r="AK45" s="40" t="n">
        <v>0</v>
      </c>
      <c r="AL45" s="40" t="n">
        <v>0</v>
      </c>
      <c r="AM45" s="40" t="n">
        <v>0</v>
      </c>
      <c r="AN45" s="40" t="n">
        <v>0</v>
      </c>
      <c r="AO45" s="40" t="n">
        <v>0</v>
      </c>
      <c r="AP45" s="40" t="n">
        <v>0</v>
      </c>
      <c r="AQ45" s="40" t="n">
        <v>0</v>
      </c>
      <c r="AR45" s="43" t="n">
        <v>0</v>
      </c>
    </row>
    <row r="46" s="40" customFormat="true" ht="15" hidden="false" customHeight="false" outlineLevel="0" collapsed="false">
      <c r="A46" s="52" t="s">
        <v>72</v>
      </c>
      <c r="B46" s="39" t="n">
        <v>0</v>
      </c>
      <c r="C46" s="40" t="n">
        <v>0</v>
      </c>
      <c r="D46" s="40" t="n">
        <v>0</v>
      </c>
      <c r="E46" s="53" t="n">
        <v>1300000</v>
      </c>
      <c r="F46" s="39" t="n">
        <v>0</v>
      </c>
      <c r="G46" s="42" t="n">
        <v>0</v>
      </c>
      <c r="H46" s="42" t="n">
        <v>0</v>
      </c>
      <c r="I46" s="42" t="n">
        <v>0</v>
      </c>
      <c r="J46" s="42" t="n">
        <v>0</v>
      </c>
      <c r="K46" s="40" t="n">
        <v>0</v>
      </c>
      <c r="L46" s="43" t="n">
        <v>0</v>
      </c>
      <c r="M46" s="44" t="n">
        <v>1</v>
      </c>
      <c r="N46" s="45" t="n">
        <v>0</v>
      </c>
      <c r="O46" s="39"/>
      <c r="Q46" s="43" t="n">
        <v>0</v>
      </c>
      <c r="R46" s="39" t="n">
        <v>0</v>
      </c>
      <c r="S46" s="43" t="n">
        <v>0</v>
      </c>
      <c r="T46" s="46" t="n">
        <v>0</v>
      </c>
      <c r="U46" s="47" t="n">
        <v>0</v>
      </c>
      <c r="V46" s="40" t="n">
        <v>0</v>
      </c>
      <c r="W46" s="40" t="n">
        <v>0</v>
      </c>
      <c r="X46" s="40" t="n">
        <v>0</v>
      </c>
      <c r="Y46" s="40" t="n">
        <v>0</v>
      </c>
      <c r="Z46" s="40" t="n">
        <v>0</v>
      </c>
      <c r="AA46" s="40" t="n">
        <v>0</v>
      </c>
      <c r="AB46" s="40" t="n">
        <v>0</v>
      </c>
      <c r="AC46" s="40" t="n">
        <v>0</v>
      </c>
      <c r="AD46" s="40" t="n">
        <v>0</v>
      </c>
      <c r="AE46" s="40" t="n">
        <v>0</v>
      </c>
      <c r="AF46" s="40" t="n">
        <v>0</v>
      </c>
      <c r="AG46" s="40" t="n">
        <v>0</v>
      </c>
      <c r="AH46" s="40" t="n">
        <v>0</v>
      </c>
      <c r="AI46" s="40" t="n">
        <v>0</v>
      </c>
      <c r="AJ46" s="40" t="n">
        <v>0</v>
      </c>
      <c r="AK46" s="40" t="n">
        <v>0</v>
      </c>
      <c r="AL46" s="40" t="n">
        <v>0</v>
      </c>
      <c r="AM46" s="40" t="n">
        <v>0</v>
      </c>
      <c r="AN46" s="40" t="n">
        <v>0</v>
      </c>
      <c r="AO46" s="40" t="n">
        <v>0</v>
      </c>
      <c r="AP46" s="40" t="n">
        <v>0</v>
      </c>
      <c r="AQ46" s="40" t="n">
        <v>0</v>
      </c>
      <c r="AR46" s="43" t="n">
        <v>0</v>
      </c>
    </row>
    <row r="47" s="40" customFormat="true" ht="15" hidden="false" customHeight="false" outlineLevel="0" collapsed="false">
      <c r="A47" s="52" t="s">
        <v>73</v>
      </c>
      <c r="B47" s="39" t="n">
        <v>0</v>
      </c>
      <c r="C47" s="40" t="n">
        <v>0</v>
      </c>
      <c r="D47" s="40" t="n">
        <v>0</v>
      </c>
      <c r="E47" s="41" t="n">
        <v>4700</v>
      </c>
      <c r="F47" s="39" t="n">
        <v>0</v>
      </c>
      <c r="G47" s="42" t="n">
        <v>0</v>
      </c>
      <c r="H47" s="42" t="n">
        <v>0</v>
      </c>
      <c r="I47" s="42" t="n">
        <v>0</v>
      </c>
      <c r="J47" s="42" t="n">
        <v>0</v>
      </c>
      <c r="K47" s="40" t="n">
        <v>0</v>
      </c>
      <c r="L47" s="43" t="n">
        <v>0</v>
      </c>
      <c r="M47" s="44" t="n">
        <v>16.6</v>
      </c>
      <c r="N47" s="45" t="n">
        <v>0</v>
      </c>
      <c r="O47" s="39"/>
      <c r="Q47" s="43" t="n">
        <v>0</v>
      </c>
      <c r="R47" s="39" t="n">
        <v>0</v>
      </c>
      <c r="S47" s="43" t="n">
        <v>0</v>
      </c>
      <c r="T47" s="46" t="n">
        <v>0</v>
      </c>
      <c r="U47" s="47" t="n">
        <v>0</v>
      </c>
      <c r="V47" s="40" t="n">
        <v>0</v>
      </c>
      <c r="W47" s="40" t="n">
        <v>0</v>
      </c>
      <c r="X47" s="40" t="n">
        <v>0</v>
      </c>
      <c r="Y47" s="40" t="n">
        <v>0</v>
      </c>
      <c r="Z47" s="40" t="n">
        <v>0</v>
      </c>
      <c r="AA47" s="40" t="n">
        <v>0</v>
      </c>
      <c r="AB47" s="40" t="n">
        <v>0</v>
      </c>
      <c r="AC47" s="40" t="n">
        <v>0</v>
      </c>
      <c r="AD47" s="40" t="n">
        <v>0</v>
      </c>
      <c r="AE47" s="40" t="n">
        <v>0</v>
      </c>
      <c r="AF47" s="40" t="n">
        <v>0</v>
      </c>
      <c r="AG47" s="40" t="n">
        <v>0</v>
      </c>
      <c r="AH47" s="40" t="n">
        <v>0</v>
      </c>
      <c r="AI47" s="40" t="n">
        <v>0</v>
      </c>
      <c r="AJ47" s="40" t="n">
        <v>0</v>
      </c>
      <c r="AK47" s="40" t="n">
        <v>0</v>
      </c>
      <c r="AL47" s="40" t="n">
        <v>0</v>
      </c>
      <c r="AM47" s="40" t="n">
        <v>0</v>
      </c>
      <c r="AN47" s="40" t="n">
        <v>0</v>
      </c>
      <c r="AO47" s="40" t="n">
        <v>0</v>
      </c>
      <c r="AP47" s="40" t="n">
        <v>0</v>
      </c>
      <c r="AQ47" s="40" t="n">
        <v>0</v>
      </c>
      <c r="AR47" s="43" t="n">
        <v>0</v>
      </c>
    </row>
    <row r="48" s="40" customFormat="true" ht="15" hidden="false" customHeight="false" outlineLevel="0" collapsed="false">
      <c r="A48" s="52" t="s">
        <v>74</v>
      </c>
      <c r="B48" s="39" t="n">
        <v>16560</v>
      </c>
      <c r="C48" s="40" t="n">
        <v>16560</v>
      </c>
      <c r="D48" s="40" t="n">
        <v>0</v>
      </c>
      <c r="E48" s="41" t="n">
        <v>1900</v>
      </c>
      <c r="F48" s="39" t="n">
        <v>0</v>
      </c>
      <c r="G48" s="42" t="n">
        <v>0</v>
      </c>
      <c r="H48" s="42" t="n">
        <v>0</v>
      </c>
      <c r="I48" s="42" t="n">
        <v>0</v>
      </c>
      <c r="J48" s="42" t="n">
        <v>0</v>
      </c>
      <c r="K48" s="40" t="n">
        <v>160000</v>
      </c>
      <c r="L48" s="43" t="n">
        <v>0</v>
      </c>
      <c r="M48" s="44" t="n">
        <v>0.081</v>
      </c>
      <c r="N48" s="45" t="n">
        <v>0</v>
      </c>
      <c r="O48" s="39"/>
      <c r="Q48" s="43" t="n">
        <v>0</v>
      </c>
      <c r="R48" s="39" t="n">
        <v>0</v>
      </c>
      <c r="S48" s="43" t="n">
        <v>0</v>
      </c>
      <c r="T48" s="46" t="n">
        <v>0</v>
      </c>
      <c r="U48" s="47" t="n">
        <v>0</v>
      </c>
      <c r="V48" s="40" t="n">
        <v>0</v>
      </c>
      <c r="W48" s="40" t="n">
        <v>0</v>
      </c>
      <c r="X48" s="40" t="n">
        <v>0</v>
      </c>
      <c r="Y48" s="40" t="n">
        <v>0</v>
      </c>
      <c r="Z48" s="40" t="n">
        <v>0</v>
      </c>
      <c r="AA48" s="40" t="n">
        <v>0</v>
      </c>
      <c r="AB48" s="40" t="n">
        <v>0</v>
      </c>
      <c r="AC48" s="40" t="n">
        <v>0</v>
      </c>
      <c r="AD48" s="40" t="n">
        <v>0</v>
      </c>
      <c r="AE48" s="40" t="n">
        <v>0</v>
      </c>
      <c r="AF48" s="40" t="n">
        <v>0</v>
      </c>
      <c r="AG48" s="40" t="n">
        <v>0</v>
      </c>
      <c r="AH48" s="40" t="n">
        <v>0</v>
      </c>
      <c r="AI48" s="40" t="n">
        <v>0</v>
      </c>
      <c r="AJ48" s="40" t="n">
        <v>0</v>
      </c>
      <c r="AK48" s="40" t="n">
        <v>0</v>
      </c>
      <c r="AL48" s="40" t="n">
        <v>0</v>
      </c>
      <c r="AM48" s="40" t="n">
        <v>0</v>
      </c>
      <c r="AN48" s="40" t="n">
        <v>0</v>
      </c>
      <c r="AO48" s="40" t="n">
        <v>0</v>
      </c>
      <c r="AP48" s="40" t="n">
        <v>0</v>
      </c>
      <c r="AQ48" s="40" t="n">
        <v>0</v>
      </c>
      <c r="AR48" s="43" t="n">
        <v>0</v>
      </c>
    </row>
    <row r="49" s="40" customFormat="true" ht="15" hidden="false" customHeight="false" outlineLevel="0" collapsed="false">
      <c r="A49" s="52" t="s">
        <v>75</v>
      </c>
      <c r="B49" s="39" t="n">
        <v>0</v>
      </c>
      <c r="C49" s="40" t="n">
        <v>0</v>
      </c>
      <c r="D49" s="40" t="n">
        <v>0</v>
      </c>
      <c r="E49" s="41" t="n">
        <v>92000</v>
      </c>
      <c r="F49" s="39" t="n">
        <v>0</v>
      </c>
      <c r="G49" s="42" t="n">
        <v>0</v>
      </c>
      <c r="H49" s="42" t="n">
        <v>0</v>
      </c>
      <c r="I49" s="42" t="n">
        <v>0</v>
      </c>
      <c r="J49" s="42" t="n">
        <v>0</v>
      </c>
      <c r="K49" s="40" t="n">
        <v>0</v>
      </c>
      <c r="L49" s="43" t="n">
        <v>0</v>
      </c>
      <c r="M49" s="44" t="n">
        <v>0.1</v>
      </c>
      <c r="N49" s="45" t="n">
        <v>0</v>
      </c>
      <c r="O49" s="39"/>
      <c r="Q49" s="43" t="n">
        <v>0</v>
      </c>
      <c r="R49" s="39" t="n">
        <v>0</v>
      </c>
      <c r="S49" s="43" t="n">
        <v>0</v>
      </c>
      <c r="T49" s="46" t="n">
        <v>0</v>
      </c>
      <c r="U49" s="47" t="n">
        <v>0</v>
      </c>
      <c r="V49" s="40" t="n">
        <v>0</v>
      </c>
      <c r="W49" s="40" t="n">
        <v>0</v>
      </c>
      <c r="X49" s="40" t="n">
        <v>0</v>
      </c>
      <c r="Y49" s="40" t="n">
        <v>0</v>
      </c>
      <c r="Z49" s="40" t="n">
        <v>0</v>
      </c>
      <c r="AA49" s="40" t="n">
        <v>0</v>
      </c>
      <c r="AB49" s="40" t="n">
        <v>0</v>
      </c>
      <c r="AC49" s="40" t="n">
        <v>0</v>
      </c>
      <c r="AD49" s="40" t="n">
        <v>0</v>
      </c>
      <c r="AE49" s="40" t="n">
        <v>0</v>
      </c>
      <c r="AF49" s="40" t="n">
        <v>0</v>
      </c>
      <c r="AG49" s="40" t="n">
        <v>0</v>
      </c>
      <c r="AH49" s="40" t="n">
        <v>0</v>
      </c>
      <c r="AI49" s="40" t="n">
        <v>0</v>
      </c>
      <c r="AJ49" s="40" t="n">
        <v>0</v>
      </c>
      <c r="AK49" s="40" t="n">
        <v>0</v>
      </c>
      <c r="AL49" s="40" t="n">
        <v>0</v>
      </c>
      <c r="AM49" s="40" t="n">
        <v>0</v>
      </c>
      <c r="AN49" s="40" t="n">
        <v>0</v>
      </c>
      <c r="AO49" s="40" t="n">
        <v>0</v>
      </c>
      <c r="AP49" s="40" t="n">
        <v>0</v>
      </c>
      <c r="AQ49" s="40" t="n">
        <v>0</v>
      </c>
      <c r="AR49" s="43" t="n">
        <v>0</v>
      </c>
    </row>
    <row r="50" s="40" customFormat="true" ht="15" hidden="false" customHeight="false" outlineLevel="0" collapsed="false">
      <c r="A50" s="38" t="s">
        <v>76</v>
      </c>
      <c r="B50" s="39" t="n">
        <v>0</v>
      </c>
      <c r="C50" s="40" t="n">
        <v>0</v>
      </c>
      <c r="D50" s="40" t="n">
        <v>3200</v>
      </c>
      <c r="E50" s="41" t="n">
        <v>0</v>
      </c>
      <c r="F50" s="39" t="n">
        <v>0</v>
      </c>
      <c r="G50" s="42" t="n">
        <v>0</v>
      </c>
      <c r="H50" s="42" t="n">
        <v>0</v>
      </c>
      <c r="I50" s="42" t="n">
        <v>0</v>
      </c>
      <c r="J50" s="42" t="n">
        <v>0</v>
      </c>
      <c r="K50" s="40" t="n">
        <v>0</v>
      </c>
      <c r="L50" s="43" t="n">
        <v>0</v>
      </c>
      <c r="M50" s="44" t="n">
        <v>2000</v>
      </c>
      <c r="N50" s="45" t="n">
        <v>0</v>
      </c>
      <c r="O50" s="39"/>
      <c r="Q50" s="43" t="n">
        <v>0</v>
      </c>
      <c r="R50" s="39" t="n">
        <v>0</v>
      </c>
      <c r="S50" s="43" t="n">
        <v>0</v>
      </c>
      <c r="T50" s="46" t="n">
        <v>0</v>
      </c>
      <c r="U50" s="47" t="n">
        <v>0</v>
      </c>
      <c r="V50" s="40" t="n">
        <v>0</v>
      </c>
      <c r="W50" s="40" t="n">
        <v>0</v>
      </c>
      <c r="X50" s="40" t="n">
        <v>0</v>
      </c>
      <c r="Y50" s="40" t="n">
        <v>0</v>
      </c>
      <c r="Z50" s="40" t="n">
        <v>0</v>
      </c>
      <c r="AA50" s="40" t="n">
        <v>0</v>
      </c>
      <c r="AB50" s="40" t="n">
        <v>0</v>
      </c>
      <c r="AC50" s="40" t="n">
        <v>0</v>
      </c>
      <c r="AD50" s="40" t="n">
        <v>0</v>
      </c>
      <c r="AE50" s="40" t="n">
        <v>0</v>
      </c>
      <c r="AF50" s="40" t="n">
        <v>0</v>
      </c>
      <c r="AG50" s="40" t="n">
        <v>0</v>
      </c>
      <c r="AH50" s="40" t="n">
        <v>0</v>
      </c>
      <c r="AI50" s="40" t="n">
        <v>0</v>
      </c>
      <c r="AJ50" s="40" t="n">
        <v>0</v>
      </c>
      <c r="AK50" s="40" t="n">
        <v>0</v>
      </c>
      <c r="AL50" s="40" t="n">
        <v>0</v>
      </c>
      <c r="AM50" s="40" t="n">
        <v>0</v>
      </c>
      <c r="AN50" s="40" t="n">
        <v>0</v>
      </c>
      <c r="AO50" s="40" t="n">
        <v>0</v>
      </c>
      <c r="AP50" s="40" t="n">
        <v>0</v>
      </c>
      <c r="AQ50" s="40" t="n">
        <v>0</v>
      </c>
      <c r="AR50" s="43" t="n">
        <v>0</v>
      </c>
    </row>
    <row r="51" s="40" customFormat="true" ht="15" hidden="false" customHeight="false" outlineLevel="0" collapsed="false">
      <c r="A51" s="52" t="s">
        <v>77</v>
      </c>
      <c r="B51" s="39" t="n">
        <v>0</v>
      </c>
      <c r="C51" s="40" t="n">
        <v>0</v>
      </c>
      <c r="D51" s="40" t="n">
        <v>46.7</v>
      </c>
      <c r="E51" s="41" t="n">
        <v>13</v>
      </c>
      <c r="F51" s="39" t="n">
        <v>0</v>
      </c>
      <c r="G51" s="42" t="n">
        <v>0</v>
      </c>
      <c r="H51" s="42" t="n">
        <v>0</v>
      </c>
      <c r="I51" s="42" t="n">
        <v>0</v>
      </c>
      <c r="J51" s="42" t="n">
        <v>0</v>
      </c>
      <c r="K51" s="40" t="n">
        <v>0</v>
      </c>
      <c r="L51" s="43" t="n">
        <v>0</v>
      </c>
      <c r="M51" s="44" t="n">
        <v>1580</v>
      </c>
      <c r="N51" s="45" t="n">
        <v>0</v>
      </c>
      <c r="O51" s="39" t="n">
        <v>0.3</v>
      </c>
      <c r="P51" s="40" t="n">
        <v>0.97</v>
      </c>
      <c r="Q51" s="43" t="n">
        <f aca="false">(O51+P51)/2</f>
        <v>0.635</v>
      </c>
      <c r="R51" s="39" t="n">
        <v>0.53</v>
      </c>
      <c r="S51" s="43" t="n">
        <v>1.308</v>
      </c>
      <c r="T51" s="46" t="n">
        <v>257.685859680792</v>
      </c>
      <c r="U51" s="47" t="n">
        <v>4731.27412551153</v>
      </c>
      <c r="V51" s="40" t="n">
        <v>13900</v>
      </c>
      <c r="W51" s="40" t="n">
        <v>14600</v>
      </c>
      <c r="X51" s="40" t="n">
        <v>15200</v>
      </c>
      <c r="Y51" s="40" t="n">
        <v>16390</v>
      </c>
      <c r="Z51" s="40" t="n">
        <v>16390</v>
      </c>
      <c r="AA51" s="40" t="n">
        <v>17680</v>
      </c>
      <c r="AB51" s="40" t="n">
        <v>17690</v>
      </c>
      <c r="AC51" s="40" t="n">
        <v>18680</v>
      </c>
      <c r="AD51" s="40" t="n">
        <v>19970</v>
      </c>
      <c r="AE51" s="40" t="n">
        <v>18750</v>
      </c>
      <c r="AF51" s="40" t="n">
        <v>19630</v>
      </c>
      <c r="AG51" s="40" t="n">
        <v>19220</v>
      </c>
      <c r="AH51" s="40" t="n">
        <v>20060</v>
      </c>
      <c r="AI51" s="40" t="n">
        <v>20530</v>
      </c>
      <c r="AJ51" s="40" t="n">
        <v>20870</v>
      </c>
      <c r="AK51" s="40" t="n">
        <v>20970</v>
      </c>
      <c r="AL51" s="40" t="n">
        <v>21780</v>
      </c>
      <c r="AM51" s="40" t="n">
        <v>21860</v>
      </c>
      <c r="AN51" s="40" t="n">
        <v>23830</v>
      </c>
      <c r="AO51" s="40" t="n">
        <v>24190</v>
      </c>
      <c r="AP51" s="40" t="n">
        <v>23910</v>
      </c>
      <c r="AQ51" s="40" t="n">
        <v>21060</v>
      </c>
      <c r="AR51" s="43" t="n">
        <v>21790</v>
      </c>
    </row>
    <row r="52" s="40" customFormat="true" ht="15" hidden="false" customHeight="false" outlineLevel="0" collapsed="false">
      <c r="A52" s="38" t="s">
        <v>78</v>
      </c>
      <c r="B52" s="54" t="n">
        <f aca="false">0.25*D52</f>
        <v>1500000</v>
      </c>
      <c r="C52" s="55" t="n">
        <v>12000000</v>
      </c>
      <c r="D52" s="55" t="n">
        <f aca="false">E52/3</f>
        <v>6000000</v>
      </c>
      <c r="E52" s="53" t="n">
        <v>18000000</v>
      </c>
      <c r="F52" s="39" t="n">
        <v>0</v>
      </c>
      <c r="G52" s="42" t="n">
        <v>0</v>
      </c>
      <c r="H52" s="42" t="n">
        <v>0</v>
      </c>
      <c r="I52" s="42" t="n">
        <v>0</v>
      </c>
      <c r="J52" s="42" t="n">
        <v>0</v>
      </c>
      <c r="K52" s="40" t="n">
        <v>0</v>
      </c>
      <c r="L52" s="43" t="n">
        <v>0</v>
      </c>
      <c r="M52" s="44" t="n">
        <v>0.45</v>
      </c>
      <c r="N52" s="45" t="n">
        <v>0</v>
      </c>
      <c r="O52" s="39"/>
      <c r="Q52" s="43" t="n">
        <v>0</v>
      </c>
      <c r="R52" s="39" t="n">
        <v>0</v>
      </c>
      <c r="S52" s="43" t="n">
        <v>0</v>
      </c>
      <c r="T52" s="46" t="n">
        <v>0</v>
      </c>
      <c r="U52" s="47" t="n">
        <v>0</v>
      </c>
      <c r="V52" s="40" t="n">
        <v>0</v>
      </c>
      <c r="W52" s="40" t="n">
        <v>0</v>
      </c>
      <c r="X52" s="40" t="n">
        <v>0</v>
      </c>
      <c r="Y52" s="40" t="n">
        <v>0</v>
      </c>
      <c r="Z52" s="40" t="n">
        <v>0</v>
      </c>
      <c r="AA52" s="40" t="n">
        <v>0</v>
      </c>
      <c r="AB52" s="40" t="n">
        <v>0</v>
      </c>
      <c r="AC52" s="40" t="n">
        <v>0</v>
      </c>
      <c r="AD52" s="40" t="n">
        <v>0</v>
      </c>
      <c r="AE52" s="40" t="n">
        <v>0</v>
      </c>
      <c r="AF52" s="40" t="n">
        <v>0</v>
      </c>
      <c r="AG52" s="40" t="n">
        <v>0</v>
      </c>
      <c r="AH52" s="40" t="n">
        <v>0</v>
      </c>
      <c r="AI52" s="40" t="n">
        <v>0</v>
      </c>
      <c r="AJ52" s="40" t="n">
        <v>0</v>
      </c>
      <c r="AK52" s="40" t="n">
        <v>0</v>
      </c>
      <c r="AL52" s="40" t="n">
        <v>0</v>
      </c>
      <c r="AM52" s="40" t="n">
        <v>0</v>
      </c>
      <c r="AN52" s="40" t="n">
        <v>0</v>
      </c>
      <c r="AO52" s="40" t="n">
        <v>0</v>
      </c>
      <c r="AP52" s="40" t="n">
        <v>0</v>
      </c>
      <c r="AQ52" s="40" t="n">
        <v>0</v>
      </c>
      <c r="AR52" s="43" t="n">
        <v>0</v>
      </c>
    </row>
    <row r="53" s="40" customFormat="true" ht="15" hidden="false" customHeight="false" outlineLevel="0" collapsed="false">
      <c r="A53" s="38" t="s">
        <v>79</v>
      </c>
      <c r="B53" s="39" t="n">
        <v>0</v>
      </c>
      <c r="C53" s="40" t="n">
        <v>0</v>
      </c>
      <c r="D53" s="40" t="n">
        <v>463</v>
      </c>
      <c r="E53" s="41" t="n">
        <v>0</v>
      </c>
      <c r="F53" s="39" t="n">
        <v>0</v>
      </c>
      <c r="G53" s="42" t="n">
        <v>0</v>
      </c>
      <c r="H53" s="42" t="n">
        <v>0</v>
      </c>
      <c r="I53" s="42" t="n">
        <v>0</v>
      </c>
      <c r="J53" s="42" t="n">
        <v>0</v>
      </c>
      <c r="K53" s="40" t="n">
        <v>64</v>
      </c>
      <c r="L53" s="43" t="n">
        <v>0</v>
      </c>
      <c r="M53" s="44" t="n">
        <v>250</v>
      </c>
      <c r="N53" s="45" t="n">
        <v>0</v>
      </c>
      <c r="O53" s="39"/>
      <c r="Q53" s="43" t="n">
        <v>0.75</v>
      </c>
      <c r="R53" s="39" t="n">
        <v>4.8</v>
      </c>
      <c r="S53" s="43" t="n">
        <v>76.2</v>
      </c>
      <c r="T53" s="46" t="n">
        <v>2274.62093105431</v>
      </c>
      <c r="U53" s="47" t="n">
        <v>111474.491532601</v>
      </c>
      <c r="V53" s="40" t="n">
        <v>184000</v>
      </c>
      <c r="W53" s="40" t="n">
        <v>188970</v>
      </c>
      <c r="X53" s="40" t="n">
        <v>195960</v>
      </c>
      <c r="Y53" s="40" t="n">
        <v>210950</v>
      </c>
      <c r="Z53" s="40" t="n">
        <v>205900</v>
      </c>
      <c r="AA53" s="40" t="n">
        <v>197850</v>
      </c>
      <c r="AB53" s="40" t="n">
        <v>237860</v>
      </c>
      <c r="AC53" s="40" t="n">
        <v>221830</v>
      </c>
      <c r="AD53" s="40" t="n">
        <v>248720</v>
      </c>
      <c r="AE53" s="40" t="n">
        <v>206510</v>
      </c>
      <c r="AF53" s="40" t="n">
        <v>263350</v>
      </c>
      <c r="AG53" s="40" t="n">
        <v>289200</v>
      </c>
      <c r="AH53" s="40" t="n">
        <v>300610</v>
      </c>
      <c r="AI53" s="40" t="n">
        <v>317350</v>
      </c>
      <c r="AJ53" s="40" t="n">
        <v>294830</v>
      </c>
      <c r="AK53" s="40" t="n">
        <v>251880</v>
      </c>
      <c r="AL53" s="40" t="n">
        <v>252040</v>
      </c>
      <c r="AM53" s="40" t="n">
        <v>229800</v>
      </c>
      <c r="AN53" s="40" t="n">
        <v>223630</v>
      </c>
      <c r="AO53" s="40" t="n">
        <v>276260</v>
      </c>
      <c r="AP53" s="40" t="n">
        <v>257510</v>
      </c>
      <c r="AQ53" s="40" t="n">
        <v>249220</v>
      </c>
      <c r="AR53" s="43" t="n">
        <v>228660</v>
      </c>
    </row>
    <row r="54" s="40" customFormat="true" ht="15" hidden="false" customHeight="false" outlineLevel="0" collapsed="false">
      <c r="A54" s="52" t="s">
        <v>80</v>
      </c>
      <c r="B54" s="39" t="n">
        <v>0</v>
      </c>
      <c r="C54" s="40" t="n">
        <v>0</v>
      </c>
      <c r="D54" s="40" t="n">
        <v>0</v>
      </c>
      <c r="E54" s="41" t="n">
        <v>18000</v>
      </c>
      <c r="F54" s="39" t="n">
        <v>0</v>
      </c>
      <c r="G54" s="42" t="n">
        <v>0</v>
      </c>
      <c r="H54" s="42" t="n">
        <v>0</v>
      </c>
      <c r="I54" s="42" t="n">
        <v>0</v>
      </c>
      <c r="J54" s="42" t="n">
        <v>0</v>
      </c>
      <c r="K54" s="40" t="n">
        <v>0</v>
      </c>
      <c r="L54" s="43" t="n">
        <v>0</v>
      </c>
      <c r="M54" s="44" t="n">
        <v>0</v>
      </c>
      <c r="N54" s="45" t="n">
        <v>0</v>
      </c>
      <c r="O54" s="39"/>
      <c r="Q54" s="43" t="n">
        <v>0</v>
      </c>
      <c r="R54" s="39" t="n">
        <v>0</v>
      </c>
      <c r="S54" s="43" t="n">
        <v>0</v>
      </c>
      <c r="T54" s="46" t="n">
        <v>0</v>
      </c>
      <c r="U54" s="47" t="n">
        <v>0</v>
      </c>
      <c r="V54" s="40" t="n">
        <v>0</v>
      </c>
      <c r="W54" s="40" t="n">
        <v>0</v>
      </c>
      <c r="X54" s="40" t="n">
        <v>0</v>
      </c>
      <c r="Y54" s="40" t="n">
        <v>0</v>
      </c>
      <c r="Z54" s="40" t="n">
        <v>0</v>
      </c>
      <c r="AA54" s="40" t="n">
        <v>0</v>
      </c>
      <c r="AB54" s="40" t="n">
        <v>0</v>
      </c>
      <c r="AC54" s="40" t="n">
        <v>0</v>
      </c>
      <c r="AD54" s="40" t="n">
        <v>0</v>
      </c>
      <c r="AE54" s="40" t="n">
        <v>0</v>
      </c>
      <c r="AF54" s="40" t="n">
        <v>0</v>
      </c>
      <c r="AG54" s="40" t="n">
        <v>0</v>
      </c>
      <c r="AH54" s="40" t="n">
        <v>0</v>
      </c>
      <c r="AI54" s="40" t="n">
        <v>0</v>
      </c>
      <c r="AJ54" s="40" t="n">
        <v>0</v>
      </c>
      <c r="AK54" s="40" t="n">
        <v>0</v>
      </c>
      <c r="AL54" s="40" t="n">
        <v>0</v>
      </c>
      <c r="AM54" s="40" t="n">
        <v>0</v>
      </c>
      <c r="AN54" s="40" t="n">
        <v>0</v>
      </c>
      <c r="AO54" s="40" t="n">
        <v>0</v>
      </c>
      <c r="AP54" s="40" t="n">
        <v>0</v>
      </c>
      <c r="AQ54" s="40" t="n">
        <v>0</v>
      </c>
      <c r="AR54" s="43" t="n">
        <v>0</v>
      </c>
    </row>
    <row r="55" s="40" customFormat="true" ht="15" hidden="false" customHeight="false" outlineLevel="0" collapsed="false">
      <c r="A55" s="52" t="s">
        <v>81</v>
      </c>
      <c r="B55" s="39" t="n">
        <v>126100</v>
      </c>
      <c r="C55" s="40" t="n">
        <v>400000</v>
      </c>
      <c r="D55" s="40" t="n">
        <v>2000</v>
      </c>
      <c r="E55" s="41" t="n">
        <v>240000</v>
      </c>
      <c r="F55" s="39" t="n">
        <v>0</v>
      </c>
      <c r="G55" s="42" t="n">
        <v>0</v>
      </c>
      <c r="H55" s="42" t="n">
        <v>0</v>
      </c>
      <c r="I55" s="42" t="n">
        <v>0</v>
      </c>
      <c r="J55" s="42" t="n">
        <v>0</v>
      </c>
      <c r="K55" s="40" t="n">
        <v>2651</v>
      </c>
      <c r="L55" s="43" t="n">
        <v>200</v>
      </c>
      <c r="M55" s="44" t="n">
        <v>56.7</v>
      </c>
      <c r="N55" s="45" t="n">
        <v>0</v>
      </c>
      <c r="O55" s="39"/>
      <c r="Q55" s="43" t="n">
        <v>0</v>
      </c>
      <c r="R55" s="39" t="n">
        <v>0</v>
      </c>
      <c r="S55" s="43" t="n">
        <v>0</v>
      </c>
      <c r="T55" s="46" t="n">
        <v>0</v>
      </c>
      <c r="U55" s="47" t="n">
        <v>0</v>
      </c>
      <c r="V55" s="40" t="n">
        <v>0</v>
      </c>
      <c r="W55" s="40" t="n">
        <v>0</v>
      </c>
      <c r="X55" s="40" t="n">
        <v>0</v>
      </c>
      <c r="Y55" s="40" t="n">
        <v>0</v>
      </c>
      <c r="Z55" s="40" t="n">
        <v>0</v>
      </c>
      <c r="AA55" s="40" t="n">
        <v>0</v>
      </c>
      <c r="AB55" s="40" t="n">
        <v>0</v>
      </c>
      <c r="AC55" s="40" t="n">
        <v>0</v>
      </c>
      <c r="AD55" s="40" t="n">
        <v>0</v>
      </c>
      <c r="AE55" s="40" t="n">
        <v>0</v>
      </c>
      <c r="AF55" s="40" t="n">
        <v>0</v>
      </c>
      <c r="AG55" s="40" t="n">
        <v>0</v>
      </c>
      <c r="AH55" s="40" t="n">
        <v>0</v>
      </c>
      <c r="AI55" s="40" t="n">
        <v>0</v>
      </c>
      <c r="AJ55" s="40" t="n">
        <v>0</v>
      </c>
      <c r="AK55" s="40" t="n">
        <v>0</v>
      </c>
      <c r="AL55" s="40" t="n">
        <v>0</v>
      </c>
      <c r="AM55" s="40" t="n">
        <v>0</v>
      </c>
      <c r="AN55" s="40" t="n">
        <v>0</v>
      </c>
      <c r="AO55" s="40" t="n">
        <v>0</v>
      </c>
      <c r="AP55" s="40" t="n">
        <v>0</v>
      </c>
      <c r="AQ55" s="40" t="n">
        <v>0</v>
      </c>
      <c r="AR55" s="43" t="n">
        <v>0</v>
      </c>
    </row>
    <row r="56" s="40" customFormat="true" ht="15" hidden="false" customHeight="false" outlineLevel="0" collapsed="false">
      <c r="A56" s="38" t="s">
        <v>82</v>
      </c>
      <c r="B56" s="39" t="n">
        <v>0</v>
      </c>
      <c r="C56" s="40" t="n">
        <v>0</v>
      </c>
      <c r="D56" s="40" t="n">
        <v>0</v>
      </c>
      <c r="E56" s="41" t="n">
        <v>44000</v>
      </c>
      <c r="F56" s="39" t="n">
        <v>0</v>
      </c>
      <c r="G56" s="42" t="n">
        <v>0</v>
      </c>
      <c r="H56" s="42" t="n">
        <v>0</v>
      </c>
      <c r="I56" s="42" t="n">
        <v>0</v>
      </c>
      <c r="J56" s="42" t="n">
        <v>0</v>
      </c>
      <c r="K56" s="40" t="n">
        <v>2544</v>
      </c>
      <c r="L56" s="43" t="n">
        <v>7</v>
      </c>
      <c r="M56" s="44" t="n">
        <v>207</v>
      </c>
      <c r="N56" s="45" t="n">
        <v>0</v>
      </c>
      <c r="O56" s="39"/>
      <c r="Q56" s="43" t="n">
        <v>0</v>
      </c>
      <c r="R56" s="39" t="n">
        <v>0</v>
      </c>
      <c r="S56" s="43" t="n">
        <v>0</v>
      </c>
      <c r="T56" s="46" t="n">
        <v>0</v>
      </c>
      <c r="U56" s="47" t="n">
        <v>0</v>
      </c>
      <c r="V56" s="40" t="n">
        <v>0</v>
      </c>
      <c r="W56" s="40" t="n">
        <v>0</v>
      </c>
      <c r="X56" s="40" t="n">
        <v>0</v>
      </c>
      <c r="Y56" s="40" t="n">
        <v>0</v>
      </c>
      <c r="Z56" s="40" t="n">
        <v>0</v>
      </c>
      <c r="AA56" s="40" t="n">
        <v>0</v>
      </c>
      <c r="AB56" s="40" t="n">
        <v>0</v>
      </c>
      <c r="AC56" s="40" t="n">
        <v>0</v>
      </c>
      <c r="AD56" s="40" t="n">
        <v>0</v>
      </c>
      <c r="AE56" s="40" t="n">
        <v>0</v>
      </c>
      <c r="AF56" s="40" t="n">
        <v>0</v>
      </c>
      <c r="AG56" s="40" t="n">
        <v>0</v>
      </c>
      <c r="AH56" s="40" t="n">
        <v>0</v>
      </c>
      <c r="AI56" s="40" t="n">
        <v>0</v>
      </c>
      <c r="AJ56" s="40" t="n">
        <v>0</v>
      </c>
      <c r="AK56" s="40" t="n">
        <v>0</v>
      </c>
      <c r="AL56" s="40" t="n">
        <v>0</v>
      </c>
      <c r="AM56" s="40" t="n">
        <v>0</v>
      </c>
      <c r="AN56" s="40" t="n">
        <v>0</v>
      </c>
      <c r="AO56" s="40" t="n">
        <v>0</v>
      </c>
      <c r="AP56" s="40" t="n">
        <v>0</v>
      </c>
      <c r="AQ56" s="40" t="n">
        <v>0</v>
      </c>
      <c r="AR56" s="43" t="n">
        <v>0</v>
      </c>
    </row>
    <row r="57" s="40" customFormat="true" ht="15" hidden="false" customHeight="false" outlineLevel="0" collapsed="false">
      <c r="A57" s="38" t="s">
        <v>83</v>
      </c>
      <c r="B57" s="39" t="n">
        <v>0</v>
      </c>
      <c r="C57" s="40" t="n">
        <v>0</v>
      </c>
      <c r="D57" s="47" t="n">
        <v>4.7</v>
      </c>
      <c r="E57" s="41" t="n">
        <v>0</v>
      </c>
      <c r="F57" s="39" t="n">
        <v>0</v>
      </c>
      <c r="G57" s="42" t="n">
        <v>0</v>
      </c>
      <c r="H57" s="42" t="n">
        <v>0</v>
      </c>
      <c r="I57" s="42" t="n">
        <v>0</v>
      </c>
      <c r="J57" s="42" t="n">
        <v>0</v>
      </c>
      <c r="K57" s="40" t="n">
        <v>0</v>
      </c>
      <c r="L57" s="43" t="n">
        <v>0</v>
      </c>
      <c r="M57" s="44" t="n">
        <v>57</v>
      </c>
      <c r="N57" s="45" t="n">
        <v>0</v>
      </c>
      <c r="O57" s="39"/>
      <c r="Q57" s="43" t="n">
        <v>0.005</v>
      </c>
      <c r="R57" s="39" t="n">
        <v>0.01108</v>
      </c>
      <c r="S57" s="43" t="n">
        <v>0.025</v>
      </c>
      <c r="T57" s="46" t="n">
        <v>0</v>
      </c>
      <c r="U57" s="47" t="n">
        <v>0</v>
      </c>
      <c r="V57" s="47" t="n">
        <v>0</v>
      </c>
      <c r="W57" s="40" t="n">
        <v>0</v>
      </c>
      <c r="X57" s="40" t="n">
        <v>0</v>
      </c>
      <c r="Y57" s="40" t="n">
        <v>0</v>
      </c>
      <c r="Z57" s="40" t="n">
        <v>0</v>
      </c>
      <c r="AA57" s="40" t="n">
        <v>0</v>
      </c>
      <c r="AB57" s="40" t="n">
        <v>0</v>
      </c>
      <c r="AC57" s="40" t="n">
        <v>0</v>
      </c>
      <c r="AD57" s="40" t="n">
        <v>0</v>
      </c>
      <c r="AE57" s="40" t="n">
        <v>0</v>
      </c>
      <c r="AF57" s="40" t="n">
        <v>0</v>
      </c>
      <c r="AG57" s="40" t="n">
        <v>0</v>
      </c>
      <c r="AH57" s="40" t="n">
        <v>0</v>
      </c>
      <c r="AI57" s="40" t="n">
        <v>0</v>
      </c>
      <c r="AJ57" s="40" t="n">
        <v>0</v>
      </c>
      <c r="AK57" s="40" t="n">
        <v>0</v>
      </c>
      <c r="AL57" s="40" t="n">
        <v>0</v>
      </c>
      <c r="AM57" s="40" t="n">
        <v>0</v>
      </c>
      <c r="AN57" s="40" t="n">
        <v>0</v>
      </c>
      <c r="AO57" s="40" t="n">
        <v>0</v>
      </c>
      <c r="AP57" s="40" t="n">
        <v>0</v>
      </c>
      <c r="AQ57" s="40" t="n">
        <v>0</v>
      </c>
      <c r="AR57" s="43" t="n">
        <v>0</v>
      </c>
    </row>
    <row r="58" s="40" customFormat="true" ht="15" hidden="false" customHeight="false" outlineLevel="0" collapsed="false">
      <c r="A58" s="52" t="s">
        <v>84</v>
      </c>
      <c r="B58" s="39" t="n">
        <v>0</v>
      </c>
      <c r="C58" s="40" t="n">
        <v>0</v>
      </c>
      <c r="D58" s="40" t="n">
        <f aca="false">E58/4</f>
        <v>6.25</v>
      </c>
      <c r="E58" s="41" t="n">
        <v>25</v>
      </c>
      <c r="F58" s="39" t="n">
        <v>0</v>
      </c>
      <c r="G58" s="42" t="n">
        <v>0</v>
      </c>
      <c r="H58" s="42" t="n">
        <v>0</v>
      </c>
      <c r="I58" s="42" t="n">
        <v>0</v>
      </c>
      <c r="J58" s="42" t="n">
        <v>0</v>
      </c>
      <c r="K58" s="40" t="n">
        <v>0</v>
      </c>
      <c r="L58" s="43" t="n">
        <v>0</v>
      </c>
      <c r="M58" s="44" t="n">
        <v>400</v>
      </c>
      <c r="N58" s="45" t="n">
        <v>258</v>
      </c>
      <c r="O58" s="39"/>
      <c r="Q58" s="43" t="n">
        <v>0.91</v>
      </c>
      <c r="R58" s="39" t="n">
        <v>794</v>
      </c>
      <c r="S58" s="43" t="n">
        <v>2000</v>
      </c>
      <c r="T58" s="46" t="n">
        <v>102968.10545833</v>
      </c>
      <c r="U58" s="47" t="n">
        <v>-448351.453431475</v>
      </c>
      <c r="V58" s="40" t="n">
        <v>3600000</v>
      </c>
      <c r="W58" s="40" t="n">
        <v>3814000</v>
      </c>
      <c r="X58" s="40" t="n">
        <v>4015000</v>
      </c>
      <c r="Y58" s="40" t="n">
        <v>4055000</v>
      </c>
      <c r="Z58" s="40" t="n">
        <v>4260000</v>
      </c>
      <c r="AA58" s="40" t="n">
        <v>4500000</v>
      </c>
      <c r="AB58" s="40" t="n">
        <v>4700000</v>
      </c>
      <c r="AC58" s="40" t="n">
        <v>5000000</v>
      </c>
      <c r="AD58" s="40" t="n">
        <v>4800000</v>
      </c>
      <c r="AE58" s="40" t="n">
        <v>5299990</v>
      </c>
      <c r="AF58" s="40" t="n">
        <v>4999990</v>
      </c>
      <c r="AG58" s="40" t="n">
        <v>5199990</v>
      </c>
      <c r="AH58" s="40" t="n">
        <v>5799980</v>
      </c>
      <c r="AI58" s="40" t="n">
        <v>6289960</v>
      </c>
      <c r="AJ58" s="40" t="n">
        <v>6389940</v>
      </c>
      <c r="AK58" s="40" t="n">
        <v>5799880</v>
      </c>
      <c r="AL58" s="40" t="n">
        <v>6399810</v>
      </c>
      <c r="AM58" s="40" t="n">
        <v>6699790</v>
      </c>
      <c r="AN58" s="40" t="n">
        <v>7229760</v>
      </c>
      <c r="AO58" s="40" t="n">
        <v>7399740</v>
      </c>
      <c r="AP58" s="40" t="n">
        <v>6039590</v>
      </c>
      <c r="AQ58" s="40" t="n">
        <v>6939440</v>
      </c>
      <c r="AR58" s="43" t="n">
        <v>6599270</v>
      </c>
    </row>
    <row r="59" s="40" customFormat="true" ht="15" hidden="false" customHeight="false" outlineLevel="0" collapsed="false">
      <c r="A59" s="52" t="s">
        <v>85</v>
      </c>
      <c r="B59" s="39" t="n">
        <v>0</v>
      </c>
      <c r="C59" s="40" t="n">
        <v>0</v>
      </c>
      <c r="D59" s="40" t="n">
        <v>0</v>
      </c>
      <c r="E59" s="41" t="n">
        <v>11.5</v>
      </c>
      <c r="F59" s="39" t="n">
        <v>0</v>
      </c>
      <c r="G59" s="42" t="n">
        <v>0</v>
      </c>
      <c r="H59" s="42" t="n">
        <v>0</v>
      </c>
      <c r="I59" s="42" t="n">
        <v>0</v>
      </c>
      <c r="J59" s="42" t="n">
        <v>0</v>
      </c>
      <c r="K59" s="40" t="n">
        <v>0</v>
      </c>
      <c r="L59" s="43" t="n">
        <v>0</v>
      </c>
      <c r="M59" s="44" t="n">
        <v>60</v>
      </c>
      <c r="N59" s="45" t="n">
        <v>0</v>
      </c>
      <c r="O59" s="39"/>
      <c r="Q59" s="43" t="n">
        <v>0</v>
      </c>
      <c r="R59" s="39" t="n">
        <v>0</v>
      </c>
      <c r="S59" s="43" t="n">
        <v>0</v>
      </c>
      <c r="T59" s="46" t="n">
        <v>0</v>
      </c>
      <c r="U59" s="47" t="n">
        <v>0</v>
      </c>
      <c r="V59" s="40" t="n">
        <v>0</v>
      </c>
      <c r="W59" s="40" t="n">
        <v>0</v>
      </c>
      <c r="X59" s="40" t="n">
        <v>0</v>
      </c>
      <c r="Y59" s="40" t="n">
        <v>0</v>
      </c>
      <c r="Z59" s="40" t="n">
        <v>0</v>
      </c>
      <c r="AA59" s="40" t="n">
        <v>0</v>
      </c>
      <c r="AB59" s="40" t="n">
        <v>0</v>
      </c>
      <c r="AC59" s="40" t="n">
        <v>0</v>
      </c>
      <c r="AD59" s="40" t="n">
        <v>0</v>
      </c>
      <c r="AE59" s="40" t="n">
        <v>0</v>
      </c>
      <c r="AF59" s="40" t="n">
        <v>0</v>
      </c>
      <c r="AG59" s="40" t="n">
        <v>0</v>
      </c>
      <c r="AH59" s="40" t="n">
        <v>0</v>
      </c>
      <c r="AI59" s="40" t="n">
        <v>0</v>
      </c>
      <c r="AJ59" s="40" t="n">
        <v>0</v>
      </c>
      <c r="AK59" s="40" t="n">
        <v>0</v>
      </c>
      <c r="AL59" s="40" t="n">
        <v>0</v>
      </c>
      <c r="AM59" s="40" t="n">
        <v>0</v>
      </c>
      <c r="AN59" s="40" t="n">
        <v>0</v>
      </c>
      <c r="AO59" s="40" t="n">
        <v>0</v>
      </c>
      <c r="AP59" s="40" t="n">
        <v>0</v>
      </c>
      <c r="AQ59" s="40" t="n">
        <v>0</v>
      </c>
      <c r="AR59" s="43" t="n">
        <v>0</v>
      </c>
    </row>
    <row r="60" s="40" customFormat="true" ht="15" hidden="false" customHeight="false" outlineLevel="0" collapsed="false">
      <c r="A60" s="52" t="s">
        <v>86</v>
      </c>
      <c r="B60" s="39" t="n">
        <v>0</v>
      </c>
      <c r="C60" s="40" t="n">
        <v>0</v>
      </c>
      <c r="D60" s="40" t="n">
        <f aca="false">E60/4</f>
        <v>0.475</v>
      </c>
      <c r="E60" s="41" t="n">
        <v>1.9</v>
      </c>
      <c r="F60" s="39" t="n">
        <v>0</v>
      </c>
      <c r="G60" s="42" t="n">
        <v>0</v>
      </c>
      <c r="H60" s="42" t="n">
        <v>0</v>
      </c>
      <c r="I60" s="42" t="n">
        <v>0</v>
      </c>
      <c r="J60" s="42" t="n">
        <v>0</v>
      </c>
      <c r="K60" s="40" t="n">
        <v>0</v>
      </c>
      <c r="L60" s="43" t="n">
        <v>0</v>
      </c>
      <c r="M60" s="44" t="n">
        <v>3710</v>
      </c>
      <c r="N60" s="45" t="n">
        <v>0</v>
      </c>
      <c r="O60" s="39"/>
      <c r="Q60" s="43" t="n">
        <v>0.005</v>
      </c>
      <c r="R60" s="39" t="n">
        <v>15</v>
      </c>
      <c r="S60" s="43" t="n">
        <v>63</v>
      </c>
      <c r="T60" s="46" t="n">
        <v>1274.74442509663</v>
      </c>
      <c r="U60" s="47" t="n">
        <v>-18947.8420619378</v>
      </c>
      <c r="V60" s="40" t="n">
        <v>33900</v>
      </c>
      <c r="W60" s="40" t="n">
        <v>33700</v>
      </c>
      <c r="X60" s="40" t="n">
        <v>35100</v>
      </c>
      <c r="Y60" s="40" t="n">
        <v>37100</v>
      </c>
      <c r="Z60" s="40" t="n">
        <v>41800</v>
      </c>
      <c r="AA60" s="40" t="n">
        <v>42800</v>
      </c>
      <c r="AB60" s="40" t="n">
        <v>43000</v>
      </c>
      <c r="AC60" s="40" t="n">
        <v>58000</v>
      </c>
      <c r="AD60" s="40" t="n">
        <v>60000</v>
      </c>
      <c r="AE60" s="40" t="n">
        <v>41000</v>
      </c>
      <c r="AF60" s="40" t="n">
        <v>40200</v>
      </c>
      <c r="AG60" s="40" t="n">
        <v>58200</v>
      </c>
      <c r="AH60" s="40" t="n">
        <v>55700</v>
      </c>
      <c r="AI60" s="40" t="n">
        <v>58500</v>
      </c>
      <c r="AJ60" s="40" t="n">
        <v>55500</v>
      </c>
      <c r="AK60" s="40" t="n">
        <v>53490</v>
      </c>
      <c r="AL60" s="40" t="n">
        <v>57590</v>
      </c>
      <c r="AM60" s="40" t="n">
        <v>62380</v>
      </c>
      <c r="AN60" s="40" t="n">
        <v>73980</v>
      </c>
      <c r="AO60" s="40" t="n">
        <v>78980</v>
      </c>
      <c r="AP60" s="40" t="n">
        <v>82670</v>
      </c>
      <c r="AQ60" s="40" t="n">
        <v>77760</v>
      </c>
      <c r="AR60" s="43" t="n">
        <v>75940</v>
      </c>
    </row>
    <row r="61" s="40" customFormat="true" ht="15" hidden="false" customHeight="false" outlineLevel="0" collapsed="false">
      <c r="A61" s="38" t="s">
        <v>87</v>
      </c>
      <c r="B61" s="39" t="n">
        <v>640</v>
      </c>
      <c r="C61" s="40" t="n">
        <v>640</v>
      </c>
      <c r="D61" s="40" t="n">
        <v>0</v>
      </c>
      <c r="E61" s="41" t="n">
        <v>0</v>
      </c>
      <c r="F61" s="39" t="n">
        <v>0</v>
      </c>
      <c r="G61" s="42" t="n">
        <v>0</v>
      </c>
      <c r="H61" s="42" t="n">
        <v>0</v>
      </c>
      <c r="I61" s="42" t="n">
        <v>0</v>
      </c>
      <c r="J61" s="42" t="n">
        <v>0</v>
      </c>
      <c r="K61" s="40" t="n">
        <v>0</v>
      </c>
      <c r="L61" s="43" t="n">
        <v>0</v>
      </c>
      <c r="M61" s="44" t="n">
        <v>36</v>
      </c>
      <c r="N61" s="45" t="n">
        <v>0</v>
      </c>
      <c r="O61" s="39"/>
      <c r="Q61" s="43" t="n">
        <v>0</v>
      </c>
      <c r="R61" s="39" t="n">
        <v>0</v>
      </c>
      <c r="S61" s="43" t="n">
        <v>0</v>
      </c>
      <c r="T61" s="46" t="n">
        <v>0</v>
      </c>
      <c r="U61" s="47" t="n">
        <v>0</v>
      </c>
      <c r="V61" s="40" t="n">
        <v>0</v>
      </c>
      <c r="W61" s="40" t="n">
        <v>0</v>
      </c>
      <c r="X61" s="40" t="n">
        <v>0</v>
      </c>
      <c r="Y61" s="40" t="n">
        <v>0</v>
      </c>
      <c r="Z61" s="40" t="n">
        <v>0</v>
      </c>
      <c r="AA61" s="40" t="n">
        <v>0</v>
      </c>
      <c r="AB61" s="40" t="n">
        <v>0</v>
      </c>
      <c r="AC61" s="40" t="n">
        <v>0</v>
      </c>
      <c r="AD61" s="40" t="n">
        <v>0</v>
      </c>
      <c r="AE61" s="40" t="n">
        <v>0</v>
      </c>
      <c r="AF61" s="40" t="n">
        <v>0</v>
      </c>
      <c r="AG61" s="40" t="n">
        <v>0</v>
      </c>
      <c r="AH61" s="40" t="n">
        <v>0</v>
      </c>
      <c r="AI61" s="40" t="n">
        <v>0</v>
      </c>
      <c r="AJ61" s="40" t="n">
        <v>0</v>
      </c>
      <c r="AK61" s="40" t="n">
        <v>0</v>
      </c>
      <c r="AL61" s="40" t="n">
        <v>0</v>
      </c>
      <c r="AM61" s="40" t="n">
        <v>0</v>
      </c>
      <c r="AN61" s="40" t="n">
        <v>0</v>
      </c>
      <c r="AO61" s="40" t="n">
        <v>0</v>
      </c>
      <c r="AP61" s="40" t="n">
        <v>0</v>
      </c>
      <c r="AQ61" s="40" t="n">
        <v>0</v>
      </c>
      <c r="AR61" s="43" t="n">
        <v>0</v>
      </c>
    </row>
    <row r="62" s="58" customFormat="true" ht="15" hidden="false" customHeight="false" outlineLevel="0" collapsed="false">
      <c r="A62" s="56" t="s">
        <v>88</v>
      </c>
      <c r="B62" s="57" t="n">
        <v>0</v>
      </c>
      <c r="C62" s="58" t="n">
        <v>0</v>
      </c>
      <c r="D62" s="58" t="n">
        <f aca="false">E62/4</f>
        <v>162.5</v>
      </c>
      <c r="E62" s="59" t="n">
        <v>650</v>
      </c>
      <c r="F62" s="57" t="n">
        <v>0</v>
      </c>
      <c r="G62" s="42" t="n">
        <v>0</v>
      </c>
      <c r="H62" s="42" t="n">
        <v>0</v>
      </c>
      <c r="I62" s="42" t="n">
        <v>0</v>
      </c>
      <c r="J62" s="42" t="n">
        <v>0</v>
      </c>
      <c r="K62" s="58" t="n">
        <v>200</v>
      </c>
      <c r="L62" s="60" t="n">
        <v>0</v>
      </c>
      <c r="M62" s="61" t="n">
        <v>72</v>
      </c>
      <c r="N62" s="62" t="n">
        <v>9</v>
      </c>
      <c r="O62" s="57" t="n">
        <v>0.19</v>
      </c>
      <c r="P62" s="58" t="n">
        <v>0.6</v>
      </c>
      <c r="Q62" s="60" t="n">
        <f aca="false">(O62+P62)/2</f>
        <v>0.395</v>
      </c>
      <c r="R62" s="57" t="n">
        <v>230</v>
      </c>
      <c r="S62" s="60" t="n">
        <v>1900</v>
      </c>
      <c r="T62" s="63" t="n">
        <v>207576.310764448</v>
      </c>
      <c r="U62" s="64" t="n">
        <v>-1819702.6572439</v>
      </c>
      <c r="V62" s="58" t="n">
        <v>6810000</v>
      </c>
      <c r="W62" s="58" t="n">
        <v>7119990</v>
      </c>
      <c r="X62" s="58" t="n">
        <v>7439990</v>
      </c>
      <c r="Y62" s="58" t="n">
        <v>7459980</v>
      </c>
      <c r="Z62" s="58" t="n">
        <v>7549970</v>
      </c>
      <c r="AA62" s="58" t="n">
        <v>8039950</v>
      </c>
      <c r="AB62" s="58" t="n">
        <v>8729950</v>
      </c>
      <c r="AC62" s="58" t="n">
        <v>8849940</v>
      </c>
      <c r="AD62" s="58" t="n">
        <v>8359900</v>
      </c>
      <c r="AE62" s="58" t="n">
        <v>9009830</v>
      </c>
      <c r="AF62" s="58" t="n">
        <v>9599770</v>
      </c>
      <c r="AG62" s="58" t="n">
        <v>9799700</v>
      </c>
      <c r="AH62" s="58" t="n">
        <v>9999480</v>
      </c>
      <c r="AI62" s="58" t="n">
        <v>10898960</v>
      </c>
      <c r="AJ62" s="58" t="n">
        <v>11598360</v>
      </c>
      <c r="AK62" s="58" t="n">
        <v>11196900</v>
      </c>
      <c r="AL62" s="58" t="n">
        <v>11995070</v>
      </c>
      <c r="AM62" s="58" t="n">
        <v>12794550</v>
      </c>
      <c r="AN62" s="58" t="n">
        <v>13493710</v>
      </c>
      <c r="AO62" s="58" t="n">
        <v>13393260</v>
      </c>
      <c r="AP62" s="58" t="n">
        <v>13289410</v>
      </c>
      <c r="AQ62" s="58" t="n">
        <v>12785320</v>
      </c>
      <c r="AR62" s="60" t="n">
        <v>11881060</v>
      </c>
    </row>
    <row r="63" customFormat="false" ht="15" hidden="false" customHeight="false" outlineLevel="0" collapsed="false">
      <c r="A63" s="65" t="s">
        <v>89</v>
      </c>
      <c r="B63" s="31"/>
      <c r="C63" s="31"/>
      <c r="D63" s="31"/>
      <c r="E63" s="66"/>
      <c r="F63" s="32" t="n">
        <v>0</v>
      </c>
    </row>
    <row r="64" customFormat="false" ht="15" hidden="false" customHeight="false" outlineLevel="0" collapsed="false">
      <c r="A64" s="67" t="s">
        <v>90</v>
      </c>
      <c r="B64" s="58" t="n">
        <v>0.06</v>
      </c>
      <c r="C64" s="58" t="n">
        <v>0.06</v>
      </c>
      <c r="D64" s="58" t="n">
        <v>0.06</v>
      </c>
      <c r="E64" s="68" t="n">
        <v>0.075</v>
      </c>
      <c r="F64" s="60" t="n">
        <v>0.1</v>
      </c>
    </row>
    <row r="65" customFormat="false" ht="15" hidden="false" customHeight="false" outlineLevel="0" collapsed="false">
      <c r="E65" s="1"/>
    </row>
    <row r="66" customFormat="false" ht="14.25" hidden="true" customHeight="true" outlineLevel="0" collapsed="false">
      <c r="D66" s="69"/>
      <c r="E66" s="1" t="n">
        <v>0</v>
      </c>
    </row>
    <row r="67" customFormat="false" ht="14.25" hidden="true" customHeight="true" outlineLevel="0" collapsed="false">
      <c r="D67" s="69"/>
      <c r="E67" s="1" t="n">
        <v>0</v>
      </c>
    </row>
    <row r="68" customFormat="false" ht="14.25" hidden="true" customHeight="true" outlineLevel="0" collapsed="false">
      <c r="D68" s="69"/>
      <c r="E68" s="1" t="n">
        <v>0</v>
      </c>
    </row>
    <row r="69" customFormat="false" ht="14.25" hidden="true" customHeight="true" outlineLevel="0" collapsed="false">
      <c r="D69" s="69"/>
      <c r="E69" s="1" t="n">
        <v>0</v>
      </c>
    </row>
    <row r="70" customFormat="false" ht="14.25" hidden="true" customHeight="true" outlineLevel="0" collapsed="false">
      <c r="D70" s="69"/>
      <c r="E70" s="1" t="n">
        <v>0</v>
      </c>
    </row>
    <row r="71" customFormat="false" ht="14.25" hidden="true" customHeight="true" outlineLevel="0" collapsed="false">
      <c r="D71" s="69"/>
      <c r="E71" s="1" t="n">
        <v>0</v>
      </c>
    </row>
    <row r="72" customFormat="false" ht="14.25" hidden="true" customHeight="true" outlineLevel="0" collapsed="false">
      <c r="D72" s="69"/>
      <c r="E72" s="1" t="n">
        <v>0</v>
      </c>
    </row>
    <row r="73" customFormat="false" ht="14.25" hidden="true" customHeight="true" outlineLevel="0" collapsed="false">
      <c r="D73" s="69"/>
      <c r="E73" s="1" t="n">
        <v>0</v>
      </c>
    </row>
    <row r="74" customFormat="false" ht="14.25" hidden="true" customHeight="true" outlineLevel="0" collapsed="false">
      <c r="D74" s="69"/>
      <c r="E74" s="1" t="n">
        <v>0</v>
      </c>
    </row>
    <row r="75" customFormat="false" ht="14.25" hidden="true" customHeight="true" outlineLevel="0" collapsed="false">
      <c r="D75" s="69"/>
      <c r="E75" s="1" t="n">
        <v>0</v>
      </c>
    </row>
    <row r="76" customFormat="false" ht="14.25" hidden="true" customHeight="true" outlineLevel="0" collapsed="false">
      <c r="D76" s="69"/>
      <c r="E76" s="1" t="n">
        <v>0</v>
      </c>
    </row>
    <row r="77" customFormat="false" ht="14.25" hidden="true" customHeight="true" outlineLevel="0" collapsed="false">
      <c r="D77" s="69"/>
      <c r="E77" s="1" t="n">
        <v>0</v>
      </c>
    </row>
    <row r="78" customFormat="false" ht="14.25" hidden="true" customHeight="true" outlineLevel="0" collapsed="false">
      <c r="D78" s="69"/>
      <c r="E78" s="1" t="n">
        <v>0</v>
      </c>
    </row>
    <row r="79" customFormat="false" ht="14.25" hidden="true" customHeight="true" outlineLevel="0" collapsed="false">
      <c r="D79" s="69"/>
      <c r="E79" s="1" t="n">
        <v>0</v>
      </c>
    </row>
    <row r="80" customFormat="false" ht="14.25" hidden="true" customHeight="true" outlineLevel="0" collapsed="false">
      <c r="D80" s="69"/>
      <c r="E80" s="1" t="n">
        <v>0</v>
      </c>
    </row>
    <row r="81" customFormat="false" ht="14.25" hidden="true" customHeight="true" outlineLevel="0" collapsed="false">
      <c r="D81" s="69"/>
      <c r="E81" s="1" t="n">
        <v>0</v>
      </c>
    </row>
    <row r="82" customFormat="false" ht="14.25" hidden="true" customHeight="true" outlineLevel="0" collapsed="false">
      <c r="D82" s="69"/>
      <c r="E82" s="1" t="n">
        <v>0</v>
      </c>
    </row>
    <row r="83" customFormat="false" ht="14.25" hidden="true" customHeight="true" outlineLevel="0" collapsed="false">
      <c r="D83" s="69"/>
      <c r="E83" s="1" t="n">
        <v>0</v>
      </c>
    </row>
    <row r="84" customFormat="false" ht="14.25" hidden="true" customHeight="true" outlineLevel="0" collapsed="false">
      <c r="D84" s="69"/>
      <c r="E84" s="1" t="n">
        <v>0</v>
      </c>
    </row>
    <row r="85" customFormat="false" ht="14.25" hidden="true" customHeight="true" outlineLevel="0" collapsed="false">
      <c r="D85" s="69"/>
      <c r="E85" s="1" t="n">
        <v>0</v>
      </c>
    </row>
    <row r="86" customFormat="false" ht="14.25" hidden="true" customHeight="true" outlineLevel="0" collapsed="false">
      <c r="D86" s="69"/>
      <c r="E86" s="1" t="n">
        <v>0</v>
      </c>
    </row>
    <row r="87" customFormat="false" ht="14.25" hidden="true" customHeight="true" outlineLevel="0" collapsed="false">
      <c r="D87" s="69"/>
      <c r="E87" s="1" t="n">
        <v>0</v>
      </c>
    </row>
    <row r="88" customFormat="false" ht="14.25" hidden="true" customHeight="true" outlineLevel="0" collapsed="false">
      <c r="D88" s="69"/>
      <c r="E88" s="1" t="n">
        <v>0</v>
      </c>
    </row>
    <row r="89" customFormat="false" ht="14.25" hidden="true" customHeight="true" outlineLevel="0" collapsed="false">
      <c r="D89" s="69"/>
      <c r="E89" s="1" t="n">
        <v>0</v>
      </c>
    </row>
    <row r="90" customFormat="false" ht="14.25" hidden="true" customHeight="true" outlineLevel="0" collapsed="false">
      <c r="D90" s="69"/>
      <c r="E90" s="1" t="n">
        <v>0</v>
      </c>
    </row>
    <row r="91" customFormat="false" ht="14.25" hidden="true" customHeight="true" outlineLevel="0" collapsed="false">
      <c r="D91" s="69"/>
      <c r="E91" s="1" t="n">
        <v>0</v>
      </c>
    </row>
    <row r="92" customFormat="false" ht="14.25" hidden="true" customHeight="true" outlineLevel="0" collapsed="false">
      <c r="D92" s="69"/>
      <c r="E92" s="1" t="n">
        <v>0</v>
      </c>
    </row>
    <row r="93" customFormat="false" ht="14.25" hidden="true" customHeight="true" outlineLevel="0" collapsed="false">
      <c r="D93" s="69"/>
      <c r="E93" s="1" t="n">
        <v>0</v>
      </c>
    </row>
    <row r="94" customFormat="false" ht="14.25" hidden="true" customHeight="true" outlineLevel="0" collapsed="false">
      <c r="D94" s="69"/>
      <c r="E94" s="1" t="n">
        <v>0</v>
      </c>
    </row>
    <row r="95" customFormat="false" ht="14.25" hidden="true" customHeight="true" outlineLevel="0" collapsed="false">
      <c r="D95" s="69"/>
      <c r="E95" s="1" t="n">
        <v>0</v>
      </c>
    </row>
    <row r="96" customFormat="false" ht="14.25" hidden="true" customHeight="true" outlineLevel="0" collapsed="false">
      <c r="D96" s="69"/>
      <c r="E96" s="1" t="n">
        <v>0</v>
      </c>
    </row>
    <row r="97" customFormat="false" ht="14.25" hidden="true" customHeight="true" outlineLevel="0" collapsed="false">
      <c r="E97" s="1" t="n">
        <v>0</v>
      </c>
    </row>
    <row r="98" customFormat="false" ht="15" hidden="false" customHeight="false" outlineLevel="0" collapsed="false">
      <c r="A98" s="70" t="s">
        <v>91</v>
      </c>
      <c r="B98" s="71" t="str">
        <f aca="false">+D98</f>
        <v>kg/installed MW</v>
      </c>
      <c r="C98" s="72" t="str">
        <f aca="false">+B98</f>
        <v>kg/installed MW</v>
      </c>
      <c r="D98" s="73" t="str">
        <f aca="false">+E98</f>
        <v>kg/installed MW</v>
      </c>
      <c r="E98" s="74" t="s">
        <v>92</v>
      </c>
      <c r="M98" s="75"/>
      <c r="N98" s="76"/>
    </row>
    <row r="99" customFormat="false" ht="15" hidden="false" customHeight="false" outlineLevel="0" collapsed="false">
      <c r="A99" s="52" t="s">
        <v>32</v>
      </c>
      <c r="B99" s="77" t="n">
        <v>0</v>
      </c>
      <c r="C99" s="66" t="n">
        <v>0</v>
      </c>
      <c r="D99" s="66" t="n">
        <v>0</v>
      </c>
      <c r="E99" s="78" t="n">
        <v>0</v>
      </c>
      <c r="M99" s="75"/>
      <c r="N99" s="76"/>
    </row>
    <row r="100" customFormat="false" ht="15" hidden="false" customHeight="false" outlineLevel="0" collapsed="false">
      <c r="A100" s="52" t="s">
        <v>33</v>
      </c>
      <c r="B100" s="79" t="n">
        <v>10.8</v>
      </c>
      <c r="C100" s="80" t="n">
        <v>10.8</v>
      </c>
      <c r="D100" s="80" t="n">
        <v>0</v>
      </c>
      <c r="E100" s="41" t="n">
        <v>0.78</v>
      </c>
      <c r="M100" s="75"/>
      <c r="N100" s="76"/>
    </row>
    <row r="101" customFormat="false" ht="15" hidden="false" customHeight="false" outlineLevel="0" collapsed="false">
      <c r="A101" s="52" t="s">
        <v>34</v>
      </c>
      <c r="B101" s="79" t="n">
        <v>0</v>
      </c>
      <c r="C101" s="80" t="n">
        <v>0</v>
      </c>
      <c r="D101" s="80" t="n">
        <v>0</v>
      </c>
      <c r="E101" s="41" t="n">
        <v>0</v>
      </c>
      <c r="M101" s="75"/>
      <c r="N101" s="76"/>
    </row>
    <row r="102" customFormat="false" ht="15" hidden="false" customHeight="false" outlineLevel="0" collapsed="false">
      <c r="A102" s="52" t="s">
        <v>35</v>
      </c>
      <c r="B102" s="79" t="n">
        <v>0</v>
      </c>
      <c r="C102" s="80" t="n">
        <v>0</v>
      </c>
      <c r="D102" s="80" t="n">
        <v>0</v>
      </c>
      <c r="E102" s="41" t="n">
        <v>0</v>
      </c>
      <c r="M102" s="75"/>
      <c r="N102" s="76"/>
    </row>
    <row r="103" customFormat="false" ht="15" hidden="false" customHeight="false" outlineLevel="0" collapsed="false">
      <c r="A103" s="52" t="s">
        <v>36</v>
      </c>
      <c r="B103" s="79" t="n">
        <v>29.8</v>
      </c>
      <c r="C103" s="80" t="n">
        <v>59.6</v>
      </c>
      <c r="D103" s="80" t="n">
        <v>0</v>
      </c>
      <c r="E103" s="41" t="n">
        <v>0</v>
      </c>
      <c r="M103" s="75"/>
      <c r="N103" s="76"/>
    </row>
    <row r="104" customFormat="false" ht="15" hidden="false" customHeight="false" outlineLevel="0" collapsed="false">
      <c r="A104" s="52" t="s">
        <v>37</v>
      </c>
      <c r="B104" s="79" t="n">
        <v>0</v>
      </c>
      <c r="C104" s="80" t="n">
        <v>0</v>
      </c>
      <c r="D104" s="80" t="n">
        <v>0</v>
      </c>
      <c r="E104" s="41" t="n">
        <v>0</v>
      </c>
      <c r="M104" s="75"/>
      <c r="N104" s="76"/>
    </row>
    <row r="105" customFormat="false" ht="15" hidden="false" customHeight="false" outlineLevel="0" collapsed="false">
      <c r="A105" s="52" t="s">
        <v>38</v>
      </c>
      <c r="B105" s="79" t="n">
        <v>0</v>
      </c>
      <c r="C105" s="80" t="n">
        <v>0</v>
      </c>
      <c r="D105" s="80" t="n">
        <v>0</v>
      </c>
      <c r="E105" s="41" t="n">
        <v>0</v>
      </c>
      <c r="M105" s="75"/>
      <c r="N105" s="76"/>
    </row>
    <row r="106" customFormat="false" ht="15" hidden="false" customHeight="false" outlineLevel="0" collapsed="false">
      <c r="A106" s="52" t="s">
        <v>39</v>
      </c>
      <c r="B106" s="79" t="n">
        <v>5.8</v>
      </c>
      <c r="C106" s="80" t="n">
        <v>5.8</v>
      </c>
      <c r="D106" s="80" t="n">
        <v>0</v>
      </c>
      <c r="E106" s="41" t="n">
        <v>0</v>
      </c>
      <c r="M106" s="75"/>
      <c r="N106" s="76"/>
    </row>
    <row r="107" customFormat="false" ht="15" hidden="false" customHeight="false" outlineLevel="0" collapsed="false">
      <c r="A107" s="38" t="s">
        <v>40</v>
      </c>
      <c r="B107" s="79" t="n">
        <v>65</v>
      </c>
      <c r="C107" s="80" t="n">
        <v>356</v>
      </c>
      <c r="D107" s="80" t="n">
        <v>1294</v>
      </c>
      <c r="E107" s="41" t="n">
        <v>3450</v>
      </c>
      <c r="M107" s="75"/>
      <c r="N107" s="76"/>
    </row>
    <row r="108" customFormat="false" ht="15" hidden="false" customHeight="false" outlineLevel="0" collapsed="false">
      <c r="A108" s="38" t="s">
        <v>41</v>
      </c>
      <c r="B108" s="79" t="n">
        <v>0</v>
      </c>
      <c r="C108" s="80" t="n">
        <v>0</v>
      </c>
      <c r="D108" s="80" t="n">
        <v>0</v>
      </c>
      <c r="E108" s="41" t="n">
        <v>0</v>
      </c>
      <c r="M108" s="75"/>
      <c r="N108" s="76"/>
    </row>
    <row r="109" customFormat="false" ht="15" hidden="false" customHeight="false" outlineLevel="0" collapsed="false">
      <c r="A109" s="38" t="s">
        <v>42</v>
      </c>
      <c r="B109" s="79" t="n">
        <v>0</v>
      </c>
      <c r="C109" s="80" t="n">
        <v>0</v>
      </c>
      <c r="D109" s="80" t="n">
        <v>0</v>
      </c>
      <c r="E109" s="41" t="n">
        <v>0</v>
      </c>
      <c r="M109" s="75"/>
      <c r="N109" s="76"/>
    </row>
    <row r="110" customFormat="false" ht="15" hidden="false" customHeight="false" outlineLevel="0" collapsed="false">
      <c r="A110" s="38" t="s">
        <v>43</v>
      </c>
      <c r="B110" s="79" t="n">
        <v>0</v>
      </c>
      <c r="C110" s="80" t="n">
        <v>0</v>
      </c>
      <c r="D110" s="80" t="n">
        <v>0</v>
      </c>
      <c r="E110" s="41" t="n">
        <v>0</v>
      </c>
      <c r="M110" s="75"/>
      <c r="N110" s="76"/>
    </row>
    <row r="111" customFormat="false" ht="15" hidden="false" customHeight="false" outlineLevel="0" collapsed="false">
      <c r="A111" s="52" t="s">
        <v>44</v>
      </c>
      <c r="B111" s="79" t="n">
        <v>122</v>
      </c>
      <c r="C111" s="80" t="n">
        <v>122</v>
      </c>
      <c r="D111" s="80" t="n">
        <v>0</v>
      </c>
      <c r="E111" s="41" t="n">
        <v>0</v>
      </c>
      <c r="M111" s="75"/>
      <c r="N111" s="76"/>
    </row>
    <row r="112" customFormat="false" ht="15" hidden="false" customHeight="false" outlineLevel="0" collapsed="false">
      <c r="A112" s="52" t="s">
        <v>45</v>
      </c>
      <c r="B112" s="79" t="n">
        <v>0</v>
      </c>
      <c r="C112" s="80" t="n">
        <v>0</v>
      </c>
      <c r="D112" s="80" t="n">
        <v>0</v>
      </c>
      <c r="E112" s="41" t="n">
        <v>0</v>
      </c>
      <c r="M112" s="75"/>
      <c r="N112" s="76"/>
    </row>
    <row r="113" customFormat="false" ht="15" hidden="false" customHeight="false" outlineLevel="0" collapsed="false">
      <c r="A113" s="52" t="s">
        <v>93</v>
      </c>
      <c r="B113" s="79" t="n">
        <v>0</v>
      </c>
      <c r="C113" s="80" t="n">
        <v>0</v>
      </c>
      <c r="D113" s="80" t="n">
        <v>0</v>
      </c>
      <c r="E113" s="41" t="n">
        <v>0</v>
      </c>
      <c r="M113" s="75"/>
      <c r="N113" s="76"/>
    </row>
    <row r="114" customFormat="false" ht="15" hidden="false" customHeight="false" outlineLevel="0" collapsed="false">
      <c r="A114" s="52" t="s">
        <v>47</v>
      </c>
      <c r="B114" s="79" t="n">
        <v>0</v>
      </c>
      <c r="C114" s="80" t="n">
        <v>0</v>
      </c>
      <c r="D114" s="80" t="n">
        <v>0</v>
      </c>
      <c r="E114" s="41" t="n">
        <v>140</v>
      </c>
      <c r="M114" s="75"/>
      <c r="N114" s="76"/>
    </row>
    <row r="115" customFormat="false" ht="15" hidden="false" customHeight="false" outlineLevel="0" collapsed="false">
      <c r="A115" s="52" t="s">
        <v>48</v>
      </c>
      <c r="B115" s="79" t="n">
        <v>19</v>
      </c>
      <c r="C115" s="80" t="n">
        <v>19</v>
      </c>
      <c r="D115" s="80" t="n">
        <v>0</v>
      </c>
      <c r="E115" s="41" t="n">
        <v>0</v>
      </c>
      <c r="M115" s="75"/>
      <c r="N115" s="76"/>
    </row>
    <row r="116" customFormat="false" ht="15" hidden="false" customHeight="false" outlineLevel="0" collapsed="false">
      <c r="A116" s="52" t="s">
        <v>49</v>
      </c>
      <c r="B116" s="79" t="n">
        <v>0</v>
      </c>
      <c r="C116" s="80" t="n">
        <v>0</v>
      </c>
      <c r="D116" s="80" t="n">
        <v>0</v>
      </c>
      <c r="E116" s="41" t="n">
        <v>0</v>
      </c>
      <c r="M116" s="75"/>
      <c r="N116" s="76"/>
    </row>
    <row r="117" customFormat="false" ht="15" hidden="false" customHeight="false" outlineLevel="0" collapsed="false">
      <c r="A117" s="52" t="s">
        <v>50</v>
      </c>
      <c r="B117" s="79" t="n">
        <v>0</v>
      </c>
      <c r="C117" s="80" t="n">
        <v>0</v>
      </c>
      <c r="D117" s="80" t="n">
        <v>0</v>
      </c>
      <c r="E117" s="41" t="n">
        <v>0</v>
      </c>
      <c r="M117" s="75"/>
      <c r="N117" s="76"/>
    </row>
    <row r="118" customFormat="false" ht="15" hidden="false" customHeight="false" outlineLevel="0" collapsed="false">
      <c r="A118" s="52" t="s">
        <v>51</v>
      </c>
      <c r="B118" s="79" t="n">
        <v>0</v>
      </c>
      <c r="C118" s="80" t="n">
        <v>0</v>
      </c>
      <c r="D118" s="80" t="n">
        <v>0</v>
      </c>
      <c r="E118" s="41" t="n">
        <v>0</v>
      </c>
      <c r="M118" s="75"/>
      <c r="N118" s="76"/>
    </row>
    <row r="119" customFormat="false" ht="15" hidden="false" customHeight="false" outlineLevel="0" collapsed="false">
      <c r="A119" s="52" t="s">
        <v>52</v>
      </c>
      <c r="B119" s="79" t="n">
        <v>0</v>
      </c>
      <c r="C119" s="80" t="n">
        <v>0</v>
      </c>
      <c r="D119" s="80" t="n">
        <v>0</v>
      </c>
      <c r="E119" s="41" t="n">
        <v>0</v>
      </c>
      <c r="M119" s="75"/>
      <c r="N119" s="76"/>
    </row>
    <row r="120" customFormat="false" ht="15" hidden="false" customHeight="false" outlineLevel="0" collapsed="false">
      <c r="A120" s="52" t="s">
        <v>53</v>
      </c>
      <c r="B120" s="79" t="n">
        <v>0</v>
      </c>
      <c r="C120" s="80" t="n">
        <v>0</v>
      </c>
      <c r="D120" s="80" t="n">
        <v>0</v>
      </c>
      <c r="E120" s="41" t="n">
        <v>0</v>
      </c>
      <c r="M120" s="75"/>
      <c r="N120" s="76"/>
    </row>
    <row r="121" customFormat="false" ht="15" hidden="false" customHeight="false" outlineLevel="0" collapsed="false">
      <c r="A121" s="52" t="s">
        <v>94</v>
      </c>
      <c r="B121" s="79" t="n">
        <v>0</v>
      </c>
      <c r="C121" s="80" t="n">
        <v>0</v>
      </c>
      <c r="D121" s="80" t="n">
        <v>0</v>
      </c>
      <c r="E121" s="41" t="n">
        <v>11</v>
      </c>
      <c r="M121" s="75"/>
      <c r="N121" s="76"/>
    </row>
    <row r="122" customFormat="false" ht="15" hidden="false" customHeight="false" outlineLevel="0" collapsed="false">
      <c r="A122" s="52" t="s">
        <v>55</v>
      </c>
      <c r="B122" s="79" t="n">
        <v>0</v>
      </c>
      <c r="C122" s="80" t="n">
        <v>0</v>
      </c>
      <c r="D122" s="80" t="n">
        <v>0</v>
      </c>
      <c r="E122" s="41" t="n">
        <v>0</v>
      </c>
      <c r="M122" s="75"/>
      <c r="N122" s="76"/>
    </row>
    <row r="123" customFormat="false" ht="15" hidden="false" customHeight="false" outlineLevel="0" collapsed="false">
      <c r="A123" s="52" t="s">
        <v>56</v>
      </c>
      <c r="B123" s="79" t="n">
        <v>0</v>
      </c>
      <c r="C123" s="80" t="n">
        <v>0</v>
      </c>
      <c r="D123" s="80" t="n">
        <v>0</v>
      </c>
      <c r="E123" s="41" t="n">
        <v>0</v>
      </c>
      <c r="M123" s="75"/>
      <c r="N123" s="76"/>
    </row>
    <row r="124" customFormat="false" ht="15" hidden="false" customHeight="false" outlineLevel="0" collapsed="false">
      <c r="A124" s="52" t="s">
        <v>57</v>
      </c>
      <c r="B124" s="79" t="n">
        <v>25.6</v>
      </c>
      <c r="C124" s="80" t="n">
        <v>25.6</v>
      </c>
      <c r="D124" s="80" t="n">
        <v>0</v>
      </c>
      <c r="E124" s="41" t="n">
        <v>0</v>
      </c>
      <c r="M124" s="75"/>
      <c r="N124" s="76"/>
    </row>
    <row r="125" customFormat="false" ht="15" hidden="false" customHeight="false" outlineLevel="0" collapsed="false">
      <c r="A125" s="52" t="s">
        <v>58</v>
      </c>
      <c r="B125" s="79" t="n">
        <v>0</v>
      </c>
      <c r="C125" s="80" t="n">
        <v>0</v>
      </c>
      <c r="D125" s="80" t="n">
        <v>0</v>
      </c>
      <c r="E125" s="41" t="n">
        <v>3.2</v>
      </c>
      <c r="M125" s="75"/>
      <c r="N125" s="76"/>
    </row>
    <row r="126" customFormat="false" ht="15" hidden="false" customHeight="false" outlineLevel="0" collapsed="false">
      <c r="A126" s="52" t="s">
        <v>59</v>
      </c>
      <c r="B126" s="79" t="n">
        <v>0</v>
      </c>
      <c r="C126" s="80" t="n">
        <v>0</v>
      </c>
      <c r="D126" s="80" t="n">
        <v>0</v>
      </c>
      <c r="E126" s="41" t="n">
        <v>0</v>
      </c>
      <c r="M126" s="75"/>
      <c r="N126" s="76"/>
    </row>
    <row r="127" customFormat="false" ht="15" hidden="false" customHeight="false" outlineLevel="0" collapsed="false">
      <c r="A127" s="52" t="s">
        <v>60</v>
      </c>
      <c r="B127" s="79" t="n">
        <v>0</v>
      </c>
      <c r="C127" s="80" t="n">
        <v>0</v>
      </c>
      <c r="D127" s="80" t="n">
        <v>0</v>
      </c>
      <c r="E127" s="41" t="n">
        <v>0</v>
      </c>
      <c r="M127" s="75"/>
      <c r="N127" s="76"/>
    </row>
    <row r="128" customFormat="false" ht="15" hidden="false" customHeight="false" outlineLevel="0" collapsed="false">
      <c r="A128" s="52" t="s">
        <v>61</v>
      </c>
      <c r="B128" s="79" t="n">
        <v>0</v>
      </c>
      <c r="C128" s="80" t="n">
        <v>0</v>
      </c>
      <c r="D128" s="80" t="n">
        <v>0</v>
      </c>
      <c r="E128" s="41" t="n">
        <v>0</v>
      </c>
      <c r="M128" s="75"/>
      <c r="N128" s="76"/>
    </row>
    <row r="129" customFormat="false" ht="15" hidden="false" customHeight="false" outlineLevel="0" collapsed="false">
      <c r="A129" s="52" t="s">
        <v>62</v>
      </c>
      <c r="B129" s="79" t="n">
        <v>0</v>
      </c>
      <c r="C129" s="80" t="n">
        <v>0</v>
      </c>
      <c r="D129" s="80" t="n">
        <v>0</v>
      </c>
      <c r="E129" s="41" t="n">
        <v>0</v>
      </c>
      <c r="M129" s="75"/>
      <c r="N129" s="76"/>
    </row>
    <row r="130" customFormat="false" ht="15" hidden="false" customHeight="false" outlineLevel="0" collapsed="false">
      <c r="A130" s="52" t="s">
        <v>63</v>
      </c>
      <c r="B130" s="79" t="n">
        <v>0</v>
      </c>
      <c r="C130" s="80" t="n">
        <v>0</v>
      </c>
      <c r="D130" s="80" t="n">
        <v>0</v>
      </c>
      <c r="E130" s="41" t="n">
        <v>0</v>
      </c>
      <c r="M130" s="75"/>
      <c r="N130" s="76"/>
    </row>
    <row r="131" customFormat="false" ht="15" hidden="false" customHeight="false" outlineLevel="0" collapsed="false">
      <c r="A131" s="52" t="s">
        <v>64</v>
      </c>
      <c r="B131" s="79" t="n">
        <v>0</v>
      </c>
      <c r="C131" s="80" t="n">
        <v>0</v>
      </c>
      <c r="D131" s="80" t="n">
        <v>0</v>
      </c>
      <c r="E131" s="41" t="n">
        <v>0</v>
      </c>
      <c r="M131" s="75"/>
      <c r="N131" s="76"/>
    </row>
    <row r="132" customFormat="false" ht="15" hidden="false" customHeight="false" outlineLevel="0" collapsed="false">
      <c r="A132" s="52" t="s">
        <v>65</v>
      </c>
      <c r="B132" s="79" t="n">
        <v>0</v>
      </c>
      <c r="C132" s="80" t="n">
        <v>0</v>
      </c>
      <c r="D132" s="80" t="n">
        <v>0</v>
      </c>
      <c r="E132" s="41" t="n">
        <v>0</v>
      </c>
      <c r="M132" s="75"/>
      <c r="N132" s="76"/>
    </row>
    <row r="133" customFormat="false" ht="15" hidden="false" customHeight="false" outlineLevel="0" collapsed="false">
      <c r="A133" s="52" t="s">
        <v>54</v>
      </c>
      <c r="B133" s="79" t="n">
        <v>0</v>
      </c>
      <c r="C133" s="80" t="n">
        <v>0</v>
      </c>
      <c r="D133" s="80" t="n">
        <v>0</v>
      </c>
      <c r="E133" s="41" t="n">
        <v>0</v>
      </c>
      <c r="M133" s="75"/>
      <c r="N133" s="76"/>
    </row>
    <row r="134" customFormat="false" ht="15" hidden="false" customHeight="false" outlineLevel="0" collapsed="false">
      <c r="A134" s="52" t="s">
        <v>66</v>
      </c>
      <c r="B134" s="79" t="n">
        <v>0</v>
      </c>
      <c r="C134" s="80" t="n">
        <v>0</v>
      </c>
      <c r="D134" s="80" t="n">
        <v>0</v>
      </c>
      <c r="E134" s="41" t="n">
        <v>0</v>
      </c>
      <c r="M134" s="75"/>
      <c r="N134" s="76"/>
    </row>
    <row r="135" customFormat="false" ht="15" hidden="false" customHeight="false" outlineLevel="0" collapsed="false">
      <c r="A135" s="52" t="s">
        <v>67</v>
      </c>
      <c r="B135" s="79" t="n">
        <v>0</v>
      </c>
      <c r="C135" s="80" t="n">
        <v>0</v>
      </c>
      <c r="D135" s="80" t="n">
        <v>0</v>
      </c>
      <c r="E135" s="41" t="n">
        <v>0</v>
      </c>
      <c r="M135" s="75"/>
      <c r="N135" s="76"/>
    </row>
    <row r="136" customFormat="false" ht="15" hidden="false" customHeight="false" outlineLevel="0" collapsed="false">
      <c r="A136" s="52" t="s">
        <v>68</v>
      </c>
      <c r="B136" s="79" t="n">
        <v>0</v>
      </c>
      <c r="C136" s="80" t="n">
        <v>0</v>
      </c>
      <c r="D136" s="80" t="n">
        <v>0</v>
      </c>
      <c r="E136" s="41" t="n">
        <v>0</v>
      </c>
      <c r="M136" s="75"/>
      <c r="N136" s="76"/>
    </row>
    <row r="137" customFormat="false" ht="15" hidden="false" customHeight="false" outlineLevel="0" collapsed="false">
      <c r="A137" s="52" t="s">
        <v>69</v>
      </c>
      <c r="B137" s="79" t="n">
        <v>0</v>
      </c>
      <c r="C137" s="80" t="n">
        <v>0</v>
      </c>
      <c r="D137" s="80" t="n">
        <v>0</v>
      </c>
      <c r="E137" s="41" t="n">
        <v>0</v>
      </c>
      <c r="M137" s="75"/>
      <c r="N137" s="76"/>
    </row>
    <row r="138" customFormat="false" ht="15" hidden="false" customHeight="false" outlineLevel="0" collapsed="false">
      <c r="A138" s="52" t="s">
        <v>70</v>
      </c>
      <c r="B138" s="79" t="n">
        <v>9.2</v>
      </c>
      <c r="C138" s="80" t="n">
        <v>9.2</v>
      </c>
      <c r="D138" s="80" t="n">
        <v>0</v>
      </c>
      <c r="E138" s="41" t="n">
        <v>0</v>
      </c>
      <c r="M138" s="75"/>
      <c r="N138" s="76"/>
    </row>
    <row r="139" customFormat="false" ht="15" hidden="false" customHeight="false" outlineLevel="0" collapsed="false">
      <c r="A139" s="52" t="s">
        <v>71</v>
      </c>
      <c r="B139" s="79" t="n">
        <v>0</v>
      </c>
      <c r="C139" s="80" t="n">
        <v>0</v>
      </c>
      <c r="D139" s="80" t="n">
        <v>0</v>
      </c>
      <c r="E139" s="41" t="n">
        <v>0</v>
      </c>
      <c r="M139" s="75"/>
      <c r="N139" s="76"/>
    </row>
    <row r="140" customFormat="false" ht="15" hidden="false" customHeight="false" outlineLevel="0" collapsed="false">
      <c r="A140" s="52" t="s">
        <v>72</v>
      </c>
      <c r="B140" s="79" t="n">
        <v>0</v>
      </c>
      <c r="C140" s="80" t="n">
        <v>0</v>
      </c>
      <c r="D140" s="80" t="n">
        <v>0</v>
      </c>
      <c r="E140" s="41" t="n">
        <v>0</v>
      </c>
      <c r="M140" s="75"/>
      <c r="N140" s="76"/>
    </row>
    <row r="141" customFormat="false" ht="15" hidden="false" customHeight="false" outlineLevel="0" collapsed="false">
      <c r="A141" s="52" t="s">
        <v>73</v>
      </c>
      <c r="B141" s="79" t="n">
        <v>0</v>
      </c>
      <c r="C141" s="80" t="n">
        <v>0</v>
      </c>
      <c r="D141" s="80" t="n">
        <v>0</v>
      </c>
      <c r="E141" s="41" t="n">
        <v>0</v>
      </c>
      <c r="M141" s="75"/>
      <c r="N141" s="76"/>
    </row>
    <row r="142" customFormat="false" ht="15" hidden="false" customHeight="false" outlineLevel="0" collapsed="false">
      <c r="A142" s="52" t="s">
        <v>74</v>
      </c>
      <c r="B142" s="79" t="n">
        <v>0</v>
      </c>
      <c r="C142" s="80" t="n">
        <v>0</v>
      </c>
      <c r="D142" s="80" t="n">
        <v>0</v>
      </c>
      <c r="E142" s="41" t="n">
        <v>0</v>
      </c>
      <c r="M142" s="81"/>
      <c r="N142" s="76"/>
    </row>
    <row r="143" customFormat="false" ht="15" hidden="false" customHeight="false" outlineLevel="0" collapsed="false">
      <c r="A143" s="38" t="s">
        <v>75</v>
      </c>
      <c r="B143" s="79" t="n">
        <v>0</v>
      </c>
      <c r="C143" s="80" t="n">
        <v>0</v>
      </c>
      <c r="D143" s="80" t="n">
        <v>0</v>
      </c>
      <c r="E143" s="41" t="n">
        <v>98</v>
      </c>
      <c r="M143" s="75"/>
      <c r="N143" s="76"/>
    </row>
    <row r="144" customFormat="false" ht="15" hidden="false" customHeight="false" outlineLevel="0" collapsed="false">
      <c r="A144" s="38" t="s">
        <v>95</v>
      </c>
      <c r="B144" s="79" t="n">
        <v>0</v>
      </c>
      <c r="C144" s="80" t="n">
        <v>0</v>
      </c>
      <c r="D144" s="80" t="n">
        <v>2.56</v>
      </c>
      <c r="E144" s="41" t="n">
        <v>0</v>
      </c>
      <c r="M144" s="75"/>
      <c r="N144" s="76"/>
    </row>
    <row r="145" customFormat="false" ht="15" hidden="false" customHeight="false" outlineLevel="0" collapsed="false">
      <c r="A145" s="52" t="s">
        <v>77</v>
      </c>
      <c r="B145" s="79" t="n">
        <v>0</v>
      </c>
      <c r="C145" s="80" t="n">
        <v>0</v>
      </c>
      <c r="D145" s="80" t="n">
        <v>0.04</v>
      </c>
      <c r="E145" s="41" t="n">
        <v>0.014</v>
      </c>
      <c r="M145" s="75"/>
      <c r="N145" s="76"/>
    </row>
    <row r="146" customFormat="false" ht="15" hidden="false" customHeight="false" outlineLevel="0" collapsed="false">
      <c r="A146" s="52" t="s">
        <v>78</v>
      </c>
      <c r="B146" s="79" t="n">
        <v>0</v>
      </c>
      <c r="C146" s="80" t="n">
        <v>0</v>
      </c>
      <c r="D146" s="80" t="n">
        <v>0</v>
      </c>
      <c r="E146" s="41" t="n">
        <v>0</v>
      </c>
      <c r="M146" s="75"/>
      <c r="N146" s="76"/>
    </row>
    <row r="147" customFormat="false" ht="15" hidden="false" customHeight="false" outlineLevel="0" collapsed="false">
      <c r="A147" s="52" t="s">
        <v>79</v>
      </c>
      <c r="B147" s="79" t="n">
        <v>0</v>
      </c>
      <c r="C147" s="80" t="n">
        <v>0</v>
      </c>
      <c r="D147" s="80" t="n">
        <v>0</v>
      </c>
      <c r="E147" s="41" t="n">
        <v>0</v>
      </c>
      <c r="M147" s="75"/>
      <c r="N147" s="76"/>
    </row>
    <row r="148" customFormat="false" ht="15" hidden="false" customHeight="false" outlineLevel="0" collapsed="false">
      <c r="A148" s="52" t="s">
        <v>80</v>
      </c>
      <c r="B148" s="79" t="n">
        <v>0</v>
      </c>
      <c r="C148" s="80" t="n">
        <v>0</v>
      </c>
      <c r="D148" s="80" t="n">
        <v>0</v>
      </c>
      <c r="E148" s="41" t="n">
        <v>0</v>
      </c>
      <c r="M148" s="75"/>
      <c r="N148" s="76"/>
    </row>
    <row r="149" customFormat="false" ht="15" hidden="false" customHeight="false" outlineLevel="0" collapsed="false">
      <c r="A149" s="52" t="s">
        <v>81</v>
      </c>
      <c r="B149" s="79" t="n">
        <v>0</v>
      </c>
      <c r="C149" s="80" t="n">
        <v>0</v>
      </c>
      <c r="D149" s="80" t="n">
        <v>0</v>
      </c>
      <c r="E149" s="41" t="n">
        <v>0</v>
      </c>
      <c r="M149" s="75"/>
      <c r="N149" s="76"/>
    </row>
    <row r="150" customFormat="false" ht="15" hidden="false" customHeight="false" outlineLevel="0" collapsed="false">
      <c r="A150" s="38" t="s">
        <v>96</v>
      </c>
      <c r="B150" s="79" t="n">
        <v>0</v>
      </c>
      <c r="C150" s="80" t="n">
        <v>0</v>
      </c>
      <c r="D150" s="80" t="n">
        <v>0</v>
      </c>
      <c r="E150" s="41" t="n">
        <v>2000</v>
      </c>
      <c r="M150" s="75"/>
      <c r="N150" s="76"/>
    </row>
    <row r="151" customFormat="false" ht="15" hidden="false" customHeight="false" outlineLevel="0" collapsed="false">
      <c r="A151" s="38" t="s">
        <v>83</v>
      </c>
      <c r="B151" s="79" t="n">
        <v>0</v>
      </c>
      <c r="C151" s="80" t="n">
        <v>0</v>
      </c>
      <c r="D151" s="80" t="n">
        <v>0</v>
      </c>
      <c r="E151" s="41" t="n">
        <v>0</v>
      </c>
      <c r="M151" s="75"/>
      <c r="N151" s="76"/>
    </row>
    <row r="152" customFormat="false" ht="15" hidden="false" customHeight="false" outlineLevel="0" collapsed="false">
      <c r="A152" s="38" t="s">
        <v>84</v>
      </c>
      <c r="B152" s="79" t="n">
        <v>0</v>
      </c>
      <c r="C152" s="80" t="n">
        <v>0</v>
      </c>
      <c r="D152" s="80" t="n">
        <v>0</v>
      </c>
      <c r="E152" s="41" t="n">
        <v>0</v>
      </c>
      <c r="M152" s="75"/>
      <c r="N152" s="76"/>
    </row>
    <row r="153" customFormat="false" ht="15" hidden="false" customHeight="false" outlineLevel="0" collapsed="false">
      <c r="A153" s="38" t="s">
        <v>85</v>
      </c>
      <c r="B153" s="79" t="n">
        <v>0</v>
      </c>
      <c r="C153" s="80" t="n">
        <v>0</v>
      </c>
      <c r="D153" s="80" t="n">
        <v>0</v>
      </c>
      <c r="E153" s="41" t="n">
        <v>0</v>
      </c>
      <c r="M153" s="75"/>
      <c r="N153" s="76"/>
    </row>
    <row r="154" customFormat="false" ht="15" hidden="false" customHeight="false" outlineLevel="0" collapsed="false">
      <c r="A154" s="38" t="s">
        <v>86</v>
      </c>
      <c r="B154" s="79" t="n">
        <v>0</v>
      </c>
      <c r="C154" s="80" t="n">
        <v>0</v>
      </c>
      <c r="D154" s="80" t="n">
        <v>0</v>
      </c>
      <c r="E154" s="41" t="n">
        <v>0</v>
      </c>
      <c r="M154" s="75"/>
      <c r="N154" s="76"/>
    </row>
    <row r="155" customFormat="false" ht="15" hidden="false" customHeight="false" outlineLevel="0" collapsed="false">
      <c r="A155" s="38" t="s">
        <v>87</v>
      </c>
      <c r="B155" s="79" t="n">
        <v>0</v>
      </c>
      <c r="C155" s="80" t="n">
        <v>0</v>
      </c>
      <c r="D155" s="80" t="n">
        <v>0</v>
      </c>
      <c r="E155" s="41" t="n">
        <v>0</v>
      </c>
      <c r="M155" s="75"/>
      <c r="N155" s="76"/>
    </row>
    <row r="156" customFormat="false" ht="15" hidden="false" customHeight="false" outlineLevel="0" collapsed="false">
      <c r="A156" s="82" t="s">
        <v>88</v>
      </c>
      <c r="B156" s="83" t="n">
        <v>0</v>
      </c>
      <c r="C156" s="84" t="n">
        <v>0</v>
      </c>
      <c r="D156" s="84" t="n">
        <v>0</v>
      </c>
      <c r="E156" s="85" t="n">
        <v>0</v>
      </c>
      <c r="M156" s="75"/>
      <c r="N156" s="76"/>
    </row>
    <row r="157" customFormat="false" ht="15" hidden="false" customHeight="false" outlineLevel="0" collapsed="false">
      <c r="A157" s="86" t="s">
        <v>97</v>
      </c>
      <c r="B157" s="77" t="n">
        <v>0</v>
      </c>
      <c r="C157" s="66" t="n">
        <v>0</v>
      </c>
      <c r="D157" s="66" t="n">
        <v>0</v>
      </c>
      <c r="E157" s="87" t="n">
        <v>12000000</v>
      </c>
      <c r="M157" s="88" t="n">
        <v>0.0025</v>
      </c>
      <c r="N157" s="76"/>
    </row>
    <row r="158" customFormat="false" ht="15" hidden="false" customHeight="false" outlineLevel="0" collapsed="false">
      <c r="A158" s="89" t="s">
        <v>98</v>
      </c>
      <c r="B158" s="90" t="n">
        <v>0</v>
      </c>
      <c r="C158" s="68" t="n">
        <v>0</v>
      </c>
      <c r="D158" s="68" t="n">
        <v>20000</v>
      </c>
      <c r="E158" s="59" t="n">
        <v>500000</v>
      </c>
      <c r="M158" s="91" t="n">
        <v>0.025</v>
      </c>
      <c r="N158" s="76"/>
    </row>
    <row r="159" customFormat="false" ht="15" hidden="false" customHeight="false" outlineLevel="0" collapsed="false">
      <c r="A159" s="92"/>
      <c r="E159" s="1"/>
      <c r="N159" s="93"/>
    </row>
    <row r="160" customFormat="false" ht="15" hidden="false" customHeight="false" outlineLevel="0" collapsed="false">
      <c r="A160" s="94" t="s">
        <v>99</v>
      </c>
      <c r="B160" s="95" t="n">
        <v>0.02</v>
      </c>
      <c r="C160" s="95" t="n">
        <v>0.02</v>
      </c>
      <c r="D160" s="96" t="n">
        <v>0.005</v>
      </c>
      <c r="E160" s="95" t="n">
        <v>0.1</v>
      </c>
    </row>
    <row r="161" customFormat="false" ht="15" hidden="false" customHeight="false" outlineLevel="0" collapsed="false">
      <c r="A161" s="94" t="s">
        <v>100</v>
      </c>
      <c r="B161" s="95" t="n">
        <f aca="false">D161</f>
        <v>0.1</v>
      </c>
      <c r="C161" s="95" t="n">
        <f aca="false">B161</f>
        <v>0.1</v>
      </c>
      <c r="D161" s="95" t="n">
        <f aca="false">E161</f>
        <v>0.1</v>
      </c>
      <c r="E161" s="95" t="n">
        <v>0.1</v>
      </c>
      <c r="F161" s="95" t="n">
        <v>0.1</v>
      </c>
      <c r="G161" s="97"/>
      <c r="H161" s="97"/>
      <c r="I161" s="97"/>
      <c r="J161" s="97"/>
    </row>
    <row r="162" customFormat="false" ht="15" hidden="false" customHeight="false" outlineLevel="0" collapsed="false">
      <c r="A162" s="98"/>
    </row>
    <row r="164" customFormat="false" ht="15" hidden="false" customHeight="false" outlineLevel="0" collapsed="false">
      <c r="A164" s="2"/>
    </row>
  </sheetData>
  <mergeCells count="1">
    <mergeCell ref="B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2021-10-19T08:10:42Z</dcterms:created>
  <dc:creator>Roger</dc:creator>
  <dc:description/>
  <dc:language>ca-ES</dc:language>
  <cp:lastModifiedBy/>
  <dcterms:modified xsi:type="dcterms:W3CDTF">2026-04-16T15:55:04Z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