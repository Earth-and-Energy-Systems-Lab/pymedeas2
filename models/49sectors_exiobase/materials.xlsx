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4961CF08-9532-49C2-93D6-F81BC4A1C811}" xr6:coauthVersionLast="47" xr6:coauthVersionMax="47" xr10:uidLastSave="{00000000-0000-0000-0000-000000000000}"/>
  <bookViews>
    <workbookView xWindow="-120" yWindow="-120" windowWidth="28050" windowHeight="13995" xr2:uid="{00000000-000D-0000-FFFF-FFFF00000000}"/>
  </bookViews>
  <sheets>
    <sheet name="Global" sheetId="1" r:id="rId1"/>
  </sheets>
  <definedNames>
    <definedName name="a_extraction_projection_minerals" localSheetId="0">Global!$T$5:$T$62</definedName>
    <definedName name="current_mineral_reserves_mt" localSheetId="0">Global!$R$5:$R$62</definedName>
    <definedName name="current_mineral_resources_mt" localSheetId="0">Global!$S$5:$S$62</definedName>
    <definedName name="current_recycling_rates_minerals" localSheetId="0">Global!$Q$5:$Q$62</definedName>
    <definedName name="energy_requirements_per_unit_of_water_consumption" localSheetId="0">Global!$M$157:$M$158</definedName>
    <definedName name="grid_correction_factor_ev_batteries" localSheetId="0">Global!$F$64</definedName>
    <definedName name="grid_correction_factor_res_elec" localSheetId="0">Global!$B$64:$E$64</definedName>
    <definedName name="historical_extraction_minerals_rest" localSheetId="0">Global!$V$5:$AR$62</definedName>
    <definedName name="initial_energy_cons_per_material_recycled" comment="&quot;Initial energy cons per unit of material cons (recycled) - data&quot;" localSheetId="0">Global!$N$5:$N$62</definedName>
    <definedName name="initial_energy_cons_per_material_virgin" comment="&quot;Initial energy cons per unit of material cons (virgin)&quot;" localSheetId="0">Global!$M$5:$M$62</definedName>
    <definedName name="initial_minerals_extraction_rest" localSheetId="0">Global!$W$5:$W$62</definedName>
    <definedName name="materials_for_om_per_capacity_installed_res_elec" localSheetId="0">Global!$B$99:$E$156</definedName>
    <definedName name="materials_per_new_capacity_installed_ev_batteries" localSheetId="0">Global!$F$5:$J$62</definedName>
    <definedName name="materials_per_new_capacity_installed_res" localSheetId="0">Global!$B$5:$E$62</definedName>
    <definedName name="materials_per_new_res_elec_capacity_installed_hvdcs" localSheetId="0">Global!$L$5:$L$62</definedName>
    <definedName name="materials_per_new_res_elec_capacity_installed_material_overgrid_high_power" localSheetId="0">Global!$K$5:$K$62</definedName>
    <definedName name="self_electricity_consumption_res_elec" localSheetId="0">Global!$B$160:$E$160</definedName>
    <definedName name="share_energy_requirements_for_decom_ev_batteries" localSheetId="0">Global!$F$161</definedName>
    <definedName name="share_energy_requirements_for_decom_res_elec" localSheetId="0">Global!$B$161:$E$161</definedName>
    <definedName name="time" localSheetId="0">Global!$V$3:$AR$3</definedName>
    <definedName name="water_for_om_res_elec" localSheetId="0">Global!$B$157:$E$158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1" i="1" l="1"/>
  <c r="B161" i="1" s="1"/>
  <c r="C161" i="1" s="1"/>
  <c r="D98" i="1"/>
  <c r="B98" i="1" s="1"/>
  <c r="C98" i="1" s="1"/>
  <c r="Q62" i="1"/>
  <c r="D62" i="1"/>
  <c r="D60" i="1"/>
  <c r="D58" i="1"/>
  <c r="D52" i="1"/>
  <c r="B52" i="1" s="1"/>
  <c r="Q51" i="1"/>
  <c r="Q43" i="1"/>
  <c r="Q39" i="1"/>
  <c r="D39" i="1"/>
  <c r="D35" i="1"/>
  <c r="B33" i="1"/>
  <c r="D32" i="1"/>
  <c r="Q24" i="1"/>
  <c r="D24" i="1"/>
  <c r="C13" i="1"/>
  <c r="Q12" i="1"/>
  <c r="Q11" i="1"/>
  <c r="D11" i="1"/>
  <c r="Q6" i="1"/>
  <c r="C3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T1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Regression using historical data from USGS (1994-2015)</t>
        </r>
      </text>
    </comment>
    <comment ref="M2" authorId="0" shapeId="0" xr:uid="{00000000-0006-0000-0000-000002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charset val="1"/>
          </rPr>
          <t>Main reference: Hammond and Jones (2011)</t>
        </r>
      </text>
    </comment>
    <comment ref="N2" authorId="0" shapeId="0" xr:uid="{00000000-0006-0000-0000-000003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Main reference: Hammond and Jones (2011)</t>
        </r>
      </text>
    </comment>
    <comment ref="O2" authorId="0" shapeId="0" xr:uid="{00000000-0006-0000-0000-00000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UNEP (2011)</t>
        </r>
      </text>
    </comment>
    <comment ref="P2" authorId="0" shapeId="0" xr:uid="{00000000-0006-0000-0000-000005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UNEP (2011)</t>
        </r>
      </text>
    </comment>
    <comment ref="Q2" authorId="0" shapeId="0" xr:uid="{00000000-0006-0000-0000-000006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UNEP (2011)
mean of the minimum and maximum values if a range is reported</t>
        </r>
      </text>
    </comment>
    <comment ref="R2" authorId="0" shapeId="0" xr:uid="{00000000-0006-0000-0000-000007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Table 1 Task 2.2c.2 deliverable MEDEAS
</t>
        </r>
      </text>
    </comment>
    <comment ref="S2" authorId="0" shapeId="0" xr:uid="{00000000-0006-0000-0000-000008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Table 1 Task 2.2c.2 deliverable MEDEAS</t>
        </r>
      </text>
    </comment>
    <comment ref="V2" authorId="0" shapeId="0" xr:uid="{00000000-0006-0000-0000-000009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Source: USGS</t>
        </r>
      </text>
    </comment>
    <comment ref="Q19" authorId="0" shapeId="0" xr:uid="{00000000-0006-0000-0000-00000A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Q23" authorId="0" shapeId="0" xr:uid="{00000000-0006-0000-0000-00000B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Q29" authorId="0" shapeId="0" xr:uid="{00000000-0006-0000-0000-00000C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R39" authorId="0" shapeId="0" xr:uid="{00000000-0006-0000-0000-00000D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sulphides and laterites</t>
        </r>
      </text>
    </comment>
    <comment ref="S39" authorId="0" shapeId="0" xr:uid="{00000000-0006-0000-0000-00000E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sulphides and laterites</t>
        </r>
      </text>
    </comment>
    <comment ref="Q57" authorId="0" shapeId="0" xr:uid="{00000000-0006-0000-0000-00000F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R58" authorId="0" shapeId="0" xr:uid="{00000000-0006-0000-0000-000010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ilmenite and rutile</t>
        </r>
      </text>
    </comment>
    <comment ref="S58" authorId="0" shapeId="0" xr:uid="{00000000-0006-0000-0000-000011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includes ilmenite and rutile</t>
        </r>
      </text>
    </comment>
    <comment ref="Q60" authorId="0" shapeId="0" xr:uid="{00000000-0006-0000-0000-000012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&lt;1</t>
        </r>
      </text>
    </comment>
    <comment ref="A64" authorId="0" shapeId="0" xr:uid="{00000000-0006-0000-0000-000013000000}">
      <text>
        <r>
          <rPr>
            <sz val="11"/>
            <color rgb="FF000000"/>
            <rFont val="Calibri"/>
            <family val="2"/>
            <charset val="1"/>
          </rPr>
          <t xml:space="preserve">carlos:
</t>
        </r>
        <r>
          <rPr>
            <sz val="9"/>
            <color rgb="FF000000"/>
            <rFont val="Tahoma"/>
            <family val="2"/>
            <charset val="1"/>
          </rPr>
          <t>Electricity losses due to Joule effect in the power plant as a share of the energy inputs requires for the construction of new capacities</t>
        </r>
      </text>
    </comment>
    <comment ref="A161" authorId="0" shapeId="0" xr:uid="{00000000-0006-0000-0000-00001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10% of the CED of the construction Hertwich et al (2015)</t>
        </r>
      </text>
    </comment>
  </commentList>
</comments>
</file>

<file path=xl/sharedStrings.xml><?xml version="1.0" encoding="utf-8"?>
<sst xmlns="http://schemas.openxmlformats.org/spreadsheetml/2006/main" count="167" uniqueCount="101">
  <si>
    <t>Material intensity of technologies</t>
  </si>
  <si>
    <t>Materials extraction projection Rest of the economy (cte rr)</t>
  </si>
  <si>
    <t>wind onshore</t>
  </si>
  <si>
    <t>wind offshore</t>
  </si>
  <si>
    <t>Solar PV</t>
  </si>
  <si>
    <t>CSP</t>
  </si>
  <si>
    <t>Li bateries</t>
  </si>
  <si>
    <t>material overgrid high power</t>
  </si>
  <si>
    <t>Inter-regional grids (HVDC)</t>
  </si>
  <si>
    <t>Initial energy consumption per unit of material consumption (virgin)</t>
  </si>
  <si>
    <t>Initial energy consumption per unit of material consumption (recycled)</t>
  </si>
  <si>
    <t>min range current recycling rates minerals</t>
  </si>
  <si>
    <t>MAX range current recycling rates minerals</t>
  </si>
  <si>
    <t>Current recycling rates minerals (EOL-RR)</t>
  </si>
  <si>
    <t>Reserves</t>
  </si>
  <si>
    <t>Resources</t>
  </si>
  <si>
    <t>M(t)=a*GDP[T$](t)+b [tonnes]</t>
  </si>
  <si>
    <t>Historical mineral production (tonnes) Rest of the economy (without RES elec and EV batteries)</t>
  </si>
  <si>
    <t>kg/new MW</t>
  </si>
  <si>
    <t>kg/new MW of each RES var elec techn</t>
  </si>
  <si>
    <t>MJ/kg</t>
  </si>
  <si>
    <t>MJ/Kg</t>
  </si>
  <si>
    <t>share</t>
  </si>
  <si>
    <t>Mt</t>
  </si>
  <si>
    <t>a</t>
  </si>
  <si>
    <t>b</t>
  </si>
  <si>
    <t>Construction phase</t>
  </si>
  <si>
    <t>Adhesive</t>
  </si>
  <si>
    <t>Aluminium (Al)</t>
  </si>
  <si>
    <t>Aluminium mirrors</t>
  </si>
  <si>
    <t>Cadmium (Cd)</t>
  </si>
  <si>
    <t>Carbon fiber</t>
  </si>
  <si>
    <t>Cement</t>
  </si>
  <si>
    <t>Chromium (Cr)</t>
  </si>
  <si>
    <t>Copper (Cu)</t>
  </si>
  <si>
    <t>Diesel</t>
  </si>
  <si>
    <t>Dysprosium (Dy)</t>
  </si>
  <si>
    <t>Electric/electronic components</t>
  </si>
  <si>
    <t>Evacuation lines (KM)</t>
  </si>
  <si>
    <t>Fiberglass</t>
  </si>
  <si>
    <t>Foam glass</t>
  </si>
  <si>
    <t>Galium (Ga)</t>
  </si>
  <si>
    <t>Glass</t>
  </si>
  <si>
    <t>Glass reinforcing plastic (GRP)</t>
  </si>
  <si>
    <t>gravel (roads, protection…)</t>
  </si>
  <si>
    <t>Indium (In)</t>
  </si>
  <si>
    <t>Iron (Fe)</t>
  </si>
  <si>
    <t>KNO3 mined</t>
  </si>
  <si>
    <t>Asphalt</t>
  </si>
  <si>
    <t>Lime</t>
  </si>
  <si>
    <t>Limestone</t>
  </si>
  <si>
    <t>Lithium (Li)</t>
  </si>
  <si>
    <t>Lubricant</t>
  </si>
  <si>
    <t>Magnesium (Mg)</t>
  </si>
  <si>
    <t>Manganese (Mn)</t>
  </si>
  <si>
    <t>Heavy machinery (depreciation and reposition)</t>
  </si>
  <si>
    <t>Concrete</t>
  </si>
  <si>
    <t>Molybdenum (Mo)</t>
  </si>
  <si>
    <t>NaNO3 mined</t>
  </si>
  <si>
    <t>NaNO3 synthetic</t>
  </si>
  <si>
    <t>Neodymium (Nd)</t>
  </si>
  <si>
    <t>Nickel (Ni)</t>
  </si>
  <si>
    <t>Over grid (15%)</t>
  </si>
  <si>
    <t>Over grid (5%)</t>
  </si>
  <si>
    <t>Paint</t>
  </si>
  <si>
    <t>Lead (Pb)</t>
  </si>
  <si>
    <t>Plastics</t>
  </si>
  <si>
    <t>Polypropylene</t>
  </si>
  <si>
    <t>Rock</t>
  </si>
  <si>
    <t>Rock wool</t>
  </si>
  <si>
    <t>Sand</t>
  </si>
  <si>
    <t>Silicon sand</t>
  </si>
  <si>
    <t>Sillicon wafer modules</t>
  </si>
  <si>
    <t>Silver (Ag)</t>
  </si>
  <si>
    <t>Site preparation (soil works), etc.</t>
  </si>
  <si>
    <t>Tin (Sn)</t>
  </si>
  <si>
    <t>Soda ash</t>
  </si>
  <si>
    <t>Steel</t>
  </si>
  <si>
    <t>Syntethic oil</t>
  </si>
  <si>
    <t>Tellurium (Te)</t>
  </si>
  <si>
    <t>Titanium (Ti)</t>
  </si>
  <si>
    <t>Titanium dioxide</t>
  </si>
  <si>
    <t>Vanadium (V)</t>
  </si>
  <si>
    <t>Wires</t>
  </si>
  <si>
    <t>Zinc (Zn)</t>
  </si>
  <si>
    <t>Total construction phase</t>
  </si>
  <si>
    <t>grid correction factor (A34+A41)</t>
  </si>
  <si>
    <t>Operation and maintenance (yearly)</t>
  </si>
  <si>
    <t>kg/installed MW</t>
  </si>
  <si>
    <t>Gallium (Ga)</t>
  </si>
  <si>
    <t>sillicon wafer modules</t>
  </si>
  <si>
    <t>synthetic oil</t>
  </si>
  <si>
    <t>Clean, pumped Water</t>
  </si>
  <si>
    <t>Distilled, deionized water</t>
  </si>
  <si>
    <t>Self-electricity consumption</t>
  </si>
  <si>
    <t>Decommissioning</t>
  </si>
  <si>
    <t>kg/kwh</t>
  </si>
  <si>
    <t>LFP</t>
  </si>
  <si>
    <t>NMC_LEGACY</t>
  </si>
  <si>
    <t>NMC_811</t>
  </si>
  <si>
    <t>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</si>
</sst>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i/>
      <sz val="11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sz val="9"/>
      <color rgb="FF000000"/>
      <name val="Tahoma"/>
      <family val="2"/>
      <charset val="1"/>
    </font>
    <font>
      <sz val="9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A9D18E"/>
        <bgColor rgb="FFC5E0B4"/>
      </patternFill>
    </fill>
    <fill>
      <patternFill patternType="solid">
        <fgColor rgb="FFBDD7EE"/>
        <bgColor rgb="FFB4C7E7"/>
      </patternFill>
    </fill>
    <fill>
      <patternFill patternType="solid">
        <fgColor rgb="FFBFBFBF"/>
        <bgColor rgb="FFC0C0C0"/>
      </patternFill>
    </fill>
  </fills>
  <borders count="2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1" fillId="2" borderId="1" xfId="0" applyFont="1" applyFill="1" applyBorder="1"/>
    <xf numFmtId="0" fontId="2" fillId="2" borderId="2" xfId="0" applyFont="1" applyFill="1" applyBorder="1"/>
    <xf numFmtId="0" fontId="2" fillId="2" borderId="0" xfId="0" applyFont="1" applyFill="1"/>
    <xf numFmtId="0" fontId="3" fillId="2" borderId="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2" fillId="2" borderId="4" xfId="0" applyFont="1" applyFill="1" applyBorder="1"/>
    <xf numFmtId="0" fontId="3" fillId="2" borderId="0" xfId="0" applyFont="1" applyFill="1"/>
    <xf numFmtId="0" fontId="0" fillId="2" borderId="5" xfId="0" applyFill="1" applyBorder="1"/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0" xfId="0" applyFont="1" applyFill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3" borderId="6" xfId="0" applyFon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7" xfId="0" applyFont="1" applyBorder="1"/>
    <xf numFmtId="0" fontId="2" fillId="0" borderId="8" xfId="0" applyFont="1" applyBorder="1"/>
    <xf numFmtId="0" fontId="2" fillId="3" borderId="10" xfId="0" applyFont="1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3" xfId="0" applyBorder="1"/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164" fontId="0" fillId="0" borderId="11" xfId="0" applyNumberFormat="1" applyBorder="1"/>
    <xf numFmtId="164" fontId="0" fillId="0" borderId="12" xfId="0" applyNumberFormat="1" applyBorder="1"/>
    <xf numFmtId="0" fontId="4" fillId="0" borderId="11" xfId="0" applyFont="1" applyBorder="1"/>
    <xf numFmtId="0" fontId="4" fillId="0" borderId="13" xfId="0" applyFont="1" applyBorder="1"/>
    <xf numFmtId="0" fontId="0" fillId="3" borderId="10" xfId="0" applyFill="1" applyBorder="1"/>
    <xf numFmtId="11" fontId="0" fillId="0" borderId="13" xfId="0" applyNumberFormat="1" applyBorder="1" applyAlignment="1">
      <alignment horizontal="right"/>
    </xf>
    <xf numFmtId="11" fontId="0" fillId="0" borderId="11" xfId="0" applyNumberFormat="1" applyBorder="1"/>
    <xf numFmtId="11" fontId="0" fillId="0" borderId="12" xfId="0" applyNumberFormat="1" applyBorder="1"/>
    <xf numFmtId="0" fontId="0" fillId="3" borderId="14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horizontal="right"/>
    </xf>
    <xf numFmtId="0" fontId="0" fillId="0" borderId="17" xfId="0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2" fillId="0" borderId="15" xfId="0" applyFont="1" applyBorder="1"/>
    <xf numFmtId="0" fontId="2" fillId="0" borderId="16" xfId="0" applyFont="1" applyBorder="1"/>
    <xf numFmtId="0" fontId="1" fillId="2" borderId="7" xfId="0" applyFont="1" applyFill="1" applyBorder="1"/>
    <xf numFmtId="0" fontId="0" fillId="0" borderId="8" xfId="0" applyBorder="1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15" xfId="0" applyFill="1" applyBorder="1"/>
    <xf numFmtId="0" fontId="0" fillId="0" borderId="16" xfId="0" applyBorder="1" applyAlignment="1">
      <alignment horizontal="right"/>
    </xf>
    <xf numFmtId="0" fontId="0" fillId="4" borderId="0" xfId="0" applyFill="1"/>
    <xf numFmtId="0" fontId="5" fillId="2" borderId="6" xfId="0" applyFont="1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19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6" fillId="0" borderId="0" xfId="0" applyFont="1" applyAlignment="1">
      <alignment horizontal="center"/>
    </xf>
    <xf numFmtId="0" fontId="2" fillId="3" borderId="14" xfId="0" applyFont="1" applyFill="1" applyBorder="1"/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7" fillId="3" borderId="6" xfId="0" applyFont="1" applyFill="1" applyBorder="1"/>
    <xf numFmtId="11" fontId="0" fillId="0" borderId="9" xfId="0" applyNumberFormat="1" applyBorder="1" applyAlignment="1">
      <alignment horizontal="right"/>
    </xf>
    <xf numFmtId="11" fontId="2" fillId="0" borderId="0" xfId="0" applyNumberFormat="1" applyFont="1" applyAlignment="1">
      <alignment horizontal="center"/>
    </xf>
    <xf numFmtId="0" fontId="7" fillId="3" borderId="24" xfId="0" applyFont="1" applyFill="1" applyBorder="1"/>
    <xf numFmtId="0" fontId="0" fillId="0" borderId="15" xfId="0" applyBorder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2" fontId="0" fillId="0" borderId="0" xfId="0" applyNumberFormat="1"/>
    <xf numFmtId="0" fontId="2" fillId="2" borderId="12" xfId="0" applyFont="1" applyFill="1" applyBorder="1"/>
    <xf numFmtId="9" fontId="0" fillId="0" borderId="12" xfId="0" applyNumberFormat="1" applyBorder="1"/>
    <xf numFmtId="10" fontId="0" fillId="0" borderId="12" xfId="0" applyNumberFormat="1" applyBorder="1"/>
    <xf numFmtId="0" fontId="1" fillId="0" borderId="0" xfId="0" applyFont="1" applyAlignment="1">
      <alignment horizontal="center"/>
    </xf>
    <xf numFmtId="9" fontId="0" fillId="0" borderId="0" xfId="0" applyNumberFormat="1"/>
    <xf numFmtId="0" fontId="0" fillId="0" borderId="25" xfId="0" applyBorder="1"/>
    <xf numFmtId="0" fontId="0" fillId="0" borderId="26" xfId="0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NO164"/>
  <sheetViews>
    <sheetView tabSelected="1" zoomScaleNormal="100" workbookViewId="0">
      <pane xSplit="1" ySplit="3" topLeftCell="B4" activePane="bottomRight" state="frozen"/>
      <selection pane="topRight" activeCell="AQ1" sqref="AQ1"/>
      <selection pane="bottomLeft" activeCell="A4" sqref="A4"/>
      <selection pane="bottomRight" activeCell="I8" sqref="I8"/>
    </sheetView>
  </sheetViews>
  <sheetFormatPr baseColWidth="10" defaultColWidth="11.5703125" defaultRowHeight="15" x14ac:dyDescent="0.25"/>
  <cols>
    <col min="1" max="1" width="45.7109375" customWidth="1"/>
    <col min="2" max="4" width="15.5703125" customWidth="1"/>
    <col min="5" max="5" width="15.5703125" bestFit="1" customWidth="1"/>
    <col min="6" max="10" width="16.42578125" customWidth="1"/>
    <col min="11" max="11" width="18.28515625" customWidth="1"/>
    <col min="12" max="12" width="18.5703125" customWidth="1"/>
    <col min="13" max="13" width="31.85546875" style="62" customWidth="1"/>
    <col min="14" max="14" width="32.5703125" customWidth="1"/>
    <col min="15" max="15" width="17.7109375" customWidth="1"/>
    <col min="16" max="16" width="16.28515625" customWidth="1"/>
    <col min="17" max="17" width="18" customWidth="1"/>
    <col min="18" max="19" width="12" customWidth="1"/>
    <col min="20" max="20" width="12" style="63" customWidth="1"/>
    <col min="21" max="21" width="11.7109375" style="63" customWidth="1"/>
  </cols>
  <sheetData>
    <row r="1" spans="1:1055" x14ac:dyDescent="0.25">
      <c r="A1" s="1"/>
      <c r="B1" s="98" t="s">
        <v>0</v>
      </c>
      <c r="C1" s="99"/>
      <c r="D1" s="99"/>
      <c r="E1" s="99"/>
      <c r="F1" s="99"/>
      <c r="G1" s="99"/>
      <c r="H1" s="99"/>
      <c r="I1" s="99"/>
      <c r="J1" s="99"/>
      <c r="K1" s="99"/>
      <c r="L1" s="100"/>
      <c r="M1" s="2"/>
      <c r="N1" s="3"/>
      <c r="O1" s="4"/>
      <c r="P1" s="5"/>
      <c r="Q1" s="6"/>
      <c r="R1" s="4"/>
      <c r="S1" s="6"/>
      <c r="T1" s="7" t="s">
        <v>1</v>
      </c>
      <c r="U1" s="8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6"/>
    </row>
    <row r="2" spans="1:1055" ht="45" x14ac:dyDescent="0.25">
      <c r="A2" s="9"/>
      <c r="B2" s="10" t="s">
        <v>2</v>
      </c>
      <c r="C2" s="11" t="s">
        <v>3</v>
      </c>
      <c r="D2" s="11" t="s">
        <v>4</v>
      </c>
      <c r="E2" s="12" t="s">
        <v>5</v>
      </c>
      <c r="F2" s="10" t="s">
        <v>6</v>
      </c>
      <c r="G2" s="11" t="s">
        <v>97</v>
      </c>
      <c r="H2" s="11" t="s">
        <v>98</v>
      </c>
      <c r="I2" s="11" t="s">
        <v>99</v>
      </c>
      <c r="J2" s="11" t="s">
        <v>100</v>
      </c>
      <c r="K2" s="13" t="s">
        <v>7</v>
      </c>
      <c r="L2" s="14" t="s">
        <v>8</v>
      </c>
      <c r="M2" s="15" t="s">
        <v>9</v>
      </c>
      <c r="N2" s="14" t="s">
        <v>10</v>
      </c>
      <c r="O2" s="15" t="s">
        <v>11</v>
      </c>
      <c r="P2" s="13" t="s">
        <v>12</v>
      </c>
      <c r="Q2" s="14" t="s">
        <v>13</v>
      </c>
      <c r="R2" s="10" t="s">
        <v>14</v>
      </c>
      <c r="S2" s="12" t="s">
        <v>15</v>
      </c>
      <c r="T2" s="16" t="s">
        <v>16</v>
      </c>
      <c r="U2" s="9"/>
      <c r="V2" s="17" t="s">
        <v>17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8"/>
    </row>
    <row r="3" spans="1:1055" ht="45.75" thickBot="1" x14ac:dyDescent="0.3">
      <c r="A3" s="1"/>
      <c r="B3" s="19" t="s">
        <v>18</v>
      </c>
      <c r="C3" s="20" t="s">
        <v>18</v>
      </c>
      <c r="D3" s="20" t="s">
        <v>18</v>
      </c>
      <c r="E3" s="21" t="s">
        <v>18</v>
      </c>
      <c r="F3" s="22" t="s">
        <v>96</v>
      </c>
      <c r="G3" s="22" t="s">
        <v>96</v>
      </c>
      <c r="H3" s="22" t="s">
        <v>96</v>
      </c>
      <c r="I3" s="22" t="s">
        <v>96</v>
      </c>
      <c r="J3" s="22" t="s">
        <v>96</v>
      </c>
      <c r="K3" s="22" t="s">
        <v>19</v>
      </c>
      <c r="L3" s="22" t="s">
        <v>19</v>
      </c>
      <c r="M3" s="19" t="s">
        <v>20</v>
      </c>
      <c r="N3" s="23" t="s">
        <v>21</v>
      </c>
      <c r="O3" s="24" t="s">
        <v>22</v>
      </c>
      <c r="P3" s="25" t="s">
        <v>22</v>
      </c>
      <c r="Q3" s="23" t="s">
        <v>22</v>
      </c>
      <c r="R3" s="24" t="s">
        <v>23</v>
      </c>
      <c r="S3" s="23" t="s">
        <v>23</v>
      </c>
      <c r="T3" s="16" t="s">
        <v>24</v>
      </c>
      <c r="U3" s="9" t="s">
        <v>25</v>
      </c>
      <c r="V3" s="1">
        <v>1994</v>
      </c>
      <c r="W3" s="1">
        <v>1995</v>
      </c>
      <c r="X3" s="1">
        <v>1996</v>
      </c>
      <c r="Y3" s="1">
        <v>1997</v>
      </c>
      <c r="Z3" s="1">
        <v>1998</v>
      </c>
      <c r="AA3" s="1">
        <v>1999</v>
      </c>
      <c r="AB3" s="1">
        <v>2000</v>
      </c>
      <c r="AC3" s="1">
        <v>2001</v>
      </c>
      <c r="AD3" s="1">
        <v>2002</v>
      </c>
      <c r="AE3" s="1">
        <v>2003</v>
      </c>
      <c r="AF3" s="1">
        <v>2004</v>
      </c>
      <c r="AG3" s="1">
        <v>2005</v>
      </c>
      <c r="AH3" s="1">
        <v>2006</v>
      </c>
      <c r="AI3" s="1">
        <v>2007</v>
      </c>
      <c r="AJ3" s="1">
        <v>2008</v>
      </c>
      <c r="AK3" s="1">
        <v>2009</v>
      </c>
      <c r="AL3" s="1">
        <v>2010</v>
      </c>
      <c r="AM3" s="1">
        <v>2011</v>
      </c>
      <c r="AN3" s="1">
        <v>2012</v>
      </c>
      <c r="AO3" s="1">
        <v>2013</v>
      </c>
      <c r="AP3" s="1">
        <v>2014</v>
      </c>
      <c r="AQ3" s="1">
        <v>2015</v>
      </c>
      <c r="AR3" s="18">
        <v>2016</v>
      </c>
    </row>
    <row r="4" spans="1:1055" s="28" customFormat="1" ht="15.75" thickBot="1" x14ac:dyDescent="0.3">
      <c r="A4" s="26" t="s">
        <v>26</v>
      </c>
      <c r="B4" s="27"/>
      <c r="E4" s="29"/>
      <c r="F4" s="27"/>
      <c r="J4" s="96"/>
      <c r="L4" s="29"/>
      <c r="M4" s="30"/>
      <c r="N4" s="31"/>
      <c r="O4" s="27"/>
      <c r="Q4" s="29"/>
      <c r="R4" s="27"/>
      <c r="S4" s="29"/>
      <c r="T4" s="32"/>
      <c r="U4" s="33"/>
      <c r="AR4" s="29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  <c r="AFX4"/>
      <c r="AFY4"/>
      <c r="AFZ4"/>
      <c r="AGA4"/>
      <c r="AGB4"/>
      <c r="AGC4"/>
      <c r="AGD4"/>
      <c r="AGE4"/>
      <c r="AGF4"/>
      <c r="AGG4"/>
      <c r="AGH4"/>
      <c r="AGI4"/>
      <c r="AGJ4"/>
      <c r="AGK4"/>
      <c r="AGL4"/>
      <c r="AGM4"/>
      <c r="AGN4"/>
      <c r="AGO4"/>
      <c r="AGP4"/>
      <c r="AGQ4"/>
      <c r="AGR4"/>
      <c r="AGS4"/>
      <c r="AGT4"/>
      <c r="AGU4"/>
      <c r="AGV4"/>
      <c r="AGW4"/>
      <c r="AGX4"/>
      <c r="AGY4"/>
      <c r="AGZ4"/>
      <c r="AHA4"/>
      <c r="AHB4"/>
      <c r="AHC4"/>
      <c r="AHD4"/>
      <c r="AHE4"/>
      <c r="AHF4"/>
      <c r="AHG4"/>
      <c r="AHH4"/>
      <c r="AHI4"/>
      <c r="AHJ4"/>
      <c r="AHK4"/>
      <c r="AHL4"/>
      <c r="AHM4"/>
      <c r="AHN4"/>
      <c r="AHO4"/>
      <c r="AHP4"/>
      <c r="AHQ4"/>
      <c r="AHR4"/>
      <c r="AHS4"/>
      <c r="AHT4"/>
      <c r="AHU4"/>
      <c r="AHV4"/>
      <c r="AHW4"/>
      <c r="AHX4"/>
      <c r="AHY4"/>
      <c r="AHZ4"/>
      <c r="AIA4"/>
      <c r="AIB4"/>
      <c r="AIC4"/>
      <c r="AID4"/>
      <c r="AIE4"/>
      <c r="AIF4"/>
      <c r="AIG4"/>
      <c r="AIH4"/>
      <c r="AII4"/>
      <c r="AIJ4"/>
      <c r="AIK4"/>
      <c r="AIL4"/>
      <c r="AIM4"/>
      <c r="AIN4"/>
      <c r="AIO4"/>
      <c r="AIP4"/>
      <c r="AIQ4"/>
      <c r="AIR4"/>
      <c r="AIS4"/>
      <c r="AIT4"/>
      <c r="AIU4"/>
      <c r="AIV4"/>
      <c r="AIW4"/>
      <c r="AIX4"/>
      <c r="AIY4"/>
      <c r="AIZ4"/>
      <c r="AJA4"/>
      <c r="AJB4"/>
      <c r="AJC4"/>
      <c r="AJD4"/>
      <c r="AJE4"/>
      <c r="AJF4"/>
      <c r="AJG4"/>
      <c r="AJH4"/>
      <c r="AJI4"/>
      <c r="AJJ4"/>
      <c r="AJK4"/>
      <c r="AJL4"/>
      <c r="AJM4"/>
      <c r="AJN4"/>
      <c r="AJO4"/>
      <c r="AJP4"/>
      <c r="AJQ4"/>
      <c r="AJR4"/>
      <c r="AJS4"/>
      <c r="AJT4"/>
      <c r="AJU4"/>
      <c r="AJV4"/>
      <c r="AJW4"/>
      <c r="AJX4"/>
      <c r="AJY4"/>
      <c r="AJZ4"/>
      <c r="AKA4"/>
      <c r="AKB4"/>
      <c r="AKC4"/>
      <c r="AKD4"/>
      <c r="AKE4"/>
      <c r="AKF4"/>
      <c r="AKG4"/>
      <c r="AKH4"/>
      <c r="AKI4"/>
      <c r="AKJ4"/>
      <c r="AKK4"/>
      <c r="AKL4"/>
      <c r="AKM4"/>
      <c r="AKN4"/>
      <c r="AKO4"/>
      <c r="AKP4"/>
      <c r="AKQ4"/>
      <c r="AKR4"/>
      <c r="AKS4"/>
      <c r="AKT4"/>
      <c r="AKU4"/>
      <c r="AKV4"/>
      <c r="AKW4"/>
      <c r="AKX4"/>
      <c r="AKY4"/>
      <c r="AKZ4"/>
      <c r="ALA4"/>
      <c r="ALB4"/>
      <c r="ALC4"/>
      <c r="ALD4"/>
      <c r="ALE4"/>
      <c r="ALF4"/>
      <c r="ALG4"/>
      <c r="ALH4"/>
      <c r="ALI4"/>
      <c r="ALJ4"/>
      <c r="ALK4"/>
      <c r="ALL4"/>
      <c r="ALM4"/>
      <c r="ALN4"/>
      <c r="ALO4"/>
      <c r="ALP4"/>
      <c r="ALQ4"/>
      <c r="ALR4"/>
      <c r="ALS4"/>
      <c r="ALT4"/>
      <c r="ALU4"/>
      <c r="ALV4"/>
      <c r="ALW4"/>
      <c r="ALX4"/>
      <c r="ALY4"/>
      <c r="ALZ4"/>
      <c r="AMA4"/>
      <c r="AMB4"/>
      <c r="AMC4"/>
      <c r="AMD4"/>
      <c r="AME4"/>
      <c r="AMF4"/>
      <c r="AMG4"/>
      <c r="AMH4"/>
      <c r="AMI4"/>
      <c r="AMJ4"/>
      <c r="AMK4"/>
      <c r="AML4"/>
      <c r="AMM4"/>
      <c r="AMN4"/>
      <c r="AMO4"/>
      <c r="AMP4"/>
      <c r="AMQ4"/>
      <c r="AMR4"/>
      <c r="AMS4"/>
      <c r="AMT4"/>
      <c r="AMU4"/>
      <c r="AMV4"/>
      <c r="AMW4"/>
      <c r="AMX4"/>
      <c r="AMY4"/>
      <c r="AMZ4"/>
      <c r="ANA4"/>
      <c r="ANB4"/>
      <c r="ANC4"/>
      <c r="AND4"/>
      <c r="ANE4"/>
      <c r="ANF4"/>
      <c r="ANG4"/>
      <c r="ANH4"/>
      <c r="ANI4"/>
      <c r="ANJ4"/>
      <c r="ANK4"/>
      <c r="ANL4"/>
      <c r="ANM4"/>
      <c r="ANN4"/>
      <c r="ANO4"/>
    </row>
    <row r="5" spans="1:1055" s="36" customFormat="1" ht="15.75" thickBot="1" x14ac:dyDescent="0.3">
      <c r="A5" s="34" t="s">
        <v>27</v>
      </c>
      <c r="B5" s="35">
        <v>0.74</v>
      </c>
      <c r="C5" s="36">
        <v>0.74</v>
      </c>
      <c r="D5" s="36">
        <v>0</v>
      </c>
      <c r="E5" s="37">
        <v>0</v>
      </c>
      <c r="F5" s="35">
        <v>0</v>
      </c>
      <c r="G5" s="96">
        <v>0</v>
      </c>
      <c r="H5" s="96">
        <v>0</v>
      </c>
      <c r="I5" s="96">
        <v>0</v>
      </c>
      <c r="J5" s="97">
        <v>0</v>
      </c>
      <c r="K5" s="36">
        <v>0</v>
      </c>
      <c r="L5" s="38">
        <v>0</v>
      </c>
      <c r="M5" s="39">
        <v>100</v>
      </c>
      <c r="N5" s="40">
        <v>0</v>
      </c>
      <c r="O5" s="35"/>
      <c r="Q5" s="38">
        <v>0</v>
      </c>
      <c r="R5" s="35">
        <v>0</v>
      </c>
      <c r="S5" s="38">
        <v>0</v>
      </c>
      <c r="T5" s="41">
        <v>0</v>
      </c>
      <c r="U5" s="42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  <c r="AB5" s="36">
        <v>0</v>
      </c>
      <c r="AC5" s="36">
        <v>0</v>
      </c>
      <c r="AD5" s="36">
        <v>0</v>
      </c>
      <c r="AE5" s="36">
        <v>0</v>
      </c>
      <c r="AF5" s="36">
        <v>0</v>
      </c>
      <c r="AG5" s="36">
        <v>0</v>
      </c>
      <c r="AH5" s="36">
        <v>0</v>
      </c>
      <c r="AI5" s="36">
        <v>0</v>
      </c>
      <c r="AJ5" s="36">
        <v>0</v>
      </c>
      <c r="AK5" s="36">
        <v>0</v>
      </c>
      <c r="AL5" s="36">
        <v>0</v>
      </c>
      <c r="AM5" s="36">
        <v>0</v>
      </c>
      <c r="AN5" s="36">
        <v>0</v>
      </c>
      <c r="AO5" s="36">
        <v>0</v>
      </c>
      <c r="AP5" s="36">
        <v>0</v>
      </c>
      <c r="AQ5" s="36">
        <v>0</v>
      </c>
      <c r="AR5" s="38">
        <v>0</v>
      </c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/>
      <c r="AGZ5"/>
      <c r="AHA5"/>
      <c r="AHB5"/>
      <c r="AHC5"/>
      <c r="AHD5"/>
      <c r="AHE5"/>
      <c r="AHF5"/>
      <c r="AHG5"/>
      <c r="AHH5"/>
      <c r="AHI5"/>
      <c r="AHJ5"/>
      <c r="AHK5"/>
      <c r="AHL5"/>
      <c r="AHM5"/>
      <c r="AHN5"/>
      <c r="AHO5"/>
      <c r="AHP5"/>
      <c r="AHQ5"/>
      <c r="AHR5"/>
      <c r="AHS5"/>
      <c r="AHT5"/>
      <c r="AHU5"/>
      <c r="AHV5"/>
      <c r="AHW5"/>
      <c r="AHX5"/>
      <c r="AHY5"/>
      <c r="AHZ5"/>
      <c r="AIA5"/>
      <c r="AIB5"/>
      <c r="AIC5"/>
      <c r="AID5"/>
      <c r="AIE5"/>
      <c r="AIF5"/>
      <c r="AIG5"/>
      <c r="AIH5"/>
      <c r="AII5"/>
      <c r="AIJ5"/>
      <c r="AIK5"/>
      <c r="AIL5"/>
      <c r="AIM5"/>
      <c r="AIN5"/>
      <c r="AIO5"/>
      <c r="AIP5"/>
      <c r="AIQ5"/>
      <c r="AIR5"/>
      <c r="AIS5"/>
      <c r="AIT5"/>
      <c r="AIU5"/>
      <c r="AIV5"/>
      <c r="AIW5"/>
      <c r="AIX5"/>
      <c r="AIY5"/>
      <c r="AIZ5"/>
      <c r="AJA5"/>
      <c r="AJB5"/>
      <c r="AJC5"/>
      <c r="AJD5"/>
      <c r="AJE5"/>
      <c r="AJF5"/>
      <c r="AJG5"/>
      <c r="AJH5"/>
      <c r="AJI5"/>
      <c r="AJJ5"/>
      <c r="AJK5"/>
      <c r="AJL5"/>
      <c r="AJM5"/>
      <c r="AJN5"/>
      <c r="AJO5"/>
      <c r="AJP5"/>
      <c r="AJQ5"/>
      <c r="AJR5"/>
      <c r="AJS5"/>
      <c r="AJT5"/>
      <c r="AJU5"/>
      <c r="AJV5"/>
      <c r="AJW5"/>
      <c r="AJX5"/>
      <c r="AJY5"/>
      <c r="AJZ5"/>
      <c r="AKA5"/>
      <c r="AKB5"/>
      <c r="AKC5"/>
      <c r="AKD5"/>
      <c r="AKE5"/>
      <c r="AKF5"/>
      <c r="AKG5"/>
      <c r="AKH5"/>
      <c r="AKI5"/>
      <c r="AKJ5"/>
      <c r="AKK5"/>
      <c r="AKL5"/>
      <c r="AKM5"/>
      <c r="AKN5"/>
      <c r="AKO5"/>
      <c r="AKP5"/>
      <c r="AKQ5"/>
      <c r="AKR5"/>
      <c r="AKS5"/>
      <c r="AKT5"/>
      <c r="AKU5"/>
      <c r="AKV5"/>
      <c r="AKW5"/>
      <c r="AKX5"/>
      <c r="AKY5"/>
      <c r="AKZ5"/>
      <c r="ALA5"/>
      <c r="ALB5"/>
      <c r="ALC5"/>
      <c r="ALD5"/>
      <c r="ALE5"/>
      <c r="ALF5"/>
      <c r="ALG5"/>
      <c r="ALH5"/>
      <c r="ALI5"/>
      <c r="ALJ5"/>
      <c r="ALK5"/>
      <c r="ALL5"/>
      <c r="ALM5"/>
      <c r="ALN5"/>
      <c r="ALO5"/>
      <c r="ALP5"/>
      <c r="ALQ5"/>
      <c r="ALR5"/>
      <c r="ALS5"/>
      <c r="ALT5"/>
      <c r="ALU5"/>
      <c r="ALV5"/>
      <c r="ALW5"/>
      <c r="ALX5"/>
      <c r="ALY5"/>
      <c r="ALZ5"/>
      <c r="AMA5"/>
      <c r="AMB5"/>
      <c r="AMC5"/>
      <c r="AMD5"/>
      <c r="AME5"/>
      <c r="AMF5"/>
      <c r="AMG5"/>
      <c r="AMH5"/>
      <c r="AMI5"/>
      <c r="AMJ5"/>
      <c r="AMK5"/>
      <c r="AML5"/>
      <c r="AMM5"/>
      <c r="AMN5"/>
      <c r="AMO5"/>
      <c r="AMP5"/>
      <c r="AMQ5"/>
      <c r="AMR5"/>
      <c r="AMS5"/>
      <c r="AMT5"/>
      <c r="AMU5"/>
      <c r="AMV5"/>
      <c r="AMW5"/>
      <c r="AMX5"/>
      <c r="AMY5"/>
      <c r="AMZ5"/>
      <c r="ANA5"/>
      <c r="ANB5"/>
      <c r="ANC5"/>
      <c r="AND5"/>
      <c r="ANE5"/>
      <c r="ANF5"/>
      <c r="ANG5"/>
      <c r="ANH5"/>
      <c r="ANI5"/>
      <c r="ANJ5"/>
      <c r="ANK5"/>
      <c r="ANL5"/>
      <c r="ANM5"/>
      <c r="ANN5"/>
      <c r="ANO5"/>
    </row>
    <row r="6" spans="1:1055" s="36" customFormat="1" ht="15.75" thickBot="1" x14ac:dyDescent="0.3">
      <c r="A6" s="34" t="s">
        <v>28</v>
      </c>
      <c r="B6" s="35">
        <v>2030</v>
      </c>
      <c r="C6" s="36">
        <v>9400</v>
      </c>
      <c r="D6" s="36">
        <v>16000</v>
      </c>
      <c r="E6" s="37">
        <v>740</v>
      </c>
      <c r="F6" s="35">
        <v>500</v>
      </c>
      <c r="G6" s="96">
        <v>0</v>
      </c>
      <c r="H6" s="96">
        <v>0</v>
      </c>
      <c r="I6" s="96">
        <v>0</v>
      </c>
      <c r="J6" s="97">
        <v>0</v>
      </c>
      <c r="K6" s="36">
        <v>7362</v>
      </c>
      <c r="L6" s="38">
        <v>100</v>
      </c>
      <c r="M6" s="39">
        <v>218</v>
      </c>
      <c r="N6" s="40">
        <v>29</v>
      </c>
      <c r="O6" s="35">
        <v>0.42</v>
      </c>
      <c r="P6" s="36">
        <v>0.7</v>
      </c>
      <c r="Q6" s="38">
        <f>(O6+P6)/2</f>
        <v>0.55999999999999994</v>
      </c>
      <c r="R6" s="35">
        <v>28000</v>
      </c>
      <c r="S6" s="38">
        <v>75000</v>
      </c>
      <c r="T6" s="41">
        <v>1006851.44431989</v>
      </c>
      <c r="U6" s="42">
        <v>-24747508.840468701</v>
      </c>
      <c r="V6" s="36">
        <v>19100000</v>
      </c>
      <c r="W6" s="36">
        <v>19393200</v>
      </c>
      <c r="X6" s="36">
        <v>20694690</v>
      </c>
      <c r="Y6" s="36">
        <v>21392970</v>
      </c>
      <c r="Z6" s="36">
        <v>22089700</v>
      </c>
      <c r="AA6" s="36">
        <v>23084960</v>
      </c>
      <c r="AB6" s="36">
        <v>23982470</v>
      </c>
      <c r="AC6" s="36">
        <v>24378590</v>
      </c>
      <c r="AD6" s="36">
        <v>25872770</v>
      </c>
      <c r="AE6" s="36">
        <v>27662610</v>
      </c>
      <c r="AF6" s="36">
        <v>29751750</v>
      </c>
      <c r="AG6" s="36">
        <v>31838150</v>
      </c>
      <c r="AH6" s="36">
        <v>33607000</v>
      </c>
      <c r="AI6" s="36">
        <v>37851990</v>
      </c>
      <c r="AJ6" s="36">
        <v>38789070</v>
      </c>
      <c r="AK6" s="36">
        <v>36941740</v>
      </c>
      <c r="AL6" s="36">
        <v>40260150</v>
      </c>
      <c r="AM6" s="36">
        <v>43814260</v>
      </c>
      <c r="AN6" s="36">
        <v>45233790</v>
      </c>
      <c r="AO6" s="36">
        <v>46864630</v>
      </c>
      <c r="AP6" s="36">
        <v>49355110</v>
      </c>
      <c r="AQ6" s="36">
        <v>55928650</v>
      </c>
      <c r="AR6" s="38">
        <v>55520790</v>
      </c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  <c r="AFX6"/>
      <c r="AFY6"/>
      <c r="AFZ6"/>
      <c r="AGA6"/>
      <c r="AGB6"/>
      <c r="AGC6"/>
      <c r="AGD6"/>
      <c r="AGE6"/>
      <c r="AGF6"/>
      <c r="AGG6"/>
      <c r="AGH6"/>
      <c r="AGI6"/>
      <c r="AGJ6"/>
      <c r="AGK6"/>
      <c r="AGL6"/>
      <c r="AGM6"/>
      <c r="AGN6"/>
      <c r="AGO6"/>
      <c r="AGP6"/>
      <c r="AGQ6"/>
      <c r="AGR6"/>
      <c r="AGS6"/>
      <c r="AGT6"/>
      <c r="AGU6"/>
      <c r="AGV6"/>
      <c r="AGW6"/>
      <c r="AGX6"/>
      <c r="AGY6"/>
      <c r="AGZ6"/>
      <c r="AHA6"/>
      <c r="AHB6"/>
      <c r="AHC6"/>
      <c r="AHD6"/>
      <c r="AHE6"/>
      <c r="AHF6"/>
      <c r="AHG6"/>
      <c r="AHH6"/>
      <c r="AHI6"/>
      <c r="AHJ6"/>
      <c r="AHK6"/>
      <c r="AHL6"/>
      <c r="AHM6"/>
      <c r="AHN6"/>
      <c r="AHO6"/>
      <c r="AHP6"/>
      <c r="AHQ6"/>
      <c r="AHR6"/>
      <c r="AHS6"/>
      <c r="AHT6"/>
      <c r="AHU6"/>
      <c r="AHV6"/>
      <c r="AHW6"/>
      <c r="AHX6"/>
      <c r="AHY6"/>
      <c r="AHZ6"/>
      <c r="AIA6"/>
      <c r="AIB6"/>
      <c r="AIC6"/>
      <c r="AID6"/>
      <c r="AIE6"/>
      <c r="AIF6"/>
      <c r="AIG6"/>
      <c r="AIH6"/>
      <c r="AII6"/>
      <c r="AIJ6"/>
      <c r="AIK6"/>
      <c r="AIL6"/>
      <c r="AIM6"/>
      <c r="AIN6"/>
      <c r="AIO6"/>
      <c r="AIP6"/>
      <c r="AIQ6"/>
      <c r="AIR6"/>
      <c r="AIS6"/>
      <c r="AIT6"/>
      <c r="AIU6"/>
      <c r="AIV6"/>
      <c r="AIW6"/>
      <c r="AIX6"/>
      <c r="AIY6"/>
      <c r="AIZ6"/>
      <c r="AJA6"/>
      <c r="AJB6"/>
      <c r="AJC6"/>
      <c r="AJD6"/>
      <c r="AJE6"/>
      <c r="AJF6"/>
      <c r="AJG6"/>
      <c r="AJH6"/>
      <c r="AJI6"/>
      <c r="AJJ6"/>
      <c r="AJK6"/>
      <c r="AJL6"/>
      <c r="AJM6"/>
      <c r="AJN6"/>
      <c r="AJO6"/>
      <c r="AJP6"/>
      <c r="AJQ6"/>
      <c r="AJR6"/>
      <c r="AJS6"/>
      <c r="AJT6"/>
      <c r="AJU6"/>
      <c r="AJV6"/>
      <c r="AJW6"/>
      <c r="AJX6"/>
      <c r="AJY6"/>
      <c r="AJZ6"/>
      <c r="AKA6"/>
      <c r="AKB6"/>
      <c r="AKC6"/>
      <c r="AKD6"/>
      <c r="AKE6"/>
      <c r="AKF6"/>
      <c r="AKG6"/>
      <c r="AKH6"/>
      <c r="AKI6"/>
      <c r="AKJ6"/>
      <c r="AKK6"/>
      <c r="AKL6"/>
      <c r="AKM6"/>
      <c r="AKN6"/>
      <c r="AKO6"/>
      <c r="AKP6"/>
      <c r="AKQ6"/>
      <c r="AKR6"/>
      <c r="AKS6"/>
      <c r="AKT6"/>
      <c r="AKU6"/>
      <c r="AKV6"/>
      <c r="AKW6"/>
      <c r="AKX6"/>
      <c r="AKY6"/>
      <c r="AKZ6"/>
      <c r="ALA6"/>
      <c r="ALB6"/>
      <c r="ALC6"/>
      <c r="ALD6"/>
      <c r="ALE6"/>
      <c r="ALF6"/>
      <c r="ALG6"/>
      <c r="ALH6"/>
      <c r="ALI6"/>
      <c r="ALJ6"/>
      <c r="ALK6"/>
      <c r="ALL6"/>
      <c r="ALM6"/>
      <c r="ALN6"/>
      <c r="ALO6"/>
      <c r="ALP6"/>
      <c r="ALQ6"/>
      <c r="ALR6"/>
      <c r="ALS6"/>
      <c r="ALT6"/>
      <c r="ALU6"/>
      <c r="ALV6"/>
      <c r="ALW6"/>
      <c r="ALX6"/>
      <c r="ALY6"/>
      <c r="ALZ6"/>
      <c r="AMA6"/>
      <c r="AMB6"/>
      <c r="AMC6"/>
      <c r="AMD6"/>
      <c r="AME6"/>
      <c r="AMF6"/>
      <c r="AMG6"/>
      <c r="AMH6"/>
      <c r="AMI6"/>
      <c r="AMJ6"/>
      <c r="AMK6"/>
      <c r="AML6"/>
      <c r="AMM6"/>
      <c r="AMN6"/>
      <c r="AMO6"/>
      <c r="AMP6"/>
      <c r="AMQ6"/>
      <c r="AMR6"/>
      <c r="AMS6"/>
      <c r="AMT6"/>
      <c r="AMU6"/>
      <c r="AMV6"/>
      <c r="AMW6"/>
      <c r="AMX6"/>
      <c r="AMY6"/>
      <c r="AMZ6"/>
      <c r="ANA6"/>
      <c r="ANB6"/>
      <c r="ANC6"/>
      <c r="AND6"/>
      <c r="ANE6"/>
      <c r="ANF6"/>
      <c r="ANG6"/>
      <c r="ANH6"/>
      <c r="ANI6"/>
      <c r="ANJ6"/>
      <c r="ANK6"/>
      <c r="ANL6"/>
      <c r="ANM6"/>
      <c r="ANN6"/>
      <c r="ANO6"/>
    </row>
    <row r="7" spans="1:1055" s="36" customFormat="1" ht="15.75" thickBot="1" x14ac:dyDescent="0.3">
      <c r="A7" s="34" t="s">
        <v>29</v>
      </c>
      <c r="B7" s="35">
        <v>0</v>
      </c>
      <c r="C7" s="36">
        <v>0</v>
      </c>
      <c r="D7" s="36">
        <v>0</v>
      </c>
      <c r="E7" s="37">
        <v>3280</v>
      </c>
      <c r="F7" s="35">
        <v>0</v>
      </c>
      <c r="G7" s="96">
        <v>0</v>
      </c>
      <c r="H7" s="96">
        <v>0</v>
      </c>
      <c r="I7" s="96">
        <v>0</v>
      </c>
      <c r="J7" s="97">
        <v>0</v>
      </c>
      <c r="K7" s="36">
        <v>0</v>
      </c>
      <c r="L7" s="38">
        <v>0</v>
      </c>
      <c r="M7" s="39">
        <v>0</v>
      </c>
      <c r="N7" s="40">
        <v>0</v>
      </c>
      <c r="O7" s="35"/>
      <c r="Q7" s="38">
        <v>0</v>
      </c>
      <c r="R7" s="35">
        <v>0</v>
      </c>
      <c r="S7" s="38">
        <v>0</v>
      </c>
      <c r="T7" s="41">
        <v>0</v>
      </c>
      <c r="U7" s="42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  <c r="AB7" s="36">
        <v>0</v>
      </c>
      <c r="AC7" s="36">
        <v>0</v>
      </c>
      <c r="AD7" s="36">
        <v>0</v>
      </c>
      <c r="AE7" s="36">
        <v>0</v>
      </c>
      <c r="AF7" s="36">
        <v>0</v>
      </c>
      <c r="AG7" s="36">
        <v>0</v>
      </c>
      <c r="AH7" s="36">
        <v>0</v>
      </c>
      <c r="AI7" s="36">
        <v>0</v>
      </c>
      <c r="AJ7" s="36">
        <v>0</v>
      </c>
      <c r="AK7" s="36">
        <v>0</v>
      </c>
      <c r="AL7" s="36">
        <v>0</v>
      </c>
      <c r="AM7" s="36">
        <v>0</v>
      </c>
      <c r="AN7" s="36">
        <v>0</v>
      </c>
      <c r="AO7" s="36">
        <v>0</v>
      </c>
      <c r="AP7" s="36">
        <v>0</v>
      </c>
      <c r="AQ7" s="36">
        <v>0</v>
      </c>
      <c r="AR7" s="38">
        <v>0</v>
      </c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  <c r="TB7"/>
      <c r="TC7"/>
      <c r="TD7"/>
      <c r="TE7"/>
      <c r="TF7"/>
      <c r="TG7"/>
      <c r="TH7"/>
      <c r="TI7"/>
      <c r="TJ7"/>
      <c r="TK7"/>
      <c r="TL7"/>
      <c r="TM7"/>
      <c r="TN7"/>
      <c r="TO7"/>
      <c r="TP7"/>
      <c r="TQ7"/>
      <c r="TR7"/>
      <c r="TS7"/>
      <c r="TT7"/>
      <c r="TU7"/>
      <c r="TV7"/>
      <c r="TW7"/>
      <c r="TX7"/>
      <c r="TY7"/>
      <c r="TZ7"/>
      <c r="UA7"/>
      <c r="UB7"/>
      <c r="UC7"/>
      <c r="UD7"/>
      <c r="UE7"/>
      <c r="UF7"/>
      <c r="UG7"/>
      <c r="UH7"/>
      <c r="UI7"/>
      <c r="UJ7"/>
      <c r="UK7"/>
      <c r="UL7"/>
      <c r="UM7"/>
      <c r="UN7"/>
      <c r="UO7"/>
      <c r="UP7"/>
      <c r="UQ7"/>
      <c r="UR7"/>
      <c r="US7"/>
      <c r="UT7"/>
      <c r="UU7"/>
      <c r="UV7"/>
      <c r="UW7"/>
      <c r="UX7"/>
      <c r="UY7"/>
      <c r="UZ7"/>
      <c r="VA7"/>
      <c r="VB7"/>
      <c r="VC7"/>
      <c r="VD7"/>
      <c r="VE7"/>
      <c r="VF7"/>
      <c r="VG7"/>
      <c r="VH7"/>
      <c r="VI7"/>
      <c r="VJ7"/>
      <c r="VK7"/>
      <c r="VL7"/>
      <c r="VM7"/>
      <c r="VN7"/>
      <c r="VO7"/>
      <c r="VP7"/>
      <c r="VQ7"/>
      <c r="VR7"/>
      <c r="VS7"/>
      <c r="VT7"/>
      <c r="VU7"/>
      <c r="VV7"/>
      <c r="VW7"/>
      <c r="VX7"/>
      <c r="VY7"/>
      <c r="VZ7"/>
      <c r="WA7"/>
      <c r="WB7"/>
      <c r="WC7"/>
      <c r="WD7"/>
      <c r="WE7"/>
      <c r="WF7"/>
      <c r="WG7"/>
      <c r="WH7"/>
      <c r="WI7"/>
      <c r="WJ7"/>
      <c r="WK7"/>
      <c r="WL7"/>
      <c r="WM7"/>
      <c r="WN7"/>
      <c r="WO7"/>
      <c r="WP7"/>
      <c r="WQ7"/>
      <c r="WR7"/>
      <c r="WS7"/>
      <c r="WT7"/>
      <c r="WU7"/>
      <c r="WV7"/>
      <c r="WW7"/>
      <c r="WX7"/>
      <c r="WY7"/>
      <c r="WZ7"/>
      <c r="XA7"/>
      <c r="XB7"/>
      <c r="XC7"/>
      <c r="XD7"/>
      <c r="XE7"/>
      <c r="XF7"/>
      <c r="XG7"/>
      <c r="XH7"/>
      <c r="XI7"/>
      <c r="XJ7"/>
      <c r="XK7"/>
      <c r="XL7"/>
      <c r="XM7"/>
      <c r="XN7"/>
      <c r="XO7"/>
      <c r="XP7"/>
      <c r="XQ7"/>
      <c r="XR7"/>
      <c r="XS7"/>
      <c r="XT7"/>
      <c r="XU7"/>
      <c r="XV7"/>
      <c r="XW7"/>
      <c r="XX7"/>
      <c r="XY7"/>
      <c r="XZ7"/>
      <c r="YA7"/>
      <c r="YB7"/>
      <c r="YC7"/>
      <c r="YD7"/>
      <c r="YE7"/>
      <c r="YF7"/>
      <c r="YG7"/>
      <c r="YH7"/>
      <c r="YI7"/>
      <c r="YJ7"/>
      <c r="YK7"/>
      <c r="YL7"/>
      <c r="YM7"/>
      <c r="YN7"/>
      <c r="YO7"/>
      <c r="YP7"/>
      <c r="YQ7"/>
      <c r="YR7"/>
      <c r="YS7"/>
      <c r="YT7"/>
      <c r="YU7"/>
      <c r="YV7"/>
      <c r="YW7"/>
      <c r="YX7"/>
      <c r="YY7"/>
      <c r="YZ7"/>
      <c r="ZA7"/>
      <c r="ZB7"/>
      <c r="ZC7"/>
      <c r="ZD7"/>
      <c r="ZE7"/>
      <c r="ZF7"/>
      <c r="ZG7"/>
      <c r="ZH7"/>
      <c r="ZI7"/>
      <c r="ZJ7"/>
      <c r="ZK7"/>
      <c r="ZL7"/>
      <c r="ZM7"/>
      <c r="ZN7"/>
      <c r="ZO7"/>
      <c r="ZP7"/>
      <c r="ZQ7"/>
      <c r="ZR7"/>
      <c r="ZS7"/>
      <c r="ZT7"/>
      <c r="ZU7"/>
      <c r="ZV7"/>
      <c r="ZW7"/>
      <c r="ZX7"/>
      <c r="ZY7"/>
      <c r="ZZ7"/>
      <c r="AAA7"/>
      <c r="AAB7"/>
      <c r="AAC7"/>
      <c r="AAD7"/>
      <c r="AAE7"/>
      <c r="AAF7"/>
      <c r="AAG7"/>
      <c r="AAH7"/>
      <c r="AAI7"/>
      <c r="AAJ7"/>
      <c r="AAK7"/>
      <c r="AAL7"/>
      <c r="AAM7"/>
      <c r="AAN7"/>
      <c r="AAO7"/>
      <c r="AAP7"/>
      <c r="AAQ7"/>
      <c r="AAR7"/>
      <c r="AAS7"/>
      <c r="AAT7"/>
      <c r="AAU7"/>
      <c r="AAV7"/>
      <c r="AAW7"/>
      <c r="AAX7"/>
      <c r="AAY7"/>
      <c r="AAZ7"/>
      <c r="ABA7"/>
      <c r="ABB7"/>
      <c r="ABC7"/>
      <c r="ABD7"/>
      <c r="ABE7"/>
      <c r="ABF7"/>
      <c r="ABG7"/>
      <c r="ABH7"/>
      <c r="ABI7"/>
      <c r="ABJ7"/>
      <c r="ABK7"/>
      <c r="ABL7"/>
      <c r="ABM7"/>
      <c r="ABN7"/>
      <c r="ABO7"/>
      <c r="ABP7"/>
      <c r="ABQ7"/>
      <c r="ABR7"/>
      <c r="ABS7"/>
      <c r="ABT7"/>
      <c r="ABU7"/>
      <c r="ABV7"/>
      <c r="ABW7"/>
      <c r="ABX7"/>
      <c r="ABY7"/>
      <c r="ABZ7"/>
      <c r="ACA7"/>
      <c r="ACB7"/>
      <c r="ACC7"/>
      <c r="ACD7"/>
      <c r="ACE7"/>
      <c r="ACF7"/>
      <c r="ACG7"/>
      <c r="ACH7"/>
      <c r="ACI7"/>
      <c r="ACJ7"/>
      <c r="ACK7"/>
      <c r="ACL7"/>
      <c r="ACM7"/>
      <c r="ACN7"/>
      <c r="ACO7"/>
      <c r="ACP7"/>
      <c r="ACQ7"/>
      <c r="ACR7"/>
      <c r="ACS7"/>
      <c r="ACT7"/>
      <c r="ACU7"/>
      <c r="ACV7"/>
      <c r="ACW7"/>
      <c r="ACX7"/>
      <c r="ACY7"/>
      <c r="ACZ7"/>
      <c r="ADA7"/>
      <c r="ADB7"/>
      <c r="ADC7"/>
      <c r="ADD7"/>
      <c r="ADE7"/>
      <c r="ADF7"/>
      <c r="ADG7"/>
      <c r="ADH7"/>
      <c r="ADI7"/>
      <c r="ADJ7"/>
      <c r="ADK7"/>
      <c r="ADL7"/>
      <c r="ADM7"/>
      <c r="ADN7"/>
      <c r="ADO7"/>
      <c r="ADP7"/>
      <c r="ADQ7"/>
      <c r="ADR7"/>
      <c r="ADS7"/>
      <c r="ADT7"/>
      <c r="ADU7"/>
      <c r="ADV7"/>
      <c r="ADW7"/>
      <c r="ADX7"/>
      <c r="ADY7"/>
      <c r="ADZ7"/>
      <c r="AEA7"/>
      <c r="AEB7"/>
      <c r="AEC7"/>
      <c r="AED7"/>
      <c r="AEE7"/>
      <c r="AEF7"/>
      <c r="AEG7"/>
      <c r="AEH7"/>
      <c r="AEI7"/>
      <c r="AEJ7"/>
      <c r="AEK7"/>
      <c r="AEL7"/>
      <c r="AEM7"/>
      <c r="AEN7"/>
      <c r="AEO7"/>
      <c r="AEP7"/>
      <c r="AEQ7"/>
      <c r="AER7"/>
      <c r="AES7"/>
      <c r="AET7"/>
      <c r="AEU7"/>
      <c r="AEV7"/>
      <c r="AEW7"/>
      <c r="AEX7"/>
      <c r="AEY7"/>
      <c r="AEZ7"/>
      <c r="AFA7"/>
      <c r="AFB7"/>
      <c r="AFC7"/>
      <c r="AFD7"/>
      <c r="AFE7"/>
      <c r="AFF7"/>
      <c r="AFG7"/>
      <c r="AFH7"/>
      <c r="AFI7"/>
      <c r="AFJ7"/>
      <c r="AFK7"/>
      <c r="AFL7"/>
      <c r="AFM7"/>
      <c r="AFN7"/>
      <c r="AFO7"/>
      <c r="AFP7"/>
      <c r="AFQ7"/>
      <c r="AFR7"/>
      <c r="AFS7"/>
      <c r="AFT7"/>
      <c r="AFU7"/>
      <c r="AFV7"/>
      <c r="AFW7"/>
      <c r="AFX7"/>
      <c r="AFY7"/>
      <c r="AFZ7"/>
      <c r="AGA7"/>
      <c r="AGB7"/>
      <c r="AGC7"/>
      <c r="AGD7"/>
      <c r="AGE7"/>
      <c r="AGF7"/>
      <c r="AGG7"/>
      <c r="AGH7"/>
      <c r="AGI7"/>
      <c r="AGJ7"/>
      <c r="AGK7"/>
      <c r="AGL7"/>
      <c r="AGM7"/>
      <c r="AGN7"/>
      <c r="AGO7"/>
      <c r="AGP7"/>
      <c r="AGQ7"/>
      <c r="AGR7"/>
      <c r="AGS7"/>
      <c r="AGT7"/>
      <c r="AGU7"/>
      <c r="AGV7"/>
      <c r="AGW7"/>
      <c r="AGX7"/>
      <c r="AGY7"/>
      <c r="AGZ7"/>
      <c r="AHA7"/>
      <c r="AHB7"/>
      <c r="AHC7"/>
      <c r="AHD7"/>
      <c r="AHE7"/>
      <c r="AHF7"/>
      <c r="AHG7"/>
      <c r="AHH7"/>
      <c r="AHI7"/>
      <c r="AHJ7"/>
      <c r="AHK7"/>
      <c r="AHL7"/>
      <c r="AHM7"/>
      <c r="AHN7"/>
      <c r="AHO7"/>
      <c r="AHP7"/>
      <c r="AHQ7"/>
      <c r="AHR7"/>
      <c r="AHS7"/>
      <c r="AHT7"/>
      <c r="AHU7"/>
      <c r="AHV7"/>
      <c r="AHW7"/>
      <c r="AHX7"/>
      <c r="AHY7"/>
      <c r="AHZ7"/>
      <c r="AIA7"/>
      <c r="AIB7"/>
      <c r="AIC7"/>
      <c r="AID7"/>
      <c r="AIE7"/>
      <c r="AIF7"/>
      <c r="AIG7"/>
      <c r="AIH7"/>
      <c r="AII7"/>
      <c r="AIJ7"/>
      <c r="AIK7"/>
      <c r="AIL7"/>
      <c r="AIM7"/>
      <c r="AIN7"/>
      <c r="AIO7"/>
      <c r="AIP7"/>
      <c r="AIQ7"/>
      <c r="AIR7"/>
      <c r="AIS7"/>
      <c r="AIT7"/>
      <c r="AIU7"/>
      <c r="AIV7"/>
      <c r="AIW7"/>
      <c r="AIX7"/>
      <c r="AIY7"/>
      <c r="AIZ7"/>
      <c r="AJA7"/>
      <c r="AJB7"/>
      <c r="AJC7"/>
      <c r="AJD7"/>
      <c r="AJE7"/>
      <c r="AJF7"/>
      <c r="AJG7"/>
      <c r="AJH7"/>
      <c r="AJI7"/>
      <c r="AJJ7"/>
      <c r="AJK7"/>
      <c r="AJL7"/>
      <c r="AJM7"/>
      <c r="AJN7"/>
      <c r="AJO7"/>
      <c r="AJP7"/>
      <c r="AJQ7"/>
      <c r="AJR7"/>
      <c r="AJS7"/>
      <c r="AJT7"/>
      <c r="AJU7"/>
      <c r="AJV7"/>
      <c r="AJW7"/>
      <c r="AJX7"/>
      <c r="AJY7"/>
      <c r="AJZ7"/>
      <c r="AKA7"/>
      <c r="AKB7"/>
      <c r="AKC7"/>
      <c r="AKD7"/>
      <c r="AKE7"/>
      <c r="AKF7"/>
      <c r="AKG7"/>
      <c r="AKH7"/>
      <c r="AKI7"/>
      <c r="AKJ7"/>
      <c r="AKK7"/>
      <c r="AKL7"/>
      <c r="AKM7"/>
      <c r="AKN7"/>
      <c r="AKO7"/>
      <c r="AKP7"/>
      <c r="AKQ7"/>
      <c r="AKR7"/>
      <c r="AKS7"/>
      <c r="AKT7"/>
      <c r="AKU7"/>
      <c r="AKV7"/>
      <c r="AKW7"/>
      <c r="AKX7"/>
      <c r="AKY7"/>
      <c r="AKZ7"/>
      <c r="ALA7"/>
      <c r="ALB7"/>
      <c r="ALC7"/>
      <c r="ALD7"/>
      <c r="ALE7"/>
      <c r="ALF7"/>
      <c r="ALG7"/>
      <c r="ALH7"/>
      <c r="ALI7"/>
      <c r="ALJ7"/>
      <c r="ALK7"/>
      <c r="ALL7"/>
      <c r="ALM7"/>
      <c r="ALN7"/>
      <c r="ALO7"/>
      <c r="ALP7"/>
      <c r="ALQ7"/>
      <c r="ALR7"/>
      <c r="ALS7"/>
      <c r="ALT7"/>
      <c r="ALU7"/>
      <c r="ALV7"/>
      <c r="ALW7"/>
      <c r="ALX7"/>
      <c r="ALY7"/>
      <c r="ALZ7"/>
      <c r="AMA7"/>
      <c r="AMB7"/>
      <c r="AMC7"/>
      <c r="AMD7"/>
      <c r="AME7"/>
      <c r="AMF7"/>
      <c r="AMG7"/>
      <c r="AMH7"/>
      <c r="AMI7"/>
      <c r="AMJ7"/>
      <c r="AMK7"/>
      <c r="AML7"/>
      <c r="AMM7"/>
      <c r="AMN7"/>
      <c r="AMO7"/>
      <c r="AMP7"/>
      <c r="AMQ7"/>
      <c r="AMR7"/>
      <c r="AMS7"/>
      <c r="AMT7"/>
      <c r="AMU7"/>
      <c r="AMV7"/>
      <c r="AMW7"/>
      <c r="AMX7"/>
      <c r="AMY7"/>
      <c r="AMZ7"/>
      <c r="ANA7"/>
      <c r="ANB7"/>
      <c r="ANC7"/>
      <c r="AND7"/>
      <c r="ANE7"/>
      <c r="ANF7"/>
      <c r="ANG7"/>
      <c r="ANH7"/>
      <c r="ANI7"/>
      <c r="ANJ7"/>
      <c r="ANK7"/>
      <c r="ANL7"/>
      <c r="ANM7"/>
      <c r="ANN7"/>
      <c r="ANO7"/>
    </row>
    <row r="8" spans="1:1055" s="36" customFormat="1" ht="15.75" thickBot="1" x14ac:dyDescent="0.3">
      <c r="A8" s="34" t="s">
        <v>30</v>
      </c>
      <c r="B8" s="35">
        <v>0</v>
      </c>
      <c r="C8" s="36">
        <v>0</v>
      </c>
      <c r="D8" s="36">
        <v>6.1</v>
      </c>
      <c r="E8" s="37">
        <v>0</v>
      </c>
      <c r="F8" s="35">
        <v>0</v>
      </c>
      <c r="G8" s="96">
        <v>0</v>
      </c>
      <c r="H8" s="96">
        <v>0</v>
      </c>
      <c r="I8" s="96">
        <v>0</v>
      </c>
      <c r="J8" s="97">
        <v>0</v>
      </c>
      <c r="K8" s="36">
        <v>0</v>
      </c>
      <c r="L8" s="38">
        <v>0</v>
      </c>
      <c r="M8" s="39">
        <v>264</v>
      </c>
      <c r="N8" s="40">
        <v>0</v>
      </c>
      <c r="O8" s="35"/>
      <c r="Q8" s="38">
        <v>0.15</v>
      </c>
      <c r="R8" s="35">
        <v>0.5</v>
      </c>
      <c r="S8" s="38">
        <v>6</v>
      </c>
      <c r="T8" s="41">
        <v>119.692871936237</v>
      </c>
      <c r="U8" s="42">
        <v>12862.9927690069</v>
      </c>
      <c r="V8" s="36">
        <v>18100</v>
      </c>
      <c r="W8" s="36">
        <v>18500</v>
      </c>
      <c r="X8" s="36">
        <v>18900</v>
      </c>
      <c r="Y8" s="36">
        <v>20000</v>
      </c>
      <c r="Z8" s="36">
        <v>19600</v>
      </c>
      <c r="AA8" s="36">
        <v>19100</v>
      </c>
      <c r="AB8" s="36">
        <v>19700</v>
      </c>
      <c r="AC8" s="36">
        <v>18200</v>
      </c>
      <c r="AD8" s="36">
        <v>15800</v>
      </c>
      <c r="AE8" s="36">
        <v>16890</v>
      </c>
      <c r="AF8" s="36">
        <v>18790</v>
      </c>
      <c r="AG8" s="36">
        <v>19390</v>
      </c>
      <c r="AH8" s="36">
        <v>19280</v>
      </c>
      <c r="AI8" s="36">
        <v>20370</v>
      </c>
      <c r="AJ8" s="36">
        <v>19550</v>
      </c>
      <c r="AK8" s="36">
        <v>18690</v>
      </c>
      <c r="AL8" s="36">
        <v>20930</v>
      </c>
      <c r="AM8" s="36">
        <v>22010</v>
      </c>
      <c r="AN8" s="36">
        <v>22780</v>
      </c>
      <c r="AO8" s="36">
        <v>21770</v>
      </c>
      <c r="AP8" s="36">
        <v>22020</v>
      </c>
      <c r="AQ8" s="36">
        <v>22680</v>
      </c>
      <c r="AR8" s="38">
        <v>22320</v>
      </c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  <c r="TB8"/>
      <c r="TC8"/>
      <c r="TD8"/>
      <c r="TE8"/>
      <c r="TF8"/>
      <c r="TG8"/>
      <c r="TH8"/>
      <c r="TI8"/>
      <c r="TJ8"/>
      <c r="TK8"/>
      <c r="TL8"/>
      <c r="TM8"/>
      <c r="TN8"/>
      <c r="TO8"/>
      <c r="TP8"/>
      <c r="TQ8"/>
      <c r="TR8"/>
      <c r="TS8"/>
      <c r="TT8"/>
      <c r="TU8"/>
      <c r="TV8"/>
      <c r="TW8"/>
      <c r="TX8"/>
      <c r="TY8"/>
      <c r="TZ8"/>
      <c r="UA8"/>
      <c r="UB8"/>
      <c r="UC8"/>
      <c r="UD8"/>
      <c r="UE8"/>
      <c r="UF8"/>
      <c r="UG8"/>
      <c r="UH8"/>
      <c r="UI8"/>
      <c r="UJ8"/>
      <c r="UK8"/>
      <c r="UL8"/>
      <c r="UM8"/>
      <c r="UN8"/>
      <c r="UO8"/>
      <c r="UP8"/>
      <c r="UQ8"/>
      <c r="UR8"/>
      <c r="US8"/>
      <c r="UT8"/>
      <c r="UU8"/>
      <c r="UV8"/>
      <c r="UW8"/>
      <c r="UX8"/>
      <c r="UY8"/>
      <c r="UZ8"/>
      <c r="VA8"/>
      <c r="VB8"/>
      <c r="VC8"/>
      <c r="VD8"/>
      <c r="VE8"/>
      <c r="VF8"/>
      <c r="VG8"/>
      <c r="VH8"/>
      <c r="VI8"/>
      <c r="VJ8"/>
      <c r="VK8"/>
      <c r="VL8"/>
      <c r="VM8"/>
      <c r="VN8"/>
      <c r="VO8"/>
      <c r="VP8"/>
      <c r="VQ8"/>
      <c r="VR8"/>
      <c r="VS8"/>
      <c r="VT8"/>
      <c r="VU8"/>
      <c r="VV8"/>
      <c r="VW8"/>
      <c r="VX8"/>
      <c r="VY8"/>
      <c r="VZ8"/>
      <c r="WA8"/>
      <c r="WB8"/>
      <c r="WC8"/>
      <c r="WD8"/>
      <c r="WE8"/>
      <c r="WF8"/>
      <c r="WG8"/>
      <c r="WH8"/>
      <c r="WI8"/>
      <c r="WJ8"/>
      <c r="WK8"/>
      <c r="WL8"/>
      <c r="WM8"/>
      <c r="WN8"/>
      <c r="WO8"/>
      <c r="WP8"/>
      <c r="WQ8"/>
      <c r="WR8"/>
      <c r="WS8"/>
      <c r="WT8"/>
      <c r="WU8"/>
      <c r="WV8"/>
      <c r="WW8"/>
      <c r="WX8"/>
      <c r="WY8"/>
      <c r="WZ8"/>
      <c r="XA8"/>
      <c r="XB8"/>
      <c r="XC8"/>
      <c r="XD8"/>
      <c r="XE8"/>
      <c r="XF8"/>
      <c r="XG8"/>
      <c r="XH8"/>
      <c r="XI8"/>
      <c r="XJ8"/>
      <c r="XK8"/>
      <c r="XL8"/>
      <c r="XM8"/>
      <c r="XN8"/>
      <c r="XO8"/>
      <c r="XP8"/>
      <c r="XQ8"/>
      <c r="XR8"/>
      <c r="XS8"/>
      <c r="XT8"/>
      <c r="XU8"/>
      <c r="XV8"/>
      <c r="XW8"/>
      <c r="XX8"/>
      <c r="XY8"/>
      <c r="XZ8"/>
      <c r="YA8"/>
      <c r="YB8"/>
      <c r="YC8"/>
      <c r="YD8"/>
      <c r="YE8"/>
      <c r="YF8"/>
      <c r="YG8"/>
      <c r="YH8"/>
      <c r="YI8"/>
      <c r="YJ8"/>
      <c r="YK8"/>
      <c r="YL8"/>
      <c r="YM8"/>
      <c r="YN8"/>
      <c r="YO8"/>
      <c r="YP8"/>
      <c r="YQ8"/>
      <c r="YR8"/>
      <c r="YS8"/>
      <c r="YT8"/>
      <c r="YU8"/>
      <c r="YV8"/>
      <c r="YW8"/>
      <c r="YX8"/>
      <c r="YY8"/>
      <c r="YZ8"/>
      <c r="ZA8"/>
      <c r="ZB8"/>
      <c r="ZC8"/>
      <c r="ZD8"/>
      <c r="ZE8"/>
      <c r="ZF8"/>
      <c r="ZG8"/>
      <c r="ZH8"/>
      <c r="ZI8"/>
      <c r="ZJ8"/>
      <c r="ZK8"/>
      <c r="ZL8"/>
      <c r="ZM8"/>
      <c r="ZN8"/>
      <c r="ZO8"/>
      <c r="ZP8"/>
      <c r="ZQ8"/>
      <c r="ZR8"/>
      <c r="ZS8"/>
      <c r="ZT8"/>
      <c r="ZU8"/>
      <c r="ZV8"/>
      <c r="ZW8"/>
      <c r="ZX8"/>
      <c r="ZY8"/>
      <c r="ZZ8"/>
      <c r="AAA8"/>
      <c r="AAB8"/>
      <c r="AAC8"/>
      <c r="AAD8"/>
      <c r="AAE8"/>
      <c r="AAF8"/>
      <c r="AAG8"/>
      <c r="AAH8"/>
      <c r="AAI8"/>
      <c r="AAJ8"/>
      <c r="AAK8"/>
      <c r="AAL8"/>
      <c r="AAM8"/>
      <c r="AAN8"/>
      <c r="AAO8"/>
      <c r="AAP8"/>
      <c r="AAQ8"/>
      <c r="AAR8"/>
      <c r="AAS8"/>
      <c r="AAT8"/>
      <c r="AAU8"/>
      <c r="AAV8"/>
      <c r="AAW8"/>
      <c r="AAX8"/>
      <c r="AAY8"/>
      <c r="AAZ8"/>
      <c r="ABA8"/>
      <c r="ABB8"/>
      <c r="ABC8"/>
      <c r="ABD8"/>
      <c r="ABE8"/>
      <c r="ABF8"/>
      <c r="ABG8"/>
      <c r="ABH8"/>
      <c r="ABI8"/>
      <c r="ABJ8"/>
      <c r="ABK8"/>
      <c r="ABL8"/>
      <c r="ABM8"/>
      <c r="ABN8"/>
      <c r="ABO8"/>
      <c r="ABP8"/>
      <c r="ABQ8"/>
      <c r="ABR8"/>
      <c r="ABS8"/>
      <c r="ABT8"/>
      <c r="ABU8"/>
      <c r="ABV8"/>
      <c r="ABW8"/>
      <c r="ABX8"/>
      <c r="ABY8"/>
      <c r="ABZ8"/>
      <c r="ACA8"/>
      <c r="ACB8"/>
      <c r="ACC8"/>
      <c r="ACD8"/>
      <c r="ACE8"/>
      <c r="ACF8"/>
      <c r="ACG8"/>
      <c r="ACH8"/>
      <c r="ACI8"/>
      <c r="ACJ8"/>
      <c r="ACK8"/>
      <c r="ACL8"/>
      <c r="ACM8"/>
      <c r="ACN8"/>
      <c r="ACO8"/>
      <c r="ACP8"/>
      <c r="ACQ8"/>
      <c r="ACR8"/>
      <c r="ACS8"/>
      <c r="ACT8"/>
      <c r="ACU8"/>
      <c r="ACV8"/>
      <c r="ACW8"/>
      <c r="ACX8"/>
      <c r="ACY8"/>
      <c r="ACZ8"/>
      <c r="ADA8"/>
      <c r="ADB8"/>
      <c r="ADC8"/>
      <c r="ADD8"/>
      <c r="ADE8"/>
      <c r="ADF8"/>
      <c r="ADG8"/>
      <c r="ADH8"/>
      <c r="ADI8"/>
      <c r="ADJ8"/>
      <c r="ADK8"/>
      <c r="ADL8"/>
      <c r="ADM8"/>
      <c r="ADN8"/>
      <c r="ADO8"/>
      <c r="ADP8"/>
      <c r="ADQ8"/>
      <c r="ADR8"/>
      <c r="ADS8"/>
      <c r="ADT8"/>
      <c r="ADU8"/>
      <c r="ADV8"/>
      <c r="ADW8"/>
      <c r="ADX8"/>
      <c r="ADY8"/>
      <c r="ADZ8"/>
      <c r="AEA8"/>
      <c r="AEB8"/>
      <c r="AEC8"/>
      <c r="AED8"/>
      <c r="AEE8"/>
      <c r="AEF8"/>
      <c r="AEG8"/>
      <c r="AEH8"/>
      <c r="AEI8"/>
      <c r="AEJ8"/>
      <c r="AEK8"/>
      <c r="AEL8"/>
      <c r="AEM8"/>
      <c r="AEN8"/>
      <c r="AEO8"/>
      <c r="AEP8"/>
      <c r="AEQ8"/>
      <c r="AER8"/>
      <c r="AES8"/>
      <c r="AET8"/>
      <c r="AEU8"/>
      <c r="AEV8"/>
      <c r="AEW8"/>
      <c r="AEX8"/>
      <c r="AEY8"/>
      <c r="AEZ8"/>
      <c r="AFA8"/>
      <c r="AFB8"/>
      <c r="AFC8"/>
      <c r="AFD8"/>
      <c r="AFE8"/>
      <c r="AFF8"/>
      <c r="AFG8"/>
      <c r="AFH8"/>
      <c r="AFI8"/>
      <c r="AFJ8"/>
      <c r="AFK8"/>
      <c r="AFL8"/>
      <c r="AFM8"/>
      <c r="AFN8"/>
      <c r="AFO8"/>
      <c r="AFP8"/>
      <c r="AFQ8"/>
      <c r="AFR8"/>
      <c r="AFS8"/>
      <c r="AFT8"/>
      <c r="AFU8"/>
      <c r="AFV8"/>
      <c r="AFW8"/>
      <c r="AFX8"/>
      <c r="AFY8"/>
      <c r="AFZ8"/>
      <c r="AGA8"/>
      <c r="AGB8"/>
      <c r="AGC8"/>
      <c r="AGD8"/>
      <c r="AGE8"/>
      <c r="AGF8"/>
      <c r="AGG8"/>
      <c r="AGH8"/>
      <c r="AGI8"/>
      <c r="AGJ8"/>
      <c r="AGK8"/>
      <c r="AGL8"/>
      <c r="AGM8"/>
      <c r="AGN8"/>
      <c r="AGO8"/>
      <c r="AGP8"/>
      <c r="AGQ8"/>
      <c r="AGR8"/>
      <c r="AGS8"/>
      <c r="AGT8"/>
      <c r="AGU8"/>
      <c r="AGV8"/>
      <c r="AGW8"/>
      <c r="AGX8"/>
      <c r="AGY8"/>
      <c r="AGZ8"/>
      <c r="AHA8"/>
      <c r="AHB8"/>
      <c r="AHC8"/>
      <c r="AHD8"/>
      <c r="AHE8"/>
      <c r="AHF8"/>
      <c r="AHG8"/>
      <c r="AHH8"/>
      <c r="AHI8"/>
      <c r="AHJ8"/>
      <c r="AHK8"/>
      <c r="AHL8"/>
      <c r="AHM8"/>
      <c r="AHN8"/>
      <c r="AHO8"/>
      <c r="AHP8"/>
      <c r="AHQ8"/>
      <c r="AHR8"/>
      <c r="AHS8"/>
      <c r="AHT8"/>
      <c r="AHU8"/>
      <c r="AHV8"/>
      <c r="AHW8"/>
      <c r="AHX8"/>
      <c r="AHY8"/>
      <c r="AHZ8"/>
      <c r="AIA8"/>
      <c r="AIB8"/>
      <c r="AIC8"/>
      <c r="AID8"/>
      <c r="AIE8"/>
      <c r="AIF8"/>
      <c r="AIG8"/>
      <c r="AIH8"/>
      <c r="AII8"/>
      <c r="AIJ8"/>
      <c r="AIK8"/>
      <c r="AIL8"/>
      <c r="AIM8"/>
      <c r="AIN8"/>
      <c r="AIO8"/>
      <c r="AIP8"/>
      <c r="AIQ8"/>
      <c r="AIR8"/>
      <c r="AIS8"/>
      <c r="AIT8"/>
      <c r="AIU8"/>
      <c r="AIV8"/>
      <c r="AIW8"/>
      <c r="AIX8"/>
      <c r="AIY8"/>
      <c r="AIZ8"/>
      <c r="AJA8"/>
      <c r="AJB8"/>
      <c r="AJC8"/>
      <c r="AJD8"/>
      <c r="AJE8"/>
      <c r="AJF8"/>
      <c r="AJG8"/>
      <c r="AJH8"/>
      <c r="AJI8"/>
      <c r="AJJ8"/>
      <c r="AJK8"/>
      <c r="AJL8"/>
      <c r="AJM8"/>
      <c r="AJN8"/>
      <c r="AJO8"/>
      <c r="AJP8"/>
      <c r="AJQ8"/>
      <c r="AJR8"/>
      <c r="AJS8"/>
      <c r="AJT8"/>
      <c r="AJU8"/>
      <c r="AJV8"/>
      <c r="AJW8"/>
      <c r="AJX8"/>
      <c r="AJY8"/>
      <c r="AJZ8"/>
      <c r="AKA8"/>
      <c r="AKB8"/>
      <c r="AKC8"/>
      <c r="AKD8"/>
      <c r="AKE8"/>
      <c r="AKF8"/>
      <c r="AKG8"/>
      <c r="AKH8"/>
      <c r="AKI8"/>
      <c r="AKJ8"/>
      <c r="AKK8"/>
      <c r="AKL8"/>
      <c r="AKM8"/>
      <c r="AKN8"/>
      <c r="AKO8"/>
      <c r="AKP8"/>
      <c r="AKQ8"/>
      <c r="AKR8"/>
      <c r="AKS8"/>
      <c r="AKT8"/>
      <c r="AKU8"/>
      <c r="AKV8"/>
      <c r="AKW8"/>
      <c r="AKX8"/>
      <c r="AKY8"/>
      <c r="AKZ8"/>
      <c r="ALA8"/>
      <c r="ALB8"/>
      <c r="ALC8"/>
      <c r="ALD8"/>
      <c r="ALE8"/>
      <c r="ALF8"/>
      <c r="ALG8"/>
      <c r="ALH8"/>
      <c r="ALI8"/>
      <c r="ALJ8"/>
      <c r="ALK8"/>
      <c r="ALL8"/>
      <c r="ALM8"/>
      <c r="ALN8"/>
      <c r="ALO8"/>
      <c r="ALP8"/>
      <c r="ALQ8"/>
      <c r="ALR8"/>
      <c r="ALS8"/>
      <c r="ALT8"/>
      <c r="ALU8"/>
      <c r="ALV8"/>
      <c r="ALW8"/>
      <c r="ALX8"/>
      <c r="ALY8"/>
      <c r="ALZ8"/>
      <c r="AMA8"/>
      <c r="AMB8"/>
      <c r="AMC8"/>
      <c r="AMD8"/>
      <c r="AME8"/>
      <c r="AMF8"/>
      <c r="AMG8"/>
      <c r="AMH8"/>
      <c r="AMI8"/>
      <c r="AMJ8"/>
      <c r="AMK8"/>
      <c r="AML8"/>
      <c r="AMM8"/>
      <c r="AMN8"/>
      <c r="AMO8"/>
      <c r="AMP8"/>
      <c r="AMQ8"/>
      <c r="AMR8"/>
      <c r="AMS8"/>
      <c r="AMT8"/>
      <c r="AMU8"/>
      <c r="AMV8"/>
      <c r="AMW8"/>
      <c r="AMX8"/>
      <c r="AMY8"/>
      <c r="AMZ8"/>
      <c r="ANA8"/>
      <c r="ANB8"/>
      <c r="ANC8"/>
      <c r="AND8"/>
      <c r="ANE8"/>
      <c r="ANF8"/>
      <c r="ANG8"/>
      <c r="ANH8"/>
      <c r="ANI8"/>
      <c r="ANJ8"/>
      <c r="ANK8"/>
      <c r="ANL8"/>
      <c r="ANM8"/>
      <c r="ANN8"/>
      <c r="ANO8"/>
    </row>
    <row r="9" spans="1:1055" s="36" customFormat="1" ht="15.75" thickBot="1" x14ac:dyDescent="0.3">
      <c r="A9" s="34" t="s">
        <v>31</v>
      </c>
      <c r="B9" s="35">
        <v>1500</v>
      </c>
      <c r="C9" s="36">
        <v>3800</v>
      </c>
      <c r="D9" s="36">
        <v>0</v>
      </c>
      <c r="E9" s="37">
        <v>0</v>
      </c>
      <c r="F9" s="35">
        <v>0</v>
      </c>
      <c r="G9" s="96">
        <v>0</v>
      </c>
      <c r="H9" s="96">
        <v>0</v>
      </c>
      <c r="I9" s="96">
        <v>0</v>
      </c>
      <c r="J9" s="97">
        <v>0</v>
      </c>
      <c r="K9" s="36">
        <v>0</v>
      </c>
      <c r="L9" s="38">
        <v>0</v>
      </c>
      <c r="M9" s="39">
        <v>200</v>
      </c>
      <c r="N9" s="40">
        <v>0</v>
      </c>
      <c r="O9" s="35"/>
      <c r="Q9" s="38">
        <v>0</v>
      </c>
      <c r="R9" s="35">
        <v>0</v>
      </c>
      <c r="S9" s="38">
        <v>0</v>
      </c>
      <c r="T9" s="41">
        <v>0</v>
      </c>
      <c r="U9" s="42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6">
        <v>0</v>
      </c>
      <c r="AH9" s="36">
        <v>0</v>
      </c>
      <c r="AI9" s="36">
        <v>0</v>
      </c>
      <c r="AJ9" s="36">
        <v>0</v>
      </c>
      <c r="AK9" s="36">
        <v>0</v>
      </c>
      <c r="AL9" s="36">
        <v>0</v>
      </c>
      <c r="AM9" s="36">
        <v>0</v>
      </c>
      <c r="AN9" s="36">
        <v>0</v>
      </c>
      <c r="AO9" s="36">
        <v>0</v>
      </c>
      <c r="AP9" s="36">
        <v>0</v>
      </c>
      <c r="AQ9" s="36">
        <v>0</v>
      </c>
      <c r="AR9" s="38">
        <v>0</v>
      </c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  <c r="LQ9"/>
      <c r="LR9"/>
      <c r="LS9"/>
      <c r="LT9"/>
      <c r="LU9"/>
      <c r="LV9"/>
      <c r="LW9"/>
      <c r="LX9"/>
      <c r="LY9"/>
      <c r="LZ9"/>
      <c r="MA9"/>
      <c r="MB9"/>
      <c r="MC9"/>
      <c r="MD9"/>
      <c r="ME9"/>
      <c r="MF9"/>
      <c r="MG9"/>
      <c r="MH9"/>
      <c r="MI9"/>
      <c r="MJ9"/>
      <c r="MK9"/>
      <c r="ML9"/>
      <c r="MM9"/>
      <c r="MN9"/>
      <c r="MO9"/>
      <c r="MP9"/>
      <c r="MQ9"/>
      <c r="MR9"/>
      <c r="MS9"/>
      <c r="MT9"/>
      <c r="MU9"/>
      <c r="MV9"/>
      <c r="MW9"/>
      <c r="MX9"/>
      <c r="MY9"/>
      <c r="MZ9"/>
      <c r="NA9"/>
      <c r="NB9"/>
      <c r="NC9"/>
      <c r="ND9"/>
      <c r="NE9"/>
      <c r="NF9"/>
      <c r="NG9"/>
      <c r="NH9"/>
      <c r="NI9"/>
      <c r="NJ9"/>
      <c r="NK9"/>
      <c r="NL9"/>
      <c r="NM9"/>
      <c r="NN9"/>
      <c r="NO9"/>
      <c r="NP9"/>
      <c r="NQ9"/>
      <c r="NR9"/>
      <c r="NS9"/>
      <c r="NT9"/>
      <c r="NU9"/>
      <c r="NV9"/>
      <c r="NW9"/>
      <c r="NX9"/>
      <c r="NY9"/>
      <c r="NZ9"/>
      <c r="OA9"/>
      <c r="OB9"/>
      <c r="OC9"/>
      <c r="OD9"/>
      <c r="OE9"/>
      <c r="OF9"/>
      <c r="OG9"/>
      <c r="OH9"/>
      <c r="OI9"/>
      <c r="OJ9"/>
      <c r="OK9"/>
      <c r="OL9"/>
      <c r="OM9"/>
      <c r="ON9"/>
      <c r="OO9"/>
      <c r="OP9"/>
      <c r="OQ9"/>
      <c r="OR9"/>
      <c r="OS9"/>
      <c r="OT9"/>
      <c r="OU9"/>
      <c r="OV9"/>
      <c r="OW9"/>
      <c r="OX9"/>
      <c r="OY9"/>
      <c r="OZ9"/>
      <c r="PA9"/>
      <c r="PB9"/>
      <c r="PC9"/>
      <c r="PD9"/>
      <c r="PE9"/>
      <c r="PF9"/>
      <c r="PG9"/>
      <c r="PH9"/>
      <c r="PI9"/>
      <c r="PJ9"/>
      <c r="PK9"/>
      <c r="PL9"/>
      <c r="PM9"/>
      <c r="PN9"/>
      <c r="PO9"/>
      <c r="PP9"/>
      <c r="PQ9"/>
      <c r="PR9"/>
      <c r="PS9"/>
      <c r="PT9"/>
      <c r="PU9"/>
      <c r="PV9"/>
      <c r="PW9"/>
      <c r="PX9"/>
      <c r="PY9"/>
      <c r="PZ9"/>
      <c r="QA9"/>
      <c r="QB9"/>
      <c r="QC9"/>
      <c r="QD9"/>
      <c r="QE9"/>
      <c r="QF9"/>
      <c r="QG9"/>
      <c r="QH9"/>
      <c r="QI9"/>
      <c r="QJ9"/>
      <c r="QK9"/>
      <c r="QL9"/>
      <c r="QM9"/>
      <c r="QN9"/>
      <c r="QO9"/>
      <c r="QP9"/>
      <c r="QQ9"/>
      <c r="QR9"/>
      <c r="QS9"/>
      <c r="QT9"/>
      <c r="QU9"/>
      <c r="QV9"/>
      <c r="QW9"/>
      <c r="QX9"/>
      <c r="QY9"/>
      <c r="QZ9"/>
      <c r="RA9"/>
      <c r="RB9"/>
      <c r="RC9"/>
      <c r="RD9"/>
      <c r="RE9"/>
      <c r="RF9"/>
      <c r="RG9"/>
      <c r="RH9"/>
      <c r="RI9"/>
      <c r="RJ9"/>
      <c r="RK9"/>
      <c r="RL9"/>
      <c r="RM9"/>
      <c r="RN9"/>
      <c r="RO9"/>
      <c r="RP9"/>
      <c r="RQ9"/>
      <c r="RR9"/>
      <c r="RS9"/>
      <c r="RT9"/>
      <c r="RU9"/>
      <c r="RV9"/>
      <c r="RW9"/>
      <c r="RX9"/>
      <c r="RY9"/>
      <c r="RZ9"/>
      <c r="SA9"/>
      <c r="SB9"/>
      <c r="SC9"/>
      <c r="SD9"/>
      <c r="SE9"/>
      <c r="SF9"/>
      <c r="SG9"/>
      <c r="SH9"/>
      <c r="SI9"/>
      <c r="SJ9"/>
      <c r="SK9"/>
      <c r="SL9"/>
      <c r="SM9"/>
      <c r="SN9"/>
      <c r="SO9"/>
      <c r="SP9"/>
      <c r="SQ9"/>
      <c r="SR9"/>
      <c r="SS9"/>
      <c r="ST9"/>
      <c r="SU9"/>
      <c r="SV9"/>
      <c r="SW9"/>
      <c r="SX9"/>
      <c r="SY9"/>
      <c r="SZ9"/>
      <c r="TA9"/>
      <c r="TB9"/>
      <c r="TC9"/>
      <c r="TD9"/>
      <c r="TE9"/>
      <c r="TF9"/>
      <c r="TG9"/>
      <c r="TH9"/>
      <c r="TI9"/>
      <c r="TJ9"/>
      <c r="TK9"/>
      <c r="TL9"/>
      <c r="TM9"/>
      <c r="TN9"/>
      <c r="TO9"/>
      <c r="TP9"/>
      <c r="TQ9"/>
      <c r="TR9"/>
      <c r="TS9"/>
      <c r="TT9"/>
      <c r="TU9"/>
      <c r="TV9"/>
      <c r="TW9"/>
      <c r="TX9"/>
      <c r="TY9"/>
      <c r="TZ9"/>
      <c r="UA9"/>
      <c r="UB9"/>
      <c r="UC9"/>
      <c r="UD9"/>
      <c r="UE9"/>
      <c r="UF9"/>
      <c r="UG9"/>
      <c r="UH9"/>
      <c r="UI9"/>
      <c r="UJ9"/>
      <c r="UK9"/>
      <c r="UL9"/>
      <c r="UM9"/>
      <c r="UN9"/>
      <c r="UO9"/>
      <c r="UP9"/>
      <c r="UQ9"/>
      <c r="UR9"/>
      <c r="US9"/>
      <c r="UT9"/>
      <c r="UU9"/>
      <c r="UV9"/>
      <c r="UW9"/>
      <c r="UX9"/>
      <c r="UY9"/>
      <c r="UZ9"/>
      <c r="VA9"/>
      <c r="VB9"/>
      <c r="VC9"/>
      <c r="VD9"/>
      <c r="VE9"/>
      <c r="VF9"/>
      <c r="VG9"/>
      <c r="VH9"/>
      <c r="VI9"/>
      <c r="VJ9"/>
      <c r="VK9"/>
      <c r="VL9"/>
      <c r="VM9"/>
      <c r="VN9"/>
      <c r="VO9"/>
      <c r="VP9"/>
      <c r="VQ9"/>
      <c r="VR9"/>
      <c r="VS9"/>
      <c r="VT9"/>
      <c r="VU9"/>
      <c r="VV9"/>
      <c r="VW9"/>
      <c r="VX9"/>
      <c r="VY9"/>
      <c r="VZ9"/>
      <c r="WA9"/>
      <c r="WB9"/>
      <c r="WC9"/>
      <c r="WD9"/>
      <c r="WE9"/>
      <c r="WF9"/>
      <c r="WG9"/>
      <c r="WH9"/>
      <c r="WI9"/>
      <c r="WJ9"/>
      <c r="WK9"/>
      <c r="WL9"/>
      <c r="WM9"/>
      <c r="WN9"/>
      <c r="WO9"/>
      <c r="WP9"/>
      <c r="WQ9"/>
      <c r="WR9"/>
      <c r="WS9"/>
      <c r="WT9"/>
      <c r="WU9"/>
      <c r="WV9"/>
      <c r="WW9"/>
      <c r="WX9"/>
      <c r="WY9"/>
      <c r="WZ9"/>
      <c r="XA9"/>
      <c r="XB9"/>
      <c r="XC9"/>
      <c r="XD9"/>
      <c r="XE9"/>
      <c r="XF9"/>
      <c r="XG9"/>
      <c r="XH9"/>
      <c r="XI9"/>
      <c r="XJ9"/>
      <c r="XK9"/>
      <c r="XL9"/>
      <c r="XM9"/>
      <c r="XN9"/>
      <c r="XO9"/>
      <c r="XP9"/>
      <c r="XQ9"/>
      <c r="XR9"/>
      <c r="XS9"/>
      <c r="XT9"/>
      <c r="XU9"/>
      <c r="XV9"/>
      <c r="XW9"/>
      <c r="XX9"/>
      <c r="XY9"/>
      <c r="XZ9"/>
      <c r="YA9"/>
      <c r="YB9"/>
      <c r="YC9"/>
      <c r="YD9"/>
      <c r="YE9"/>
      <c r="YF9"/>
      <c r="YG9"/>
      <c r="YH9"/>
      <c r="YI9"/>
      <c r="YJ9"/>
      <c r="YK9"/>
      <c r="YL9"/>
      <c r="YM9"/>
      <c r="YN9"/>
      <c r="YO9"/>
      <c r="YP9"/>
      <c r="YQ9"/>
      <c r="YR9"/>
      <c r="YS9"/>
      <c r="YT9"/>
      <c r="YU9"/>
      <c r="YV9"/>
      <c r="YW9"/>
      <c r="YX9"/>
      <c r="YY9"/>
      <c r="YZ9"/>
      <c r="ZA9"/>
      <c r="ZB9"/>
      <c r="ZC9"/>
      <c r="ZD9"/>
      <c r="ZE9"/>
      <c r="ZF9"/>
      <c r="ZG9"/>
      <c r="ZH9"/>
      <c r="ZI9"/>
      <c r="ZJ9"/>
      <c r="ZK9"/>
      <c r="ZL9"/>
      <c r="ZM9"/>
      <c r="ZN9"/>
      <c r="ZO9"/>
      <c r="ZP9"/>
      <c r="ZQ9"/>
      <c r="ZR9"/>
      <c r="ZS9"/>
      <c r="ZT9"/>
      <c r="ZU9"/>
      <c r="ZV9"/>
      <c r="ZW9"/>
      <c r="ZX9"/>
      <c r="ZY9"/>
      <c r="ZZ9"/>
      <c r="AAA9"/>
      <c r="AAB9"/>
      <c r="AAC9"/>
      <c r="AAD9"/>
      <c r="AAE9"/>
      <c r="AAF9"/>
      <c r="AAG9"/>
      <c r="AAH9"/>
      <c r="AAI9"/>
      <c r="AAJ9"/>
      <c r="AAK9"/>
      <c r="AAL9"/>
      <c r="AAM9"/>
      <c r="AAN9"/>
      <c r="AAO9"/>
      <c r="AAP9"/>
      <c r="AAQ9"/>
      <c r="AAR9"/>
      <c r="AAS9"/>
      <c r="AAT9"/>
      <c r="AAU9"/>
      <c r="AAV9"/>
      <c r="AAW9"/>
      <c r="AAX9"/>
      <c r="AAY9"/>
      <c r="AAZ9"/>
      <c r="ABA9"/>
      <c r="ABB9"/>
      <c r="ABC9"/>
      <c r="ABD9"/>
      <c r="ABE9"/>
      <c r="ABF9"/>
      <c r="ABG9"/>
      <c r="ABH9"/>
      <c r="ABI9"/>
      <c r="ABJ9"/>
      <c r="ABK9"/>
      <c r="ABL9"/>
      <c r="ABM9"/>
      <c r="ABN9"/>
      <c r="ABO9"/>
      <c r="ABP9"/>
      <c r="ABQ9"/>
      <c r="ABR9"/>
      <c r="ABS9"/>
      <c r="ABT9"/>
      <c r="ABU9"/>
      <c r="ABV9"/>
      <c r="ABW9"/>
      <c r="ABX9"/>
      <c r="ABY9"/>
      <c r="ABZ9"/>
      <c r="ACA9"/>
      <c r="ACB9"/>
      <c r="ACC9"/>
      <c r="ACD9"/>
      <c r="ACE9"/>
      <c r="ACF9"/>
      <c r="ACG9"/>
      <c r="ACH9"/>
      <c r="ACI9"/>
      <c r="ACJ9"/>
      <c r="ACK9"/>
      <c r="ACL9"/>
      <c r="ACM9"/>
      <c r="ACN9"/>
      <c r="ACO9"/>
      <c r="ACP9"/>
      <c r="ACQ9"/>
      <c r="ACR9"/>
      <c r="ACS9"/>
      <c r="ACT9"/>
      <c r="ACU9"/>
      <c r="ACV9"/>
      <c r="ACW9"/>
      <c r="ACX9"/>
      <c r="ACY9"/>
      <c r="ACZ9"/>
      <c r="ADA9"/>
      <c r="ADB9"/>
      <c r="ADC9"/>
      <c r="ADD9"/>
      <c r="ADE9"/>
      <c r="ADF9"/>
      <c r="ADG9"/>
      <c r="ADH9"/>
      <c r="ADI9"/>
      <c r="ADJ9"/>
      <c r="ADK9"/>
      <c r="ADL9"/>
      <c r="ADM9"/>
      <c r="ADN9"/>
      <c r="ADO9"/>
      <c r="ADP9"/>
      <c r="ADQ9"/>
      <c r="ADR9"/>
      <c r="ADS9"/>
      <c r="ADT9"/>
      <c r="ADU9"/>
      <c r="ADV9"/>
      <c r="ADW9"/>
      <c r="ADX9"/>
      <c r="ADY9"/>
      <c r="ADZ9"/>
      <c r="AEA9"/>
      <c r="AEB9"/>
      <c r="AEC9"/>
      <c r="AED9"/>
      <c r="AEE9"/>
      <c r="AEF9"/>
      <c r="AEG9"/>
      <c r="AEH9"/>
      <c r="AEI9"/>
      <c r="AEJ9"/>
      <c r="AEK9"/>
      <c r="AEL9"/>
      <c r="AEM9"/>
      <c r="AEN9"/>
      <c r="AEO9"/>
      <c r="AEP9"/>
      <c r="AEQ9"/>
      <c r="AER9"/>
      <c r="AES9"/>
      <c r="AET9"/>
      <c r="AEU9"/>
      <c r="AEV9"/>
      <c r="AEW9"/>
      <c r="AEX9"/>
      <c r="AEY9"/>
      <c r="AEZ9"/>
      <c r="AFA9"/>
      <c r="AFB9"/>
      <c r="AFC9"/>
      <c r="AFD9"/>
      <c r="AFE9"/>
      <c r="AFF9"/>
      <c r="AFG9"/>
      <c r="AFH9"/>
      <c r="AFI9"/>
      <c r="AFJ9"/>
      <c r="AFK9"/>
      <c r="AFL9"/>
      <c r="AFM9"/>
      <c r="AFN9"/>
      <c r="AFO9"/>
      <c r="AFP9"/>
      <c r="AFQ9"/>
      <c r="AFR9"/>
      <c r="AFS9"/>
      <c r="AFT9"/>
      <c r="AFU9"/>
      <c r="AFV9"/>
      <c r="AFW9"/>
      <c r="AFX9"/>
      <c r="AFY9"/>
      <c r="AFZ9"/>
      <c r="AGA9"/>
      <c r="AGB9"/>
      <c r="AGC9"/>
      <c r="AGD9"/>
      <c r="AGE9"/>
      <c r="AGF9"/>
      <c r="AGG9"/>
      <c r="AGH9"/>
      <c r="AGI9"/>
      <c r="AGJ9"/>
      <c r="AGK9"/>
      <c r="AGL9"/>
      <c r="AGM9"/>
      <c r="AGN9"/>
      <c r="AGO9"/>
      <c r="AGP9"/>
      <c r="AGQ9"/>
      <c r="AGR9"/>
      <c r="AGS9"/>
      <c r="AGT9"/>
      <c r="AGU9"/>
      <c r="AGV9"/>
      <c r="AGW9"/>
      <c r="AGX9"/>
      <c r="AGY9"/>
      <c r="AGZ9"/>
      <c r="AHA9"/>
      <c r="AHB9"/>
      <c r="AHC9"/>
      <c r="AHD9"/>
      <c r="AHE9"/>
      <c r="AHF9"/>
      <c r="AHG9"/>
      <c r="AHH9"/>
      <c r="AHI9"/>
      <c r="AHJ9"/>
      <c r="AHK9"/>
      <c r="AHL9"/>
      <c r="AHM9"/>
      <c r="AHN9"/>
      <c r="AHO9"/>
      <c r="AHP9"/>
      <c r="AHQ9"/>
      <c r="AHR9"/>
      <c r="AHS9"/>
      <c r="AHT9"/>
      <c r="AHU9"/>
      <c r="AHV9"/>
      <c r="AHW9"/>
      <c r="AHX9"/>
      <c r="AHY9"/>
      <c r="AHZ9"/>
      <c r="AIA9"/>
      <c r="AIB9"/>
      <c r="AIC9"/>
      <c r="AID9"/>
      <c r="AIE9"/>
      <c r="AIF9"/>
      <c r="AIG9"/>
      <c r="AIH9"/>
      <c r="AII9"/>
      <c r="AIJ9"/>
      <c r="AIK9"/>
      <c r="AIL9"/>
      <c r="AIM9"/>
      <c r="AIN9"/>
      <c r="AIO9"/>
      <c r="AIP9"/>
      <c r="AIQ9"/>
      <c r="AIR9"/>
      <c r="AIS9"/>
      <c r="AIT9"/>
      <c r="AIU9"/>
      <c r="AIV9"/>
      <c r="AIW9"/>
      <c r="AIX9"/>
      <c r="AIY9"/>
      <c r="AIZ9"/>
      <c r="AJA9"/>
      <c r="AJB9"/>
      <c r="AJC9"/>
      <c r="AJD9"/>
      <c r="AJE9"/>
      <c r="AJF9"/>
      <c r="AJG9"/>
      <c r="AJH9"/>
      <c r="AJI9"/>
      <c r="AJJ9"/>
      <c r="AJK9"/>
      <c r="AJL9"/>
      <c r="AJM9"/>
      <c r="AJN9"/>
      <c r="AJO9"/>
      <c r="AJP9"/>
      <c r="AJQ9"/>
      <c r="AJR9"/>
      <c r="AJS9"/>
      <c r="AJT9"/>
      <c r="AJU9"/>
      <c r="AJV9"/>
      <c r="AJW9"/>
      <c r="AJX9"/>
      <c r="AJY9"/>
      <c r="AJZ9"/>
      <c r="AKA9"/>
      <c r="AKB9"/>
      <c r="AKC9"/>
      <c r="AKD9"/>
      <c r="AKE9"/>
      <c r="AKF9"/>
      <c r="AKG9"/>
      <c r="AKH9"/>
      <c r="AKI9"/>
      <c r="AKJ9"/>
      <c r="AKK9"/>
      <c r="AKL9"/>
      <c r="AKM9"/>
      <c r="AKN9"/>
      <c r="AKO9"/>
      <c r="AKP9"/>
      <c r="AKQ9"/>
      <c r="AKR9"/>
      <c r="AKS9"/>
      <c r="AKT9"/>
      <c r="AKU9"/>
      <c r="AKV9"/>
      <c r="AKW9"/>
      <c r="AKX9"/>
      <c r="AKY9"/>
      <c r="AKZ9"/>
      <c r="ALA9"/>
      <c r="ALB9"/>
      <c r="ALC9"/>
      <c r="ALD9"/>
      <c r="ALE9"/>
      <c r="ALF9"/>
      <c r="ALG9"/>
      <c r="ALH9"/>
      <c r="ALI9"/>
      <c r="ALJ9"/>
      <c r="ALK9"/>
      <c r="ALL9"/>
      <c r="ALM9"/>
      <c r="ALN9"/>
      <c r="ALO9"/>
      <c r="ALP9"/>
      <c r="ALQ9"/>
      <c r="ALR9"/>
      <c r="ALS9"/>
      <c r="ALT9"/>
      <c r="ALU9"/>
      <c r="ALV9"/>
      <c r="ALW9"/>
      <c r="ALX9"/>
      <c r="ALY9"/>
      <c r="ALZ9"/>
      <c r="AMA9"/>
      <c r="AMB9"/>
      <c r="AMC9"/>
      <c r="AMD9"/>
      <c r="AME9"/>
      <c r="AMF9"/>
      <c r="AMG9"/>
      <c r="AMH9"/>
      <c r="AMI9"/>
      <c r="AMJ9"/>
      <c r="AMK9"/>
      <c r="AML9"/>
      <c r="AMM9"/>
      <c r="AMN9"/>
      <c r="AMO9"/>
      <c r="AMP9"/>
      <c r="AMQ9"/>
      <c r="AMR9"/>
      <c r="AMS9"/>
      <c r="AMT9"/>
      <c r="AMU9"/>
      <c r="AMV9"/>
      <c r="AMW9"/>
      <c r="AMX9"/>
      <c r="AMY9"/>
      <c r="AMZ9"/>
      <c r="ANA9"/>
      <c r="ANB9"/>
      <c r="ANC9"/>
      <c r="AND9"/>
      <c r="ANE9"/>
      <c r="ANF9"/>
      <c r="ANG9"/>
      <c r="ANH9"/>
      <c r="ANI9"/>
      <c r="ANJ9"/>
      <c r="ANK9"/>
      <c r="ANL9"/>
      <c r="ANM9"/>
      <c r="ANN9"/>
      <c r="ANO9"/>
    </row>
    <row r="10" spans="1:1055" s="36" customFormat="1" ht="15.75" thickBot="1" x14ac:dyDescent="0.3">
      <c r="A10" s="34" t="s">
        <v>32</v>
      </c>
      <c r="B10" s="35">
        <v>561600</v>
      </c>
      <c r="C10" s="36">
        <v>24000</v>
      </c>
      <c r="D10" s="36">
        <v>75000</v>
      </c>
      <c r="E10" s="37">
        <v>250000</v>
      </c>
      <c r="F10" s="35">
        <v>0</v>
      </c>
      <c r="G10" s="96">
        <v>0</v>
      </c>
      <c r="H10" s="96">
        <v>0</v>
      </c>
      <c r="I10" s="96">
        <v>0</v>
      </c>
      <c r="J10" s="97">
        <v>0</v>
      </c>
      <c r="K10" s="36">
        <v>48</v>
      </c>
      <c r="L10" s="38">
        <v>0</v>
      </c>
      <c r="M10" s="39">
        <v>4.5</v>
      </c>
      <c r="N10" s="40">
        <v>0</v>
      </c>
      <c r="O10" s="35"/>
      <c r="Q10" s="38">
        <v>0</v>
      </c>
      <c r="R10" s="35">
        <v>0</v>
      </c>
      <c r="S10" s="38">
        <v>0</v>
      </c>
      <c r="T10" s="41">
        <v>0</v>
      </c>
      <c r="U10" s="42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6">
        <v>0</v>
      </c>
      <c r="AH10" s="36">
        <v>0</v>
      </c>
      <c r="AI10" s="36">
        <v>0</v>
      </c>
      <c r="AJ10" s="36">
        <v>0</v>
      </c>
      <c r="AK10" s="36">
        <v>0</v>
      </c>
      <c r="AL10" s="36">
        <v>0</v>
      </c>
      <c r="AM10" s="36">
        <v>0</v>
      </c>
      <c r="AN10" s="36">
        <v>0</v>
      </c>
      <c r="AO10" s="36">
        <v>0</v>
      </c>
      <c r="AP10" s="36">
        <v>0</v>
      </c>
      <c r="AQ10" s="36">
        <v>0</v>
      </c>
      <c r="AR10" s="38">
        <v>0</v>
      </c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  <c r="LQ10"/>
      <c r="LR10"/>
      <c r="LS10"/>
      <c r="LT10"/>
      <c r="LU10"/>
      <c r="LV10"/>
      <c r="LW10"/>
      <c r="LX10"/>
      <c r="LY10"/>
      <c r="LZ10"/>
      <c r="MA10"/>
      <c r="MB10"/>
      <c r="MC10"/>
      <c r="MD10"/>
      <c r="ME1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/>
      <c r="MU10"/>
      <c r="MV10"/>
      <c r="MW10"/>
      <c r="MX10"/>
      <c r="MY10"/>
      <c r="MZ10"/>
      <c r="NA10"/>
      <c r="NB10"/>
      <c r="NC10"/>
      <c r="ND10"/>
      <c r="NE10"/>
      <c r="NF10"/>
      <c r="NG10"/>
      <c r="NH10"/>
      <c r="NI10"/>
      <c r="NJ10"/>
      <c r="NK10"/>
      <c r="NL10"/>
      <c r="NM10"/>
      <c r="NN10"/>
      <c r="NO10"/>
      <c r="NP10"/>
      <c r="NQ10"/>
      <c r="NR10"/>
      <c r="NS10"/>
      <c r="NT10"/>
      <c r="NU10"/>
      <c r="NV10"/>
      <c r="NW10"/>
      <c r="NX10"/>
      <c r="NY10"/>
      <c r="NZ10"/>
      <c r="OA10"/>
      <c r="OB10"/>
      <c r="OC10"/>
      <c r="OD10"/>
      <c r="OE10"/>
      <c r="OF10"/>
      <c r="OG10"/>
      <c r="OH10"/>
      <c r="OI10"/>
      <c r="OJ10"/>
      <c r="OK10"/>
      <c r="OL10"/>
      <c r="OM10"/>
      <c r="ON10"/>
      <c r="OO10"/>
      <c r="OP10"/>
      <c r="OQ10"/>
      <c r="OR10"/>
      <c r="OS10"/>
      <c r="OT10"/>
      <c r="OU10"/>
      <c r="OV10"/>
      <c r="OW10"/>
      <c r="OX10"/>
      <c r="OY10"/>
      <c r="OZ10"/>
      <c r="PA10"/>
      <c r="PB10"/>
      <c r="PC10"/>
      <c r="PD10"/>
      <c r="PE10"/>
      <c r="PF10"/>
      <c r="PG10"/>
      <c r="PH10"/>
      <c r="PI10"/>
      <c r="PJ10"/>
      <c r="PK10"/>
      <c r="PL10"/>
      <c r="PM10"/>
      <c r="PN10"/>
      <c r="PO10"/>
      <c r="PP10"/>
      <c r="PQ10"/>
      <c r="PR10"/>
      <c r="PS10"/>
      <c r="PT10"/>
      <c r="PU10"/>
      <c r="PV10"/>
      <c r="PW10"/>
      <c r="PX10"/>
      <c r="PY10"/>
      <c r="PZ10"/>
      <c r="QA10"/>
      <c r="QB10"/>
      <c r="QC10"/>
      <c r="QD10"/>
      <c r="QE10"/>
      <c r="QF10"/>
      <c r="QG10"/>
      <c r="QH10"/>
      <c r="QI10"/>
      <c r="QJ10"/>
      <c r="QK10"/>
      <c r="QL10"/>
      <c r="QM10"/>
      <c r="QN10"/>
      <c r="QO10"/>
      <c r="QP10"/>
      <c r="QQ10"/>
      <c r="QR10"/>
      <c r="QS10"/>
      <c r="QT10"/>
      <c r="QU10"/>
      <c r="QV10"/>
      <c r="QW10"/>
      <c r="QX10"/>
      <c r="QY10"/>
      <c r="QZ10"/>
      <c r="RA10"/>
      <c r="RB10"/>
      <c r="RC10"/>
      <c r="RD10"/>
      <c r="RE10"/>
      <c r="RF10"/>
      <c r="RG10"/>
      <c r="RH10"/>
      <c r="RI10"/>
      <c r="RJ10"/>
      <c r="RK10"/>
      <c r="RL10"/>
      <c r="RM10"/>
      <c r="RN10"/>
      <c r="RO10"/>
      <c r="RP10"/>
      <c r="RQ10"/>
      <c r="RR10"/>
      <c r="RS10"/>
      <c r="RT10"/>
      <c r="RU10"/>
      <c r="RV10"/>
      <c r="RW10"/>
      <c r="RX10"/>
      <c r="RY10"/>
      <c r="RZ10"/>
      <c r="SA10"/>
      <c r="SB10"/>
      <c r="SC10"/>
      <c r="SD10"/>
      <c r="SE10"/>
      <c r="SF10"/>
      <c r="SG10"/>
      <c r="SH10"/>
      <c r="SI10"/>
      <c r="SJ10"/>
      <c r="SK10"/>
      <c r="SL10"/>
      <c r="SM10"/>
      <c r="SN10"/>
      <c r="SO10"/>
      <c r="SP10"/>
      <c r="SQ10"/>
      <c r="SR10"/>
      <c r="SS10"/>
      <c r="ST10"/>
      <c r="SU10"/>
      <c r="SV10"/>
      <c r="SW10"/>
      <c r="SX10"/>
      <c r="SY10"/>
      <c r="SZ10"/>
      <c r="TA10"/>
      <c r="TB10"/>
      <c r="TC10"/>
      <c r="TD10"/>
      <c r="TE10"/>
      <c r="TF10"/>
      <c r="TG10"/>
      <c r="TH10"/>
      <c r="TI10"/>
      <c r="TJ10"/>
      <c r="TK10"/>
      <c r="TL10"/>
      <c r="TM10"/>
      <c r="TN10"/>
      <c r="TO10"/>
      <c r="TP10"/>
      <c r="TQ10"/>
      <c r="TR10"/>
      <c r="TS10"/>
      <c r="TT10"/>
      <c r="TU10"/>
      <c r="TV10"/>
      <c r="TW10"/>
      <c r="TX10"/>
      <c r="TY10"/>
      <c r="TZ10"/>
      <c r="UA10"/>
      <c r="UB10"/>
      <c r="UC10"/>
      <c r="UD10"/>
      <c r="UE10"/>
      <c r="UF10"/>
      <c r="UG10"/>
      <c r="UH10"/>
      <c r="UI10"/>
      <c r="UJ10"/>
      <c r="UK10"/>
      <c r="UL10"/>
      <c r="UM10"/>
      <c r="UN10"/>
      <c r="UO10"/>
      <c r="UP10"/>
      <c r="UQ10"/>
      <c r="UR10"/>
      <c r="US10"/>
      <c r="UT10"/>
      <c r="UU10"/>
      <c r="UV10"/>
      <c r="UW10"/>
      <c r="UX10"/>
      <c r="UY10"/>
      <c r="UZ10"/>
      <c r="VA10"/>
      <c r="VB10"/>
      <c r="VC10"/>
      <c r="VD10"/>
      <c r="VE10"/>
      <c r="VF10"/>
      <c r="VG10"/>
      <c r="VH10"/>
      <c r="VI10"/>
      <c r="VJ10"/>
      <c r="VK10"/>
      <c r="VL10"/>
      <c r="VM10"/>
      <c r="VN10"/>
      <c r="VO10"/>
      <c r="VP10"/>
      <c r="VQ10"/>
      <c r="VR10"/>
      <c r="VS10"/>
      <c r="VT10"/>
      <c r="VU10"/>
      <c r="VV10"/>
      <c r="VW10"/>
      <c r="VX10"/>
      <c r="VY10"/>
      <c r="VZ10"/>
      <c r="WA10"/>
      <c r="WB10"/>
      <c r="WC10"/>
      <c r="WD10"/>
      <c r="WE10"/>
      <c r="WF10"/>
      <c r="WG10"/>
      <c r="WH10"/>
      <c r="WI10"/>
      <c r="WJ10"/>
      <c r="WK10"/>
      <c r="WL10"/>
      <c r="WM10"/>
      <c r="WN10"/>
      <c r="WO10"/>
      <c r="WP10"/>
      <c r="WQ10"/>
      <c r="WR10"/>
      <c r="WS10"/>
      <c r="WT10"/>
      <c r="WU10"/>
      <c r="WV10"/>
      <c r="WW10"/>
      <c r="WX10"/>
      <c r="WY10"/>
      <c r="WZ10"/>
      <c r="XA10"/>
      <c r="XB10"/>
      <c r="XC10"/>
      <c r="XD10"/>
      <c r="XE10"/>
      <c r="XF10"/>
      <c r="XG10"/>
      <c r="XH10"/>
      <c r="XI10"/>
      <c r="XJ10"/>
      <c r="XK10"/>
      <c r="XL10"/>
      <c r="XM10"/>
      <c r="XN10"/>
      <c r="XO10"/>
      <c r="XP10"/>
      <c r="XQ10"/>
      <c r="XR10"/>
      <c r="XS10"/>
      <c r="XT10"/>
      <c r="XU10"/>
      <c r="XV10"/>
      <c r="XW10"/>
      <c r="XX10"/>
      <c r="XY10"/>
      <c r="XZ10"/>
      <c r="YA10"/>
      <c r="YB10"/>
      <c r="YC10"/>
      <c r="YD10"/>
      <c r="YE10"/>
      <c r="YF10"/>
      <c r="YG10"/>
      <c r="YH10"/>
      <c r="YI10"/>
      <c r="YJ10"/>
      <c r="YK10"/>
      <c r="YL10"/>
      <c r="YM10"/>
      <c r="YN10"/>
      <c r="YO10"/>
      <c r="YP10"/>
      <c r="YQ10"/>
      <c r="YR10"/>
      <c r="YS10"/>
      <c r="YT10"/>
      <c r="YU10"/>
      <c r="YV10"/>
      <c r="YW10"/>
      <c r="YX10"/>
      <c r="YY10"/>
      <c r="YZ10"/>
      <c r="ZA10"/>
      <c r="ZB10"/>
      <c r="ZC10"/>
      <c r="ZD10"/>
      <c r="ZE10"/>
      <c r="ZF10"/>
      <c r="ZG10"/>
      <c r="ZH10"/>
      <c r="ZI10"/>
      <c r="ZJ10"/>
      <c r="ZK10"/>
      <c r="ZL10"/>
      <c r="ZM10"/>
      <c r="ZN10"/>
      <c r="ZO10"/>
      <c r="ZP10"/>
      <c r="ZQ10"/>
      <c r="ZR10"/>
      <c r="ZS10"/>
      <c r="ZT10"/>
      <c r="ZU10"/>
      <c r="ZV10"/>
      <c r="ZW10"/>
      <c r="ZX10"/>
      <c r="ZY10"/>
      <c r="ZZ10"/>
      <c r="AAA10"/>
      <c r="AAB10"/>
      <c r="AAC10"/>
      <c r="AAD10"/>
      <c r="AAE10"/>
      <c r="AAF10"/>
      <c r="AAG10"/>
      <c r="AAH10"/>
      <c r="AAI10"/>
      <c r="AAJ10"/>
      <c r="AAK10"/>
      <c r="AAL10"/>
      <c r="AAM10"/>
      <c r="AAN10"/>
      <c r="AAO10"/>
      <c r="AAP10"/>
      <c r="AAQ10"/>
      <c r="AAR10"/>
      <c r="AAS10"/>
      <c r="AAT10"/>
      <c r="AAU10"/>
      <c r="AAV10"/>
      <c r="AAW10"/>
      <c r="AAX10"/>
      <c r="AAY10"/>
      <c r="AAZ10"/>
      <c r="ABA10"/>
      <c r="ABB10"/>
      <c r="ABC10"/>
      <c r="ABD10"/>
      <c r="ABE10"/>
      <c r="ABF10"/>
      <c r="ABG10"/>
      <c r="ABH10"/>
      <c r="ABI10"/>
      <c r="ABJ10"/>
      <c r="ABK10"/>
      <c r="ABL10"/>
      <c r="ABM10"/>
      <c r="ABN10"/>
      <c r="ABO10"/>
      <c r="ABP10"/>
      <c r="ABQ10"/>
      <c r="ABR10"/>
      <c r="ABS10"/>
      <c r="ABT10"/>
      <c r="ABU10"/>
      <c r="ABV10"/>
      <c r="ABW10"/>
      <c r="ABX10"/>
      <c r="ABY10"/>
      <c r="ABZ10"/>
      <c r="ACA10"/>
      <c r="ACB10"/>
      <c r="ACC10"/>
      <c r="ACD10"/>
      <c r="ACE10"/>
      <c r="ACF10"/>
      <c r="ACG10"/>
      <c r="ACH10"/>
      <c r="ACI10"/>
      <c r="ACJ10"/>
      <c r="ACK10"/>
      <c r="ACL10"/>
      <c r="ACM10"/>
      <c r="ACN10"/>
      <c r="ACO10"/>
      <c r="ACP10"/>
      <c r="ACQ10"/>
      <c r="ACR10"/>
      <c r="ACS10"/>
      <c r="ACT10"/>
      <c r="ACU10"/>
      <c r="ACV10"/>
      <c r="ACW10"/>
      <c r="ACX10"/>
      <c r="ACY10"/>
      <c r="ACZ10"/>
      <c r="ADA10"/>
      <c r="ADB10"/>
      <c r="ADC10"/>
      <c r="ADD10"/>
      <c r="ADE10"/>
      <c r="ADF10"/>
      <c r="ADG10"/>
      <c r="ADH10"/>
      <c r="ADI10"/>
      <c r="ADJ10"/>
      <c r="ADK10"/>
      <c r="ADL10"/>
      <c r="ADM10"/>
      <c r="ADN10"/>
      <c r="ADO10"/>
      <c r="ADP10"/>
      <c r="ADQ10"/>
      <c r="ADR10"/>
      <c r="ADS10"/>
      <c r="ADT10"/>
      <c r="ADU10"/>
      <c r="ADV10"/>
      <c r="ADW10"/>
      <c r="ADX10"/>
      <c r="ADY10"/>
      <c r="ADZ10"/>
      <c r="AEA10"/>
      <c r="AEB10"/>
      <c r="AEC10"/>
      <c r="AED10"/>
      <c r="AEE10"/>
      <c r="AEF10"/>
      <c r="AEG10"/>
      <c r="AEH10"/>
      <c r="AEI10"/>
      <c r="AEJ10"/>
      <c r="AEK10"/>
      <c r="AEL10"/>
      <c r="AEM10"/>
      <c r="AEN10"/>
      <c r="AEO10"/>
      <c r="AEP10"/>
      <c r="AEQ10"/>
      <c r="AER10"/>
      <c r="AES10"/>
      <c r="AET10"/>
      <c r="AEU10"/>
      <c r="AEV10"/>
      <c r="AEW10"/>
      <c r="AEX10"/>
      <c r="AEY10"/>
      <c r="AEZ10"/>
      <c r="AFA10"/>
      <c r="AFB10"/>
      <c r="AFC10"/>
      <c r="AFD10"/>
      <c r="AFE10"/>
      <c r="AFF10"/>
      <c r="AFG10"/>
      <c r="AFH10"/>
      <c r="AFI10"/>
      <c r="AFJ10"/>
      <c r="AFK10"/>
      <c r="AFL10"/>
      <c r="AFM10"/>
      <c r="AFN10"/>
      <c r="AFO10"/>
      <c r="AFP10"/>
      <c r="AFQ10"/>
      <c r="AFR10"/>
      <c r="AFS10"/>
      <c r="AFT10"/>
      <c r="AFU10"/>
      <c r="AFV10"/>
      <c r="AFW10"/>
      <c r="AFX10"/>
      <c r="AFY10"/>
      <c r="AFZ10"/>
      <c r="AGA10"/>
      <c r="AGB10"/>
      <c r="AGC10"/>
      <c r="AGD10"/>
      <c r="AGE10"/>
      <c r="AGF10"/>
      <c r="AGG10"/>
      <c r="AGH10"/>
      <c r="AGI10"/>
      <c r="AGJ10"/>
      <c r="AGK10"/>
      <c r="AGL10"/>
      <c r="AGM10"/>
      <c r="AGN10"/>
      <c r="AGO10"/>
      <c r="AGP10"/>
      <c r="AGQ10"/>
      <c r="AGR10"/>
      <c r="AGS10"/>
      <c r="AGT10"/>
      <c r="AGU10"/>
      <c r="AGV10"/>
      <c r="AGW10"/>
      <c r="AGX10"/>
      <c r="AGY10"/>
      <c r="AGZ10"/>
      <c r="AHA10"/>
      <c r="AHB10"/>
      <c r="AHC10"/>
      <c r="AHD10"/>
      <c r="AHE10"/>
      <c r="AHF10"/>
      <c r="AHG10"/>
      <c r="AHH10"/>
      <c r="AHI10"/>
      <c r="AHJ10"/>
      <c r="AHK10"/>
      <c r="AHL10"/>
      <c r="AHM10"/>
      <c r="AHN10"/>
      <c r="AHO10"/>
      <c r="AHP10"/>
      <c r="AHQ10"/>
      <c r="AHR10"/>
      <c r="AHS10"/>
      <c r="AHT10"/>
      <c r="AHU10"/>
      <c r="AHV10"/>
      <c r="AHW10"/>
      <c r="AHX10"/>
      <c r="AHY10"/>
      <c r="AHZ10"/>
      <c r="AIA10"/>
      <c r="AIB10"/>
      <c r="AIC10"/>
      <c r="AID10"/>
      <c r="AIE10"/>
      <c r="AIF10"/>
      <c r="AIG10"/>
      <c r="AIH10"/>
      <c r="AII10"/>
      <c r="AIJ10"/>
      <c r="AIK10"/>
      <c r="AIL10"/>
      <c r="AIM10"/>
      <c r="AIN10"/>
      <c r="AIO10"/>
      <c r="AIP10"/>
      <c r="AIQ10"/>
      <c r="AIR10"/>
      <c r="AIS10"/>
      <c r="AIT10"/>
      <c r="AIU10"/>
      <c r="AIV10"/>
      <c r="AIW10"/>
      <c r="AIX10"/>
      <c r="AIY10"/>
      <c r="AIZ10"/>
      <c r="AJA10"/>
      <c r="AJB10"/>
      <c r="AJC10"/>
      <c r="AJD10"/>
      <c r="AJE10"/>
      <c r="AJF10"/>
      <c r="AJG10"/>
      <c r="AJH10"/>
      <c r="AJI10"/>
      <c r="AJJ10"/>
      <c r="AJK10"/>
      <c r="AJL10"/>
      <c r="AJM10"/>
      <c r="AJN10"/>
      <c r="AJO10"/>
      <c r="AJP10"/>
      <c r="AJQ10"/>
      <c r="AJR10"/>
      <c r="AJS10"/>
      <c r="AJT10"/>
      <c r="AJU10"/>
      <c r="AJV10"/>
      <c r="AJW10"/>
      <c r="AJX10"/>
      <c r="AJY10"/>
      <c r="AJZ10"/>
      <c r="AKA10"/>
      <c r="AKB10"/>
      <c r="AKC10"/>
      <c r="AKD10"/>
      <c r="AKE10"/>
      <c r="AKF10"/>
      <c r="AKG10"/>
      <c r="AKH10"/>
      <c r="AKI10"/>
      <c r="AKJ10"/>
      <c r="AKK10"/>
      <c r="AKL10"/>
      <c r="AKM10"/>
      <c r="AKN10"/>
      <c r="AKO10"/>
      <c r="AKP10"/>
      <c r="AKQ10"/>
      <c r="AKR10"/>
      <c r="AKS10"/>
      <c r="AKT10"/>
      <c r="AKU10"/>
      <c r="AKV10"/>
      <c r="AKW10"/>
      <c r="AKX10"/>
      <c r="AKY10"/>
      <c r="AKZ10"/>
      <c r="ALA10"/>
      <c r="ALB10"/>
      <c r="ALC10"/>
      <c r="ALD10"/>
      <c r="ALE10"/>
      <c r="ALF10"/>
      <c r="ALG10"/>
      <c r="ALH10"/>
      <c r="ALI10"/>
      <c r="ALJ10"/>
      <c r="ALK10"/>
      <c r="ALL10"/>
      <c r="ALM10"/>
      <c r="ALN10"/>
      <c r="ALO10"/>
      <c r="ALP10"/>
      <c r="ALQ10"/>
      <c r="ALR10"/>
      <c r="ALS10"/>
      <c r="ALT10"/>
      <c r="ALU10"/>
      <c r="ALV10"/>
      <c r="ALW10"/>
      <c r="ALX10"/>
      <c r="ALY10"/>
      <c r="ALZ10"/>
      <c r="AMA10"/>
      <c r="AMB10"/>
      <c r="AMC10"/>
      <c r="AMD10"/>
      <c r="AME10"/>
      <c r="AMF10"/>
      <c r="AMG10"/>
      <c r="AMH10"/>
      <c r="AMI10"/>
      <c r="AMJ10"/>
      <c r="AMK10"/>
      <c r="AML10"/>
      <c r="AMM10"/>
      <c r="AMN10"/>
      <c r="AMO10"/>
      <c r="AMP10"/>
      <c r="AMQ10"/>
      <c r="AMR10"/>
      <c r="AMS10"/>
      <c r="AMT10"/>
      <c r="AMU10"/>
      <c r="AMV10"/>
      <c r="AMW10"/>
      <c r="AMX10"/>
      <c r="AMY10"/>
      <c r="AMZ10"/>
      <c r="ANA10"/>
      <c r="ANB10"/>
      <c r="ANC10"/>
      <c r="AND10"/>
      <c r="ANE10"/>
      <c r="ANF10"/>
      <c r="ANG10"/>
      <c r="ANH10"/>
      <c r="ANI10"/>
      <c r="ANJ10"/>
      <c r="ANK10"/>
      <c r="ANL10"/>
      <c r="ANM10"/>
      <c r="ANN10"/>
      <c r="ANO10"/>
    </row>
    <row r="11" spans="1:1055" s="36" customFormat="1" ht="15.75" thickBot="1" x14ac:dyDescent="0.3">
      <c r="A11" s="34" t="s">
        <v>33</v>
      </c>
      <c r="B11" s="35">
        <v>0</v>
      </c>
      <c r="C11" s="36">
        <v>0</v>
      </c>
      <c r="D11" s="36">
        <f>E11/4</f>
        <v>550</v>
      </c>
      <c r="E11" s="37">
        <v>2200</v>
      </c>
      <c r="F11" s="35">
        <v>0</v>
      </c>
      <c r="G11" s="96">
        <v>0</v>
      </c>
      <c r="H11" s="96">
        <v>0</v>
      </c>
      <c r="I11" s="96">
        <v>0</v>
      </c>
      <c r="J11" s="97">
        <v>0</v>
      </c>
      <c r="K11" s="36">
        <v>0</v>
      </c>
      <c r="L11" s="38">
        <v>0</v>
      </c>
      <c r="M11" s="39">
        <v>83</v>
      </c>
      <c r="N11" s="40">
        <v>0</v>
      </c>
      <c r="O11" s="35">
        <v>0.87</v>
      </c>
      <c r="P11" s="36">
        <v>0.93</v>
      </c>
      <c r="Q11" s="38">
        <f>(O11+P11)/2</f>
        <v>0.9</v>
      </c>
      <c r="R11" s="35">
        <v>480</v>
      </c>
      <c r="S11" s="38">
        <v>12000</v>
      </c>
      <c r="T11" s="41">
        <v>561172.97577377898</v>
      </c>
      <c r="U11" s="42">
        <v>-13481662.071520699</v>
      </c>
      <c r="V11" s="36">
        <v>9570000</v>
      </c>
      <c r="W11" s="36">
        <v>11999960</v>
      </c>
      <c r="X11" s="36">
        <v>12189960</v>
      </c>
      <c r="Y11" s="36">
        <v>12499930</v>
      </c>
      <c r="Z11" s="36">
        <v>12699880</v>
      </c>
      <c r="AA11" s="36">
        <v>13499820</v>
      </c>
      <c r="AB11" s="36">
        <v>14399830</v>
      </c>
      <c r="AC11" s="36">
        <v>12099800</v>
      </c>
      <c r="AD11" s="36">
        <v>13499670</v>
      </c>
      <c r="AE11" s="36">
        <v>15499420</v>
      </c>
      <c r="AF11" s="36">
        <v>17499230</v>
      </c>
      <c r="AG11" s="36">
        <v>19298990</v>
      </c>
      <c r="AH11" s="36">
        <v>19598220</v>
      </c>
      <c r="AI11" s="36">
        <v>21496500</v>
      </c>
      <c r="AJ11" s="36">
        <v>23794450</v>
      </c>
      <c r="AK11" s="36">
        <v>19289490</v>
      </c>
      <c r="AL11" s="36">
        <v>23683310</v>
      </c>
      <c r="AM11" s="36">
        <v>23281570</v>
      </c>
      <c r="AN11" s="36">
        <v>25578710</v>
      </c>
      <c r="AO11" s="36">
        <v>28777200</v>
      </c>
      <c r="AP11" s="36">
        <v>26364160</v>
      </c>
      <c r="AQ11" s="36">
        <v>30350300</v>
      </c>
      <c r="AR11" s="38">
        <v>30335910</v>
      </c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  <c r="LQ11"/>
      <c r="LR11"/>
      <c r="LS11"/>
      <c r="LT11"/>
      <c r="LU11"/>
      <c r="LV11"/>
      <c r="LW11"/>
      <c r="LX11"/>
      <c r="LY11"/>
      <c r="LZ11"/>
      <c r="MA11"/>
      <c r="MB11"/>
      <c r="MC11"/>
      <c r="MD11"/>
      <c r="ME11"/>
      <c r="MF11"/>
      <c r="MG11"/>
      <c r="MH11"/>
      <c r="MI11"/>
      <c r="MJ11"/>
      <c r="MK11"/>
      <c r="ML11"/>
      <c r="MM11"/>
      <c r="MN11"/>
      <c r="MO11"/>
      <c r="MP11"/>
      <c r="MQ11"/>
      <c r="MR11"/>
      <c r="MS11"/>
      <c r="MT11"/>
      <c r="MU11"/>
      <c r="MV11"/>
      <c r="MW11"/>
      <c r="MX11"/>
      <c r="MY11"/>
      <c r="MZ11"/>
      <c r="NA11"/>
      <c r="NB11"/>
      <c r="NC11"/>
      <c r="ND11"/>
      <c r="NE11"/>
      <c r="NF11"/>
      <c r="NG11"/>
      <c r="NH11"/>
      <c r="NI11"/>
      <c r="NJ11"/>
      <c r="NK11"/>
      <c r="NL11"/>
      <c r="NM11"/>
      <c r="NN11"/>
      <c r="NO11"/>
      <c r="NP11"/>
      <c r="NQ11"/>
      <c r="NR11"/>
      <c r="NS11"/>
      <c r="NT11"/>
      <c r="NU11"/>
      <c r="NV11"/>
      <c r="NW11"/>
      <c r="NX11"/>
      <c r="NY11"/>
      <c r="NZ11"/>
      <c r="OA11"/>
      <c r="OB11"/>
      <c r="OC11"/>
      <c r="OD11"/>
      <c r="OE11"/>
      <c r="OF11"/>
      <c r="OG11"/>
      <c r="OH11"/>
      <c r="OI11"/>
      <c r="OJ11"/>
      <c r="OK11"/>
      <c r="OL11"/>
      <c r="OM11"/>
      <c r="ON11"/>
      <c r="OO11"/>
      <c r="OP11"/>
      <c r="OQ11"/>
      <c r="OR11"/>
      <c r="OS11"/>
      <c r="OT11"/>
      <c r="OU11"/>
      <c r="OV11"/>
      <c r="OW11"/>
      <c r="OX11"/>
      <c r="OY11"/>
      <c r="OZ11"/>
      <c r="PA11"/>
      <c r="PB11"/>
      <c r="PC11"/>
      <c r="PD11"/>
      <c r="PE11"/>
      <c r="PF11"/>
      <c r="PG11"/>
      <c r="PH11"/>
      <c r="PI11"/>
      <c r="PJ11"/>
      <c r="PK11"/>
      <c r="PL11"/>
      <c r="PM11"/>
      <c r="PN11"/>
      <c r="PO11"/>
      <c r="PP11"/>
      <c r="PQ11"/>
      <c r="PR11"/>
      <c r="PS11"/>
      <c r="PT11"/>
      <c r="PU11"/>
      <c r="PV11"/>
      <c r="PW11"/>
      <c r="PX11"/>
      <c r="PY11"/>
      <c r="PZ11"/>
      <c r="QA11"/>
      <c r="QB11"/>
      <c r="QC11"/>
      <c r="QD11"/>
      <c r="QE11"/>
      <c r="QF11"/>
      <c r="QG11"/>
      <c r="QH11"/>
      <c r="QI11"/>
      <c r="QJ11"/>
      <c r="QK11"/>
      <c r="QL11"/>
      <c r="QM11"/>
      <c r="QN11"/>
      <c r="QO11"/>
      <c r="QP11"/>
      <c r="QQ11"/>
      <c r="QR11"/>
      <c r="QS11"/>
      <c r="QT11"/>
      <c r="QU11"/>
      <c r="QV11"/>
      <c r="QW11"/>
      <c r="QX11"/>
      <c r="QY11"/>
      <c r="QZ11"/>
      <c r="RA11"/>
      <c r="RB11"/>
      <c r="RC11"/>
      <c r="RD11"/>
      <c r="RE11"/>
      <c r="RF11"/>
      <c r="RG11"/>
      <c r="RH11"/>
      <c r="RI11"/>
      <c r="RJ11"/>
      <c r="RK11"/>
      <c r="RL11"/>
      <c r="RM11"/>
      <c r="RN11"/>
      <c r="RO11"/>
      <c r="RP11"/>
      <c r="RQ11"/>
      <c r="RR11"/>
      <c r="RS11"/>
      <c r="RT11"/>
      <c r="RU11"/>
      <c r="RV11"/>
      <c r="RW11"/>
      <c r="RX11"/>
      <c r="RY11"/>
      <c r="RZ11"/>
      <c r="SA11"/>
      <c r="SB11"/>
      <c r="SC11"/>
      <c r="SD11"/>
      <c r="SE11"/>
      <c r="SF11"/>
      <c r="SG11"/>
      <c r="SH11"/>
      <c r="SI11"/>
      <c r="SJ11"/>
      <c r="SK11"/>
      <c r="SL11"/>
      <c r="SM11"/>
      <c r="SN11"/>
      <c r="SO11"/>
      <c r="SP11"/>
      <c r="SQ11"/>
      <c r="SR11"/>
      <c r="SS11"/>
      <c r="ST11"/>
      <c r="SU11"/>
      <c r="SV11"/>
      <c r="SW11"/>
      <c r="SX11"/>
      <c r="SY11"/>
      <c r="SZ11"/>
      <c r="TA11"/>
      <c r="TB11"/>
      <c r="TC11"/>
      <c r="TD11"/>
      <c r="TE11"/>
      <c r="TF11"/>
      <c r="TG11"/>
      <c r="TH11"/>
      <c r="TI11"/>
      <c r="TJ11"/>
      <c r="TK11"/>
      <c r="TL11"/>
      <c r="TM11"/>
      <c r="TN11"/>
      <c r="TO11"/>
      <c r="TP11"/>
      <c r="TQ11"/>
      <c r="TR11"/>
      <c r="TS11"/>
      <c r="TT11"/>
      <c r="TU11"/>
      <c r="TV11"/>
      <c r="TW11"/>
      <c r="TX11"/>
      <c r="TY11"/>
      <c r="TZ11"/>
      <c r="UA11"/>
      <c r="UB11"/>
      <c r="UC11"/>
      <c r="UD11"/>
      <c r="UE11"/>
      <c r="UF11"/>
      <c r="UG11"/>
      <c r="UH11"/>
      <c r="UI11"/>
      <c r="UJ11"/>
      <c r="UK11"/>
      <c r="UL11"/>
      <c r="UM11"/>
      <c r="UN11"/>
      <c r="UO11"/>
      <c r="UP11"/>
      <c r="UQ11"/>
      <c r="UR11"/>
      <c r="US11"/>
      <c r="UT11"/>
      <c r="UU11"/>
      <c r="UV11"/>
      <c r="UW11"/>
      <c r="UX11"/>
      <c r="UY11"/>
      <c r="UZ11"/>
      <c r="VA11"/>
      <c r="VB11"/>
      <c r="VC11"/>
      <c r="VD11"/>
      <c r="VE11"/>
      <c r="VF11"/>
      <c r="VG11"/>
      <c r="VH11"/>
      <c r="VI11"/>
      <c r="VJ11"/>
      <c r="VK11"/>
      <c r="VL11"/>
      <c r="VM11"/>
      <c r="VN11"/>
      <c r="VO11"/>
      <c r="VP11"/>
      <c r="VQ11"/>
      <c r="VR11"/>
      <c r="VS11"/>
      <c r="VT11"/>
      <c r="VU11"/>
      <c r="VV11"/>
      <c r="VW11"/>
      <c r="VX11"/>
      <c r="VY11"/>
      <c r="VZ11"/>
      <c r="WA11"/>
      <c r="WB11"/>
      <c r="WC11"/>
      <c r="WD11"/>
      <c r="WE11"/>
      <c r="WF11"/>
      <c r="WG11"/>
      <c r="WH11"/>
      <c r="WI11"/>
      <c r="WJ11"/>
      <c r="WK11"/>
      <c r="WL11"/>
      <c r="WM11"/>
      <c r="WN11"/>
      <c r="WO11"/>
      <c r="WP11"/>
      <c r="WQ11"/>
      <c r="WR11"/>
      <c r="WS11"/>
      <c r="WT11"/>
      <c r="WU11"/>
      <c r="WV11"/>
      <c r="WW11"/>
      <c r="WX11"/>
      <c r="WY11"/>
      <c r="WZ11"/>
      <c r="XA11"/>
      <c r="XB11"/>
      <c r="XC11"/>
      <c r="XD11"/>
      <c r="XE11"/>
      <c r="XF11"/>
      <c r="XG11"/>
      <c r="XH11"/>
      <c r="XI11"/>
      <c r="XJ11"/>
      <c r="XK11"/>
      <c r="XL11"/>
      <c r="XM11"/>
      <c r="XN11"/>
      <c r="XO11"/>
      <c r="XP11"/>
      <c r="XQ11"/>
      <c r="XR11"/>
      <c r="XS11"/>
      <c r="XT11"/>
      <c r="XU11"/>
      <c r="XV11"/>
      <c r="XW11"/>
      <c r="XX11"/>
      <c r="XY11"/>
      <c r="XZ11"/>
      <c r="YA11"/>
      <c r="YB11"/>
      <c r="YC11"/>
      <c r="YD11"/>
      <c r="YE11"/>
      <c r="YF11"/>
      <c r="YG11"/>
      <c r="YH11"/>
      <c r="YI11"/>
      <c r="YJ11"/>
      <c r="YK11"/>
      <c r="YL11"/>
      <c r="YM11"/>
      <c r="YN11"/>
      <c r="YO11"/>
      <c r="YP11"/>
      <c r="YQ11"/>
      <c r="YR11"/>
      <c r="YS11"/>
      <c r="YT11"/>
      <c r="YU11"/>
      <c r="YV11"/>
      <c r="YW11"/>
      <c r="YX11"/>
      <c r="YY11"/>
      <c r="YZ11"/>
      <c r="ZA11"/>
      <c r="ZB11"/>
      <c r="ZC11"/>
      <c r="ZD11"/>
      <c r="ZE11"/>
      <c r="ZF11"/>
      <c r="ZG11"/>
      <c r="ZH11"/>
      <c r="ZI11"/>
      <c r="ZJ11"/>
      <c r="ZK11"/>
      <c r="ZL11"/>
      <c r="ZM11"/>
      <c r="ZN11"/>
      <c r="ZO11"/>
      <c r="ZP11"/>
      <c r="ZQ11"/>
      <c r="ZR11"/>
      <c r="ZS11"/>
      <c r="ZT11"/>
      <c r="ZU11"/>
      <c r="ZV11"/>
      <c r="ZW11"/>
      <c r="ZX11"/>
      <c r="ZY11"/>
      <c r="ZZ11"/>
      <c r="AAA11"/>
      <c r="AAB11"/>
      <c r="AAC11"/>
      <c r="AAD11"/>
      <c r="AAE11"/>
      <c r="AAF11"/>
      <c r="AAG11"/>
      <c r="AAH11"/>
      <c r="AAI11"/>
      <c r="AAJ11"/>
      <c r="AAK11"/>
      <c r="AAL11"/>
      <c r="AAM11"/>
      <c r="AAN11"/>
      <c r="AAO11"/>
      <c r="AAP11"/>
      <c r="AAQ11"/>
      <c r="AAR11"/>
      <c r="AAS11"/>
      <c r="AAT11"/>
      <c r="AAU11"/>
      <c r="AAV11"/>
      <c r="AAW11"/>
      <c r="AAX11"/>
      <c r="AAY11"/>
      <c r="AAZ11"/>
      <c r="ABA11"/>
      <c r="ABB11"/>
      <c r="ABC11"/>
      <c r="ABD11"/>
      <c r="ABE11"/>
      <c r="ABF11"/>
      <c r="ABG11"/>
      <c r="ABH11"/>
      <c r="ABI11"/>
      <c r="ABJ11"/>
      <c r="ABK11"/>
      <c r="ABL11"/>
      <c r="ABM11"/>
      <c r="ABN11"/>
      <c r="ABO11"/>
      <c r="ABP11"/>
      <c r="ABQ11"/>
      <c r="ABR11"/>
      <c r="ABS11"/>
      <c r="ABT11"/>
      <c r="ABU11"/>
      <c r="ABV11"/>
      <c r="ABW11"/>
      <c r="ABX11"/>
      <c r="ABY11"/>
      <c r="ABZ11"/>
      <c r="ACA11"/>
      <c r="ACB11"/>
      <c r="ACC11"/>
      <c r="ACD11"/>
      <c r="ACE11"/>
      <c r="ACF11"/>
      <c r="ACG11"/>
      <c r="ACH11"/>
      <c r="ACI11"/>
      <c r="ACJ11"/>
      <c r="ACK11"/>
      <c r="ACL11"/>
      <c r="ACM11"/>
      <c r="ACN11"/>
      <c r="ACO11"/>
      <c r="ACP11"/>
      <c r="ACQ11"/>
      <c r="ACR11"/>
      <c r="ACS11"/>
      <c r="ACT11"/>
      <c r="ACU11"/>
      <c r="ACV11"/>
      <c r="ACW11"/>
      <c r="ACX11"/>
      <c r="ACY11"/>
      <c r="ACZ11"/>
      <c r="ADA11"/>
      <c r="ADB11"/>
      <c r="ADC11"/>
      <c r="ADD11"/>
      <c r="ADE11"/>
      <c r="ADF11"/>
      <c r="ADG11"/>
      <c r="ADH11"/>
      <c r="ADI11"/>
      <c r="ADJ11"/>
      <c r="ADK11"/>
      <c r="ADL11"/>
      <c r="ADM11"/>
      <c r="ADN11"/>
      <c r="ADO11"/>
      <c r="ADP11"/>
      <c r="ADQ11"/>
      <c r="ADR11"/>
      <c r="ADS11"/>
      <c r="ADT11"/>
      <c r="ADU11"/>
      <c r="ADV11"/>
      <c r="ADW11"/>
      <c r="ADX11"/>
      <c r="ADY11"/>
      <c r="ADZ11"/>
      <c r="AEA11"/>
      <c r="AEB11"/>
      <c r="AEC11"/>
      <c r="AED11"/>
      <c r="AEE11"/>
      <c r="AEF11"/>
      <c r="AEG11"/>
      <c r="AEH11"/>
      <c r="AEI11"/>
      <c r="AEJ11"/>
      <c r="AEK11"/>
      <c r="AEL11"/>
      <c r="AEM11"/>
      <c r="AEN11"/>
      <c r="AEO11"/>
      <c r="AEP11"/>
      <c r="AEQ11"/>
      <c r="AER11"/>
      <c r="AES11"/>
      <c r="AET11"/>
      <c r="AEU11"/>
      <c r="AEV11"/>
      <c r="AEW11"/>
      <c r="AEX11"/>
      <c r="AEY11"/>
      <c r="AEZ11"/>
      <c r="AFA11"/>
      <c r="AFB11"/>
      <c r="AFC11"/>
      <c r="AFD11"/>
      <c r="AFE11"/>
      <c r="AFF11"/>
      <c r="AFG11"/>
      <c r="AFH11"/>
      <c r="AFI11"/>
      <c r="AFJ11"/>
      <c r="AFK11"/>
      <c r="AFL11"/>
      <c r="AFM11"/>
      <c r="AFN11"/>
      <c r="AFO11"/>
      <c r="AFP11"/>
      <c r="AFQ11"/>
      <c r="AFR11"/>
      <c r="AFS11"/>
      <c r="AFT11"/>
      <c r="AFU11"/>
      <c r="AFV11"/>
      <c r="AFW11"/>
      <c r="AFX11"/>
      <c r="AFY11"/>
      <c r="AFZ11"/>
      <c r="AGA11"/>
      <c r="AGB11"/>
      <c r="AGC11"/>
      <c r="AGD11"/>
      <c r="AGE11"/>
      <c r="AGF11"/>
      <c r="AGG11"/>
      <c r="AGH11"/>
      <c r="AGI11"/>
      <c r="AGJ11"/>
      <c r="AGK11"/>
      <c r="AGL11"/>
      <c r="AGM11"/>
      <c r="AGN11"/>
      <c r="AGO11"/>
      <c r="AGP11"/>
      <c r="AGQ11"/>
      <c r="AGR11"/>
      <c r="AGS11"/>
      <c r="AGT11"/>
      <c r="AGU11"/>
      <c r="AGV11"/>
      <c r="AGW11"/>
      <c r="AGX11"/>
      <c r="AGY11"/>
      <c r="AGZ11"/>
      <c r="AHA11"/>
      <c r="AHB11"/>
      <c r="AHC11"/>
      <c r="AHD11"/>
      <c r="AHE11"/>
      <c r="AHF11"/>
      <c r="AHG11"/>
      <c r="AHH11"/>
      <c r="AHI11"/>
      <c r="AHJ11"/>
      <c r="AHK11"/>
      <c r="AHL11"/>
      <c r="AHM11"/>
      <c r="AHN11"/>
      <c r="AHO11"/>
      <c r="AHP11"/>
      <c r="AHQ11"/>
      <c r="AHR11"/>
      <c r="AHS11"/>
      <c r="AHT11"/>
      <c r="AHU11"/>
      <c r="AHV11"/>
      <c r="AHW11"/>
      <c r="AHX11"/>
      <c r="AHY11"/>
      <c r="AHZ11"/>
      <c r="AIA11"/>
      <c r="AIB11"/>
      <c r="AIC11"/>
      <c r="AID11"/>
      <c r="AIE11"/>
      <c r="AIF11"/>
      <c r="AIG11"/>
      <c r="AIH11"/>
      <c r="AII11"/>
      <c r="AIJ11"/>
      <c r="AIK11"/>
      <c r="AIL11"/>
      <c r="AIM11"/>
      <c r="AIN11"/>
      <c r="AIO11"/>
      <c r="AIP11"/>
      <c r="AIQ11"/>
      <c r="AIR11"/>
      <c r="AIS11"/>
      <c r="AIT11"/>
      <c r="AIU11"/>
      <c r="AIV11"/>
      <c r="AIW11"/>
      <c r="AIX11"/>
      <c r="AIY11"/>
      <c r="AIZ11"/>
      <c r="AJA11"/>
      <c r="AJB11"/>
      <c r="AJC11"/>
      <c r="AJD11"/>
      <c r="AJE11"/>
      <c r="AJF11"/>
      <c r="AJG11"/>
      <c r="AJH11"/>
      <c r="AJI11"/>
      <c r="AJJ11"/>
      <c r="AJK11"/>
      <c r="AJL11"/>
      <c r="AJM11"/>
      <c r="AJN11"/>
      <c r="AJO11"/>
      <c r="AJP11"/>
      <c r="AJQ11"/>
      <c r="AJR11"/>
      <c r="AJS11"/>
      <c r="AJT11"/>
      <c r="AJU11"/>
      <c r="AJV11"/>
      <c r="AJW11"/>
      <c r="AJX11"/>
      <c r="AJY11"/>
      <c r="AJZ11"/>
      <c r="AKA11"/>
      <c r="AKB11"/>
      <c r="AKC11"/>
      <c r="AKD11"/>
      <c r="AKE11"/>
      <c r="AKF11"/>
      <c r="AKG11"/>
      <c r="AKH11"/>
      <c r="AKI11"/>
      <c r="AKJ11"/>
      <c r="AKK11"/>
      <c r="AKL11"/>
      <c r="AKM11"/>
      <c r="AKN11"/>
      <c r="AKO11"/>
      <c r="AKP11"/>
      <c r="AKQ11"/>
      <c r="AKR11"/>
      <c r="AKS11"/>
      <c r="AKT11"/>
      <c r="AKU11"/>
      <c r="AKV11"/>
      <c r="AKW11"/>
      <c r="AKX11"/>
      <c r="AKY11"/>
      <c r="AKZ11"/>
      <c r="ALA11"/>
      <c r="ALB11"/>
      <c r="ALC11"/>
      <c r="ALD11"/>
      <c r="ALE11"/>
      <c r="ALF11"/>
      <c r="ALG11"/>
      <c r="ALH11"/>
      <c r="ALI11"/>
      <c r="ALJ11"/>
      <c r="ALK11"/>
      <c r="ALL11"/>
      <c r="ALM11"/>
      <c r="ALN11"/>
      <c r="ALO11"/>
      <c r="ALP11"/>
      <c r="ALQ11"/>
      <c r="ALR11"/>
      <c r="ALS11"/>
      <c r="ALT11"/>
      <c r="ALU11"/>
      <c r="ALV11"/>
      <c r="ALW11"/>
      <c r="ALX11"/>
      <c r="ALY11"/>
      <c r="ALZ11"/>
      <c r="AMA11"/>
      <c r="AMB11"/>
      <c r="AMC11"/>
      <c r="AMD11"/>
      <c r="AME11"/>
      <c r="AMF11"/>
      <c r="AMG11"/>
      <c r="AMH11"/>
      <c r="AMI11"/>
      <c r="AMJ11"/>
      <c r="AMK11"/>
      <c r="AML11"/>
      <c r="AMM11"/>
      <c r="AMN11"/>
      <c r="AMO11"/>
      <c r="AMP11"/>
      <c r="AMQ11"/>
      <c r="AMR11"/>
      <c r="AMS11"/>
      <c r="AMT11"/>
      <c r="AMU11"/>
      <c r="AMV11"/>
      <c r="AMW11"/>
      <c r="AMX11"/>
      <c r="AMY11"/>
      <c r="AMZ11"/>
      <c r="ANA11"/>
      <c r="ANB11"/>
      <c r="ANC11"/>
      <c r="AND11"/>
      <c r="ANE11"/>
      <c r="ANF11"/>
      <c r="ANG11"/>
      <c r="ANH11"/>
      <c r="ANI11"/>
      <c r="ANJ11"/>
      <c r="ANK11"/>
      <c r="ANL11"/>
      <c r="ANM11"/>
      <c r="ANN11"/>
      <c r="ANO11"/>
    </row>
    <row r="12" spans="1:1055" s="36" customFormat="1" ht="15.75" thickBot="1" x14ac:dyDescent="0.3">
      <c r="A12" s="34" t="s">
        <v>34</v>
      </c>
      <c r="B12" s="35">
        <v>2700</v>
      </c>
      <c r="C12" s="36">
        <v>22200</v>
      </c>
      <c r="D12" s="36">
        <v>2200</v>
      </c>
      <c r="E12" s="37">
        <v>3200</v>
      </c>
      <c r="F12" s="35">
        <v>289</v>
      </c>
      <c r="G12" s="96">
        <v>0</v>
      </c>
      <c r="H12" s="96">
        <v>0</v>
      </c>
      <c r="I12" s="96">
        <v>0</v>
      </c>
      <c r="J12" s="97">
        <v>0</v>
      </c>
      <c r="K12" s="36">
        <v>2044</v>
      </c>
      <c r="L12" s="38">
        <v>125</v>
      </c>
      <c r="M12" s="39">
        <v>57</v>
      </c>
      <c r="N12" s="40">
        <v>16.5</v>
      </c>
      <c r="O12" s="35">
        <v>0.43</v>
      </c>
      <c r="P12" s="36">
        <v>0.53</v>
      </c>
      <c r="Q12" s="38">
        <f>(O12+P12)/2</f>
        <v>0.48</v>
      </c>
      <c r="R12" s="35">
        <v>720</v>
      </c>
      <c r="S12" s="38">
        <v>2100</v>
      </c>
      <c r="T12" s="41">
        <v>230741.487187447</v>
      </c>
      <c r="U12" s="42">
        <v>1147112.83580538</v>
      </c>
      <c r="V12" s="36">
        <v>9430000</v>
      </c>
      <c r="W12" s="36">
        <v>9992170</v>
      </c>
      <c r="X12" s="36">
        <v>10994390</v>
      </c>
      <c r="Y12" s="36">
        <v>11392880</v>
      </c>
      <c r="Z12" s="36">
        <v>12190320</v>
      </c>
      <c r="AA12" s="36">
        <v>12586080</v>
      </c>
      <c r="AB12" s="36">
        <v>13182150</v>
      </c>
      <c r="AC12" s="36">
        <v>13677330</v>
      </c>
      <c r="AD12" s="36">
        <v>13573660</v>
      </c>
      <c r="AE12" s="36">
        <v>13569730</v>
      </c>
      <c r="AF12" s="36">
        <v>14561920</v>
      </c>
      <c r="AG12" s="36">
        <v>14949450</v>
      </c>
      <c r="AH12" s="36">
        <v>15032000</v>
      </c>
      <c r="AI12" s="36">
        <v>15309050</v>
      </c>
      <c r="AJ12" s="36">
        <v>15285180</v>
      </c>
      <c r="AK12" s="36">
        <v>15750700</v>
      </c>
      <c r="AL12" s="36">
        <v>15707320</v>
      </c>
      <c r="AM12" s="36">
        <v>15891470</v>
      </c>
      <c r="AN12" s="36">
        <v>16672810</v>
      </c>
      <c r="AO12" s="36">
        <v>18037090</v>
      </c>
      <c r="AP12" s="36">
        <v>18126070</v>
      </c>
      <c r="AQ12" s="36">
        <v>18615350</v>
      </c>
      <c r="AR12" s="38">
        <v>18700270</v>
      </c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  <c r="AFX12"/>
      <c r="AFY12"/>
      <c r="AFZ12"/>
      <c r="AGA12"/>
      <c r="AGB12"/>
      <c r="AGC12"/>
      <c r="AGD12"/>
      <c r="AGE12"/>
      <c r="AGF12"/>
      <c r="AGG12"/>
      <c r="AGH12"/>
      <c r="AGI12"/>
      <c r="AGJ12"/>
      <c r="AGK12"/>
      <c r="AGL12"/>
      <c r="AGM12"/>
      <c r="AGN12"/>
      <c r="AGO12"/>
      <c r="AGP12"/>
      <c r="AGQ12"/>
      <c r="AGR12"/>
      <c r="AGS12"/>
      <c r="AGT12"/>
      <c r="AGU12"/>
      <c r="AGV12"/>
      <c r="AGW12"/>
      <c r="AGX12"/>
      <c r="AGY12"/>
      <c r="AGZ12"/>
      <c r="AHA12"/>
      <c r="AHB12"/>
      <c r="AHC12"/>
      <c r="AHD12"/>
      <c r="AHE12"/>
      <c r="AHF12"/>
      <c r="AHG12"/>
      <c r="AHH12"/>
      <c r="AHI12"/>
      <c r="AHJ12"/>
      <c r="AHK12"/>
      <c r="AHL12"/>
      <c r="AHM12"/>
      <c r="AHN12"/>
      <c r="AHO12"/>
      <c r="AHP12"/>
      <c r="AHQ12"/>
      <c r="AHR12"/>
      <c r="AHS12"/>
      <c r="AHT12"/>
      <c r="AHU12"/>
      <c r="AHV12"/>
      <c r="AHW12"/>
      <c r="AHX12"/>
      <c r="AHY12"/>
      <c r="AHZ12"/>
      <c r="AIA12"/>
      <c r="AIB12"/>
      <c r="AIC12"/>
      <c r="AID12"/>
      <c r="AIE12"/>
      <c r="AIF12"/>
      <c r="AIG12"/>
      <c r="AIH12"/>
      <c r="AII12"/>
      <c r="AIJ12"/>
      <c r="AIK12"/>
      <c r="AIL12"/>
      <c r="AIM12"/>
      <c r="AIN12"/>
      <c r="AIO12"/>
      <c r="AIP12"/>
      <c r="AIQ12"/>
      <c r="AIR12"/>
      <c r="AIS12"/>
      <c r="AIT12"/>
      <c r="AIU12"/>
      <c r="AIV12"/>
      <c r="AIW12"/>
      <c r="AIX12"/>
      <c r="AIY12"/>
      <c r="AIZ12"/>
      <c r="AJA12"/>
      <c r="AJB12"/>
      <c r="AJC12"/>
      <c r="AJD12"/>
      <c r="AJE12"/>
      <c r="AJF12"/>
      <c r="AJG12"/>
      <c r="AJH12"/>
      <c r="AJI12"/>
      <c r="AJJ12"/>
      <c r="AJK12"/>
      <c r="AJL12"/>
      <c r="AJM12"/>
      <c r="AJN12"/>
      <c r="AJO12"/>
      <c r="AJP12"/>
      <c r="AJQ12"/>
      <c r="AJR12"/>
      <c r="AJS12"/>
      <c r="AJT12"/>
      <c r="AJU12"/>
      <c r="AJV12"/>
      <c r="AJW12"/>
      <c r="AJX12"/>
      <c r="AJY12"/>
      <c r="AJZ12"/>
      <c r="AKA12"/>
      <c r="AKB12"/>
      <c r="AKC12"/>
      <c r="AKD12"/>
      <c r="AKE12"/>
      <c r="AKF12"/>
      <c r="AKG12"/>
      <c r="AKH12"/>
      <c r="AKI12"/>
      <c r="AKJ12"/>
      <c r="AKK12"/>
      <c r="AKL12"/>
      <c r="AKM12"/>
      <c r="AKN12"/>
      <c r="AKO12"/>
      <c r="AKP12"/>
      <c r="AKQ12"/>
      <c r="AKR12"/>
      <c r="AKS12"/>
      <c r="AKT12"/>
      <c r="AKU12"/>
      <c r="AKV12"/>
      <c r="AKW12"/>
      <c r="AKX12"/>
      <c r="AKY12"/>
      <c r="AKZ12"/>
      <c r="ALA12"/>
      <c r="ALB12"/>
      <c r="ALC12"/>
      <c r="ALD12"/>
      <c r="ALE12"/>
      <c r="ALF12"/>
      <c r="ALG12"/>
      <c r="ALH12"/>
      <c r="ALI12"/>
      <c r="ALJ12"/>
      <c r="ALK12"/>
      <c r="ALL12"/>
      <c r="ALM12"/>
      <c r="ALN12"/>
      <c r="ALO12"/>
      <c r="ALP12"/>
      <c r="ALQ12"/>
      <c r="ALR12"/>
      <c r="ALS12"/>
      <c r="ALT12"/>
      <c r="ALU12"/>
      <c r="ALV12"/>
      <c r="ALW12"/>
      <c r="ALX12"/>
      <c r="ALY12"/>
      <c r="ALZ12"/>
      <c r="AMA12"/>
      <c r="AMB12"/>
      <c r="AMC12"/>
      <c r="AMD12"/>
      <c r="AME12"/>
      <c r="AMF12"/>
      <c r="AMG12"/>
      <c r="AMH12"/>
      <c r="AMI12"/>
      <c r="AMJ12"/>
      <c r="AMK12"/>
      <c r="AML12"/>
      <c r="AMM12"/>
      <c r="AMN12"/>
      <c r="AMO12"/>
      <c r="AMP12"/>
      <c r="AMQ12"/>
      <c r="AMR12"/>
      <c r="AMS12"/>
      <c r="AMT12"/>
      <c r="AMU12"/>
      <c r="AMV12"/>
      <c r="AMW12"/>
      <c r="AMX12"/>
      <c r="AMY12"/>
      <c r="AMZ12"/>
      <c r="ANA12"/>
      <c r="ANB12"/>
      <c r="ANC12"/>
      <c r="AND12"/>
      <c r="ANE12"/>
      <c r="ANF12"/>
      <c r="ANG12"/>
      <c r="ANH12"/>
      <c r="ANI12"/>
      <c r="ANJ12"/>
      <c r="ANK12"/>
      <c r="ANL12"/>
      <c r="ANM12"/>
      <c r="ANN12"/>
      <c r="ANO12"/>
    </row>
    <row r="13" spans="1:1055" s="36" customFormat="1" ht="15.75" thickBot="1" x14ac:dyDescent="0.3">
      <c r="A13" s="34" t="s">
        <v>35</v>
      </c>
      <c r="B13" s="35">
        <v>5700</v>
      </c>
      <c r="C13" s="36">
        <f>B13*C55/B55</f>
        <v>18080.888183980969</v>
      </c>
      <c r="D13" s="36">
        <v>15600</v>
      </c>
      <c r="E13" s="37">
        <v>15600</v>
      </c>
      <c r="F13" s="35">
        <v>0</v>
      </c>
      <c r="G13" s="96">
        <v>0</v>
      </c>
      <c r="H13" s="96">
        <v>0</v>
      </c>
      <c r="I13" s="96">
        <v>0</v>
      </c>
      <c r="J13" s="97">
        <v>0</v>
      </c>
      <c r="K13" s="36">
        <v>6200</v>
      </c>
      <c r="L13" s="38">
        <v>0</v>
      </c>
      <c r="M13" s="39">
        <v>38.5</v>
      </c>
      <c r="N13" s="40">
        <v>0</v>
      </c>
      <c r="O13" s="35"/>
      <c r="Q13" s="38">
        <v>0</v>
      </c>
      <c r="R13" s="35">
        <v>0</v>
      </c>
      <c r="S13" s="38">
        <v>0</v>
      </c>
      <c r="T13" s="41">
        <v>0</v>
      </c>
      <c r="U13" s="42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6">
        <v>0</v>
      </c>
      <c r="AH13" s="36">
        <v>0</v>
      </c>
      <c r="AI13" s="36">
        <v>0</v>
      </c>
      <c r="AJ13" s="36">
        <v>0</v>
      </c>
      <c r="AK13" s="36">
        <v>0</v>
      </c>
      <c r="AL13" s="36">
        <v>0</v>
      </c>
      <c r="AM13" s="36">
        <v>0</v>
      </c>
      <c r="AN13" s="36">
        <v>0</v>
      </c>
      <c r="AO13" s="36">
        <v>0</v>
      </c>
      <c r="AP13" s="36">
        <v>0</v>
      </c>
      <c r="AQ13" s="36">
        <v>0</v>
      </c>
      <c r="AR13" s="38">
        <v>0</v>
      </c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  <c r="AHJ13"/>
      <c r="AHK13"/>
      <c r="AHL13"/>
      <c r="AHM13"/>
      <c r="AHN13"/>
      <c r="AHO13"/>
      <c r="AHP13"/>
      <c r="AHQ13"/>
      <c r="AHR13"/>
      <c r="AHS13"/>
      <c r="AHT13"/>
      <c r="AHU13"/>
      <c r="AHV13"/>
      <c r="AHW13"/>
      <c r="AHX13"/>
      <c r="AHY13"/>
      <c r="AHZ13"/>
      <c r="AIA13"/>
      <c r="AIB13"/>
      <c r="AIC13"/>
      <c r="AID13"/>
      <c r="AIE13"/>
      <c r="AIF13"/>
      <c r="AIG13"/>
      <c r="AIH13"/>
      <c r="AII13"/>
      <c r="AIJ13"/>
      <c r="AIK13"/>
      <c r="AIL13"/>
      <c r="AIM13"/>
      <c r="AIN13"/>
      <c r="AIO13"/>
      <c r="AIP13"/>
      <c r="AIQ13"/>
      <c r="AIR13"/>
      <c r="AIS13"/>
      <c r="AIT13"/>
      <c r="AIU13"/>
      <c r="AIV13"/>
      <c r="AIW13"/>
      <c r="AIX13"/>
      <c r="AIY13"/>
      <c r="AIZ13"/>
      <c r="AJA13"/>
      <c r="AJB13"/>
      <c r="AJC13"/>
      <c r="AJD13"/>
      <c r="AJE13"/>
      <c r="AJF13"/>
      <c r="AJG13"/>
      <c r="AJH13"/>
      <c r="AJI13"/>
      <c r="AJJ13"/>
      <c r="AJK13"/>
      <c r="AJL13"/>
      <c r="AJM13"/>
      <c r="AJN13"/>
      <c r="AJO13"/>
      <c r="AJP13"/>
      <c r="AJQ13"/>
      <c r="AJR13"/>
      <c r="AJS13"/>
      <c r="AJT13"/>
      <c r="AJU13"/>
      <c r="AJV13"/>
      <c r="AJW13"/>
      <c r="AJX13"/>
      <c r="AJY13"/>
      <c r="AJZ13"/>
      <c r="AKA13"/>
      <c r="AKB13"/>
      <c r="AKC13"/>
      <c r="AKD13"/>
      <c r="AKE13"/>
      <c r="AKF13"/>
      <c r="AKG13"/>
      <c r="AKH13"/>
      <c r="AKI13"/>
      <c r="AKJ13"/>
      <c r="AKK13"/>
      <c r="AKL13"/>
      <c r="AKM13"/>
      <c r="AKN13"/>
      <c r="AKO13"/>
      <c r="AKP13"/>
      <c r="AKQ13"/>
      <c r="AKR13"/>
      <c r="AKS13"/>
      <c r="AKT13"/>
      <c r="AKU13"/>
      <c r="AKV13"/>
      <c r="AKW13"/>
      <c r="AKX13"/>
      <c r="AKY13"/>
      <c r="AKZ13"/>
      <c r="ALA13"/>
      <c r="ALB13"/>
      <c r="ALC13"/>
      <c r="ALD13"/>
      <c r="ALE13"/>
      <c r="ALF13"/>
      <c r="ALG13"/>
      <c r="ALH13"/>
      <c r="ALI13"/>
      <c r="ALJ13"/>
      <c r="ALK13"/>
      <c r="ALL13"/>
      <c r="ALM13"/>
      <c r="ALN13"/>
      <c r="ALO13"/>
      <c r="ALP13"/>
      <c r="ALQ13"/>
      <c r="ALR13"/>
      <c r="ALS13"/>
      <c r="ALT13"/>
      <c r="ALU13"/>
      <c r="ALV13"/>
      <c r="ALW13"/>
      <c r="ALX13"/>
      <c r="ALY13"/>
      <c r="ALZ13"/>
      <c r="AMA13"/>
      <c r="AMB13"/>
      <c r="AMC13"/>
      <c r="AMD13"/>
      <c r="AME13"/>
      <c r="AMF13"/>
      <c r="AMG13"/>
      <c r="AMH13"/>
      <c r="AMI13"/>
      <c r="AMJ13"/>
      <c r="AMK13"/>
      <c r="AML13"/>
      <c r="AMM13"/>
      <c r="AMN13"/>
      <c r="AMO13"/>
      <c r="AMP13"/>
      <c r="AMQ13"/>
      <c r="AMR13"/>
      <c r="AMS13"/>
      <c r="AMT13"/>
      <c r="AMU13"/>
      <c r="AMV13"/>
      <c r="AMW13"/>
      <c r="AMX13"/>
      <c r="AMY13"/>
      <c r="AMZ13"/>
      <c r="ANA13"/>
      <c r="ANB13"/>
      <c r="ANC13"/>
      <c r="AND13"/>
      <c r="ANE13"/>
      <c r="ANF13"/>
      <c r="ANG13"/>
      <c r="ANH13"/>
      <c r="ANI13"/>
      <c r="ANJ13"/>
      <c r="ANK13"/>
      <c r="ANL13"/>
      <c r="ANM13"/>
      <c r="ANN13"/>
      <c r="ANO13"/>
    </row>
    <row r="14" spans="1:1055" s="36" customFormat="1" ht="15.75" thickBot="1" x14ac:dyDescent="0.3">
      <c r="A14" s="34" t="s">
        <v>36</v>
      </c>
      <c r="B14" s="35">
        <v>4.8600000000000003</v>
      </c>
      <c r="C14" s="36">
        <v>14.58</v>
      </c>
      <c r="D14" s="36">
        <v>0</v>
      </c>
      <c r="E14" s="37">
        <v>0</v>
      </c>
      <c r="F14" s="35">
        <v>0</v>
      </c>
      <c r="G14" s="96">
        <v>0</v>
      </c>
      <c r="H14" s="96">
        <v>0</v>
      </c>
      <c r="I14" s="96">
        <v>0</v>
      </c>
      <c r="J14" s="97">
        <v>0</v>
      </c>
      <c r="K14" s="36">
        <v>0</v>
      </c>
      <c r="L14" s="38">
        <v>0</v>
      </c>
      <c r="M14" s="39">
        <v>384.2</v>
      </c>
      <c r="N14" s="40">
        <v>0</v>
      </c>
      <c r="O14" s="35"/>
      <c r="Q14" s="38">
        <v>0</v>
      </c>
      <c r="R14" s="35">
        <v>0</v>
      </c>
      <c r="S14" s="38">
        <v>0</v>
      </c>
      <c r="T14" s="41">
        <v>0</v>
      </c>
      <c r="U14" s="42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6">
        <v>0</v>
      </c>
      <c r="AH14" s="36">
        <v>0</v>
      </c>
      <c r="AI14" s="36">
        <v>0</v>
      </c>
      <c r="AJ14" s="36">
        <v>0</v>
      </c>
      <c r="AK14" s="36">
        <v>0</v>
      </c>
      <c r="AL14" s="36">
        <v>0</v>
      </c>
      <c r="AM14" s="36">
        <v>0</v>
      </c>
      <c r="AN14" s="36">
        <v>0</v>
      </c>
      <c r="AO14" s="36">
        <v>0</v>
      </c>
      <c r="AP14" s="36">
        <v>0</v>
      </c>
      <c r="AQ14" s="36">
        <v>0</v>
      </c>
      <c r="AR14" s="38">
        <v>0</v>
      </c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  <c r="AFX14"/>
      <c r="AFY14"/>
      <c r="AFZ14"/>
      <c r="AGA14"/>
      <c r="AGB14"/>
      <c r="AGC14"/>
      <c r="AGD14"/>
      <c r="AGE14"/>
      <c r="AGF14"/>
      <c r="AGG14"/>
      <c r="AGH14"/>
      <c r="AGI14"/>
      <c r="AGJ14"/>
      <c r="AGK14"/>
      <c r="AGL14"/>
      <c r="AGM14"/>
      <c r="AGN14"/>
      <c r="AGO14"/>
      <c r="AGP14"/>
      <c r="AGQ14"/>
      <c r="AGR14"/>
      <c r="AGS14"/>
      <c r="AGT14"/>
      <c r="AGU14"/>
      <c r="AGV14"/>
      <c r="AGW14"/>
      <c r="AGX14"/>
      <c r="AGY14"/>
      <c r="AGZ14"/>
      <c r="AHA14"/>
      <c r="AHB14"/>
      <c r="AHC14"/>
      <c r="AHD14"/>
      <c r="AHE14"/>
      <c r="AHF14"/>
      <c r="AHG14"/>
      <c r="AHH14"/>
      <c r="AHI14"/>
      <c r="AHJ14"/>
      <c r="AHK14"/>
      <c r="AHL14"/>
      <c r="AHM14"/>
      <c r="AHN14"/>
      <c r="AHO14"/>
      <c r="AHP14"/>
      <c r="AHQ14"/>
      <c r="AHR14"/>
      <c r="AHS14"/>
      <c r="AHT14"/>
      <c r="AHU14"/>
      <c r="AHV14"/>
      <c r="AHW14"/>
      <c r="AHX14"/>
      <c r="AHY14"/>
      <c r="AHZ14"/>
      <c r="AIA14"/>
      <c r="AIB14"/>
      <c r="AIC14"/>
      <c r="AID14"/>
      <c r="AIE14"/>
      <c r="AIF14"/>
      <c r="AIG14"/>
      <c r="AIH14"/>
      <c r="AII14"/>
      <c r="AIJ14"/>
      <c r="AIK14"/>
      <c r="AIL14"/>
      <c r="AIM14"/>
      <c r="AIN14"/>
      <c r="AIO14"/>
      <c r="AIP14"/>
      <c r="AIQ14"/>
      <c r="AIR14"/>
      <c r="AIS14"/>
      <c r="AIT14"/>
      <c r="AIU14"/>
      <c r="AIV14"/>
      <c r="AIW14"/>
      <c r="AIX14"/>
      <c r="AIY14"/>
      <c r="AIZ14"/>
      <c r="AJA14"/>
      <c r="AJB14"/>
      <c r="AJC14"/>
      <c r="AJD14"/>
      <c r="AJE14"/>
      <c r="AJF14"/>
      <c r="AJG14"/>
      <c r="AJH14"/>
      <c r="AJI14"/>
      <c r="AJJ14"/>
      <c r="AJK14"/>
      <c r="AJL14"/>
      <c r="AJM14"/>
      <c r="AJN14"/>
      <c r="AJO14"/>
      <c r="AJP14"/>
      <c r="AJQ14"/>
      <c r="AJR14"/>
      <c r="AJS14"/>
      <c r="AJT14"/>
      <c r="AJU14"/>
      <c r="AJV14"/>
      <c r="AJW14"/>
      <c r="AJX14"/>
      <c r="AJY14"/>
      <c r="AJZ14"/>
      <c r="AKA14"/>
      <c r="AKB14"/>
      <c r="AKC14"/>
      <c r="AKD14"/>
      <c r="AKE14"/>
      <c r="AKF14"/>
      <c r="AKG14"/>
      <c r="AKH14"/>
      <c r="AKI14"/>
      <c r="AKJ14"/>
      <c r="AKK14"/>
      <c r="AKL14"/>
      <c r="AKM14"/>
      <c r="AKN14"/>
      <c r="AKO14"/>
      <c r="AKP14"/>
      <c r="AKQ14"/>
      <c r="AKR14"/>
      <c r="AKS14"/>
      <c r="AKT14"/>
      <c r="AKU14"/>
      <c r="AKV14"/>
      <c r="AKW14"/>
      <c r="AKX14"/>
      <c r="AKY14"/>
      <c r="AKZ14"/>
      <c r="ALA14"/>
      <c r="ALB14"/>
      <c r="ALC14"/>
      <c r="ALD14"/>
      <c r="ALE14"/>
      <c r="ALF14"/>
      <c r="ALG14"/>
      <c r="ALH14"/>
      <c r="ALI14"/>
      <c r="ALJ14"/>
      <c r="ALK14"/>
      <c r="ALL14"/>
      <c r="ALM14"/>
      <c r="ALN14"/>
      <c r="ALO14"/>
      <c r="ALP14"/>
      <c r="ALQ14"/>
      <c r="ALR14"/>
      <c r="ALS14"/>
      <c r="ALT14"/>
      <c r="ALU14"/>
      <c r="ALV14"/>
      <c r="ALW14"/>
      <c r="ALX14"/>
      <c r="ALY14"/>
      <c r="ALZ14"/>
      <c r="AMA14"/>
      <c r="AMB14"/>
      <c r="AMC14"/>
      <c r="AMD14"/>
      <c r="AME14"/>
      <c r="AMF14"/>
      <c r="AMG14"/>
      <c r="AMH14"/>
      <c r="AMI14"/>
      <c r="AMJ14"/>
      <c r="AMK14"/>
      <c r="AML14"/>
      <c r="AMM14"/>
      <c r="AMN14"/>
      <c r="AMO14"/>
      <c r="AMP14"/>
      <c r="AMQ14"/>
      <c r="AMR14"/>
      <c r="AMS14"/>
      <c r="AMT14"/>
      <c r="AMU14"/>
      <c r="AMV14"/>
      <c r="AMW14"/>
      <c r="AMX14"/>
      <c r="AMY14"/>
      <c r="AMZ14"/>
      <c r="ANA14"/>
      <c r="ANB14"/>
      <c r="ANC14"/>
      <c r="AND14"/>
      <c r="ANE14"/>
      <c r="ANF14"/>
      <c r="ANG14"/>
      <c r="ANH14"/>
      <c r="ANI14"/>
      <c r="ANJ14"/>
      <c r="ANK14"/>
      <c r="ANL14"/>
      <c r="ANM14"/>
      <c r="ANN14"/>
      <c r="ANO14"/>
    </row>
    <row r="15" spans="1:1055" s="36" customFormat="1" ht="15.75" thickBot="1" x14ac:dyDescent="0.3">
      <c r="A15" s="34" t="s">
        <v>37</v>
      </c>
      <c r="B15" s="35">
        <v>450</v>
      </c>
      <c r="C15" s="36">
        <v>450</v>
      </c>
      <c r="D15" s="36">
        <v>0</v>
      </c>
      <c r="E15" s="37">
        <v>0</v>
      </c>
      <c r="F15" s="35">
        <v>0</v>
      </c>
      <c r="G15" s="96">
        <v>0</v>
      </c>
      <c r="H15" s="96">
        <v>0</v>
      </c>
      <c r="I15" s="96">
        <v>0</v>
      </c>
      <c r="J15" s="97">
        <v>0</v>
      </c>
      <c r="K15" s="36">
        <v>0</v>
      </c>
      <c r="L15" s="38">
        <v>0</v>
      </c>
      <c r="M15" s="39">
        <v>2000</v>
      </c>
      <c r="N15" s="40">
        <v>0</v>
      </c>
      <c r="O15" s="35"/>
      <c r="Q15" s="38">
        <v>0</v>
      </c>
      <c r="R15" s="35">
        <v>0</v>
      </c>
      <c r="S15" s="38">
        <v>0</v>
      </c>
      <c r="T15" s="41">
        <v>0</v>
      </c>
      <c r="U15" s="42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6">
        <v>0</v>
      </c>
      <c r="AH15" s="36">
        <v>0</v>
      </c>
      <c r="AI15" s="36">
        <v>0</v>
      </c>
      <c r="AJ15" s="36">
        <v>0</v>
      </c>
      <c r="AK15" s="36">
        <v>0</v>
      </c>
      <c r="AL15" s="36">
        <v>0</v>
      </c>
      <c r="AM15" s="36">
        <v>0</v>
      </c>
      <c r="AN15" s="36">
        <v>0</v>
      </c>
      <c r="AO15" s="36">
        <v>0</v>
      </c>
      <c r="AP15" s="36">
        <v>0</v>
      </c>
      <c r="AQ15" s="36">
        <v>0</v>
      </c>
      <c r="AR15" s="38">
        <v>0</v>
      </c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  <c r="AHJ15"/>
      <c r="AHK15"/>
      <c r="AHL15"/>
      <c r="AHM15"/>
      <c r="AHN15"/>
      <c r="AHO15"/>
      <c r="AHP15"/>
      <c r="AHQ15"/>
      <c r="AHR15"/>
      <c r="AHS15"/>
      <c r="AHT15"/>
      <c r="AHU15"/>
      <c r="AHV15"/>
      <c r="AHW15"/>
      <c r="AHX15"/>
      <c r="AHY15"/>
      <c r="AHZ15"/>
      <c r="AIA15"/>
      <c r="AIB15"/>
      <c r="AIC15"/>
      <c r="AID15"/>
      <c r="AIE15"/>
      <c r="AIF15"/>
      <c r="AIG15"/>
      <c r="AIH15"/>
      <c r="AII15"/>
      <c r="AIJ15"/>
      <c r="AIK15"/>
      <c r="AIL15"/>
      <c r="AIM15"/>
      <c r="AIN15"/>
      <c r="AIO15"/>
      <c r="AIP15"/>
      <c r="AIQ15"/>
      <c r="AIR15"/>
      <c r="AIS15"/>
      <c r="AIT15"/>
      <c r="AIU15"/>
      <c r="AIV15"/>
      <c r="AIW15"/>
      <c r="AIX15"/>
      <c r="AIY15"/>
      <c r="AIZ15"/>
      <c r="AJA15"/>
      <c r="AJB15"/>
      <c r="AJC15"/>
      <c r="AJD15"/>
      <c r="AJE15"/>
      <c r="AJF15"/>
      <c r="AJG15"/>
      <c r="AJH15"/>
      <c r="AJI15"/>
      <c r="AJJ15"/>
      <c r="AJK15"/>
      <c r="AJL15"/>
      <c r="AJM15"/>
      <c r="AJN15"/>
      <c r="AJO15"/>
      <c r="AJP15"/>
      <c r="AJQ15"/>
      <c r="AJR15"/>
      <c r="AJS15"/>
      <c r="AJT15"/>
      <c r="AJU15"/>
      <c r="AJV15"/>
      <c r="AJW15"/>
      <c r="AJX15"/>
      <c r="AJY15"/>
      <c r="AJZ15"/>
      <c r="AKA15"/>
      <c r="AKB15"/>
      <c r="AKC15"/>
      <c r="AKD15"/>
      <c r="AKE15"/>
      <c r="AKF15"/>
      <c r="AKG15"/>
      <c r="AKH15"/>
      <c r="AKI15"/>
      <c r="AKJ15"/>
      <c r="AKK15"/>
      <c r="AKL15"/>
      <c r="AKM15"/>
      <c r="AKN15"/>
      <c r="AKO15"/>
      <c r="AKP15"/>
      <c r="AKQ15"/>
      <c r="AKR15"/>
      <c r="AKS15"/>
      <c r="AKT15"/>
      <c r="AKU15"/>
      <c r="AKV15"/>
      <c r="AKW15"/>
      <c r="AKX15"/>
      <c r="AKY15"/>
      <c r="AKZ15"/>
      <c r="ALA15"/>
      <c r="ALB15"/>
      <c r="ALC15"/>
      <c r="ALD15"/>
      <c r="ALE15"/>
      <c r="ALF15"/>
      <c r="ALG15"/>
      <c r="ALH15"/>
      <c r="ALI15"/>
      <c r="ALJ15"/>
      <c r="ALK15"/>
      <c r="ALL15"/>
      <c r="ALM15"/>
      <c r="ALN15"/>
      <c r="ALO15"/>
      <c r="ALP15"/>
      <c r="ALQ15"/>
      <c r="ALR15"/>
      <c r="ALS15"/>
      <c r="ALT15"/>
      <c r="ALU15"/>
      <c r="ALV15"/>
      <c r="ALW15"/>
      <c r="ALX15"/>
      <c r="ALY15"/>
      <c r="ALZ15"/>
      <c r="AMA15"/>
      <c r="AMB15"/>
      <c r="AMC15"/>
      <c r="AMD15"/>
      <c r="AME15"/>
      <c r="AMF15"/>
      <c r="AMG15"/>
      <c r="AMH15"/>
      <c r="AMI15"/>
      <c r="AMJ15"/>
      <c r="AMK15"/>
      <c r="AML15"/>
      <c r="AMM15"/>
      <c r="AMN15"/>
      <c r="AMO15"/>
      <c r="AMP15"/>
      <c r="AMQ15"/>
      <c r="AMR15"/>
      <c r="AMS15"/>
      <c r="AMT15"/>
      <c r="AMU15"/>
      <c r="AMV15"/>
      <c r="AMW15"/>
      <c r="AMX15"/>
      <c r="AMY15"/>
      <c r="AMZ15"/>
      <c r="ANA15"/>
      <c r="ANB15"/>
      <c r="ANC15"/>
      <c r="AND15"/>
      <c r="ANE15"/>
      <c r="ANF15"/>
      <c r="ANG15"/>
      <c r="ANH15"/>
      <c r="ANI15"/>
      <c r="ANJ15"/>
      <c r="ANK15"/>
      <c r="ANL15"/>
      <c r="ANM15"/>
      <c r="ANN15"/>
      <c r="ANO15"/>
    </row>
    <row r="16" spans="1:1055" s="36" customFormat="1" ht="15.75" thickBot="1" x14ac:dyDescent="0.3">
      <c r="A16" s="34" t="s">
        <v>38</v>
      </c>
      <c r="B16" s="35">
        <v>0</v>
      </c>
      <c r="C16" s="36">
        <v>0</v>
      </c>
      <c r="D16" s="36">
        <v>150</v>
      </c>
      <c r="E16" s="37">
        <v>150</v>
      </c>
      <c r="F16" s="35">
        <v>0</v>
      </c>
      <c r="G16" s="96">
        <v>0</v>
      </c>
      <c r="H16" s="96">
        <v>0</v>
      </c>
      <c r="I16" s="96">
        <v>0</v>
      </c>
      <c r="J16" s="97">
        <v>0</v>
      </c>
      <c r="K16" s="36">
        <v>0</v>
      </c>
      <c r="L16" s="38">
        <v>0</v>
      </c>
      <c r="M16" s="39">
        <v>120</v>
      </c>
      <c r="N16" s="40">
        <v>0</v>
      </c>
      <c r="O16" s="35"/>
      <c r="Q16" s="38">
        <v>0</v>
      </c>
      <c r="R16" s="35">
        <v>0</v>
      </c>
      <c r="S16" s="38">
        <v>0</v>
      </c>
      <c r="T16" s="41">
        <v>0</v>
      </c>
      <c r="U16" s="42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6">
        <v>0</v>
      </c>
      <c r="AH16" s="36">
        <v>0</v>
      </c>
      <c r="AI16" s="36">
        <v>0</v>
      </c>
      <c r="AJ16" s="36">
        <v>0</v>
      </c>
      <c r="AK16" s="36">
        <v>0</v>
      </c>
      <c r="AL16" s="36">
        <v>0</v>
      </c>
      <c r="AM16" s="36">
        <v>0</v>
      </c>
      <c r="AN16" s="36">
        <v>0</v>
      </c>
      <c r="AO16" s="36">
        <v>0</v>
      </c>
      <c r="AP16" s="36">
        <v>0</v>
      </c>
      <c r="AQ16" s="36">
        <v>0</v>
      </c>
      <c r="AR16" s="38">
        <v>0</v>
      </c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  <c r="LQ16"/>
      <c r="LR16"/>
      <c r="LS16"/>
      <c r="LT16"/>
      <c r="LU16"/>
      <c r="LV16"/>
      <c r="LW16"/>
      <c r="LX16"/>
      <c r="LY16"/>
      <c r="LZ16"/>
      <c r="MA16"/>
      <c r="MB16"/>
      <c r="MC16"/>
      <c r="MD16"/>
      <c r="ME16"/>
      <c r="MF16"/>
      <c r="MG16"/>
      <c r="MH16"/>
      <c r="MI16"/>
      <c r="MJ16"/>
      <c r="MK16"/>
      <c r="ML16"/>
      <c r="MM16"/>
      <c r="MN16"/>
      <c r="MO16"/>
      <c r="MP16"/>
      <c r="MQ16"/>
      <c r="MR16"/>
      <c r="MS16"/>
      <c r="MT16"/>
      <c r="MU16"/>
      <c r="MV16"/>
      <c r="MW16"/>
      <c r="MX16"/>
      <c r="MY16"/>
      <c r="MZ16"/>
      <c r="NA16"/>
      <c r="NB16"/>
      <c r="NC16"/>
      <c r="ND16"/>
      <c r="NE16"/>
      <c r="NF16"/>
      <c r="NG16"/>
      <c r="NH16"/>
      <c r="NI16"/>
      <c r="NJ16"/>
      <c r="NK16"/>
      <c r="NL16"/>
      <c r="NM16"/>
      <c r="NN16"/>
      <c r="NO16"/>
      <c r="NP16"/>
      <c r="NQ16"/>
      <c r="NR16"/>
      <c r="NS16"/>
      <c r="NT16"/>
      <c r="NU16"/>
      <c r="NV16"/>
      <c r="NW16"/>
      <c r="NX16"/>
      <c r="NY16"/>
      <c r="NZ16"/>
      <c r="OA16"/>
      <c r="OB16"/>
      <c r="OC16"/>
      <c r="OD16"/>
      <c r="OE16"/>
      <c r="OF16"/>
      <c r="OG16"/>
      <c r="OH16"/>
      <c r="OI16"/>
      <c r="OJ16"/>
      <c r="OK16"/>
      <c r="OL16"/>
      <c r="OM16"/>
      <c r="ON16"/>
      <c r="OO16"/>
      <c r="OP16"/>
      <c r="OQ16"/>
      <c r="OR16"/>
      <c r="OS16"/>
      <c r="OT16"/>
      <c r="OU16"/>
      <c r="OV16"/>
      <c r="OW16"/>
      <c r="OX16"/>
      <c r="OY16"/>
      <c r="OZ16"/>
      <c r="PA16"/>
      <c r="PB16"/>
      <c r="PC16"/>
      <c r="PD16"/>
      <c r="PE16"/>
      <c r="PF16"/>
      <c r="PG16"/>
      <c r="PH16"/>
      <c r="PI16"/>
      <c r="PJ16"/>
      <c r="PK16"/>
      <c r="PL16"/>
      <c r="PM16"/>
      <c r="PN16"/>
      <c r="PO16"/>
      <c r="PP16"/>
      <c r="PQ16"/>
      <c r="PR16"/>
      <c r="PS16"/>
      <c r="PT16"/>
      <c r="PU16"/>
      <c r="PV16"/>
      <c r="PW16"/>
      <c r="PX16"/>
      <c r="PY16"/>
      <c r="PZ16"/>
      <c r="QA16"/>
      <c r="QB16"/>
      <c r="QC16"/>
      <c r="QD16"/>
      <c r="QE16"/>
      <c r="QF16"/>
      <c r="QG16"/>
      <c r="QH16"/>
      <c r="QI16"/>
      <c r="QJ16"/>
      <c r="QK16"/>
      <c r="QL16"/>
      <c r="QM16"/>
      <c r="QN16"/>
      <c r="QO16"/>
      <c r="QP16"/>
      <c r="QQ16"/>
      <c r="QR16"/>
      <c r="QS16"/>
      <c r="QT16"/>
      <c r="QU16"/>
      <c r="QV16"/>
      <c r="QW16"/>
      <c r="QX16"/>
      <c r="QY16"/>
      <c r="QZ16"/>
      <c r="RA16"/>
      <c r="RB16"/>
      <c r="RC16"/>
      <c r="RD16"/>
      <c r="RE16"/>
      <c r="RF16"/>
      <c r="RG16"/>
      <c r="RH16"/>
      <c r="RI16"/>
      <c r="RJ16"/>
      <c r="RK16"/>
      <c r="RL16"/>
      <c r="RM16"/>
      <c r="RN16"/>
      <c r="RO16"/>
      <c r="RP16"/>
      <c r="RQ16"/>
      <c r="RR16"/>
      <c r="RS16"/>
      <c r="RT16"/>
      <c r="RU16"/>
      <c r="RV16"/>
      <c r="RW16"/>
      <c r="RX16"/>
      <c r="RY16"/>
      <c r="RZ16"/>
      <c r="SA16"/>
      <c r="SB16"/>
      <c r="SC16"/>
      <c r="SD16"/>
      <c r="SE16"/>
      <c r="SF16"/>
      <c r="SG16"/>
      <c r="SH16"/>
      <c r="SI16"/>
      <c r="SJ16"/>
      <c r="SK16"/>
      <c r="SL16"/>
      <c r="SM16"/>
      <c r="SN16"/>
      <c r="SO16"/>
      <c r="SP16"/>
      <c r="SQ16"/>
      <c r="SR16"/>
      <c r="SS16"/>
      <c r="ST16"/>
      <c r="SU16"/>
      <c r="SV16"/>
      <c r="SW16"/>
      <c r="SX16"/>
      <c r="SY16"/>
      <c r="SZ16"/>
      <c r="TA16"/>
      <c r="TB16"/>
      <c r="TC16"/>
      <c r="TD16"/>
      <c r="TE16"/>
      <c r="TF16"/>
      <c r="TG16"/>
      <c r="TH16"/>
      <c r="TI16"/>
      <c r="TJ16"/>
      <c r="TK16"/>
      <c r="TL16"/>
      <c r="TM16"/>
      <c r="TN16"/>
      <c r="TO16"/>
      <c r="TP16"/>
      <c r="TQ16"/>
      <c r="TR16"/>
      <c r="TS16"/>
      <c r="TT16"/>
      <c r="TU16"/>
      <c r="TV16"/>
      <c r="TW16"/>
      <c r="TX16"/>
      <c r="TY16"/>
      <c r="TZ16"/>
      <c r="UA16"/>
      <c r="UB16"/>
      <c r="UC16"/>
      <c r="UD16"/>
      <c r="UE16"/>
      <c r="UF16"/>
      <c r="UG16"/>
      <c r="UH16"/>
      <c r="UI16"/>
      <c r="UJ16"/>
      <c r="UK16"/>
      <c r="UL16"/>
      <c r="UM16"/>
      <c r="UN16"/>
      <c r="UO16"/>
      <c r="UP16"/>
      <c r="UQ16"/>
      <c r="UR16"/>
      <c r="US16"/>
      <c r="UT16"/>
      <c r="UU16"/>
      <c r="UV16"/>
      <c r="UW16"/>
      <c r="UX16"/>
      <c r="UY16"/>
      <c r="UZ16"/>
      <c r="VA16"/>
      <c r="VB16"/>
      <c r="VC16"/>
      <c r="VD16"/>
      <c r="VE16"/>
      <c r="VF16"/>
      <c r="VG16"/>
      <c r="VH16"/>
      <c r="VI16"/>
      <c r="VJ16"/>
      <c r="VK16"/>
      <c r="VL16"/>
      <c r="VM16"/>
      <c r="VN16"/>
      <c r="VO16"/>
      <c r="VP16"/>
      <c r="VQ16"/>
      <c r="VR16"/>
      <c r="VS16"/>
      <c r="VT16"/>
      <c r="VU16"/>
      <c r="VV16"/>
      <c r="VW16"/>
      <c r="VX16"/>
      <c r="VY16"/>
      <c r="VZ16"/>
      <c r="WA16"/>
      <c r="WB16"/>
      <c r="WC16"/>
      <c r="WD16"/>
      <c r="WE16"/>
      <c r="WF16"/>
      <c r="WG16"/>
      <c r="WH16"/>
      <c r="WI16"/>
      <c r="WJ16"/>
      <c r="WK16"/>
      <c r="WL16"/>
      <c r="WM16"/>
      <c r="WN16"/>
      <c r="WO16"/>
      <c r="WP16"/>
      <c r="WQ16"/>
      <c r="WR16"/>
      <c r="WS16"/>
      <c r="WT16"/>
      <c r="WU16"/>
      <c r="WV16"/>
      <c r="WW16"/>
      <c r="WX16"/>
      <c r="WY16"/>
      <c r="WZ16"/>
      <c r="XA16"/>
      <c r="XB16"/>
      <c r="XC16"/>
      <c r="XD16"/>
      <c r="XE16"/>
      <c r="XF16"/>
      <c r="XG16"/>
      <c r="XH16"/>
      <c r="XI16"/>
      <c r="XJ16"/>
      <c r="XK16"/>
      <c r="XL16"/>
      <c r="XM16"/>
      <c r="XN16"/>
      <c r="XO16"/>
      <c r="XP16"/>
      <c r="XQ16"/>
      <c r="XR16"/>
      <c r="XS16"/>
      <c r="XT16"/>
      <c r="XU16"/>
      <c r="XV16"/>
      <c r="XW16"/>
      <c r="XX16"/>
      <c r="XY16"/>
      <c r="XZ16"/>
      <c r="YA16"/>
      <c r="YB16"/>
      <c r="YC16"/>
      <c r="YD16"/>
      <c r="YE16"/>
      <c r="YF16"/>
      <c r="YG16"/>
      <c r="YH16"/>
      <c r="YI16"/>
      <c r="YJ16"/>
      <c r="YK16"/>
      <c r="YL16"/>
      <c r="YM16"/>
      <c r="YN16"/>
      <c r="YO16"/>
      <c r="YP16"/>
      <c r="YQ16"/>
      <c r="YR16"/>
      <c r="YS16"/>
      <c r="YT16"/>
      <c r="YU16"/>
      <c r="YV16"/>
      <c r="YW16"/>
      <c r="YX16"/>
      <c r="YY16"/>
      <c r="YZ16"/>
      <c r="ZA16"/>
      <c r="ZB16"/>
      <c r="ZC16"/>
      <c r="ZD16"/>
      <c r="ZE16"/>
      <c r="ZF16"/>
      <c r="ZG16"/>
      <c r="ZH16"/>
      <c r="ZI16"/>
      <c r="ZJ16"/>
      <c r="ZK16"/>
      <c r="ZL16"/>
      <c r="ZM16"/>
      <c r="ZN16"/>
      <c r="ZO16"/>
      <c r="ZP16"/>
      <c r="ZQ16"/>
      <c r="ZR16"/>
      <c r="ZS16"/>
      <c r="ZT16"/>
      <c r="ZU16"/>
      <c r="ZV16"/>
      <c r="ZW16"/>
      <c r="ZX16"/>
      <c r="ZY16"/>
      <c r="ZZ16"/>
      <c r="AAA16"/>
      <c r="AAB16"/>
      <c r="AAC16"/>
      <c r="AAD16"/>
      <c r="AAE16"/>
      <c r="AAF16"/>
      <c r="AAG16"/>
      <c r="AAH16"/>
      <c r="AAI16"/>
      <c r="AAJ16"/>
      <c r="AAK16"/>
      <c r="AAL16"/>
      <c r="AAM16"/>
      <c r="AAN16"/>
      <c r="AAO16"/>
      <c r="AAP16"/>
      <c r="AAQ16"/>
      <c r="AAR16"/>
      <c r="AAS16"/>
      <c r="AAT16"/>
      <c r="AAU16"/>
      <c r="AAV16"/>
      <c r="AAW16"/>
      <c r="AAX16"/>
      <c r="AAY16"/>
      <c r="AAZ16"/>
      <c r="ABA16"/>
      <c r="ABB16"/>
      <c r="ABC16"/>
      <c r="ABD16"/>
      <c r="ABE16"/>
      <c r="ABF16"/>
      <c r="ABG16"/>
      <c r="ABH16"/>
      <c r="ABI16"/>
      <c r="ABJ16"/>
      <c r="ABK16"/>
      <c r="ABL16"/>
      <c r="ABM16"/>
      <c r="ABN16"/>
      <c r="ABO16"/>
      <c r="ABP16"/>
      <c r="ABQ16"/>
      <c r="ABR16"/>
      <c r="ABS16"/>
      <c r="ABT16"/>
      <c r="ABU16"/>
      <c r="ABV16"/>
      <c r="ABW16"/>
      <c r="ABX16"/>
      <c r="ABY16"/>
      <c r="ABZ16"/>
      <c r="ACA16"/>
      <c r="ACB16"/>
      <c r="ACC16"/>
      <c r="ACD16"/>
      <c r="ACE16"/>
      <c r="ACF16"/>
      <c r="ACG16"/>
      <c r="ACH16"/>
      <c r="ACI16"/>
      <c r="ACJ16"/>
      <c r="ACK16"/>
      <c r="ACL16"/>
      <c r="ACM16"/>
      <c r="ACN16"/>
      <c r="ACO16"/>
      <c r="ACP16"/>
      <c r="ACQ16"/>
      <c r="ACR16"/>
      <c r="ACS16"/>
      <c r="ACT16"/>
      <c r="ACU16"/>
      <c r="ACV16"/>
      <c r="ACW16"/>
      <c r="ACX16"/>
      <c r="ACY16"/>
      <c r="ACZ16"/>
      <c r="ADA16"/>
      <c r="ADB16"/>
      <c r="ADC16"/>
      <c r="ADD16"/>
      <c r="ADE16"/>
      <c r="ADF16"/>
      <c r="ADG16"/>
      <c r="ADH16"/>
      <c r="ADI16"/>
      <c r="ADJ16"/>
      <c r="ADK16"/>
      <c r="ADL16"/>
      <c r="ADM16"/>
      <c r="ADN16"/>
      <c r="ADO16"/>
      <c r="ADP16"/>
      <c r="ADQ16"/>
      <c r="ADR16"/>
      <c r="ADS16"/>
      <c r="ADT16"/>
      <c r="ADU16"/>
      <c r="ADV16"/>
      <c r="ADW16"/>
      <c r="ADX16"/>
      <c r="ADY16"/>
      <c r="ADZ16"/>
      <c r="AEA16"/>
      <c r="AEB16"/>
      <c r="AEC16"/>
      <c r="AED16"/>
      <c r="AEE16"/>
      <c r="AEF16"/>
      <c r="AEG16"/>
      <c r="AEH16"/>
      <c r="AEI16"/>
      <c r="AEJ16"/>
      <c r="AEK16"/>
      <c r="AEL16"/>
      <c r="AEM16"/>
      <c r="AEN16"/>
      <c r="AEO16"/>
      <c r="AEP16"/>
      <c r="AEQ16"/>
      <c r="AER16"/>
      <c r="AES16"/>
      <c r="AET16"/>
      <c r="AEU16"/>
      <c r="AEV16"/>
      <c r="AEW16"/>
      <c r="AEX16"/>
      <c r="AEY16"/>
      <c r="AEZ16"/>
      <c r="AFA16"/>
      <c r="AFB16"/>
      <c r="AFC16"/>
      <c r="AFD16"/>
      <c r="AFE16"/>
      <c r="AFF16"/>
      <c r="AFG16"/>
      <c r="AFH16"/>
      <c r="AFI16"/>
      <c r="AFJ16"/>
      <c r="AFK16"/>
      <c r="AFL16"/>
      <c r="AFM16"/>
      <c r="AFN16"/>
      <c r="AFO16"/>
      <c r="AFP16"/>
      <c r="AFQ16"/>
      <c r="AFR16"/>
      <c r="AFS16"/>
      <c r="AFT16"/>
      <c r="AFU16"/>
      <c r="AFV16"/>
      <c r="AFW16"/>
      <c r="AFX16"/>
      <c r="AFY16"/>
      <c r="AFZ16"/>
      <c r="AGA16"/>
      <c r="AGB16"/>
      <c r="AGC16"/>
      <c r="AGD16"/>
      <c r="AGE16"/>
      <c r="AGF16"/>
      <c r="AGG16"/>
      <c r="AGH16"/>
      <c r="AGI16"/>
      <c r="AGJ16"/>
      <c r="AGK16"/>
      <c r="AGL16"/>
      <c r="AGM16"/>
      <c r="AGN16"/>
      <c r="AGO16"/>
      <c r="AGP16"/>
      <c r="AGQ16"/>
      <c r="AGR16"/>
      <c r="AGS16"/>
      <c r="AGT16"/>
      <c r="AGU16"/>
      <c r="AGV16"/>
      <c r="AGW16"/>
      <c r="AGX16"/>
      <c r="AGY16"/>
      <c r="AGZ16"/>
      <c r="AHA16"/>
      <c r="AHB16"/>
      <c r="AHC16"/>
      <c r="AHD16"/>
      <c r="AHE16"/>
      <c r="AHF16"/>
      <c r="AHG16"/>
      <c r="AHH16"/>
      <c r="AHI16"/>
      <c r="AHJ16"/>
      <c r="AHK16"/>
      <c r="AHL16"/>
      <c r="AHM16"/>
      <c r="AHN16"/>
      <c r="AHO16"/>
      <c r="AHP16"/>
      <c r="AHQ16"/>
      <c r="AHR16"/>
      <c r="AHS16"/>
      <c r="AHT16"/>
      <c r="AHU16"/>
      <c r="AHV16"/>
      <c r="AHW16"/>
      <c r="AHX16"/>
      <c r="AHY16"/>
      <c r="AHZ16"/>
      <c r="AIA16"/>
      <c r="AIB16"/>
      <c r="AIC16"/>
      <c r="AID16"/>
      <c r="AIE16"/>
      <c r="AIF16"/>
      <c r="AIG16"/>
      <c r="AIH16"/>
      <c r="AII16"/>
      <c r="AIJ16"/>
      <c r="AIK16"/>
      <c r="AIL16"/>
      <c r="AIM16"/>
      <c r="AIN16"/>
      <c r="AIO16"/>
      <c r="AIP16"/>
      <c r="AIQ16"/>
      <c r="AIR16"/>
      <c r="AIS16"/>
      <c r="AIT16"/>
      <c r="AIU16"/>
      <c r="AIV16"/>
      <c r="AIW16"/>
      <c r="AIX16"/>
      <c r="AIY16"/>
      <c r="AIZ16"/>
      <c r="AJA16"/>
      <c r="AJB16"/>
      <c r="AJC16"/>
      <c r="AJD16"/>
      <c r="AJE16"/>
      <c r="AJF16"/>
      <c r="AJG16"/>
      <c r="AJH16"/>
      <c r="AJI16"/>
      <c r="AJJ16"/>
      <c r="AJK16"/>
      <c r="AJL16"/>
      <c r="AJM16"/>
      <c r="AJN16"/>
      <c r="AJO16"/>
      <c r="AJP16"/>
      <c r="AJQ16"/>
      <c r="AJR16"/>
      <c r="AJS16"/>
      <c r="AJT16"/>
      <c r="AJU16"/>
      <c r="AJV16"/>
      <c r="AJW16"/>
      <c r="AJX16"/>
      <c r="AJY16"/>
      <c r="AJZ16"/>
      <c r="AKA16"/>
      <c r="AKB16"/>
      <c r="AKC16"/>
      <c r="AKD16"/>
      <c r="AKE16"/>
      <c r="AKF16"/>
      <c r="AKG16"/>
      <c r="AKH16"/>
      <c r="AKI16"/>
      <c r="AKJ16"/>
      <c r="AKK16"/>
      <c r="AKL16"/>
      <c r="AKM16"/>
      <c r="AKN16"/>
      <c r="AKO16"/>
      <c r="AKP16"/>
      <c r="AKQ16"/>
      <c r="AKR16"/>
      <c r="AKS16"/>
      <c r="AKT16"/>
      <c r="AKU16"/>
      <c r="AKV16"/>
      <c r="AKW16"/>
      <c r="AKX16"/>
      <c r="AKY16"/>
      <c r="AKZ16"/>
      <c r="ALA16"/>
      <c r="ALB16"/>
      <c r="ALC16"/>
      <c r="ALD16"/>
      <c r="ALE16"/>
      <c r="ALF16"/>
      <c r="ALG16"/>
      <c r="ALH16"/>
      <c r="ALI16"/>
      <c r="ALJ16"/>
      <c r="ALK16"/>
      <c r="ALL16"/>
      <c r="ALM16"/>
      <c r="ALN16"/>
      <c r="ALO16"/>
      <c r="ALP16"/>
      <c r="ALQ16"/>
      <c r="ALR16"/>
      <c r="ALS16"/>
      <c r="ALT16"/>
      <c r="ALU16"/>
      <c r="ALV16"/>
      <c r="ALW16"/>
      <c r="ALX16"/>
      <c r="ALY16"/>
      <c r="ALZ16"/>
      <c r="AMA16"/>
      <c r="AMB16"/>
      <c r="AMC16"/>
      <c r="AMD16"/>
      <c r="AME16"/>
      <c r="AMF16"/>
      <c r="AMG16"/>
      <c r="AMH16"/>
      <c r="AMI16"/>
      <c r="AMJ16"/>
      <c r="AMK16"/>
      <c r="AML16"/>
      <c r="AMM16"/>
      <c r="AMN16"/>
      <c r="AMO16"/>
      <c r="AMP16"/>
      <c r="AMQ16"/>
      <c r="AMR16"/>
      <c r="AMS16"/>
      <c r="AMT16"/>
      <c r="AMU16"/>
      <c r="AMV16"/>
      <c r="AMW16"/>
      <c r="AMX16"/>
      <c r="AMY16"/>
      <c r="AMZ16"/>
      <c r="ANA16"/>
      <c r="ANB16"/>
      <c r="ANC16"/>
      <c r="AND16"/>
      <c r="ANE16"/>
      <c r="ANF16"/>
      <c r="ANG16"/>
      <c r="ANH16"/>
      <c r="ANI16"/>
      <c r="ANJ16"/>
      <c r="ANK16"/>
      <c r="ANL16"/>
      <c r="ANM16"/>
      <c r="ANN16"/>
      <c r="ANO16"/>
    </row>
    <row r="17" spans="1:1055" s="36" customFormat="1" ht="15.75" thickBot="1" x14ac:dyDescent="0.3">
      <c r="A17" s="34" t="s">
        <v>39</v>
      </c>
      <c r="B17" s="35">
        <v>6090</v>
      </c>
      <c r="C17" s="36">
        <v>3800</v>
      </c>
      <c r="D17" s="36">
        <v>0</v>
      </c>
      <c r="E17" s="37">
        <v>310</v>
      </c>
      <c r="F17" s="35">
        <v>0</v>
      </c>
      <c r="G17" s="96">
        <v>0</v>
      </c>
      <c r="H17" s="96">
        <v>0</v>
      </c>
      <c r="I17" s="96">
        <v>0</v>
      </c>
      <c r="J17" s="97">
        <v>0</v>
      </c>
      <c r="K17" s="36">
        <v>1140</v>
      </c>
      <c r="L17" s="38">
        <v>0</v>
      </c>
      <c r="M17" s="39">
        <v>28</v>
      </c>
      <c r="N17" s="40">
        <v>0</v>
      </c>
      <c r="O17" s="35"/>
      <c r="Q17" s="38">
        <v>0</v>
      </c>
      <c r="R17" s="35">
        <v>0</v>
      </c>
      <c r="S17" s="38">
        <v>0</v>
      </c>
      <c r="T17" s="41">
        <v>0</v>
      </c>
      <c r="U17" s="42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6">
        <v>0</v>
      </c>
      <c r="AH17" s="36">
        <v>0</v>
      </c>
      <c r="AI17" s="36">
        <v>0</v>
      </c>
      <c r="AJ17" s="36">
        <v>0</v>
      </c>
      <c r="AK17" s="36">
        <v>0</v>
      </c>
      <c r="AL17" s="36">
        <v>0</v>
      </c>
      <c r="AM17" s="36">
        <v>0</v>
      </c>
      <c r="AN17" s="36">
        <v>0</v>
      </c>
      <c r="AO17" s="36">
        <v>0</v>
      </c>
      <c r="AP17" s="36">
        <v>0</v>
      </c>
      <c r="AQ17" s="36">
        <v>0</v>
      </c>
      <c r="AR17" s="38">
        <v>0</v>
      </c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  <c r="AFX17"/>
      <c r="AFY17"/>
      <c r="AFZ17"/>
      <c r="AGA17"/>
      <c r="AGB17"/>
      <c r="AGC17"/>
      <c r="AGD17"/>
      <c r="AGE17"/>
      <c r="AGF17"/>
      <c r="AGG17"/>
      <c r="AGH17"/>
      <c r="AGI17"/>
      <c r="AGJ17"/>
      <c r="AGK17"/>
      <c r="AGL17"/>
      <c r="AGM17"/>
      <c r="AGN17"/>
      <c r="AGO17"/>
      <c r="AGP17"/>
      <c r="AGQ17"/>
      <c r="AGR17"/>
      <c r="AGS17"/>
      <c r="AGT17"/>
      <c r="AGU17"/>
      <c r="AGV17"/>
      <c r="AGW17"/>
      <c r="AGX17"/>
      <c r="AGY17"/>
      <c r="AGZ17"/>
      <c r="AHA17"/>
      <c r="AHB17"/>
      <c r="AHC17"/>
      <c r="AHD17"/>
      <c r="AHE17"/>
      <c r="AHF17"/>
      <c r="AHG17"/>
      <c r="AHH17"/>
      <c r="AHI17"/>
      <c r="AHJ17"/>
      <c r="AHK17"/>
      <c r="AHL17"/>
      <c r="AHM17"/>
      <c r="AHN17"/>
      <c r="AHO17"/>
      <c r="AHP17"/>
      <c r="AHQ17"/>
      <c r="AHR17"/>
      <c r="AHS17"/>
      <c r="AHT17"/>
      <c r="AHU17"/>
      <c r="AHV17"/>
      <c r="AHW17"/>
      <c r="AHX17"/>
      <c r="AHY17"/>
      <c r="AHZ17"/>
      <c r="AIA17"/>
      <c r="AIB17"/>
      <c r="AIC17"/>
      <c r="AID17"/>
      <c r="AIE17"/>
      <c r="AIF17"/>
      <c r="AIG17"/>
      <c r="AIH17"/>
      <c r="AII17"/>
      <c r="AIJ17"/>
      <c r="AIK17"/>
      <c r="AIL17"/>
      <c r="AIM17"/>
      <c r="AIN17"/>
      <c r="AIO17"/>
      <c r="AIP17"/>
      <c r="AIQ17"/>
      <c r="AIR17"/>
      <c r="AIS17"/>
      <c r="AIT17"/>
      <c r="AIU17"/>
      <c r="AIV17"/>
      <c r="AIW17"/>
      <c r="AIX17"/>
      <c r="AIY17"/>
      <c r="AIZ17"/>
      <c r="AJA17"/>
      <c r="AJB17"/>
      <c r="AJC17"/>
      <c r="AJD17"/>
      <c r="AJE17"/>
      <c r="AJF17"/>
      <c r="AJG17"/>
      <c r="AJH17"/>
      <c r="AJI17"/>
      <c r="AJJ17"/>
      <c r="AJK17"/>
      <c r="AJL17"/>
      <c r="AJM17"/>
      <c r="AJN17"/>
      <c r="AJO17"/>
      <c r="AJP17"/>
      <c r="AJQ17"/>
      <c r="AJR17"/>
      <c r="AJS17"/>
      <c r="AJT17"/>
      <c r="AJU17"/>
      <c r="AJV17"/>
      <c r="AJW17"/>
      <c r="AJX17"/>
      <c r="AJY17"/>
      <c r="AJZ17"/>
      <c r="AKA17"/>
      <c r="AKB17"/>
      <c r="AKC17"/>
      <c r="AKD17"/>
      <c r="AKE17"/>
      <c r="AKF17"/>
      <c r="AKG17"/>
      <c r="AKH17"/>
      <c r="AKI17"/>
      <c r="AKJ17"/>
      <c r="AKK17"/>
      <c r="AKL17"/>
      <c r="AKM17"/>
      <c r="AKN17"/>
      <c r="AKO17"/>
      <c r="AKP17"/>
      <c r="AKQ17"/>
      <c r="AKR17"/>
      <c r="AKS17"/>
      <c r="AKT17"/>
      <c r="AKU17"/>
      <c r="AKV17"/>
      <c r="AKW17"/>
      <c r="AKX17"/>
      <c r="AKY17"/>
      <c r="AKZ17"/>
      <c r="ALA17"/>
      <c r="ALB17"/>
      <c r="ALC17"/>
      <c r="ALD17"/>
      <c r="ALE17"/>
      <c r="ALF17"/>
      <c r="ALG17"/>
      <c r="ALH17"/>
      <c r="ALI17"/>
      <c r="ALJ17"/>
      <c r="ALK17"/>
      <c r="ALL17"/>
      <c r="ALM17"/>
      <c r="ALN17"/>
      <c r="ALO17"/>
      <c r="ALP17"/>
      <c r="ALQ17"/>
      <c r="ALR17"/>
      <c r="ALS17"/>
      <c r="ALT17"/>
      <c r="ALU17"/>
      <c r="ALV17"/>
      <c r="ALW17"/>
      <c r="ALX17"/>
      <c r="ALY17"/>
      <c r="ALZ17"/>
      <c r="AMA17"/>
      <c r="AMB17"/>
      <c r="AMC17"/>
      <c r="AMD17"/>
      <c r="AME17"/>
      <c r="AMF17"/>
      <c r="AMG17"/>
      <c r="AMH17"/>
      <c r="AMI17"/>
      <c r="AMJ17"/>
      <c r="AMK17"/>
      <c r="AML17"/>
      <c r="AMM17"/>
      <c r="AMN17"/>
      <c r="AMO17"/>
      <c r="AMP17"/>
      <c r="AMQ17"/>
      <c r="AMR17"/>
      <c r="AMS17"/>
      <c r="AMT17"/>
      <c r="AMU17"/>
      <c r="AMV17"/>
      <c r="AMW17"/>
      <c r="AMX17"/>
      <c r="AMY17"/>
      <c r="AMZ17"/>
      <c r="ANA17"/>
      <c r="ANB17"/>
      <c r="ANC17"/>
      <c r="AND17"/>
      <c r="ANE17"/>
      <c r="ANF17"/>
      <c r="ANG17"/>
      <c r="ANH17"/>
      <c r="ANI17"/>
      <c r="ANJ17"/>
      <c r="ANK17"/>
      <c r="ANL17"/>
      <c r="ANM17"/>
      <c r="ANN17"/>
      <c r="ANO17"/>
    </row>
    <row r="18" spans="1:1055" s="36" customFormat="1" ht="15.75" thickBot="1" x14ac:dyDescent="0.3">
      <c r="A18" s="34" t="s">
        <v>40</v>
      </c>
      <c r="B18" s="35">
        <v>0</v>
      </c>
      <c r="C18" s="36">
        <v>0</v>
      </c>
      <c r="D18" s="36">
        <v>0</v>
      </c>
      <c r="E18" s="37">
        <v>2500</v>
      </c>
      <c r="F18" s="35">
        <v>0</v>
      </c>
      <c r="G18" s="96">
        <v>0</v>
      </c>
      <c r="H18" s="96">
        <v>0</v>
      </c>
      <c r="I18" s="96">
        <v>0</v>
      </c>
      <c r="J18" s="97">
        <v>0</v>
      </c>
      <c r="K18" s="36">
        <v>0</v>
      </c>
      <c r="L18" s="38">
        <v>0</v>
      </c>
      <c r="M18" s="39">
        <v>28</v>
      </c>
      <c r="N18" s="40">
        <v>0</v>
      </c>
      <c r="O18" s="35"/>
      <c r="Q18" s="38">
        <v>0</v>
      </c>
      <c r="R18" s="35">
        <v>0</v>
      </c>
      <c r="S18" s="38">
        <v>0</v>
      </c>
      <c r="T18" s="41">
        <v>0</v>
      </c>
      <c r="U18" s="42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  <c r="AB18" s="36">
        <v>0</v>
      </c>
      <c r="AC18" s="36">
        <v>0</v>
      </c>
      <c r="AD18" s="36">
        <v>0</v>
      </c>
      <c r="AE18" s="36">
        <v>0</v>
      </c>
      <c r="AF18" s="36">
        <v>0</v>
      </c>
      <c r="AG18" s="36">
        <v>0</v>
      </c>
      <c r="AH18" s="36">
        <v>0</v>
      </c>
      <c r="AI18" s="36">
        <v>0</v>
      </c>
      <c r="AJ18" s="36">
        <v>0</v>
      </c>
      <c r="AK18" s="36">
        <v>0</v>
      </c>
      <c r="AL18" s="36">
        <v>0</v>
      </c>
      <c r="AM18" s="36">
        <v>0</v>
      </c>
      <c r="AN18" s="36">
        <v>0</v>
      </c>
      <c r="AO18" s="36">
        <v>0</v>
      </c>
      <c r="AP18" s="36">
        <v>0</v>
      </c>
      <c r="AQ18" s="36">
        <v>0</v>
      </c>
      <c r="AR18" s="38">
        <v>0</v>
      </c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</row>
    <row r="19" spans="1:1055" s="36" customFormat="1" ht="15.75" thickBot="1" x14ac:dyDescent="0.3">
      <c r="A19" s="34" t="s">
        <v>41</v>
      </c>
      <c r="B19" s="35">
        <v>0</v>
      </c>
      <c r="C19" s="36">
        <v>0</v>
      </c>
      <c r="D19" s="36">
        <v>0.3</v>
      </c>
      <c r="E19" s="37">
        <v>0</v>
      </c>
      <c r="F19" s="35">
        <v>0</v>
      </c>
      <c r="G19" s="96">
        <v>0</v>
      </c>
      <c r="H19" s="96">
        <v>0</v>
      </c>
      <c r="I19" s="96">
        <v>0</v>
      </c>
      <c r="J19" s="97">
        <v>0</v>
      </c>
      <c r="K19" s="36">
        <v>0</v>
      </c>
      <c r="L19" s="38">
        <v>0</v>
      </c>
      <c r="M19" s="39">
        <v>218</v>
      </c>
      <c r="N19" s="40">
        <v>0</v>
      </c>
      <c r="O19" s="35"/>
      <c r="Q19" s="38">
        <v>5.0000000000000001E-3</v>
      </c>
      <c r="R19" s="35">
        <v>5.1999999999999998E-3</v>
      </c>
      <c r="S19" s="38">
        <v>1</v>
      </c>
      <c r="T19" s="41">
        <v>10.1109898130647</v>
      </c>
      <c r="U19" s="42">
        <v>-434.34489379048</v>
      </c>
      <c r="V19" s="36">
        <v>35</v>
      </c>
      <c r="W19" s="36">
        <v>35</v>
      </c>
      <c r="X19" s="36">
        <v>63</v>
      </c>
      <c r="Y19" s="36">
        <v>54</v>
      </c>
      <c r="Z19" s="36">
        <v>60</v>
      </c>
      <c r="AA19" s="36">
        <v>75</v>
      </c>
      <c r="AB19" s="36">
        <v>100</v>
      </c>
      <c r="AC19" s="36">
        <v>75</v>
      </c>
      <c r="AD19" s="36">
        <v>64</v>
      </c>
      <c r="AE19" s="36">
        <v>69</v>
      </c>
      <c r="AF19" s="36">
        <v>60</v>
      </c>
      <c r="AG19" s="36">
        <v>69</v>
      </c>
      <c r="AH19" s="36">
        <v>80</v>
      </c>
      <c r="AI19" s="36">
        <v>80</v>
      </c>
      <c r="AJ19" s="36">
        <v>111</v>
      </c>
      <c r="AK19" s="36">
        <v>69</v>
      </c>
      <c r="AL19" s="36">
        <v>172</v>
      </c>
      <c r="AM19" s="36">
        <v>282</v>
      </c>
      <c r="AN19" s="36">
        <v>373</v>
      </c>
      <c r="AO19" s="36">
        <v>340</v>
      </c>
      <c r="AP19" s="36">
        <v>415</v>
      </c>
      <c r="AQ19" s="36">
        <v>440</v>
      </c>
      <c r="AR19" s="38">
        <v>345</v>
      </c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  <c r="AFX19"/>
      <c r="AFY19"/>
      <c r="AFZ19"/>
      <c r="AGA19"/>
      <c r="AGB19"/>
      <c r="AGC19"/>
      <c r="AGD19"/>
      <c r="AGE19"/>
      <c r="AGF19"/>
      <c r="AGG19"/>
      <c r="AGH19"/>
      <c r="AGI19"/>
      <c r="AGJ19"/>
      <c r="AGK19"/>
      <c r="AGL19"/>
      <c r="AGM19"/>
      <c r="AGN19"/>
      <c r="AGO19"/>
      <c r="AGP19"/>
      <c r="AGQ19"/>
      <c r="AGR19"/>
      <c r="AGS19"/>
      <c r="AGT19"/>
      <c r="AGU19"/>
      <c r="AGV19"/>
      <c r="AGW19"/>
      <c r="AGX19"/>
      <c r="AGY19"/>
      <c r="AGZ19"/>
      <c r="AHA19"/>
      <c r="AHB19"/>
      <c r="AHC19"/>
      <c r="AHD19"/>
      <c r="AHE19"/>
      <c r="AHF19"/>
      <c r="AHG19"/>
      <c r="AHH19"/>
      <c r="AHI19"/>
      <c r="AHJ19"/>
      <c r="AHK19"/>
      <c r="AHL19"/>
      <c r="AHM19"/>
      <c r="AHN19"/>
      <c r="AHO19"/>
      <c r="AHP19"/>
      <c r="AHQ19"/>
      <c r="AHR19"/>
      <c r="AHS19"/>
      <c r="AHT19"/>
      <c r="AHU19"/>
      <c r="AHV19"/>
      <c r="AHW19"/>
      <c r="AHX19"/>
      <c r="AHY19"/>
      <c r="AHZ19"/>
      <c r="AIA19"/>
      <c r="AIB19"/>
      <c r="AIC19"/>
      <c r="AID19"/>
      <c r="AIE19"/>
      <c r="AIF19"/>
      <c r="AIG19"/>
      <c r="AIH19"/>
      <c r="AII19"/>
      <c r="AIJ19"/>
      <c r="AIK19"/>
      <c r="AIL19"/>
      <c r="AIM19"/>
      <c r="AIN19"/>
      <c r="AIO19"/>
      <c r="AIP19"/>
      <c r="AIQ19"/>
      <c r="AIR19"/>
      <c r="AIS19"/>
      <c r="AIT19"/>
      <c r="AIU19"/>
      <c r="AIV19"/>
      <c r="AIW19"/>
      <c r="AIX19"/>
      <c r="AIY19"/>
      <c r="AIZ19"/>
      <c r="AJA19"/>
      <c r="AJB19"/>
      <c r="AJC19"/>
      <c r="AJD19"/>
      <c r="AJE19"/>
      <c r="AJF19"/>
      <c r="AJG19"/>
      <c r="AJH19"/>
      <c r="AJI19"/>
      <c r="AJJ19"/>
      <c r="AJK19"/>
      <c r="AJL19"/>
      <c r="AJM19"/>
      <c r="AJN19"/>
      <c r="AJO19"/>
      <c r="AJP19"/>
      <c r="AJQ19"/>
      <c r="AJR19"/>
      <c r="AJS19"/>
      <c r="AJT19"/>
      <c r="AJU19"/>
      <c r="AJV19"/>
      <c r="AJW19"/>
      <c r="AJX19"/>
      <c r="AJY19"/>
      <c r="AJZ19"/>
      <c r="AKA19"/>
      <c r="AKB19"/>
      <c r="AKC19"/>
      <c r="AKD19"/>
      <c r="AKE19"/>
      <c r="AKF19"/>
      <c r="AKG19"/>
      <c r="AKH19"/>
      <c r="AKI19"/>
      <c r="AKJ19"/>
      <c r="AKK19"/>
      <c r="AKL19"/>
      <c r="AKM19"/>
      <c r="AKN19"/>
      <c r="AKO19"/>
      <c r="AKP19"/>
      <c r="AKQ19"/>
      <c r="AKR19"/>
      <c r="AKS19"/>
      <c r="AKT19"/>
      <c r="AKU19"/>
      <c r="AKV19"/>
      <c r="AKW19"/>
      <c r="AKX19"/>
      <c r="AKY19"/>
      <c r="AKZ19"/>
      <c r="ALA19"/>
      <c r="ALB19"/>
      <c r="ALC19"/>
      <c r="ALD19"/>
      <c r="ALE19"/>
      <c r="ALF19"/>
      <c r="ALG19"/>
      <c r="ALH19"/>
      <c r="ALI19"/>
      <c r="ALJ19"/>
      <c r="ALK19"/>
      <c r="ALL19"/>
      <c r="ALM19"/>
      <c r="ALN19"/>
      <c r="ALO19"/>
      <c r="ALP19"/>
      <c r="ALQ19"/>
      <c r="ALR19"/>
      <c r="ALS19"/>
      <c r="ALT19"/>
      <c r="ALU19"/>
      <c r="ALV19"/>
      <c r="ALW19"/>
      <c r="ALX19"/>
      <c r="ALY19"/>
      <c r="ALZ19"/>
      <c r="AMA19"/>
      <c r="AMB19"/>
      <c r="AMC19"/>
      <c r="AMD19"/>
      <c r="AME19"/>
      <c r="AMF19"/>
      <c r="AMG19"/>
      <c r="AMH19"/>
      <c r="AMI19"/>
      <c r="AMJ19"/>
      <c r="AMK19"/>
      <c r="AML19"/>
      <c r="AMM19"/>
      <c r="AMN19"/>
      <c r="AMO19"/>
      <c r="AMP19"/>
      <c r="AMQ19"/>
      <c r="AMR19"/>
      <c r="AMS19"/>
      <c r="AMT19"/>
      <c r="AMU19"/>
      <c r="AMV19"/>
      <c r="AMW19"/>
      <c r="AMX19"/>
      <c r="AMY19"/>
      <c r="AMZ19"/>
      <c r="ANA19"/>
      <c r="ANB19"/>
      <c r="ANC19"/>
      <c r="AND19"/>
      <c r="ANE19"/>
      <c r="ANF19"/>
      <c r="ANG19"/>
      <c r="ANH19"/>
      <c r="ANI19"/>
      <c r="ANJ19"/>
      <c r="ANK19"/>
      <c r="ANL19"/>
      <c r="ANM19"/>
      <c r="ANN19"/>
      <c r="ANO19"/>
    </row>
    <row r="20" spans="1:1055" s="36" customFormat="1" ht="15.75" thickBot="1" x14ac:dyDescent="0.3">
      <c r="A20" s="34" t="s">
        <v>42</v>
      </c>
      <c r="B20" s="35">
        <v>0</v>
      </c>
      <c r="C20" s="36">
        <v>0</v>
      </c>
      <c r="D20" s="36">
        <v>66075</v>
      </c>
      <c r="E20" s="37">
        <v>130000</v>
      </c>
      <c r="F20" s="35">
        <v>0</v>
      </c>
      <c r="G20" s="96">
        <v>0</v>
      </c>
      <c r="H20" s="96">
        <v>0</v>
      </c>
      <c r="I20" s="96">
        <v>0</v>
      </c>
      <c r="J20" s="97">
        <v>0</v>
      </c>
      <c r="K20" s="36">
        <v>562</v>
      </c>
      <c r="L20" s="38">
        <v>0</v>
      </c>
      <c r="M20" s="39">
        <v>23.5</v>
      </c>
      <c r="N20" s="40">
        <v>0</v>
      </c>
      <c r="O20" s="35"/>
      <c r="Q20" s="38">
        <v>0</v>
      </c>
      <c r="R20" s="35">
        <v>0</v>
      </c>
      <c r="S20" s="38">
        <v>0</v>
      </c>
      <c r="T20" s="41">
        <v>0</v>
      </c>
      <c r="U20" s="42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36">
        <v>0</v>
      </c>
      <c r="AF20" s="36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36">
        <v>0</v>
      </c>
      <c r="AM20" s="36">
        <v>0</v>
      </c>
      <c r="AN20" s="36">
        <v>0</v>
      </c>
      <c r="AO20" s="36">
        <v>0</v>
      </c>
      <c r="AP20" s="36">
        <v>0</v>
      </c>
      <c r="AQ20" s="36">
        <v>0</v>
      </c>
      <c r="AR20" s="38">
        <v>0</v>
      </c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  <c r="AFX20"/>
      <c r="AFY20"/>
      <c r="AFZ20"/>
      <c r="AGA20"/>
      <c r="AGB20"/>
      <c r="AGC20"/>
      <c r="AGD20"/>
      <c r="AGE20"/>
      <c r="AGF20"/>
      <c r="AGG20"/>
      <c r="AGH20"/>
      <c r="AGI20"/>
      <c r="AGJ20"/>
      <c r="AGK20"/>
      <c r="AGL20"/>
      <c r="AGM20"/>
      <c r="AGN20"/>
      <c r="AGO20"/>
      <c r="AGP20"/>
      <c r="AGQ20"/>
      <c r="AGR20"/>
      <c r="AGS20"/>
      <c r="AGT20"/>
      <c r="AGU20"/>
      <c r="AGV20"/>
      <c r="AGW20"/>
      <c r="AGX20"/>
      <c r="AGY20"/>
      <c r="AGZ20"/>
      <c r="AHA20"/>
      <c r="AHB20"/>
      <c r="AHC20"/>
      <c r="AHD20"/>
      <c r="AHE20"/>
      <c r="AHF20"/>
      <c r="AHG20"/>
      <c r="AHH20"/>
      <c r="AHI20"/>
      <c r="AHJ20"/>
      <c r="AHK20"/>
      <c r="AHL20"/>
      <c r="AHM20"/>
      <c r="AHN20"/>
      <c r="AHO20"/>
      <c r="AHP20"/>
      <c r="AHQ20"/>
      <c r="AHR20"/>
      <c r="AHS20"/>
      <c r="AHT20"/>
      <c r="AHU20"/>
      <c r="AHV20"/>
      <c r="AHW20"/>
      <c r="AHX20"/>
      <c r="AHY20"/>
      <c r="AHZ20"/>
      <c r="AIA20"/>
      <c r="AIB20"/>
      <c r="AIC20"/>
      <c r="AID20"/>
      <c r="AIE20"/>
      <c r="AIF20"/>
      <c r="AIG20"/>
      <c r="AIH20"/>
      <c r="AII20"/>
      <c r="AIJ20"/>
      <c r="AIK20"/>
      <c r="AIL20"/>
      <c r="AIM20"/>
      <c r="AIN20"/>
      <c r="AIO20"/>
      <c r="AIP20"/>
      <c r="AIQ20"/>
      <c r="AIR20"/>
      <c r="AIS20"/>
      <c r="AIT20"/>
      <c r="AIU20"/>
      <c r="AIV20"/>
      <c r="AIW20"/>
      <c r="AIX20"/>
      <c r="AIY20"/>
      <c r="AIZ20"/>
      <c r="AJA20"/>
      <c r="AJB20"/>
      <c r="AJC20"/>
      <c r="AJD20"/>
      <c r="AJE20"/>
      <c r="AJF20"/>
      <c r="AJG20"/>
      <c r="AJH20"/>
      <c r="AJI20"/>
      <c r="AJJ20"/>
      <c r="AJK20"/>
      <c r="AJL20"/>
      <c r="AJM20"/>
      <c r="AJN20"/>
      <c r="AJO20"/>
      <c r="AJP20"/>
      <c r="AJQ20"/>
      <c r="AJR20"/>
      <c r="AJS20"/>
      <c r="AJT20"/>
      <c r="AJU20"/>
      <c r="AJV20"/>
      <c r="AJW20"/>
      <c r="AJX20"/>
      <c r="AJY20"/>
      <c r="AJZ20"/>
      <c r="AKA20"/>
      <c r="AKB20"/>
      <c r="AKC20"/>
      <c r="AKD20"/>
      <c r="AKE20"/>
      <c r="AKF20"/>
      <c r="AKG20"/>
      <c r="AKH20"/>
      <c r="AKI20"/>
      <c r="AKJ20"/>
      <c r="AKK20"/>
      <c r="AKL20"/>
      <c r="AKM20"/>
      <c r="AKN20"/>
      <c r="AKO20"/>
      <c r="AKP20"/>
      <c r="AKQ20"/>
      <c r="AKR20"/>
      <c r="AKS20"/>
      <c r="AKT20"/>
      <c r="AKU20"/>
      <c r="AKV20"/>
      <c r="AKW20"/>
      <c r="AKX20"/>
      <c r="AKY20"/>
      <c r="AKZ20"/>
      <c r="ALA20"/>
      <c r="ALB20"/>
      <c r="ALC20"/>
      <c r="ALD20"/>
      <c r="ALE20"/>
      <c r="ALF20"/>
      <c r="ALG20"/>
      <c r="ALH20"/>
      <c r="ALI20"/>
      <c r="ALJ20"/>
      <c r="ALK20"/>
      <c r="ALL20"/>
      <c r="ALM20"/>
      <c r="ALN20"/>
      <c r="ALO20"/>
      <c r="ALP20"/>
      <c r="ALQ20"/>
      <c r="ALR20"/>
      <c r="ALS20"/>
      <c r="ALT20"/>
      <c r="ALU20"/>
      <c r="ALV20"/>
      <c r="ALW20"/>
      <c r="ALX20"/>
      <c r="ALY20"/>
      <c r="ALZ20"/>
      <c r="AMA20"/>
      <c r="AMB20"/>
      <c r="AMC20"/>
      <c r="AMD20"/>
      <c r="AME20"/>
      <c r="AMF20"/>
      <c r="AMG20"/>
      <c r="AMH20"/>
      <c r="AMI20"/>
      <c r="AMJ20"/>
      <c r="AMK20"/>
      <c r="AML20"/>
      <c r="AMM20"/>
      <c r="AMN20"/>
      <c r="AMO20"/>
      <c r="AMP20"/>
      <c r="AMQ20"/>
      <c r="AMR20"/>
      <c r="AMS20"/>
      <c r="AMT20"/>
      <c r="AMU20"/>
      <c r="AMV20"/>
      <c r="AMW20"/>
      <c r="AMX20"/>
      <c r="AMY20"/>
      <c r="AMZ20"/>
      <c r="ANA20"/>
      <c r="ANB20"/>
      <c r="ANC20"/>
      <c r="AND20"/>
      <c r="ANE20"/>
      <c r="ANF20"/>
      <c r="ANG20"/>
      <c r="ANH20"/>
      <c r="ANI20"/>
      <c r="ANJ20"/>
      <c r="ANK20"/>
      <c r="ANL20"/>
      <c r="ANM20"/>
      <c r="ANN20"/>
      <c r="ANO20"/>
    </row>
    <row r="21" spans="1:1055" s="36" customFormat="1" ht="15.75" thickBot="1" x14ac:dyDescent="0.3">
      <c r="A21" s="34" t="s">
        <v>43</v>
      </c>
      <c r="B21" s="35">
        <v>950</v>
      </c>
      <c r="C21" s="36">
        <v>950</v>
      </c>
      <c r="D21" s="36">
        <v>0</v>
      </c>
      <c r="E21" s="37">
        <v>0</v>
      </c>
      <c r="F21" s="35">
        <v>0</v>
      </c>
      <c r="G21" s="96">
        <v>0</v>
      </c>
      <c r="H21" s="96">
        <v>0</v>
      </c>
      <c r="I21" s="96">
        <v>0</v>
      </c>
      <c r="J21" s="97">
        <v>0</v>
      </c>
      <c r="K21" s="36">
        <v>0</v>
      </c>
      <c r="L21" s="38">
        <v>0</v>
      </c>
      <c r="M21" s="39">
        <v>100</v>
      </c>
      <c r="N21" s="40">
        <v>0</v>
      </c>
      <c r="O21" s="35"/>
      <c r="Q21" s="38">
        <v>0</v>
      </c>
      <c r="R21" s="35">
        <v>0</v>
      </c>
      <c r="S21" s="38">
        <v>0</v>
      </c>
      <c r="T21" s="41">
        <v>0</v>
      </c>
      <c r="U21" s="42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  <c r="AB21" s="36">
        <v>0</v>
      </c>
      <c r="AC21" s="36">
        <v>0</v>
      </c>
      <c r="AD21" s="36">
        <v>0</v>
      </c>
      <c r="AE21" s="36">
        <v>0</v>
      </c>
      <c r="AF21" s="36">
        <v>0</v>
      </c>
      <c r="AG21" s="36">
        <v>0</v>
      </c>
      <c r="AH21" s="36">
        <v>0</v>
      </c>
      <c r="AI21" s="36">
        <v>0</v>
      </c>
      <c r="AJ21" s="36">
        <v>0</v>
      </c>
      <c r="AK21" s="36">
        <v>0</v>
      </c>
      <c r="AL21" s="36">
        <v>0</v>
      </c>
      <c r="AM21" s="36">
        <v>0</v>
      </c>
      <c r="AN21" s="36">
        <v>0</v>
      </c>
      <c r="AO21" s="36">
        <v>0</v>
      </c>
      <c r="AP21" s="36">
        <v>0</v>
      </c>
      <c r="AQ21" s="36">
        <v>0</v>
      </c>
      <c r="AR21" s="38">
        <v>0</v>
      </c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  <c r="AFX21"/>
      <c r="AFY21"/>
      <c r="AFZ21"/>
      <c r="AGA21"/>
      <c r="AGB21"/>
      <c r="AGC21"/>
      <c r="AGD21"/>
      <c r="AGE21"/>
      <c r="AGF21"/>
      <c r="AGG21"/>
      <c r="AGH21"/>
      <c r="AGI21"/>
      <c r="AGJ21"/>
      <c r="AGK21"/>
      <c r="AGL21"/>
      <c r="AGM21"/>
      <c r="AGN21"/>
      <c r="AGO21"/>
      <c r="AGP21"/>
      <c r="AGQ21"/>
      <c r="AGR21"/>
      <c r="AGS21"/>
      <c r="AGT21"/>
      <c r="AGU21"/>
      <c r="AGV21"/>
      <c r="AGW21"/>
      <c r="AGX21"/>
      <c r="AGY21"/>
      <c r="AGZ21"/>
      <c r="AHA21"/>
      <c r="AHB21"/>
      <c r="AHC21"/>
      <c r="AHD21"/>
      <c r="AHE21"/>
      <c r="AHF21"/>
      <c r="AHG21"/>
      <c r="AHH21"/>
      <c r="AHI21"/>
      <c r="AHJ21"/>
      <c r="AHK21"/>
      <c r="AHL21"/>
      <c r="AHM21"/>
      <c r="AHN21"/>
      <c r="AHO21"/>
      <c r="AHP21"/>
      <c r="AHQ21"/>
      <c r="AHR21"/>
      <c r="AHS21"/>
      <c r="AHT21"/>
      <c r="AHU21"/>
      <c r="AHV21"/>
      <c r="AHW21"/>
      <c r="AHX21"/>
      <c r="AHY21"/>
      <c r="AHZ21"/>
      <c r="AIA21"/>
      <c r="AIB21"/>
      <c r="AIC21"/>
      <c r="AID21"/>
      <c r="AIE21"/>
      <c r="AIF21"/>
      <c r="AIG21"/>
      <c r="AIH21"/>
      <c r="AII21"/>
      <c r="AIJ21"/>
      <c r="AIK21"/>
      <c r="AIL21"/>
      <c r="AIM21"/>
      <c r="AIN21"/>
      <c r="AIO21"/>
      <c r="AIP21"/>
      <c r="AIQ21"/>
      <c r="AIR21"/>
      <c r="AIS21"/>
      <c r="AIT21"/>
      <c r="AIU21"/>
      <c r="AIV21"/>
      <c r="AIW21"/>
      <c r="AIX21"/>
      <c r="AIY21"/>
      <c r="AIZ21"/>
      <c r="AJA21"/>
      <c r="AJB21"/>
      <c r="AJC21"/>
      <c r="AJD21"/>
      <c r="AJE21"/>
      <c r="AJF21"/>
      <c r="AJG21"/>
      <c r="AJH21"/>
      <c r="AJI21"/>
      <c r="AJJ21"/>
      <c r="AJK21"/>
      <c r="AJL21"/>
      <c r="AJM21"/>
      <c r="AJN21"/>
      <c r="AJO21"/>
      <c r="AJP21"/>
      <c r="AJQ21"/>
      <c r="AJR21"/>
      <c r="AJS21"/>
      <c r="AJT21"/>
      <c r="AJU21"/>
      <c r="AJV21"/>
      <c r="AJW21"/>
      <c r="AJX21"/>
      <c r="AJY21"/>
      <c r="AJZ21"/>
      <c r="AKA21"/>
      <c r="AKB21"/>
      <c r="AKC21"/>
      <c r="AKD21"/>
      <c r="AKE21"/>
      <c r="AKF21"/>
      <c r="AKG21"/>
      <c r="AKH21"/>
      <c r="AKI21"/>
      <c r="AKJ21"/>
      <c r="AKK21"/>
      <c r="AKL21"/>
      <c r="AKM21"/>
      <c r="AKN21"/>
      <c r="AKO21"/>
      <c r="AKP21"/>
      <c r="AKQ21"/>
      <c r="AKR21"/>
      <c r="AKS21"/>
      <c r="AKT21"/>
      <c r="AKU21"/>
      <c r="AKV21"/>
      <c r="AKW21"/>
      <c r="AKX21"/>
      <c r="AKY21"/>
      <c r="AKZ21"/>
      <c r="ALA21"/>
      <c r="ALB21"/>
      <c r="ALC21"/>
      <c r="ALD21"/>
      <c r="ALE21"/>
      <c r="ALF21"/>
      <c r="ALG21"/>
      <c r="ALH21"/>
      <c r="ALI21"/>
      <c r="ALJ21"/>
      <c r="ALK21"/>
      <c r="ALL21"/>
      <c r="ALM21"/>
      <c r="ALN21"/>
      <c r="ALO21"/>
      <c r="ALP21"/>
      <c r="ALQ21"/>
      <c r="ALR21"/>
      <c r="ALS21"/>
      <c r="ALT21"/>
      <c r="ALU21"/>
      <c r="ALV21"/>
      <c r="ALW21"/>
      <c r="ALX21"/>
      <c r="ALY21"/>
      <c r="ALZ21"/>
      <c r="AMA21"/>
      <c r="AMB21"/>
      <c r="AMC21"/>
      <c r="AMD21"/>
      <c r="AME21"/>
      <c r="AMF21"/>
      <c r="AMG21"/>
      <c r="AMH21"/>
      <c r="AMI21"/>
      <c r="AMJ21"/>
      <c r="AMK21"/>
      <c r="AML21"/>
      <c r="AMM21"/>
      <c r="AMN21"/>
      <c r="AMO21"/>
      <c r="AMP21"/>
      <c r="AMQ21"/>
      <c r="AMR21"/>
      <c r="AMS21"/>
      <c r="AMT21"/>
      <c r="AMU21"/>
      <c r="AMV21"/>
      <c r="AMW21"/>
      <c r="AMX21"/>
      <c r="AMY21"/>
      <c r="AMZ21"/>
      <c r="ANA21"/>
      <c r="ANB21"/>
      <c r="ANC21"/>
      <c r="AND21"/>
      <c r="ANE21"/>
      <c r="ANF21"/>
      <c r="ANG21"/>
      <c r="ANH21"/>
      <c r="ANI21"/>
      <c r="ANJ21"/>
      <c r="ANK21"/>
      <c r="ANL21"/>
      <c r="ANM21"/>
      <c r="ANN21"/>
      <c r="ANO21"/>
    </row>
    <row r="22" spans="1:1055" s="36" customFormat="1" ht="15.75" thickBot="1" x14ac:dyDescent="0.3">
      <c r="A22" s="34" t="s">
        <v>44</v>
      </c>
      <c r="B22" s="35">
        <v>11900</v>
      </c>
      <c r="C22" s="36">
        <v>900000</v>
      </c>
      <c r="D22" s="36">
        <v>500000</v>
      </c>
      <c r="E22" s="37">
        <v>500000</v>
      </c>
      <c r="F22" s="35">
        <v>0</v>
      </c>
      <c r="G22" s="96">
        <v>0</v>
      </c>
      <c r="H22" s="96">
        <v>0</v>
      </c>
      <c r="I22" s="96">
        <v>0</v>
      </c>
      <c r="J22" s="97">
        <v>0</v>
      </c>
      <c r="K22" s="36">
        <v>0</v>
      </c>
      <c r="L22" s="38">
        <v>0</v>
      </c>
      <c r="M22" s="39">
        <v>8.3000000000000004E-2</v>
      </c>
      <c r="N22" s="40">
        <v>0</v>
      </c>
      <c r="O22" s="35"/>
      <c r="Q22" s="38">
        <v>0</v>
      </c>
      <c r="R22" s="35">
        <v>0</v>
      </c>
      <c r="S22" s="38">
        <v>0</v>
      </c>
      <c r="T22" s="41">
        <v>0</v>
      </c>
      <c r="U22" s="42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  <c r="AB22" s="36">
        <v>0</v>
      </c>
      <c r="AC22" s="36">
        <v>0</v>
      </c>
      <c r="AD22" s="36">
        <v>0</v>
      </c>
      <c r="AE22" s="36">
        <v>0</v>
      </c>
      <c r="AF22" s="36">
        <v>0</v>
      </c>
      <c r="AG22" s="36">
        <v>0</v>
      </c>
      <c r="AH22" s="36">
        <v>0</v>
      </c>
      <c r="AI22" s="36">
        <v>0</v>
      </c>
      <c r="AJ22" s="36">
        <v>0</v>
      </c>
      <c r="AK22" s="36">
        <v>0</v>
      </c>
      <c r="AL22" s="36">
        <v>0</v>
      </c>
      <c r="AM22" s="36">
        <v>0</v>
      </c>
      <c r="AN22" s="36">
        <v>0</v>
      </c>
      <c r="AO22" s="36">
        <v>0</v>
      </c>
      <c r="AP22" s="36">
        <v>0</v>
      </c>
      <c r="AQ22" s="36">
        <v>0</v>
      </c>
      <c r="AR22" s="38">
        <v>0</v>
      </c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  <c r="AHJ22"/>
      <c r="AHK22"/>
      <c r="AHL22"/>
      <c r="AHM22"/>
      <c r="AHN22"/>
      <c r="AHO22"/>
      <c r="AHP22"/>
      <c r="AHQ22"/>
      <c r="AHR22"/>
      <c r="AHS22"/>
      <c r="AHT22"/>
      <c r="AHU22"/>
      <c r="AHV22"/>
      <c r="AHW22"/>
      <c r="AHX22"/>
      <c r="AHY22"/>
      <c r="AHZ22"/>
      <c r="AIA22"/>
      <c r="AIB22"/>
      <c r="AIC22"/>
      <c r="AID22"/>
      <c r="AIE22"/>
      <c r="AIF22"/>
      <c r="AIG22"/>
      <c r="AIH22"/>
      <c r="AII22"/>
      <c r="AIJ22"/>
      <c r="AIK22"/>
      <c r="AIL22"/>
      <c r="AIM22"/>
      <c r="AIN22"/>
      <c r="AIO22"/>
      <c r="AIP22"/>
      <c r="AIQ22"/>
      <c r="AIR22"/>
      <c r="AIS22"/>
      <c r="AIT22"/>
      <c r="AIU22"/>
      <c r="AIV22"/>
      <c r="AIW22"/>
      <c r="AIX22"/>
      <c r="AIY22"/>
      <c r="AIZ22"/>
      <c r="AJA22"/>
      <c r="AJB22"/>
      <c r="AJC22"/>
      <c r="AJD22"/>
      <c r="AJE22"/>
      <c r="AJF22"/>
      <c r="AJG22"/>
      <c r="AJH22"/>
      <c r="AJI22"/>
      <c r="AJJ22"/>
      <c r="AJK22"/>
      <c r="AJL22"/>
      <c r="AJM22"/>
      <c r="AJN22"/>
      <c r="AJO22"/>
      <c r="AJP22"/>
      <c r="AJQ22"/>
      <c r="AJR22"/>
      <c r="AJS22"/>
      <c r="AJT22"/>
      <c r="AJU22"/>
      <c r="AJV22"/>
      <c r="AJW22"/>
      <c r="AJX22"/>
      <c r="AJY22"/>
      <c r="AJZ22"/>
      <c r="AKA22"/>
      <c r="AKB22"/>
      <c r="AKC22"/>
      <c r="AKD22"/>
      <c r="AKE22"/>
      <c r="AKF22"/>
      <c r="AKG22"/>
      <c r="AKH22"/>
      <c r="AKI22"/>
      <c r="AKJ22"/>
      <c r="AKK22"/>
      <c r="AKL22"/>
      <c r="AKM22"/>
      <c r="AKN22"/>
      <c r="AKO22"/>
      <c r="AKP22"/>
      <c r="AKQ22"/>
      <c r="AKR22"/>
      <c r="AKS22"/>
      <c r="AKT22"/>
      <c r="AKU22"/>
      <c r="AKV22"/>
      <c r="AKW22"/>
      <c r="AKX22"/>
      <c r="AKY22"/>
      <c r="AKZ22"/>
      <c r="ALA22"/>
      <c r="ALB22"/>
      <c r="ALC22"/>
      <c r="ALD22"/>
      <c r="ALE22"/>
      <c r="ALF22"/>
      <c r="ALG22"/>
      <c r="ALH22"/>
      <c r="ALI22"/>
      <c r="ALJ22"/>
      <c r="ALK22"/>
      <c r="ALL22"/>
      <c r="ALM22"/>
      <c r="ALN22"/>
      <c r="ALO22"/>
      <c r="ALP22"/>
      <c r="ALQ22"/>
      <c r="ALR22"/>
      <c r="ALS22"/>
      <c r="ALT22"/>
      <c r="ALU22"/>
      <c r="ALV22"/>
      <c r="ALW22"/>
      <c r="ALX22"/>
      <c r="ALY22"/>
      <c r="ALZ22"/>
      <c r="AMA22"/>
      <c r="AMB22"/>
      <c r="AMC22"/>
      <c r="AMD22"/>
      <c r="AME22"/>
      <c r="AMF22"/>
      <c r="AMG22"/>
      <c r="AMH22"/>
      <c r="AMI22"/>
      <c r="AMJ22"/>
      <c r="AMK22"/>
      <c r="AML22"/>
      <c r="AMM22"/>
      <c r="AMN22"/>
      <c r="AMO22"/>
      <c r="AMP22"/>
      <c r="AMQ22"/>
      <c r="AMR22"/>
      <c r="AMS22"/>
      <c r="AMT22"/>
      <c r="AMU22"/>
      <c r="AMV22"/>
      <c r="AMW22"/>
      <c r="AMX22"/>
      <c r="AMY22"/>
      <c r="AMZ22"/>
      <c r="ANA22"/>
      <c r="ANB22"/>
      <c r="ANC22"/>
      <c r="AND22"/>
      <c r="ANE22"/>
      <c r="ANF22"/>
      <c r="ANG22"/>
      <c r="ANH22"/>
      <c r="ANI22"/>
      <c r="ANJ22"/>
      <c r="ANK22"/>
      <c r="ANL22"/>
      <c r="ANM22"/>
      <c r="ANN22"/>
      <c r="ANO22"/>
    </row>
    <row r="23" spans="1:1055" s="36" customFormat="1" ht="15.75" thickBot="1" x14ac:dyDescent="0.3">
      <c r="A23" s="34" t="s">
        <v>45</v>
      </c>
      <c r="B23" s="35">
        <v>0</v>
      </c>
      <c r="C23" s="36">
        <v>0</v>
      </c>
      <c r="D23" s="36">
        <v>4.5</v>
      </c>
      <c r="E23" s="37">
        <v>0</v>
      </c>
      <c r="F23" s="35">
        <v>0</v>
      </c>
      <c r="G23" s="96">
        <v>0</v>
      </c>
      <c r="H23" s="96">
        <v>0</v>
      </c>
      <c r="I23" s="96">
        <v>0</v>
      </c>
      <c r="J23" s="97">
        <v>0</v>
      </c>
      <c r="K23" s="36">
        <v>0</v>
      </c>
      <c r="L23" s="38">
        <v>0</v>
      </c>
      <c r="M23" s="39">
        <v>3320</v>
      </c>
      <c r="N23" s="40">
        <v>0</v>
      </c>
      <c r="O23" s="35"/>
      <c r="Q23" s="38">
        <v>5.0000000000000001E-3</v>
      </c>
      <c r="R23" s="35">
        <v>1.0999999999999999E-2</v>
      </c>
      <c r="S23" s="38">
        <v>4.7100000000000003E-2</v>
      </c>
      <c r="T23" s="41">
        <v>12.0529021132057</v>
      </c>
      <c r="U23" s="42">
        <v>-286.28398042464499</v>
      </c>
      <c r="V23" s="36">
        <v>145</v>
      </c>
      <c r="W23" s="36">
        <v>239</v>
      </c>
      <c r="X23" s="36">
        <v>200</v>
      </c>
      <c r="Y23" s="36">
        <v>230</v>
      </c>
      <c r="Z23" s="36">
        <v>230</v>
      </c>
      <c r="AA23" s="36">
        <v>215</v>
      </c>
      <c r="AB23" s="36">
        <v>335</v>
      </c>
      <c r="AC23" s="36">
        <v>345</v>
      </c>
      <c r="AD23" s="36">
        <v>335</v>
      </c>
      <c r="AE23" s="36">
        <v>370</v>
      </c>
      <c r="AF23" s="36">
        <v>395</v>
      </c>
      <c r="AG23" s="36">
        <v>490</v>
      </c>
      <c r="AH23" s="36">
        <v>570</v>
      </c>
      <c r="AI23" s="36">
        <v>533</v>
      </c>
      <c r="AJ23" s="36">
        <v>530</v>
      </c>
      <c r="AK23" s="36">
        <v>466</v>
      </c>
      <c r="AL23" s="36">
        <v>479</v>
      </c>
      <c r="AM23" s="36">
        <v>522</v>
      </c>
      <c r="AN23" s="36">
        <v>622</v>
      </c>
      <c r="AO23" s="36">
        <v>629</v>
      </c>
      <c r="AP23" s="36">
        <v>564</v>
      </c>
      <c r="AQ23" s="36">
        <v>369</v>
      </c>
      <c r="AR23" s="38">
        <v>155</v>
      </c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  <c r="AFX23"/>
      <c r="AFY23"/>
      <c r="AFZ23"/>
      <c r="AGA23"/>
      <c r="AGB23"/>
      <c r="AGC23"/>
      <c r="AGD23"/>
      <c r="AGE23"/>
      <c r="AGF23"/>
      <c r="AGG23"/>
      <c r="AGH23"/>
      <c r="AGI23"/>
      <c r="AGJ23"/>
      <c r="AGK23"/>
      <c r="AGL23"/>
      <c r="AGM23"/>
      <c r="AGN23"/>
      <c r="AGO23"/>
      <c r="AGP23"/>
      <c r="AGQ23"/>
      <c r="AGR23"/>
      <c r="AGS23"/>
      <c r="AGT23"/>
      <c r="AGU23"/>
      <c r="AGV23"/>
      <c r="AGW23"/>
      <c r="AGX23"/>
      <c r="AGY23"/>
      <c r="AGZ23"/>
      <c r="AHA23"/>
      <c r="AHB23"/>
      <c r="AHC23"/>
      <c r="AHD23"/>
      <c r="AHE23"/>
      <c r="AHF23"/>
      <c r="AHG23"/>
      <c r="AHH23"/>
      <c r="AHI23"/>
      <c r="AHJ23"/>
      <c r="AHK23"/>
      <c r="AHL23"/>
      <c r="AHM23"/>
      <c r="AHN23"/>
      <c r="AHO23"/>
      <c r="AHP23"/>
      <c r="AHQ23"/>
      <c r="AHR23"/>
      <c r="AHS23"/>
      <c r="AHT23"/>
      <c r="AHU23"/>
      <c r="AHV23"/>
      <c r="AHW23"/>
      <c r="AHX23"/>
      <c r="AHY23"/>
      <c r="AHZ23"/>
      <c r="AIA23"/>
      <c r="AIB23"/>
      <c r="AIC23"/>
      <c r="AID23"/>
      <c r="AIE23"/>
      <c r="AIF23"/>
      <c r="AIG23"/>
      <c r="AIH23"/>
      <c r="AII23"/>
      <c r="AIJ23"/>
      <c r="AIK23"/>
      <c r="AIL23"/>
      <c r="AIM23"/>
      <c r="AIN23"/>
      <c r="AIO23"/>
      <c r="AIP23"/>
      <c r="AIQ23"/>
      <c r="AIR23"/>
      <c r="AIS23"/>
      <c r="AIT23"/>
      <c r="AIU23"/>
      <c r="AIV23"/>
      <c r="AIW23"/>
      <c r="AIX23"/>
      <c r="AIY23"/>
      <c r="AIZ23"/>
      <c r="AJA23"/>
      <c r="AJB23"/>
      <c r="AJC23"/>
      <c r="AJD23"/>
      <c r="AJE23"/>
      <c r="AJF23"/>
      <c r="AJG23"/>
      <c r="AJH23"/>
      <c r="AJI23"/>
      <c r="AJJ23"/>
      <c r="AJK23"/>
      <c r="AJL23"/>
      <c r="AJM23"/>
      <c r="AJN23"/>
      <c r="AJO23"/>
      <c r="AJP23"/>
      <c r="AJQ23"/>
      <c r="AJR23"/>
      <c r="AJS23"/>
      <c r="AJT23"/>
      <c r="AJU23"/>
      <c r="AJV23"/>
      <c r="AJW23"/>
      <c r="AJX23"/>
      <c r="AJY23"/>
      <c r="AJZ23"/>
      <c r="AKA23"/>
      <c r="AKB23"/>
      <c r="AKC23"/>
      <c r="AKD23"/>
      <c r="AKE23"/>
      <c r="AKF23"/>
      <c r="AKG23"/>
      <c r="AKH23"/>
      <c r="AKI23"/>
      <c r="AKJ23"/>
      <c r="AKK23"/>
      <c r="AKL23"/>
      <c r="AKM23"/>
      <c r="AKN23"/>
      <c r="AKO23"/>
      <c r="AKP23"/>
      <c r="AKQ23"/>
      <c r="AKR23"/>
      <c r="AKS23"/>
      <c r="AKT23"/>
      <c r="AKU23"/>
      <c r="AKV23"/>
      <c r="AKW23"/>
      <c r="AKX23"/>
      <c r="AKY23"/>
      <c r="AKZ23"/>
      <c r="ALA23"/>
      <c r="ALB23"/>
      <c r="ALC23"/>
      <c r="ALD23"/>
      <c r="ALE23"/>
      <c r="ALF23"/>
      <c r="ALG23"/>
      <c r="ALH23"/>
      <c r="ALI23"/>
      <c r="ALJ23"/>
      <c r="ALK23"/>
      <c r="ALL23"/>
      <c r="ALM23"/>
      <c r="ALN23"/>
      <c r="ALO23"/>
      <c r="ALP23"/>
      <c r="ALQ23"/>
      <c r="ALR23"/>
      <c r="ALS23"/>
      <c r="ALT23"/>
      <c r="ALU23"/>
      <c r="ALV23"/>
      <c r="ALW23"/>
      <c r="ALX23"/>
      <c r="ALY23"/>
      <c r="ALZ23"/>
      <c r="AMA23"/>
      <c r="AMB23"/>
      <c r="AMC23"/>
      <c r="AMD23"/>
      <c r="AME23"/>
      <c r="AMF23"/>
      <c r="AMG23"/>
      <c r="AMH23"/>
      <c r="AMI23"/>
      <c r="AMJ23"/>
      <c r="AMK23"/>
      <c r="AML23"/>
      <c r="AMM23"/>
      <c r="AMN23"/>
      <c r="AMO23"/>
      <c r="AMP23"/>
      <c r="AMQ23"/>
      <c r="AMR23"/>
      <c r="AMS23"/>
      <c r="AMT23"/>
      <c r="AMU23"/>
      <c r="AMV23"/>
      <c r="AMW23"/>
      <c r="AMX23"/>
      <c r="AMY23"/>
      <c r="AMZ23"/>
      <c r="ANA23"/>
      <c r="ANB23"/>
      <c r="ANC23"/>
      <c r="AND23"/>
      <c r="ANE23"/>
      <c r="ANF23"/>
      <c r="ANG23"/>
      <c r="ANH23"/>
      <c r="ANI23"/>
      <c r="ANJ23"/>
      <c r="ANK23"/>
      <c r="ANL23"/>
      <c r="ANM23"/>
      <c r="ANN23"/>
      <c r="ANO23"/>
    </row>
    <row r="24" spans="1:1055" s="36" customFormat="1" ht="15.75" thickBot="1" x14ac:dyDescent="0.3">
      <c r="A24" s="34" t="s">
        <v>46</v>
      </c>
      <c r="B24" s="35">
        <v>22000</v>
      </c>
      <c r="C24" s="36">
        <v>0</v>
      </c>
      <c r="D24" s="36">
        <f>E24/4</f>
        <v>162500</v>
      </c>
      <c r="E24" s="37">
        <v>650000</v>
      </c>
      <c r="F24" s="35">
        <v>0</v>
      </c>
      <c r="G24" s="96">
        <v>0</v>
      </c>
      <c r="H24" s="96">
        <v>0</v>
      </c>
      <c r="I24" s="96">
        <v>0</v>
      </c>
      <c r="J24" s="97">
        <v>0</v>
      </c>
      <c r="K24" s="36">
        <v>29683</v>
      </c>
      <c r="L24" s="38">
        <v>435</v>
      </c>
      <c r="M24" s="39">
        <v>25</v>
      </c>
      <c r="N24" s="40">
        <v>9.4</v>
      </c>
      <c r="O24" s="35">
        <v>0.52</v>
      </c>
      <c r="P24" s="36">
        <v>0.9</v>
      </c>
      <c r="Q24" s="38">
        <f>(O24+P24)/2</f>
        <v>0.71</v>
      </c>
      <c r="R24" s="35">
        <v>160000</v>
      </c>
      <c r="S24" s="38">
        <v>800000</v>
      </c>
      <c r="T24" s="41">
        <v>80787194.164979905</v>
      </c>
      <c r="U24" s="42">
        <v>-2777690174.63939</v>
      </c>
      <c r="V24" s="36">
        <v>1000000000</v>
      </c>
      <c r="W24" s="36">
        <v>999928230</v>
      </c>
      <c r="X24" s="36">
        <v>1019944840</v>
      </c>
      <c r="Y24" s="36">
        <v>1039927180</v>
      </c>
      <c r="Z24" s="36">
        <v>1019893920</v>
      </c>
      <c r="AA24" s="36">
        <v>993844440</v>
      </c>
      <c r="AB24" s="36">
        <v>1059821110</v>
      </c>
      <c r="AC24" s="36">
        <v>1059791350</v>
      </c>
      <c r="AD24" s="36">
        <v>1079735210</v>
      </c>
      <c r="AE24" s="36">
        <v>1159623830</v>
      </c>
      <c r="AF24" s="36">
        <v>1339511300</v>
      </c>
      <c r="AG24" s="36">
        <v>1539358150</v>
      </c>
      <c r="AH24" s="36">
        <v>1799023770</v>
      </c>
      <c r="AI24" s="36">
        <v>1998410780</v>
      </c>
      <c r="AJ24" s="36">
        <v>2217726110</v>
      </c>
      <c r="AK24" s="36">
        <v>2236160950</v>
      </c>
      <c r="AL24" s="36">
        <v>2584196110</v>
      </c>
      <c r="AM24" s="36">
        <v>2933714900</v>
      </c>
      <c r="AN24" s="36">
        <v>2922833710</v>
      </c>
      <c r="AO24" s="36">
        <v>3102160850</v>
      </c>
      <c r="AP24" s="36">
        <v>3408008320</v>
      </c>
      <c r="AQ24" s="36">
        <v>3663619920</v>
      </c>
      <c r="AR24" s="38">
        <v>3568372660</v>
      </c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  <c r="AFX24"/>
      <c r="AFY24"/>
      <c r="AFZ24"/>
      <c r="AGA24"/>
      <c r="AGB24"/>
      <c r="AGC24"/>
      <c r="AGD24"/>
      <c r="AGE24"/>
      <c r="AGF24"/>
      <c r="AGG24"/>
      <c r="AGH24"/>
      <c r="AGI24"/>
      <c r="AGJ24"/>
      <c r="AGK24"/>
      <c r="AGL24"/>
      <c r="AGM24"/>
      <c r="AGN24"/>
      <c r="AGO24"/>
      <c r="AGP24"/>
      <c r="AGQ24"/>
      <c r="AGR24"/>
      <c r="AGS24"/>
      <c r="AGT24"/>
      <c r="AGU24"/>
      <c r="AGV24"/>
      <c r="AGW24"/>
      <c r="AGX24"/>
      <c r="AGY24"/>
      <c r="AGZ24"/>
      <c r="AHA24"/>
      <c r="AHB24"/>
      <c r="AHC24"/>
      <c r="AHD24"/>
      <c r="AHE24"/>
      <c r="AHF24"/>
      <c r="AHG24"/>
      <c r="AHH24"/>
      <c r="AHI24"/>
      <c r="AHJ24"/>
      <c r="AHK24"/>
      <c r="AHL24"/>
      <c r="AHM24"/>
      <c r="AHN24"/>
      <c r="AHO24"/>
      <c r="AHP24"/>
      <c r="AHQ24"/>
      <c r="AHR24"/>
      <c r="AHS24"/>
      <c r="AHT24"/>
      <c r="AHU24"/>
      <c r="AHV24"/>
      <c r="AHW24"/>
      <c r="AHX24"/>
      <c r="AHY24"/>
      <c r="AHZ24"/>
      <c r="AIA24"/>
      <c r="AIB24"/>
      <c r="AIC24"/>
      <c r="AID24"/>
      <c r="AIE24"/>
      <c r="AIF24"/>
      <c r="AIG24"/>
      <c r="AIH24"/>
      <c r="AII24"/>
      <c r="AIJ24"/>
      <c r="AIK24"/>
      <c r="AIL24"/>
      <c r="AIM24"/>
      <c r="AIN24"/>
      <c r="AIO24"/>
      <c r="AIP24"/>
      <c r="AIQ24"/>
      <c r="AIR24"/>
      <c r="AIS24"/>
      <c r="AIT24"/>
      <c r="AIU24"/>
      <c r="AIV24"/>
      <c r="AIW24"/>
      <c r="AIX24"/>
      <c r="AIY24"/>
      <c r="AIZ24"/>
      <c r="AJA24"/>
      <c r="AJB24"/>
      <c r="AJC24"/>
      <c r="AJD24"/>
      <c r="AJE24"/>
      <c r="AJF24"/>
      <c r="AJG24"/>
      <c r="AJH24"/>
      <c r="AJI24"/>
      <c r="AJJ24"/>
      <c r="AJK24"/>
      <c r="AJL24"/>
      <c r="AJM24"/>
      <c r="AJN24"/>
      <c r="AJO24"/>
      <c r="AJP24"/>
      <c r="AJQ24"/>
      <c r="AJR24"/>
      <c r="AJS24"/>
      <c r="AJT24"/>
      <c r="AJU24"/>
      <c r="AJV24"/>
      <c r="AJW24"/>
      <c r="AJX24"/>
      <c r="AJY24"/>
      <c r="AJZ24"/>
      <c r="AKA24"/>
      <c r="AKB24"/>
      <c r="AKC24"/>
      <c r="AKD24"/>
      <c r="AKE24"/>
      <c r="AKF24"/>
      <c r="AKG24"/>
      <c r="AKH24"/>
      <c r="AKI24"/>
      <c r="AKJ24"/>
      <c r="AKK24"/>
      <c r="AKL24"/>
      <c r="AKM24"/>
      <c r="AKN24"/>
      <c r="AKO24"/>
      <c r="AKP24"/>
      <c r="AKQ24"/>
      <c r="AKR24"/>
      <c r="AKS24"/>
      <c r="AKT24"/>
      <c r="AKU24"/>
      <c r="AKV24"/>
      <c r="AKW24"/>
      <c r="AKX24"/>
      <c r="AKY24"/>
      <c r="AKZ24"/>
      <c r="ALA24"/>
      <c r="ALB24"/>
      <c r="ALC24"/>
      <c r="ALD24"/>
      <c r="ALE24"/>
      <c r="ALF24"/>
      <c r="ALG24"/>
      <c r="ALH24"/>
      <c r="ALI24"/>
      <c r="ALJ24"/>
      <c r="ALK24"/>
      <c r="ALL24"/>
      <c r="ALM24"/>
      <c r="ALN24"/>
      <c r="ALO24"/>
      <c r="ALP24"/>
      <c r="ALQ24"/>
      <c r="ALR24"/>
      <c r="ALS24"/>
      <c r="ALT24"/>
      <c r="ALU24"/>
      <c r="ALV24"/>
      <c r="ALW24"/>
      <c r="ALX24"/>
      <c r="ALY24"/>
      <c r="ALZ24"/>
      <c r="AMA24"/>
      <c r="AMB24"/>
      <c r="AMC24"/>
      <c r="AMD24"/>
      <c r="AME24"/>
      <c r="AMF24"/>
      <c r="AMG24"/>
      <c r="AMH24"/>
      <c r="AMI24"/>
      <c r="AMJ24"/>
      <c r="AMK24"/>
      <c r="AML24"/>
      <c r="AMM24"/>
      <c r="AMN24"/>
      <c r="AMO24"/>
      <c r="AMP24"/>
      <c r="AMQ24"/>
      <c r="AMR24"/>
      <c r="AMS24"/>
      <c r="AMT24"/>
      <c r="AMU24"/>
      <c r="AMV24"/>
      <c r="AMW24"/>
      <c r="AMX24"/>
      <c r="AMY24"/>
      <c r="AMZ24"/>
      <c r="ANA24"/>
      <c r="ANB24"/>
      <c r="ANC24"/>
      <c r="AND24"/>
      <c r="ANE24"/>
      <c r="ANF24"/>
      <c r="ANG24"/>
      <c r="ANH24"/>
      <c r="ANI24"/>
      <c r="ANJ24"/>
      <c r="ANK24"/>
      <c r="ANL24"/>
      <c r="ANM24"/>
      <c r="ANN24"/>
      <c r="ANO24"/>
    </row>
    <row r="25" spans="1:1055" s="36" customFormat="1" ht="15.75" thickBot="1" x14ac:dyDescent="0.3">
      <c r="A25" s="34" t="s">
        <v>47</v>
      </c>
      <c r="B25" s="35">
        <v>0</v>
      </c>
      <c r="C25" s="36">
        <v>0</v>
      </c>
      <c r="D25" s="36">
        <v>0</v>
      </c>
      <c r="E25" s="37">
        <v>220000</v>
      </c>
      <c r="F25" s="35">
        <v>0</v>
      </c>
      <c r="G25" s="96">
        <v>0</v>
      </c>
      <c r="H25" s="96">
        <v>0</v>
      </c>
      <c r="I25" s="96">
        <v>0</v>
      </c>
      <c r="J25" s="97">
        <v>0</v>
      </c>
      <c r="K25" s="36">
        <v>0</v>
      </c>
      <c r="L25" s="38">
        <v>0</v>
      </c>
      <c r="M25" s="39">
        <v>21.5</v>
      </c>
      <c r="N25" s="40">
        <v>0</v>
      </c>
      <c r="O25" s="35"/>
      <c r="Q25" s="38">
        <v>0</v>
      </c>
      <c r="R25" s="35">
        <v>0</v>
      </c>
      <c r="S25" s="38">
        <v>0</v>
      </c>
      <c r="T25" s="41">
        <v>0</v>
      </c>
      <c r="U25" s="42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  <c r="AB25" s="36">
        <v>0</v>
      </c>
      <c r="AC25" s="36">
        <v>0</v>
      </c>
      <c r="AD25" s="36">
        <v>0</v>
      </c>
      <c r="AE25" s="36">
        <v>0</v>
      </c>
      <c r="AF25" s="36">
        <v>0</v>
      </c>
      <c r="AG25" s="36">
        <v>0</v>
      </c>
      <c r="AH25" s="36">
        <v>0</v>
      </c>
      <c r="AI25" s="36">
        <v>0</v>
      </c>
      <c r="AJ25" s="36">
        <v>0</v>
      </c>
      <c r="AK25" s="36">
        <v>0</v>
      </c>
      <c r="AL25" s="36">
        <v>0</v>
      </c>
      <c r="AM25" s="36">
        <v>0</v>
      </c>
      <c r="AN25" s="36">
        <v>0</v>
      </c>
      <c r="AO25" s="36">
        <v>0</v>
      </c>
      <c r="AP25" s="36">
        <v>0</v>
      </c>
      <c r="AQ25" s="36">
        <v>0</v>
      </c>
      <c r="AR25" s="38">
        <v>0</v>
      </c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  <c r="AFX25"/>
      <c r="AFY25"/>
      <c r="AFZ25"/>
      <c r="AGA25"/>
      <c r="AGB25"/>
      <c r="AGC25"/>
      <c r="AGD25"/>
      <c r="AGE25"/>
      <c r="AGF25"/>
      <c r="AGG25"/>
      <c r="AGH25"/>
      <c r="AGI25"/>
      <c r="AGJ25"/>
      <c r="AGK25"/>
      <c r="AGL25"/>
      <c r="AGM25"/>
      <c r="AGN25"/>
      <c r="AGO25"/>
      <c r="AGP25"/>
      <c r="AGQ25"/>
      <c r="AGR25"/>
      <c r="AGS25"/>
      <c r="AGT25"/>
      <c r="AGU25"/>
      <c r="AGV25"/>
      <c r="AGW25"/>
      <c r="AGX25"/>
      <c r="AGY25"/>
      <c r="AGZ25"/>
      <c r="AHA25"/>
      <c r="AHB25"/>
      <c r="AHC25"/>
      <c r="AHD25"/>
      <c r="AHE25"/>
      <c r="AHF25"/>
      <c r="AHG25"/>
      <c r="AHH25"/>
      <c r="AHI25"/>
      <c r="AHJ25"/>
      <c r="AHK25"/>
      <c r="AHL25"/>
      <c r="AHM25"/>
      <c r="AHN25"/>
      <c r="AHO25"/>
      <c r="AHP25"/>
      <c r="AHQ25"/>
      <c r="AHR25"/>
      <c r="AHS25"/>
      <c r="AHT25"/>
      <c r="AHU25"/>
      <c r="AHV25"/>
      <c r="AHW25"/>
      <c r="AHX25"/>
      <c r="AHY25"/>
      <c r="AHZ25"/>
      <c r="AIA25"/>
      <c r="AIB25"/>
      <c r="AIC25"/>
      <c r="AID25"/>
      <c r="AIE25"/>
      <c r="AIF25"/>
      <c r="AIG25"/>
      <c r="AIH25"/>
      <c r="AII25"/>
      <c r="AIJ25"/>
      <c r="AIK25"/>
      <c r="AIL25"/>
      <c r="AIM25"/>
      <c r="AIN25"/>
      <c r="AIO25"/>
      <c r="AIP25"/>
      <c r="AIQ25"/>
      <c r="AIR25"/>
      <c r="AIS25"/>
      <c r="AIT25"/>
      <c r="AIU25"/>
      <c r="AIV25"/>
      <c r="AIW25"/>
      <c r="AIX25"/>
      <c r="AIY25"/>
      <c r="AIZ25"/>
      <c r="AJA25"/>
      <c r="AJB25"/>
      <c r="AJC25"/>
      <c r="AJD25"/>
      <c r="AJE25"/>
      <c r="AJF25"/>
      <c r="AJG25"/>
      <c r="AJH25"/>
      <c r="AJI25"/>
      <c r="AJJ25"/>
      <c r="AJK25"/>
      <c r="AJL25"/>
      <c r="AJM25"/>
      <c r="AJN25"/>
      <c r="AJO25"/>
      <c r="AJP25"/>
      <c r="AJQ25"/>
      <c r="AJR25"/>
      <c r="AJS25"/>
      <c r="AJT25"/>
      <c r="AJU25"/>
      <c r="AJV25"/>
      <c r="AJW25"/>
      <c r="AJX25"/>
      <c r="AJY25"/>
      <c r="AJZ25"/>
      <c r="AKA25"/>
      <c r="AKB25"/>
      <c r="AKC25"/>
      <c r="AKD25"/>
      <c r="AKE25"/>
      <c r="AKF25"/>
      <c r="AKG25"/>
      <c r="AKH25"/>
      <c r="AKI25"/>
      <c r="AKJ25"/>
      <c r="AKK25"/>
      <c r="AKL25"/>
      <c r="AKM25"/>
      <c r="AKN25"/>
      <c r="AKO25"/>
      <c r="AKP25"/>
      <c r="AKQ25"/>
      <c r="AKR25"/>
      <c r="AKS25"/>
      <c r="AKT25"/>
      <c r="AKU25"/>
      <c r="AKV25"/>
      <c r="AKW25"/>
      <c r="AKX25"/>
      <c r="AKY25"/>
      <c r="AKZ25"/>
      <c r="ALA25"/>
      <c r="ALB25"/>
      <c r="ALC25"/>
      <c r="ALD25"/>
      <c r="ALE25"/>
      <c r="ALF25"/>
      <c r="ALG25"/>
      <c r="ALH25"/>
      <c r="ALI25"/>
      <c r="ALJ25"/>
      <c r="ALK25"/>
      <c r="ALL25"/>
      <c r="ALM25"/>
      <c r="ALN25"/>
      <c r="ALO25"/>
      <c r="ALP25"/>
      <c r="ALQ25"/>
      <c r="ALR25"/>
      <c r="ALS25"/>
      <c r="ALT25"/>
      <c r="ALU25"/>
      <c r="ALV25"/>
      <c r="ALW25"/>
      <c r="ALX25"/>
      <c r="ALY25"/>
      <c r="ALZ25"/>
      <c r="AMA25"/>
      <c r="AMB25"/>
      <c r="AMC25"/>
      <c r="AMD25"/>
      <c r="AME25"/>
      <c r="AMF25"/>
      <c r="AMG25"/>
      <c r="AMH25"/>
      <c r="AMI25"/>
      <c r="AMJ25"/>
      <c r="AMK25"/>
      <c r="AML25"/>
      <c r="AMM25"/>
      <c r="AMN25"/>
      <c r="AMO25"/>
      <c r="AMP25"/>
      <c r="AMQ25"/>
      <c r="AMR25"/>
      <c r="AMS25"/>
      <c r="AMT25"/>
      <c r="AMU25"/>
      <c r="AMV25"/>
      <c r="AMW25"/>
      <c r="AMX25"/>
      <c r="AMY25"/>
      <c r="AMZ25"/>
      <c r="ANA25"/>
      <c r="ANB25"/>
      <c r="ANC25"/>
      <c r="AND25"/>
      <c r="ANE25"/>
      <c r="ANF25"/>
      <c r="ANG25"/>
      <c r="ANH25"/>
      <c r="ANI25"/>
      <c r="ANJ25"/>
      <c r="ANK25"/>
      <c r="ANL25"/>
      <c r="ANM25"/>
      <c r="ANN25"/>
      <c r="ANO25"/>
    </row>
    <row r="26" spans="1:1055" s="36" customFormat="1" ht="15.75" thickBot="1" x14ac:dyDescent="0.3">
      <c r="A26" s="34" t="s">
        <v>48</v>
      </c>
      <c r="B26" s="35">
        <v>0</v>
      </c>
      <c r="C26" s="36">
        <v>0</v>
      </c>
      <c r="D26" s="36">
        <v>0</v>
      </c>
      <c r="E26" s="37">
        <v>0</v>
      </c>
      <c r="F26" s="35">
        <v>0</v>
      </c>
      <c r="G26" s="96">
        <v>0</v>
      </c>
      <c r="H26" s="96">
        <v>0</v>
      </c>
      <c r="I26" s="96">
        <v>0</v>
      </c>
      <c r="J26" s="97">
        <v>0</v>
      </c>
      <c r="K26" s="36">
        <v>7500</v>
      </c>
      <c r="L26" s="38">
        <v>0</v>
      </c>
      <c r="M26" s="39">
        <v>3</v>
      </c>
      <c r="N26" s="40">
        <v>0</v>
      </c>
      <c r="O26" s="35"/>
      <c r="Q26" s="38">
        <v>0</v>
      </c>
      <c r="R26" s="35">
        <v>0</v>
      </c>
      <c r="S26" s="38">
        <v>0</v>
      </c>
      <c r="T26" s="41">
        <v>0</v>
      </c>
      <c r="U26" s="42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  <c r="AB26" s="36">
        <v>0</v>
      </c>
      <c r="AC26" s="36">
        <v>0</v>
      </c>
      <c r="AD26" s="36">
        <v>0</v>
      </c>
      <c r="AE26" s="36">
        <v>0</v>
      </c>
      <c r="AF26" s="36">
        <v>0</v>
      </c>
      <c r="AG26" s="36">
        <v>0</v>
      </c>
      <c r="AH26" s="36">
        <v>0</v>
      </c>
      <c r="AI26" s="36">
        <v>0</v>
      </c>
      <c r="AJ26" s="36">
        <v>0</v>
      </c>
      <c r="AK26" s="36">
        <v>0</v>
      </c>
      <c r="AL26" s="36">
        <v>0</v>
      </c>
      <c r="AM26" s="36">
        <v>0</v>
      </c>
      <c r="AN26" s="36">
        <v>0</v>
      </c>
      <c r="AO26" s="36">
        <v>0</v>
      </c>
      <c r="AP26" s="36">
        <v>0</v>
      </c>
      <c r="AQ26" s="36">
        <v>0</v>
      </c>
      <c r="AR26" s="38">
        <v>0</v>
      </c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  <c r="AFX26"/>
      <c r="AFY26"/>
      <c r="AFZ26"/>
      <c r="AGA26"/>
      <c r="AGB26"/>
      <c r="AGC26"/>
      <c r="AGD26"/>
      <c r="AGE26"/>
      <c r="AGF26"/>
      <c r="AGG26"/>
      <c r="AGH26"/>
      <c r="AGI26"/>
      <c r="AGJ26"/>
      <c r="AGK26"/>
      <c r="AGL26"/>
      <c r="AGM26"/>
      <c r="AGN26"/>
      <c r="AGO26"/>
      <c r="AGP26"/>
      <c r="AGQ26"/>
      <c r="AGR26"/>
      <c r="AGS26"/>
      <c r="AGT26"/>
      <c r="AGU26"/>
      <c r="AGV26"/>
      <c r="AGW26"/>
      <c r="AGX26"/>
      <c r="AGY26"/>
      <c r="AGZ26"/>
      <c r="AHA26"/>
      <c r="AHB26"/>
      <c r="AHC26"/>
      <c r="AHD26"/>
      <c r="AHE26"/>
      <c r="AHF26"/>
      <c r="AHG26"/>
      <c r="AHH26"/>
      <c r="AHI26"/>
      <c r="AHJ26"/>
      <c r="AHK26"/>
      <c r="AHL26"/>
      <c r="AHM26"/>
      <c r="AHN26"/>
      <c r="AHO26"/>
      <c r="AHP26"/>
      <c r="AHQ26"/>
      <c r="AHR26"/>
      <c r="AHS26"/>
      <c r="AHT26"/>
      <c r="AHU26"/>
      <c r="AHV26"/>
      <c r="AHW26"/>
      <c r="AHX26"/>
      <c r="AHY26"/>
      <c r="AHZ26"/>
      <c r="AIA26"/>
      <c r="AIB26"/>
      <c r="AIC26"/>
      <c r="AID26"/>
      <c r="AIE26"/>
      <c r="AIF26"/>
      <c r="AIG26"/>
      <c r="AIH26"/>
      <c r="AII26"/>
      <c r="AIJ26"/>
      <c r="AIK26"/>
      <c r="AIL26"/>
      <c r="AIM26"/>
      <c r="AIN26"/>
      <c r="AIO26"/>
      <c r="AIP26"/>
      <c r="AIQ26"/>
      <c r="AIR26"/>
      <c r="AIS26"/>
      <c r="AIT26"/>
      <c r="AIU26"/>
      <c r="AIV26"/>
      <c r="AIW26"/>
      <c r="AIX26"/>
      <c r="AIY26"/>
      <c r="AIZ26"/>
      <c r="AJA26"/>
      <c r="AJB26"/>
      <c r="AJC26"/>
      <c r="AJD26"/>
      <c r="AJE26"/>
      <c r="AJF26"/>
      <c r="AJG26"/>
      <c r="AJH26"/>
      <c r="AJI26"/>
      <c r="AJJ26"/>
      <c r="AJK26"/>
      <c r="AJL26"/>
      <c r="AJM26"/>
      <c r="AJN26"/>
      <c r="AJO26"/>
      <c r="AJP26"/>
      <c r="AJQ26"/>
      <c r="AJR26"/>
      <c r="AJS26"/>
      <c r="AJT26"/>
      <c r="AJU26"/>
      <c r="AJV26"/>
      <c r="AJW26"/>
      <c r="AJX26"/>
      <c r="AJY26"/>
      <c r="AJZ26"/>
      <c r="AKA26"/>
      <c r="AKB26"/>
      <c r="AKC26"/>
      <c r="AKD26"/>
      <c r="AKE26"/>
      <c r="AKF26"/>
      <c r="AKG26"/>
      <c r="AKH26"/>
      <c r="AKI26"/>
      <c r="AKJ26"/>
      <c r="AKK26"/>
      <c r="AKL26"/>
      <c r="AKM26"/>
      <c r="AKN26"/>
      <c r="AKO26"/>
      <c r="AKP26"/>
      <c r="AKQ26"/>
      <c r="AKR26"/>
      <c r="AKS26"/>
      <c r="AKT26"/>
      <c r="AKU26"/>
      <c r="AKV26"/>
      <c r="AKW26"/>
      <c r="AKX26"/>
      <c r="AKY26"/>
      <c r="AKZ26"/>
      <c r="ALA26"/>
      <c r="ALB26"/>
      <c r="ALC26"/>
      <c r="ALD26"/>
      <c r="ALE26"/>
      <c r="ALF26"/>
      <c r="ALG26"/>
      <c r="ALH26"/>
      <c r="ALI26"/>
      <c r="ALJ26"/>
      <c r="ALK26"/>
      <c r="ALL26"/>
      <c r="ALM26"/>
      <c r="ALN26"/>
      <c r="ALO26"/>
      <c r="ALP26"/>
      <c r="ALQ26"/>
      <c r="ALR26"/>
      <c r="ALS26"/>
      <c r="ALT26"/>
      <c r="ALU26"/>
      <c r="ALV26"/>
      <c r="ALW26"/>
      <c r="ALX26"/>
      <c r="ALY26"/>
      <c r="ALZ26"/>
      <c r="AMA26"/>
      <c r="AMB26"/>
      <c r="AMC26"/>
      <c r="AMD26"/>
      <c r="AME26"/>
      <c r="AMF26"/>
      <c r="AMG26"/>
      <c r="AMH26"/>
      <c r="AMI26"/>
      <c r="AMJ26"/>
      <c r="AMK26"/>
      <c r="AML26"/>
      <c r="AMM26"/>
      <c r="AMN26"/>
      <c r="AMO26"/>
      <c r="AMP26"/>
      <c r="AMQ26"/>
      <c r="AMR26"/>
      <c r="AMS26"/>
      <c r="AMT26"/>
      <c r="AMU26"/>
      <c r="AMV26"/>
      <c r="AMW26"/>
      <c r="AMX26"/>
      <c r="AMY26"/>
      <c r="AMZ26"/>
      <c r="ANA26"/>
      <c r="ANB26"/>
      <c r="ANC26"/>
      <c r="AND26"/>
      <c r="ANE26"/>
      <c r="ANF26"/>
      <c r="ANG26"/>
      <c r="ANH26"/>
      <c r="ANI26"/>
      <c r="ANJ26"/>
      <c r="ANK26"/>
      <c r="ANL26"/>
      <c r="ANM26"/>
      <c r="ANN26"/>
      <c r="ANO26"/>
    </row>
    <row r="27" spans="1:1055" s="36" customFormat="1" ht="15.75" thickBot="1" x14ac:dyDescent="0.3">
      <c r="A27" s="34" t="s">
        <v>49</v>
      </c>
      <c r="B27" s="35">
        <v>0</v>
      </c>
      <c r="C27" s="36">
        <v>0</v>
      </c>
      <c r="D27" s="36">
        <v>0</v>
      </c>
      <c r="E27" s="37">
        <v>11000</v>
      </c>
      <c r="F27" s="35">
        <v>0</v>
      </c>
      <c r="G27" s="96">
        <v>0</v>
      </c>
      <c r="H27" s="96">
        <v>0</v>
      </c>
      <c r="I27" s="96">
        <v>0</v>
      </c>
      <c r="J27" s="97">
        <v>0</v>
      </c>
      <c r="K27" s="36">
        <v>0</v>
      </c>
      <c r="L27" s="38">
        <v>0</v>
      </c>
      <c r="M27" s="39">
        <v>5.3</v>
      </c>
      <c r="N27" s="40">
        <v>0</v>
      </c>
      <c r="O27" s="35"/>
      <c r="Q27" s="38">
        <v>0</v>
      </c>
      <c r="R27" s="35">
        <v>0</v>
      </c>
      <c r="S27" s="38">
        <v>0</v>
      </c>
      <c r="T27" s="41">
        <v>0</v>
      </c>
      <c r="U27" s="42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  <c r="AB27" s="36">
        <v>0</v>
      </c>
      <c r="AC27" s="36">
        <v>0</v>
      </c>
      <c r="AD27" s="36">
        <v>0</v>
      </c>
      <c r="AE27" s="36">
        <v>0</v>
      </c>
      <c r="AF27" s="36">
        <v>0</v>
      </c>
      <c r="AG27" s="36">
        <v>0</v>
      </c>
      <c r="AH27" s="36">
        <v>0</v>
      </c>
      <c r="AI27" s="36">
        <v>0</v>
      </c>
      <c r="AJ27" s="36">
        <v>0</v>
      </c>
      <c r="AK27" s="36">
        <v>0</v>
      </c>
      <c r="AL27" s="36">
        <v>0</v>
      </c>
      <c r="AM27" s="36">
        <v>0</v>
      </c>
      <c r="AN27" s="36">
        <v>0</v>
      </c>
      <c r="AO27" s="36">
        <v>0</v>
      </c>
      <c r="AP27" s="36">
        <v>0</v>
      </c>
      <c r="AQ27" s="36">
        <v>0</v>
      </c>
      <c r="AR27" s="38">
        <v>0</v>
      </c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  <c r="LQ27"/>
      <c r="LR27"/>
      <c r="LS27"/>
      <c r="LT27"/>
      <c r="LU27"/>
      <c r="LV27"/>
      <c r="LW27"/>
      <c r="LX27"/>
      <c r="LY27"/>
      <c r="LZ27"/>
      <c r="MA27"/>
      <c r="MB27"/>
      <c r="MC27"/>
      <c r="MD27"/>
      <c r="ME27"/>
      <c r="MF27"/>
      <c r="MG27"/>
      <c r="MH27"/>
      <c r="MI27"/>
      <c r="MJ27"/>
      <c r="MK27"/>
      <c r="ML27"/>
      <c r="MM27"/>
      <c r="MN27"/>
      <c r="MO27"/>
      <c r="MP27"/>
      <c r="MQ27"/>
      <c r="MR27"/>
      <c r="MS27"/>
      <c r="MT27"/>
      <c r="MU27"/>
      <c r="MV27"/>
      <c r="MW27"/>
      <c r="MX27"/>
      <c r="MY27"/>
      <c r="MZ27"/>
      <c r="NA27"/>
      <c r="NB27"/>
      <c r="NC27"/>
      <c r="ND27"/>
      <c r="NE27"/>
      <c r="NF27"/>
      <c r="NG27"/>
      <c r="NH27"/>
      <c r="NI27"/>
      <c r="NJ27"/>
      <c r="NK27"/>
      <c r="NL27"/>
      <c r="NM27"/>
      <c r="NN27"/>
      <c r="NO27"/>
      <c r="NP27"/>
      <c r="NQ27"/>
      <c r="NR27"/>
      <c r="NS27"/>
      <c r="NT27"/>
      <c r="NU27"/>
      <c r="NV27"/>
      <c r="NW27"/>
      <c r="NX27"/>
      <c r="NY27"/>
      <c r="NZ27"/>
      <c r="OA27"/>
      <c r="OB27"/>
      <c r="OC27"/>
      <c r="OD27"/>
      <c r="OE27"/>
      <c r="OF27"/>
      <c r="OG27"/>
      <c r="OH27"/>
      <c r="OI27"/>
      <c r="OJ27"/>
      <c r="OK27"/>
      <c r="OL27"/>
      <c r="OM27"/>
      <c r="ON27"/>
      <c r="OO27"/>
      <c r="OP27"/>
      <c r="OQ27"/>
      <c r="OR27"/>
      <c r="OS27"/>
      <c r="OT27"/>
      <c r="OU27"/>
      <c r="OV27"/>
      <c r="OW27"/>
      <c r="OX27"/>
      <c r="OY27"/>
      <c r="OZ27"/>
      <c r="PA27"/>
      <c r="PB27"/>
      <c r="PC27"/>
      <c r="PD27"/>
      <c r="PE27"/>
      <c r="PF27"/>
      <c r="PG27"/>
      <c r="PH27"/>
      <c r="PI27"/>
      <c r="PJ27"/>
      <c r="PK27"/>
      <c r="PL27"/>
      <c r="PM27"/>
      <c r="PN27"/>
      <c r="PO27"/>
      <c r="PP27"/>
      <c r="PQ27"/>
      <c r="PR27"/>
      <c r="PS27"/>
      <c r="PT27"/>
      <c r="PU27"/>
      <c r="PV27"/>
      <c r="PW27"/>
      <c r="PX27"/>
      <c r="PY27"/>
      <c r="PZ27"/>
      <c r="QA27"/>
      <c r="QB27"/>
      <c r="QC27"/>
      <c r="QD27"/>
      <c r="QE27"/>
      <c r="QF27"/>
      <c r="QG27"/>
      <c r="QH27"/>
      <c r="QI27"/>
      <c r="QJ27"/>
      <c r="QK27"/>
      <c r="QL27"/>
      <c r="QM27"/>
      <c r="QN27"/>
      <c r="QO27"/>
      <c r="QP27"/>
      <c r="QQ27"/>
      <c r="QR27"/>
      <c r="QS27"/>
      <c r="QT27"/>
      <c r="QU27"/>
      <c r="QV27"/>
      <c r="QW27"/>
      <c r="QX27"/>
      <c r="QY27"/>
      <c r="QZ27"/>
      <c r="RA27"/>
      <c r="RB27"/>
      <c r="RC27"/>
      <c r="RD27"/>
      <c r="RE27"/>
      <c r="RF27"/>
      <c r="RG27"/>
      <c r="RH27"/>
      <c r="RI27"/>
      <c r="RJ27"/>
      <c r="RK27"/>
      <c r="RL27"/>
      <c r="RM27"/>
      <c r="RN27"/>
      <c r="RO27"/>
      <c r="RP27"/>
      <c r="RQ27"/>
      <c r="RR27"/>
      <c r="RS27"/>
      <c r="RT27"/>
      <c r="RU27"/>
      <c r="RV27"/>
      <c r="RW27"/>
      <c r="RX27"/>
      <c r="RY27"/>
      <c r="RZ27"/>
      <c r="SA27"/>
      <c r="SB27"/>
      <c r="SC27"/>
      <c r="SD27"/>
      <c r="SE27"/>
      <c r="SF27"/>
      <c r="SG27"/>
      <c r="SH27"/>
      <c r="SI27"/>
      <c r="SJ27"/>
      <c r="SK27"/>
      <c r="SL27"/>
      <c r="SM27"/>
      <c r="SN27"/>
      <c r="SO27"/>
      <c r="SP27"/>
      <c r="SQ27"/>
      <c r="SR27"/>
      <c r="SS27"/>
      <c r="ST27"/>
      <c r="SU27"/>
      <c r="SV27"/>
      <c r="SW27"/>
      <c r="SX27"/>
      <c r="SY27"/>
      <c r="SZ27"/>
      <c r="TA27"/>
      <c r="TB27"/>
      <c r="TC27"/>
      <c r="TD27"/>
      <c r="TE27"/>
      <c r="TF27"/>
      <c r="TG27"/>
      <c r="TH27"/>
      <c r="TI27"/>
      <c r="TJ27"/>
      <c r="TK27"/>
      <c r="TL27"/>
      <c r="TM27"/>
      <c r="TN27"/>
      <c r="TO27"/>
      <c r="TP27"/>
      <c r="TQ27"/>
      <c r="TR27"/>
      <c r="TS27"/>
      <c r="TT27"/>
      <c r="TU27"/>
      <c r="TV27"/>
      <c r="TW27"/>
      <c r="TX27"/>
      <c r="TY27"/>
      <c r="TZ27"/>
      <c r="UA27"/>
      <c r="UB27"/>
      <c r="UC27"/>
      <c r="UD27"/>
      <c r="UE27"/>
      <c r="UF27"/>
      <c r="UG27"/>
      <c r="UH27"/>
      <c r="UI27"/>
      <c r="UJ27"/>
      <c r="UK27"/>
      <c r="UL27"/>
      <c r="UM27"/>
      <c r="UN27"/>
      <c r="UO27"/>
      <c r="UP27"/>
      <c r="UQ27"/>
      <c r="UR27"/>
      <c r="US27"/>
      <c r="UT27"/>
      <c r="UU27"/>
      <c r="UV27"/>
      <c r="UW27"/>
      <c r="UX27"/>
      <c r="UY27"/>
      <c r="UZ27"/>
      <c r="VA27"/>
      <c r="VB27"/>
      <c r="VC27"/>
      <c r="VD27"/>
      <c r="VE27"/>
      <c r="VF27"/>
      <c r="VG27"/>
      <c r="VH27"/>
      <c r="VI27"/>
      <c r="VJ27"/>
      <c r="VK27"/>
      <c r="VL27"/>
      <c r="VM27"/>
      <c r="VN27"/>
      <c r="VO27"/>
      <c r="VP27"/>
      <c r="VQ27"/>
      <c r="VR27"/>
      <c r="VS27"/>
      <c r="VT27"/>
      <c r="VU27"/>
      <c r="VV27"/>
      <c r="VW27"/>
      <c r="VX27"/>
      <c r="VY27"/>
      <c r="VZ27"/>
      <c r="WA27"/>
      <c r="WB27"/>
      <c r="WC27"/>
      <c r="WD27"/>
      <c r="WE27"/>
      <c r="WF27"/>
      <c r="WG27"/>
      <c r="WH27"/>
      <c r="WI27"/>
      <c r="WJ27"/>
      <c r="WK27"/>
      <c r="WL27"/>
      <c r="WM27"/>
      <c r="WN27"/>
      <c r="WO27"/>
      <c r="WP27"/>
      <c r="WQ27"/>
      <c r="WR27"/>
      <c r="WS27"/>
      <c r="WT27"/>
      <c r="WU27"/>
      <c r="WV27"/>
      <c r="WW27"/>
      <c r="WX27"/>
      <c r="WY27"/>
      <c r="WZ27"/>
      <c r="XA27"/>
      <c r="XB27"/>
      <c r="XC27"/>
      <c r="XD27"/>
      <c r="XE27"/>
      <c r="XF27"/>
      <c r="XG27"/>
      <c r="XH27"/>
      <c r="XI27"/>
      <c r="XJ27"/>
      <c r="XK27"/>
      <c r="XL27"/>
      <c r="XM27"/>
      <c r="XN27"/>
      <c r="XO27"/>
      <c r="XP27"/>
      <c r="XQ27"/>
      <c r="XR27"/>
      <c r="XS27"/>
      <c r="XT27"/>
      <c r="XU27"/>
      <c r="XV27"/>
      <c r="XW27"/>
      <c r="XX27"/>
      <c r="XY27"/>
      <c r="XZ27"/>
      <c r="YA27"/>
      <c r="YB27"/>
      <c r="YC27"/>
      <c r="YD27"/>
      <c r="YE27"/>
      <c r="YF27"/>
      <c r="YG27"/>
      <c r="YH27"/>
      <c r="YI27"/>
      <c r="YJ27"/>
      <c r="YK27"/>
      <c r="YL27"/>
      <c r="YM27"/>
      <c r="YN27"/>
      <c r="YO27"/>
      <c r="YP27"/>
      <c r="YQ27"/>
      <c r="YR27"/>
      <c r="YS27"/>
      <c r="YT27"/>
      <c r="YU27"/>
      <c r="YV27"/>
      <c r="YW27"/>
      <c r="YX27"/>
      <c r="YY27"/>
      <c r="YZ27"/>
      <c r="ZA27"/>
      <c r="ZB27"/>
      <c r="ZC27"/>
      <c r="ZD27"/>
      <c r="ZE27"/>
      <c r="ZF27"/>
      <c r="ZG27"/>
      <c r="ZH27"/>
      <c r="ZI27"/>
      <c r="ZJ27"/>
      <c r="ZK27"/>
      <c r="ZL27"/>
      <c r="ZM27"/>
      <c r="ZN27"/>
      <c r="ZO27"/>
      <c r="ZP27"/>
      <c r="ZQ27"/>
      <c r="ZR27"/>
      <c r="ZS27"/>
      <c r="ZT27"/>
      <c r="ZU27"/>
      <c r="ZV27"/>
      <c r="ZW27"/>
      <c r="ZX27"/>
      <c r="ZY27"/>
      <c r="ZZ27"/>
      <c r="AAA27"/>
      <c r="AAB27"/>
      <c r="AAC27"/>
      <c r="AAD27"/>
      <c r="AAE27"/>
      <c r="AAF27"/>
      <c r="AAG27"/>
      <c r="AAH27"/>
      <c r="AAI27"/>
      <c r="AAJ27"/>
      <c r="AAK27"/>
      <c r="AAL27"/>
      <c r="AAM27"/>
      <c r="AAN27"/>
      <c r="AAO27"/>
      <c r="AAP27"/>
      <c r="AAQ27"/>
      <c r="AAR27"/>
      <c r="AAS27"/>
      <c r="AAT27"/>
      <c r="AAU27"/>
      <c r="AAV27"/>
      <c r="AAW27"/>
      <c r="AAX27"/>
      <c r="AAY27"/>
      <c r="AAZ27"/>
      <c r="ABA27"/>
      <c r="ABB27"/>
      <c r="ABC27"/>
      <c r="ABD27"/>
      <c r="ABE27"/>
      <c r="ABF27"/>
      <c r="ABG27"/>
      <c r="ABH27"/>
      <c r="ABI27"/>
      <c r="ABJ27"/>
      <c r="ABK27"/>
      <c r="ABL27"/>
      <c r="ABM27"/>
      <c r="ABN27"/>
      <c r="ABO27"/>
      <c r="ABP27"/>
      <c r="ABQ27"/>
      <c r="ABR27"/>
      <c r="ABS27"/>
      <c r="ABT27"/>
      <c r="ABU27"/>
      <c r="ABV27"/>
      <c r="ABW27"/>
      <c r="ABX27"/>
      <c r="ABY27"/>
      <c r="ABZ27"/>
      <c r="ACA27"/>
      <c r="ACB27"/>
      <c r="ACC27"/>
      <c r="ACD27"/>
      <c r="ACE27"/>
      <c r="ACF27"/>
      <c r="ACG27"/>
      <c r="ACH27"/>
      <c r="ACI27"/>
      <c r="ACJ27"/>
      <c r="ACK27"/>
      <c r="ACL27"/>
      <c r="ACM27"/>
      <c r="ACN27"/>
      <c r="ACO27"/>
      <c r="ACP27"/>
      <c r="ACQ27"/>
      <c r="ACR27"/>
      <c r="ACS27"/>
      <c r="ACT27"/>
      <c r="ACU27"/>
      <c r="ACV27"/>
      <c r="ACW27"/>
      <c r="ACX27"/>
      <c r="ACY27"/>
      <c r="ACZ27"/>
      <c r="ADA27"/>
      <c r="ADB27"/>
      <c r="ADC27"/>
      <c r="ADD27"/>
      <c r="ADE27"/>
      <c r="ADF27"/>
      <c r="ADG27"/>
      <c r="ADH27"/>
      <c r="ADI27"/>
      <c r="ADJ27"/>
      <c r="ADK27"/>
      <c r="ADL27"/>
      <c r="ADM27"/>
      <c r="ADN27"/>
      <c r="ADO27"/>
      <c r="ADP27"/>
      <c r="ADQ27"/>
      <c r="ADR27"/>
      <c r="ADS27"/>
      <c r="ADT27"/>
      <c r="ADU27"/>
      <c r="ADV27"/>
      <c r="ADW27"/>
      <c r="ADX27"/>
      <c r="ADY27"/>
      <c r="ADZ27"/>
      <c r="AEA27"/>
      <c r="AEB27"/>
      <c r="AEC27"/>
      <c r="AED27"/>
      <c r="AEE27"/>
      <c r="AEF27"/>
      <c r="AEG27"/>
      <c r="AEH27"/>
      <c r="AEI27"/>
      <c r="AEJ27"/>
      <c r="AEK27"/>
      <c r="AEL27"/>
      <c r="AEM27"/>
      <c r="AEN27"/>
      <c r="AEO27"/>
      <c r="AEP27"/>
      <c r="AEQ27"/>
      <c r="AER27"/>
      <c r="AES27"/>
      <c r="AET27"/>
      <c r="AEU27"/>
      <c r="AEV27"/>
      <c r="AEW27"/>
      <c r="AEX27"/>
      <c r="AEY27"/>
      <c r="AEZ27"/>
      <c r="AFA27"/>
      <c r="AFB27"/>
      <c r="AFC27"/>
      <c r="AFD27"/>
      <c r="AFE27"/>
      <c r="AFF27"/>
      <c r="AFG27"/>
      <c r="AFH27"/>
      <c r="AFI27"/>
      <c r="AFJ27"/>
      <c r="AFK27"/>
      <c r="AFL27"/>
      <c r="AFM27"/>
      <c r="AFN27"/>
      <c r="AFO27"/>
      <c r="AFP27"/>
      <c r="AFQ27"/>
      <c r="AFR27"/>
      <c r="AFS27"/>
      <c r="AFT27"/>
      <c r="AFU27"/>
      <c r="AFV27"/>
      <c r="AFW27"/>
      <c r="AFX27"/>
      <c r="AFY27"/>
      <c r="AFZ27"/>
      <c r="AGA27"/>
      <c r="AGB27"/>
      <c r="AGC27"/>
      <c r="AGD27"/>
      <c r="AGE27"/>
      <c r="AGF27"/>
      <c r="AGG27"/>
      <c r="AGH27"/>
      <c r="AGI27"/>
      <c r="AGJ27"/>
      <c r="AGK27"/>
      <c r="AGL27"/>
      <c r="AGM27"/>
      <c r="AGN27"/>
      <c r="AGO27"/>
      <c r="AGP27"/>
      <c r="AGQ27"/>
      <c r="AGR27"/>
      <c r="AGS27"/>
      <c r="AGT27"/>
      <c r="AGU27"/>
      <c r="AGV27"/>
      <c r="AGW27"/>
      <c r="AGX27"/>
      <c r="AGY27"/>
      <c r="AGZ27"/>
      <c r="AHA27"/>
      <c r="AHB27"/>
      <c r="AHC27"/>
      <c r="AHD27"/>
      <c r="AHE27"/>
      <c r="AHF27"/>
      <c r="AHG27"/>
      <c r="AHH27"/>
      <c r="AHI27"/>
      <c r="AHJ27"/>
      <c r="AHK27"/>
      <c r="AHL27"/>
      <c r="AHM27"/>
      <c r="AHN27"/>
      <c r="AHO27"/>
      <c r="AHP27"/>
      <c r="AHQ27"/>
      <c r="AHR27"/>
      <c r="AHS27"/>
      <c r="AHT27"/>
      <c r="AHU27"/>
      <c r="AHV27"/>
      <c r="AHW27"/>
      <c r="AHX27"/>
      <c r="AHY27"/>
      <c r="AHZ27"/>
      <c r="AIA27"/>
      <c r="AIB27"/>
      <c r="AIC27"/>
      <c r="AID27"/>
      <c r="AIE27"/>
      <c r="AIF27"/>
      <c r="AIG27"/>
      <c r="AIH27"/>
      <c r="AII27"/>
      <c r="AIJ27"/>
      <c r="AIK27"/>
      <c r="AIL27"/>
      <c r="AIM27"/>
      <c r="AIN27"/>
      <c r="AIO27"/>
      <c r="AIP27"/>
      <c r="AIQ27"/>
      <c r="AIR27"/>
      <c r="AIS27"/>
      <c r="AIT27"/>
      <c r="AIU27"/>
      <c r="AIV27"/>
      <c r="AIW27"/>
      <c r="AIX27"/>
      <c r="AIY27"/>
      <c r="AIZ27"/>
      <c r="AJA27"/>
      <c r="AJB27"/>
      <c r="AJC27"/>
      <c r="AJD27"/>
      <c r="AJE27"/>
      <c r="AJF27"/>
      <c r="AJG27"/>
      <c r="AJH27"/>
      <c r="AJI27"/>
      <c r="AJJ27"/>
      <c r="AJK27"/>
      <c r="AJL27"/>
      <c r="AJM27"/>
      <c r="AJN27"/>
      <c r="AJO27"/>
      <c r="AJP27"/>
      <c r="AJQ27"/>
      <c r="AJR27"/>
      <c r="AJS27"/>
      <c r="AJT27"/>
      <c r="AJU27"/>
      <c r="AJV27"/>
      <c r="AJW27"/>
      <c r="AJX27"/>
      <c r="AJY27"/>
      <c r="AJZ27"/>
      <c r="AKA27"/>
      <c r="AKB27"/>
      <c r="AKC27"/>
      <c r="AKD27"/>
      <c r="AKE27"/>
      <c r="AKF27"/>
      <c r="AKG27"/>
      <c r="AKH27"/>
      <c r="AKI27"/>
      <c r="AKJ27"/>
      <c r="AKK27"/>
      <c r="AKL27"/>
      <c r="AKM27"/>
      <c r="AKN27"/>
      <c r="AKO27"/>
      <c r="AKP27"/>
      <c r="AKQ27"/>
      <c r="AKR27"/>
      <c r="AKS27"/>
      <c r="AKT27"/>
      <c r="AKU27"/>
      <c r="AKV27"/>
      <c r="AKW27"/>
      <c r="AKX27"/>
      <c r="AKY27"/>
      <c r="AKZ27"/>
      <c r="ALA27"/>
      <c r="ALB27"/>
      <c r="ALC27"/>
      <c r="ALD27"/>
      <c r="ALE27"/>
      <c r="ALF27"/>
      <c r="ALG27"/>
      <c r="ALH27"/>
      <c r="ALI27"/>
      <c r="ALJ27"/>
      <c r="ALK27"/>
      <c r="ALL27"/>
      <c r="ALM27"/>
      <c r="ALN27"/>
      <c r="ALO27"/>
      <c r="ALP27"/>
      <c r="ALQ27"/>
      <c r="ALR27"/>
      <c r="ALS27"/>
      <c r="ALT27"/>
      <c r="ALU27"/>
      <c r="ALV27"/>
      <c r="ALW27"/>
      <c r="ALX27"/>
      <c r="ALY27"/>
      <c r="ALZ27"/>
      <c r="AMA27"/>
      <c r="AMB27"/>
      <c r="AMC27"/>
      <c r="AMD27"/>
      <c r="AME27"/>
      <c r="AMF27"/>
      <c r="AMG27"/>
      <c r="AMH27"/>
      <c r="AMI27"/>
      <c r="AMJ27"/>
      <c r="AMK27"/>
      <c r="AML27"/>
      <c r="AMM27"/>
      <c r="AMN27"/>
      <c r="AMO27"/>
      <c r="AMP27"/>
      <c r="AMQ27"/>
      <c r="AMR27"/>
      <c r="AMS27"/>
      <c r="AMT27"/>
      <c r="AMU27"/>
      <c r="AMV27"/>
      <c r="AMW27"/>
      <c r="AMX27"/>
      <c r="AMY27"/>
      <c r="AMZ27"/>
      <c r="ANA27"/>
      <c r="ANB27"/>
      <c r="ANC27"/>
      <c r="AND27"/>
      <c r="ANE27"/>
      <c r="ANF27"/>
      <c r="ANG27"/>
      <c r="ANH27"/>
      <c r="ANI27"/>
      <c r="ANJ27"/>
      <c r="ANK27"/>
      <c r="ANL27"/>
      <c r="ANM27"/>
      <c r="ANN27"/>
      <c r="ANO27"/>
    </row>
    <row r="28" spans="1:1055" s="36" customFormat="1" x14ac:dyDescent="0.25">
      <c r="A28" s="34" t="s">
        <v>50</v>
      </c>
      <c r="B28" s="35">
        <v>0</v>
      </c>
      <c r="C28" s="36">
        <v>0</v>
      </c>
      <c r="D28" s="36">
        <v>0</v>
      </c>
      <c r="E28" s="37">
        <v>170000</v>
      </c>
      <c r="F28" s="35">
        <v>0</v>
      </c>
      <c r="G28" s="96">
        <v>0</v>
      </c>
      <c r="H28" s="96">
        <v>0</v>
      </c>
      <c r="I28" s="96">
        <v>0</v>
      </c>
      <c r="J28" s="97">
        <v>0</v>
      </c>
      <c r="K28" s="36">
        <v>0</v>
      </c>
      <c r="L28" s="38">
        <v>0</v>
      </c>
      <c r="M28" s="39">
        <v>0.85</v>
      </c>
      <c r="N28" s="40">
        <v>0</v>
      </c>
      <c r="O28" s="35"/>
      <c r="Q28" s="38">
        <v>0</v>
      </c>
      <c r="R28" s="35">
        <v>0</v>
      </c>
      <c r="S28" s="38">
        <v>0</v>
      </c>
      <c r="T28" s="41">
        <v>0</v>
      </c>
      <c r="U28" s="42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  <c r="AB28" s="36">
        <v>0</v>
      </c>
      <c r="AC28" s="36">
        <v>0</v>
      </c>
      <c r="AD28" s="36">
        <v>0</v>
      </c>
      <c r="AE28" s="36">
        <v>0</v>
      </c>
      <c r="AF28" s="36">
        <v>0</v>
      </c>
      <c r="AG28" s="36">
        <v>0</v>
      </c>
      <c r="AH28" s="36">
        <v>0</v>
      </c>
      <c r="AI28" s="36">
        <v>0</v>
      </c>
      <c r="AJ28" s="36">
        <v>0</v>
      </c>
      <c r="AK28" s="36">
        <v>0</v>
      </c>
      <c r="AL28" s="36">
        <v>0</v>
      </c>
      <c r="AM28" s="36">
        <v>0</v>
      </c>
      <c r="AN28" s="36">
        <v>0</v>
      </c>
      <c r="AO28" s="36">
        <v>0</v>
      </c>
      <c r="AP28" s="36">
        <v>0</v>
      </c>
      <c r="AQ28" s="36">
        <v>0</v>
      </c>
      <c r="AR28" s="38">
        <v>0</v>
      </c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  <c r="AAW28"/>
      <c r="AAX28"/>
      <c r="AAY28"/>
      <c r="AAZ28"/>
      <c r="ABA28"/>
      <c r="ABB28"/>
      <c r="ABC28"/>
      <c r="ABD28"/>
      <c r="ABE28"/>
      <c r="ABF28"/>
      <c r="ABG28"/>
      <c r="ABH28"/>
      <c r="ABI28"/>
      <c r="ABJ28"/>
      <c r="ABK28"/>
      <c r="ABL28"/>
      <c r="ABM28"/>
      <c r="ABN28"/>
      <c r="ABO28"/>
      <c r="ABP28"/>
      <c r="ABQ28"/>
      <c r="ABR28"/>
      <c r="ABS28"/>
      <c r="ABT28"/>
      <c r="ABU28"/>
      <c r="ABV28"/>
      <c r="ABW28"/>
      <c r="ABX28"/>
      <c r="ABY28"/>
      <c r="ABZ28"/>
      <c r="ACA28"/>
      <c r="ACB28"/>
      <c r="ACC28"/>
      <c r="ACD28"/>
      <c r="ACE28"/>
      <c r="ACF28"/>
      <c r="ACG28"/>
      <c r="ACH28"/>
      <c r="ACI28"/>
      <c r="ACJ28"/>
      <c r="ACK28"/>
      <c r="ACL28"/>
      <c r="ACM28"/>
      <c r="ACN28"/>
      <c r="ACO28"/>
      <c r="ACP28"/>
      <c r="ACQ28"/>
      <c r="ACR28"/>
      <c r="ACS28"/>
      <c r="ACT28"/>
      <c r="ACU28"/>
      <c r="ACV28"/>
      <c r="ACW28"/>
      <c r="ACX28"/>
      <c r="ACY28"/>
      <c r="ACZ28"/>
      <c r="ADA28"/>
      <c r="ADB28"/>
      <c r="ADC28"/>
      <c r="ADD28"/>
      <c r="ADE28"/>
      <c r="ADF28"/>
      <c r="ADG28"/>
      <c r="ADH28"/>
      <c r="ADI28"/>
      <c r="ADJ28"/>
      <c r="ADK28"/>
      <c r="ADL28"/>
      <c r="ADM28"/>
      <c r="ADN28"/>
      <c r="ADO28"/>
      <c r="ADP28"/>
      <c r="ADQ28"/>
      <c r="ADR28"/>
      <c r="ADS28"/>
      <c r="ADT28"/>
      <c r="ADU28"/>
      <c r="ADV28"/>
      <c r="ADW28"/>
      <c r="ADX28"/>
      <c r="ADY28"/>
      <c r="ADZ28"/>
      <c r="AEA28"/>
      <c r="AEB28"/>
      <c r="AEC28"/>
      <c r="AED28"/>
      <c r="AEE28"/>
      <c r="AEF28"/>
      <c r="AEG28"/>
      <c r="AEH28"/>
      <c r="AEI28"/>
      <c r="AEJ28"/>
      <c r="AEK28"/>
      <c r="AEL28"/>
      <c r="AEM28"/>
      <c r="AEN28"/>
      <c r="AEO28"/>
      <c r="AEP28"/>
      <c r="AEQ28"/>
      <c r="AER28"/>
      <c r="AES28"/>
      <c r="AET28"/>
      <c r="AEU28"/>
      <c r="AEV28"/>
      <c r="AEW28"/>
      <c r="AEX28"/>
      <c r="AEY28"/>
      <c r="AEZ28"/>
      <c r="AFA28"/>
      <c r="AFB28"/>
      <c r="AFC28"/>
      <c r="AFD28"/>
      <c r="AFE28"/>
      <c r="AFF28"/>
      <c r="AFG28"/>
      <c r="AFH28"/>
      <c r="AFI28"/>
      <c r="AFJ28"/>
      <c r="AFK28"/>
      <c r="AFL28"/>
      <c r="AFM28"/>
      <c r="AFN28"/>
      <c r="AFO28"/>
      <c r="AFP28"/>
      <c r="AFQ28"/>
      <c r="AFR28"/>
      <c r="AFS28"/>
      <c r="AFT28"/>
      <c r="AFU28"/>
      <c r="AFV28"/>
      <c r="AFW28"/>
      <c r="AFX28"/>
      <c r="AFY28"/>
      <c r="AFZ28"/>
      <c r="AGA28"/>
      <c r="AGB28"/>
      <c r="AGC28"/>
      <c r="AGD28"/>
      <c r="AGE28"/>
      <c r="AGF28"/>
      <c r="AGG28"/>
      <c r="AGH28"/>
      <c r="AGI28"/>
      <c r="AGJ28"/>
      <c r="AGK28"/>
      <c r="AGL28"/>
      <c r="AGM28"/>
      <c r="AGN28"/>
      <c r="AGO28"/>
      <c r="AGP28"/>
      <c r="AGQ28"/>
      <c r="AGR28"/>
      <c r="AGS28"/>
      <c r="AGT28"/>
      <c r="AGU28"/>
      <c r="AGV28"/>
      <c r="AGW28"/>
      <c r="AGX28"/>
      <c r="AGY28"/>
      <c r="AGZ28"/>
      <c r="AHA28"/>
      <c r="AHB28"/>
      <c r="AHC28"/>
      <c r="AHD28"/>
      <c r="AHE28"/>
      <c r="AHF28"/>
      <c r="AHG28"/>
      <c r="AHH28"/>
      <c r="AHI28"/>
      <c r="AHJ28"/>
      <c r="AHK28"/>
      <c r="AHL28"/>
      <c r="AHM28"/>
      <c r="AHN28"/>
      <c r="AHO28"/>
      <c r="AHP28"/>
      <c r="AHQ28"/>
      <c r="AHR28"/>
      <c r="AHS28"/>
      <c r="AHT28"/>
      <c r="AHU28"/>
      <c r="AHV28"/>
      <c r="AHW28"/>
      <c r="AHX28"/>
      <c r="AHY28"/>
      <c r="AHZ28"/>
      <c r="AIA28"/>
      <c r="AIB28"/>
      <c r="AIC28"/>
      <c r="AID28"/>
      <c r="AIE28"/>
      <c r="AIF28"/>
      <c r="AIG28"/>
      <c r="AIH28"/>
      <c r="AII28"/>
      <c r="AIJ28"/>
      <c r="AIK28"/>
      <c r="AIL28"/>
      <c r="AIM28"/>
      <c r="AIN28"/>
      <c r="AIO28"/>
      <c r="AIP28"/>
      <c r="AIQ28"/>
      <c r="AIR28"/>
      <c r="AIS28"/>
      <c r="AIT28"/>
      <c r="AIU28"/>
      <c r="AIV28"/>
      <c r="AIW28"/>
      <c r="AIX28"/>
      <c r="AIY28"/>
      <c r="AIZ28"/>
      <c r="AJA28"/>
      <c r="AJB28"/>
      <c r="AJC28"/>
      <c r="AJD28"/>
      <c r="AJE28"/>
      <c r="AJF28"/>
      <c r="AJG28"/>
      <c r="AJH28"/>
      <c r="AJI28"/>
      <c r="AJJ28"/>
      <c r="AJK28"/>
      <c r="AJL28"/>
      <c r="AJM28"/>
      <c r="AJN28"/>
      <c r="AJO28"/>
      <c r="AJP28"/>
      <c r="AJQ28"/>
      <c r="AJR28"/>
      <c r="AJS28"/>
      <c r="AJT28"/>
      <c r="AJU28"/>
      <c r="AJV28"/>
      <c r="AJW28"/>
      <c r="AJX28"/>
      <c r="AJY28"/>
      <c r="AJZ28"/>
      <c r="AKA28"/>
      <c r="AKB28"/>
      <c r="AKC28"/>
      <c r="AKD28"/>
      <c r="AKE28"/>
      <c r="AKF28"/>
      <c r="AKG28"/>
      <c r="AKH28"/>
      <c r="AKI28"/>
      <c r="AKJ28"/>
      <c r="AKK28"/>
      <c r="AKL28"/>
      <c r="AKM28"/>
      <c r="AKN28"/>
      <c r="AKO28"/>
      <c r="AKP28"/>
      <c r="AKQ28"/>
      <c r="AKR28"/>
      <c r="AKS28"/>
      <c r="AKT28"/>
      <c r="AKU28"/>
      <c r="AKV28"/>
      <c r="AKW28"/>
      <c r="AKX28"/>
      <c r="AKY28"/>
      <c r="AKZ28"/>
      <c r="ALA28"/>
      <c r="ALB28"/>
      <c r="ALC28"/>
      <c r="ALD28"/>
      <c r="ALE28"/>
      <c r="ALF28"/>
      <c r="ALG28"/>
      <c r="ALH28"/>
      <c r="ALI28"/>
      <c r="ALJ28"/>
      <c r="ALK28"/>
      <c r="ALL28"/>
      <c r="ALM28"/>
      <c r="ALN28"/>
      <c r="ALO28"/>
      <c r="ALP28"/>
      <c r="ALQ28"/>
      <c r="ALR28"/>
      <c r="ALS28"/>
      <c r="ALT28"/>
      <c r="ALU28"/>
      <c r="ALV28"/>
      <c r="ALW28"/>
      <c r="ALX28"/>
      <c r="ALY28"/>
      <c r="ALZ28"/>
      <c r="AMA28"/>
      <c r="AMB28"/>
      <c r="AMC28"/>
      <c r="AMD28"/>
      <c r="AME28"/>
      <c r="AMF28"/>
      <c r="AMG28"/>
      <c r="AMH28"/>
      <c r="AMI28"/>
      <c r="AMJ28"/>
      <c r="AMK28"/>
      <c r="AML28"/>
      <c r="AMM28"/>
      <c r="AMN28"/>
      <c r="AMO28"/>
      <c r="AMP28"/>
      <c r="AMQ28"/>
      <c r="AMR28"/>
      <c r="AMS28"/>
      <c r="AMT28"/>
      <c r="AMU28"/>
      <c r="AMV28"/>
      <c r="AMW28"/>
      <c r="AMX28"/>
      <c r="AMY28"/>
      <c r="AMZ28"/>
      <c r="ANA28"/>
      <c r="ANB28"/>
      <c r="ANC28"/>
      <c r="AND28"/>
      <c r="ANE28"/>
      <c r="ANF28"/>
      <c r="ANG28"/>
      <c r="ANH28"/>
      <c r="ANI28"/>
      <c r="ANJ28"/>
      <c r="ANK28"/>
      <c r="ANL28"/>
      <c r="ANM28"/>
      <c r="ANN28"/>
      <c r="ANO28"/>
    </row>
    <row r="29" spans="1:1055" s="36" customFormat="1" x14ac:dyDescent="0.25">
      <c r="A29" s="34" t="s">
        <v>51</v>
      </c>
      <c r="B29" s="35">
        <v>0</v>
      </c>
      <c r="C29" s="36">
        <v>0</v>
      </c>
      <c r="D29" s="36">
        <v>0</v>
      </c>
      <c r="E29" s="37">
        <v>0</v>
      </c>
      <c r="F29" s="35">
        <v>34.4</v>
      </c>
      <c r="G29" s="97">
        <v>0.1</v>
      </c>
      <c r="H29" s="97">
        <v>0.12</v>
      </c>
      <c r="I29" s="97">
        <v>0.67400000000000004</v>
      </c>
      <c r="J29" s="97">
        <v>0.67</v>
      </c>
      <c r="K29" s="36">
        <v>0</v>
      </c>
      <c r="L29" s="38">
        <v>0</v>
      </c>
      <c r="M29" s="39">
        <v>853</v>
      </c>
      <c r="N29" s="40">
        <v>0</v>
      </c>
      <c r="O29" s="35"/>
      <c r="Q29" s="38">
        <v>5.0000000000000001E-3</v>
      </c>
      <c r="R29" s="35">
        <v>13.5</v>
      </c>
      <c r="S29" s="38">
        <v>39.5</v>
      </c>
      <c r="T29" s="41">
        <v>804.07748378876397</v>
      </c>
      <c r="U29" s="42">
        <v>-25209.405062563001</v>
      </c>
      <c r="V29" s="36">
        <v>6100</v>
      </c>
      <c r="W29" s="36">
        <v>6300</v>
      </c>
      <c r="X29" s="36">
        <v>11000</v>
      </c>
      <c r="Y29" s="36">
        <v>14000</v>
      </c>
      <c r="Z29" s="36">
        <v>15000</v>
      </c>
      <c r="AA29" s="36">
        <v>14000</v>
      </c>
      <c r="AB29" s="36">
        <v>14000</v>
      </c>
      <c r="AC29" s="36">
        <v>15100</v>
      </c>
      <c r="AD29" s="36">
        <v>14200</v>
      </c>
      <c r="AE29" s="36">
        <v>15100</v>
      </c>
      <c r="AF29" s="36">
        <v>20200</v>
      </c>
      <c r="AG29" s="36">
        <v>20600</v>
      </c>
      <c r="AH29" s="36">
        <v>23500</v>
      </c>
      <c r="AI29" s="36">
        <v>25800</v>
      </c>
      <c r="AJ29" s="36">
        <v>25400</v>
      </c>
      <c r="AK29" s="36">
        <v>18800</v>
      </c>
      <c r="AL29" s="36">
        <v>28100</v>
      </c>
      <c r="AM29" s="36">
        <v>34100</v>
      </c>
      <c r="AN29" s="36">
        <v>35000</v>
      </c>
      <c r="AO29" s="36">
        <v>34000</v>
      </c>
      <c r="AP29" s="36">
        <v>31700</v>
      </c>
      <c r="AQ29" s="36">
        <v>31500</v>
      </c>
      <c r="AR29" s="38">
        <v>35000</v>
      </c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  <c r="LQ29"/>
      <c r="LR29"/>
      <c r="LS29"/>
      <c r="LT29"/>
      <c r="LU29"/>
      <c r="LV29"/>
      <c r="LW29"/>
      <c r="LX29"/>
      <c r="LY29"/>
      <c r="LZ29"/>
      <c r="MA29"/>
      <c r="MB29"/>
      <c r="MC29"/>
      <c r="MD29"/>
      <c r="ME29"/>
      <c r="MF29"/>
      <c r="MG29"/>
      <c r="MH29"/>
      <c r="MI29"/>
      <c r="MJ29"/>
      <c r="MK29"/>
      <c r="ML29"/>
      <c r="MM29"/>
      <c r="MN29"/>
      <c r="MO29"/>
      <c r="MP29"/>
      <c r="MQ29"/>
      <c r="MR29"/>
      <c r="MS29"/>
      <c r="MT29"/>
      <c r="MU29"/>
      <c r="MV29"/>
      <c r="MW29"/>
      <c r="MX29"/>
      <c r="MY29"/>
      <c r="MZ29"/>
      <c r="NA29"/>
      <c r="NB29"/>
      <c r="NC29"/>
      <c r="ND29"/>
      <c r="NE29"/>
      <c r="NF29"/>
      <c r="NG29"/>
      <c r="NH29"/>
      <c r="NI29"/>
      <c r="NJ29"/>
      <c r="NK29"/>
      <c r="NL29"/>
      <c r="NM29"/>
      <c r="NN29"/>
      <c r="NO29"/>
      <c r="NP29"/>
      <c r="NQ29"/>
      <c r="NR29"/>
      <c r="NS29"/>
      <c r="NT29"/>
      <c r="NU29"/>
      <c r="NV29"/>
      <c r="NW29"/>
      <c r="NX29"/>
      <c r="NY29"/>
      <c r="NZ29"/>
      <c r="OA29"/>
      <c r="OB29"/>
      <c r="OC29"/>
      <c r="OD29"/>
      <c r="OE29"/>
      <c r="OF29"/>
      <c r="OG29"/>
      <c r="OH29"/>
      <c r="OI29"/>
      <c r="OJ29"/>
      <c r="OK29"/>
      <c r="OL29"/>
      <c r="OM29"/>
      <c r="ON29"/>
      <c r="OO29"/>
      <c r="OP29"/>
      <c r="OQ29"/>
      <c r="OR29"/>
      <c r="OS29"/>
      <c r="OT29"/>
      <c r="OU29"/>
      <c r="OV29"/>
      <c r="OW29"/>
      <c r="OX29"/>
      <c r="OY29"/>
      <c r="OZ29"/>
      <c r="PA29"/>
      <c r="PB29"/>
      <c r="PC29"/>
      <c r="PD29"/>
      <c r="PE29"/>
      <c r="PF29"/>
      <c r="PG29"/>
      <c r="PH29"/>
      <c r="PI29"/>
      <c r="PJ29"/>
      <c r="PK29"/>
      <c r="PL29"/>
      <c r="PM29"/>
      <c r="PN29"/>
      <c r="PO29"/>
      <c r="PP29"/>
      <c r="PQ29"/>
      <c r="PR29"/>
      <c r="PS29"/>
      <c r="PT29"/>
      <c r="PU29"/>
      <c r="PV29"/>
      <c r="PW29"/>
      <c r="PX29"/>
      <c r="PY29"/>
      <c r="PZ29"/>
      <c r="QA29"/>
      <c r="QB29"/>
      <c r="QC29"/>
      <c r="QD29"/>
      <c r="QE29"/>
      <c r="QF29"/>
      <c r="QG29"/>
      <c r="QH29"/>
      <c r="QI29"/>
      <c r="QJ29"/>
      <c r="QK29"/>
      <c r="QL29"/>
      <c r="QM29"/>
      <c r="QN29"/>
      <c r="QO29"/>
      <c r="QP29"/>
      <c r="QQ29"/>
      <c r="QR29"/>
      <c r="QS29"/>
      <c r="QT29"/>
      <c r="QU29"/>
      <c r="QV29"/>
      <c r="QW29"/>
      <c r="QX29"/>
      <c r="QY29"/>
      <c r="QZ29"/>
      <c r="RA29"/>
      <c r="RB29"/>
      <c r="RC29"/>
      <c r="RD29"/>
      <c r="RE29"/>
      <c r="RF29"/>
      <c r="RG29"/>
      <c r="RH29"/>
      <c r="RI29"/>
      <c r="RJ29"/>
      <c r="RK29"/>
      <c r="RL29"/>
      <c r="RM29"/>
      <c r="RN29"/>
      <c r="RO29"/>
      <c r="RP29"/>
      <c r="RQ29"/>
      <c r="RR29"/>
      <c r="RS29"/>
      <c r="RT29"/>
      <c r="RU29"/>
      <c r="RV29"/>
      <c r="RW29"/>
      <c r="RX29"/>
      <c r="RY29"/>
      <c r="RZ29"/>
      <c r="SA29"/>
      <c r="SB29"/>
      <c r="SC29"/>
      <c r="SD29"/>
      <c r="SE29"/>
      <c r="SF29"/>
      <c r="SG29"/>
      <c r="SH29"/>
      <c r="SI29"/>
      <c r="SJ29"/>
      <c r="SK29"/>
      <c r="SL29"/>
      <c r="SM29"/>
      <c r="SN29"/>
      <c r="SO29"/>
      <c r="SP29"/>
      <c r="SQ29"/>
      <c r="SR29"/>
      <c r="SS29"/>
      <c r="ST29"/>
      <c r="SU29"/>
      <c r="SV29"/>
      <c r="SW29"/>
      <c r="SX29"/>
      <c r="SY29"/>
      <c r="SZ29"/>
      <c r="TA29"/>
      <c r="TB29"/>
      <c r="TC29"/>
      <c r="TD29"/>
      <c r="TE29"/>
      <c r="TF29"/>
      <c r="TG29"/>
      <c r="TH29"/>
      <c r="TI29"/>
      <c r="TJ29"/>
      <c r="TK29"/>
      <c r="TL29"/>
      <c r="TM29"/>
      <c r="TN29"/>
      <c r="TO29"/>
      <c r="TP29"/>
      <c r="TQ29"/>
      <c r="TR29"/>
      <c r="TS29"/>
      <c r="TT29"/>
      <c r="TU29"/>
      <c r="TV29"/>
      <c r="TW29"/>
      <c r="TX29"/>
      <c r="TY29"/>
      <c r="TZ29"/>
      <c r="UA29"/>
      <c r="UB29"/>
      <c r="UC29"/>
      <c r="UD29"/>
      <c r="UE29"/>
      <c r="UF29"/>
      <c r="UG29"/>
      <c r="UH29"/>
      <c r="UI29"/>
      <c r="UJ29"/>
      <c r="UK29"/>
      <c r="UL29"/>
      <c r="UM29"/>
      <c r="UN29"/>
      <c r="UO29"/>
      <c r="UP29"/>
      <c r="UQ29"/>
      <c r="UR29"/>
      <c r="US29"/>
      <c r="UT29"/>
      <c r="UU29"/>
      <c r="UV29"/>
      <c r="UW29"/>
      <c r="UX29"/>
      <c r="UY29"/>
      <c r="UZ29"/>
      <c r="VA29"/>
      <c r="VB29"/>
      <c r="VC29"/>
      <c r="VD29"/>
      <c r="VE29"/>
      <c r="VF29"/>
      <c r="VG29"/>
      <c r="VH29"/>
      <c r="VI29"/>
      <c r="VJ29"/>
      <c r="VK29"/>
      <c r="VL29"/>
      <c r="VM29"/>
      <c r="VN29"/>
      <c r="VO29"/>
      <c r="VP29"/>
      <c r="VQ29"/>
      <c r="VR29"/>
      <c r="VS29"/>
      <c r="VT29"/>
      <c r="VU29"/>
      <c r="VV29"/>
      <c r="VW29"/>
      <c r="VX29"/>
      <c r="VY29"/>
      <c r="VZ29"/>
      <c r="WA29"/>
      <c r="WB29"/>
      <c r="WC29"/>
      <c r="WD29"/>
      <c r="WE29"/>
      <c r="WF29"/>
      <c r="WG29"/>
      <c r="WH29"/>
      <c r="WI29"/>
      <c r="WJ29"/>
      <c r="WK29"/>
      <c r="WL29"/>
      <c r="WM29"/>
      <c r="WN29"/>
      <c r="WO29"/>
      <c r="WP29"/>
      <c r="WQ29"/>
      <c r="WR29"/>
      <c r="WS29"/>
      <c r="WT29"/>
      <c r="WU29"/>
      <c r="WV29"/>
      <c r="WW29"/>
      <c r="WX29"/>
      <c r="WY29"/>
      <c r="WZ29"/>
      <c r="XA29"/>
      <c r="XB29"/>
      <c r="XC29"/>
      <c r="XD29"/>
      <c r="XE29"/>
      <c r="XF29"/>
      <c r="XG29"/>
      <c r="XH29"/>
      <c r="XI29"/>
      <c r="XJ29"/>
      <c r="XK29"/>
      <c r="XL29"/>
      <c r="XM29"/>
      <c r="XN29"/>
      <c r="XO29"/>
      <c r="XP29"/>
      <c r="XQ29"/>
      <c r="XR29"/>
      <c r="XS29"/>
      <c r="XT29"/>
      <c r="XU29"/>
      <c r="XV29"/>
      <c r="XW29"/>
      <c r="XX29"/>
      <c r="XY29"/>
      <c r="XZ29"/>
      <c r="YA29"/>
      <c r="YB29"/>
      <c r="YC29"/>
      <c r="YD29"/>
      <c r="YE29"/>
      <c r="YF29"/>
      <c r="YG29"/>
      <c r="YH29"/>
      <c r="YI29"/>
      <c r="YJ29"/>
      <c r="YK29"/>
      <c r="YL29"/>
      <c r="YM29"/>
      <c r="YN29"/>
      <c r="YO29"/>
      <c r="YP29"/>
      <c r="YQ29"/>
      <c r="YR29"/>
      <c r="YS29"/>
      <c r="YT29"/>
      <c r="YU29"/>
      <c r="YV29"/>
      <c r="YW29"/>
      <c r="YX29"/>
      <c r="YY29"/>
      <c r="YZ29"/>
      <c r="ZA29"/>
      <c r="ZB29"/>
      <c r="ZC29"/>
      <c r="ZD29"/>
      <c r="ZE29"/>
      <c r="ZF29"/>
      <c r="ZG29"/>
      <c r="ZH29"/>
      <c r="ZI29"/>
      <c r="ZJ29"/>
      <c r="ZK29"/>
      <c r="ZL29"/>
      <c r="ZM29"/>
      <c r="ZN29"/>
      <c r="ZO29"/>
      <c r="ZP29"/>
      <c r="ZQ29"/>
      <c r="ZR29"/>
      <c r="ZS29"/>
      <c r="ZT29"/>
      <c r="ZU29"/>
      <c r="ZV29"/>
      <c r="ZW29"/>
      <c r="ZX29"/>
      <c r="ZY29"/>
      <c r="ZZ29"/>
      <c r="AAA29"/>
      <c r="AAB29"/>
      <c r="AAC29"/>
      <c r="AAD29"/>
      <c r="AAE29"/>
      <c r="AAF29"/>
      <c r="AAG29"/>
      <c r="AAH29"/>
      <c r="AAI29"/>
      <c r="AAJ29"/>
      <c r="AAK29"/>
      <c r="AAL29"/>
      <c r="AAM29"/>
      <c r="AAN29"/>
      <c r="AAO29"/>
      <c r="AAP29"/>
      <c r="AAQ29"/>
      <c r="AAR29"/>
      <c r="AAS29"/>
      <c r="AAT29"/>
      <c r="AAU29"/>
      <c r="AAV29"/>
      <c r="AAW29"/>
      <c r="AAX29"/>
      <c r="AAY29"/>
      <c r="AAZ29"/>
      <c r="ABA29"/>
      <c r="ABB29"/>
      <c r="ABC29"/>
      <c r="ABD29"/>
      <c r="ABE29"/>
      <c r="ABF29"/>
      <c r="ABG29"/>
      <c r="ABH29"/>
      <c r="ABI29"/>
      <c r="ABJ29"/>
      <c r="ABK29"/>
      <c r="ABL29"/>
      <c r="ABM29"/>
      <c r="ABN29"/>
      <c r="ABO29"/>
      <c r="ABP29"/>
      <c r="ABQ29"/>
      <c r="ABR29"/>
      <c r="ABS29"/>
      <c r="ABT29"/>
      <c r="ABU29"/>
      <c r="ABV29"/>
      <c r="ABW29"/>
      <c r="ABX29"/>
      <c r="ABY29"/>
      <c r="ABZ29"/>
      <c r="ACA29"/>
      <c r="ACB29"/>
      <c r="ACC29"/>
      <c r="ACD29"/>
      <c r="ACE29"/>
      <c r="ACF29"/>
      <c r="ACG29"/>
      <c r="ACH29"/>
      <c r="ACI29"/>
      <c r="ACJ29"/>
      <c r="ACK29"/>
      <c r="ACL29"/>
      <c r="ACM29"/>
      <c r="ACN29"/>
      <c r="ACO29"/>
      <c r="ACP29"/>
      <c r="ACQ29"/>
      <c r="ACR29"/>
      <c r="ACS29"/>
      <c r="ACT29"/>
      <c r="ACU29"/>
      <c r="ACV29"/>
      <c r="ACW29"/>
      <c r="ACX29"/>
      <c r="ACY29"/>
      <c r="ACZ29"/>
      <c r="ADA29"/>
      <c r="ADB29"/>
      <c r="ADC29"/>
      <c r="ADD29"/>
      <c r="ADE29"/>
      <c r="ADF29"/>
      <c r="ADG29"/>
      <c r="ADH29"/>
      <c r="ADI29"/>
      <c r="ADJ29"/>
      <c r="ADK29"/>
      <c r="ADL29"/>
      <c r="ADM29"/>
      <c r="ADN29"/>
      <c r="ADO29"/>
      <c r="ADP29"/>
      <c r="ADQ29"/>
      <c r="ADR29"/>
      <c r="ADS29"/>
      <c r="ADT29"/>
      <c r="ADU29"/>
      <c r="ADV29"/>
      <c r="ADW29"/>
      <c r="ADX29"/>
      <c r="ADY29"/>
      <c r="ADZ29"/>
      <c r="AEA29"/>
      <c r="AEB29"/>
      <c r="AEC29"/>
      <c r="AED29"/>
      <c r="AEE29"/>
      <c r="AEF29"/>
      <c r="AEG29"/>
      <c r="AEH29"/>
      <c r="AEI29"/>
      <c r="AEJ29"/>
      <c r="AEK29"/>
      <c r="AEL29"/>
      <c r="AEM29"/>
      <c r="AEN29"/>
      <c r="AEO29"/>
      <c r="AEP29"/>
      <c r="AEQ29"/>
      <c r="AER29"/>
      <c r="AES29"/>
      <c r="AET29"/>
      <c r="AEU29"/>
      <c r="AEV29"/>
      <c r="AEW29"/>
      <c r="AEX29"/>
      <c r="AEY29"/>
      <c r="AEZ29"/>
      <c r="AFA29"/>
      <c r="AFB29"/>
      <c r="AFC29"/>
      <c r="AFD29"/>
      <c r="AFE29"/>
      <c r="AFF29"/>
      <c r="AFG29"/>
      <c r="AFH29"/>
      <c r="AFI29"/>
      <c r="AFJ29"/>
      <c r="AFK29"/>
      <c r="AFL29"/>
      <c r="AFM29"/>
      <c r="AFN29"/>
      <c r="AFO29"/>
      <c r="AFP29"/>
      <c r="AFQ29"/>
      <c r="AFR29"/>
      <c r="AFS29"/>
      <c r="AFT29"/>
      <c r="AFU29"/>
      <c r="AFV29"/>
      <c r="AFW29"/>
      <c r="AFX29"/>
      <c r="AFY29"/>
      <c r="AFZ29"/>
      <c r="AGA29"/>
      <c r="AGB29"/>
      <c r="AGC29"/>
      <c r="AGD29"/>
      <c r="AGE29"/>
      <c r="AGF29"/>
      <c r="AGG29"/>
      <c r="AGH29"/>
      <c r="AGI29"/>
      <c r="AGJ29"/>
      <c r="AGK29"/>
      <c r="AGL29"/>
      <c r="AGM29"/>
      <c r="AGN29"/>
      <c r="AGO29"/>
      <c r="AGP29"/>
      <c r="AGQ29"/>
      <c r="AGR29"/>
      <c r="AGS29"/>
      <c r="AGT29"/>
      <c r="AGU29"/>
      <c r="AGV29"/>
      <c r="AGW29"/>
      <c r="AGX29"/>
      <c r="AGY29"/>
      <c r="AGZ29"/>
      <c r="AHA29"/>
      <c r="AHB29"/>
      <c r="AHC29"/>
      <c r="AHD29"/>
      <c r="AHE29"/>
      <c r="AHF29"/>
      <c r="AHG29"/>
      <c r="AHH29"/>
      <c r="AHI29"/>
      <c r="AHJ29"/>
      <c r="AHK29"/>
      <c r="AHL29"/>
      <c r="AHM29"/>
      <c r="AHN29"/>
      <c r="AHO29"/>
      <c r="AHP29"/>
      <c r="AHQ29"/>
      <c r="AHR29"/>
      <c r="AHS29"/>
      <c r="AHT29"/>
      <c r="AHU29"/>
      <c r="AHV29"/>
      <c r="AHW29"/>
      <c r="AHX29"/>
      <c r="AHY29"/>
      <c r="AHZ29"/>
      <c r="AIA29"/>
      <c r="AIB29"/>
      <c r="AIC29"/>
      <c r="AID29"/>
      <c r="AIE29"/>
      <c r="AIF29"/>
      <c r="AIG29"/>
      <c r="AIH29"/>
      <c r="AII29"/>
      <c r="AIJ29"/>
      <c r="AIK29"/>
      <c r="AIL29"/>
      <c r="AIM29"/>
      <c r="AIN29"/>
      <c r="AIO29"/>
      <c r="AIP29"/>
      <c r="AIQ29"/>
      <c r="AIR29"/>
      <c r="AIS29"/>
      <c r="AIT29"/>
      <c r="AIU29"/>
      <c r="AIV29"/>
      <c r="AIW29"/>
      <c r="AIX29"/>
      <c r="AIY29"/>
      <c r="AIZ29"/>
      <c r="AJA29"/>
      <c r="AJB29"/>
      <c r="AJC29"/>
      <c r="AJD29"/>
      <c r="AJE29"/>
      <c r="AJF29"/>
      <c r="AJG29"/>
      <c r="AJH29"/>
      <c r="AJI29"/>
      <c r="AJJ29"/>
      <c r="AJK29"/>
      <c r="AJL29"/>
      <c r="AJM29"/>
      <c r="AJN29"/>
      <c r="AJO29"/>
      <c r="AJP29"/>
      <c r="AJQ29"/>
      <c r="AJR29"/>
      <c r="AJS29"/>
      <c r="AJT29"/>
      <c r="AJU29"/>
      <c r="AJV29"/>
      <c r="AJW29"/>
      <c r="AJX29"/>
      <c r="AJY29"/>
      <c r="AJZ29"/>
      <c r="AKA29"/>
      <c r="AKB29"/>
      <c r="AKC29"/>
      <c r="AKD29"/>
      <c r="AKE29"/>
      <c r="AKF29"/>
      <c r="AKG29"/>
      <c r="AKH29"/>
      <c r="AKI29"/>
      <c r="AKJ29"/>
      <c r="AKK29"/>
      <c r="AKL29"/>
      <c r="AKM29"/>
      <c r="AKN29"/>
      <c r="AKO29"/>
      <c r="AKP29"/>
      <c r="AKQ29"/>
      <c r="AKR29"/>
      <c r="AKS29"/>
      <c r="AKT29"/>
      <c r="AKU29"/>
      <c r="AKV29"/>
      <c r="AKW29"/>
      <c r="AKX29"/>
      <c r="AKY29"/>
      <c r="AKZ29"/>
      <c r="ALA29"/>
      <c r="ALB29"/>
      <c r="ALC29"/>
      <c r="ALD29"/>
      <c r="ALE29"/>
      <c r="ALF29"/>
      <c r="ALG29"/>
      <c r="ALH29"/>
      <c r="ALI29"/>
      <c r="ALJ29"/>
      <c r="ALK29"/>
      <c r="ALL29"/>
      <c r="ALM29"/>
      <c r="ALN29"/>
      <c r="ALO29"/>
      <c r="ALP29"/>
      <c r="ALQ29"/>
      <c r="ALR29"/>
      <c r="ALS29"/>
      <c r="ALT29"/>
      <c r="ALU29"/>
      <c r="ALV29"/>
      <c r="ALW29"/>
      <c r="ALX29"/>
      <c r="ALY29"/>
      <c r="ALZ29"/>
      <c r="AMA29"/>
      <c r="AMB29"/>
      <c r="AMC29"/>
      <c r="AMD29"/>
      <c r="AME29"/>
      <c r="AMF29"/>
      <c r="AMG29"/>
      <c r="AMH29"/>
      <c r="AMI29"/>
      <c r="AMJ29"/>
      <c r="AMK29"/>
      <c r="AML29"/>
      <c r="AMM29"/>
      <c r="AMN29"/>
      <c r="AMO29"/>
      <c r="AMP29"/>
      <c r="AMQ29"/>
      <c r="AMR29"/>
      <c r="AMS29"/>
      <c r="AMT29"/>
      <c r="AMU29"/>
      <c r="AMV29"/>
      <c r="AMW29"/>
      <c r="AMX29"/>
      <c r="AMY29"/>
      <c r="AMZ29"/>
      <c r="ANA29"/>
      <c r="ANB29"/>
      <c r="ANC29"/>
      <c r="AND29"/>
      <c r="ANE29"/>
      <c r="ANF29"/>
      <c r="ANG29"/>
      <c r="ANH29"/>
      <c r="ANI29"/>
      <c r="ANJ29"/>
      <c r="ANK29"/>
      <c r="ANL29"/>
      <c r="ANM29"/>
      <c r="ANN29"/>
      <c r="ANO29"/>
    </row>
    <row r="30" spans="1:1055" s="36" customFormat="1" x14ac:dyDescent="0.25">
      <c r="A30" s="34" t="s">
        <v>52</v>
      </c>
      <c r="B30" s="35">
        <v>640</v>
      </c>
      <c r="C30" s="36">
        <v>640</v>
      </c>
      <c r="D30" s="36">
        <v>0</v>
      </c>
      <c r="E30" s="37">
        <v>0</v>
      </c>
      <c r="F30" s="35">
        <v>0</v>
      </c>
      <c r="G30" s="97">
        <v>0</v>
      </c>
      <c r="H30" s="97">
        <v>0</v>
      </c>
      <c r="I30" s="97">
        <v>0</v>
      </c>
      <c r="J30" s="97">
        <v>0</v>
      </c>
      <c r="K30" s="36">
        <v>0</v>
      </c>
      <c r="L30" s="38">
        <v>0</v>
      </c>
      <c r="M30" s="39">
        <v>100</v>
      </c>
      <c r="N30" s="40">
        <v>0</v>
      </c>
      <c r="O30" s="35"/>
      <c r="Q30" s="38">
        <v>0</v>
      </c>
      <c r="R30" s="35">
        <v>0</v>
      </c>
      <c r="S30" s="38">
        <v>0</v>
      </c>
      <c r="T30" s="41">
        <v>0</v>
      </c>
      <c r="U30" s="42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  <c r="AB30" s="36">
        <v>0</v>
      </c>
      <c r="AC30" s="36">
        <v>0</v>
      </c>
      <c r="AD30" s="36">
        <v>0</v>
      </c>
      <c r="AE30" s="36">
        <v>0</v>
      </c>
      <c r="AF30" s="36">
        <v>0</v>
      </c>
      <c r="AG30" s="36">
        <v>0</v>
      </c>
      <c r="AH30" s="36">
        <v>0</v>
      </c>
      <c r="AI30" s="36">
        <v>0</v>
      </c>
      <c r="AJ30" s="36">
        <v>0</v>
      </c>
      <c r="AK30" s="36">
        <v>0</v>
      </c>
      <c r="AL30" s="36">
        <v>0</v>
      </c>
      <c r="AM30" s="36">
        <v>0</v>
      </c>
      <c r="AN30" s="36">
        <v>0</v>
      </c>
      <c r="AO30" s="36">
        <v>0</v>
      </c>
      <c r="AP30" s="36">
        <v>0</v>
      </c>
      <c r="AQ30" s="36">
        <v>0</v>
      </c>
      <c r="AR30" s="38">
        <v>0</v>
      </c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  <c r="AAW30"/>
      <c r="AAX30"/>
      <c r="AAY30"/>
      <c r="AAZ30"/>
      <c r="ABA30"/>
      <c r="ABB30"/>
      <c r="ABC30"/>
      <c r="ABD30"/>
      <c r="ABE30"/>
      <c r="ABF30"/>
      <c r="ABG30"/>
      <c r="ABH30"/>
      <c r="ABI30"/>
      <c r="ABJ30"/>
      <c r="ABK30"/>
      <c r="ABL30"/>
      <c r="ABM30"/>
      <c r="ABN30"/>
      <c r="ABO30"/>
      <c r="ABP30"/>
      <c r="ABQ30"/>
      <c r="ABR30"/>
      <c r="ABS30"/>
      <c r="ABT30"/>
      <c r="ABU30"/>
      <c r="ABV30"/>
      <c r="ABW30"/>
      <c r="ABX30"/>
      <c r="ABY30"/>
      <c r="ABZ30"/>
      <c r="ACA30"/>
      <c r="ACB30"/>
      <c r="ACC30"/>
      <c r="ACD30"/>
      <c r="ACE30"/>
      <c r="ACF30"/>
      <c r="ACG30"/>
      <c r="ACH30"/>
      <c r="ACI30"/>
      <c r="ACJ30"/>
      <c r="ACK30"/>
      <c r="ACL30"/>
      <c r="ACM30"/>
      <c r="ACN30"/>
      <c r="ACO30"/>
      <c r="ACP30"/>
      <c r="ACQ30"/>
      <c r="ACR30"/>
      <c r="ACS30"/>
      <c r="ACT30"/>
      <c r="ACU30"/>
      <c r="ACV30"/>
      <c r="ACW30"/>
      <c r="ACX30"/>
      <c r="ACY30"/>
      <c r="ACZ30"/>
      <c r="ADA30"/>
      <c r="ADB30"/>
      <c r="ADC30"/>
      <c r="ADD30"/>
      <c r="ADE30"/>
      <c r="ADF30"/>
      <c r="ADG30"/>
      <c r="ADH30"/>
      <c r="ADI30"/>
      <c r="ADJ30"/>
      <c r="ADK30"/>
      <c r="ADL30"/>
      <c r="ADM30"/>
      <c r="ADN30"/>
      <c r="ADO30"/>
      <c r="ADP30"/>
      <c r="ADQ30"/>
      <c r="ADR30"/>
      <c r="ADS30"/>
      <c r="ADT30"/>
      <c r="ADU30"/>
      <c r="ADV30"/>
      <c r="ADW30"/>
      <c r="ADX30"/>
      <c r="ADY30"/>
      <c r="ADZ30"/>
      <c r="AEA30"/>
      <c r="AEB30"/>
      <c r="AEC30"/>
      <c r="AED30"/>
      <c r="AEE30"/>
      <c r="AEF30"/>
      <c r="AEG30"/>
      <c r="AEH30"/>
      <c r="AEI30"/>
      <c r="AEJ30"/>
      <c r="AEK30"/>
      <c r="AEL30"/>
      <c r="AEM30"/>
      <c r="AEN30"/>
      <c r="AEO30"/>
      <c r="AEP30"/>
      <c r="AEQ30"/>
      <c r="AER30"/>
      <c r="AES30"/>
      <c r="AET30"/>
      <c r="AEU30"/>
      <c r="AEV30"/>
      <c r="AEW30"/>
      <c r="AEX30"/>
      <c r="AEY30"/>
      <c r="AEZ30"/>
      <c r="AFA30"/>
      <c r="AFB30"/>
      <c r="AFC30"/>
      <c r="AFD30"/>
      <c r="AFE30"/>
      <c r="AFF30"/>
      <c r="AFG30"/>
      <c r="AFH30"/>
      <c r="AFI30"/>
      <c r="AFJ30"/>
      <c r="AFK30"/>
      <c r="AFL30"/>
      <c r="AFM30"/>
      <c r="AFN30"/>
      <c r="AFO30"/>
      <c r="AFP30"/>
      <c r="AFQ30"/>
      <c r="AFR30"/>
      <c r="AFS30"/>
      <c r="AFT30"/>
      <c r="AFU30"/>
      <c r="AFV30"/>
      <c r="AFW30"/>
      <c r="AFX30"/>
      <c r="AFY30"/>
      <c r="AFZ30"/>
      <c r="AGA30"/>
      <c r="AGB30"/>
      <c r="AGC30"/>
      <c r="AGD30"/>
      <c r="AGE30"/>
      <c r="AGF30"/>
      <c r="AGG30"/>
      <c r="AGH30"/>
      <c r="AGI30"/>
      <c r="AGJ30"/>
      <c r="AGK30"/>
      <c r="AGL30"/>
      <c r="AGM30"/>
      <c r="AGN30"/>
      <c r="AGO30"/>
      <c r="AGP30"/>
      <c r="AGQ30"/>
      <c r="AGR30"/>
      <c r="AGS30"/>
      <c r="AGT30"/>
      <c r="AGU30"/>
      <c r="AGV30"/>
      <c r="AGW30"/>
      <c r="AGX30"/>
      <c r="AGY30"/>
      <c r="AGZ30"/>
      <c r="AHA30"/>
      <c r="AHB30"/>
      <c r="AHC30"/>
      <c r="AHD30"/>
      <c r="AHE30"/>
      <c r="AHF30"/>
      <c r="AHG30"/>
      <c r="AHH30"/>
      <c r="AHI30"/>
      <c r="AHJ30"/>
      <c r="AHK30"/>
      <c r="AHL30"/>
      <c r="AHM30"/>
      <c r="AHN30"/>
      <c r="AHO30"/>
      <c r="AHP30"/>
      <c r="AHQ30"/>
      <c r="AHR30"/>
      <c r="AHS30"/>
      <c r="AHT30"/>
      <c r="AHU30"/>
      <c r="AHV30"/>
      <c r="AHW30"/>
      <c r="AHX30"/>
      <c r="AHY30"/>
      <c r="AHZ30"/>
      <c r="AIA30"/>
      <c r="AIB30"/>
      <c r="AIC30"/>
      <c r="AID30"/>
      <c r="AIE30"/>
      <c r="AIF30"/>
      <c r="AIG30"/>
      <c r="AIH30"/>
      <c r="AII30"/>
      <c r="AIJ30"/>
      <c r="AIK30"/>
      <c r="AIL30"/>
      <c r="AIM30"/>
      <c r="AIN30"/>
      <c r="AIO30"/>
      <c r="AIP30"/>
      <c r="AIQ30"/>
      <c r="AIR30"/>
      <c r="AIS30"/>
      <c r="AIT30"/>
      <c r="AIU30"/>
      <c r="AIV30"/>
      <c r="AIW30"/>
      <c r="AIX30"/>
      <c r="AIY30"/>
      <c r="AIZ30"/>
      <c r="AJA30"/>
      <c r="AJB30"/>
      <c r="AJC30"/>
      <c r="AJD30"/>
      <c r="AJE30"/>
      <c r="AJF30"/>
      <c r="AJG30"/>
      <c r="AJH30"/>
      <c r="AJI30"/>
      <c r="AJJ30"/>
      <c r="AJK30"/>
      <c r="AJL30"/>
      <c r="AJM30"/>
      <c r="AJN30"/>
      <c r="AJO30"/>
      <c r="AJP30"/>
      <c r="AJQ30"/>
      <c r="AJR30"/>
      <c r="AJS30"/>
      <c r="AJT30"/>
      <c r="AJU30"/>
      <c r="AJV30"/>
      <c r="AJW30"/>
      <c r="AJX30"/>
      <c r="AJY30"/>
      <c r="AJZ30"/>
      <c r="AKA30"/>
      <c r="AKB30"/>
      <c r="AKC30"/>
      <c r="AKD30"/>
      <c r="AKE30"/>
      <c r="AKF30"/>
      <c r="AKG30"/>
      <c r="AKH30"/>
      <c r="AKI30"/>
      <c r="AKJ30"/>
      <c r="AKK30"/>
      <c r="AKL30"/>
      <c r="AKM30"/>
      <c r="AKN30"/>
      <c r="AKO30"/>
      <c r="AKP30"/>
      <c r="AKQ30"/>
      <c r="AKR30"/>
      <c r="AKS30"/>
      <c r="AKT30"/>
      <c r="AKU30"/>
      <c r="AKV30"/>
      <c r="AKW30"/>
      <c r="AKX30"/>
      <c r="AKY30"/>
      <c r="AKZ30"/>
      <c r="ALA30"/>
      <c r="ALB30"/>
      <c r="ALC30"/>
      <c r="ALD30"/>
      <c r="ALE30"/>
      <c r="ALF30"/>
      <c r="ALG30"/>
      <c r="ALH30"/>
      <c r="ALI30"/>
      <c r="ALJ30"/>
      <c r="ALK30"/>
      <c r="ALL30"/>
      <c r="ALM30"/>
      <c r="ALN30"/>
      <c r="ALO30"/>
      <c r="ALP30"/>
      <c r="ALQ30"/>
      <c r="ALR30"/>
      <c r="ALS30"/>
      <c r="ALT30"/>
      <c r="ALU30"/>
      <c r="ALV30"/>
      <c r="ALW30"/>
      <c r="ALX30"/>
      <c r="ALY30"/>
      <c r="ALZ30"/>
      <c r="AMA30"/>
      <c r="AMB30"/>
      <c r="AMC30"/>
      <c r="AMD30"/>
      <c r="AME30"/>
      <c r="AMF30"/>
      <c r="AMG30"/>
      <c r="AMH30"/>
      <c r="AMI30"/>
      <c r="AMJ30"/>
      <c r="AMK30"/>
      <c r="AML30"/>
      <c r="AMM30"/>
      <c r="AMN30"/>
      <c r="AMO30"/>
      <c r="AMP30"/>
      <c r="AMQ30"/>
      <c r="AMR30"/>
      <c r="AMS30"/>
      <c r="AMT30"/>
      <c r="AMU30"/>
      <c r="AMV30"/>
      <c r="AMW30"/>
      <c r="AMX30"/>
      <c r="AMY30"/>
      <c r="AMZ30"/>
      <c r="ANA30"/>
      <c r="ANB30"/>
      <c r="ANC30"/>
      <c r="AND30"/>
      <c r="ANE30"/>
      <c r="ANF30"/>
      <c r="ANG30"/>
      <c r="ANH30"/>
      <c r="ANI30"/>
      <c r="ANJ30"/>
      <c r="ANK30"/>
      <c r="ANL30"/>
      <c r="ANM30"/>
      <c r="ANN30"/>
      <c r="ANO30"/>
    </row>
    <row r="31" spans="1:1055" s="36" customFormat="1" x14ac:dyDescent="0.25">
      <c r="A31" s="34" t="s">
        <v>53</v>
      </c>
      <c r="B31" s="35">
        <v>0</v>
      </c>
      <c r="C31" s="36">
        <v>0</v>
      </c>
      <c r="D31" s="36">
        <v>53.5</v>
      </c>
      <c r="E31" s="37">
        <v>3000</v>
      </c>
      <c r="F31" s="35">
        <v>0</v>
      </c>
      <c r="G31" s="36">
        <v>0</v>
      </c>
      <c r="H31" s="36">
        <v>0</v>
      </c>
      <c r="I31" s="36">
        <v>0</v>
      </c>
      <c r="J31" s="36">
        <v>0</v>
      </c>
      <c r="K31" s="36">
        <v>0</v>
      </c>
      <c r="L31" s="38">
        <v>0</v>
      </c>
      <c r="M31" s="39">
        <v>220</v>
      </c>
      <c r="N31" s="40">
        <v>0</v>
      </c>
      <c r="O31" s="35"/>
      <c r="Q31" s="38">
        <v>0.39</v>
      </c>
      <c r="R31" s="35">
        <v>2400</v>
      </c>
      <c r="S31" s="38">
        <v>12000</v>
      </c>
      <c r="T31" s="41">
        <v>302664.460642363</v>
      </c>
      <c r="U31" s="42">
        <v>-11844018.973561</v>
      </c>
      <c r="V31" s="36">
        <v>2460000</v>
      </c>
      <c r="W31" s="36">
        <v>2640000</v>
      </c>
      <c r="X31" s="36">
        <v>2639990</v>
      </c>
      <c r="Y31" s="36">
        <v>3029990</v>
      </c>
      <c r="Z31" s="36">
        <v>3089990</v>
      </c>
      <c r="AA31" s="36">
        <v>3089980</v>
      </c>
      <c r="AB31" s="36">
        <v>3089980</v>
      </c>
      <c r="AC31" s="36">
        <v>3169980</v>
      </c>
      <c r="AD31" s="36">
        <v>3319970</v>
      </c>
      <c r="AE31" s="36">
        <v>3459940</v>
      </c>
      <c r="AF31" s="36">
        <v>4269920</v>
      </c>
      <c r="AG31" s="36">
        <v>4209830</v>
      </c>
      <c r="AH31" s="36">
        <v>4059670</v>
      </c>
      <c r="AI31" s="36">
        <v>4389210</v>
      </c>
      <c r="AJ31" s="36">
        <v>5428700</v>
      </c>
      <c r="AK31" s="36">
        <v>5507890</v>
      </c>
      <c r="AL31" s="36">
        <v>5756730</v>
      </c>
      <c r="AM31" s="36">
        <v>5926210</v>
      </c>
      <c r="AN31" s="36">
        <v>6345590</v>
      </c>
      <c r="AO31" s="36">
        <v>6905580</v>
      </c>
      <c r="AP31" s="36">
        <v>8413980</v>
      </c>
      <c r="AQ31" s="36">
        <v>27692050</v>
      </c>
      <c r="AR31" s="38">
        <v>27689810</v>
      </c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  <c r="LQ31"/>
      <c r="LR31"/>
      <c r="LS31"/>
      <c r="LT31"/>
      <c r="LU31"/>
      <c r="LV31"/>
      <c r="LW31"/>
      <c r="LX31"/>
      <c r="LY31"/>
      <c r="LZ31"/>
      <c r="MA31"/>
      <c r="MB31"/>
      <c r="MC31"/>
      <c r="MD31"/>
      <c r="ME31"/>
      <c r="MF31"/>
      <c r="MG31"/>
      <c r="MH31"/>
      <c r="MI31"/>
      <c r="MJ31"/>
      <c r="MK31"/>
      <c r="ML31"/>
      <c r="MM31"/>
      <c r="MN31"/>
      <c r="MO31"/>
      <c r="MP31"/>
      <c r="MQ31"/>
      <c r="MR31"/>
      <c r="MS31"/>
      <c r="MT31"/>
      <c r="MU31"/>
      <c r="MV31"/>
      <c r="MW31"/>
      <c r="MX31"/>
      <c r="MY31"/>
      <c r="MZ31"/>
      <c r="NA31"/>
      <c r="NB31"/>
      <c r="NC31"/>
      <c r="ND31"/>
      <c r="NE31"/>
      <c r="NF31"/>
      <c r="NG31"/>
      <c r="NH31"/>
      <c r="NI31"/>
      <c r="NJ31"/>
      <c r="NK31"/>
      <c r="NL31"/>
      <c r="NM31"/>
      <c r="NN31"/>
      <c r="NO31"/>
      <c r="NP31"/>
      <c r="NQ31"/>
      <c r="NR31"/>
      <c r="NS31"/>
      <c r="NT31"/>
      <c r="NU31"/>
      <c r="NV31"/>
      <c r="NW31"/>
      <c r="NX31"/>
      <c r="NY31"/>
      <c r="NZ31"/>
      <c r="OA31"/>
      <c r="OB31"/>
      <c r="OC31"/>
      <c r="OD31"/>
      <c r="OE31"/>
      <c r="OF31"/>
      <c r="OG31"/>
      <c r="OH31"/>
      <c r="OI31"/>
      <c r="OJ31"/>
      <c r="OK31"/>
      <c r="OL31"/>
      <c r="OM31"/>
      <c r="ON31"/>
      <c r="OO31"/>
      <c r="OP31"/>
      <c r="OQ31"/>
      <c r="OR31"/>
      <c r="OS31"/>
      <c r="OT31"/>
      <c r="OU31"/>
      <c r="OV31"/>
      <c r="OW31"/>
      <c r="OX31"/>
      <c r="OY31"/>
      <c r="OZ31"/>
      <c r="PA31"/>
      <c r="PB31"/>
      <c r="PC31"/>
      <c r="PD31"/>
      <c r="PE31"/>
      <c r="PF31"/>
      <c r="PG31"/>
      <c r="PH31"/>
      <c r="PI31"/>
      <c r="PJ31"/>
      <c r="PK31"/>
      <c r="PL31"/>
      <c r="PM31"/>
      <c r="PN31"/>
      <c r="PO31"/>
      <c r="PP31"/>
      <c r="PQ31"/>
      <c r="PR31"/>
      <c r="PS31"/>
      <c r="PT31"/>
      <c r="PU31"/>
      <c r="PV31"/>
      <c r="PW31"/>
      <c r="PX31"/>
      <c r="PY31"/>
      <c r="PZ31"/>
      <c r="QA31"/>
      <c r="QB31"/>
      <c r="QC31"/>
      <c r="QD31"/>
      <c r="QE31"/>
      <c r="QF31"/>
      <c r="QG31"/>
      <c r="QH31"/>
      <c r="QI31"/>
      <c r="QJ31"/>
      <c r="QK31"/>
      <c r="QL31"/>
      <c r="QM31"/>
      <c r="QN31"/>
      <c r="QO31"/>
      <c r="QP31"/>
      <c r="QQ31"/>
      <c r="QR31"/>
      <c r="QS31"/>
      <c r="QT31"/>
      <c r="QU31"/>
      <c r="QV31"/>
      <c r="QW31"/>
      <c r="QX31"/>
      <c r="QY31"/>
      <c r="QZ31"/>
      <c r="RA31"/>
      <c r="RB31"/>
      <c r="RC31"/>
      <c r="RD31"/>
      <c r="RE31"/>
      <c r="RF31"/>
      <c r="RG31"/>
      <c r="RH31"/>
      <c r="RI31"/>
      <c r="RJ31"/>
      <c r="RK31"/>
      <c r="RL31"/>
      <c r="RM31"/>
      <c r="RN31"/>
      <c r="RO31"/>
      <c r="RP31"/>
      <c r="RQ31"/>
      <c r="RR31"/>
      <c r="RS31"/>
      <c r="RT31"/>
      <c r="RU31"/>
      <c r="RV31"/>
      <c r="RW31"/>
      <c r="RX31"/>
      <c r="RY31"/>
      <c r="RZ31"/>
      <c r="SA31"/>
      <c r="SB31"/>
      <c r="SC31"/>
      <c r="SD31"/>
      <c r="SE31"/>
      <c r="SF31"/>
      <c r="SG31"/>
      <c r="SH31"/>
      <c r="SI31"/>
      <c r="SJ31"/>
      <c r="SK31"/>
      <c r="SL31"/>
      <c r="SM31"/>
      <c r="SN31"/>
      <c r="SO31"/>
      <c r="SP31"/>
      <c r="SQ31"/>
      <c r="SR31"/>
      <c r="SS31"/>
      <c r="ST31"/>
      <c r="SU31"/>
      <c r="SV31"/>
      <c r="SW31"/>
      <c r="SX31"/>
      <c r="SY31"/>
      <c r="SZ31"/>
      <c r="TA31"/>
      <c r="TB31"/>
      <c r="TC31"/>
      <c r="TD31"/>
      <c r="TE31"/>
      <c r="TF31"/>
      <c r="TG31"/>
      <c r="TH31"/>
      <c r="TI31"/>
      <c r="TJ31"/>
      <c r="TK31"/>
      <c r="TL31"/>
      <c r="TM31"/>
      <c r="TN31"/>
      <c r="TO31"/>
      <c r="TP31"/>
      <c r="TQ31"/>
      <c r="TR31"/>
      <c r="TS31"/>
      <c r="TT31"/>
      <c r="TU31"/>
      <c r="TV31"/>
      <c r="TW31"/>
      <c r="TX31"/>
      <c r="TY31"/>
      <c r="TZ31"/>
      <c r="UA31"/>
      <c r="UB31"/>
      <c r="UC31"/>
      <c r="UD31"/>
      <c r="UE31"/>
      <c r="UF31"/>
      <c r="UG31"/>
      <c r="UH31"/>
      <c r="UI31"/>
      <c r="UJ31"/>
      <c r="UK31"/>
      <c r="UL31"/>
      <c r="UM31"/>
      <c r="UN31"/>
      <c r="UO31"/>
      <c r="UP31"/>
      <c r="UQ31"/>
      <c r="UR31"/>
      <c r="US31"/>
      <c r="UT31"/>
      <c r="UU31"/>
      <c r="UV31"/>
      <c r="UW31"/>
      <c r="UX31"/>
      <c r="UY31"/>
      <c r="UZ31"/>
      <c r="VA31"/>
      <c r="VB31"/>
      <c r="VC31"/>
      <c r="VD31"/>
      <c r="VE31"/>
      <c r="VF31"/>
      <c r="VG31"/>
      <c r="VH31"/>
      <c r="VI31"/>
      <c r="VJ31"/>
      <c r="VK31"/>
      <c r="VL31"/>
      <c r="VM31"/>
      <c r="VN31"/>
      <c r="VO31"/>
      <c r="VP31"/>
      <c r="VQ31"/>
      <c r="VR31"/>
      <c r="VS31"/>
      <c r="VT31"/>
      <c r="VU31"/>
      <c r="VV31"/>
      <c r="VW31"/>
      <c r="VX31"/>
      <c r="VY31"/>
      <c r="VZ31"/>
      <c r="WA31"/>
      <c r="WB31"/>
      <c r="WC31"/>
      <c r="WD31"/>
      <c r="WE31"/>
      <c r="WF31"/>
      <c r="WG31"/>
      <c r="WH31"/>
      <c r="WI31"/>
      <c r="WJ31"/>
      <c r="WK31"/>
      <c r="WL31"/>
      <c r="WM31"/>
      <c r="WN31"/>
      <c r="WO31"/>
      <c r="WP31"/>
      <c r="WQ31"/>
      <c r="WR31"/>
      <c r="WS31"/>
      <c r="WT31"/>
      <c r="WU31"/>
      <c r="WV31"/>
      <c r="WW31"/>
      <c r="WX31"/>
      <c r="WY31"/>
      <c r="WZ31"/>
      <c r="XA31"/>
      <c r="XB31"/>
      <c r="XC31"/>
      <c r="XD31"/>
      <c r="XE31"/>
      <c r="XF31"/>
      <c r="XG31"/>
      <c r="XH31"/>
      <c r="XI31"/>
      <c r="XJ31"/>
      <c r="XK31"/>
      <c r="XL31"/>
      <c r="XM31"/>
      <c r="XN31"/>
      <c r="XO31"/>
      <c r="XP31"/>
      <c r="XQ31"/>
      <c r="XR31"/>
      <c r="XS31"/>
      <c r="XT31"/>
      <c r="XU31"/>
      <c r="XV31"/>
      <c r="XW31"/>
      <c r="XX31"/>
      <c r="XY31"/>
      <c r="XZ31"/>
      <c r="YA31"/>
      <c r="YB31"/>
      <c r="YC31"/>
      <c r="YD31"/>
      <c r="YE31"/>
      <c r="YF31"/>
      <c r="YG31"/>
      <c r="YH31"/>
      <c r="YI31"/>
      <c r="YJ31"/>
      <c r="YK31"/>
      <c r="YL31"/>
      <c r="YM31"/>
      <c r="YN31"/>
      <c r="YO31"/>
      <c r="YP31"/>
      <c r="YQ31"/>
      <c r="YR31"/>
      <c r="YS31"/>
      <c r="YT31"/>
      <c r="YU31"/>
      <c r="YV31"/>
      <c r="YW31"/>
      <c r="YX31"/>
      <c r="YY31"/>
      <c r="YZ31"/>
      <c r="ZA31"/>
      <c r="ZB31"/>
      <c r="ZC31"/>
      <c r="ZD31"/>
      <c r="ZE31"/>
      <c r="ZF31"/>
      <c r="ZG31"/>
      <c r="ZH31"/>
      <c r="ZI31"/>
      <c r="ZJ31"/>
      <c r="ZK31"/>
      <c r="ZL31"/>
      <c r="ZM31"/>
      <c r="ZN31"/>
      <c r="ZO31"/>
      <c r="ZP31"/>
      <c r="ZQ31"/>
      <c r="ZR31"/>
      <c r="ZS31"/>
      <c r="ZT31"/>
      <c r="ZU31"/>
      <c r="ZV31"/>
      <c r="ZW31"/>
      <c r="ZX31"/>
      <c r="ZY31"/>
      <c r="ZZ31"/>
      <c r="AAA31"/>
      <c r="AAB31"/>
      <c r="AAC31"/>
      <c r="AAD31"/>
      <c r="AAE31"/>
      <c r="AAF31"/>
      <c r="AAG31"/>
      <c r="AAH31"/>
      <c r="AAI31"/>
      <c r="AAJ31"/>
      <c r="AAK31"/>
      <c r="AAL31"/>
      <c r="AAM31"/>
      <c r="AAN31"/>
      <c r="AAO31"/>
      <c r="AAP31"/>
      <c r="AAQ31"/>
      <c r="AAR31"/>
      <c r="AAS31"/>
      <c r="AAT31"/>
      <c r="AAU31"/>
      <c r="AAV31"/>
      <c r="AAW31"/>
      <c r="AAX31"/>
      <c r="AAY31"/>
      <c r="AAZ31"/>
      <c r="ABA31"/>
      <c r="ABB31"/>
      <c r="ABC31"/>
      <c r="ABD31"/>
      <c r="ABE31"/>
      <c r="ABF31"/>
      <c r="ABG31"/>
      <c r="ABH31"/>
      <c r="ABI31"/>
      <c r="ABJ31"/>
      <c r="ABK31"/>
      <c r="ABL31"/>
      <c r="ABM31"/>
      <c r="ABN31"/>
      <c r="ABO31"/>
      <c r="ABP31"/>
      <c r="ABQ31"/>
      <c r="ABR31"/>
      <c r="ABS31"/>
      <c r="ABT31"/>
      <c r="ABU31"/>
      <c r="ABV31"/>
      <c r="ABW31"/>
      <c r="ABX31"/>
      <c r="ABY31"/>
      <c r="ABZ31"/>
      <c r="ACA31"/>
      <c r="ACB31"/>
      <c r="ACC31"/>
      <c r="ACD31"/>
      <c r="ACE31"/>
      <c r="ACF31"/>
      <c r="ACG31"/>
      <c r="ACH31"/>
      <c r="ACI31"/>
      <c r="ACJ31"/>
      <c r="ACK31"/>
      <c r="ACL31"/>
      <c r="ACM31"/>
      <c r="ACN31"/>
      <c r="ACO31"/>
      <c r="ACP31"/>
      <c r="ACQ31"/>
      <c r="ACR31"/>
      <c r="ACS31"/>
      <c r="ACT31"/>
      <c r="ACU31"/>
      <c r="ACV31"/>
      <c r="ACW31"/>
      <c r="ACX31"/>
      <c r="ACY31"/>
      <c r="ACZ31"/>
      <c r="ADA31"/>
      <c r="ADB31"/>
      <c r="ADC31"/>
      <c r="ADD31"/>
      <c r="ADE31"/>
      <c r="ADF31"/>
      <c r="ADG31"/>
      <c r="ADH31"/>
      <c r="ADI31"/>
      <c r="ADJ31"/>
      <c r="ADK31"/>
      <c r="ADL31"/>
      <c r="ADM31"/>
      <c r="ADN31"/>
      <c r="ADO31"/>
      <c r="ADP31"/>
      <c r="ADQ31"/>
      <c r="ADR31"/>
      <c r="ADS31"/>
      <c r="ADT31"/>
      <c r="ADU31"/>
      <c r="ADV31"/>
      <c r="ADW31"/>
      <c r="ADX31"/>
      <c r="ADY31"/>
      <c r="ADZ31"/>
      <c r="AEA31"/>
      <c r="AEB31"/>
      <c r="AEC31"/>
      <c r="AED31"/>
      <c r="AEE31"/>
      <c r="AEF31"/>
      <c r="AEG31"/>
      <c r="AEH31"/>
      <c r="AEI31"/>
      <c r="AEJ31"/>
      <c r="AEK31"/>
      <c r="AEL31"/>
      <c r="AEM31"/>
      <c r="AEN31"/>
      <c r="AEO31"/>
      <c r="AEP31"/>
      <c r="AEQ31"/>
      <c r="AER31"/>
      <c r="AES31"/>
      <c r="AET31"/>
      <c r="AEU31"/>
      <c r="AEV31"/>
      <c r="AEW31"/>
      <c r="AEX31"/>
      <c r="AEY31"/>
      <c r="AEZ31"/>
      <c r="AFA31"/>
      <c r="AFB31"/>
      <c r="AFC31"/>
      <c r="AFD31"/>
      <c r="AFE31"/>
      <c r="AFF31"/>
      <c r="AFG31"/>
      <c r="AFH31"/>
      <c r="AFI31"/>
      <c r="AFJ31"/>
      <c r="AFK31"/>
      <c r="AFL31"/>
      <c r="AFM31"/>
      <c r="AFN31"/>
      <c r="AFO31"/>
      <c r="AFP31"/>
      <c r="AFQ31"/>
      <c r="AFR31"/>
      <c r="AFS31"/>
      <c r="AFT31"/>
      <c r="AFU31"/>
      <c r="AFV31"/>
      <c r="AFW31"/>
      <c r="AFX31"/>
      <c r="AFY31"/>
      <c r="AFZ31"/>
      <c r="AGA31"/>
      <c r="AGB31"/>
      <c r="AGC31"/>
      <c r="AGD31"/>
      <c r="AGE31"/>
      <c r="AGF31"/>
      <c r="AGG31"/>
      <c r="AGH31"/>
      <c r="AGI31"/>
      <c r="AGJ31"/>
      <c r="AGK31"/>
      <c r="AGL31"/>
      <c r="AGM31"/>
      <c r="AGN31"/>
      <c r="AGO31"/>
      <c r="AGP31"/>
      <c r="AGQ31"/>
      <c r="AGR31"/>
      <c r="AGS31"/>
      <c r="AGT31"/>
      <c r="AGU31"/>
      <c r="AGV31"/>
      <c r="AGW31"/>
      <c r="AGX31"/>
      <c r="AGY31"/>
      <c r="AGZ31"/>
      <c r="AHA31"/>
      <c r="AHB31"/>
      <c r="AHC31"/>
      <c r="AHD31"/>
      <c r="AHE31"/>
      <c r="AHF31"/>
      <c r="AHG31"/>
      <c r="AHH31"/>
      <c r="AHI31"/>
      <c r="AHJ31"/>
      <c r="AHK31"/>
      <c r="AHL31"/>
      <c r="AHM31"/>
      <c r="AHN31"/>
      <c r="AHO31"/>
      <c r="AHP31"/>
      <c r="AHQ31"/>
      <c r="AHR31"/>
      <c r="AHS31"/>
      <c r="AHT31"/>
      <c r="AHU31"/>
      <c r="AHV31"/>
      <c r="AHW31"/>
      <c r="AHX31"/>
      <c r="AHY31"/>
      <c r="AHZ31"/>
      <c r="AIA31"/>
      <c r="AIB31"/>
      <c r="AIC31"/>
      <c r="AID31"/>
      <c r="AIE31"/>
      <c r="AIF31"/>
      <c r="AIG31"/>
      <c r="AIH31"/>
      <c r="AII31"/>
      <c r="AIJ31"/>
      <c r="AIK31"/>
      <c r="AIL31"/>
      <c r="AIM31"/>
      <c r="AIN31"/>
      <c r="AIO31"/>
      <c r="AIP31"/>
      <c r="AIQ31"/>
      <c r="AIR31"/>
      <c r="AIS31"/>
      <c r="AIT31"/>
      <c r="AIU31"/>
      <c r="AIV31"/>
      <c r="AIW31"/>
      <c r="AIX31"/>
      <c r="AIY31"/>
      <c r="AIZ31"/>
      <c r="AJA31"/>
      <c r="AJB31"/>
      <c r="AJC31"/>
      <c r="AJD31"/>
      <c r="AJE31"/>
      <c r="AJF31"/>
      <c r="AJG31"/>
      <c r="AJH31"/>
      <c r="AJI31"/>
      <c r="AJJ31"/>
      <c r="AJK31"/>
      <c r="AJL31"/>
      <c r="AJM31"/>
      <c r="AJN31"/>
      <c r="AJO31"/>
      <c r="AJP31"/>
      <c r="AJQ31"/>
      <c r="AJR31"/>
      <c r="AJS31"/>
      <c r="AJT31"/>
      <c r="AJU31"/>
      <c r="AJV31"/>
      <c r="AJW31"/>
      <c r="AJX31"/>
      <c r="AJY31"/>
      <c r="AJZ31"/>
      <c r="AKA31"/>
      <c r="AKB31"/>
      <c r="AKC31"/>
      <c r="AKD31"/>
      <c r="AKE31"/>
      <c r="AKF31"/>
      <c r="AKG31"/>
      <c r="AKH31"/>
      <c r="AKI31"/>
      <c r="AKJ31"/>
      <c r="AKK31"/>
      <c r="AKL31"/>
      <c r="AKM31"/>
      <c r="AKN31"/>
      <c r="AKO31"/>
      <c r="AKP31"/>
      <c r="AKQ31"/>
      <c r="AKR31"/>
      <c r="AKS31"/>
      <c r="AKT31"/>
      <c r="AKU31"/>
      <c r="AKV31"/>
      <c r="AKW31"/>
      <c r="AKX31"/>
      <c r="AKY31"/>
      <c r="AKZ31"/>
      <c r="ALA31"/>
      <c r="ALB31"/>
      <c r="ALC31"/>
      <c r="ALD31"/>
      <c r="ALE31"/>
      <c r="ALF31"/>
      <c r="ALG31"/>
      <c r="ALH31"/>
      <c r="ALI31"/>
      <c r="ALJ31"/>
      <c r="ALK31"/>
      <c r="ALL31"/>
      <c r="ALM31"/>
      <c r="ALN31"/>
      <c r="ALO31"/>
      <c r="ALP31"/>
      <c r="ALQ31"/>
      <c r="ALR31"/>
      <c r="ALS31"/>
      <c r="ALT31"/>
      <c r="ALU31"/>
      <c r="ALV31"/>
      <c r="ALW31"/>
      <c r="ALX31"/>
      <c r="ALY31"/>
      <c r="ALZ31"/>
      <c r="AMA31"/>
      <c r="AMB31"/>
      <c r="AMC31"/>
      <c r="AMD31"/>
      <c r="AME31"/>
      <c r="AMF31"/>
      <c r="AMG31"/>
      <c r="AMH31"/>
      <c r="AMI31"/>
      <c r="AMJ31"/>
      <c r="AMK31"/>
      <c r="AML31"/>
      <c r="AMM31"/>
      <c r="AMN31"/>
      <c r="AMO31"/>
      <c r="AMP31"/>
      <c r="AMQ31"/>
      <c r="AMR31"/>
      <c r="AMS31"/>
      <c r="AMT31"/>
      <c r="AMU31"/>
      <c r="AMV31"/>
      <c r="AMW31"/>
      <c r="AMX31"/>
      <c r="AMY31"/>
      <c r="AMZ31"/>
      <c r="ANA31"/>
      <c r="ANB31"/>
      <c r="ANC31"/>
      <c r="AND31"/>
      <c r="ANE31"/>
      <c r="ANF31"/>
      <c r="ANG31"/>
      <c r="ANH31"/>
      <c r="ANI31"/>
      <c r="ANJ31"/>
      <c r="ANK31"/>
      <c r="ANL31"/>
      <c r="ANM31"/>
      <c r="ANN31"/>
      <c r="ANO31"/>
    </row>
    <row r="32" spans="1:1055" s="36" customFormat="1" ht="15.75" thickBot="1" x14ac:dyDescent="0.3">
      <c r="A32" s="34" t="s">
        <v>54</v>
      </c>
      <c r="B32" s="35">
        <v>0</v>
      </c>
      <c r="C32" s="36">
        <v>0</v>
      </c>
      <c r="D32" s="36">
        <f>E32/4</f>
        <v>500</v>
      </c>
      <c r="E32" s="37">
        <v>2000</v>
      </c>
      <c r="F32" s="35">
        <v>1631</v>
      </c>
      <c r="G32" s="97">
        <v>0</v>
      </c>
      <c r="H32" s="97">
        <v>0.16500000000000001</v>
      </c>
      <c r="I32" s="97">
        <v>7.8E-2</v>
      </c>
      <c r="J32" s="97">
        <v>0</v>
      </c>
      <c r="K32" s="36">
        <v>0</v>
      </c>
      <c r="L32" s="38">
        <v>0</v>
      </c>
      <c r="M32" s="39">
        <v>57.6</v>
      </c>
      <c r="N32" s="40">
        <v>0</v>
      </c>
      <c r="O32" s="35"/>
      <c r="Q32" s="38">
        <v>0.53</v>
      </c>
      <c r="R32" s="35">
        <v>570</v>
      </c>
      <c r="S32" s="38">
        <v>1030</v>
      </c>
      <c r="T32" s="41">
        <v>343350.03530150698</v>
      </c>
      <c r="U32" s="42">
        <v>-8586601.9007070903</v>
      </c>
      <c r="V32" s="36">
        <v>7190000</v>
      </c>
      <c r="W32" s="36">
        <v>7579970</v>
      </c>
      <c r="X32" s="36">
        <v>7729960</v>
      </c>
      <c r="Y32" s="36">
        <v>7679940</v>
      </c>
      <c r="Z32" s="36">
        <v>7039890</v>
      </c>
      <c r="AA32" s="36">
        <v>6989840</v>
      </c>
      <c r="AB32" s="36">
        <v>7279850</v>
      </c>
      <c r="AC32" s="36">
        <v>7599810</v>
      </c>
      <c r="AD32" s="36">
        <v>8099700</v>
      </c>
      <c r="AE32" s="36">
        <v>8199470</v>
      </c>
      <c r="AF32" s="36">
        <v>9349300</v>
      </c>
      <c r="AG32" s="36">
        <v>10499090</v>
      </c>
      <c r="AH32" s="36">
        <v>11898380</v>
      </c>
      <c r="AI32" s="36">
        <v>12596810</v>
      </c>
      <c r="AJ32" s="36">
        <v>13294950</v>
      </c>
      <c r="AK32" s="36">
        <v>10790450</v>
      </c>
      <c r="AL32" s="36">
        <v>13884820</v>
      </c>
      <c r="AM32" s="36">
        <v>15983240</v>
      </c>
      <c r="AN32" s="36">
        <v>15780650</v>
      </c>
      <c r="AO32" s="36">
        <v>16879270</v>
      </c>
      <c r="AP32" s="36">
        <v>17767420</v>
      </c>
      <c r="AQ32" s="36">
        <v>17454820</v>
      </c>
      <c r="AR32" s="38">
        <v>15941730</v>
      </c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  <c r="LQ32"/>
      <c r="LR32"/>
      <c r="LS32"/>
      <c r="LT32"/>
      <c r="LU32"/>
      <c r="LV32"/>
      <c r="LW32"/>
      <c r="LX32"/>
      <c r="LY32"/>
      <c r="LZ32"/>
      <c r="MA32"/>
      <c r="MB32"/>
      <c r="MC32"/>
      <c r="MD32"/>
      <c r="ME32"/>
      <c r="MF32"/>
      <c r="MG32"/>
      <c r="MH32"/>
      <c r="MI32"/>
      <c r="MJ32"/>
      <c r="MK32"/>
      <c r="ML32"/>
      <c r="MM32"/>
      <c r="MN32"/>
      <c r="MO32"/>
      <c r="MP32"/>
      <c r="MQ32"/>
      <c r="MR32"/>
      <c r="MS32"/>
      <c r="MT32"/>
      <c r="MU32"/>
      <c r="MV32"/>
      <c r="MW32"/>
      <c r="MX32"/>
      <c r="MY32"/>
      <c r="MZ32"/>
      <c r="NA32"/>
      <c r="NB32"/>
      <c r="NC32"/>
      <c r="ND32"/>
      <c r="NE32"/>
      <c r="NF32"/>
      <c r="NG32"/>
      <c r="NH32"/>
      <c r="NI32"/>
      <c r="NJ32"/>
      <c r="NK32"/>
      <c r="NL32"/>
      <c r="NM32"/>
      <c r="NN32"/>
      <c r="NO32"/>
      <c r="NP32"/>
      <c r="NQ32"/>
      <c r="NR32"/>
      <c r="NS32"/>
      <c r="NT32"/>
      <c r="NU32"/>
      <c r="NV32"/>
      <c r="NW32"/>
      <c r="NX32"/>
      <c r="NY32"/>
      <c r="NZ32"/>
      <c r="OA32"/>
      <c r="OB32"/>
      <c r="OC32"/>
      <c r="OD32"/>
      <c r="OE32"/>
      <c r="OF32"/>
      <c r="OG32"/>
      <c r="OH32"/>
      <c r="OI32"/>
      <c r="OJ32"/>
      <c r="OK32"/>
      <c r="OL32"/>
      <c r="OM32"/>
      <c r="ON32"/>
      <c r="OO32"/>
      <c r="OP32"/>
      <c r="OQ32"/>
      <c r="OR32"/>
      <c r="OS32"/>
      <c r="OT32"/>
      <c r="OU32"/>
      <c r="OV32"/>
      <c r="OW32"/>
      <c r="OX32"/>
      <c r="OY32"/>
      <c r="OZ32"/>
      <c r="PA32"/>
      <c r="PB32"/>
      <c r="PC32"/>
      <c r="PD32"/>
      <c r="PE32"/>
      <c r="PF32"/>
      <c r="PG32"/>
      <c r="PH32"/>
      <c r="PI32"/>
      <c r="PJ32"/>
      <c r="PK32"/>
      <c r="PL32"/>
      <c r="PM32"/>
      <c r="PN32"/>
      <c r="PO32"/>
      <c r="PP32"/>
      <c r="PQ32"/>
      <c r="PR32"/>
      <c r="PS32"/>
      <c r="PT32"/>
      <c r="PU32"/>
      <c r="PV32"/>
      <c r="PW32"/>
      <c r="PX32"/>
      <c r="PY32"/>
      <c r="PZ32"/>
      <c r="QA32"/>
      <c r="QB32"/>
      <c r="QC32"/>
      <c r="QD32"/>
      <c r="QE32"/>
      <c r="QF32"/>
      <c r="QG32"/>
      <c r="QH32"/>
      <c r="QI32"/>
      <c r="QJ32"/>
      <c r="QK32"/>
      <c r="QL32"/>
      <c r="QM32"/>
      <c r="QN32"/>
      <c r="QO32"/>
      <c r="QP32"/>
      <c r="QQ32"/>
      <c r="QR32"/>
      <c r="QS32"/>
      <c r="QT32"/>
      <c r="QU32"/>
      <c r="QV32"/>
      <c r="QW32"/>
      <c r="QX32"/>
      <c r="QY32"/>
      <c r="QZ32"/>
      <c r="RA32"/>
      <c r="RB32"/>
      <c r="RC32"/>
      <c r="RD32"/>
      <c r="RE32"/>
      <c r="RF32"/>
      <c r="RG32"/>
      <c r="RH32"/>
      <c r="RI32"/>
      <c r="RJ32"/>
      <c r="RK32"/>
      <c r="RL32"/>
      <c r="RM32"/>
      <c r="RN32"/>
      <c r="RO32"/>
      <c r="RP32"/>
      <c r="RQ32"/>
      <c r="RR32"/>
      <c r="RS32"/>
      <c r="RT32"/>
      <c r="RU32"/>
      <c r="RV32"/>
      <c r="RW32"/>
      <c r="RX32"/>
      <c r="RY32"/>
      <c r="RZ32"/>
      <c r="SA32"/>
      <c r="SB32"/>
      <c r="SC32"/>
      <c r="SD32"/>
      <c r="SE32"/>
      <c r="SF32"/>
      <c r="SG32"/>
      <c r="SH32"/>
      <c r="SI32"/>
      <c r="SJ32"/>
      <c r="SK32"/>
      <c r="SL32"/>
      <c r="SM32"/>
      <c r="SN32"/>
      <c r="SO32"/>
      <c r="SP32"/>
      <c r="SQ32"/>
      <c r="SR32"/>
      <c r="SS32"/>
      <c r="ST32"/>
      <c r="SU32"/>
      <c r="SV32"/>
      <c r="SW32"/>
      <c r="SX32"/>
      <c r="SY32"/>
      <c r="SZ32"/>
      <c r="TA32"/>
      <c r="TB32"/>
      <c r="TC32"/>
      <c r="TD32"/>
      <c r="TE32"/>
      <c r="TF32"/>
      <c r="TG32"/>
      <c r="TH32"/>
      <c r="TI32"/>
      <c r="TJ32"/>
      <c r="TK32"/>
      <c r="TL32"/>
      <c r="TM32"/>
      <c r="TN32"/>
      <c r="TO32"/>
      <c r="TP32"/>
      <c r="TQ32"/>
      <c r="TR32"/>
      <c r="TS32"/>
      <c r="TT32"/>
      <c r="TU32"/>
      <c r="TV32"/>
      <c r="TW32"/>
      <c r="TX32"/>
      <c r="TY32"/>
      <c r="TZ32"/>
      <c r="UA32"/>
      <c r="UB32"/>
      <c r="UC32"/>
      <c r="UD32"/>
      <c r="UE32"/>
      <c r="UF32"/>
      <c r="UG32"/>
      <c r="UH32"/>
      <c r="UI32"/>
      <c r="UJ32"/>
      <c r="UK32"/>
      <c r="UL32"/>
      <c r="UM32"/>
      <c r="UN32"/>
      <c r="UO32"/>
      <c r="UP32"/>
      <c r="UQ32"/>
      <c r="UR32"/>
      <c r="US32"/>
      <c r="UT32"/>
      <c r="UU32"/>
      <c r="UV32"/>
      <c r="UW32"/>
      <c r="UX32"/>
      <c r="UY32"/>
      <c r="UZ32"/>
      <c r="VA32"/>
      <c r="VB32"/>
      <c r="VC32"/>
      <c r="VD32"/>
      <c r="VE32"/>
      <c r="VF32"/>
      <c r="VG32"/>
      <c r="VH32"/>
      <c r="VI32"/>
      <c r="VJ32"/>
      <c r="VK32"/>
      <c r="VL32"/>
      <c r="VM32"/>
      <c r="VN32"/>
      <c r="VO32"/>
      <c r="VP32"/>
      <c r="VQ32"/>
      <c r="VR32"/>
      <c r="VS32"/>
      <c r="VT32"/>
      <c r="VU32"/>
      <c r="VV32"/>
      <c r="VW32"/>
      <c r="VX32"/>
      <c r="VY32"/>
      <c r="VZ32"/>
      <c r="WA32"/>
      <c r="WB32"/>
      <c r="WC32"/>
      <c r="WD32"/>
      <c r="WE32"/>
      <c r="WF32"/>
      <c r="WG32"/>
      <c r="WH32"/>
      <c r="WI32"/>
      <c r="WJ32"/>
      <c r="WK32"/>
      <c r="WL32"/>
      <c r="WM32"/>
      <c r="WN32"/>
      <c r="WO32"/>
      <c r="WP32"/>
      <c r="WQ32"/>
      <c r="WR32"/>
      <c r="WS32"/>
      <c r="WT32"/>
      <c r="WU32"/>
      <c r="WV32"/>
      <c r="WW32"/>
      <c r="WX32"/>
      <c r="WY32"/>
      <c r="WZ32"/>
      <c r="XA32"/>
      <c r="XB32"/>
      <c r="XC32"/>
      <c r="XD32"/>
      <c r="XE32"/>
      <c r="XF32"/>
      <c r="XG32"/>
      <c r="XH32"/>
      <c r="XI32"/>
      <c r="XJ32"/>
      <c r="XK32"/>
      <c r="XL32"/>
      <c r="XM32"/>
      <c r="XN32"/>
      <c r="XO32"/>
      <c r="XP32"/>
      <c r="XQ32"/>
      <c r="XR32"/>
      <c r="XS32"/>
      <c r="XT32"/>
      <c r="XU32"/>
      <c r="XV32"/>
      <c r="XW32"/>
      <c r="XX32"/>
      <c r="XY32"/>
      <c r="XZ32"/>
      <c r="YA32"/>
      <c r="YB32"/>
      <c r="YC32"/>
      <c r="YD32"/>
      <c r="YE32"/>
      <c r="YF32"/>
      <c r="YG32"/>
      <c r="YH32"/>
      <c r="YI32"/>
      <c r="YJ32"/>
      <c r="YK32"/>
      <c r="YL32"/>
      <c r="YM32"/>
      <c r="YN32"/>
      <c r="YO32"/>
      <c r="YP32"/>
      <c r="YQ32"/>
      <c r="YR32"/>
      <c r="YS32"/>
      <c r="YT32"/>
      <c r="YU32"/>
      <c r="YV32"/>
      <c r="YW32"/>
      <c r="YX32"/>
      <c r="YY32"/>
      <c r="YZ32"/>
      <c r="ZA32"/>
      <c r="ZB32"/>
      <c r="ZC32"/>
      <c r="ZD32"/>
      <c r="ZE32"/>
      <c r="ZF32"/>
      <c r="ZG32"/>
      <c r="ZH32"/>
      <c r="ZI32"/>
      <c r="ZJ32"/>
      <c r="ZK32"/>
      <c r="ZL32"/>
      <c r="ZM32"/>
      <c r="ZN32"/>
      <c r="ZO32"/>
      <c r="ZP32"/>
      <c r="ZQ32"/>
      <c r="ZR32"/>
      <c r="ZS32"/>
      <c r="ZT32"/>
      <c r="ZU32"/>
      <c r="ZV32"/>
      <c r="ZW32"/>
      <c r="ZX32"/>
      <c r="ZY32"/>
      <c r="ZZ32"/>
      <c r="AAA32"/>
      <c r="AAB32"/>
      <c r="AAC32"/>
      <c r="AAD32"/>
      <c r="AAE32"/>
      <c r="AAF32"/>
      <c r="AAG32"/>
      <c r="AAH32"/>
      <c r="AAI32"/>
      <c r="AAJ32"/>
      <c r="AAK32"/>
      <c r="AAL32"/>
      <c r="AAM32"/>
      <c r="AAN32"/>
      <c r="AAO32"/>
      <c r="AAP32"/>
      <c r="AAQ32"/>
      <c r="AAR32"/>
      <c r="AAS32"/>
      <c r="AAT32"/>
      <c r="AAU32"/>
      <c r="AAV32"/>
      <c r="AAW32"/>
      <c r="AAX32"/>
      <c r="AAY32"/>
      <c r="AAZ32"/>
      <c r="ABA32"/>
      <c r="ABB32"/>
      <c r="ABC32"/>
      <c r="ABD32"/>
      <c r="ABE32"/>
      <c r="ABF32"/>
      <c r="ABG32"/>
      <c r="ABH32"/>
      <c r="ABI32"/>
      <c r="ABJ32"/>
      <c r="ABK32"/>
      <c r="ABL32"/>
      <c r="ABM32"/>
      <c r="ABN32"/>
      <c r="ABO32"/>
      <c r="ABP32"/>
      <c r="ABQ32"/>
      <c r="ABR32"/>
      <c r="ABS32"/>
      <c r="ABT32"/>
      <c r="ABU32"/>
      <c r="ABV32"/>
      <c r="ABW32"/>
      <c r="ABX32"/>
      <c r="ABY32"/>
      <c r="ABZ32"/>
      <c r="ACA32"/>
      <c r="ACB32"/>
      <c r="ACC32"/>
      <c r="ACD32"/>
      <c r="ACE32"/>
      <c r="ACF32"/>
      <c r="ACG32"/>
      <c r="ACH32"/>
      <c r="ACI32"/>
      <c r="ACJ32"/>
      <c r="ACK32"/>
      <c r="ACL32"/>
      <c r="ACM32"/>
      <c r="ACN32"/>
      <c r="ACO32"/>
      <c r="ACP32"/>
      <c r="ACQ32"/>
      <c r="ACR32"/>
      <c r="ACS32"/>
      <c r="ACT32"/>
      <c r="ACU32"/>
      <c r="ACV32"/>
      <c r="ACW32"/>
      <c r="ACX32"/>
      <c r="ACY32"/>
      <c r="ACZ32"/>
      <c r="ADA32"/>
      <c r="ADB32"/>
      <c r="ADC32"/>
      <c r="ADD32"/>
      <c r="ADE32"/>
      <c r="ADF32"/>
      <c r="ADG32"/>
      <c r="ADH32"/>
      <c r="ADI32"/>
      <c r="ADJ32"/>
      <c r="ADK32"/>
      <c r="ADL32"/>
      <c r="ADM32"/>
      <c r="ADN32"/>
      <c r="ADO32"/>
      <c r="ADP32"/>
      <c r="ADQ32"/>
      <c r="ADR32"/>
      <c r="ADS32"/>
      <c r="ADT32"/>
      <c r="ADU32"/>
      <c r="ADV32"/>
      <c r="ADW32"/>
      <c r="ADX32"/>
      <c r="ADY32"/>
      <c r="ADZ32"/>
      <c r="AEA32"/>
      <c r="AEB32"/>
      <c r="AEC32"/>
      <c r="AED32"/>
      <c r="AEE32"/>
      <c r="AEF32"/>
      <c r="AEG32"/>
      <c r="AEH32"/>
      <c r="AEI32"/>
      <c r="AEJ32"/>
      <c r="AEK32"/>
      <c r="AEL32"/>
      <c r="AEM32"/>
      <c r="AEN32"/>
      <c r="AEO32"/>
      <c r="AEP32"/>
      <c r="AEQ32"/>
      <c r="AER32"/>
      <c r="AES32"/>
      <c r="AET32"/>
      <c r="AEU32"/>
      <c r="AEV32"/>
      <c r="AEW32"/>
      <c r="AEX32"/>
      <c r="AEY32"/>
      <c r="AEZ32"/>
      <c r="AFA32"/>
      <c r="AFB32"/>
      <c r="AFC32"/>
      <c r="AFD32"/>
      <c r="AFE32"/>
      <c r="AFF32"/>
      <c r="AFG32"/>
      <c r="AFH32"/>
      <c r="AFI32"/>
      <c r="AFJ32"/>
      <c r="AFK32"/>
      <c r="AFL32"/>
      <c r="AFM32"/>
      <c r="AFN32"/>
      <c r="AFO32"/>
      <c r="AFP32"/>
      <c r="AFQ32"/>
      <c r="AFR32"/>
      <c r="AFS32"/>
      <c r="AFT32"/>
      <c r="AFU32"/>
      <c r="AFV32"/>
      <c r="AFW32"/>
      <c r="AFX32"/>
      <c r="AFY32"/>
      <c r="AFZ32"/>
      <c r="AGA32"/>
      <c r="AGB32"/>
      <c r="AGC32"/>
      <c r="AGD32"/>
      <c r="AGE32"/>
      <c r="AGF32"/>
      <c r="AGG32"/>
      <c r="AGH32"/>
      <c r="AGI32"/>
      <c r="AGJ32"/>
      <c r="AGK32"/>
      <c r="AGL32"/>
      <c r="AGM32"/>
      <c r="AGN32"/>
      <c r="AGO32"/>
      <c r="AGP32"/>
      <c r="AGQ32"/>
      <c r="AGR32"/>
      <c r="AGS32"/>
      <c r="AGT32"/>
      <c r="AGU32"/>
      <c r="AGV32"/>
      <c r="AGW32"/>
      <c r="AGX32"/>
      <c r="AGY32"/>
      <c r="AGZ32"/>
      <c r="AHA32"/>
      <c r="AHB32"/>
      <c r="AHC32"/>
      <c r="AHD32"/>
      <c r="AHE32"/>
      <c r="AHF32"/>
      <c r="AHG32"/>
      <c r="AHH32"/>
      <c r="AHI32"/>
      <c r="AHJ32"/>
      <c r="AHK32"/>
      <c r="AHL32"/>
      <c r="AHM32"/>
      <c r="AHN32"/>
      <c r="AHO32"/>
      <c r="AHP32"/>
      <c r="AHQ32"/>
      <c r="AHR32"/>
      <c r="AHS32"/>
      <c r="AHT32"/>
      <c r="AHU32"/>
      <c r="AHV32"/>
      <c r="AHW32"/>
      <c r="AHX32"/>
      <c r="AHY32"/>
      <c r="AHZ32"/>
      <c r="AIA32"/>
      <c r="AIB32"/>
      <c r="AIC32"/>
      <c r="AID32"/>
      <c r="AIE32"/>
      <c r="AIF32"/>
      <c r="AIG32"/>
      <c r="AIH32"/>
      <c r="AII32"/>
      <c r="AIJ32"/>
      <c r="AIK32"/>
      <c r="AIL32"/>
      <c r="AIM32"/>
      <c r="AIN32"/>
      <c r="AIO32"/>
      <c r="AIP32"/>
      <c r="AIQ32"/>
      <c r="AIR32"/>
      <c r="AIS32"/>
      <c r="AIT32"/>
      <c r="AIU32"/>
      <c r="AIV32"/>
      <c r="AIW32"/>
      <c r="AIX32"/>
      <c r="AIY32"/>
      <c r="AIZ32"/>
      <c r="AJA32"/>
      <c r="AJB32"/>
      <c r="AJC32"/>
      <c r="AJD32"/>
      <c r="AJE32"/>
      <c r="AJF32"/>
      <c r="AJG32"/>
      <c r="AJH32"/>
      <c r="AJI32"/>
      <c r="AJJ32"/>
      <c r="AJK32"/>
      <c r="AJL32"/>
      <c r="AJM32"/>
      <c r="AJN32"/>
      <c r="AJO32"/>
      <c r="AJP32"/>
      <c r="AJQ32"/>
      <c r="AJR32"/>
      <c r="AJS32"/>
      <c r="AJT32"/>
      <c r="AJU32"/>
      <c r="AJV32"/>
      <c r="AJW32"/>
      <c r="AJX32"/>
      <c r="AJY32"/>
      <c r="AJZ32"/>
      <c r="AKA32"/>
      <c r="AKB32"/>
      <c r="AKC32"/>
      <c r="AKD32"/>
      <c r="AKE32"/>
      <c r="AKF32"/>
      <c r="AKG32"/>
      <c r="AKH32"/>
      <c r="AKI32"/>
      <c r="AKJ32"/>
      <c r="AKK32"/>
      <c r="AKL32"/>
      <c r="AKM32"/>
      <c r="AKN32"/>
      <c r="AKO32"/>
      <c r="AKP32"/>
      <c r="AKQ32"/>
      <c r="AKR32"/>
      <c r="AKS32"/>
      <c r="AKT32"/>
      <c r="AKU32"/>
      <c r="AKV32"/>
      <c r="AKW32"/>
      <c r="AKX32"/>
      <c r="AKY32"/>
      <c r="AKZ32"/>
      <c r="ALA32"/>
      <c r="ALB32"/>
      <c r="ALC32"/>
      <c r="ALD32"/>
      <c r="ALE32"/>
      <c r="ALF32"/>
      <c r="ALG32"/>
      <c r="ALH32"/>
      <c r="ALI32"/>
      <c r="ALJ32"/>
      <c r="ALK32"/>
      <c r="ALL32"/>
      <c r="ALM32"/>
      <c r="ALN32"/>
      <c r="ALO32"/>
      <c r="ALP32"/>
      <c r="ALQ32"/>
      <c r="ALR32"/>
      <c r="ALS32"/>
      <c r="ALT32"/>
      <c r="ALU32"/>
      <c r="ALV32"/>
      <c r="ALW32"/>
      <c r="ALX32"/>
      <c r="ALY32"/>
      <c r="ALZ32"/>
      <c r="AMA32"/>
      <c r="AMB32"/>
      <c r="AMC32"/>
      <c r="AMD32"/>
      <c r="AME32"/>
      <c r="AMF32"/>
      <c r="AMG32"/>
      <c r="AMH32"/>
      <c r="AMI32"/>
      <c r="AMJ32"/>
      <c r="AMK32"/>
      <c r="AML32"/>
      <c r="AMM32"/>
      <c r="AMN32"/>
      <c r="AMO32"/>
      <c r="AMP32"/>
      <c r="AMQ32"/>
      <c r="AMR32"/>
      <c r="AMS32"/>
      <c r="AMT32"/>
      <c r="AMU32"/>
      <c r="AMV32"/>
      <c r="AMW32"/>
      <c r="AMX32"/>
      <c r="AMY32"/>
      <c r="AMZ32"/>
      <c r="ANA32"/>
      <c r="ANB32"/>
      <c r="ANC32"/>
      <c r="AND32"/>
      <c r="ANE32"/>
      <c r="ANF32"/>
      <c r="ANG32"/>
      <c r="ANH32"/>
      <c r="ANI32"/>
      <c r="ANJ32"/>
      <c r="ANK32"/>
      <c r="ANL32"/>
      <c r="ANM32"/>
      <c r="ANN32"/>
      <c r="ANO32"/>
    </row>
    <row r="33" spans="1:1055" s="36" customFormat="1" ht="15.75" thickBot="1" x14ac:dyDescent="0.3">
      <c r="A33" s="34" t="s">
        <v>55</v>
      </c>
      <c r="B33" s="43">
        <f>D33*B13/D13</f>
        <v>36.53846153846154</v>
      </c>
      <c r="C33" s="44">
        <f>B33*C13/B13</f>
        <v>115.90312938449341</v>
      </c>
      <c r="D33" s="36">
        <v>100</v>
      </c>
      <c r="E33" s="37">
        <v>100</v>
      </c>
      <c r="F33" s="35">
        <v>0</v>
      </c>
      <c r="G33" s="96">
        <v>0</v>
      </c>
      <c r="H33" s="96">
        <v>0</v>
      </c>
      <c r="I33" s="96">
        <v>0</v>
      </c>
      <c r="J33" s="97">
        <v>0</v>
      </c>
      <c r="K33" s="36">
        <v>40</v>
      </c>
      <c r="L33" s="38">
        <v>0</v>
      </c>
      <c r="M33" s="39">
        <v>2000</v>
      </c>
      <c r="N33" s="40">
        <v>0</v>
      </c>
      <c r="O33" s="35"/>
      <c r="Q33" s="38">
        <v>0</v>
      </c>
      <c r="R33" s="35">
        <v>0</v>
      </c>
      <c r="S33" s="38">
        <v>0</v>
      </c>
      <c r="T33" s="41">
        <v>0</v>
      </c>
      <c r="U33" s="42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  <c r="AB33" s="36">
        <v>0</v>
      </c>
      <c r="AC33" s="36">
        <v>0</v>
      </c>
      <c r="AD33" s="36">
        <v>0</v>
      </c>
      <c r="AE33" s="36">
        <v>0</v>
      </c>
      <c r="AF33" s="36">
        <v>0</v>
      </c>
      <c r="AG33" s="36">
        <v>0</v>
      </c>
      <c r="AH33" s="36">
        <v>0</v>
      </c>
      <c r="AI33" s="36">
        <v>0</v>
      </c>
      <c r="AJ33" s="36">
        <v>0</v>
      </c>
      <c r="AK33" s="36">
        <v>0</v>
      </c>
      <c r="AL33" s="36">
        <v>0</v>
      </c>
      <c r="AM33" s="36">
        <v>0</v>
      </c>
      <c r="AN33" s="36">
        <v>0</v>
      </c>
      <c r="AO33" s="36">
        <v>0</v>
      </c>
      <c r="AP33" s="36">
        <v>0</v>
      </c>
      <c r="AQ33" s="36">
        <v>0</v>
      </c>
      <c r="AR33" s="38">
        <v>0</v>
      </c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  <c r="AAW33"/>
      <c r="AAX33"/>
      <c r="AAY33"/>
      <c r="AAZ33"/>
      <c r="ABA33"/>
      <c r="ABB33"/>
      <c r="ABC33"/>
      <c r="ABD33"/>
      <c r="ABE33"/>
      <c r="ABF33"/>
      <c r="ABG33"/>
      <c r="ABH33"/>
      <c r="ABI33"/>
      <c r="ABJ33"/>
      <c r="ABK33"/>
      <c r="ABL33"/>
      <c r="ABM33"/>
      <c r="ABN33"/>
      <c r="ABO33"/>
      <c r="ABP33"/>
      <c r="ABQ33"/>
      <c r="ABR33"/>
      <c r="ABS33"/>
      <c r="ABT33"/>
      <c r="ABU33"/>
      <c r="ABV33"/>
      <c r="ABW33"/>
      <c r="ABX33"/>
      <c r="ABY33"/>
      <c r="ABZ33"/>
      <c r="ACA33"/>
      <c r="ACB33"/>
      <c r="ACC33"/>
      <c r="ACD33"/>
      <c r="ACE33"/>
      <c r="ACF33"/>
      <c r="ACG33"/>
      <c r="ACH33"/>
      <c r="ACI33"/>
      <c r="ACJ33"/>
      <c r="ACK33"/>
      <c r="ACL33"/>
      <c r="ACM33"/>
      <c r="ACN33"/>
      <c r="ACO33"/>
      <c r="ACP33"/>
      <c r="ACQ33"/>
      <c r="ACR33"/>
      <c r="ACS33"/>
      <c r="ACT33"/>
      <c r="ACU33"/>
      <c r="ACV33"/>
      <c r="ACW33"/>
      <c r="ACX33"/>
      <c r="ACY33"/>
      <c r="ACZ33"/>
      <c r="ADA33"/>
      <c r="ADB33"/>
      <c r="ADC33"/>
      <c r="ADD33"/>
      <c r="ADE33"/>
      <c r="ADF33"/>
      <c r="ADG33"/>
      <c r="ADH33"/>
      <c r="ADI33"/>
      <c r="ADJ33"/>
      <c r="ADK33"/>
      <c r="ADL33"/>
      <c r="ADM33"/>
      <c r="ADN33"/>
      <c r="ADO33"/>
      <c r="ADP33"/>
      <c r="ADQ33"/>
      <c r="ADR33"/>
      <c r="ADS33"/>
      <c r="ADT33"/>
      <c r="ADU33"/>
      <c r="ADV33"/>
      <c r="ADW33"/>
      <c r="ADX33"/>
      <c r="ADY33"/>
      <c r="ADZ33"/>
      <c r="AEA33"/>
      <c r="AEB33"/>
      <c r="AEC33"/>
      <c r="AED33"/>
      <c r="AEE33"/>
      <c r="AEF33"/>
      <c r="AEG33"/>
      <c r="AEH33"/>
      <c r="AEI33"/>
      <c r="AEJ33"/>
      <c r="AEK33"/>
      <c r="AEL33"/>
      <c r="AEM33"/>
      <c r="AEN33"/>
      <c r="AEO33"/>
      <c r="AEP33"/>
      <c r="AEQ33"/>
      <c r="AER33"/>
      <c r="AES33"/>
      <c r="AET33"/>
      <c r="AEU33"/>
      <c r="AEV33"/>
      <c r="AEW33"/>
      <c r="AEX33"/>
      <c r="AEY33"/>
      <c r="AEZ33"/>
      <c r="AFA33"/>
      <c r="AFB33"/>
      <c r="AFC33"/>
      <c r="AFD33"/>
      <c r="AFE33"/>
      <c r="AFF33"/>
      <c r="AFG33"/>
      <c r="AFH33"/>
      <c r="AFI33"/>
      <c r="AFJ33"/>
      <c r="AFK33"/>
      <c r="AFL33"/>
      <c r="AFM33"/>
      <c r="AFN33"/>
      <c r="AFO33"/>
      <c r="AFP33"/>
      <c r="AFQ33"/>
      <c r="AFR33"/>
      <c r="AFS33"/>
      <c r="AFT33"/>
      <c r="AFU33"/>
      <c r="AFV33"/>
      <c r="AFW33"/>
      <c r="AFX33"/>
      <c r="AFY33"/>
      <c r="AFZ33"/>
      <c r="AGA33"/>
      <c r="AGB33"/>
      <c r="AGC33"/>
      <c r="AGD33"/>
      <c r="AGE33"/>
      <c r="AGF33"/>
      <c r="AGG33"/>
      <c r="AGH33"/>
      <c r="AGI33"/>
      <c r="AGJ33"/>
      <c r="AGK33"/>
      <c r="AGL33"/>
      <c r="AGM33"/>
      <c r="AGN33"/>
      <c r="AGO33"/>
      <c r="AGP33"/>
      <c r="AGQ33"/>
      <c r="AGR33"/>
      <c r="AGS33"/>
      <c r="AGT33"/>
      <c r="AGU33"/>
      <c r="AGV33"/>
      <c r="AGW33"/>
      <c r="AGX33"/>
      <c r="AGY33"/>
      <c r="AGZ33"/>
      <c r="AHA33"/>
      <c r="AHB33"/>
      <c r="AHC33"/>
      <c r="AHD33"/>
      <c r="AHE33"/>
      <c r="AHF33"/>
      <c r="AHG33"/>
      <c r="AHH33"/>
      <c r="AHI33"/>
      <c r="AHJ33"/>
      <c r="AHK33"/>
      <c r="AHL33"/>
      <c r="AHM33"/>
      <c r="AHN33"/>
      <c r="AHO33"/>
      <c r="AHP33"/>
      <c r="AHQ33"/>
      <c r="AHR33"/>
      <c r="AHS33"/>
      <c r="AHT33"/>
      <c r="AHU33"/>
      <c r="AHV33"/>
      <c r="AHW33"/>
      <c r="AHX33"/>
      <c r="AHY33"/>
      <c r="AHZ33"/>
      <c r="AIA33"/>
      <c r="AIB33"/>
      <c r="AIC33"/>
      <c r="AID33"/>
      <c r="AIE33"/>
      <c r="AIF33"/>
      <c r="AIG33"/>
      <c r="AIH33"/>
      <c r="AII33"/>
      <c r="AIJ33"/>
      <c r="AIK33"/>
      <c r="AIL33"/>
      <c r="AIM33"/>
      <c r="AIN33"/>
      <c r="AIO33"/>
      <c r="AIP33"/>
      <c r="AIQ33"/>
      <c r="AIR33"/>
      <c r="AIS33"/>
      <c r="AIT33"/>
      <c r="AIU33"/>
      <c r="AIV33"/>
      <c r="AIW33"/>
      <c r="AIX33"/>
      <c r="AIY33"/>
      <c r="AIZ33"/>
      <c r="AJA33"/>
      <c r="AJB33"/>
      <c r="AJC33"/>
      <c r="AJD33"/>
      <c r="AJE33"/>
      <c r="AJF33"/>
      <c r="AJG33"/>
      <c r="AJH33"/>
      <c r="AJI33"/>
      <c r="AJJ33"/>
      <c r="AJK33"/>
      <c r="AJL33"/>
      <c r="AJM33"/>
      <c r="AJN33"/>
      <c r="AJO33"/>
      <c r="AJP33"/>
      <c r="AJQ33"/>
      <c r="AJR33"/>
      <c r="AJS33"/>
      <c r="AJT33"/>
      <c r="AJU33"/>
      <c r="AJV33"/>
      <c r="AJW33"/>
      <c r="AJX33"/>
      <c r="AJY33"/>
      <c r="AJZ33"/>
      <c r="AKA33"/>
      <c r="AKB33"/>
      <c r="AKC33"/>
      <c r="AKD33"/>
      <c r="AKE33"/>
      <c r="AKF33"/>
      <c r="AKG33"/>
      <c r="AKH33"/>
      <c r="AKI33"/>
      <c r="AKJ33"/>
      <c r="AKK33"/>
      <c r="AKL33"/>
      <c r="AKM33"/>
      <c r="AKN33"/>
      <c r="AKO33"/>
      <c r="AKP33"/>
      <c r="AKQ33"/>
      <c r="AKR33"/>
      <c r="AKS33"/>
      <c r="AKT33"/>
      <c r="AKU33"/>
      <c r="AKV33"/>
      <c r="AKW33"/>
      <c r="AKX33"/>
      <c r="AKY33"/>
      <c r="AKZ33"/>
      <c r="ALA33"/>
      <c r="ALB33"/>
      <c r="ALC33"/>
      <c r="ALD33"/>
      <c r="ALE33"/>
      <c r="ALF33"/>
      <c r="ALG33"/>
      <c r="ALH33"/>
      <c r="ALI33"/>
      <c r="ALJ33"/>
      <c r="ALK33"/>
      <c r="ALL33"/>
      <c r="ALM33"/>
      <c r="ALN33"/>
      <c r="ALO33"/>
      <c r="ALP33"/>
      <c r="ALQ33"/>
      <c r="ALR33"/>
      <c r="ALS33"/>
      <c r="ALT33"/>
      <c r="ALU33"/>
      <c r="ALV33"/>
      <c r="ALW33"/>
      <c r="ALX33"/>
      <c r="ALY33"/>
      <c r="ALZ33"/>
      <c r="AMA33"/>
      <c r="AMB33"/>
      <c r="AMC33"/>
      <c r="AMD33"/>
      <c r="AME33"/>
      <c r="AMF33"/>
      <c r="AMG33"/>
      <c r="AMH33"/>
      <c r="AMI33"/>
      <c r="AMJ33"/>
      <c r="AMK33"/>
      <c r="AML33"/>
      <c r="AMM33"/>
      <c r="AMN33"/>
      <c r="AMO33"/>
      <c r="AMP33"/>
      <c r="AMQ33"/>
      <c r="AMR33"/>
      <c r="AMS33"/>
      <c r="AMT33"/>
      <c r="AMU33"/>
      <c r="AMV33"/>
      <c r="AMW33"/>
      <c r="AMX33"/>
      <c r="AMY33"/>
      <c r="AMZ33"/>
      <c r="ANA33"/>
      <c r="ANB33"/>
      <c r="ANC33"/>
      <c r="AND33"/>
      <c r="ANE33"/>
      <c r="ANF33"/>
      <c r="ANG33"/>
      <c r="ANH33"/>
      <c r="ANI33"/>
      <c r="ANJ33"/>
      <c r="ANK33"/>
      <c r="ANL33"/>
      <c r="ANM33"/>
      <c r="ANN33"/>
      <c r="ANO33"/>
    </row>
    <row r="34" spans="1:1055" s="36" customFormat="1" ht="15.75" thickBot="1" x14ac:dyDescent="0.3">
      <c r="A34" s="34" t="s">
        <v>56</v>
      </c>
      <c r="B34" s="35">
        <v>0</v>
      </c>
      <c r="C34" s="36">
        <v>0</v>
      </c>
      <c r="D34" s="36">
        <v>0</v>
      </c>
      <c r="E34" s="37">
        <v>0</v>
      </c>
      <c r="F34" s="35">
        <v>0</v>
      </c>
      <c r="G34" s="96">
        <v>0</v>
      </c>
      <c r="H34" s="96">
        <v>0</v>
      </c>
      <c r="I34" s="96">
        <v>0</v>
      </c>
      <c r="J34" s="97">
        <v>0</v>
      </c>
      <c r="K34" s="36">
        <v>130000</v>
      </c>
      <c r="L34" s="38">
        <v>1160</v>
      </c>
      <c r="M34" s="39">
        <v>0.95</v>
      </c>
      <c r="N34" s="40">
        <v>0</v>
      </c>
      <c r="O34" s="35"/>
      <c r="Q34" s="38">
        <v>0</v>
      </c>
      <c r="R34" s="35">
        <v>0</v>
      </c>
      <c r="S34" s="38">
        <v>0</v>
      </c>
      <c r="T34" s="41">
        <v>0</v>
      </c>
      <c r="U34" s="42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36">
        <v>0</v>
      </c>
      <c r="AF34" s="36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36">
        <v>0</v>
      </c>
      <c r="AM34" s="36">
        <v>0</v>
      </c>
      <c r="AN34" s="36">
        <v>0</v>
      </c>
      <c r="AO34" s="36">
        <v>0</v>
      </c>
      <c r="AP34" s="36">
        <v>0</v>
      </c>
      <c r="AQ34" s="36">
        <v>0</v>
      </c>
      <c r="AR34" s="38">
        <v>0</v>
      </c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  <c r="LQ34"/>
      <c r="LR34"/>
      <c r="LS34"/>
      <c r="LT34"/>
      <c r="LU34"/>
      <c r="LV34"/>
      <c r="LW34"/>
      <c r="LX34"/>
      <c r="LY34"/>
      <c r="LZ34"/>
      <c r="MA34"/>
      <c r="MB34"/>
      <c r="MC34"/>
      <c r="MD34"/>
      <c r="ME34"/>
      <c r="MF34"/>
      <c r="MG34"/>
      <c r="MH34"/>
      <c r="MI34"/>
      <c r="MJ34"/>
      <c r="MK34"/>
      <c r="ML34"/>
      <c r="MM34"/>
      <c r="MN34"/>
      <c r="MO34"/>
      <c r="MP34"/>
      <c r="MQ34"/>
      <c r="MR34"/>
      <c r="MS34"/>
      <c r="MT34"/>
      <c r="MU34"/>
      <c r="MV34"/>
      <c r="MW34"/>
      <c r="MX34"/>
      <c r="MY34"/>
      <c r="MZ34"/>
      <c r="NA34"/>
      <c r="NB34"/>
      <c r="NC34"/>
      <c r="ND34"/>
      <c r="NE34"/>
      <c r="NF34"/>
      <c r="NG34"/>
      <c r="NH34"/>
      <c r="NI34"/>
      <c r="NJ34"/>
      <c r="NK34"/>
      <c r="NL34"/>
      <c r="NM34"/>
      <c r="NN34"/>
      <c r="NO34"/>
      <c r="NP34"/>
      <c r="NQ34"/>
      <c r="NR34"/>
      <c r="NS34"/>
      <c r="NT34"/>
      <c r="NU34"/>
      <c r="NV34"/>
      <c r="NW34"/>
      <c r="NX34"/>
      <c r="NY34"/>
      <c r="NZ34"/>
      <c r="OA34"/>
      <c r="OB34"/>
      <c r="OC34"/>
      <c r="OD34"/>
      <c r="OE34"/>
      <c r="OF34"/>
      <c r="OG34"/>
      <c r="OH34"/>
      <c r="OI34"/>
      <c r="OJ34"/>
      <c r="OK34"/>
      <c r="OL34"/>
      <c r="OM34"/>
      <c r="ON34"/>
      <c r="OO34"/>
      <c r="OP34"/>
      <c r="OQ34"/>
      <c r="OR34"/>
      <c r="OS34"/>
      <c r="OT34"/>
      <c r="OU34"/>
      <c r="OV34"/>
      <c r="OW34"/>
      <c r="OX34"/>
      <c r="OY34"/>
      <c r="OZ34"/>
      <c r="PA34"/>
      <c r="PB34"/>
      <c r="PC34"/>
      <c r="PD34"/>
      <c r="PE34"/>
      <c r="PF34"/>
      <c r="PG34"/>
      <c r="PH34"/>
      <c r="PI34"/>
      <c r="PJ34"/>
      <c r="PK34"/>
      <c r="PL34"/>
      <c r="PM34"/>
      <c r="PN34"/>
      <c r="PO34"/>
      <c r="PP34"/>
      <c r="PQ34"/>
      <c r="PR34"/>
      <c r="PS34"/>
      <c r="PT34"/>
      <c r="PU34"/>
      <c r="PV34"/>
      <c r="PW34"/>
      <c r="PX34"/>
      <c r="PY34"/>
      <c r="PZ34"/>
      <c r="QA34"/>
      <c r="QB34"/>
      <c r="QC34"/>
      <c r="QD34"/>
      <c r="QE34"/>
      <c r="QF34"/>
      <c r="QG34"/>
      <c r="QH34"/>
      <c r="QI34"/>
      <c r="QJ34"/>
      <c r="QK34"/>
      <c r="QL34"/>
      <c r="QM34"/>
      <c r="QN34"/>
      <c r="QO34"/>
      <c r="QP34"/>
      <c r="QQ34"/>
      <c r="QR34"/>
      <c r="QS34"/>
      <c r="QT34"/>
      <c r="QU34"/>
      <c r="QV34"/>
      <c r="QW34"/>
      <c r="QX34"/>
      <c r="QY34"/>
      <c r="QZ34"/>
      <c r="RA34"/>
      <c r="RB34"/>
      <c r="RC34"/>
      <c r="RD34"/>
      <c r="RE34"/>
      <c r="RF34"/>
      <c r="RG34"/>
      <c r="RH34"/>
      <c r="RI34"/>
      <c r="RJ34"/>
      <c r="RK34"/>
      <c r="RL34"/>
      <c r="RM34"/>
      <c r="RN34"/>
      <c r="RO34"/>
      <c r="RP34"/>
      <c r="RQ34"/>
      <c r="RR34"/>
      <c r="RS34"/>
      <c r="RT34"/>
      <c r="RU34"/>
      <c r="RV34"/>
      <c r="RW34"/>
      <c r="RX34"/>
      <c r="RY34"/>
      <c r="RZ34"/>
      <c r="SA34"/>
      <c r="SB34"/>
      <c r="SC34"/>
      <c r="SD34"/>
      <c r="SE34"/>
      <c r="SF34"/>
      <c r="SG34"/>
      <c r="SH34"/>
      <c r="SI34"/>
      <c r="SJ34"/>
      <c r="SK34"/>
      <c r="SL34"/>
      <c r="SM34"/>
      <c r="SN34"/>
      <c r="SO34"/>
      <c r="SP34"/>
      <c r="SQ34"/>
      <c r="SR34"/>
      <c r="SS34"/>
      <c r="ST34"/>
      <c r="SU34"/>
      <c r="SV34"/>
      <c r="SW34"/>
      <c r="SX34"/>
      <c r="SY34"/>
      <c r="SZ34"/>
      <c r="TA34"/>
      <c r="TB34"/>
      <c r="TC34"/>
      <c r="TD34"/>
      <c r="TE34"/>
      <c r="TF34"/>
      <c r="TG34"/>
      <c r="TH34"/>
      <c r="TI34"/>
      <c r="TJ34"/>
      <c r="TK34"/>
      <c r="TL34"/>
      <c r="TM34"/>
      <c r="TN34"/>
      <c r="TO34"/>
      <c r="TP34"/>
      <c r="TQ34"/>
      <c r="TR34"/>
      <c r="TS34"/>
      <c r="TT34"/>
      <c r="TU34"/>
      <c r="TV34"/>
      <c r="TW34"/>
      <c r="TX34"/>
      <c r="TY34"/>
      <c r="TZ34"/>
      <c r="UA34"/>
      <c r="UB34"/>
      <c r="UC34"/>
      <c r="UD34"/>
      <c r="UE34"/>
      <c r="UF34"/>
      <c r="UG34"/>
      <c r="UH34"/>
      <c r="UI34"/>
      <c r="UJ34"/>
      <c r="UK34"/>
      <c r="UL34"/>
      <c r="UM34"/>
      <c r="UN34"/>
      <c r="UO34"/>
      <c r="UP34"/>
      <c r="UQ34"/>
      <c r="UR34"/>
      <c r="US34"/>
      <c r="UT34"/>
      <c r="UU34"/>
      <c r="UV34"/>
      <c r="UW34"/>
      <c r="UX34"/>
      <c r="UY34"/>
      <c r="UZ34"/>
      <c r="VA34"/>
      <c r="VB34"/>
      <c r="VC34"/>
      <c r="VD34"/>
      <c r="VE34"/>
      <c r="VF34"/>
      <c r="VG34"/>
      <c r="VH34"/>
      <c r="VI34"/>
      <c r="VJ34"/>
      <c r="VK34"/>
      <c r="VL34"/>
      <c r="VM34"/>
      <c r="VN34"/>
      <c r="VO34"/>
      <c r="VP34"/>
      <c r="VQ34"/>
      <c r="VR34"/>
      <c r="VS34"/>
      <c r="VT34"/>
      <c r="VU34"/>
      <c r="VV34"/>
      <c r="VW34"/>
      <c r="VX34"/>
      <c r="VY34"/>
      <c r="VZ34"/>
      <c r="WA34"/>
      <c r="WB34"/>
      <c r="WC34"/>
      <c r="WD34"/>
      <c r="WE34"/>
      <c r="WF34"/>
      <c r="WG34"/>
      <c r="WH34"/>
      <c r="WI34"/>
      <c r="WJ34"/>
      <c r="WK34"/>
      <c r="WL34"/>
      <c r="WM34"/>
      <c r="WN34"/>
      <c r="WO34"/>
      <c r="WP34"/>
      <c r="WQ34"/>
      <c r="WR34"/>
      <c r="WS34"/>
      <c r="WT34"/>
      <c r="WU34"/>
      <c r="WV34"/>
      <c r="WW34"/>
      <c r="WX34"/>
      <c r="WY34"/>
      <c r="WZ34"/>
      <c r="XA34"/>
      <c r="XB34"/>
      <c r="XC34"/>
      <c r="XD34"/>
      <c r="XE34"/>
      <c r="XF34"/>
      <c r="XG34"/>
      <c r="XH34"/>
      <c r="XI34"/>
      <c r="XJ34"/>
      <c r="XK34"/>
      <c r="XL34"/>
      <c r="XM34"/>
      <c r="XN34"/>
      <c r="XO34"/>
      <c r="XP34"/>
      <c r="XQ34"/>
      <c r="XR34"/>
      <c r="XS34"/>
      <c r="XT34"/>
      <c r="XU34"/>
      <c r="XV34"/>
      <c r="XW34"/>
      <c r="XX34"/>
      <c r="XY34"/>
      <c r="XZ34"/>
      <c r="YA34"/>
      <c r="YB34"/>
      <c r="YC34"/>
      <c r="YD34"/>
      <c r="YE34"/>
      <c r="YF34"/>
      <c r="YG34"/>
      <c r="YH34"/>
      <c r="YI34"/>
      <c r="YJ34"/>
      <c r="YK34"/>
      <c r="YL34"/>
      <c r="YM34"/>
      <c r="YN34"/>
      <c r="YO34"/>
      <c r="YP34"/>
      <c r="YQ34"/>
      <c r="YR34"/>
      <c r="YS34"/>
      <c r="YT34"/>
      <c r="YU34"/>
      <c r="YV34"/>
      <c r="YW34"/>
      <c r="YX34"/>
      <c r="YY34"/>
      <c r="YZ34"/>
      <c r="ZA34"/>
      <c r="ZB34"/>
      <c r="ZC34"/>
      <c r="ZD34"/>
      <c r="ZE34"/>
      <c r="ZF34"/>
      <c r="ZG34"/>
      <c r="ZH34"/>
      <c r="ZI34"/>
      <c r="ZJ34"/>
      <c r="ZK34"/>
      <c r="ZL34"/>
      <c r="ZM34"/>
      <c r="ZN34"/>
      <c r="ZO34"/>
      <c r="ZP34"/>
      <c r="ZQ34"/>
      <c r="ZR34"/>
      <c r="ZS34"/>
      <c r="ZT34"/>
      <c r="ZU34"/>
      <c r="ZV34"/>
      <c r="ZW34"/>
      <c r="ZX34"/>
      <c r="ZY34"/>
      <c r="ZZ34"/>
      <c r="AAA34"/>
      <c r="AAB34"/>
      <c r="AAC34"/>
      <c r="AAD34"/>
      <c r="AAE34"/>
      <c r="AAF34"/>
      <c r="AAG34"/>
      <c r="AAH34"/>
      <c r="AAI34"/>
      <c r="AAJ34"/>
      <c r="AAK34"/>
      <c r="AAL34"/>
      <c r="AAM34"/>
      <c r="AAN34"/>
      <c r="AAO34"/>
      <c r="AAP34"/>
      <c r="AAQ34"/>
      <c r="AAR34"/>
      <c r="AAS34"/>
      <c r="AAT34"/>
      <c r="AAU34"/>
      <c r="AAV34"/>
      <c r="AAW34"/>
      <c r="AAX34"/>
      <c r="AAY34"/>
      <c r="AAZ34"/>
      <c r="ABA34"/>
      <c r="ABB34"/>
      <c r="ABC34"/>
      <c r="ABD34"/>
      <c r="ABE34"/>
      <c r="ABF34"/>
      <c r="ABG34"/>
      <c r="ABH34"/>
      <c r="ABI34"/>
      <c r="ABJ34"/>
      <c r="ABK34"/>
      <c r="ABL34"/>
      <c r="ABM34"/>
      <c r="ABN34"/>
      <c r="ABO34"/>
      <c r="ABP34"/>
      <c r="ABQ34"/>
      <c r="ABR34"/>
      <c r="ABS34"/>
      <c r="ABT34"/>
      <c r="ABU34"/>
      <c r="ABV34"/>
      <c r="ABW34"/>
      <c r="ABX34"/>
      <c r="ABY34"/>
      <c r="ABZ34"/>
      <c r="ACA34"/>
      <c r="ACB34"/>
      <c r="ACC34"/>
      <c r="ACD34"/>
      <c r="ACE34"/>
      <c r="ACF34"/>
      <c r="ACG34"/>
      <c r="ACH34"/>
      <c r="ACI34"/>
      <c r="ACJ34"/>
      <c r="ACK34"/>
      <c r="ACL34"/>
      <c r="ACM34"/>
      <c r="ACN34"/>
      <c r="ACO34"/>
      <c r="ACP34"/>
      <c r="ACQ34"/>
      <c r="ACR34"/>
      <c r="ACS34"/>
      <c r="ACT34"/>
      <c r="ACU34"/>
      <c r="ACV34"/>
      <c r="ACW34"/>
      <c r="ACX34"/>
      <c r="ACY34"/>
      <c r="ACZ34"/>
      <c r="ADA34"/>
      <c r="ADB34"/>
      <c r="ADC34"/>
      <c r="ADD34"/>
      <c r="ADE34"/>
      <c r="ADF34"/>
      <c r="ADG34"/>
      <c r="ADH34"/>
      <c r="ADI34"/>
      <c r="ADJ34"/>
      <c r="ADK34"/>
      <c r="ADL34"/>
      <c r="ADM34"/>
      <c r="ADN34"/>
      <c r="ADO34"/>
      <c r="ADP34"/>
      <c r="ADQ34"/>
      <c r="ADR34"/>
      <c r="ADS34"/>
      <c r="ADT34"/>
      <c r="ADU34"/>
      <c r="ADV34"/>
      <c r="ADW34"/>
      <c r="ADX34"/>
      <c r="ADY34"/>
      <c r="ADZ34"/>
      <c r="AEA34"/>
      <c r="AEB34"/>
      <c r="AEC34"/>
      <c r="AED34"/>
      <c r="AEE34"/>
      <c r="AEF34"/>
      <c r="AEG34"/>
      <c r="AEH34"/>
      <c r="AEI34"/>
      <c r="AEJ34"/>
      <c r="AEK34"/>
      <c r="AEL34"/>
      <c r="AEM34"/>
      <c r="AEN34"/>
      <c r="AEO34"/>
      <c r="AEP34"/>
      <c r="AEQ34"/>
      <c r="AER34"/>
      <c r="AES34"/>
      <c r="AET34"/>
      <c r="AEU34"/>
      <c r="AEV34"/>
      <c r="AEW34"/>
      <c r="AEX34"/>
      <c r="AEY34"/>
      <c r="AEZ34"/>
      <c r="AFA34"/>
      <c r="AFB34"/>
      <c r="AFC34"/>
      <c r="AFD34"/>
      <c r="AFE34"/>
      <c r="AFF34"/>
      <c r="AFG34"/>
      <c r="AFH34"/>
      <c r="AFI34"/>
      <c r="AFJ34"/>
      <c r="AFK34"/>
      <c r="AFL34"/>
      <c r="AFM34"/>
      <c r="AFN34"/>
      <c r="AFO34"/>
      <c r="AFP34"/>
      <c r="AFQ34"/>
      <c r="AFR34"/>
      <c r="AFS34"/>
      <c r="AFT34"/>
      <c r="AFU34"/>
      <c r="AFV34"/>
      <c r="AFW34"/>
      <c r="AFX34"/>
      <c r="AFY34"/>
      <c r="AFZ34"/>
      <c r="AGA34"/>
      <c r="AGB34"/>
      <c r="AGC34"/>
      <c r="AGD34"/>
      <c r="AGE34"/>
      <c r="AGF34"/>
      <c r="AGG34"/>
      <c r="AGH34"/>
      <c r="AGI34"/>
      <c r="AGJ34"/>
      <c r="AGK34"/>
      <c r="AGL34"/>
      <c r="AGM34"/>
      <c r="AGN34"/>
      <c r="AGO34"/>
      <c r="AGP34"/>
      <c r="AGQ34"/>
      <c r="AGR34"/>
      <c r="AGS34"/>
      <c r="AGT34"/>
      <c r="AGU34"/>
      <c r="AGV34"/>
      <c r="AGW34"/>
      <c r="AGX34"/>
      <c r="AGY34"/>
      <c r="AGZ34"/>
      <c r="AHA34"/>
      <c r="AHB34"/>
      <c r="AHC34"/>
      <c r="AHD34"/>
      <c r="AHE34"/>
      <c r="AHF34"/>
      <c r="AHG34"/>
      <c r="AHH34"/>
      <c r="AHI34"/>
      <c r="AHJ34"/>
      <c r="AHK34"/>
      <c r="AHL34"/>
      <c r="AHM34"/>
      <c r="AHN34"/>
      <c r="AHO34"/>
      <c r="AHP34"/>
      <c r="AHQ34"/>
      <c r="AHR34"/>
      <c r="AHS34"/>
      <c r="AHT34"/>
      <c r="AHU34"/>
      <c r="AHV34"/>
      <c r="AHW34"/>
      <c r="AHX34"/>
      <c r="AHY34"/>
      <c r="AHZ34"/>
      <c r="AIA34"/>
      <c r="AIB34"/>
      <c r="AIC34"/>
      <c r="AID34"/>
      <c r="AIE34"/>
      <c r="AIF34"/>
      <c r="AIG34"/>
      <c r="AIH34"/>
      <c r="AII34"/>
      <c r="AIJ34"/>
      <c r="AIK34"/>
      <c r="AIL34"/>
      <c r="AIM34"/>
      <c r="AIN34"/>
      <c r="AIO34"/>
      <c r="AIP34"/>
      <c r="AIQ34"/>
      <c r="AIR34"/>
      <c r="AIS34"/>
      <c r="AIT34"/>
      <c r="AIU34"/>
      <c r="AIV34"/>
      <c r="AIW34"/>
      <c r="AIX34"/>
      <c r="AIY34"/>
      <c r="AIZ34"/>
      <c r="AJA34"/>
      <c r="AJB34"/>
      <c r="AJC34"/>
      <c r="AJD34"/>
      <c r="AJE34"/>
      <c r="AJF34"/>
      <c r="AJG34"/>
      <c r="AJH34"/>
      <c r="AJI34"/>
      <c r="AJJ34"/>
      <c r="AJK34"/>
      <c r="AJL34"/>
      <c r="AJM34"/>
      <c r="AJN34"/>
      <c r="AJO34"/>
      <c r="AJP34"/>
      <c r="AJQ34"/>
      <c r="AJR34"/>
      <c r="AJS34"/>
      <c r="AJT34"/>
      <c r="AJU34"/>
      <c r="AJV34"/>
      <c r="AJW34"/>
      <c r="AJX34"/>
      <c r="AJY34"/>
      <c r="AJZ34"/>
      <c r="AKA34"/>
      <c r="AKB34"/>
      <c r="AKC34"/>
      <c r="AKD34"/>
      <c r="AKE34"/>
      <c r="AKF34"/>
      <c r="AKG34"/>
      <c r="AKH34"/>
      <c r="AKI34"/>
      <c r="AKJ34"/>
      <c r="AKK34"/>
      <c r="AKL34"/>
      <c r="AKM34"/>
      <c r="AKN34"/>
      <c r="AKO34"/>
      <c r="AKP34"/>
      <c r="AKQ34"/>
      <c r="AKR34"/>
      <c r="AKS34"/>
      <c r="AKT34"/>
      <c r="AKU34"/>
      <c r="AKV34"/>
      <c r="AKW34"/>
      <c r="AKX34"/>
      <c r="AKY34"/>
      <c r="AKZ34"/>
      <c r="ALA34"/>
      <c r="ALB34"/>
      <c r="ALC34"/>
      <c r="ALD34"/>
      <c r="ALE34"/>
      <c r="ALF34"/>
      <c r="ALG34"/>
      <c r="ALH34"/>
      <c r="ALI34"/>
      <c r="ALJ34"/>
      <c r="ALK34"/>
      <c r="ALL34"/>
      <c r="ALM34"/>
      <c r="ALN34"/>
      <c r="ALO34"/>
      <c r="ALP34"/>
      <c r="ALQ34"/>
      <c r="ALR34"/>
      <c r="ALS34"/>
      <c r="ALT34"/>
      <c r="ALU34"/>
      <c r="ALV34"/>
      <c r="ALW34"/>
      <c r="ALX34"/>
      <c r="ALY34"/>
      <c r="ALZ34"/>
      <c r="AMA34"/>
      <c r="AMB34"/>
      <c r="AMC34"/>
      <c r="AMD34"/>
      <c r="AME34"/>
      <c r="AMF34"/>
      <c r="AMG34"/>
      <c r="AMH34"/>
      <c r="AMI34"/>
      <c r="AMJ34"/>
      <c r="AMK34"/>
      <c r="AML34"/>
      <c r="AMM34"/>
      <c r="AMN34"/>
      <c r="AMO34"/>
      <c r="AMP34"/>
      <c r="AMQ34"/>
      <c r="AMR34"/>
      <c r="AMS34"/>
      <c r="AMT34"/>
      <c r="AMU34"/>
      <c r="AMV34"/>
      <c r="AMW34"/>
      <c r="AMX34"/>
      <c r="AMY34"/>
      <c r="AMZ34"/>
      <c r="ANA34"/>
      <c r="ANB34"/>
      <c r="ANC34"/>
      <c r="AND34"/>
      <c r="ANE34"/>
      <c r="ANF34"/>
      <c r="ANG34"/>
      <c r="ANH34"/>
      <c r="ANI34"/>
      <c r="ANJ34"/>
      <c r="ANK34"/>
      <c r="ANL34"/>
      <c r="ANM34"/>
      <c r="ANN34"/>
      <c r="ANO34"/>
    </row>
    <row r="35" spans="1:1055" s="36" customFormat="1" ht="15.75" thickBot="1" x14ac:dyDescent="0.3">
      <c r="A35" s="34" t="s">
        <v>57</v>
      </c>
      <c r="B35" s="35">
        <v>0</v>
      </c>
      <c r="C35" s="36">
        <v>0</v>
      </c>
      <c r="D35" s="36">
        <f>E35/4</f>
        <v>50</v>
      </c>
      <c r="E35" s="37">
        <v>200</v>
      </c>
      <c r="F35" s="35">
        <v>0</v>
      </c>
      <c r="G35" s="96">
        <v>0</v>
      </c>
      <c r="H35" s="96">
        <v>0</v>
      </c>
      <c r="I35" s="96">
        <v>0</v>
      </c>
      <c r="J35" s="97">
        <v>0</v>
      </c>
      <c r="K35" s="36">
        <v>0</v>
      </c>
      <c r="L35" s="38">
        <v>0</v>
      </c>
      <c r="M35" s="39">
        <v>378</v>
      </c>
      <c r="N35" s="40">
        <v>0</v>
      </c>
      <c r="O35" s="35"/>
      <c r="Q35" s="38">
        <v>0.3</v>
      </c>
      <c r="R35" s="35">
        <v>11</v>
      </c>
      <c r="S35" s="38">
        <v>14</v>
      </c>
      <c r="T35" s="41">
        <v>5023.5108697014803</v>
      </c>
      <c r="U35" s="42">
        <v>-107292.911532271</v>
      </c>
      <c r="V35" s="36">
        <v>104000</v>
      </c>
      <c r="W35" s="36">
        <v>126000</v>
      </c>
      <c r="X35" s="36">
        <v>128000</v>
      </c>
      <c r="Y35" s="36">
        <v>139990</v>
      </c>
      <c r="Z35" s="36">
        <v>134990</v>
      </c>
      <c r="AA35" s="36">
        <v>121980</v>
      </c>
      <c r="AB35" s="36">
        <v>128980</v>
      </c>
      <c r="AC35" s="36">
        <v>129980</v>
      </c>
      <c r="AD35" s="36">
        <v>122970</v>
      </c>
      <c r="AE35" s="36">
        <v>124950</v>
      </c>
      <c r="AF35" s="36">
        <v>140930</v>
      </c>
      <c r="AG35" s="36">
        <v>184910</v>
      </c>
      <c r="AH35" s="36">
        <v>183840</v>
      </c>
      <c r="AI35" s="36">
        <v>204680</v>
      </c>
      <c r="AJ35" s="36">
        <v>217500</v>
      </c>
      <c r="AK35" s="36">
        <v>220040</v>
      </c>
      <c r="AL35" s="36">
        <v>240480</v>
      </c>
      <c r="AM35" s="36">
        <v>262320</v>
      </c>
      <c r="AN35" s="36">
        <v>257060</v>
      </c>
      <c r="AO35" s="36">
        <v>255930</v>
      </c>
      <c r="AP35" s="36">
        <v>277740</v>
      </c>
      <c r="AQ35" s="36">
        <v>230480</v>
      </c>
      <c r="AR35" s="38">
        <v>221170</v>
      </c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  <c r="LO35"/>
      <c r="LP35"/>
      <c r="LQ35"/>
      <c r="LR35"/>
      <c r="LS35"/>
      <c r="LT35"/>
      <c r="LU35"/>
      <c r="LV35"/>
      <c r="LW35"/>
      <c r="LX35"/>
      <c r="LY35"/>
      <c r="LZ35"/>
      <c r="MA35"/>
      <c r="MB35"/>
      <c r="MC35"/>
      <c r="MD35"/>
      <c r="ME35"/>
      <c r="MF35"/>
      <c r="MG35"/>
      <c r="MH35"/>
      <c r="MI35"/>
      <c r="MJ35"/>
      <c r="MK35"/>
      <c r="ML35"/>
      <c r="MM35"/>
      <c r="MN35"/>
      <c r="MO35"/>
      <c r="MP35"/>
      <c r="MQ35"/>
      <c r="MR35"/>
      <c r="MS35"/>
      <c r="MT35"/>
      <c r="MU35"/>
      <c r="MV35"/>
      <c r="MW35"/>
      <c r="MX35"/>
      <c r="MY35"/>
      <c r="MZ35"/>
      <c r="NA35"/>
      <c r="NB35"/>
      <c r="NC35"/>
      <c r="ND35"/>
      <c r="NE35"/>
      <c r="NF35"/>
      <c r="NG35"/>
      <c r="NH35"/>
      <c r="NI35"/>
      <c r="NJ35"/>
      <c r="NK35"/>
      <c r="NL35"/>
      <c r="NM35"/>
      <c r="NN35"/>
      <c r="NO35"/>
      <c r="NP35"/>
      <c r="NQ35"/>
      <c r="NR35"/>
      <c r="NS35"/>
      <c r="NT35"/>
      <c r="NU35"/>
      <c r="NV35"/>
      <c r="NW35"/>
      <c r="NX35"/>
      <c r="NY35"/>
      <c r="NZ35"/>
      <c r="OA35"/>
      <c r="OB35"/>
      <c r="OC35"/>
      <c r="OD35"/>
      <c r="OE35"/>
      <c r="OF35"/>
      <c r="OG35"/>
      <c r="OH35"/>
      <c r="OI35"/>
      <c r="OJ35"/>
      <c r="OK35"/>
      <c r="OL35"/>
      <c r="OM35"/>
      <c r="ON35"/>
      <c r="OO35"/>
      <c r="OP35"/>
      <c r="OQ35"/>
      <c r="OR35"/>
      <c r="OS35"/>
      <c r="OT35"/>
      <c r="OU35"/>
      <c r="OV35"/>
      <c r="OW35"/>
      <c r="OX35"/>
      <c r="OY35"/>
      <c r="OZ35"/>
      <c r="PA35"/>
      <c r="PB35"/>
      <c r="PC35"/>
      <c r="PD35"/>
      <c r="PE35"/>
      <c r="PF35"/>
      <c r="PG35"/>
      <c r="PH35"/>
      <c r="PI35"/>
      <c r="PJ35"/>
      <c r="PK35"/>
      <c r="PL35"/>
      <c r="PM35"/>
      <c r="PN35"/>
      <c r="PO35"/>
      <c r="PP35"/>
      <c r="PQ35"/>
      <c r="PR35"/>
      <c r="PS35"/>
      <c r="PT35"/>
      <c r="PU35"/>
      <c r="PV35"/>
      <c r="PW35"/>
      <c r="PX35"/>
      <c r="PY35"/>
      <c r="PZ35"/>
      <c r="QA35"/>
      <c r="QB35"/>
      <c r="QC35"/>
      <c r="QD35"/>
      <c r="QE35"/>
      <c r="QF35"/>
      <c r="QG35"/>
      <c r="QH35"/>
      <c r="QI35"/>
      <c r="QJ35"/>
      <c r="QK35"/>
      <c r="QL35"/>
      <c r="QM35"/>
      <c r="QN35"/>
      <c r="QO35"/>
      <c r="QP35"/>
      <c r="QQ35"/>
      <c r="QR35"/>
      <c r="QS35"/>
      <c r="QT35"/>
      <c r="QU35"/>
      <c r="QV35"/>
      <c r="QW35"/>
      <c r="QX35"/>
      <c r="QY35"/>
      <c r="QZ35"/>
      <c r="RA35"/>
      <c r="RB35"/>
      <c r="RC35"/>
      <c r="RD35"/>
      <c r="RE35"/>
      <c r="RF35"/>
      <c r="RG35"/>
      <c r="RH35"/>
      <c r="RI35"/>
      <c r="RJ35"/>
      <c r="RK35"/>
      <c r="RL35"/>
      <c r="RM35"/>
      <c r="RN35"/>
      <c r="RO35"/>
      <c r="RP35"/>
      <c r="RQ35"/>
      <c r="RR35"/>
      <c r="RS35"/>
      <c r="RT35"/>
      <c r="RU35"/>
      <c r="RV35"/>
      <c r="RW35"/>
      <c r="RX35"/>
      <c r="RY35"/>
      <c r="RZ35"/>
      <c r="SA35"/>
      <c r="SB35"/>
      <c r="SC35"/>
      <c r="SD35"/>
      <c r="SE35"/>
      <c r="SF35"/>
      <c r="SG35"/>
      <c r="SH35"/>
      <c r="SI35"/>
      <c r="SJ35"/>
      <c r="SK35"/>
      <c r="SL35"/>
      <c r="SM35"/>
      <c r="SN35"/>
      <c r="SO35"/>
      <c r="SP35"/>
      <c r="SQ35"/>
      <c r="SR35"/>
      <c r="SS35"/>
      <c r="ST35"/>
      <c r="SU35"/>
      <c r="SV35"/>
      <c r="SW35"/>
      <c r="SX35"/>
      <c r="SY35"/>
      <c r="SZ35"/>
      <c r="TA35"/>
      <c r="TB35"/>
      <c r="TC35"/>
      <c r="TD35"/>
      <c r="TE35"/>
      <c r="TF35"/>
      <c r="TG35"/>
      <c r="TH35"/>
      <c r="TI35"/>
      <c r="TJ35"/>
      <c r="TK35"/>
      <c r="TL35"/>
      <c r="TM35"/>
      <c r="TN35"/>
      <c r="TO35"/>
      <c r="TP35"/>
      <c r="TQ35"/>
      <c r="TR35"/>
      <c r="TS35"/>
      <c r="TT35"/>
      <c r="TU35"/>
      <c r="TV35"/>
      <c r="TW35"/>
      <c r="TX35"/>
      <c r="TY35"/>
      <c r="TZ35"/>
      <c r="UA35"/>
      <c r="UB35"/>
      <c r="UC35"/>
      <c r="UD35"/>
      <c r="UE35"/>
      <c r="UF35"/>
      <c r="UG35"/>
      <c r="UH35"/>
      <c r="UI35"/>
      <c r="UJ35"/>
      <c r="UK35"/>
      <c r="UL35"/>
      <c r="UM35"/>
      <c r="UN35"/>
      <c r="UO35"/>
      <c r="UP35"/>
      <c r="UQ35"/>
      <c r="UR35"/>
      <c r="US35"/>
      <c r="UT35"/>
      <c r="UU35"/>
      <c r="UV35"/>
      <c r="UW35"/>
      <c r="UX35"/>
      <c r="UY35"/>
      <c r="UZ35"/>
      <c r="VA35"/>
      <c r="VB35"/>
      <c r="VC35"/>
      <c r="VD35"/>
      <c r="VE35"/>
      <c r="VF35"/>
      <c r="VG35"/>
      <c r="VH35"/>
      <c r="VI35"/>
      <c r="VJ35"/>
      <c r="VK35"/>
      <c r="VL35"/>
      <c r="VM35"/>
      <c r="VN35"/>
      <c r="VO35"/>
      <c r="VP35"/>
      <c r="VQ35"/>
      <c r="VR35"/>
      <c r="VS35"/>
      <c r="VT35"/>
      <c r="VU35"/>
      <c r="VV35"/>
      <c r="VW35"/>
      <c r="VX35"/>
      <c r="VY35"/>
      <c r="VZ35"/>
      <c r="WA35"/>
      <c r="WB35"/>
      <c r="WC35"/>
      <c r="WD35"/>
      <c r="WE35"/>
      <c r="WF35"/>
      <c r="WG35"/>
      <c r="WH35"/>
      <c r="WI35"/>
      <c r="WJ35"/>
      <c r="WK35"/>
      <c r="WL35"/>
      <c r="WM35"/>
      <c r="WN35"/>
      <c r="WO35"/>
      <c r="WP35"/>
      <c r="WQ35"/>
      <c r="WR35"/>
      <c r="WS35"/>
      <c r="WT35"/>
      <c r="WU35"/>
      <c r="WV35"/>
      <c r="WW35"/>
      <c r="WX35"/>
      <c r="WY35"/>
      <c r="WZ35"/>
      <c r="XA35"/>
      <c r="XB35"/>
      <c r="XC35"/>
      <c r="XD35"/>
      <c r="XE35"/>
      <c r="XF35"/>
      <c r="XG35"/>
      <c r="XH35"/>
      <c r="XI35"/>
      <c r="XJ35"/>
      <c r="XK35"/>
      <c r="XL35"/>
      <c r="XM35"/>
      <c r="XN35"/>
      <c r="XO35"/>
      <c r="XP35"/>
      <c r="XQ35"/>
      <c r="XR35"/>
      <c r="XS35"/>
      <c r="XT35"/>
      <c r="XU35"/>
      <c r="XV35"/>
      <c r="XW35"/>
      <c r="XX35"/>
      <c r="XY35"/>
      <c r="XZ35"/>
      <c r="YA35"/>
      <c r="YB35"/>
      <c r="YC35"/>
      <c r="YD35"/>
      <c r="YE35"/>
      <c r="YF35"/>
      <c r="YG35"/>
      <c r="YH35"/>
      <c r="YI35"/>
      <c r="YJ35"/>
      <c r="YK35"/>
      <c r="YL35"/>
      <c r="YM35"/>
      <c r="YN35"/>
      <c r="YO35"/>
      <c r="YP35"/>
      <c r="YQ35"/>
      <c r="YR35"/>
      <c r="YS35"/>
      <c r="YT35"/>
      <c r="YU35"/>
      <c r="YV35"/>
      <c r="YW35"/>
      <c r="YX35"/>
      <c r="YY35"/>
      <c r="YZ35"/>
      <c r="ZA35"/>
      <c r="ZB35"/>
      <c r="ZC35"/>
      <c r="ZD35"/>
      <c r="ZE35"/>
      <c r="ZF35"/>
      <c r="ZG35"/>
      <c r="ZH35"/>
      <c r="ZI35"/>
      <c r="ZJ35"/>
      <c r="ZK35"/>
      <c r="ZL35"/>
      <c r="ZM35"/>
      <c r="ZN35"/>
      <c r="ZO35"/>
      <c r="ZP35"/>
      <c r="ZQ35"/>
      <c r="ZR35"/>
      <c r="ZS35"/>
      <c r="ZT35"/>
      <c r="ZU35"/>
      <c r="ZV35"/>
      <c r="ZW35"/>
      <c r="ZX35"/>
      <c r="ZY35"/>
      <c r="ZZ35"/>
      <c r="AAA35"/>
      <c r="AAB35"/>
      <c r="AAC35"/>
      <c r="AAD35"/>
      <c r="AAE35"/>
      <c r="AAF35"/>
      <c r="AAG35"/>
      <c r="AAH35"/>
      <c r="AAI35"/>
      <c r="AAJ35"/>
      <c r="AAK35"/>
      <c r="AAL35"/>
      <c r="AAM35"/>
      <c r="AAN35"/>
      <c r="AAO35"/>
      <c r="AAP35"/>
      <c r="AAQ35"/>
      <c r="AAR35"/>
      <c r="AAS35"/>
      <c r="AAT35"/>
      <c r="AAU35"/>
      <c r="AAV35"/>
      <c r="AAW35"/>
      <c r="AAX35"/>
      <c r="AAY35"/>
      <c r="AAZ35"/>
      <c r="ABA35"/>
      <c r="ABB35"/>
      <c r="ABC35"/>
      <c r="ABD35"/>
      <c r="ABE35"/>
      <c r="ABF35"/>
      <c r="ABG35"/>
      <c r="ABH35"/>
      <c r="ABI35"/>
      <c r="ABJ35"/>
      <c r="ABK35"/>
      <c r="ABL35"/>
      <c r="ABM35"/>
      <c r="ABN35"/>
      <c r="ABO35"/>
      <c r="ABP35"/>
      <c r="ABQ35"/>
      <c r="ABR35"/>
      <c r="ABS35"/>
      <c r="ABT35"/>
      <c r="ABU35"/>
      <c r="ABV35"/>
      <c r="ABW35"/>
      <c r="ABX35"/>
      <c r="ABY35"/>
      <c r="ABZ35"/>
      <c r="ACA35"/>
      <c r="ACB35"/>
      <c r="ACC35"/>
      <c r="ACD35"/>
      <c r="ACE35"/>
      <c r="ACF35"/>
      <c r="ACG35"/>
      <c r="ACH35"/>
      <c r="ACI35"/>
      <c r="ACJ35"/>
      <c r="ACK35"/>
      <c r="ACL35"/>
      <c r="ACM35"/>
      <c r="ACN35"/>
      <c r="ACO35"/>
      <c r="ACP35"/>
      <c r="ACQ35"/>
      <c r="ACR35"/>
      <c r="ACS35"/>
      <c r="ACT35"/>
      <c r="ACU35"/>
      <c r="ACV35"/>
      <c r="ACW35"/>
      <c r="ACX35"/>
      <c r="ACY35"/>
      <c r="ACZ35"/>
      <c r="ADA35"/>
      <c r="ADB35"/>
      <c r="ADC35"/>
      <c r="ADD35"/>
      <c r="ADE35"/>
      <c r="ADF35"/>
      <c r="ADG35"/>
      <c r="ADH35"/>
      <c r="ADI35"/>
      <c r="ADJ35"/>
      <c r="ADK35"/>
      <c r="ADL35"/>
      <c r="ADM35"/>
      <c r="ADN35"/>
      <c r="ADO35"/>
      <c r="ADP35"/>
      <c r="ADQ35"/>
      <c r="ADR35"/>
      <c r="ADS35"/>
      <c r="ADT35"/>
      <c r="ADU35"/>
      <c r="ADV35"/>
      <c r="ADW35"/>
      <c r="ADX35"/>
      <c r="ADY35"/>
      <c r="ADZ35"/>
      <c r="AEA35"/>
      <c r="AEB35"/>
      <c r="AEC35"/>
      <c r="AED35"/>
      <c r="AEE35"/>
      <c r="AEF35"/>
      <c r="AEG35"/>
      <c r="AEH35"/>
      <c r="AEI35"/>
      <c r="AEJ35"/>
      <c r="AEK35"/>
      <c r="AEL35"/>
      <c r="AEM35"/>
      <c r="AEN35"/>
      <c r="AEO35"/>
      <c r="AEP35"/>
      <c r="AEQ35"/>
      <c r="AER35"/>
      <c r="AES35"/>
      <c r="AET35"/>
      <c r="AEU35"/>
      <c r="AEV35"/>
      <c r="AEW35"/>
      <c r="AEX35"/>
      <c r="AEY35"/>
      <c r="AEZ35"/>
      <c r="AFA35"/>
      <c r="AFB35"/>
      <c r="AFC35"/>
      <c r="AFD35"/>
      <c r="AFE35"/>
      <c r="AFF35"/>
      <c r="AFG35"/>
      <c r="AFH35"/>
      <c r="AFI35"/>
      <c r="AFJ35"/>
      <c r="AFK35"/>
      <c r="AFL35"/>
      <c r="AFM35"/>
      <c r="AFN35"/>
      <c r="AFO35"/>
      <c r="AFP35"/>
      <c r="AFQ35"/>
      <c r="AFR35"/>
      <c r="AFS35"/>
      <c r="AFT35"/>
      <c r="AFU35"/>
      <c r="AFV35"/>
      <c r="AFW35"/>
      <c r="AFX35"/>
      <c r="AFY35"/>
      <c r="AFZ35"/>
      <c r="AGA35"/>
      <c r="AGB35"/>
      <c r="AGC35"/>
      <c r="AGD35"/>
      <c r="AGE35"/>
      <c r="AGF35"/>
      <c r="AGG35"/>
      <c r="AGH35"/>
      <c r="AGI35"/>
      <c r="AGJ35"/>
      <c r="AGK35"/>
      <c r="AGL35"/>
      <c r="AGM35"/>
      <c r="AGN35"/>
      <c r="AGO35"/>
      <c r="AGP35"/>
      <c r="AGQ35"/>
      <c r="AGR35"/>
      <c r="AGS35"/>
      <c r="AGT35"/>
      <c r="AGU35"/>
      <c r="AGV35"/>
      <c r="AGW35"/>
      <c r="AGX35"/>
      <c r="AGY35"/>
      <c r="AGZ35"/>
      <c r="AHA35"/>
      <c r="AHB35"/>
      <c r="AHC35"/>
      <c r="AHD35"/>
      <c r="AHE35"/>
      <c r="AHF35"/>
      <c r="AHG35"/>
      <c r="AHH35"/>
      <c r="AHI35"/>
      <c r="AHJ35"/>
      <c r="AHK35"/>
      <c r="AHL35"/>
      <c r="AHM35"/>
      <c r="AHN35"/>
      <c r="AHO35"/>
      <c r="AHP35"/>
      <c r="AHQ35"/>
      <c r="AHR35"/>
      <c r="AHS35"/>
      <c r="AHT35"/>
      <c r="AHU35"/>
      <c r="AHV35"/>
      <c r="AHW35"/>
      <c r="AHX35"/>
      <c r="AHY35"/>
      <c r="AHZ35"/>
      <c r="AIA35"/>
      <c r="AIB35"/>
      <c r="AIC35"/>
      <c r="AID35"/>
      <c r="AIE35"/>
      <c r="AIF35"/>
      <c r="AIG35"/>
      <c r="AIH35"/>
      <c r="AII35"/>
      <c r="AIJ35"/>
      <c r="AIK35"/>
      <c r="AIL35"/>
      <c r="AIM35"/>
      <c r="AIN35"/>
      <c r="AIO35"/>
      <c r="AIP35"/>
      <c r="AIQ35"/>
      <c r="AIR35"/>
      <c r="AIS35"/>
      <c r="AIT35"/>
      <c r="AIU35"/>
      <c r="AIV35"/>
      <c r="AIW35"/>
      <c r="AIX35"/>
      <c r="AIY35"/>
      <c r="AIZ35"/>
      <c r="AJA35"/>
      <c r="AJB35"/>
      <c r="AJC35"/>
      <c r="AJD35"/>
      <c r="AJE35"/>
      <c r="AJF35"/>
      <c r="AJG35"/>
      <c r="AJH35"/>
      <c r="AJI35"/>
      <c r="AJJ35"/>
      <c r="AJK35"/>
      <c r="AJL35"/>
      <c r="AJM35"/>
      <c r="AJN35"/>
      <c r="AJO35"/>
      <c r="AJP35"/>
      <c r="AJQ35"/>
      <c r="AJR35"/>
      <c r="AJS35"/>
      <c r="AJT35"/>
      <c r="AJU35"/>
      <c r="AJV35"/>
      <c r="AJW35"/>
      <c r="AJX35"/>
      <c r="AJY35"/>
      <c r="AJZ35"/>
      <c r="AKA35"/>
      <c r="AKB35"/>
      <c r="AKC35"/>
      <c r="AKD35"/>
      <c r="AKE35"/>
      <c r="AKF35"/>
      <c r="AKG35"/>
      <c r="AKH35"/>
      <c r="AKI35"/>
      <c r="AKJ35"/>
      <c r="AKK35"/>
      <c r="AKL35"/>
      <c r="AKM35"/>
      <c r="AKN35"/>
      <c r="AKO35"/>
      <c r="AKP35"/>
      <c r="AKQ35"/>
      <c r="AKR35"/>
      <c r="AKS35"/>
      <c r="AKT35"/>
      <c r="AKU35"/>
      <c r="AKV35"/>
      <c r="AKW35"/>
      <c r="AKX35"/>
      <c r="AKY35"/>
      <c r="AKZ35"/>
      <c r="ALA35"/>
      <c r="ALB35"/>
      <c r="ALC35"/>
      <c r="ALD35"/>
      <c r="ALE35"/>
      <c r="ALF35"/>
      <c r="ALG35"/>
      <c r="ALH35"/>
      <c r="ALI35"/>
      <c r="ALJ35"/>
      <c r="ALK35"/>
      <c r="ALL35"/>
      <c r="ALM35"/>
      <c r="ALN35"/>
      <c r="ALO35"/>
      <c r="ALP35"/>
      <c r="ALQ35"/>
      <c r="ALR35"/>
      <c r="ALS35"/>
      <c r="ALT35"/>
      <c r="ALU35"/>
      <c r="ALV35"/>
      <c r="ALW35"/>
      <c r="ALX35"/>
      <c r="ALY35"/>
      <c r="ALZ35"/>
      <c r="AMA35"/>
      <c r="AMB35"/>
      <c r="AMC35"/>
      <c r="AMD35"/>
      <c r="AME35"/>
      <c r="AMF35"/>
      <c r="AMG35"/>
      <c r="AMH35"/>
      <c r="AMI35"/>
      <c r="AMJ35"/>
      <c r="AMK35"/>
      <c r="AML35"/>
      <c r="AMM35"/>
      <c r="AMN35"/>
      <c r="AMO35"/>
      <c r="AMP35"/>
      <c r="AMQ35"/>
      <c r="AMR35"/>
      <c r="AMS35"/>
      <c r="AMT35"/>
      <c r="AMU35"/>
      <c r="AMV35"/>
      <c r="AMW35"/>
      <c r="AMX35"/>
      <c r="AMY35"/>
      <c r="AMZ35"/>
      <c r="ANA35"/>
      <c r="ANB35"/>
      <c r="ANC35"/>
      <c r="AND35"/>
      <c r="ANE35"/>
      <c r="ANF35"/>
      <c r="ANG35"/>
      <c r="ANH35"/>
      <c r="ANI35"/>
      <c r="ANJ35"/>
      <c r="ANK35"/>
      <c r="ANL35"/>
      <c r="ANM35"/>
      <c r="ANN35"/>
      <c r="ANO35"/>
    </row>
    <row r="36" spans="1:1055" s="36" customFormat="1" ht="15.75" thickBot="1" x14ac:dyDescent="0.3">
      <c r="A36" s="34" t="s">
        <v>58</v>
      </c>
      <c r="B36" s="35">
        <v>0</v>
      </c>
      <c r="C36" s="36">
        <v>0</v>
      </c>
      <c r="D36" s="36">
        <v>0</v>
      </c>
      <c r="E36" s="37">
        <v>340000</v>
      </c>
      <c r="F36" s="35">
        <v>0</v>
      </c>
      <c r="G36" s="96">
        <v>0</v>
      </c>
      <c r="H36" s="96">
        <v>0</v>
      </c>
      <c r="I36" s="96">
        <v>0</v>
      </c>
      <c r="J36" s="97">
        <v>0</v>
      </c>
      <c r="K36" s="36">
        <v>0</v>
      </c>
      <c r="L36" s="38">
        <v>0</v>
      </c>
      <c r="M36" s="39">
        <v>21.5</v>
      </c>
      <c r="N36" s="40">
        <v>0</v>
      </c>
      <c r="O36" s="35"/>
      <c r="Q36" s="38">
        <v>0</v>
      </c>
      <c r="R36" s="35">
        <v>0</v>
      </c>
      <c r="S36" s="38">
        <v>0</v>
      </c>
      <c r="T36" s="41">
        <v>0</v>
      </c>
      <c r="U36" s="42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6">
        <v>0</v>
      </c>
      <c r="AH36" s="36">
        <v>0</v>
      </c>
      <c r="AI36" s="36">
        <v>0</v>
      </c>
      <c r="AJ36" s="36">
        <v>0</v>
      </c>
      <c r="AK36" s="36">
        <v>0</v>
      </c>
      <c r="AL36" s="36">
        <v>0</v>
      </c>
      <c r="AM36" s="36">
        <v>0</v>
      </c>
      <c r="AN36" s="36">
        <v>0</v>
      </c>
      <c r="AO36" s="36">
        <v>0</v>
      </c>
      <c r="AP36" s="36">
        <v>0</v>
      </c>
      <c r="AQ36" s="36">
        <v>0</v>
      </c>
      <c r="AR36" s="38">
        <v>0</v>
      </c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  <c r="AHJ36"/>
      <c r="AHK36"/>
      <c r="AHL36"/>
      <c r="AHM36"/>
      <c r="AHN36"/>
      <c r="AHO36"/>
      <c r="AHP36"/>
      <c r="AHQ36"/>
      <c r="AHR36"/>
      <c r="AHS36"/>
      <c r="AHT36"/>
      <c r="AHU36"/>
      <c r="AHV36"/>
      <c r="AHW36"/>
      <c r="AHX36"/>
      <c r="AHY36"/>
      <c r="AHZ36"/>
      <c r="AIA36"/>
      <c r="AIB36"/>
      <c r="AIC36"/>
      <c r="AID36"/>
      <c r="AIE36"/>
      <c r="AIF36"/>
      <c r="AIG36"/>
      <c r="AIH36"/>
      <c r="AII36"/>
      <c r="AIJ36"/>
      <c r="AIK36"/>
      <c r="AIL36"/>
      <c r="AIM36"/>
      <c r="AIN36"/>
      <c r="AIO36"/>
      <c r="AIP36"/>
      <c r="AIQ36"/>
      <c r="AIR36"/>
      <c r="AIS36"/>
      <c r="AIT36"/>
      <c r="AIU36"/>
      <c r="AIV36"/>
      <c r="AIW36"/>
      <c r="AIX36"/>
      <c r="AIY36"/>
      <c r="AIZ36"/>
      <c r="AJA36"/>
      <c r="AJB36"/>
      <c r="AJC36"/>
      <c r="AJD36"/>
      <c r="AJE36"/>
      <c r="AJF36"/>
      <c r="AJG36"/>
      <c r="AJH36"/>
      <c r="AJI36"/>
      <c r="AJJ36"/>
      <c r="AJK36"/>
      <c r="AJL36"/>
      <c r="AJM36"/>
      <c r="AJN36"/>
      <c r="AJO36"/>
      <c r="AJP36"/>
      <c r="AJQ36"/>
      <c r="AJR36"/>
      <c r="AJS36"/>
      <c r="AJT36"/>
      <c r="AJU36"/>
      <c r="AJV36"/>
      <c r="AJW36"/>
      <c r="AJX36"/>
      <c r="AJY36"/>
      <c r="AJZ36"/>
      <c r="AKA36"/>
      <c r="AKB36"/>
      <c r="AKC36"/>
      <c r="AKD36"/>
      <c r="AKE36"/>
      <c r="AKF36"/>
      <c r="AKG36"/>
      <c r="AKH36"/>
      <c r="AKI36"/>
      <c r="AKJ36"/>
      <c r="AKK36"/>
      <c r="AKL36"/>
      <c r="AKM36"/>
      <c r="AKN36"/>
      <c r="AKO36"/>
      <c r="AKP36"/>
      <c r="AKQ36"/>
      <c r="AKR36"/>
      <c r="AKS36"/>
      <c r="AKT36"/>
      <c r="AKU36"/>
      <c r="AKV36"/>
      <c r="AKW36"/>
      <c r="AKX36"/>
      <c r="AKY36"/>
      <c r="AKZ36"/>
      <c r="ALA36"/>
      <c r="ALB36"/>
      <c r="ALC36"/>
      <c r="ALD36"/>
      <c r="ALE36"/>
      <c r="ALF36"/>
      <c r="ALG36"/>
      <c r="ALH36"/>
      <c r="ALI36"/>
      <c r="ALJ36"/>
      <c r="ALK36"/>
      <c r="ALL36"/>
      <c r="ALM36"/>
      <c r="ALN36"/>
      <c r="ALO36"/>
      <c r="ALP36"/>
      <c r="ALQ36"/>
      <c r="ALR36"/>
      <c r="ALS36"/>
      <c r="ALT36"/>
      <c r="ALU36"/>
      <c r="ALV36"/>
      <c r="ALW36"/>
      <c r="ALX36"/>
      <c r="ALY36"/>
      <c r="ALZ36"/>
      <c r="AMA36"/>
      <c r="AMB36"/>
      <c r="AMC36"/>
      <c r="AMD36"/>
      <c r="AME36"/>
      <c r="AMF36"/>
      <c r="AMG36"/>
      <c r="AMH36"/>
      <c r="AMI36"/>
      <c r="AMJ36"/>
      <c r="AMK36"/>
      <c r="AML36"/>
      <c r="AMM36"/>
      <c r="AMN36"/>
      <c r="AMO36"/>
      <c r="AMP36"/>
      <c r="AMQ36"/>
      <c r="AMR36"/>
      <c r="AMS36"/>
      <c r="AMT36"/>
      <c r="AMU36"/>
      <c r="AMV36"/>
      <c r="AMW36"/>
      <c r="AMX36"/>
      <c r="AMY36"/>
      <c r="AMZ36"/>
      <c r="ANA36"/>
      <c r="ANB36"/>
      <c r="ANC36"/>
      <c r="AND36"/>
      <c r="ANE36"/>
      <c r="ANF36"/>
      <c r="ANG36"/>
      <c r="ANH36"/>
      <c r="ANI36"/>
      <c r="ANJ36"/>
      <c r="ANK36"/>
      <c r="ANL36"/>
      <c r="ANM36"/>
      <c r="ANN36"/>
      <c r="ANO36"/>
    </row>
    <row r="37" spans="1:1055" s="36" customFormat="1" ht="15.75" thickBot="1" x14ac:dyDescent="0.3">
      <c r="A37" s="34" t="s">
        <v>59</v>
      </c>
      <c r="B37" s="35">
        <v>0</v>
      </c>
      <c r="C37" s="36">
        <v>0</v>
      </c>
      <c r="D37" s="36">
        <v>0</v>
      </c>
      <c r="E37" s="37">
        <v>340000</v>
      </c>
      <c r="F37" s="35">
        <v>0</v>
      </c>
      <c r="G37" s="96">
        <v>0</v>
      </c>
      <c r="H37" s="96">
        <v>0</v>
      </c>
      <c r="I37" s="96">
        <v>0</v>
      </c>
      <c r="J37" s="97">
        <v>0</v>
      </c>
      <c r="K37" s="36">
        <v>0</v>
      </c>
      <c r="L37" s="38">
        <v>0</v>
      </c>
      <c r="M37" s="39">
        <v>0</v>
      </c>
      <c r="N37" s="40">
        <v>0</v>
      </c>
      <c r="O37" s="35"/>
      <c r="Q37" s="38">
        <v>0</v>
      </c>
      <c r="R37" s="35">
        <v>0</v>
      </c>
      <c r="S37" s="38">
        <v>0</v>
      </c>
      <c r="T37" s="41">
        <v>0</v>
      </c>
      <c r="U37" s="42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  <c r="AB37" s="36">
        <v>0</v>
      </c>
      <c r="AC37" s="36">
        <v>0</v>
      </c>
      <c r="AD37" s="36">
        <v>0</v>
      </c>
      <c r="AE37" s="36">
        <v>0</v>
      </c>
      <c r="AF37" s="36">
        <v>0</v>
      </c>
      <c r="AG37" s="36">
        <v>0</v>
      </c>
      <c r="AH37" s="36">
        <v>0</v>
      </c>
      <c r="AI37" s="36">
        <v>0</v>
      </c>
      <c r="AJ37" s="36">
        <v>0</v>
      </c>
      <c r="AK37" s="36">
        <v>0</v>
      </c>
      <c r="AL37" s="36">
        <v>0</v>
      </c>
      <c r="AM37" s="36">
        <v>0</v>
      </c>
      <c r="AN37" s="36">
        <v>0</v>
      </c>
      <c r="AO37" s="36">
        <v>0</v>
      </c>
      <c r="AP37" s="36">
        <v>0</v>
      </c>
      <c r="AQ37" s="36">
        <v>0</v>
      </c>
      <c r="AR37" s="38">
        <v>0</v>
      </c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  <c r="LO37"/>
      <c r="LP37"/>
      <c r="LQ37"/>
      <c r="LR37"/>
      <c r="LS37"/>
      <c r="LT37"/>
      <c r="LU37"/>
      <c r="LV37"/>
      <c r="LW37"/>
      <c r="LX37"/>
      <c r="LY37"/>
      <c r="LZ37"/>
      <c r="MA37"/>
      <c r="MB37"/>
      <c r="MC37"/>
      <c r="MD37"/>
      <c r="ME37"/>
      <c r="MF37"/>
      <c r="MG37"/>
      <c r="MH37"/>
      <c r="MI37"/>
      <c r="MJ37"/>
      <c r="MK37"/>
      <c r="ML37"/>
      <c r="MM37"/>
      <c r="MN37"/>
      <c r="MO37"/>
      <c r="MP37"/>
      <c r="MQ37"/>
      <c r="MR37"/>
      <c r="MS37"/>
      <c r="MT37"/>
      <c r="MU37"/>
      <c r="MV37"/>
      <c r="MW37"/>
      <c r="MX37"/>
      <c r="MY37"/>
      <c r="MZ37"/>
      <c r="NA37"/>
      <c r="NB37"/>
      <c r="NC37"/>
      <c r="ND37"/>
      <c r="NE37"/>
      <c r="NF37"/>
      <c r="NG37"/>
      <c r="NH37"/>
      <c r="NI37"/>
      <c r="NJ37"/>
      <c r="NK37"/>
      <c r="NL37"/>
      <c r="NM37"/>
      <c r="NN37"/>
      <c r="NO37"/>
      <c r="NP37"/>
      <c r="NQ37"/>
      <c r="NR37"/>
      <c r="NS37"/>
      <c r="NT37"/>
      <c r="NU37"/>
      <c r="NV37"/>
      <c r="NW37"/>
      <c r="NX37"/>
      <c r="NY37"/>
      <c r="NZ37"/>
      <c r="OA37"/>
      <c r="OB37"/>
      <c r="OC37"/>
      <c r="OD37"/>
      <c r="OE37"/>
      <c r="OF37"/>
      <c r="OG37"/>
      <c r="OH37"/>
      <c r="OI37"/>
      <c r="OJ37"/>
      <c r="OK37"/>
      <c r="OL37"/>
      <c r="OM37"/>
      <c r="ON37"/>
      <c r="OO37"/>
      <c r="OP37"/>
      <c r="OQ37"/>
      <c r="OR37"/>
      <c r="OS37"/>
      <c r="OT37"/>
      <c r="OU37"/>
      <c r="OV37"/>
      <c r="OW37"/>
      <c r="OX37"/>
      <c r="OY37"/>
      <c r="OZ37"/>
      <c r="PA37"/>
      <c r="PB37"/>
      <c r="PC37"/>
      <c r="PD37"/>
      <c r="PE37"/>
      <c r="PF37"/>
      <c r="PG37"/>
      <c r="PH37"/>
      <c r="PI37"/>
      <c r="PJ37"/>
      <c r="PK37"/>
      <c r="PL37"/>
      <c r="PM37"/>
      <c r="PN37"/>
      <c r="PO37"/>
      <c r="PP37"/>
      <c r="PQ37"/>
      <c r="PR37"/>
      <c r="PS37"/>
      <c r="PT37"/>
      <c r="PU37"/>
      <c r="PV37"/>
      <c r="PW37"/>
      <c r="PX37"/>
      <c r="PY37"/>
      <c r="PZ37"/>
      <c r="QA37"/>
      <c r="QB37"/>
      <c r="QC37"/>
      <c r="QD37"/>
      <c r="QE37"/>
      <c r="QF37"/>
      <c r="QG37"/>
      <c r="QH37"/>
      <c r="QI37"/>
      <c r="QJ37"/>
      <c r="QK37"/>
      <c r="QL37"/>
      <c r="QM37"/>
      <c r="QN37"/>
      <c r="QO37"/>
      <c r="QP37"/>
      <c r="QQ37"/>
      <c r="QR37"/>
      <c r="QS37"/>
      <c r="QT37"/>
      <c r="QU37"/>
      <c r="QV37"/>
      <c r="QW37"/>
      <c r="QX37"/>
      <c r="QY37"/>
      <c r="QZ37"/>
      <c r="RA37"/>
      <c r="RB37"/>
      <c r="RC37"/>
      <c r="RD37"/>
      <c r="RE37"/>
      <c r="RF37"/>
      <c r="RG37"/>
      <c r="RH37"/>
      <c r="RI37"/>
      <c r="RJ37"/>
      <c r="RK37"/>
      <c r="RL37"/>
      <c r="RM37"/>
      <c r="RN37"/>
      <c r="RO37"/>
      <c r="RP37"/>
      <c r="RQ37"/>
      <c r="RR37"/>
      <c r="RS37"/>
      <c r="RT37"/>
      <c r="RU37"/>
      <c r="RV37"/>
      <c r="RW37"/>
      <c r="RX37"/>
      <c r="RY37"/>
      <c r="RZ37"/>
      <c r="SA37"/>
      <c r="SB37"/>
      <c r="SC37"/>
      <c r="SD37"/>
      <c r="SE37"/>
      <c r="SF37"/>
      <c r="SG37"/>
      <c r="SH37"/>
      <c r="SI37"/>
      <c r="SJ37"/>
      <c r="SK37"/>
      <c r="SL37"/>
      <c r="SM37"/>
      <c r="SN37"/>
      <c r="SO37"/>
      <c r="SP37"/>
      <c r="SQ37"/>
      <c r="SR37"/>
      <c r="SS37"/>
      <c r="ST37"/>
      <c r="SU37"/>
      <c r="SV37"/>
      <c r="SW37"/>
      <c r="SX37"/>
      <c r="SY37"/>
      <c r="SZ37"/>
      <c r="TA37"/>
      <c r="TB37"/>
      <c r="TC37"/>
      <c r="TD37"/>
      <c r="TE37"/>
      <c r="TF37"/>
      <c r="TG37"/>
      <c r="TH37"/>
      <c r="TI37"/>
      <c r="TJ37"/>
      <c r="TK37"/>
      <c r="TL37"/>
      <c r="TM37"/>
      <c r="TN37"/>
      <c r="TO37"/>
      <c r="TP37"/>
      <c r="TQ37"/>
      <c r="TR37"/>
      <c r="TS37"/>
      <c r="TT37"/>
      <c r="TU37"/>
      <c r="TV37"/>
      <c r="TW37"/>
      <c r="TX37"/>
      <c r="TY37"/>
      <c r="TZ37"/>
      <c r="UA37"/>
      <c r="UB37"/>
      <c r="UC37"/>
      <c r="UD37"/>
      <c r="UE37"/>
      <c r="UF37"/>
      <c r="UG37"/>
      <c r="UH37"/>
      <c r="UI37"/>
      <c r="UJ37"/>
      <c r="UK37"/>
      <c r="UL37"/>
      <c r="UM37"/>
      <c r="UN37"/>
      <c r="UO37"/>
      <c r="UP37"/>
      <c r="UQ37"/>
      <c r="UR37"/>
      <c r="US37"/>
      <c r="UT37"/>
      <c r="UU37"/>
      <c r="UV37"/>
      <c r="UW37"/>
      <c r="UX37"/>
      <c r="UY37"/>
      <c r="UZ37"/>
      <c r="VA37"/>
      <c r="VB37"/>
      <c r="VC37"/>
      <c r="VD37"/>
      <c r="VE37"/>
      <c r="VF37"/>
      <c r="VG37"/>
      <c r="VH37"/>
      <c r="VI37"/>
      <c r="VJ37"/>
      <c r="VK37"/>
      <c r="VL37"/>
      <c r="VM37"/>
      <c r="VN37"/>
      <c r="VO37"/>
      <c r="VP37"/>
      <c r="VQ37"/>
      <c r="VR37"/>
      <c r="VS37"/>
      <c r="VT37"/>
      <c r="VU37"/>
      <c r="VV37"/>
      <c r="VW37"/>
      <c r="VX37"/>
      <c r="VY37"/>
      <c r="VZ37"/>
      <c r="WA37"/>
      <c r="WB37"/>
      <c r="WC37"/>
      <c r="WD37"/>
      <c r="WE37"/>
      <c r="WF37"/>
      <c r="WG37"/>
      <c r="WH37"/>
      <c r="WI37"/>
      <c r="WJ37"/>
      <c r="WK37"/>
      <c r="WL37"/>
      <c r="WM37"/>
      <c r="WN37"/>
      <c r="WO37"/>
      <c r="WP37"/>
      <c r="WQ37"/>
      <c r="WR37"/>
      <c r="WS37"/>
      <c r="WT37"/>
      <c r="WU37"/>
      <c r="WV37"/>
      <c r="WW37"/>
      <c r="WX37"/>
      <c r="WY37"/>
      <c r="WZ37"/>
      <c r="XA37"/>
      <c r="XB37"/>
      <c r="XC37"/>
      <c r="XD37"/>
      <c r="XE37"/>
      <c r="XF37"/>
      <c r="XG37"/>
      <c r="XH37"/>
      <c r="XI37"/>
      <c r="XJ37"/>
      <c r="XK37"/>
      <c r="XL37"/>
      <c r="XM37"/>
      <c r="XN37"/>
      <c r="XO37"/>
      <c r="XP37"/>
      <c r="XQ37"/>
      <c r="XR37"/>
      <c r="XS37"/>
      <c r="XT37"/>
      <c r="XU37"/>
      <c r="XV37"/>
      <c r="XW37"/>
      <c r="XX37"/>
      <c r="XY37"/>
      <c r="XZ37"/>
      <c r="YA37"/>
      <c r="YB37"/>
      <c r="YC37"/>
      <c r="YD37"/>
      <c r="YE37"/>
      <c r="YF37"/>
      <c r="YG37"/>
      <c r="YH37"/>
      <c r="YI37"/>
      <c r="YJ37"/>
      <c r="YK37"/>
      <c r="YL37"/>
      <c r="YM37"/>
      <c r="YN37"/>
      <c r="YO37"/>
      <c r="YP37"/>
      <c r="YQ37"/>
      <c r="YR37"/>
      <c r="YS37"/>
      <c r="YT37"/>
      <c r="YU37"/>
      <c r="YV37"/>
      <c r="YW37"/>
      <c r="YX37"/>
      <c r="YY37"/>
      <c r="YZ37"/>
      <c r="ZA37"/>
      <c r="ZB37"/>
      <c r="ZC37"/>
      <c r="ZD37"/>
      <c r="ZE37"/>
      <c r="ZF37"/>
      <c r="ZG37"/>
      <c r="ZH37"/>
      <c r="ZI37"/>
      <c r="ZJ37"/>
      <c r="ZK37"/>
      <c r="ZL37"/>
      <c r="ZM37"/>
      <c r="ZN37"/>
      <c r="ZO37"/>
      <c r="ZP37"/>
      <c r="ZQ37"/>
      <c r="ZR37"/>
      <c r="ZS37"/>
      <c r="ZT37"/>
      <c r="ZU37"/>
      <c r="ZV37"/>
      <c r="ZW37"/>
      <c r="ZX37"/>
      <c r="ZY37"/>
      <c r="ZZ37"/>
      <c r="AAA37"/>
      <c r="AAB37"/>
      <c r="AAC37"/>
      <c r="AAD37"/>
      <c r="AAE37"/>
      <c r="AAF37"/>
      <c r="AAG37"/>
      <c r="AAH37"/>
      <c r="AAI37"/>
      <c r="AAJ37"/>
      <c r="AAK37"/>
      <c r="AAL37"/>
      <c r="AAM37"/>
      <c r="AAN37"/>
      <c r="AAO37"/>
      <c r="AAP37"/>
      <c r="AAQ37"/>
      <c r="AAR37"/>
      <c r="AAS37"/>
      <c r="AAT37"/>
      <c r="AAU37"/>
      <c r="AAV37"/>
      <c r="AAW37"/>
      <c r="AAX37"/>
      <c r="AAY37"/>
      <c r="AAZ37"/>
      <c r="ABA37"/>
      <c r="ABB37"/>
      <c r="ABC37"/>
      <c r="ABD37"/>
      <c r="ABE37"/>
      <c r="ABF37"/>
      <c r="ABG37"/>
      <c r="ABH37"/>
      <c r="ABI37"/>
      <c r="ABJ37"/>
      <c r="ABK37"/>
      <c r="ABL37"/>
      <c r="ABM37"/>
      <c r="ABN37"/>
      <c r="ABO37"/>
      <c r="ABP37"/>
      <c r="ABQ37"/>
      <c r="ABR37"/>
      <c r="ABS37"/>
      <c r="ABT37"/>
      <c r="ABU37"/>
      <c r="ABV37"/>
      <c r="ABW37"/>
      <c r="ABX37"/>
      <c r="ABY37"/>
      <c r="ABZ37"/>
      <c r="ACA37"/>
      <c r="ACB37"/>
      <c r="ACC37"/>
      <c r="ACD37"/>
      <c r="ACE37"/>
      <c r="ACF37"/>
      <c r="ACG37"/>
      <c r="ACH37"/>
      <c r="ACI37"/>
      <c r="ACJ37"/>
      <c r="ACK37"/>
      <c r="ACL37"/>
      <c r="ACM37"/>
      <c r="ACN37"/>
      <c r="ACO37"/>
      <c r="ACP37"/>
      <c r="ACQ37"/>
      <c r="ACR37"/>
      <c r="ACS37"/>
      <c r="ACT37"/>
      <c r="ACU37"/>
      <c r="ACV37"/>
      <c r="ACW37"/>
      <c r="ACX37"/>
      <c r="ACY37"/>
      <c r="ACZ37"/>
      <c r="ADA37"/>
      <c r="ADB37"/>
      <c r="ADC37"/>
      <c r="ADD37"/>
      <c r="ADE37"/>
      <c r="ADF37"/>
      <c r="ADG37"/>
      <c r="ADH37"/>
      <c r="ADI37"/>
      <c r="ADJ37"/>
      <c r="ADK37"/>
      <c r="ADL37"/>
      <c r="ADM37"/>
      <c r="ADN37"/>
      <c r="ADO37"/>
      <c r="ADP37"/>
      <c r="ADQ37"/>
      <c r="ADR37"/>
      <c r="ADS37"/>
      <c r="ADT37"/>
      <c r="ADU37"/>
      <c r="ADV37"/>
      <c r="ADW37"/>
      <c r="ADX37"/>
      <c r="ADY37"/>
      <c r="ADZ37"/>
      <c r="AEA37"/>
      <c r="AEB37"/>
      <c r="AEC37"/>
      <c r="AED37"/>
      <c r="AEE37"/>
      <c r="AEF37"/>
      <c r="AEG37"/>
      <c r="AEH37"/>
      <c r="AEI37"/>
      <c r="AEJ37"/>
      <c r="AEK37"/>
      <c r="AEL37"/>
      <c r="AEM37"/>
      <c r="AEN37"/>
      <c r="AEO37"/>
      <c r="AEP37"/>
      <c r="AEQ37"/>
      <c r="AER37"/>
      <c r="AES37"/>
      <c r="AET37"/>
      <c r="AEU37"/>
      <c r="AEV37"/>
      <c r="AEW37"/>
      <c r="AEX37"/>
      <c r="AEY37"/>
      <c r="AEZ37"/>
      <c r="AFA37"/>
      <c r="AFB37"/>
      <c r="AFC37"/>
      <c r="AFD37"/>
      <c r="AFE37"/>
      <c r="AFF37"/>
      <c r="AFG37"/>
      <c r="AFH37"/>
      <c r="AFI37"/>
      <c r="AFJ37"/>
      <c r="AFK37"/>
      <c r="AFL37"/>
      <c r="AFM37"/>
      <c r="AFN37"/>
      <c r="AFO37"/>
      <c r="AFP37"/>
      <c r="AFQ37"/>
      <c r="AFR37"/>
      <c r="AFS37"/>
      <c r="AFT37"/>
      <c r="AFU37"/>
      <c r="AFV37"/>
      <c r="AFW37"/>
      <c r="AFX37"/>
      <c r="AFY37"/>
      <c r="AFZ37"/>
      <c r="AGA37"/>
      <c r="AGB37"/>
      <c r="AGC37"/>
      <c r="AGD37"/>
      <c r="AGE37"/>
      <c r="AGF37"/>
      <c r="AGG37"/>
      <c r="AGH37"/>
      <c r="AGI37"/>
      <c r="AGJ37"/>
      <c r="AGK37"/>
      <c r="AGL37"/>
      <c r="AGM37"/>
      <c r="AGN37"/>
      <c r="AGO37"/>
      <c r="AGP37"/>
      <c r="AGQ37"/>
      <c r="AGR37"/>
      <c r="AGS37"/>
      <c r="AGT37"/>
      <c r="AGU37"/>
      <c r="AGV37"/>
      <c r="AGW37"/>
      <c r="AGX37"/>
      <c r="AGY37"/>
      <c r="AGZ37"/>
      <c r="AHA37"/>
      <c r="AHB37"/>
      <c r="AHC37"/>
      <c r="AHD37"/>
      <c r="AHE37"/>
      <c r="AHF37"/>
      <c r="AHG37"/>
      <c r="AHH37"/>
      <c r="AHI37"/>
      <c r="AHJ37"/>
      <c r="AHK37"/>
      <c r="AHL37"/>
      <c r="AHM37"/>
      <c r="AHN37"/>
      <c r="AHO37"/>
      <c r="AHP37"/>
      <c r="AHQ37"/>
      <c r="AHR37"/>
      <c r="AHS37"/>
      <c r="AHT37"/>
      <c r="AHU37"/>
      <c r="AHV37"/>
      <c r="AHW37"/>
      <c r="AHX37"/>
      <c r="AHY37"/>
      <c r="AHZ37"/>
      <c r="AIA37"/>
      <c r="AIB37"/>
      <c r="AIC37"/>
      <c r="AID37"/>
      <c r="AIE37"/>
      <c r="AIF37"/>
      <c r="AIG37"/>
      <c r="AIH37"/>
      <c r="AII37"/>
      <c r="AIJ37"/>
      <c r="AIK37"/>
      <c r="AIL37"/>
      <c r="AIM37"/>
      <c r="AIN37"/>
      <c r="AIO37"/>
      <c r="AIP37"/>
      <c r="AIQ37"/>
      <c r="AIR37"/>
      <c r="AIS37"/>
      <c r="AIT37"/>
      <c r="AIU37"/>
      <c r="AIV37"/>
      <c r="AIW37"/>
      <c r="AIX37"/>
      <c r="AIY37"/>
      <c r="AIZ37"/>
      <c r="AJA37"/>
      <c r="AJB37"/>
      <c r="AJC37"/>
      <c r="AJD37"/>
      <c r="AJE37"/>
      <c r="AJF37"/>
      <c r="AJG37"/>
      <c r="AJH37"/>
      <c r="AJI37"/>
      <c r="AJJ37"/>
      <c r="AJK37"/>
      <c r="AJL37"/>
      <c r="AJM37"/>
      <c r="AJN37"/>
      <c r="AJO37"/>
      <c r="AJP37"/>
      <c r="AJQ37"/>
      <c r="AJR37"/>
      <c r="AJS37"/>
      <c r="AJT37"/>
      <c r="AJU37"/>
      <c r="AJV37"/>
      <c r="AJW37"/>
      <c r="AJX37"/>
      <c r="AJY37"/>
      <c r="AJZ37"/>
      <c r="AKA37"/>
      <c r="AKB37"/>
      <c r="AKC37"/>
      <c r="AKD37"/>
      <c r="AKE37"/>
      <c r="AKF37"/>
      <c r="AKG37"/>
      <c r="AKH37"/>
      <c r="AKI37"/>
      <c r="AKJ37"/>
      <c r="AKK37"/>
      <c r="AKL37"/>
      <c r="AKM37"/>
      <c r="AKN37"/>
      <c r="AKO37"/>
      <c r="AKP37"/>
      <c r="AKQ37"/>
      <c r="AKR37"/>
      <c r="AKS37"/>
      <c r="AKT37"/>
      <c r="AKU37"/>
      <c r="AKV37"/>
      <c r="AKW37"/>
      <c r="AKX37"/>
      <c r="AKY37"/>
      <c r="AKZ37"/>
      <c r="ALA37"/>
      <c r="ALB37"/>
      <c r="ALC37"/>
      <c r="ALD37"/>
      <c r="ALE37"/>
      <c r="ALF37"/>
      <c r="ALG37"/>
      <c r="ALH37"/>
      <c r="ALI37"/>
      <c r="ALJ37"/>
      <c r="ALK37"/>
      <c r="ALL37"/>
      <c r="ALM37"/>
      <c r="ALN37"/>
      <c r="ALO37"/>
      <c r="ALP37"/>
      <c r="ALQ37"/>
      <c r="ALR37"/>
      <c r="ALS37"/>
      <c r="ALT37"/>
      <c r="ALU37"/>
      <c r="ALV37"/>
      <c r="ALW37"/>
      <c r="ALX37"/>
      <c r="ALY37"/>
      <c r="ALZ37"/>
      <c r="AMA37"/>
      <c r="AMB37"/>
      <c r="AMC37"/>
      <c r="AMD37"/>
      <c r="AME37"/>
      <c r="AMF37"/>
      <c r="AMG37"/>
      <c r="AMH37"/>
      <c r="AMI37"/>
      <c r="AMJ37"/>
      <c r="AMK37"/>
      <c r="AML37"/>
      <c r="AMM37"/>
      <c r="AMN37"/>
      <c r="AMO37"/>
      <c r="AMP37"/>
      <c r="AMQ37"/>
      <c r="AMR37"/>
      <c r="AMS37"/>
      <c r="AMT37"/>
      <c r="AMU37"/>
      <c r="AMV37"/>
      <c r="AMW37"/>
      <c r="AMX37"/>
      <c r="AMY37"/>
      <c r="AMZ37"/>
      <c r="ANA37"/>
      <c r="ANB37"/>
      <c r="ANC37"/>
      <c r="AND37"/>
      <c r="ANE37"/>
      <c r="ANF37"/>
      <c r="ANG37"/>
      <c r="ANH37"/>
      <c r="ANI37"/>
      <c r="ANJ37"/>
      <c r="ANK37"/>
      <c r="ANL37"/>
      <c r="ANM37"/>
      <c r="ANN37"/>
      <c r="ANO37"/>
    </row>
    <row r="38" spans="1:1055" s="36" customFormat="1" x14ac:dyDescent="0.25">
      <c r="A38" s="34" t="s">
        <v>60</v>
      </c>
      <c r="B38" s="35">
        <v>61</v>
      </c>
      <c r="C38" s="36">
        <v>183</v>
      </c>
      <c r="D38" s="36">
        <v>0</v>
      </c>
      <c r="E38" s="37">
        <v>0</v>
      </c>
      <c r="F38" s="35">
        <v>0</v>
      </c>
      <c r="G38" s="96">
        <v>0</v>
      </c>
      <c r="H38" s="96">
        <v>0</v>
      </c>
      <c r="I38" s="96">
        <v>0</v>
      </c>
      <c r="J38" s="97">
        <v>0</v>
      </c>
      <c r="K38" s="36">
        <v>0</v>
      </c>
      <c r="L38" s="38">
        <v>0</v>
      </c>
      <c r="M38" s="39">
        <v>384.2</v>
      </c>
      <c r="N38" s="40">
        <v>0</v>
      </c>
      <c r="O38" s="35"/>
      <c r="Q38" s="38">
        <v>0</v>
      </c>
      <c r="R38" s="45">
        <v>0</v>
      </c>
      <c r="S38" s="46">
        <v>0</v>
      </c>
      <c r="T38" s="41">
        <v>0</v>
      </c>
      <c r="U38" s="42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  <c r="AB38" s="36">
        <v>0</v>
      </c>
      <c r="AC38" s="36">
        <v>0</v>
      </c>
      <c r="AD38" s="36">
        <v>0</v>
      </c>
      <c r="AE38" s="36">
        <v>0</v>
      </c>
      <c r="AF38" s="36">
        <v>0</v>
      </c>
      <c r="AG38" s="36">
        <v>0</v>
      </c>
      <c r="AH38" s="36">
        <v>0</v>
      </c>
      <c r="AI38" s="36">
        <v>0</v>
      </c>
      <c r="AJ38" s="36">
        <v>0</v>
      </c>
      <c r="AK38" s="36">
        <v>0</v>
      </c>
      <c r="AL38" s="36">
        <v>0</v>
      </c>
      <c r="AM38" s="36">
        <v>0</v>
      </c>
      <c r="AN38" s="36">
        <v>0</v>
      </c>
      <c r="AO38" s="36">
        <v>0</v>
      </c>
      <c r="AP38" s="36">
        <v>0</v>
      </c>
      <c r="AQ38" s="36">
        <v>0</v>
      </c>
      <c r="AR38" s="38">
        <v>0</v>
      </c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  <c r="LO38"/>
      <c r="LP38"/>
      <c r="LQ38"/>
      <c r="LR38"/>
      <c r="LS38"/>
      <c r="LT38"/>
      <c r="LU38"/>
      <c r="LV38"/>
      <c r="LW38"/>
      <c r="LX38"/>
      <c r="LY38"/>
      <c r="LZ38"/>
      <c r="MA38"/>
      <c r="MB38"/>
      <c r="MC38"/>
      <c r="MD38"/>
      <c r="ME38"/>
      <c r="MF38"/>
      <c r="MG38"/>
      <c r="MH38"/>
      <c r="MI38"/>
      <c r="MJ38"/>
      <c r="MK38"/>
      <c r="ML38"/>
      <c r="MM38"/>
      <c r="MN38"/>
      <c r="MO38"/>
      <c r="MP38"/>
      <c r="MQ38"/>
      <c r="MR38"/>
      <c r="MS38"/>
      <c r="MT38"/>
      <c r="MU38"/>
      <c r="MV38"/>
      <c r="MW38"/>
      <c r="MX38"/>
      <c r="MY38"/>
      <c r="MZ38"/>
      <c r="NA38"/>
      <c r="NB38"/>
      <c r="NC38"/>
      <c r="ND38"/>
      <c r="NE38"/>
      <c r="NF38"/>
      <c r="NG38"/>
      <c r="NH38"/>
      <c r="NI38"/>
      <c r="NJ38"/>
      <c r="NK38"/>
      <c r="NL38"/>
      <c r="NM38"/>
      <c r="NN38"/>
      <c r="NO38"/>
      <c r="NP38"/>
      <c r="NQ38"/>
      <c r="NR38"/>
      <c r="NS38"/>
      <c r="NT38"/>
      <c r="NU38"/>
      <c r="NV38"/>
      <c r="NW38"/>
      <c r="NX38"/>
      <c r="NY38"/>
      <c r="NZ38"/>
      <c r="OA38"/>
      <c r="OB38"/>
      <c r="OC38"/>
      <c r="OD38"/>
      <c r="OE38"/>
      <c r="OF38"/>
      <c r="OG38"/>
      <c r="OH38"/>
      <c r="OI38"/>
      <c r="OJ38"/>
      <c r="OK38"/>
      <c r="OL38"/>
      <c r="OM38"/>
      <c r="ON38"/>
      <c r="OO38"/>
      <c r="OP38"/>
      <c r="OQ38"/>
      <c r="OR38"/>
      <c r="OS38"/>
      <c r="OT38"/>
      <c r="OU38"/>
      <c r="OV38"/>
      <c r="OW38"/>
      <c r="OX38"/>
      <c r="OY38"/>
      <c r="OZ38"/>
      <c r="PA38"/>
      <c r="PB38"/>
      <c r="PC38"/>
      <c r="PD38"/>
      <c r="PE38"/>
      <c r="PF38"/>
      <c r="PG38"/>
      <c r="PH38"/>
      <c r="PI38"/>
      <c r="PJ38"/>
      <c r="PK38"/>
      <c r="PL38"/>
      <c r="PM38"/>
      <c r="PN38"/>
      <c r="PO38"/>
      <c r="PP38"/>
      <c r="PQ38"/>
      <c r="PR38"/>
      <c r="PS38"/>
      <c r="PT38"/>
      <c r="PU38"/>
      <c r="PV38"/>
      <c r="PW38"/>
      <c r="PX38"/>
      <c r="PY38"/>
      <c r="PZ38"/>
      <c r="QA38"/>
      <c r="QB38"/>
      <c r="QC38"/>
      <c r="QD38"/>
      <c r="QE38"/>
      <c r="QF38"/>
      <c r="QG38"/>
      <c r="QH38"/>
      <c r="QI38"/>
      <c r="QJ38"/>
      <c r="QK38"/>
      <c r="QL38"/>
      <c r="QM38"/>
      <c r="QN38"/>
      <c r="QO38"/>
      <c r="QP38"/>
      <c r="QQ38"/>
      <c r="QR38"/>
      <c r="QS38"/>
      <c r="QT38"/>
      <c r="QU38"/>
      <c r="QV38"/>
      <c r="QW38"/>
      <c r="QX38"/>
      <c r="QY38"/>
      <c r="QZ38"/>
      <c r="RA38"/>
      <c r="RB38"/>
      <c r="RC38"/>
      <c r="RD38"/>
      <c r="RE38"/>
      <c r="RF38"/>
      <c r="RG38"/>
      <c r="RH38"/>
      <c r="RI38"/>
      <c r="RJ38"/>
      <c r="RK38"/>
      <c r="RL38"/>
      <c r="RM38"/>
      <c r="RN38"/>
      <c r="RO38"/>
      <c r="RP38"/>
      <c r="RQ38"/>
      <c r="RR38"/>
      <c r="RS38"/>
      <c r="RT38"/>
      <c r="RU38"/>
      <c r="RV38"/>
      <c r="RW38"/>
      <c r="RX38"/>
      <c r="RY38"/>
      <c r="RZ38"/>
      <c r="SA38"/>
      <c r="SB38"/>
      <c r="SC38"/>
      <c r="SD38"/>
      <c r="SE38"/>
      <c r="SF38"/>
      <c r="SG38"/>
      <c r="SH38"/>
      <c r="SI38"/>
      <c r="SJ38"/>
      <c r="SK38"/>
      <c r="SL38"/>
      <c r="SM38"/>
      <c r="SN38"/>
      <c r="SO38"/>
      <c r="SP38"/>
      <c r="SQ38"/>
      <c r="SR38"/>
      <c r="SS38"/>
      <c r="ST38"/>
      <c r="SU38"/>
      <c r="SV38"/>
      <c r="SW38"/>
      <c r="SX38"/>
      <c r="SY38"/>
      <c r="SZ38"/>
      <c r="TA38"/>
      <c r="TB38"/>
      <c r="TC38"/>
      <c r="TD38"/>
      <c r="TE38"/>
      <c r="TF38"/>
      <c r="TG38"/>
      <c r="TH38"/>
      <c r="TI38"/>
      <c r="TJ38"/>
      <c r="TK38"/>
      <c r="TL38"/>
      <c r="TM38"/>
      <c r="TN38"/>
      <c r="TO38"/>
      <c r="TP38"/>
      <c r="TQ38"/>
      <c r="TR38"/>
      <c r="TS38"/>
      <c r="TT38"/>
      <c r="TU38"/>
      <c r="TV38"/>
      <c r="TW38"/>
      <c r="TX38"/>
      <c r="TY38"/>
      <c r="TZ38"/>
      <c r="UA38"/>
      <c r="UB38"/>
      <c r="UC38"/>
      <c r="UD38"/>
      <c r="UE38"/>
      <c r="UF38"/>
      <c r="UG38"/>
      <c r="UH38"/>
      <c r="UI38"/>
      <c r="UJ38"/>
      <c r="UK38"/>
      <c r="UL38"/>
      <c r="UM38"/>
      <c r="UN38"/>
      <c r="UO38"/>
      <c r="UP38"/>
      <c r="UQ38"/>
      <c r="UR38"/>
      <c r="US38"/>
      <c r="UT38"/>
      <c r="UU38"/>
      <c r="UV38"/>
      <c r="UW38"/>
      <c r="UX38"/>
      <c r="UY38"/>
      <c r="UZ38"/>
      <c r="VA38"/>
      <c r="VB38"/>
      <c r="VC38"/>
      <c r="VD38"/>
      <c r="VE38"/>
      <c r="VF38"/>
      <c r="VG38"/>
      <c r="VH38"/>
      <c r="VI38"/>
      <c r="VJ38"/>
      <c r="VK38"/>
      <c r="VL38"/>
      <c r="VM38"/>
      <c r="VN38"/>
      <c r="VO38"/>
      <c r="VP38"/>
      <c r="VQ38"/>
      <c r="VR38"/>
      <c r="VS38"/>
      <c r="VT38"/>
      <c r="VU38"/>
      <c r="VV38"/>
      <c r="VW38"/>
      <c r="VX38"/>
      <c r="VY38"/>
      <c r="VZ38"/>
      <c r="WA38"/>
      <c r="WB38"/>
      <c r="WC38"/>
      <c r="WD38"/>
      <c r="WE38"/>
      <c r="WF38"/>
      <c r="WG38"/>
      <c r="WH38"/>
      <c r="WI38"/>
      <c r="WJ38"/>
      <c r="WK38"/>
      <c r="WL38"/>
      <c r="WM38"/>
      <c r="WN38"/>
      <c r="WO38"/>
      <c r="WP38"/>
      <c r="WQ38"/>
      <c r="WR38"/>
      <c r="WS38"/>
      <c r="WT38"/>
      <c r="WU38"/>
      <c r="WV38"/>
      <c r="WW38"/>
      <c r="WX38"/>
      <c r="WY38"/>
      <c r="WZ38"/>
      <c r="XA38"/>
      <c r="XB38"/>
      <c r="XC38"/>
      <c r="XD38"/>
      <c r="XE38"/>
      <c r="XF38"/>
      <c r="XG38"/>
      <c r="XH38"/>
      <c r="XI38"/>
      <c r="XJ38"/>
      <c r="XK38"/>
      <c r="XL38"/>
      <c r="XM38"/>
      <c r="XN38"/>
      <c r="XO38"/>
      <c r="XP38"/>
      <c r="XQ38"/>
      <c r="XR38"/>
      <c r="XS38"/>
      <c r="XT38"/>
      <c r="XU38"/>
      <c r="XV38"/>
      <c r="XW38"/>
      <c r="XX38"/>
      <c r="XY38"/>
      <c r="XZ38"/>
      <c r="YA38"/>
      <c r="YB38"/>
      <c r="YC38"/>
      <c r="YD38"/>
      <c r="YE38"/>
      <c r="YF38"/>
      <c r="YG38"/>
      <c r="YH38"/>
      <c r="YI38"/>
      <c r="YJ38"/>
      <c r="YK38"/>
      <c r="YL38"/>
      <c r="YM38"/>
      <c r="YN38"/>
      <c r="YO38"/>
      <c r="YP38"/>
      <c r="YQ38"/>
      <c r="YR38"/>
      <c r="YS38"/>
      <c r="YT38"/>
      <c r="YU38"/>
      <c r="YV38"/>
      <c r="YW38"/>
      <c r="YX38"/>
      <c r="YY38"/>
      <c r="YZ38"/>
      <c r="ZA38"/>
      <c r="ZB38"/>
      <c r="ZC38"/>
      <c r="ZD38"/>
      <c r="ZE38"/>
      <c r="ZF38"/>
      <c r="ZG38"/>
      <c r="ZH38"/>
      <c r="ZI38"/>
      <c r="ZJ38"/>
      <c r="ZK38"/>
      <c r="ZL38"/>
      <c r="ZM38"/>
      <c r="ZN38"/>
      <c r="ZO38"/>
      <c r="ZP38"/>
      <c r="ZQ38"/>
      <c r="ZR38"/>
      <c r="ZS38"/>
      <c r="ZT38"/>
      <c r="ZU38"/>
      <c r="ZV38"/>
      <c r="ZW38"/>
      <c r="ZX38"/>
      <c r="ZY38"/>
      <c r="ZZ38"/>
      <c r="AAA38"/>
      <c r="AAB38"/>
      <c r="AAC38"/>
      <c r="AAD38"/>
      <c r="AAE38"/>
      <c r="AAF38"/>
      <c r="AAG38"/>
      <c r="AAH38"/>
      <c r="AAI38"/>
      <c r="AAJ38"/>
      <c r="AAK38"/>
      <c r="AAL38"/>
      <c r="AAM38"/>
      <c r="AAN38"/>
      <c r="AAO38"/>
      <c r="AAP38"/>
      <c r="AAQ38"/>
      <c r="AAR38"/>
      <c r="AAS38"/>
      <c r="AAT38"/>
      <c r="AAU38"/>
      <c r="AAV38"/>
      <c r="AAW38"/>
      <c r="AAX38"/>
      <c r="AAY38"/>
      <c r="AAZ38"/>
      <c r="ABA38"/>
      <c r="ABB38"/>
      <c r="ABC38"/>
      <c r="ABD38"/>
      <c r="ABE38"/>
      <c r="ABF38"/>
      <c r="ABG38"/>
      <c r="ABH38"/>
      <c r="ABI38"/>
      <c r="ABJ38"/>
      <c r="ABK38"/>
      <c r="ABL38"/>
      <c r="ABM38"/>
      <c r="ABN38"/>
      <c r="ABO38"/>
      <c r="ABP38"/>
      <c r="ABQ38"/>
      <c r="ABR38"/>
      <c r="ABS38"/>
      <c r="ABT38"/>
      <c r="ABU38"/>
      <c r="ABV38"/>
      <c r="ABW38"/>
      <c r="ABX38"/>
      <c r="ABY38"/>
      <c r="ABZ38"/>
      <c r="ACA38"/>
      <c r="ACB38"/>
      <c r="ACC38"/>
      <c r="ACD38"/>
      <c r="ACE38"/>
      <c r="ACF38"/>
      <c r="ACG38"/>
      <c r="ACH38"/>
      <c r="ACI38"/>
      <c r="ACJ38"/>
      <c r="ACK38"/>
      <c r="ACL38"/>
      <c r="ACM38"/>
      <c r="ACN38"/>
      <c r="ACO38"/>
      <c r="ACP38"/>
      <c r="ACQ38"/>
      <c r="ACR38"/>
      <c r="ACS38"/>
      <c r="ACT38"/>
      <c r="ACU38"/>
      <c r="ACV38"/>
      <c r="ACW38"/>
      <c r="ACX38"/>
      <c r="ACY38"/>
      <c r="ACZ38"/>
      <c r="ADA38"/>
      <c r="ADB38"/>
      <c r="ADC38"/>
      <c r="ADD38"/>
      <c r="ADE38"/>
      <c r="ADF38"/>
      <c r="ADG38"/>
      <c r="ADH38"/>
      <c r="ADI38"/>
      <c r="ADJ38"/>
      <c r="ADK38"/>
      <c r="ADL38"/>
      <c r="ADM38"/>
      <c r="ADN38"/>
      <c r="ADO38"/>
      <c r="ADP38"/>
      <c r="ADQ38"/>
      <c r="ADR38"/>
      <c r="ADS38"/>
      <c r="ADT38"/>
      <c r="ADU38"/>
      <c r="ADV38"/>
      <c r="ADW38"/>
      <c r="ADX38"/>
      <c r="ADY38"/>
      <c r="ADZ38"/>
      <c r="AEA38"/>
      <c r="AEB38"/>
      <c r="AEC38"/>
      <c r="AED38"/>
      <c r="AEE38"/>
      <c r="AEF38"/>
      <c r="AEG38"/>
      <c r="AEH38"/>
      <c r="AEI38"/>
      <c r="AEJ38"/>
      <c r="AEK38"/>
      <c r="AEL38"/>
      <c r="AEM38"/>
      <c r="AEN38"/>
      <c r="AEO38"/>
      <c r="AEP38"/>
      <c r="AEQ38"/>
      <c r="AER38"/>
      <c r="AES38"/>
      <c r="AET38"/>
      <c r="AEU38"/>
      <c r="AEV38"/>
      <c r="AEW38"/>
      <c r="AEX38"/>
      <c r="AEY38"/>
      <c r="AEZ38"/>
      <c r="AFA38"/>
      <c r="AFB38"/>
      <c r="AFC38"/>
      <c r="AFD38"/>
      <c r="AFE38"/>
      <c r="AFF38"/>
      <c r="AFG38"/>
      <c r="AFH38"/>
      <c r="AFI38"/>
      <c r="AFJ38"/>
      <c r="AFK38"/>
      <c r="AFL38"/>
      <c r="AFM38"/>
      <c r="AFN38"/>
      <c r="AFO38"/>
      <c r="AFP38"/>
      <c r="AFQ38"/>
      <c r="AFR38"/>
      <c r="AFS38"/>
      <c r="AFT38"/>
      <c r="AFU38"/>
      <c r="AFV38"/>
      <c r="AFW38"/>
      <c r="AFX38"/>
      <c r="AFY38"/>
      <c r="AFZ38"/>
      <c r="AGA38"/>
      <c r="AGB38"/>
      <c r="AGC38"/>
      <c r="AGD38"/>
      <c r="AGE38"/>
      <c r="AGF38"/>
      <c r="AGG38"/>
      <c r="AGH38"/>
      <c r="AGI38"/>
      <c r="AGJ38"/>
      <c r="AGK38"/>
      <c r="AGL38"/>
      <c r="AGM38"/>
      <c r="AGN38"/>
      <c r="AGO38"/>
      <c r="AGP38"/>
      <c r="AGQ38"/>
      <c r="AGR38"/>
      <c r="AGS38"/>
      <c r="AGT38"/>
      <c r="AGU38"/>
      <c r="AGV38"/>
      <c r="AGW38"/>
      <c r="AGX38"/>
      <c r="AGY38"/>
      <c r="AGZ38"/>
      <c r="AHA38"/>
      <c r="AHB38"/>
      <c r="AHC38"/>
      <c r="AHD38"/>
      <c r="AHE38"/>
      <c r="AHF38"/>
      <c r="AHG38"/>
      <c r="AHH38"/>
      <c r="AHI38"/>
      <c r="AHJ38"/>
      <c r="AHK38"/>
      <c r="AHL38"/>
      <c r="AHM38"/>
      <c r="AHN38"/>
      <c r="AHO38"/>
      <c r="AHP38"/>
      <c r="AHQ38"/>
      <c r="AHR38"/>
      <c r="AHS38"/>
      <c r="AHT38"/>
      <c r="AHU38"/>
      <c r="AHV38"/>
      <c r="AHW38"/>
      <c r="AHX38"/>
      <c r="AHY38"/>
      <c r="AHZ38"/>
      <c r="AIA38"/>
      <c r="AIB38"/>
      <c r="AIC38"/>
      <c r="AID38"/>
      <c r="AIE38"/>
      <c r="AIF38"/>
      <c r="AIG38"/>
      <c r="AIH38"/>
      <c r="AII38"/>
      <c r="AIJ38"/>
      <c r="AIK38"/>
      <c r="AIL38"/>
      <c r="AIM38"/>
      <c r="AIN38"/>
      <c r="AIO38"/>
      <c r="AIP38"/>
      <c r="AIQ38"/>
      <c r="AIR38"/>
      <c r="AIS38"/>
      <c r="AIT38"/>
      <c r="AIU38"/>
      <c r="AIV38"/>
      <c r="AIW38"/>
      <c r="AIX38"/>
      <c r="AIY38"/>
      <c r="AIZ38"/>
      <c r="AJA38"/>
      <c r="AJB38"/>
      <c r="AJC38"/>
      <c r="AJD38"/>
      <c r="AJE38"/>
      <c r="AJF38"/>
      <c r="AJG38"/>
      <c r="AJH38"/>
      <c r="AJI38"/>
      <c r="AJJ38"/>
      <c r="AJK38"/>
      <c r="AJL38"/>
      <c r="AJM38"/>
      <c r="AJN38"/>
      <c r="AJO38"/>
      <c r="AJP38"/>
      <c r="AJQ38"/>
      <c r="AJR38"/>
      <c r="AJS38"/>
      <c r="AJT38"/>
      <c r="AJU38"/>
      <c r="AJV38"/>
      <c r="AJW38"/>
      <c r="AJX38"/>
      <c r="AJY38"/>
      <c r="AJZ38"/>
      <c r="AKA38"/>
      <c r="AKB38"/>
      <c r="AKC38"/>
      <c r="AKD38"/>
      <c r="AKE38"/>
      <c r="AKF38"/>
      <c r="AKG38"/>
      <c r="AKH38"/>
      <c r="AKI38"/>
      <c r="AKJ38"/>
      <c r="AKK38"/>
      <c r="AKL38"/>
      <c r="AKM38"/>
      <c r="AKN38"/>
      <c r="AKO38"/>
      <c r="AKP38"/>
      <c r="AKQ38"/>
      <c r="AKR38"/>
      <c r="AKS38"/>
      <c r="AKT38"/>
      <c r="AKU38"/>
      <c r="AKV38"/>
      <c r="AKW38"/>
      <c r="AKX38"/>
      <c r="AKY38"/>
      <c r="AKZ38"/>
      <c r="ALA38"/>
      <c r="ALB38"/>
      <c r="ALC38"/>
      <c r="ALD38"/>
      <c r="ALE38"/>
      <c r="ALF38"/>
      <c r="ALG38"/>
      <c r="ALH38"/>
      <c r="ALI38"/>
      <c r="ALJ38"/>
      <c r="ALK38"/>
      <c r="ALL38"/>
      <c r="ALM38"/>
      <c r="ALN38"/>
      <c r="ALO38"/>
      <c r="ALP38"/>
      <c r="ALQ38"/>
      <c r="ALR38"/>
      <c r="ALS38"/>
      <c r="ALT38"/>
      <c r="ALU38"/>
      <c r="ALV38"/>
      <c r="ALW38"/>
      <c r="ALX38"/>
      <c r="ALY38"/>
      <c r="ALZ38"/>
      <c r="AMA38"/>
      <c r="AMB38"/>
      <c r="AMC38"/>
      <c r="AMD38"/>
      <c r="AME38"/>
      <c r="AMF38"/>
      <c r="AMG38"/>
      <c r="AMH38"/>
      <c r="AMI38"/>
      <c r="AMJ38"/>
      <c r="AMK38"/>
      <c r="AML38"/>
      <c r="AMM38"/>
      <c r="AMN38"/>
      <c r="AMO38"/>
      <c r="AMP38"/>
      <c r="AMQ38"/>
      <c r="AMR38"/>
      <c r="AMS38"/>
      <c r="AMT38"/>
      <c r="AMU38"/>
      <c r="AMV38"/>
      <c r="AMW38"/>
      <c r="AMX38"/>
      <c r="AMY38"/>
      <c r="AMZ38"/>
      <c r="ANA38"/>
      <c r="ANB38"/>
      <c r="ANC38"/>
      <c r="AND38"/>
      <c r="ANE38"/>
      <c r="ANF38"/>
      <c r="ANG38"/>
      <c r="ANH38"/>
      <c r="ANI38"/>
      <c r="ANJ38"/>
      <c r="ANK38"/>
      <c r="ANL38"/>
      <c r="ANM38"/>
      <c r="ANN38"/>
      <c r="ANO38"/>
    </row>
    <row r="39" spans="1:1055" s="36" customFormat="1" x14ac:dyDescent="0.25">
      <c r="A39" s="34" t="s">
        <v>61</v>
      </c>
      <c r="B39" s="35">
        <v>111</v>
      </c>
      <c r="C39" s="36">
        <v>111</v>
      </c>
      <c r="D39" s="36">
        <f>E39/4</f>
        <v>235</v>
      </c>
      <c r="E39" s="37">
        <v>940</v>
      </c>
      <c r="F39" s="35">
        <v>0</v>
      </c>
      <c r="G39" s="97">
        <v>0</v>
      </c>
      <c r="H39" s="97">
        <v>0.18099999999999999</v>
      </c>
      <c r="I39" s="97">
        <v>8.4000000000000005E-2</v>
      </c>
      <c r="J39" s="97">
        <v>0.126</v>
      </c>
      <c r="K39" s="36">
        <v>0</v>
      </c>
      <c r="L39" s="38">
        <v>0</v>
      </c>
      <c r="M39" s="39">
        <v>164</v>
      </c>
      <c r="N39" s="40">
        <v>0</v>
      </c>
      <c r="O39" s="35">
        <v>0.56999999999999995</v>
      </c>
      <c r="P39" s="36">
        <v>0.63</v>
      </c>
      <c r="Q39" s="38">
        <f>(O39+P39)/2</f>
        <v>0.6</v>
      </c>
      <c r="R39" s="35">
        <v>81</v>
      </c>
      <c r="S39" s="38">
        <v>130</v>
      </c>
      <c r="T39" s="41">
        <v>40510.958042173501</v>
      </c>
      <c r="U39" s="42">
        <v>-772331.36137760605</v>
      </c>
      <c r="V39" s="36">
        <v>906000</v>
      </c>
      <c r="W39" s="36">
        <v>1039680</v>
      </c>
      <c r="X39" s="36">
        <v>1079770</v>
      </c>
      <c r="Y39" s="36">
        <v>1119700</v>
      </c>
      <c r="Z39" s="36">
        <v>1139590</v>
      </c>
      <c r="AA39" s="36">
        <v>1119400</v>
      </c>
      <c r="AB39" s="36">
        <v>1249270</v>
      </c>
      <c r="AC39" s="36">
        <v>1329150</v>
      </c>
      <c r="AD39" s="36">
        <v>1338990</v>
      </c>
      <c r="AE39" s="36">
        <v>1398710</v>
      </c>
      <c r="AF39" s="36">
        <v>1398340</v>
      </c>
      <c r="AG39" s="36">
        <v>1487810</v>
      </c>
      <c r="AH39" s="36">
        <v>1576940</v>
      </c>
      <c r="AI39" s="36">
        <v>1655660</v>
      </c>
      <c r="AJ39" s="36">
        <v>1564350</v>
      </c>
      <c r="AK39" s="36">
        <v>1391710</v>
      </c>
      <c r="AL39" s="36">
        <v>1578370</v>
      </c>
      <c r="AM39" s="36">
        <v>1927720</v>
      </c>
      <c r="AN39" s="36">
        <v>2206300</v>
      </c>
      <c r="AO39" s="36">
        <v>2614500</v>
      </c>
      <c r="AP39" s="36">
        <v>2427300</v>
      </c>
      <c r="AQ39" s="36">
        <v>2249800</v>
      </c>
      <c r="AR39" s="38">
        <v>2208450</v>
      </c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  <c r="LO39"/>
      <c r="LP39"/>
      <c r="LQ39"/>
      <c r="LR39"/>
      <c r="LS39"/>
      <c r="LT39"/>
      <c r="LU39"/>
      <c r="LV39"/>
      <c r="LW39"/>
      <c r="LX39"/>
      <c r="LY39"/>
      <c r="LZ39"/>
      <c r="MA39"/>
      <c r="MB39"/>
      <c r="MC39"/>
      <c r="MD39"/>
      <c r="ME39"/>
      <c r="MF39"/>
      <c r="MG39"/>
      <c r="MH39"/>
      <c r="MI39"/>
      <c r="MJ39"/>
      <c r="MK39"/>
      <c r="ML39"/>
      <c r="MM39"/>
      <c r="MN39"/>
      <c r="MO39"/>
      <c r="MP39"/>
      <c r="MQ39"/>
      <c r="MR39"/>
      <c r="MS39"/>
      <c r="MT39"/>
      <c r="MU39"/>
      <c r="MV39"/>
      <c r="MW39"/>
      <c r="MX39"/>
      <c r="MY39"/>
      <c r="MZ39"/>
      <c r="NA39"/>
      <c r="NB39"/>
      <c r="NC39"/>
      <c r="ND39"/>
      <c r="NE39"/>
      <c r="NF39"/>
      <c r="NG39"/>
      <c r="NH39"/>
      <c r="NI39"/>
      <c r="NJ39"/>
      <c r="NK39"/>
      <c r="NL39"/>
      <c r="NM39"/>
      <c r="NN39"/>
      <c r="NO39"/>
      <c r="NP39"/>
      <c r="NQ39"/>
      <c r="NR39"/>
      <c r="NS39"/>
      <c r="NT39"/>
      <c r="NU39"/>
      <c r="NV39"/>
      <c r="NW39"/>
      <c r="NX39"/>
      <c r="NY39"/>
      <c r="NZ39"/>
      <c r="OA39"/>
      <c r="OB39"/>
      <c r="OC39"/>
      <c r="OD39"/>
      <c r="OE39"/>
      <c r="OF39"/>
      <c r="OG39"/>
      <c r="OH39"/>
      <c r="OI39"/>
      <c r="OJ39"/>
      <c r="OK39"/>
      <c r="OL39"/>
      <c r="OM39"/>
      <c r="ON39"/>
      <c r="OO39"/>
      <c r="OP39"/>
      <c r="OQ39"/>
      <c r="OR39"/>
      <c r="OS39"/>
      <c r="OT39"/>
      <c r="OU39"/>
      <c r="OV39"/>
      <c r="OW39"/>
      <c r="OX39"/>
      <c r="OY39"/>
      <c r="OZ39"/>
      <c r="PA39"/>
      <c r="PB39"/>
      <c r="PC39"/>
      <c r="PD39"/>
      <c r="PE39"/>
      <c r="PF39"/>
      <c r="PG39"/>
      <c r="PH39"/>
      <c r="PI39"/>
      <c r="PJ39"/>
      <c r="PK39"/>
      <c r="PL39"/>
      <c r="PM39"/>
      <c r="PN39"/>
      <c r="PO39"/>
      <c r="PP39"/>
      <c r="PQ39"/>
      <c r="PR39"/>
      <c r="PS39"/>
      <c r="PT39"/>
      <c r="PU39"/>
      <c r="PV39"/>
      <c r="PW39"/>
      <c r="PX39"/>
      <c r="PY39"/>
      <c r="PZ39"/>
      <c r="QA39"/>
      <c r="QB39"/>
      <c r="QC39"/>
      <c r="QD39"/>
      <c r="QE39"/>
      <c r="QF39"/>
      <c r="QG39"/>
      <c r="QH39"/>
      <c r="QI39"/>
      <c r="QJ39"/>
      <c r="QK39"/>
      <c r="QL39"/>
      <c r="QM39"/>
      <c r="QN39"/>
      <c r="QO39"/>
      <c r="QP39"/>
      <c r="QQ39"/>
      <c r="QR39"/>
      <c r="QS39"/>
      <c r="QT39"/>
      <c r="QU39"/>
      <c r="QV39"/>
      <c r="QW39"/>
      <c r="QX39"/>
      <c r="QY39"/>
      <c r="QZ39"/>
      <c r="RA39"/>
      <c r="RB39"/>
      <c r="RC39"/>
      <c r="RD39"/>
      <c r="RE39"/>
      <c r="RF39"/>
      <c r="RG39"/>
      <c r="RH39"/>
      <c r="RI39"/>
      <c r="RJ39"/>
      <c r="RK39"/>
      <c r="RL39"/>
      <c r="RM39"/>
      <c r="RN39"/>
      <c r="RO39"/>
      <c r="RP39"/>
      <c r="RQ39"/>
      <c r="RR39"/>
      <c r="RS39"/>
      <c r="RT39"/>
      <c r="RU39"/>
      <c r="RV39"/>
      <c r="RW39"/>
      <c r="RX39"/>
      <c r="RY39"/>
      <c r="RZ39"/>
      <c r="SA39"/>
      <c r="SB39"/>
      <c r="SC39"/>
      <c r="SD39"/>
      <c r="SE39"/>
      <c r="SF39"/>
      <c r="SG39"/>
      <c r="SH39"/>
      <c r="SI39"/>
      <c r="SJ39"/>
      <c r="SK39"/>
      <c r="SL39"/>
      <c r="SM39"/>
      <c r="SN39"/>
      <c r="SO39"/>
      <c r="SP39"/>
      <c r="SQ39"/>
      <c r="SR39"/>
      <c r="SS39"/>
      <c r="ST39"/>
      <c r="SU39"/>
      <c r="SV39"/>
      <c r="SW39"/>
      <c r="SX39"/>
      <c r="SY39"/>
      <c r="SZ39"/>
      <c r="TA39"/>
      <c r="TB39"/>
      <c r="TC39"/>
      <c r="TD39"/>
      <c r="TE39"/>
      <c r="TF39"/>
      <c r="TG39"/>
      <c r="TH39"/>
      <c r="TI39"/>
      <c r="TJ39"/>
      <c r="TK39"/>
      <c r="TL39"/>
      <c r="TM39"/>
      <c r="TN39"/>
      <c r="TO39"/>
      <c r="TP39"/>
      <c r="TQ39"/>
      <c r="TR39"/>
      <c r="TS39"/>
      <c r="TT39"/>
      <c r="TU39"/>
      <c r="TV39"/>
      <c r="TW39"/>
      <c r="TX39"/>
      <c r="TY39"/>
      <c r="TZ39"/>
      <c r="UA39"/>
      <c r="UB39"/>
      <c r="UC39"/>
      <c r="UD39"/>
      <c r="UE39"/>
      <c r="UF39"/>
      <c r="UG39"/>
      <c r="UH39"/>
      <c r="UI39"/>
      <c r="UJ39"/>
      <c r="UK39"/>
      <c r="UL39"/>
      <c r="UM39"/>
      <c r="UN39"/>
      <c r="UO39"/>
      <c r="UP39"/>
      <c r="UQ39"/>
      <c r="UR39"/>
      <c r="US39"/>
      <c r="UT39"/>
      <c r="UU39"/>
      <c r="UV39"/>
      <c r="UW39"/>
      <c r="UX39"/>
      <c r="UY39"/>
      <c r="UZ39"/>
      <c r="VA39"/>
      <c r="VB39"/>
      <c r="VC39"/>
      <c r="VD39"/>
      <c r="VE39"/>
      <c r="VF39"/>
      <c r="VG39"/>
      <c r="VH39"/>
      <c r="VI39"/>
      <c r="VJ39"/>
      <c r="VK39"/>
      <c r="VL39"/>
      <c r="VM39"/>
      <c r="VN39"/>
      <c r="VO39"/>
      <c r="VP39"/>
      <c r="VQ39"/>
      <c r="VR39"/>
      <c r="VS39"/>
      <c r="VT39"/>
      <c r="VU39"/>
      <c r="VV39"/>
      <c r="VW39"/>
      <c r="VX39"/>
      <c r="VY39"/>
      <c r="VZ39"/>
      <c r="WA39"/>
      <c r="WB39"/>
      <c r="WC39"/>
      <c r="WD39"/>
      <c r="WE39"/>
      <c r="WF39"/>
      <c r="WG39"/>
      <c r="WH39"/>
      <c r="WI39"/>
      <c r="WJ39"/>
      <c r="WK39"/>
      <c r="WL39"/>
      <c r="WM39"/>
      <c r="WN39"/>
      <c r="WO39"/>
      <c r="WP39"/>
      <c r="WQ39"/>
      <c r="WR39"/>
      <c r="WS39"/>
      <c r="WT39"/>
      <c r="WU39"/>
      <c r="WV39"/>
      <c r="WW39"/>
      <c r="WX39"/>
      <c r="WY39"/>
      <c r="WZ39"/>
      <c r="XA39"/>
      <c r="XB39"/>
      <c r="XC39"/>
      <c r="XD39"/>
      <c r="XE39"/>
      <c r="XF39"/>
      <c r="XG39"/>
      <c r="XH39"/>
      <c r="XI39"/>
      <c r="XJ39"/>
      <c r="XK39"/>
      <c r="XL39"/>
      <c r="XM39"/>
      <c r="XN39"/>
      <c r="XO39"/>
      <c r="XP39"/>
      <c r="XQ39"/>
      <c r="XR39"/>
      <c r="XS39"/>
      <c r="XT39"/>
      <c r="XU39"/>
      <c r="XV39"/>
      <c r="XW39"/>
      <c r="XX39"/>
      <c r="XY39"/>
      <c r="XZ39"/>
      <c r="YA39"/>
      <c r="YB39"/>
      <c r="YC39"/>
      <c r="YD39"/>
      <c r="YE39"/>
      <c r="YF39"/>
      <c r="YG39"/>
      <c r="YH39"/>
      <c r="YI39"/>
      <c r="YJ39"/>
      <c r="YK39"/>
      <c r="YL39"/>
      <c r="YM39"/>
      <c r="YN39"/>
      <c r="YO39"/>
      <c r="YP39"/>
      <c r="YQ39"/>
      <c r="YR39"/>
      <c r="YS39"/>
      <c r="YT39"/>
      <c r="YU39"/>
      <c r="YV39"/>
      <c r="YW39"/>
      <c r="YX39"/>
      <c r="YY39"/>
      <c r="YZ39"/>
      <c r="ZA39"/>
      <c r="ZB39"/>
      <c r="ZC39"/>
      <c r="ZD39"/>
      <c r="ZE39"/>
      <c r="ZF39"/>
      <c r="ZG39"/>
      <c r="ZH39"/>
      <c r="ZI39"/>
      <c r="ZJ39"/>
      <c r="ZK39"/>
      <c r="ZL39"/>
      <c r="ZM39"/>
      <c r="ZN39"/>
      <c r="ZO39"/>
      <c r="ZP39"/>
      <c r="ZQ39"/>
      <c r="ZR39"/>
      <c r="ZS39"/>
      <c r="ZT39"/>
      <c r="ZU39"/>
      <c r="ZV39"/>
      <c r="ZW39"/>
      <c r="ZX39"/>
      <c r="ZY39"/>
      <c r="ZZ39"/>
      <c r="AAA39"/>
      <c r="AAB39"/>
      <c r="AAC39"/>
      <c r="AAD39"/>
      <c r="AAE39"/>
      <c r="AAF39"/>
      <c r="AAG39"/>
      <c r="AAH39"/>
      <c r="AAI39"/>
      <c r="AAJ39"/>
      <c r="AAK39"/>
      <c r="AAL39"/>
      <c r="AAM39"/>
      <c r="AAN39"/>
      <c r="AAO39"/>
      <c r="AAP39"/>
      <c r="AAQ39"/>
      <c r="AAR39"/>
      <c r="AAS39"/>
      <c r="AAT39"/>
      <c r="AAU39"/>
      <c r="AAV39"/>
      <c r="AAW39"/>
      <c r="AAX39"/>
      <c r="AAY39"/>
      <c r="AAZ39"/>
      <c r="ABA39"/>
      <c r="ABB39"/>
      <c r="ABC39"/>
      <c r="ABD39"/>
      <c r="ABE39"/>
      <c r="ABF39"/>
      <c r="ABG39"/>
      <c r="ABH39"/>
      <c r="ABI39"/>
      <c r="ABJ39"/>
      <c r="ABK39"/>
      <c r="ABL39"/>
      <c r="ABM39"/>
      <c r="ABN39"/>
      <c r="ABO39"/>
      <c r="ABP39"/>
      <c r="ABQ39"/>
      <c r="ABR39"/>
      <c r="ABS39"/>
      <c r="ABT39"/>
      <c r="ABU39"/>
      <c r="ABV39"/>
      <c r="ABW39"/>
      <c r="ABX39"/>
      <c r="ABY39"/>
      <c r="ABZ39"/>
      <c r="ACA39"/>
      <c r="ACB39"/>
      <c r="ACC39"/>
      <c r="ACD39"/>
      <c r="ACE39"/>
      <c r="ACF39"/>
      <c r="ACG39"/>
      <c r="ACH39"/>
      <c r="ACI39"/>
      <c r="ACJ39"/>
      <c r="ACK39"/>
      <c r="ACL39"/>
      <c r="ACM39"/>
      <c r="ACN39"/>
      <c r="ACO39"/>
      <c r="ACP39"/>
      <c r="ACQ39"/>
      <c r="ACR39"/>
      <c r="ACS39"/>
      <c r="ACT39"/>
      <c r="ACU39"/>
      <c r="ACV39"/>
      <c r="ACW39"/>
      <c r="ACX39"/>
      <c r="ACY39"/>
      <c r="ACZ39"/>
      <c r="ADA39"/>
      <c r="ADB39"/>
      <c r="ADC39"/>
      <c r="ADD39"/>
      <c r="ADE39"/>
      <c r="ADF39"/>
      <c r="ADG39"/>
      <c r="ADH39"/>
      <c r="ADI39"/>
      <c r="ADJ39"/>
      <c r="ADK39"/>
      <c r="ADL39"/>
      <c r="ADM39"/>
      <c r="ADN39"/>
      <c r="ADO39"/>
      <c r="ADP39"/>
      <c r="ADQ39"/>
      <c r="ADR39"/>
      <c r="ADS39"/>
      <c r="ADT39"/>
      <c r="ADU39"/>
      <c r="ADV39"/>
      <c r="ADW39"/>
      <c r="ADX39"/>
      <c r="ADY39"/>
      <c r="ADZ39"/>
      <c r="AEA39"/>
      <c r="AEB39"/>
      <c r="AEC39"/>
      <c r="AED39"/>
      <c r="AEE39"/>
      <c r="AEF39"/>
      <c r="AEG39"/>
      <c r="AEH39"/>
      <c r="AEI39"/>
      <c r="AEJ39"/>
      <c r="AEK39"/>
      <c r="AEL39"/>
      <c r="AEM39"/>
      <c r="AEN39"/>
      <c r="AEO39"/>
      <c r="AEP39"/>
      <c r="AEQ39"/>
      <c r="AER39"/>
      <c r="AES39"/>
      <c r="AET39"/>
      <c r="AEU39"/>
      <c r="AEV39"/>
      <c r="AEW39"/>
      <c r="AEX39"/>
      <c r="AEY39"/>
      <c r="AEZ39"/>
      <c r="AFA39"/>
      <c r="AFB39"/>
      <c r="AFC39"/>
      <c r="AFD39"/>
      <c r="AFE39"/>
      <c r="AFF39"/>
      <c r="AFG39"/>
      <c r="AFH39"/>
      <c r="AFI39"/>
      <c r="AFJ39"/>
      <c r="AFK39"/>
      <c r="AFL39"/>
      <c r="AFM39"/>
      <c r="AFN39"/>
      <c r="AFO39"/>
      <c r="AFP39"/>
      <c r="AFQ39"/>
      <c r="AFR39"/>
      <c r="AFS39"/>
      <c r="AFT39"/>
      <c r="AFU39"/>
      <c r="AFV39"/>
      <c r="AFW39"/>
      <c r="AFX39"/>
      <c r="AFY39"/>
      <c r="AFZ39"/>
      <c r="AGA39"/>
      <c r="AGB39"/>
      <c r="AGC39"/>
      <c r="AGD39"/>
      <c r="AGE39"/>
      <c r="AGF39"/>
      <c r="AGG39"/>
      <c r="AGH39"/>
      <c r="AGI39"/>
      <c r="AGJ39"/>
      <c r="AGK39"/>
      <c r="AGL39"/>
      <c r="AGM39"/>
      <c r="AGN39"/>
      <c r="AGO39"/>
      <c r="AGP39"/>
      <c r="AGQ39"/>
      <c r="AGR39"/>
      <c r="AGS39"/>
      <c r="AGT39"/>
      <c r="AGU39"/>
      <c r="AGV39"/>
      <c r="AGW39"/>
      <c r="AGX39"/>
      <c r="AGY39"/>
      <c r="AGZ39"/>
      <c r="AHA39"/>
      <c r="AHB39"/>
      <c r="AHC39"/>
      <c r="AHD39"/>
      <c r="AHE39"/>
      <c r="AHF39"/>
      <c r="AHG39"/>
      <c r="AHH39"/>
      <c r="AHI39"/>
      <c r="AHJ39"/>
      <c r="AHK39"/>
      <c r="AHL39"/>
      <c r="AHM39"/>
      <c r="AHN39"/>
      <c r="AHO39"/>
      <c r="AHP39"/>
      <c r="AHQ39"/>
      <c r="AHR39"/>
      <c r="AHS39"/>
      <c r="AHT39"/>
      <c r="AHU39"/>
      <c r="AHV39"/>
      <c r="AHW39"/>
      <c r="AHX39"/>
      <c r="AHY39"/>
      <c r="AHZ39"/>
      <c r="AIA39"/>
      <c r="AIB39"/>
      <c r="AIC39"/>
      <c r="AID39"/>
      <c r="AIE39"/>
      <c r="AIF39"/>
      <c r="AIG39"/>
      <c r="AIH39"/>
      <c r="AII39"/>
      <c r="AIJ39"/>
      <c r="AIK39"/>
      <c r="AIL39"/>
      <c r="AIM39"/>
      <c r="AIN39"/>
      <c r="AIO39"/>
      <c r="AIP39"/>
      <c r="AIQ39"/>
      <c r="AIR39"/>
      <c r="AIS39"/>
      <c r="AIT39"/>
      <c r="AIU39"/>
      <c r="AIV39"/>
      <c r="AIW39"/>
      <c r="AIX39"/>
      <c r="AIY39"/>
      <c r="AIZ39"/>
      <c r="AJA39"/>
      <c r="AJB39"/>
      <c r="AJC39"/>
      <c r="AJD39"/>
      <c r="AJE39"/>
      <c r="AJF39"/>
      <c r="AJG39"/>
      <c r="AJH39"/>
      <c r="AJI39"/>
      <c r="AJJ39"/>
      <c r="AJK39"/>
      <c r="AJL39"/>
      <c r="AJM39"/>
      <c r="AJN39"/>
      <c r="AJO39"/>
      <c r="AJP39"/>
      <c r="AJQ39"/>
      <c r="AJR39"/>
      <c r="AJS39"/>
      <c r="AJT39"/>
      <c r="AJU39"/>
      <c r="AJV39"/>
      <c r="AJW39"/>
      <c r="AJX39"/>
      <c r="AJY39"/>
      <c r="AJZ39"/>
      <c r="AKA39"/>
      <c r="AKB39"/>
      <c r="AKC39"/>
      <c r="AKD39"/>
      <c r="AKE39"/>
      <c r="AKF39"/>
      <c r="AKG39"/>
      <c r="AKH39"/>
      <c r="AKI39"/>
      <c r="AKJ39"/>
      <c r="AKK39"/>
      <c r="AKL39"/>
      <c r="AKM39"/>
      <c r="AKN39"/>
      <c r="AKO39"/>
      <c r="AKP39"/>
      <c r="AKQ39"/>
      <c r="AKR39"/>
      <c r="AKS39"/>
      <c r="AKT39"/>
      <c r="AKU39"/>
      <c r="AKV39"/>
      <c r="AKW39"/>
      <c r="AKX39"/>
      <c r="AKY39"/>
      <c r="AKZ39"/>
      <c r="ALA39"/>
      <c r="ALB39"/>
      <c r="ALC39"/>
      <c r="ALD39"/>
      <c r="ALE39"/>
      <c r="ALF39"/>
      <c r="ALG39"/>
      <c r="ALH39"/>
      <c r="ALI39"/>
      <c r="ALJ39"/>
      <c r="ALK39"/>
      <c r="ALL39"/>
      <c r="ALM39"/>
      <c r="ALN39"/>
      <c r="ALO39"/>
      <c r="ALP39"/>
      <c r="ALQ39"/>
      <c r="ALR39"/>
      <c r="ALS39"/>
      <c r="ALT39"/>
      <c r="ALU39"/>
      <c r="ALV39"/>
      <c r="ALW39"/>
      <c r="ALX39"/>
      <c r="ALY39"/>
      <c r="ALZ39"/>
      <c r="AMA39"/>
      <c r="AMB39"/>
      <c r="AMC39"/>
      <c r="AMD39"/>
      <c r="AME39"/>
      <c r="AMF39"/>
      <c r="AMG39"/>
      <c r="AMH39"/>
      <c r="AMI39"/>
      <c r="AMJ39"/>
      <c r="AMK39"/>
      <c r="AML39"/>
      <c r="AMM39"/>
      <c r="AMN39"/>
      <c r="AMO39"/>
      <c r="AMP39"/>
      <c r="AMQ39"/>
      <c r="AMR39"/>
      <c r="AMS39"/>
      <c r="AMT39"/>
      <c r="AMU39"/>
      <c r="AMV39"/>
      <c r="AMW39"/>
      <c r="AMX39"/>
      <c r="AMY39"/>
      <c r="AMZ39"/>
      <c r="ANA39"/>
      <c r="ANB39"/>
      <c r="ANC39"/>
      <c r="AND39"/>
      <c r="ANE39"/>
      <c r="ANF39"/>
      <c r="ANG39"/>
      <c r="ANH39"/>
      <c r="ANI39"/>
      <c r="ANJ39"/>
      <c r="ANK39"/>
      <c r="ANL39"/>
      <c r="ANM39"/>
      <c r="ANN39"/>
      <c r="ANO39"/>
    </row>
    <row r="40" spans="1:1055" s="36" customFormat="1" x14ac:dyDescent="0.25">
      <c r="A40" s="34" t="s">
        <v>62</v>
      </c>
      <c r="B40" s="35">
        <v>0</v>
      </c>
      <c r="C40" s="36">
        <v>0</v>
      </c>
      <c r="D40" s="36">
        <v>0</v>
      </c>
      <c r="E40" s="37">
        <v>0</v>
      </c>
      <c r="F40" s="35">
        <v>0</v>
      </c>
      <c r="G40" s="97">
        <v>0</v>
      </c>
      <c r="H40" s="97">
        <v>0</v>
      </c>
      <c r="I40" s="97">
        <v>0</v>
      </c>
      <c r="J40" s="97">
        <v>0</v>
      </c>
      <c r="K40" s="36">
        <v>0</v>
      </c>
      <c r="L40" s="38">
        <v>0</v>
      </c>
      <c r="M40" s="39">
        <v>0</v>
      </c>
      <c r="N40" s="40">
        <v>0</v>
      </c>
      <c r="O40" s="35"/>
      <c r="Q40" s="38">
        <v>0</v>
      </c>
      <c r="R40" s="35">
        <v>0</v>
      </c>
      <c r="S40" s="38">
        <v>0</v>
      </c>
      <c r="T40" s="41">
        <v>0</v>
      </c>
      <c r="U40" s="42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  <c r="AB40" s="36">
        <v>0</v>
      </c>
      <c r="AC40" s="36">
        <v>0</v>
      </c>
      <c r="AD40" s="36">
        <v>0</v>
      </c>
      <c r="AE40" s="36">
        <v>0</v>
      </c>
      <c r="AF40" s="36">
        <v>0</v>
      </c>
      <c r="AG40" s="36">
        <v>0</v>
      </c>
      <c r="AH40" s="36">
        <v>0</v>
      </c>
      <c r="AI40" s="36">
        <v>0</v>
      </c>
      <c r="AJ40" s="36">
        <v>0</v>
      </c>
      <c r="AK40" s="36">
        <v>0</v>
      </c>
      <c r="AL40" s="36">
        <v>0</v>
      </c>
      <c r="AM40" s="36">
        <v>0</v>
      </c>
      <c r="AN40" s="36">
        <v>0</v>
      </c>
      <c r="AO40" s="36">
        <v>0</v>
      </c>
      <c r="AP40" s="36">
        <v>0</v>
      </c>
      <c r="AQ40" s="36">
        <v>0</v>
      </c>
      <c r="AR40" s="38">
        <v>0</v>
      </c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  <c r="LO40"/>
      <c r="LP40"/>
      <c r="LQ40"/>
      <c r="LR40"/>
      <c r="LS40"/>
      <c r="LT40"/>
      <c r="LU40"/>
      <c r="LV40"/>
      <c r="LW40"/>
      <c r="LX40"/>
      <c r="LY40"/>
      <c r="LZ40"/>
      <c r="MA40"/>
      <c r="MB40"/>
      <c r="MC40"/>
      <c r="MD40"/>
      <c r="ME40"/>
      <c r="MF40"/>
      <c r="MG40"/>
      <c r="MH40"/>
      <c r="MI40"/>
      <c r="MJ40"/>
      <c r="MK40"/>
      <c r="ML40"/>
      <c r="MM40"/>
      <c r="MN40"/>
      <c r="MO40"/>
      <c r="MP40"/>
      <c r="MQ40"/>
      <c r="MR40"/>
      <c r="MS40"/>
      <c r="MT40"/>
      <c r="MU40"/>
      <c r="MV40"/>
      <c r="MW40"/>
      <c r="MX40"/>
      <c r="MY40"/>
      <c r="MZ40"/>
      <c r="NA40"/>
      <c r="NB40"/>
      <c r="NC40"/>
      <c r="ND40"/>
      <c r="NE40"/>
      <c r="NF40"/>
      <c r="NG40"/>
      <c r="NH40"/>
      <c r="NI40"/>
      <c r="NJ40"/>
      <c r="NK40"/>
      <c r="NL40"/>
      <c r="NM40"/>
      <c r="NN40"/>
      <c r="NO40"/>
      <c r="NP40"/>
      <c r="NQ40"/>
      <c r="NR40"/>
      <c r="NS40"/>
      <c r="NT40"/>
      <c r="NU40"/>
      <c r="NV40"/>
      <c r="NW40"/>
      <c r="NX40"/>
      <c r="NY40"/>
      <c r="NZ40"/>
      <c r="OA40"/>
      <c r="OB40"/>
      <c r="OC40"/>
      <c r="OD40"/>
      <c r="OE40"/>
      <c r="OF40"/>
      <c r="OG40"/>
      <c r="OH40"/>
      <c r="OI40"/>
      <c r="OJ40"/>
      <c r="OK40"/>
      <c r="OL40"/>
      <c r="OM40"/>
      <c r="ON40"/>
      <c r="OO40"/>
      <c r="OP40"/>
      <c r="OQ40"/>
      <c r="OR40"/>
      <c r="OS40"/>
      <c r="OT40"/>
      <c r="OU40"/>
      <c r="OV40"/>
      <c r="OW40"/>
      <c r="OX40"/>
      <c r="OY40"/>
      <c r="OZ40"/>
      <c r="PA40"/>
      <c r="PB40"/>
      <c r="PC40"/>
      <c r="PD40"/>
      <c r="PE40"/>
      <c r="PF40"/>
      <c r="PG40"/>
      <c r="PH40"/>
      <c r="PI40"/>
      <c r="PJ40"/>
      <c r="PK40"/>
      <c r="PL40"/>
      <c r="PM40"/>
      <c r="PN40"/>
      <c r="PO40"/>
      <c r="PP40"/>
      <c r="PQ40"/>
      <c r="PR40"/>
      <c r="PS40"/>
      <c r="PT40"/>
      <c r="PU40"/>
      <c r="PV40"/>
      <c r="PW40"/>
      <c r="PX40"/>
      <c r="PY40"/>
      <c r="PZ40"/>
      <c r="QA40"/>
      <c r="QB40"/>
      <c r="QC40"/>
      <c r="QD40"/>
      <c r="QE40"/>
      <c r="QF40"/>
      <c r="QG40"/>
      <c r="QH40"/>
      <c r="QI40"/>
      <c r="QJ40"/>
      <c r="QK40"/>
      <c r="QL40"/>
      <c r="QM40"/>
      <c r="QN40"/>
      <c r="QO40"/>
      <c r="QP40"/>
      <c r="QQ40"/>
      <c r="QR40"/>
      <c r="QS40"/>
      <c r="QT40"/>
      <c r="QU40"/>
      <c r="QV40"/>
      <c r="QW40"/>
      <c r="QX40"/>
      <c r="QY40"/>
      <c r="QZ40"/>
      <c r="RA40"/>
      <c r="RB40"/>
      <c r="RC40"/>
      <c r="RD40"/>
      <c r="RE40"/>
      <c r="RF40"/>
      <c r="RG40"/>
      <c r="RH40"/>
      <c r="RI40"/>
      <c r="RJ40"/>
      <c r="RK40"/>
      <c r="RL40"/>
      <c r="RM40"/>
      <c r="RN40"/>
      <c r="RO40"/>
      <c r="RP40"/>
      <c r="RQ40"/>
      <c r="RR40"/>
      <c r="RS40"/>
      <c r="RT40"/>
      <c r="RU40"/>
      <c r="RV40"/>
      <c r="RW40"/>
      <c r="RX40"/>
      <c r="RY40"/>
      <c r="RZ40"/>
      <c r="SA40"/>
      <c r="SB40"/>
      <c r="SC40"/>
      <c r="SD40"/>
      <c r="SE40"/>
      <c r="SF40"/>
      <c r="SG40"/>
      <c r="SH40"/>
      <c r="SI40"/>
      <c r="SJ40"/>
      <c r="SK40"/>
      <c r="SL40"/>
      <c r="SM40"/>
      <c r="SN40"/>
      <c r="SO40"/>
      <c r="SP40"/>
      <c r="SQ40"/>
      <c r="SR40"/>
      <c r="SS40"/>
      <c r="ST40"/>
      <c r="SU40"/>
      <c r="SV40"/>
      <c r="SW40"/>
      <c r="SX40"/>
      <c r="SY40"/>
      <c r="SZ40"/>
      <c r="TA40"/>
      <c r="TB40"/>
      <c r="TC40"/>
      <c r="TD40"/>
      <c r="TE40"/>
      <c r="TF40"/>
      <c r="TG40"/>
      <c r="TH40"/>
      <c r="TI40"/>
      <c r="TJ40"/>
      <c r="TK40"/>
      <c r="TL40"/>
      <c r="TM40"/>
      <c r="TN40"/>
      <c r="TO40"/>
      <c r="TP40"/>
      <c r="TQ40"/>
      <c r="TR40"/>
      <c r="TS40"/>
      <c r="TT40"/>
      <c r="TU40"/>
      <c r="TV40"/>
      <c r="TW40"/>
      <c r="TX40"/>
      <c r="TY40"/>
      <c r="TZ40"/>
      <c r="UA40"/>
      <c r="UB40"/>
      <c r="UC40"/>
      <c r="UD40"/>
      <c r="UE40"/>
      <c r="UF40"/>
      <c r="UG40"/>
      <c r="UH40"/>
      <c r="UI40"/>
      <c r="UJ40"/>
      <c r="UK40"/>
      <c r="UL40"/>
      <c r="UM40"/>
      <c r="UN40"/>
      <c r="UO40"/>
      <c r="UP40"/>
      <c r="UQ40"/>
      <c r="UR40"/>
      <c r="US40"/>
      <c r="UT40"/>
      <c r="UU40"/>
      <c r="UV40"/>
      <c r="UW40"/>
      <c r="UX40"/>
      <c r="UY40"/>
      <c r="UZ40"/>
      <c r="VA40"/>
      <c r="VB40"/>
      <c r="VC40"/>
      <c r="VD40"/>
      <c r="VE40"/>
      <c r="VF40"/>
      <c r="VG40"/>
      <c r="VH40"/>
      <c r="VI40"/>
      <c r="VJ40"/>
      <c r="VK40"/>
      <c r="VL40"/>
      <c r="VM40"/>
      <c r="VN40"/>
      <c r="VO40"/>
      <c r="VP40"/>
      <c r="VQ40"/>
      <c r="VR40"/>
      <c r="VS40"/>
      <c r="VT40"/>
      <c r="VU40"/>
      <c r="VV40"/>
      <c r="VW40"/>
      <c r="VX40"/>
      <c r="VY40"/>
      <c r="VZ40"/>
      <c r="WA40"/>
      <c r="WB40"/>
      <c r="WC40"/>
      <c r="WD40"/>
      <c r="WE40"/>
      <c r="WF40"/>
      <c r="WG40"/>
      <c r="WH40"/>
      <c r="WI40"/>
      <c r="WJ40"/>
      <c r="WK40"/>
      <c r="WL40"/>
      <c r="WM40"/>
      <c r="WN40"/>
      <c r="WO40"/>
      <c r="WP40"/>
      <c r="WQ40"/>
      <c r="WR40"/>
      <c r="WS40"/>
      <c r="WT40"/>
      <c r="WU40"/>
      <c r="WV40"/>
      <c r="WW40"/>
      <c r="WX40"/>
      <c r="WY40"/>
      <c r="WZ40"/>
      <c r="XA40"/>
      <c r="XB40"/>
      <c r="XC40"/>
      <c r="XD40"/>
      <c r="XE40"/>
      <c r="XF40"/>
      <c r="XG40"/>
      <c r="XH40"/>
      <c r="XI40"/>
      <c r="XJ40"/>
      <c r="XK40"/>
      <c r="XL40"/>
      <c r="XM40"/>
      <c r="XN40"/>
      <c r="XO40"/>
      <c r="XP40"/>
      <c r="XQ40"/>
      <c r="XR40"/>
      <c r="XS40"/>
      <c r="XT40"/>
      <c r="XU40"/>
      <c r="XV40"/>
      <c r="XW40"/>
      <c r="XX40"/>
      <c r="XY40"/>
      <c r="XZ40"/>
      <c r="YA40"/>
      <c r="YB40"/>
      <c r="YC40"/>
      <c r="YD40"/>
      <c r="YE40"/>
      <c r="YF40"/>
      <c r="YG40"/>
      <c r="YH40"/>
      <c r="YI40"/>
      <c r="YJ40"/>
      <c r="YK40"/>
      <c r="YL40"/>
      <c r="YM40"/>
      <c r="YN40"/>
      <c r="YO40"/>
      <c r="YP40"/>
      <c r="YQ40"/>
      <c r="YR40"/>
      <c r="YS40"/>
      <c r="YT40"/>
      <c r="YU40"/>
      <c r="YV40"/>
      <c r="YW40"/>
      <c r="YX40"/>
      <c r="YY40"/>
      <c r="YZ40"/>
      <c r="ZA40"/>
      <c r="ZB40"/>
      <c r="ZC40"/>
      <c r="ZD40"/>
      <c r="ZE40"/>
      <c r="ZF40"/>
      <c r="ZG40"/>
      <c r="ZH40"/>
      <c r="ZI40"/>
      <c r="ZJ40"/>
      <c r="ZK40"/>
      <c r="ZL40"/>
      <c r="ZM40"/>
      <c r="ZN40"/>
      <c r="ZO40"/>
      <c r="ZP40"/>
      <c r="ZQ40"/>
      <c r="ZR40"/>
      <c r="ZS40"/>
      <c r="ZT40"/>
      <c r="ZU40"/>
      <c r="ZV40"/>
      <c r="ZW40"/>
      <c r="ZX40"/>
      <c r="ZY40"/>
      <c r="ZZ40"/>
      <c r="AAA40"/>
      <c r="AAB40"/>
      <c r="AAC40"/>
      <c r="AAD40"/>
      <c r="AAE40"/>
      <c r="AAF40"/>
      <c r="AAG40"/>
      <c r="AAH40"/>
      <c r="AAI40"/>
      <c r="AAJ40"/>
      <c r="AAK40"/>
      <c r="AAL40"/>
      <c r="AAM40"/>
      <c r="AAN40"/>
      <c r="AAO40"/>
      <c r="AAP40"/>
      <c r="AAQ40"/>
      <c r="AAR40"/>
      <c r="AAS40"/>
      <c r="AAT40"/>
      <c r="AAU40"/>
      <c r="AAV40"/>
      <c r="AAW40"/>
      <c r="AAX40"/>
      <c r="AAY40"/>
      <c r="AAZ40"/>
      <c r="ABA40"/>
      <c r="ABB40"/>
      <c r="ABC40"/>
      <c r="ABD40"/>
      <c r="ABE40"/>
      <c r="ABF40"/>
      <c r="ABG40"/>
      <c r="ABH40"/>
      <c r="ABI40"/>
      <c r="ABJ40"/>
      <c r="ABK40"/>
      <c r="ABL40"/>
      <c r="ABM40"/>
      <c r="ABN40"/>
      <c r="ABO40"/>
      <c r="ABP40"/>
      <c r="ABQ40"/>
      <c r="ABR40"/>
      <c r="ABS40"/>
      <c r="ABT40"/>
      <c r="ABU40"/>
      <c r="ABV40"/>
      <c r="ABW40"/>
      <c r="ABX40"/>
      <c r="ABY40"/>
      <c r="ABZ40"/>
      <c r="ACA40"/>
      <c r="ACB40"/>
      <c r="ACC40"/>
      <c r="ACD40"/>
      <c r="ACE40"/>
      <c r="ACF40"/>
      <c r="ACG40"/>
      <c r="ACH40"/>
      <c r="ACI40"/>
      <c r="ACJ40"/>
      <c r="ACK40"/>
      <c r="ACL40"/>
      <c r="ACM40"/>
      <c r="ACN40"/>
      <c r="ACO40"/>
      <c r="ACP40"/>
      <c r="ACQ40"/>
      <c r="ACR40"/>
      <c r="ACS40"/>
      <c r="ACT40"/>
      <c r="ACU40"/>
      <c r="ACV40"/>
      <c r="ACW40"/>
      <c r="ACX40"/>
      <c r="ACY40"/>
      <c r="ACZ40"/>
      <c r="ADA40"/>
      <c r="ADB40"/>
      <c r="ADC40"/>
      <c r="ADD40"/>
      <c r="ADE40"/>
      <c r="ADF40"/>
      <c r="ADG40"/>
      <c r="ADH40"/>
      <c r="ADI40"/>
      <c r="ADJ40"/>
      <c r="ADK40"/>
      <c r="ADL40"/>
      <c r="ADM40"/>
      <c r="ADN40"/>
      <c r="ADO40"/>
      <c r="ADP40"/>
      <c r="ADQ40"/>
      <c r="ADR40"/>
      <c r="ADS40"/>
      <c r="ADT40"/>
      <c r="ADU40"/>
      <c r="ADV40"/>
      <c r="ADW40"/>
      <c r="ADX40"/>
      <c r="ADY40"/>
      <c r="ADZ40"/>
      <c r="AEA40"/>
      <c r="AEB40"/>
      <c r="AEC40"/>
      <c r="AED40"/>
      <c r="AEE40"/>
      <c r="AEF40"/>
      <c r="AEG40"/>
      <c r="AEH40"/>
      <c r="AEI40"/>
      <c r="AEJ40"/>
      <c r="AEK40"/>
      <c r="AEL40"/>
      <c r="AEM40"/>
      <c r="AEN40"/>
      <c r="AEO40"/>
      <c r="AEP40"/>
      <c r="AEQ40"/>
      <c r="AER40"/>
      <c r="AES40"/>
      <c r="AET40"/>
      <c r="AEU40"/>
      <c r="AEV40"/>
      <c r="AEW40"/>
      <c r="AEX40"/>
      <c r="AEY40"/>
      <c r="AEZ40"/>
      <c r="AFA40"/>
      <c r="AFB40"/>
      <c r="AFC40"/>
      <c r="AFD40"/>
      <c r="AFE40"/>
      <c r="AFF40"/>
      <c r="AFG40"/>
      <c r="AFH40"/>
      <c r="AFI40"/>
      <c r="AFJ40"/>
      <c r="AFK40"/>
      <c r="AFL40"/>
      <c r="AFM40"/>
      <c r="AFN40"/>
      <c r="AFO40"/>
      <c r="AFP40"/>
      <c r="AFQ40"/>
      <c r="AFR40"/>
      <c r="AFS40"/>
      <c r="AFT40"/>
      <c r="AFU40"/>
      <c r="AFV40"/>
      <c r="AFW40"/>
      <c r="AFX40"/>
      <c r="AFY40"/>
      <c r="AFZ40"/>
      <c r="AGA40"/>
      <c r="AGB40"/>
      <c r="AGC40"/>
      <c r="AGD40"/>
      <c r="AGE40"/>
      <c r="AGF40"/>
      <c r="AGG40"/>
      <c r="AGH40"/>
      <c r="AGI40"/>
      <c r="AGJ40"/>
      <c r="AGK40"/>
      <c r="AGL40"/>
      <c r="AGM40"/>
      <c r="AGN40"/>
      <c r="AGO40"/>
      <c r="AGP40"/>
      <c r="AGQ40"/>
      <c r="AGR40"/>
      <c r="AGS40"/>
      <c r="AGT40"/>
      <c r="AGU40"/>
      <c r="AGV40"/>
      <c r="AGW40"/>
      <c r="AGX40"/>
      <c r="AGY40"/>
      <c r="AGZ40"/>
      <c r="AHA40"/>
      <c r="AHB40"/>
      <c r="AHC40"/>
      <c r="AHD40"/>
      <c r="AHE40"/>
      <c r="AHF40"/>
      <c r="AHG40"/>
      <c r="AHH40"/>
      <c r="AHI40"/>
      <c r="AHJ40"/>
      <c r="AHK40"/>
      <c r="AHL40"/>
      <c r="AHM40"/>
      <c r="AHN40"/>
      <c r="AHO40"/>
      <c r="AHP40"/>
      <c r="AHQ40"/>
      <c r="AHR40"/>
      <c r="AHS40"/>
      <c r="AHT40"/>
      <c r="AHU40"/>
      <c r="AHV40"/>
      <c r="AHW40"/>
      <c r="AHX40"/>
      <c r="AHY40"/>
      <c r="AHZ40"/>
      <c r="AIA40"/>
      <c r="AIB40"/>
      <c r="AIC40"/>
      <c r="AID40"/>
      <c r="AIE40"/>
      <c r="AIF40"/>
      <c r="AIG40"/>
      <c r="AIH40"/>
      <c r="AII40"/>
      <c r="AIJ40"/>
      <c r="AIK40"/>
      <c r="AIL40"/>
      <c r="AIM40"/>
      <c r="AIN40"/>
      <c r="AIO40"/>
      <c r="AIP40"/>
      <c r="AIQ40"/>
      <c r="AIR40"/>
      <c r="AIS40"/>
      <c r="AIT40"/>
      <c r="AIU40"/>
      <c r="AIV40"/>
      <c r="AIW40"/>
      <c r="AIX40"/>
      <c r="AIY40"/>
      <c r="AIZ40"/>
      <c r="AJA40"/>
      <c r="AJB40"/>
      <c r="AJC40"/>
      <c r="AJD40"/>
      <c r="AJE40"/>
      <c r="AJF40"/>
      <c r="AJG40"/>
      <c r="AJH40"/>
      <c r="AJI40"/>
      <c r="AJJ40"/>
      <c r="AJK40"/>
      <c r="AJL40"/>
      <c r="AJM40"/>
      <c r="AJN40"/>
      <c r="AJO40"/>
      <c r="AJP40"/>
      <c r="AJQ40"/>
      <c r="AJR40"/>
      <c r="AJS40"/>
      <c r="AJT40"/>
      <c r="AJU40"/>
      <c r="AJV40"/>
      <c r="AJW40"/>
      <c r="AJX40"/>
      <c r="AJY40"/>
      <c r="AJZ40"/>
      <c r="AKA40"/>
      <c r="AKB40"/>
      <c r="AKC40"/>
      <c r="AKD40"/>
      <c r="AKE40"/>
      <c r="AKF40"/>
      <c r="AKG40"/>
      <c r="AKH40"/>
      <c r="AKI40"/>
      <c r="AKJ40"/>
      <c r="AKK40"/>
      <c r="AKL40"/>
      <c r="AKM40"/>
      <c r="AKN40"/>
      <c r="AKO40"/>
      <c r="AKP40"/>
      <c r="AKQ40"/>
      <c r="AKR40"/>
      <c r="AKS40"/>
      <c r="AKT40"/>
      <c r="AKU40"/>
      <c r="AKV40"/>
      <c r="AKW40"/>
      <c r="AKX40"/>
      <c r="AKY40"/>
      <c r="AKZ40"/>
      <c r="ALA40"/>
      <c r="ALB40"/>
      <c r="ALC40"/>
      <c r="ALD40"/>
      <c r="ALE40"/>
      <c r="ALF40"/>
      <c r="ALG40"/>
      <c r="ALH40"/>
      <c r="ALI40"/>
      <c r="ALJ40"/>
      <c r="ALK40"/>
      <c r="ALL40"/>
      <c r="ALM40"/>
      <c r="ALN40"/>
      <c r="ALO40"/>
      <c r="ALP40"/>
      <c r="ALQ40"/>
      <c r="ALR40"/>
      <c r="ALS40"/>
      <c r="ALT40"/>
      <c r="ALU40"/>
      <c r="ALV40"/>
      <c r="ALW40"/>
      <c r="ALX40"/>
      <c r="ALY40"/>
      <c r="ALZ40"/>
      <c r="AMA40"/>
      <c r="AMB40"/>
      <c r="AMC40"/>
      <c r="AMD40"/>
      <c r="AME40"/>
      <c r="AMF40"/>
      <c r="AMG40"/>
      <c r="AMH40"/>
      <c r="AMI40"/>
      <c r="AMJ40"/>
      <c r="AMK40"/>
      <c r="AML40"/>
      <c r="AMM40"/>
      <c r="AMN40"/>
      <c r="AMO40"/>
      <c r="AMP40"/>
      <c r="AMQ40"/>
      <c r="AMR40"/>
      <c r="AMS40"/>
      <c r="AMT40"/>
      <c r="AMU40"/>
      <c r="AMV40"/>
      <c r="AMW40"/>
      <c r="AMX40"/>
      <c r="AMY40"/>
      <c r="AMZ40"/>
      <c r="ANA40"/>
      <c r="ANB40"/>
      <c r="ANC40"/>
      <c r="AND40"/>
      <c r="ANE40"/>
      <c r="ANF40"/>
      <c r="ANG40"/>
      <c r="ANH40"/>
      <c r="ANI40"/>
      <c r="ANJ40"/>
      <c r="ANK40"/>
      <c r="ANL40"/>
      <c r="ANM40"/>
      <c r="ANN40"/>
      <c r="ANO40"/>
    </row>
    <row r="41" spans="1:1055" s="36" customFormat="1" x14ac:dyDescent="0.25">
      <c r="A41" s="34" t="s">
        <v>63</v>
      </c>
      <c r="B41" s="35">
        <v>0</v>
      </c>
      <c r="C41" s="36">
        <v>0</v>
      </c>
      <c r="D41" s="36">
        <v>0</v>
      </c>
      <c r="E41" s="37">
        <v>0</v>
      </c>
      <c r="F41" s="35">
        <v>0</v>
      </c>
      <c r="G41" s="97">
        <v>0</v>
      </c>
      <c r="H41" s="97">
        <v>0</v>
      </c>
      <c r="I41" s="97">
        <v>0</v>
      </c>
      <c r="J41" s="97">
        <v>0</v>
      </c>
      <c r="K41" s="36">
        <v>0</v>
      </c>
      <c r="L41" s="38">
        <v>0</v>
      </c>
      <c r="M41" s="39">
        <v>0</v>
      </c>
      <c r="N41" s="40">
        <v>0</v>
      </c>
      <c r="O41" s="35"/>
      <c r="Q41" s="38">
        <v>0</v>
      </c>
      <c r="R41" s="35">
        <v>0</v>
      </c>
      <c r="S41" s="38">
        <v>0</v>
      </c>
      <c r="T41" s="41">
        <v>0</v>
      </c>
      <c r="U41" s="42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  <c r="AB41" s="36">
        <v>0</v>
      </c>
      <c r="AC41" s="36">
        <v>0</v>
      </c>
      <c r="AD41" s="36">
        <v>0</v>
      </c>
      <c r="AE41" s="36">
        <v>0</v>
      </c>
      <c r="AF41" s="36">
        <v>0</v>
      </c>
      <c r="AG41" s="36">
        <v>0</v>
      </c>
      <c r="AH41" s="36">
        <v>0</v>
      </c>
      <c r="AI41" s="36">
        <v>0</v>
      </c>
      <c r="AJ41" s="36">
        <v>0</v>
      </c>
      <c r="AK41" s="36">
        <v>0</v>
      </c>
      <c r="AL41" s="36">
        <v>0</v>
      </c>
      <c r="AM41" s="36">
        <v>0</v>
      </c>
      <c r="AN41" s="36">
        <v>0</v>
      </c>
      <c r="AO41" s="36">
        <v>0</v>
      </c>
      <c r="AP41" s="36">
        <v>0</v>
      </c>
      <c r="AQ41" s="36">
        <v>0</v>
      </c>
      <c r="AR41" s="38">
        <v>0</v>
      </c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  <c r="LO41"/>
      <c r="LP41"/>
      <c r="LQ41"/>
      <c r="LR41"/>
      <c r="LS41"/>
      <c r="LT41"/>
      <c r="LU41"/>
      <c r="LV41"/>
      <c r="LW41"/>
      <c r="LX41"/>
      <c r="LY41"/>
      <c r="LZ41"/>
      <c r="MA41"/>
      <c r="MB41"/>
      <c r="MC41"/>
      <c r="MD41"/>
      <c r="ME41"/>
      <c r="MF41"/>
      <c r="MG41"/>
      <c r="MH41"/>
      <c r="MI41"/>
      <c r="MJ41"/>
      <c r="MK41"/>
      <c r="ML41"/>
      <c r="MM41"/>
      <c r="MN41"/>
      <c r="MO41"/>
      <c r="MP41"/>
      <c r="MQ41"/>
      <c r="MR41"/>
      <c r="MS41"/>
      <c r="MT41"/>
      <c r="MU41"/>
      <c r="MV41"/>
      <c r="MW41"/>
      <c r="MX41"/>
      <c r="MY41"/>
      <c r="MZ41"/>
      <c r="NA41"/>
      <c r="NB41"/>
      <c r="NC41"/>
      <c r="ND41"/>
      <c r="NE41"/>
      <c r="NF41"/>
      <c r="NG41"/>
      <c r="NH41"/>
      <c r="NI41"/>
      <c r="NJ41"/>
      <c r="NK41"/>
      <c r="NL41"/>
      <c r="NM41"/>
      <c r="NN41"/>
      <c r="NO41"/>
      <c r="NP41"/>
      <c r="NQ41"/>
      <c r="NR41"/>
      <c r="NS41"/>
      <c r="NT41"/>
      <c r="NU41"/>
      <c r="NV41"/>
      <c r="NW41"/>
      <c r="NX41"/>
      <c r="NY41"/>
      <c r="NZ41"/>
      <c r="OA41"/>
      <c r="OB41"/>
      <c r="OC41"/>
      <c r="OD41"/>
      <c r="OE41"/>
      <c r="OF41"/>
      <c r="OG41"/>
      <c r="OH41"/>
      <c r="OI41"/>
      <c r="OJ41"/>
      <c r="OK41"/>
      <c r="OL41"/>
      <c r="OM41"/>
      <c r="ON41"/>
      <c r="OO41"/>
      <c r="OP41"/>
      <c r="OQ41"/>
      <c r="OR41"/>
      <c r="OS41"/>
      <c r="OT41"/>
      <c r="OU41"/>
      <c r="OV41"/>
      <c r="OW41"/>
      <c r="OX41"/>
      <c r="OY41"/>
      <c r="OZ41"/>
      <c r="PA41"/>
      <c r="PB41"/>
      <c r="PC41"/>
      <c r="PD41"/>
      <c r="PE41"/>
      <c r="PF41"/>
      <c r="PG41"/>
      <c r="PH41"/>
      <c r="PI41"/>
      <c r="PJ41"/>
      <c r="PK41"/>
      <c r="PL41"/>
      <c r="PM41"/>
      <c r="PN41"/>
      <c r="PO41"/>
      <c r="PP41"/>
      <c r="PQ41"/>
      <c r="PR41"/>
      <c r="PS41"/>
      <c r="PT41"/>
      <c r="PU41"/>
      <c r="PV41"/>
      <c r="PW41"/>
      <c r="PX41"/>
      <c r="PY41"/>
      <c r="PZ41"/>
      <c r="QA41"/>
      <c r="QB41"/>
      <c r="QC41"/>
      <c r="QD41"/>
      <c r="QE41"/>
      <c r="QF41"/>
      <c r="QG41"/>
      <c r="QH41"/>
      <c r="QI41"/>
      <c r="QJ41"/>
      <c r="QK41"/>
      <c r="QL41"/>
      <c r="QM41"/>
      <c r="QN41"/>
      <c r="QO41"/>
      <c r="QP41"/>
      <c r="QQ41"/>
      <c r="QR41"/>
      <c r="QS41"/>
      <c r="QT41"/>
      <c r="QU41"/>
      <c r="QV41"/>
      <c r="QW41"/>
      <c r="QX41"/>
      <c r="QY41"/>
      <c r="QZ41"/>
      <c r="RA41"/>
      <c r="RB41"/>
      <c r="RC41"/>
      <c r="RD41"/>
      <c r="RE41"/>
      <c r="RF41"/>
      <c r="RG41"/>
      <c r="RH41"/>
      <c r="RI41"/>
      <c r="RJ41"/>
      <c r="RK41"/>
      <c r="RL41"/>
      <c r="RM41"/>
      <c r="RN41"/>
      <c r="RO41"/>
      <c r="RP41"/>
      <c r="RQ41"/>
      <c r="RR41"/>
      <c r="RS41"/>
      <c r="RT41"/>
      <c r="RU41"/>
      <c r="RV41"/>
      <c r="RW41"/>
      <c r="RX41"/>
      <c r="RY41"/>
      <c r="RZ41"/>
      <c r="SA41"/>
      <c r="SB41"/>
      <c r="SC41"/>
      <c r="SD41"/>
      <c r="SE41"/>
      <c r="SF41"/>
      <c r="SG41"/>
      <c r="SH41"/>
      <c r="SI41"/>
      <c r="SJ41"/>
      <c r="SK41"/>
      <c r="SL41"/>
      <c r="SM41"/>
      <c r="SN41"/>
      <c r="SO41"/>
      <c r="SP41"/>
      <c r="SQ41"/>
      <c r="SR41"/>
      <c r="SS41"/>
      <c r="ST41"/>
      <c r="SU41"/>
      <c r="SV41"/>
      <c r="SW41"/>
      <c r="SX41"/>
      <c r="SY41"/>
      <c r="SZ41"/>
      <c r="TA41"/>
      <c r="TB41"/>
      <c r="TC41"/>
      <c r="TD41"/>
      <c r="TE41"/>
      <c r="TF41"/>
      <c r="TG41"/>
      <c r="TH41"/>
      <c r="TI41"/>
      <c r="TJ41"/>
      <c r="TK41"/>
      <c r="TL41"/>
      <c r="TM41"/>
      <c r="TN41"/>
      <c r="TO41"/>
      <c r="TP41"/>
      <c r="TQ41"/>
      <c r="TR41"/>
      <c r="TS41"/>
      <c r="TT41"/>
      <c r="TU41"/>
      <c r="TV41"/>
      <c r="TW41"/>
      <c r="TX41"/>
      <c r="TY41"/>
      <c r="TZ41"/>
      <c r="UA41"/>
      <c r="UB41"/>
      <c r="UC41"/>
      <c r="UD41"/>
      <c r="UE41"/>
      <c r="UF41"/>
      <c r="UG41"/>
      <c r="UH41"/>
      <c r="UI41"/>
      <c r="UJ41"/>
      <c r="UK41"/>
      <c r="UL41"/>
      <c r="UM41"/>
      <c r="UN41"/>
      <c r="UO41"/>
      <c r="UP41"/>
      <c r="UQ41"/>
      <c r="UR41"/>
      <c r="US41"/>
      <c r="UT41"/>
      <c r="UU41"/>
      <c r="UV41"/>
      <c r="UW41"/>
      <c r="UX41"/>
      <c r="UY41"/>
      <c r="UZ41"/>
      <c r="VA41"/>
      <c r="VB41"/>
      <c r="VC41"/>
      <c r="VD41"/>
      <c r="VE41"/>
      <c r="VF41"/>
      <c r="VG41"/>
      <c r="VH41"/>
      <c r="VI41"/>
      <c r="VJ41"/>
      <c r="VK41"/>
      <c r="VL41"/>
      <c r="VM41"/>
      <c r="VN41"/>
      <c r="VO41"/>
      <c r="VP41"/>
      <c r="VQ41"/>
      <c r="VR41"/>
      <c r="VS41"/>
      <c r="VT41"/>
      <c r="VU41"/>
      <c r="VV41"/>
      <c r="VW41"/>
      <c r="VX41"/>
      <c r="VY41"/>
      <c r="VZ41"/>
      <c r="WA41"/>
      <c r="WB41"/>
      <c r="WC41"/>
      <c r="WD41"/>
      <c r="WE41"/>
      <c r="WF41"/>
      <c r="WG41"/>
      <c r="WH41"/>
      <c r="WI41"/>
      <c r="WJ41"/>
      <c r="WK41"/>
      <c r="WL41"/>
      <c r="WM41"/>
      <c r="WN41"/>
      <c r="WO41"/>
      <c r="WP41"/>
      <c r="WQ41"/>
      <c r="WR41"/>
      <c r="WS41"/>
      <c r="WT41"/>
      <c r="WU41"/>
      <c r="WV41"/>
      <c r="WW41"/>
      <c r="WX41"/>
      <c r="WY41"/>
      <c r="WZ41"/>
      <c r="XA41"/>
      <c r="XB41"/>
      <c r="XC41"/>
      <c r="XD41"/>
      <c r="XE41"/>
      <c r="XF41"/>
      <c r="XG41"/>
      <c r="XH41"/>
      <c r="XI41"/>
      <c r="XJ41"/>
      <c r="XK41"/>
      <c r="XL41"/>
      <c r="XM41"/>
      <c r="XN41"/>
      <c r="XO41"/>
      <c r="XP41"/>
      <c r="XQ41"/>
      <c r="XR41"/>
      <c r="XS41"/>
      <c r="XT41"/>
      <c r="XU41"/>
      <c r="XV41"/>
      <c r="XW41"/>
      <c r="XX41"/>
      <c r="XY41"/>
      <c r="XZ41"/>
      <c r="YA41"/>
      <c r="YB41"/>
      <c r="YC41"/>
      <c r="YD41"/>
      <c r="YE41"/>
      <c r="YF41"/>
      <c r="YG41"/>
      <c r="YH41"/>
      <c r="YI41"/>
      <c r="YJ41"/>
      <c r="YK41"/>
      <c r="YL41"/>
      <c r="YM41"/>
      <c r="YN41"/>
      <c r="YO41"/>
      <c r="YP41"/>
      <c r="YQ41"/>
      <c r="YR41"/>
      <c r="YS41"/>
      <c r="YT41"/>
      <c r="YU41"/>
      <c r="YV41"/>
      <c r="YW41"/>
      <c r="YX41"/>
      <c r="YY41"/>
      <c r="YZ41"/>
      <c r="ZA41"/>
      <c r="ZB41"/>
      <c r="ZC41"/>
      <c r="ZD41"/>
      <c r="ZE41"/>
      <c r="ZF41"/>
      <c r="ZG41"/>
      <c r="ZH41"/>
      <c r="ZI41"/>
      <c r="ZJ41"/>
      <c r="ZK41"/>
      <c r="ZL41"/>
      <c r="ZM41"/>
      <c r="ZN41"/>
      <c r="ZO41"/>
      <c r="ZP41"/>
      <c r="ZQ41"/>
      <c r="ZR41"/>
      <c r="ZS41"/>
      <c r="ZT41"/>
      <c r="ZU41"/>
      <c r="ZV41"/>
      <c r="ZW41"/>
      <c r="ZX41"/>
      <c r="ZY41"/>
      <c r="ZZ41"/>
      <c r="AAA41"/>
      <c r="AAB41"/>
      <c r="AAC41"/>
      <c r="AAD41"/>
      <c r="AAE41"/>
      <c r="AAF41"/>
      <c r="AAG41"/>
      <c r="AAH41"/>
      <c r="AAI41"/>
      <c r="AAJ41"/>
      <c r="AAK41"/>
      <c r="AAL41"/>
      <c r="AAM41"/>
      <c r="AAN41"/>
      <c r="AAO41"/>
      <c r="AAP41"/>
      <c r="AAQ41"/>
      <c r="AAR41"/>
      <c r="AAS41"/>
      <c r="AAT41"/>
      <c r="AAU41"/>
      <c r="AAV41"/>
      <c r="AAW41"/>
      <c r="AAX41"/>
      <c r="AAY41"/>
      <c r="AAZ41"/>
      <c r="ABA41"/>
      <c r="ABB41"/>
      <c r="ABC41"/>
      <c r="ABD41"/>
      <c r="ABE41"/>
      <c r="ABF41"/>
      <c r="ABG41"/>
      <c r="ABH41"/>
      <c r="ABI41"/>
      <c r="ABJ41"/>
      <c r="ABK41"/>
      <c r="ABL41"/>
      <c r="ABM41"/>
      <c r="ABN41"/>
      <c r="ABO41"/>
      <c r="ABP41"/>
      <c r="ABQ41"/>
      <c r="ABR41"/>
      <c r="ABS41"/>
      <c r="ABT41"/>
      <c r="ABU41"/>
      <c r="ABV41"/>
      <c r="ABW41"/>
      <c r="ABX41"/>
      <c r="ABY41"/>
      <c r="ABZ41"/>
      <c r="ACA41"/>
      <c r="ACB41"/>
      <c r="ACC41"/>
      <c r="ACD41"/>
      <c r="ACE41"/>
      <c r="ACF41"/>
      <c r="ACG41"/>
      <c r="ACH41"/>
      <c r="ACI41"/>
      <c r="ACJ41"/>
      <c r="ACK41"/>
      <c r="ACL41"/>
      <c r="ACM41"/>
      <c r="ACN41"/>
      <c r="ACO41"/>
      <c r="ACP41"/>
      <c r="ACQ41"/>
      <c r="ACR41"/>
      <c r="ACS41"/>
      <c r="ACT41"/>
      <c r="ACU41"/>
      <c r="ACV41"/>
      <c r="ACW41"/>
      <c r="ACX41"/>
      <c r="ACY41"/>
      <c r="ACZ41"/>
      <c r="ADA41"/>
      <c r="ADB41"/>
      <c r="ADC41"/>
      <c r="ADD41"/>
      <c r="ADE41"/>
      <c r="ADF41"/>
      <c r="ADG41"/>
      <c r="ADH41"/>
      <c r="ADI41"/>
      <c r="ADJ41"/>
      <c r="ADK41"/>
      <c r="ADL41"/>
      <c r="ADM41"/>
      <c r="ADN41"/>
      <c r="ADO41"/>
      <c r="ADP41"/>
      <c r="ADQ41"/>
      <c r="ADR41"/>
      <c r="ADS41"/>
      <c r="ADT41"/>
      <c r="ADU41"/>
      <c r="ADV41"/>
      <c r="ADW41"/>
      <c r="ADX41"/>
      <c r="ADY41"/>
      <c r="ADZ41"/>
      <c r="AEA41"/>
      <c r="AEB41"/>
      <c r="AEC41"/>
      <c r="AED41"/>
      <c r="AEE41"/>
      <c r="AEF41"/>
      <c r="AEG41"/>
      <c r="AEH41"/>
      <c r="AEI41"/>
      <c r="AEJ41"/>
      <c r="AEK41"/>
      <c r="AEL41"/>
      <c r="AEM41"/>
      <c r="AEN41"/>
      <c r="AEO41"/>
      <c r="AEP41"/>
      <c r="AEQ41"/>
      <c r="AER41"/>
      <c r="AES41"/>
      <c r="AET41"/>
      <c r="AEU41"/>
      <c r="AEV41"/>
      <c r="AEW41"/>
      <c r="AEX41"/>
      <c r="AEY41"/>
      <c r="AEZ41"/>
      <c r="AFA41"/>
      <c r="AFB41"/>
      <c r="AFC41"/>
      <c r="AFD41"/>
      <c r="AFE41"/>
      <c r="AFF41"/>
      <c r="AFG41"/>
      <c r="AFH41"/>
      <c r="AFI41"/>
      <c r="AFJ41"/>
      <c r="AFK41"/>
      <c r="AFL41"/>
      <c r="AFM41"/>
      <c r="AFN41"/>
      <c r="AFO41"/>
      <c r="AFP41"/>
      <c r="AFQ41"/>
      <c r="AFR41"/>
      <c r="AFS41"/>
      <c r="AFT41"/>
      <c r="AFU41"/>
      <c r="AFV41"/>
      <c r="AFW41"/>
      <c r="AFX41"/>
      <c r="AFY41"/>
      <c r="AFZ41"/>
      <c r="AGA41"/>
      <c r="AGB41"/>
      <c r="AGC41"/>
      <c r="AGD41"/>
      <c r="AGE41"/>
      <c r="AGF41"/>
      <c r="AGG41"/>
      <c r="AGH41"/>
      <c r="AGI41"/>
      <c r="AGJ41"/>
      <c r="AGK41"/>
      <c r="AGL41"/>
      <c r="AGM41"/>
      <c r="AGN41"/>
      <c r="AGO41"/>
      <c r="AGP41"/>
      <c r="AGQ41"/>
      <c r="AGR41"/>
      <c r="AGS41"/>
      <c r="AGT41"/>
      <c r="AGU41"/>
      <c r="AGV41"/>
      <c r="AGW41"/>
      <c r="AGX41"/>
      <c r="AGY41"/>
      <c r="AGZ41"/>
      <c r="AHA41"/>
      <c r="AHB41"/>
      <c r="AHC41"/>
      <c r="AHD41"/>
      <c r="AHE41"/>
      <c r="AHF41"/>
      <c r="AHG41"/>
      <c r="AHH41"/>
      <c r="AHI41"/>
      <c r="AHJ41"/>
      <c r="AHK41"/>
      <c r="AHL41"/>
      <c r="AHM41"/>
      <c r="AHN41"/>
      <c r="AHO41"/>
      <c r="AHP41"/>
      <c r="AHQ41"/>
      <c r="AHR41"/>
      <c r="AHS41"/>
      <c r="AHT41"/>
      <c r="AHU41"/>
      <c r="AHV41"/>
      <c r="AHW41"/>
      <c r="AHX41"/>
      <c r="AHY41"/>
      <c r="AHZ41"/>
      <c r="AIA41"/>
      <c r="AIB41"/>
      <c r="AIC41"/>
      <c r="AID41"/>
      <c r="AIE41"/>
      <c r="AIF41"/>
      <c r="AIG41"/>
      <c r="AIH41"/>
      <c r="AII41"/>
      <c r="AIJ41"/>
      <c r="AIK41"/>
      <c r="AIL41"/>
      <c r="AIM41"/>
      <c r="AIN41"/>
      <c r="AIO41"/>
      <c r="AIP41"/>
      <c r="AIQ41"/>
      <c r="AIR41"/>
      <c r="AIS41"/>
      <c r="AIT41"/>
      <c r="AIU41"/>
      <c r="AIV41"/>
      <c r="AIW41"/>
      <c r="AIX41"/>
      <c r="AIY41"/>
      <c r="AIZ41"/>
      <c r="AJA41"/>
      <c r="AJB41"/>
      <c r="AJC41"/>
      <c r="AJD41"/>
      <c r="AJE41"/>
      <c r="AJF41"/>
      <c r="AJG41"/>
      <c r="AJH41"/>
      <c r="AJI41"/>
      <c r="AJJ41"/>
      <c r="AJK41"/>
      <c r="AJL41"/>
      <c r="AJM41"/>
      <c r="AJN41"/>
      <c r="AJO41"/>
      <c r="AJP41"/>
      <c r="AJQ41"/>
      <c r="AJR41"/>
      <c r="AJS41"/>
      <c r="AJT41"/>
      <c r="AJU41"/>
      <c r="AJV41"/>
      <c r="AJW41"/>
      <c r="AJX41"/>
      <c r="AJY41"/>
      <c r="AJZ41"/>
      <c r="AKA41"/>
      <c r="AKB41"/>
      <c r="AKC41"/>
      <c r="AKD41"/>
      <c r="AKE41"/>
      <c r="AKF41"/>
      <c r="AKG41"/>
      <c r="AKH41"/>
      <c r="AKI41"/>
      <c r="AKJ41"/>
      <c r="AKK41"/>
      <c r="AKL41"/>
      <c r="AKM41"/>
      <c r="AKN41"/>
      <c r="AKO41"/>
      <c r="AKP41"/>
      <c r="AKQ41"/>
      <c r="AKR41"/>
      <c r="AKS41"/>
      <c r="AKT41"/>
      <c r="AKU41"/>
      <c r="AKV41"/>
      <c r="AKW41"/>
      <c r="AKX41"/>
      <c r="AKY41"/>
      <c r="AKZ41"/>
      <c r="ALA41"/>
      <c r="ALB41"/>
      <c r="ALC41"/>
      <c r="ALD41"/>
      <c r="ALE41"/>
      <c r="ALF41"/>
      <c r="ALG41"/>
      <c r="ALH41"/>
      <c r="ALI41"/>
      <c r="ALJ41"/>
      <c r="ALK41"/>
      <c r="ALL41"/>
      <c r="ALM41"/>
      <c r="ALN41"/>
      <c r="ALO41"/>
      <c r="ALP41"/>
      <c r="ALQ41"/>
      <c r="ALR41"/>
      <c r="ALS41"/>
      <c r="ALT41"/>
      <c r="ALU41"/>
      <c r="ALV41"/>
      <c r="ALW41"/>
      <c r="ALX41"/>
      <c r="ALY41"/>
      <c r="ALZ41"/>
      <c r="AMA41"/>
      <c r="AMB41"/>
      <c r="AMC41"/>
      <c r="AMD41"/>
      <c r="AME41"/>
      <c r="AMF41"/>
      <c r="AMG41"/>
      <c r="AMH41"/>
      <c r="AMI41"/>
      <c r="AMJ41"/>
      <c r="AMK41"/>
      <c r="AML41"/>
      <c r="AMM41"/>
      <c r="AMN41"/>
      <c r="AMO41"/>
      <c r="AMP41"/>
      <c r="AMQ41"/>
      <c r="AMR41"/>
      <c r="AMS41"/>
      <c r="AMT41"/>
      <c r="AMU41"/>
      <c r="AMV41"/>
      <c r="AMW41"/>
      <c r="AMX41"/>
      <c r="AMY41"/>
      <c r="AMZ41"/>
      <c r="ANA41"/>
      <c r="ANB41"/>
      <c r="ANC41"/>
      <c r="AND41"/>
      <c r="ANE41"/>
      <c r="ANF41"/>
      <c r="ANG41"/>
      <c r="ANH41"/>
      <c r="ANI41"/>
      <c r="ANJ41"/>
      <c r="ANK41"/>
      <c r="ANL41"/>
      <c r="ANM41"/>
      <c r="ANN41"/>
      <c r="ANO41"/>
    </row>
    <row r="42" spans="1:1055" s="36" customFormat="1" x14ac:dyDescent="0.25">
      <c r="A42" s="34" t="s">
        <v>64</v>
      </c>
      <c r="B42" s="35">
        <v>670</v>
      </c>
      <c r="C42" s="36">
        <v>670</v>
      </c>
      <c r="D42" s="36">
        <v>0</v>
      </c>
      <c r="E42" s="37">
        <v>0</v>
      </c>
      <c r="F42" s="35">
        <v>0</v>
      </c>
      <c r="G42" s="97">
        <v>0</v>
      </c>
      <c r="H42" s="97">
        <v>0</v>
      </c>
      <c r="I42" s="97">
        <v>0</v>
      </c>
      <c r="J42" s="97">
        <v>0</v>
      </c>
      <c r="K42" s="36">
        <v>11</v>
      </c>
      <c r="L42" s="38">
        <v>0</v>
      </c>
      <c r="M42" s="39">
        <v>70</v>
      </c>
      <c r="N42" s="40">
        <v>0</v>
      </c>
      <c r="O42" s="35"/>
      <c r="Q42" s="38">
        <v>0</v>
      </c>
      <c r="R42" s="35">
        <v>0</v>
      </c>
      <c r="S42" s="38">
        <v>0</v>
      </c>
      <c r="T42" s="41">
        <v>0</v>
      </c>
      <c r="U42" s="42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  <c r="AB42" s="36">
        <v>0</v>
      </c>
      <c r="AC42" s="36">
        <v>0</v>
      </c>
      <c r="AD42" s="36">
        <v>0</v>
      </c>
      <c r="AE42" s="36">
        <v>0</v>
      </c>
      <c r="AF42" s="36">
        <v>0</v>
      </c>
      <c r="AG42" s="36">
        <v>0</v>
      </c>
      <c r="AH42" s="36">
        <v>0</v>
      </c>
      <c r="AI42" s="36">
        <v>0</v>
      </c>
      <c r="AJ42" s="36">
        <v>0</v>
      </c>
      <c r="AK42" s="36">
        <v>0</v>
      </c>
      <c r="AL42" s="36">
        <v>0</v>
      </c>
      <c r="AM42" s="36">
        <v>0</v>
      </c>
      <c r="AN42" s="36">
        <v>0</v>
      </c>
      <c r="AO42" s="36">
        <v>0</v>
      </c>
      <c r="AP42" s="36">
        <v>0</v>
      </c>
      <c r="AQ42" s="36">
        <v>0</v>
      </c>
      <c r="AR42" s="38">
        <v>0</v>
      </c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  <c r="LO42"/>
      <c r="LP42"/>
      <c r="LQ42"/>
      <c r="LR42"/>
      <c r="LS42"/>
      <c r="LT42"/>
      <c r="LU42"/>
      <c r="LV42"/>
      <c r="LW42"/>
      <c r="LX42"/>
      <c r="LY42"/>
      <c r="LZ42"/>
      <c r="MA42"/>
      <c r="MB42"/>
      <c r="MC42"/>
      <c r="MD42"/>
      <c r="ME42"/>
      <c r="MF42"/>
      <c r="MG42"/>
      <c r="MH42"/>
      <c r="MI42"/>
      <c r="MJ42"/>
      <c r="MK42"/>
      <c r="ML42"/>
      <c r="MM42"/>
      <c r="MN42"/>
      <c r="MO42"/>
      <c r="MP42"/>
      <c r="MQ42"/>
      <c r="MR42"/>
      <c r="MS42"/>
      <c r="MT42"/>
      <c r="MU42"/>
      <c r="MV42"/>
      <c r="MW42"/>
      <c r="MX42"/>
      <c r="MY42"/>
      <c r="MZ42"/>
      <c r="NA42"/>
      <c r="NB42"/>
      <c r="NC42"/>
      <c r="ND42"/>
      <c r="NE42"/>
      <c r="NF42"/>
      <c r="NG42"/>
      <c r="NH42"/>
      <c r="NI42"/>
      <c r="NJ42"/>
      <c r="NK42"/>
      <c r="NL42"/>
      <c r="NM42"/>
      <c r="NN42"/>
      <c r="NO42"/>
      <c r="NP42"/>
      <c r="NQ42"/>
      <c r="NR42"/>
      <c r="NS42"/>
      <c r="NT42"/>
      <c r="NU42"/>
      <c r="NV42"/>
      <c r="NW42"/>
      <c r="NX42"/>
      <c r="NY42"/>
      <c r="NZ42"/>
      <c r="OA42"/>
      <c r="OB42"/>
      <c r="OC42"/>
      <c r="OD42"/>
      <c r="OE42"/>
      <c r="OF42"/>
      <c r="OG42"/>
      <c r="OH42"/>
      <c r="OI42"/>
      <c r="OJ42"/>
      <c r="OK42"/>
      <c r="OL42"/>
      <c r="OM42"/>
      <c r="ON42"/>
      <c r="OO42"/>
      <c r="OP42"/>
      <c r="OQ42"/>
      <c r="OR42"/>
      <c r="OS42"/>
      <c r="OT42"/>
      <c r="OU42"/>
      <c r="OV42"/>
      <c r="OW42"/>
      <c r="OX42"/>
      <c r="OY42"/>
      <c r="OZ42"/>
      <c r="PA42"/>
      <c r="PB42"/>
      <c r="PC42"/>
      <c r="PD42"/>
      <c r="PE42"/>
      <c r="PF42"/>
      <c r="PG42"/>
      <c r="PH42"/>
      <c r="PI42"/>
      <c r="PJ42"/>
      <c r="PK42"/>
      <c r="PL42"/>
      <c r="PM42"/>
      <c r="PN42"/>
      <c r="PO42"/>
      <c r="PP42"/>
      <c r="PQ42"/>
      <c r="PR42"/>
      <c r="PS42"/>
      <c r="PT42"/>
      <c r="PU42"/>
      <c r="PV42"/>
      <c r="PW42"/>
      <c r="PX42"/>
      <c r="PY42"/>
      <c r="PZ42"/>
      <c r="QA42"/>
      <c r="QB42"/>
      <c r="QC42"/>
      <c r="QD42"/>
      <c r="QE42"/>
      <c r="QF42"/>
      <c r="QG42"/>
      <c r="QH42"/>
      <c r="QI42"/>
      <c r="QJ42"/>
      <c r="QK42"/>
      <c r="QL42"/>
      <c r="QM42"/>
      <c r="QN42"/>
      <c r="QO42"/>
      <c r="QP42"/>
      <c r="QQ42"/>
      <c r="QR42"/>
      <c r="QS42"/>
      <c r="QT42"/>
      <c r="QU42"/>
      <c r="QV42"/>
      <c r="QW42"/>
      <c r="QX42"/>
      <c r="QY42"/>
      <c r="QZ42"/>
      <c r="RA42"/>
      <c r="RB42"/>
      <c r="RC42"/>
      <c r="RD42"/>
      <c r="RE42"/>
      <c r="RF42"/>
      <c r="RG42"/>
      <c r="RH42"/>
      <c r="RI42"/>
      <c r="RJ42"/>
      <c r="RK42"/>
      <c r="RL42"/>
      <c r="RM42"/>
      <c r="RN42"/>
      <c r="RO42"/>
      <c r="RP42"/>
      <c r="RQ42"/>
      <c r="RR42"/>
      <c r="RS42"/>
      <c r="RT42"/>
      <c r="RU42"/>
      <c r="RV42"/>
      <c r="RW42"/>
      <c r="RX42"/>
      <c r="RY42"/>
      <c r="RZ42"/>
      <c r="SA42"/>
      <c r="SB42"/>
      <c r="SC42"/>
      <c r="SD42"/>
      <c r="SE42"/>
      <c r="SF42"/>
      <c r="SG42"/>
      <c r="SH42"/>
      <c r="SI42"/>
      <c r="SJ42"/>
      <c r="SK42"/>
      <c r="SL42"/>
      <c r="SM42"/>
      <c r="SN42"/>
      <c r="SO42"/>
      <c r="SP42"/>
      <c r="SQ42"/>
      <c r="SR42"/>
      <c r="SS42"/>
      <c r="ST42"/>
      <c r="SU42"/>
      <c r="SV42"/>
      <c r="SW42"/>
      <c r="SX42"/>
      <c r="SY42"/>
      <c r="SZ42"/>
      <c r="TA42"/>
      <c r="TB42"/>
      <c r="TC42"/>
      <c r="TD42"/>
      <c r="TE42"/>
      <c r="TF42"/>
      <c r="TG42"/>
      <c r="TH42"/>
      <c r="TI42"/>
      <c r="TJ42"/>
      <c r="TK42"/>
      <c r="TL42"/>
      <c r="TM42"/>
      <c r="TN42"/>
      <c r="TO42"/>
      <c r="TP42"/>
      <c r="TQ42"/>
      <c r="TR42"/>
      <c r="TS42"/>
      <c r="TT42"/>
      <c r="TU42"/>
      <c r="TV42"/>
      <c r="TW42"/>
      <c r="TX42"/>
      <c r="TY42"/>
      <c r="TZ42"/>
      <c r="UA42"/>
      <c r="UB42"/>
      <c r="UC42"/>
      <c r="UD42"/>
      <c r="UE42"/>
      <c r="UF42"/>
      <c r="UG42"/>
      <c r="UH42"/>
      <c r="UI42"/>
      <c r="UJ42"/>
      <c r="UK42"/>
      <c r="UL42"/>
      <c r="UM42"/>
      <c r="UN42"/>
      <c r="UO42"/>
      <c r="UP42"/>
      <c r="UQ42"/>
      <c r="UR42"/>
      <c r="US42"/>
      <c r="UT42"/>
      <c r="UU42"/>
      <c r="UV42"/>
      <c r="UW42"/>
      <c r="UX42"/>
      <c r="UY42"/>
      <c r="UZ42"/>
      <c r="VA42"/>
      <c r="VB42"/>
      <c r="VC42"/>
      <c r="VD42"/>
      <c r="VE42"/>
      <c r="VF42"/>
      <c r="VG42"/>
      <c r="VH42"/>
      <c r="VI42"/>
      <c r="VJ42"/>
      <c r="VK42"/>
      <c r="VL42"/>
      <c r="VM42"/>
      <c r="VN42"/>
      <c r="VO42"/>
      <c r="VP42"/>
      <c r="VQ42"/>
      <c r="VR42"/>
      <c r="VS42"/>
      <c r="VT42"/>
      <c r="VU42"/>
      <c r="VV42"/>
      <c r="VW42"/>
      <c r="VX42"/>
      <c r="VY42"/>
      <c r="VZ42"/>
      <c r="WA42"/>
      <c r="WB42"/>
      <c r="WC42"/>
      <c r="WD42"/>
      <c r="WE42"/>
      <c r="WF42"/>
      <c r="WG42"/>
      <c r="WH42"/>
      <c r="WI42"/>
      <c r="WJ42"/>
      <c r="WK42"/>
      <c r="WL42"/>
      <c r="WM42"/>
      <c r="WN42"/>
      <c r="WO42"/>
      <c r="WP42"/>
      <c r="WQ42"/>
      <c r="WR42"/>
      <c r="WS42"/>
      <c r="WT42"/>
      <c r="WU42"/>
      <c r="WV42"/>
      <c r="WW42"/>
      <c r="WX42"/>
      <c r="WY42"/>
      <c r="WZ42"/>
      <c r="XA42"/>
      <c r="XB42"/>
      <c r="XC42"/>
      <c r="XD42"/>
      <c r="XE42"/>
      <c r="XF42"/>
      <c r="XG42"/>
      <c r="XH42"/>
      <c r="XI42"/>
      <c r="XJ42"/>
      <c r="XK42"/>
      <c r="XL42"/>
      <c r="XM42"/>
      <c r="XN42"/>
      <c r="XO42"/>
      <c r="XP42"/>
      <c r="XQ42"/>
      <c r="XR42"/>
      <c r="XS42"/>
      <c r="XT42"/>
      <c r="XU42"/>
      <c r="XV42"/>
      <c r="XW42"/>
      <c r="XX42"/>
      <c r="XY42"/>
      <c r="XZ42"/>
      <c r="YA42"/>
      <c r="YB42"/>
      <c r="YC42"/>
      <c r="YD42"/>
      <c r="YE42"/>
      <c r="YF42"/>
      <c r="YG42"/>
      <c r="YH42"/>
      <c r="YI42"/>
      <c r="YJ42"/>
      <c r="YK42"/>
      <c r="YL42"/>
      <c r="YM42"/>
      <c r="YN42"/>
      <c r="YO42"/>
      <c r="YP42"/>
      <c r="YQ42"/>
      <c r="YR42"/>
      <c r="YS42"/>
      <c r="YT42"/>
      <c r="YU42"/>
      <c r="YV42"/>
      <c r="YW42"/>
      <c r="YX42"/>
      <c r="YY42"/>
      <c r="YZ42"/>
      <c r="ZA42"/>
      <c r="ZB42"/>
      <c r="ZC42"/>
      <c r="ZD42"/>
      <c r="ZE42"/>
      <c r="ZF42"/>
      <c r="ZG42"/>
      <c r="ZH42"/>
      <c r="ZI42"/>
      <c r="ZJ42"/>
      <c r="ZK42"/>
      <c r="ZL42"/>
      <c r="ZM42"/>
      <c r="ZN42"/>
      <c r="ZO42"/>
      <c r="ZP42"/>
      <c r="ZQ42"/>
      <c r="ZR42"/>
      <c r="ZS42"/>
      <c r="ZT42"/>
      <c r="ZU42"/>
      <c r="ZV42"/>
      <c r="ZW42"/>
      <c r="ZX42"/>
      <c r="ZY42"/>
      <c r="ZZ42"/>
      <c r="AAA42"/>
      <c r="AAB42"/>
      <c r="AAC42"/>
      <c r="AAD42"/>
      <c r="AAE42"/>
      <c r="AAF42"/>
      <c r="AAG42"/>
      <c r="AAH42"/>
      <c r="AAI42"/>
      <c r="AAJ42"/>
      <c r="AAK42"/>
      <c r="AAL42"/>
      <c r="AAM42"/>
      <c r="AAN42"/>
      <c r="AAO42"/>
      <c r="AAP42"/>
      <c r="AAQ42"/>
      <c r="AAR42"/>
      <c r="AAS42"/>
      <c r="AAT42"/>
      <c r="AAU42"/>
      <c r="AAV42"/>
      <c r="AAW42"/>
      <c r="AAX42"/>
      <c r="AAY42"/>
      <c r="AAZ42"/>
      <c r="ABA42"/>
      <c r="ABB42"/>
      <c r="ABC42"/>
      <c r="ABD42"/>
      <c r="ABE42"/>
      <c r="ABF42"/>
      <c r="ABG42"/>
      <c r="ABH42"/>
      <c r="ABI42"/>
      <c r="ABJ42"/>
      <c r="ABK42"/>
      <c r="ABL42"/>
      <c r="ABM42"/>
      <c r="ABN42"/>
      <c r="ABO42"/>
      <c r="ABP42"/>
      <c r="ABQ42"/>
      <c r="ABR42"/>
      <c r="ABS42"/>
      <c r="ABT42"/>
      <c r="ABU42"/>
      <c r="ABV42"/>
      <c r="ABW42"/>
      <c r="ABX42"/>
      <c r="ABY42"/>
      <c r="ABZ42"/>
      <c r="ACA42"/>
      <c r="ACB42"/>
      <c r="ACC42"/>
      <c r="ACD42"/>
      <c r="ACE42"/>
      <c r="ACF42"/>
      <c r="ACG42"/>
      <c r="ACH42"/>
      <c r="ACI42"/>
      <c r="ACJ42"/>
      <c r="ACK42"/>
      <c r="ACL42"/>
      <c r="ACM42"/>
      <c r="ACN42"/>
      <c r="ACO42"/>
      <c r="ACP42"/>
      <c r="ACQ42"/>
      <c r="ACR42"/>
      <c r="ACS42"/>
      <c r="ACT42"/>
      <c r="ACU42"/>
      <c r="ACV42"/>
      <c r="ACW42"/>
      <c r="ACX42"/>
      <c r="ACY42"/>
      <c r="ACZ42"/>
      <c r="ADA42"/>
      <c r="ADB42"/>
      <c r="ADC42"/>
      <c r="ADD42"/>
      <c r="ADE42"/>
      <c r="ADF42"/>
      <c r="ADG42"/>
      <c r="ADH42"/>
      <c r="ADI42"/>
      <c r="ADJ42"/>
      <c r="ADK42"/>
      <c r="ADL42"/>
      <c r="ADM42"/>
      <c r="ADN42"/>
      <c r="ADO42"/>
      <c r="ADP42"/>
      <c r="ADQ42"/>
      <c r="ADR42"/>
      <c r="ADS42"/>
      <c r="ADT42"/>
      <c r="ADU42"/>
      <c r="ADV42"/>
      <c r="ADW42"/>
      <c r="ADX42"/>
      <c r="ADY42"/>
      <c r="ADZ42"/>
      <c r="AEA42"/>
      <c r="AEB42"/>
      <c r="AEC42"/>
      <c r="AED42"/>
      <c r="AEE42"/>
      <c r="AEF42"/>
      <c r="AEG42"/>
      <c r="AEH42"/>
      <c r="AEI42"/>
      <c r="AEJ42"/>
      <c r="AEK42"/>
      <c r="AEL42"/>
      <c r="AEM42"/>
      <c r="AEN42"/>
      <c r="AEO42"/>
      <c r="AEP42"/>
      <c r="AEQ42"/>
      <c r="AER42"/>
      <c r="AES42"/>
      <c r="AET42"/>
      <c r="AEU42"/>
      <c r="AEV42"/>
      <c r="AEW42"/>
      <c r="AEX42"/>
      <c r="AEY42"/>
      <c r="AEZ42"/>
      <c r="AFA42"/>
      <c r="AFB42"/>
      <c r="AFC42"/>
      <c r="AFD42"/>
      <c r="AFE42"/>
      <c r="AFF42"/>
      <c r="AFG42"/>
      <c r="AFH42"/>
      <c r="AFI42"/>
      <c r="AFJ42"/>
      <c r="AFK42"/>
      <c r="AFL42"/>
      <c r="AFM42"/>
      <c r="AFN42"/>
      <c r="AFO42"/>
      <c r="AFP42"/>
      <c r="AFQ42"/>
      <c r="AFR42"/>
      <c r="AFS42"/>
      <c r="AFT42"/>
      <c r="AFU42"/>
      <c r="AFV42"/>
      <c r="AFW42"/>
      <c r="AFX42"/>
      <c r="AFY42"/>
      <c r="AFZ42"/>
      <c r="AGA42"/>
      <c r="AGB42"/>
      <c r="AGC42"/>
      <c r="AGD42"/>
      <c r="AGE42"/>
      <c r="AGF42"/>
      <c r="AGG42"/>
      <c r="AGH42"/>
      <c r="AGI42"/>
      <c r="AGJ42"/>
      <c r="AGK42"/>
      <c r="AGL42"/>
      <c r="AGM42"/>
      <c r="AGN42"/>
      <c r="AGO42"/>
      <c r="AGP42"/>
      <c r="AGQ42"/>
      <c r="AGR42"/>
      <c r="AGS42"/>
      <c r="AGT42"/>
      <c r="AGU42"/>
      <c r="AGV42"/>
      <c r="AGW42"/>
      <c r="AGX42"/>
      <c r="AGY42"/>
      <c r="AGZ42"/>
      <c r="AHA42"/>
      <c r="AHB42"/>
      <c r="AHC42"/>
      <c r="AHD42"/>
      <c r="AHE42"/>
      <c r="AHF42"/>
      <c r="AHG42"/>
      <c r="AHH42"/>
      <c r="AHI42"/>
      <c r="AHJ42"/>
      <c r="AHK42"/>
      <c r="AHL42"/>
      <c r="AHM42"/>
      <c r="AHN42"/>
      <c r="AHO42"/>
      <c r="AHP42"/>
      <c r="AHQ42"/>
      <c r="AHR42"/>
      <c r="AHS42"/>
      <c r="AHT42"/>
      <c r="AHU42"/>
      <c r="AHV42"/>
      <c r="AHW42"/>
      <c r="AHX42"/>
      <c r="AHY42"/>
      <c r="AHZ42"/>
      <c r="AIA42"/>
      <c r="AIB42"/>
      <c r="AIC42"/>
      <c r="AID42"/>
      <c r="AIE42"/>
      <c r="AIF42"/>
      <c r="AIG42"/>
      <c r="AIH42"/>
      <c r="AII42"/>
      <c r="AIJ42"/>
      <c r="AIK42"/>
      <c r="AIL42"/>
      <c r="AIM42"/>
      <c r="AIN42"/>
      <c r="AIO42"/>
      <c r="AIP42"/>
      <c r="AIQ42"/>
      <c r="AIR42"/>
      <c r="AIS42"/>
      <c r="AIT42"/>
      <c r="AIU42"/>
      <c r="AIV42"/>
      <c r="AIW42"/>
      <c r="AIX42"/>
      <c r="AIY42"/>
      <c r="AIZ42"/>
      <c r="AJA42"/>
      <c r="AJB42"/>
      <c r="AJC42"/>
      <c r="AJD42"/>
      <c r="AJE42"/>
      <c r="AJF42"/>
      <c r="AJG42"/>
      <c r="AJH42"/>
      <c r="AJI42"/>
      <c r="AJJ42"/>
      <c r="AJK42"/>
      <c r="AJL42"/>
      <c r="AJM42"/>
      <c r="AJN42"/>
      <c r="AJO42"/>
      <c r="AJP42"/>
      <c r="AJQ42"/>
      <c r="AJR42"/>
      <c r="AJS42"/>
      <c r="AJT42"/>
      <c r="AJU42"/>
      <c r="AJV42"/>
      <c r="AJW42"/>
      <c r="AJX42"/>
      <c r="AJY42"/>
      <c r="AJZ42"/>
      <c r="AKA42"/>
      <c r="AKB42"/>
      <c r="AKC42"/>
      <c r="AKD42"/>
      <c r="AKE42"/>
      <c r="AKF42"/>
      <c r="AKG42"/>
      <c r="AKH42"/>
      <c r="AKI42"/>
      <c r="AKJ42"/>
      <c r="AKK42"/>
      <c r="AKL42"/>
      <c r="AKM42"/>
      <c r="AKN42"/>
      <c r="AKO42"/>
      <c r="AKP42"/>
      <c r="AKQ42"/>
      <c r="AKR42"/>
      <c r="AKS42"/>
      <c r="AKT42"/>
      <c r="AKU42"/>
      <c r="AKV42"/>
      <c r="AKW42"/>
      <c r="AKX42"/>
      <c r="AKY42"/>
      <c r="AKZ42"/>
      <c r="ALA42"/>
      <c r="ALB42"/>
      <c r="ALC42"/>
      <c r="ALD42"/>
      <c r="ALE42"/>
      <c r="ALF42"/>
      <c r="ALG42"/>
      <c r="ALH42"/>
      <c r="ALI42"/>
      <c r="ALJ42"/>
      <c r="ALK42"/>
      <c r="ALL42"/>
      <c r="ALM42"/>
      <c r="ALN42"/>
      <c r="ALO42"/>
      <c r="ALP42"/>
      <c r="ALQ42"/>
      <c r="ALR42"/>
      <c r="ALS42"/>
      <c r="ALT42"/>
      <c r="ALU42"/>
      <c r="ALV42"/>
      <c r="ALW42"/>
      <c r="ALX42"/>
      <c r="ALY42"/>
      <c r="ALZ42"/>
      <c r="AMA42"/>
      <c r="AMB42"/>
      <c r="AMC42"/>
      <c r="AMD42"/>
      <c r="AME42"/>
      <c r="AMF42"/>
      <c r="AMG42"/>
      <c r="AMH42"/>
      <c r="AMI42"/>
      <c r="AMJ42"/>
      <c r="AMK42"/>
      <c r="AML42"/>
      <c r="AMM42"/>
      <c r="AMN42"/>
      <c r="AMO42"/>
      <c r="AMP42"/>
      <c r="AMQ42"/>
      <c r="AMR42"/>
      <c r="AMS42"/>
      <c r="AMT42"/>
      <c r="AMU42"/>
      <c r="AMV42"/>
      <c r="AMW42"/>
      <c r="AMX42"/>
      <c r="AMY42"/>
      <c r="AMZ42"/>
      <c r="ANA42"/>
      <c r="ANB42"/>
      <c r="ANC42"/>
      <c r="AND42"/>
      <c r="ANE42"/>
      <c r="ANF42"/>
      <c r="ANG42"/>
      <c r="ANH42"/>
      <c r="ANI42"/>
      <c r="ANJ42"/>
      <c r="ANK42"/>
      <c r="ANL42"/>
      <c r="ANM42"/>
      <c r="ANN42"/>
      <c r="ANO42"/>
    </row>
    <row r="43" spans="1:1055" s="36" customFormat="1" x14ac:dyDescent="0.25">
      <c r="A43" s="34" t="s">
        <v>65</v>
      </c>
      <c r="B43" s="35">
        <v>0</v>
      </c>
      <c r="C43" s="36">
        <v>0</v>
      </c>
      <c r="D43" s="36">
        <v>21.2</v>
      </c>
      <c r="E43" s="37">
        <v>0</v>
      </c>
      <c r="F43" s="35">
        <v>0</v>
      </c>
      <c r="G43" s="97">
        <v>0</v>
      </c>
      <c r="H43" s="97">
        <v>0</v>
      </c>
      <c r="I43" s="97">
        <v>0</v>
      </c>
      <c r="J43" s="97">
        <v>0</v>
      </c>
      <c r="K43" s="36">
        <v>1390</v>
      </c>
      <c r="L43" s="38">
        <v>112</v>
      </c>
      <c r="M43" s="39">
        <v>49</v>
      </c>
      <c r="N43" s="40">
        <v>10</v>
      </c>
      <c r="O43" s="35">
        <v>0.52</v>
      </c>
      <c r="P43" s="36">
        <v>0.95</v>
      </c>
      <c r="Q43" s="38">
        <f>(O43+P43)/2</f>
        <v>0.73499999999999999</v>
      </c>
      <c r="R43" s="35">
        <v>87</v>
      </c>
      <c r="S43" s="38">
        <v>2000</v>
      </c>
      <c r="T43" s="41">
        <v>73765.766632248604</v>
      </c>
      <c r="U43" s="42">
        <v>-554097.261680839</v>
      </c>
      <c r="V43" s="36">
        <v>2800000</v>
      </c>
      <c r="W43" s="36">
        <v>2710000</v>
      </c>
      <c r="X43" s="36">
        <v>2920000</v>
      </c>
      <c r="Y43" s="36">
        <v>3010000</v>
      </c>
      <c r="Z43" s="36">
        <v>3100000</v>
      </c>
      <c r="AA43" s="36">
        <v>3019990</v>
      </c>
      <c r="AB43" s="36">
        <v>3099990</v>
      </c>
      <c r="AC43" s="36">
        <v>3099990</v>
      </c>
      <c r="AD43" s="36">
        <v>2909990</v>
      </c>
      <c r="AE43" s="36">
        <v>2949980</v>
      </c>
      <c r="AF43" s="36">
        <v>3149970</v>
      </c>
      <c r="AG43" s="36">
        <v>3269960</v>
      </c>
      <c r="AH43" s="36">
        <v>3469940</v>
      </c>
      <c r="AI43" s="36">
        <v>3769880</v>
      </c>
      <c r="AJ43" s="36">
        <v>3839810</v>
      </c>
      <c r="AK43" s="36">
        <v>3859630</v>
      </c>
      <c r="AL43" s="36">
        <v>4139410</v>
      </c>
      <c r="AM43" s="36">
        <v>4699350</v>
      </c>
      <c r="AN43" s="36">
        <v>5169250</v>
      </c>
      <c r="AO43" s="36">
        <v>5489190</v>
      </c>
      <c r="AP43" s="36">
        <v>4868700</v>
      </c>
      <c r="AQ43" s="36">
        <v>4948180</v>
      </c>
      <c r="AR43" s="38">
        <v>4817650</v>
      </c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/>
      <c r="AHL43"/>
      <c r="AHM43"/>
      <c r="AHN43"/>
      <c r="AHO43"/>
      <c r="AHP43"/>
      <c r="AHQ43"/>
      <c r="AHR43"/>
      <c r="AHS43"/>
      <c r="AHT43"/>
      <c r="AHU43"/>
      <c r="AHV43"/>
      <c r="AHW43"/>
      <c r="AHX43"/>
      <c r="AHY43"/>
      <c r="AHZ43"/>
      <c r="AIA43"/>
      <c r="AIB43"/>
      <c r="AIC43"/>
      <c r="AID43"/>
      <c r="AIE43"/>
      <c r="AIF43"/>
      <c r="AIG43"/>
      <c r="AIH43"/>
      <c r="AII43"/>
      <c r="AIJ43"/>
      <c r="AIK43"/>
      <c r="AIL43"/>
      <c r="AIM43"/>
      <c r="AIN43"/>
      <c r="AIO43"/>
      <c r="AIP43"/>
      <c r="AIQ43"/>
      <c r="AIR43"/>
      <c r="AIS43"/>
      <c r="AIT43"/>
      <c r="AIU43"/>
      <c r="AIV43"/>
      <c r="AIW43"/>
      <c r="AIX43"/>
      <c r="AIY43"/>
      <c r="AIZ43"/>
      <c r="AJA43"/>
      <c r="AJB43"/>
      <c r="AJC43"/>
      <c r="AJD43"/>
      <c r="AJE43"/>
      <c r="AJF43"/>
      <c r="AJG43"/>
      <c r="AJH43"/>
      <c r="AJI43"/>
      <c r="AJJ43"/>
      <c r="AJK43"/>
      <c r="AJL43"/>
      <c r="AJM43"/>
      <c r="AJN43"/>
      <c r="AJO43"/>
      <c r="AJP43"/>
      <c r="AJQ43"/>
      <c r="AJR43"/>
      <c r="AJS43"/>
      <c r="AJT43"/>
      <c r="AJU43"/>
      <c r="AJV43"/>
      <c r="AJW43"/>
      <c r="AJX43"/>
      <c r="AJY43"/>
      <c r="AJZ43"/>
      <c r="AKA43"/>
      <c r="AKB43"/>
      <c r="AKC43"/>
      <c r="AKD43"/>
      <c r="AKE43"/>
      <c r="AKF43"/>
      <c r="AKG43"/>
      <c r="AKH43"/>
      <c r="AKI43"/>
      <c r="AKJ43"/>
      <c r="AKK43"/>
      <c r="AKL43"/>
      <c r="AKM43"/>
      <c r="AKN43"/>
      <c r="AKO43"/>
      <c r="AKP43"/>
      <c r="AKQ43"/>
      <c r="AKR43"/>
      <c r="AKS43"/>
      <c r="AKT43"/>
      <c r="AKU43"/>
      <c r="AKV43"/>
      <c r="AKW43"/>
      <c r="AKX43"/>
      <c r="AKY43"/>
      <c r="AKZ43"/>
      <c r="ALA43"/>
      <c r="ALB43"/>
      <c r="ALC43"/>
      <c r="ALD43"/>
      <c r="ALE43"/>
      <c r="ALF43"/>
      <c r="ALG43"/>
      <c r="ALH43"/>
      <c r="ALI43"/>
      <c r="ALJ43"/>
      <c r="ALK43"/>
      <c r="ALL43"/>
      <c r="ALM43"/>
      <c r="ALN43"/>
      <c r="ALO43"/>
      <c r="ALP43"/>
      <c r="ALQ43"/>
      <c r="ALR43"/>
      <c r="ALS43"/>
      <c r="ALT43"/>
      <c r="ALU43"/>
      <c r="ALV43"/>
      <c r="ALW43"/>
      <c r="ALX43"/>
      <c r="ALY43"/>
      <c r="ALZ43"/>
      <c r="AMA43"/>
      <c r="AMB43"/>
      <c r="AMC43"/>
      <c r="AMD43"/>
      <c r="AME43"/>
      <c r="AMF43"/>
      <c r="AMG43"/>
      <c r="AMH43"/>
      <c r="AMI43"/>
      <c r="AMJ43"/>
      <c r="AMK43"/>
      <c r="AML43"/>
      <c r="AMM43"/>
      <c r="AMN43"/>
      <c r="AMO43"/>
      <c r="AMP43"/>
      <c r="AMQ43"/>
      <c r="AMR43"/>
      <c r="AMS43"/>
      <c r="AMT43"/>
      <c r="AMU43"/>
      <c r="AMV43"/>
      <c r="AMW43"/>
      <c r="AMX43"/>
      <c r="AMY43"/>
      <c r="AMZ43"/>
      <c r="ANA43"/>
      <c r="ANB43"/>
      <c r="ANC43"/>
      <c r="AND43"/>
      <c r="ANE43"/>
      <c r="ANF43"/>
      <c r="ANG43"/>
      <c r="ANH43"/>
      <c r="ANI43"/>
      <c r="ANJ43"/>
      <c r="ANK43"/>
      <c r="ANL43"/>
      <c r="ANM43"/>
      <c r="ANN43"/>
      <c r="ANO43"/>
    </row>
    <row r="44" spans="1:1055" s="36" customFormat="1" x14ac:dyDescent="0.25">
      <c r="A44" s="34" t="s">
        <v>66</v>
      </c>
      <c r="B44" s="35">
        <v>1940</v>
      </c>
      <c r="C44" s="36">
        <v>9200</v>
      </c>
      <c r="D44" s="36">
        <v>5760</v>
      </c>
      <c r="E44" s="37">
        <v>0</v>
      </c>
      <c r="F44" s="35">
        <v>125</v>
      </c>
      <c r="G44" s="97">
        <v>0</v>
      </c>
      <c r="H44" s="97">
        <v>0</v>
      </c>
      <c r="I44" s="97">
        <v>0</v>
      </c>
      <c r="J44" s="97">
        <v>0</v>
      </c>
      <c r="K44" s="36">
        <v>970</v>
      </c>
      <c r="L44" s="38">
        <v>0</v>
      </c>
      <c r="M44" s="39">
        <v>80.5</v>
      </c>
      <c r="N44" s="40">
        <v>0</v>
      </c>
      <c r="O44" s="35"/>
      <c r="Q44" s="38">
        <v>0</v>
      </c>
      <c r="R44" s="35">
        <v>0</v>
      </c>
      <c r="S44" s="38">
        <v>0</v>
      </c>
      <c r="T44" s="41">
        <v>0</v>
      </c>
      <c r="U44" s="42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  <c r="AB44" s="36">
        <v>0</v>
      </c>
      <c r="AC44" s="36">
        <v>0</v>
      </c>
      <c r="AD44" s="36">
        <v>0</v>
      </c>
      <c r="AE44" s="36">
        <v>0</v>
      </c>
      <c r="AF44" s="36">
        <v>0</v>
      </c>
      <c r="AG44" s="36">
        <v>0</v>
      </c>
      <c r="AH44" s="36">
        <v>0</v>
      </c>
      <c r="AI44" s="36">
        <v>0</v>
      </c>
      <c r="AJ44" s="36">
        <v>0</v>
      </c>
      <c r="AK44" s="36">
        <v>0</v>
      </c>
      <c r="AL44" s="36">
        <v>0</v>
      </c>
      <c r="AM44" s="36">
        <v>0</v>
      </c>
      <c r="AN44" s="36">
        <v>0</v>
      </c>
      <c r="AO44" s="36">
        <v>0</v>
      </c>
      <c r="AP44" s="36">
        <v>0</v>
      </c>
      <c r="AQ44" s="36">
        <v>0</v>
      </c>
      <c r="AR44" s="38">
        <v>0</v>
      </c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  <c r="LQ44"/>
      <c r="LR44"/>
      <c r="LS44"/>
      <c r="LT44"/>
      <c r="LU44"/>
      <c r="LV44"/>
      <c r="LW44"/>
      <c r="LX44"/>
      <c r="LY44"/>
      <c r="LZ44"/>
      <c r="MA44"/>
      <c r="MB44"/>
      <c r="MC44"/>
      <c r="MD44"/>
      <c r="ME44"/>
      <c r="MF44"/>
      <c r="MG44"/>
      <c r="MH44"/>
      <c r="MI44"/>
      <c r="MJ44"/>
      <c r="MK44"/>
      <c r="ML44"/>
      <c r="MM44"/>
      <c r="MN44"/>
      <c r="MO44"/>
      <c r="MP44"/>
      <c r="MQ44"/>
      <c r="MR44"/>
      <c r="MS44"/>
      <c r="MT44"/>
      <c r="MU44"/>
      <c r="MV44"/>
      <c r="MW44"/>
      <c r="MX44"/>
      <c r="MY44"/>
      <c r="MZ44"/>
      <c r="NA44"/>
      <c r="NB44"/>
      <c r="NC44"/>
      <c r="ND44"/>
      <c r="NE44"/>
      <c r="NF44"/>
      <c r="NG44"/>
      <c r="NH44"/>
      <c r="NI44"/>
      <c r="NJ44"/>
      <c r="NK44"/>
      <c r="NL44"/>
      <c r="NM44"/>
      <c r="NN44"/>
      <c r="NO44"/>
      <c r="NP44"/>
      <c r="NQ44"/>
      <c r="NR44"/>
      <c r="NS44"/>
      <c r="NT44"/>
      <c r="NU44"/>
      <c r="NV44"/>
      <c r="NW44"/>
      <c r="NX44"/>
      <c r="NY44"/>
      <c r="NZ44"/>
      <c r="OA44"/>
      <c r="OB44"/>
      <c r="OC44"/>
      <c r="OD44"/>
      <c r="OE44"/>
      <c r="OF44"/>
      <c r="OG44"/>
      <c r="OH44"/>
      <c r="OI44"/>
      <c r="OJ44"/>
      <c r="OK44"/>
      <c r="OL44"/>
      <c r="OM44"/>
      <c r="ON44"/>
      <c r="OO44"/>
      <c r="OP44"/>
      <c r="OQ44"/>
      <c r="OR44"/>
      <c r="OS44"/>
      <c r="OT44"/>
      <c r="OU44"/>
      <c r="OV44"/>
      <c r="OW44"/>
      <c r="OX44"/>
      <c r="OY44"/>
      <c r="OZ44"/>
      <c r="PA44"/>
      <c r="PB44"/>
      <c r="PC44"/>
      <c r="PD44"/>
      <c r="PE44"/>
      <c r="PF44"/>
      <c r="PG44"/>
      <c r="PH44"/>
      <c r="PI44"/>
      <c r="PJ44"/>
      <c r="PK44"/>
      <c r="PL44"/>
      <c r="PM44"/>
      <c r="PN44"/>
      <c r="PO44"/>
      <c r="PP44"/>
      <c r="PQ44"/>
      <c r="PR44"/>
      <c r="PS44"/>
      <c r="PT44"/>
      <c r="PU44"/>
      <c r="PV44"/>
      <c r="PW44"/>
      <c r="PX44"/>
      <c r="PY44"/>
      <c r="PZ44"/>
      <c r="QA44"/>
      <c r="QB44"/>
      <c r="QC44"/>
      <c r="QD44"/>
      <c r="QE44"/>
      <c r="QF44"/>
      <c r="QG44"/>
      <c r="QH44"/>
      <c r="QI44"/>
      <c r="QJ44"/>
      <c r="QK44"/>
      <c r="QL44"/>
      <c r="QM44"/>
      <c r="QN44"/>
      <c r="QO44"/>
      <c r="QP44"/>
      <c r="QQ44"/>
      <c r="QR44"/>
      <c r="QS44"/>
      <c r="QT44"/>
      <c r="QU44"/>
      <c r="QV44"/>
      <c r="QW44"/>
      <c r="QX44"/>
      <c r="QY44"/>
      <c r="QZ44"/>
      <c r="RA44"/>
      <c r="RB44"/>
      <c r="RC44"/>
      <c r="RD44"/>
      <c r="RE44"/>
      <c r="RF44"/>
      <c r="RG44"/>
      <c r="RH44"/>
      <c r="RI44"/>
      <c r="RJ44"/>
      <c r="RK44"/>
      <c r="RL44"/>
      <c r="RM44"/>
      <c r="RN44"/>
      <c r="RO44"/>
      <c r="RP44"/>
      <c r="RQ44"/>
      <c r="RR44"/>
      <c r="RS44"/>
      <c r="RT44"/>
      <c r="RU44"/>
      <c r="RV44"/>
      <c r="RW44"/>
      <c r="RX44"/>
      <c r="RY44"/>
      <c r="RZ44"/>
      <c r="SA44"/>
      <c r="SB44"/>
      <c r="SC44"/>
      <c r="SD44"/>
      <c r="SE44"/>
      <c r="SF44"/>
      <c r="SG44"/>
      <c r="SH44"/>
      <c r="SI44"/>
      <c r="SJ44"/>
      <c r="SK44"/>
      <c r="SL44"/>
      <c r="SM44"/>
      <c r="SN44"/>
      <c r="SO44"/>
      <c r="SP44"/>
      <c r="SQ44"/>
      <c r="SR44"/>
      <c r="SS44"/>
      <c r="ST44"/>
      <c r="SU44"/>
      <c r="SV44"/>
      <c r="SW44"/>
      <c r="SX44"/>
      <c r="SY44"/>
      <c r="SZ44"/>
      <c r="TA44"/>
      <c r="TB44"/>
      <c r="TC44"/>
      <c r="TD44"/>
      <c r="TE44"/>
      <c r="TF44"/>
      <c r="TG44"/>
      <c r="TH44"/>
      <c r="TI44"/>
      <c r="TJ44"/>
      <c r="TK44"/>
      <c r="TL44"/>
      <c r="TM44"/>
      <c r="TN44"/>
      <c r="TO44"/>
      <c r="TP44"/>
      <c r="TQ44"/>
      <c r="TR44"/>
      <c r="TS44"/>
      <c r="TT44"/>
      <c r="TU44"/>
      <c r="TV44"/>
      <c r="TW44"/>
      <c r="TX44"/>
      <c r="TY44"/>
      <c r="TZ44"/>
      <c r="UA44"/>
      <c r="UB44"/>
      <c r="UC44"/>
      <c r="UD44"/>
      <c r="UE44"/>
      <c r="UF44"/>
      <c r="UG44"/>
      <c r="UH44"/>
      <c r="UI44"/>
      <c r="UJ44"/>
      <c r="UK44"/>
      <c r="UL44"/>
      <c r="UM44"/>
      <c r="UN44"/>
      <c r="UO44"/>
      <c r="UP44"/>
      <c r="UQ44"/>
      <c r="UR44"/>
      <c r="US44"/>
      <c r="UT44"/>
      <c r="UU44"/>
      <c r="UV44"/>
      <c r="UW44"/>
      <c r="UX44"/>
      <c r="UY44"/>
      <c r="UZ44"/>
      <c r="VA44"/>
      <c r="VB44"/>
      <c r="VC44"/>
      <c r="VD44"/>
      <c r="VE44"/>
      <c r="VF44"/>
      <c r="VG44"/>
      <c r="VH44"/>
      <c r="VI44"/>
      <c r="VJ44"/>
      <c r="VK44"/>
      <c r="VL44"/>
      <c r="VM44"/>
      <c r="VN44"/>
      <c r="VO44"/>
      <c r="VP44"/>
      <c r="VQ44"/>
      <c r="VR44"/>
      <c r="VS44"/>
      <c r="VT44"/>
      <c r="VU44"/>
      <c r="VV44"/>
      <c r="VW44"/>
      <c r="VX44"/>
      <c r="VY44"/>
      <c r="VZ44"/>
      <c r="WA44"/>
      <c r="WB44"/>
      <c r="WC44"/>
      <c r="WD44"/>
      <c r="WE44"/>
      <c r="WF44"/>
      <c r="WG44"/>
      <c r="WH44"/>
      <c r="WI44"/>
      <c r="WJ44"/>
      <c r="WK44"/>
      <c r="WL44"/>
      <c r="WM44"/>
      <c r="WN44"/>
      <c r="WO44"/>
      <c r="WP44"/>
      <c r="WQ44"/>
      <c r="WR44"/>
      <c r="WS44"/>
      <c r="WT44"/>
      <c r="WU44"/>
      <c r="WV44"/>
      <c r="WW44"/>
      <c r="WX44"/>
      <c r="WY44"/>
      <c r="WZ44"/>
      <c r="XA44"/>
      <c r="XB44"/>
      <c r="XC44"/>
      <c r="XD44"/>
      <c r="XE44"/>
      <c r="XF44"/>
      <c r="XG44"/>
      <c r="XH44"/>
      <c r="XI44"/>
      <c r="XJ44"/>
      <c r="XK44"/>
      <c r="XL44"/>
      <c r="XM44"/>
      <c r="XN44"/>
      <c r="XO44"/>
      <c r="XP44"/>
      <c r="XQ44"/>
      <c r="XR44"/>
      <c r="XS44"/>
      <c r="XT44"/>
      <c r="XU44"/>
      <c r="XV44"/>
      <c r="XW44"/>
      <c r="XX44"/>
      <c r="XY44"/>
      <c r="XZ44"/>
      <c r="YA44"/>
      <c r="YB44"/>
      <c r="YC44"/>
      <c r="YD44"/>
      <c r="YE44"/>
      <c r="YF44"/>
      <c r="YG44"/>
      <c r="YH44"/>
      <c r="YI44"/>
      <c r="YJ44"/>
      <c r="YK44"/>
      <c r="YL44"/>
      <c r="YM44"/>
      <c r="YN44"/>
      <c r="YO44"/>
      <c r="YP44"/>
      <c r="YQ44"/>
      <c r="YR44"/>
      <c r="YS44"/>
      <c r="YT44"/>
      <c r="YU44"/>
      <c r="YV44"/>
      <c r="YW44"/>
      <c r="YX44"/>
      <c r="YY44"/>
      <c r="YZ44"/>
      <c r="ZA44"/>
      <c r="ZB44"/>
      <c r="ZC44"/>
      <c r="ZD44"/>
      <c r="ZE44"/>
      <c r="ZF44"/>
      <c r="ZG44"/>
      <c r="ZH44"/>
      <c r="ZI44"/>
      <c r="ZJ44"/>
      <c r="ZK44"/>
      <c r="ZL44"/>
      <c r="ZM44"/>
      <c r="ZN44"/>
      <c r="ZO44"/>
      <c r="ZP44"/>
      <c r="ZQ44"/>
      <c r="ZR44"/>
      <c r="ZS44"/>
      <c r="ZT44"/>
      <c r="ZU44"/>
      <c r="ZV44"/>
      <c r="ZW44"/>
      <c r="ZX44"/>
      <c r="ZY44"/>
      <c r="ZZ44"/>
      <c r="AAA44"/>
      <c r="AAB44"/>
      <c r="AAC44"/>
      <c r="AAD44"/>
      <c r="AAE44"/>
      <c r="AAF44"/>
      <c r="AAG44"/>
      <c r="AAH44"/>
      <c r="AAI44"/>
      <c r="AAJ44"/>
      <c r="AAK44"/>
      <c r="AAL44"/>
      <c r="AAM44"/>
      <c r="AAN44"/>
      <c r="AAO44"/>
      <c r="AAP44"/>
      <c r="AAQ44"/>
      <c r="AAR44"/>
      <c r="AAS44"/>
      <c r="AAT44"/>
      <c r="AAU44"/>
      <c r="AAV44"/>
      <c r="AAW44"/>
      <c r="AAX44"/>
      <c r="AAY44"/>
      <c r="AAZ44"/>
      <c r="ABA44"/>
      <c r="ABB44"/>
      <c r="ABC44"/>
      <c r="ABD44"/>
      <c r="ABE44"/>
      <c r="ABF44"/>
      <c r="ABG44"/>
      <c r="ABH44"/>
      <c r="ABI44"/>
      <c r="ABJ44"/>
      <c r="ABK44"/>
      <c r="ABL44"/>
      <c r="ABM44"/>
      <c r="ABN44"/>
      <c r="ABO44"/>
      <c r="ABP44"/>
      <c r="ABQ44"/>
      <c r="ABR44"/>
      <c r="ABS44"/>
      <c r="ABT44"/>
      <c r="ABU44"/>
      <c r="ABV44"/>
      <c r="ABW44"/>
      <c r="ABX44"/>
      <c r="ABY44"/>
      <c r="ABZ44"/>
      <c r="ACA44"/>
      <c r="ACB44"/>
      <c r="ACC44"/>
      <c r="ACD44"/>
      <c r="ACE44"/>
      <c r="ACF44"/>
      <c r="ACG44"/>
      <c r="ACH44"/>
      <c r="ACI44"/>
      <c r="ACJ44"/>
      <c r="ACK44"/>
      <c r="ACL44"/>
      <c r="ACM44"/>
      <c r="ACN44"/>
      <c r="ACO44"/>
      <c r="ACP44"/>
      <c r="ACQ44"/>
      <c r="ACR44"/>
      <c r="ACS44"/>
      <c r="ACT44"/>
      <c r="ACU44"/>
      <c r="ACV44"/>
      <c r="ACW44"/>
      <c r="ACX44"/>
      <c r="ACY44"/>
      <c r="ACZ44"/>
      <c r="ADA44"/>
      <c r="ADB44"/>
      <c r="ADC44"/>
      <c r="ADD44"/>
      <c r="ADE44"/>
      <c r="ADF44"/>
      <c r="ADG44"/>
      <c r="ADH44"/>
      <c r="ADI44"/>
      <c r="ADJ44"/>
      <c r="ADK44"/>
      <c r="ADL44"/>
      <c r="ADM44"/>
      <c r="ADN44"/>
      <c r="ADO44"/>
      <c r="ADP44"/>
      <c r="ADQ44"/>
      <c r="ADR44"/>
      <c r="ADS44"/>
      <c r="ADT44"/>
      <c r="ADU44"/>
      <c r="ADV44"/>
      <c r="ADW44"/>
      <c r="ADX44"/>
      <c r="ADY44"/>
      <c r="ADZ44"/>
      <c r="AEA44"/>
      <c r="AEB44"/>
      <c r="AEC44"/>
      <c r="AED44"/>
      <c r="AEE44"/>
      <c r="AEF44"/>
      <c r="AEG44"/>
      <c r="AEH44"/>
      <c r="AEI44"/>
      <c r="AEJ44"/>
      <c r="AEK44"/>
      <c r="AEL44"/>
      <c r="AEM44"/>
      <c r="AEN44"/>
      <c r="AEO44"/>
      <c r="AEP44"/>
      <c r="AEQ44"/>
      <c r="AER44"/>
      <c r="AES44"/>
      <c r="AET44"/>
      <c r="AEU44"/>
      <c r="AEV44"/>
      <c r="AEW44"/>
      <c r="AEX44"/>
      <c r="AEY44"/>
      <c r="AEZ44"/>
      <c r="AFA44"/>
      <c r="AFB44"/>
      <c r="AFC44"/>
      <c r="AFD44"/>
      <c r="AFE44"/>
      <c r="AFF44"/>
      <c r="AFG44"/>
      <c r="AFH44"/>
      <c r="AFI44"/>
      <c r="AFJ44"/>
      <c r="AFK44"/>
      <c r="AFL44"/>
      <c r="AFM44"/>
      <c r="AFN44"/>
      <c r="AFO44"/>
      <c r="AFP44"/>
      <c r="AFQ44"/>
      <c r="AFR44"/>
      <c r="AFS44"/>
      <c r="AFT44"/>
      <c r="AFU44"/>
      <c r="AFV44"/>
      <c r="AFW44"/>
      <c r="AFX44"/>
      <c r="AFY44"/>
      <c r="AFZ44"/>
      <c r="AGA44"/>
      <c r="AGB44"/>
      <c r="AGC44"/>
      <c r="AGD44"/>
      <c r="AGE44"/>
      <c r="AGF44"/>
      <c r="AGG44"/>
      <c r="AGH44"/>
      <c r="AGI44"/>
      <c r="AGJ44"/>
      <c r="AGK44"/>
      <c r="AGL44"/>
      <c r="AGM44"/>
      <c r="AGN44"/>
      <c r="AGO44"/>
      <c r="AGP44"/>
      <c r="AGQ44"/>
      <c r="AGR44"/>
      <c r="AGS44"/>
      <c r="AGT44"/>
      <c r="AGU44"/>
      <c r="AGV44"/>
      <c r="AGW44"/>
      <c r="AGX44"/>
      <c r="AGY44"/>
      <c r="AGZ44"/>
      <c r="AHA44"/>
      <c r="AHB44"/>
      <c r="AHC44"/>
      <c r="AHD44"/>
      <c r="AHE44"/>
      <c r="AHF44"/>
      <c r="AHG44"/>
      <c r="AHH44"/>
      <c r="AHI44"/>
      <c r="AHJ44"/>
      <c r="AHK44"/>
      <c r="AHL44"/>
      <c r="AHM44"/>
      <c r="AHN44"/>
      <c r="AHO44"/>
      <c r="AHP44"/>
      <c r="AHQ44"/>
      <c r="AHR44"/>
      <c r="AHS44"/>
      <c r="AHT44"/>
      <c r="AHU44"/>
      <c r="AHV44"/>
      <c r="AHW44"/>
      <c r="AHX44"/>
      <c r="AHY44"/>
      <c r="AHZ44"/>
      <c r="AIA44"/>
      <c r="AIB44"/>
      <c r="AIC44"/>
      <c r="AID44"/>
      <c r="AIE44"/>
      <c r="AIF44"/>
      <c r="AIG44"/>
      <c r="AIH44"/>
      <c r="AII44"/>
      <c r="AIJ44"/>
      <c r="AIK44"/>
      <c r="AIL44"/>
      <c r="AIM44"/>
      <c r="AIN44"/>
      <c r="AIO44"/>
      <c r="AIP44"/>
      <c r="AIQ44"/>
      <c r="AIR44"/>
      <c r="AIS44"/>
      <c r="AIT44"/>
      <c r="AIU44"/>
      <c r="AIV44"/>
      <c r="AIW44"/>
      <c r="AIX44"/>
      <c r="AIY44"/>
      <c r="AIZ44"/>
      <c r="AJA44"/>
      <c r="AJB44"/>
      <c r="AJC44"/>
      <c r="AJD44"/>
      <c r="AJE44"/>
      <c r="AJF44"/>
      <c r="AJG44"/>
      <c r="AJH44"/>
      <c r="AJI44"/>
      <c r="AJJ44"/>
      <c r="AJK44"/>
      <c r="AJL44"/>
      <c r="AJM44"/>
      <c r="AJN44"/>
      <c r="AJO44"/>
      <c r="AJP44"/>
      <c r="AJQ44"/>
      <c r="AJR44"/>
      <c r="AJS44"/>
      <c r="AJT44"/>
      <c r="AJU44"/>
      <c r="AJV44"/>
      <c r="AJW44"/>
      <c r="AJX44"/>
      <c r="AJY44"/>
      <c r="AJZ44"/>
      <c r="AKA44"/>
      <c r="AKB44"/>
      <c r="AKC44"/>
      <c r="AKD44"/>
      <c r="AKE44"/>
      <c r="AKF44"/>
      <c r="AKG44"/>
      <c r="AKH44"/>
      <c r="AKI44"/>
      <c r="AKJ44"/>
      <c r="AKK44"/>
      <c r="AKL44"/>
      <c r="AKM44"/>
      <c r="AKN44"/>
      <c r="AKO44"/>
      <c r="AKP44"/>
      <c r="AKQ44"/>
      <c r="AKR44"/>
      <c r="AKS44"/>
      <c r="AKT44"/>
      <c r="AKU44"/>
      <c r="AKV44"/>
      <c r="AKW44"/>
      <c r="AKX44"/>
      <c r="AKY44"/>
      <c r="AKZ44"/>
      <c r="ALA44"/>
      <c r="ALB44"/>
      <c r="ALC44"/>
      <c r="ALD44"/>
      <c r="ALE44"/>
      <c r="ALF44"/>
      <c r="ALG44"/>
      <c r="ALH44"/>
      <c r="ALI44"/>
      <c r="ALJ44"/>
      <c r="ALK44"/>
      <c r="ALL44"/>
      <c r="ALM44"/>
      <c r="ALN44"/>
      <c r="ALO44"/>
      <c r="ALP44"/>
      <c r="ALQ44"/>
      <c r="ALR44"/>
      <c r="ALS44"/>
      <c r="ALT44"/>
      <c r="ALU44"/>
      <c r="ALV44"/>
      <c r="ALW44"/>
      <c r="ALX44"/>
      <c r="ALY44"/>
      <c r="ALZ44"/>
      <c r="AMA44"/>
      <c r="AMB44"/>
      <c r="AMC44"/>
      <c r="AMD44"/>
      <c r="AME44"/>
      <c r="AMF44"/>
      <c r="AMG44"/>
      <c r="AMH44"/>
      <c r="AMI44"/>
      <c r="AMJ44"/>
      <c r="AMK44"/>
      <c r="AML44"/>
      <c r="AMM44"/>
      <c r="AMN44"/>
      <c r="AMO44"/>
      <c r="AMP44"/>
      <c r="AMQ44"/>
      <c r="AMR44"/>
      <c r="AMS44"/>
      <c r="AMT44"/>
      <c r="AMU44"/>
      <c r="AMV44"/>
      <c r="AMW44"/>
      <c r="AMX44"/>
      <c r="AMY44"/>
      <c r="AMZ44"/>
      <c r="ANA44"/>
      <c r="ANB44"/>
      <c r="ANC44"/>
      <c r="AND44"/>
      <c r="ANE44"/>
      <c r="ANF44"/>
      <c r="ANG44"/>
      <c r="ANH44"/>
      <c r="ANI44"/>
      <c r="ANJ44"/>
      <c r="ANK44"/>
      <c r="ANL44"/>
      <c r="ANM44"/>
      <c r="ANN44"/>
      <c r="ANO44"/>
    </row>
    <row r="45" spans="1:1055" s="36" customFormat="1" x14ac:dyDescent="0.25">
      <c r="A45" s="47" t="s">
        <v>67</v>
      </c>
      <c r="B45" s="35">
        <v>0</v>
      </c>
      <c r="C45" s="36">
        <v>0</v>
      </c>
      <c r="D45" s="36">
        <v>0</v>
      </c>
      <c r="E45" s="37">
        <v>500</v>
      </c>
      <c r="F45" s="35">
        <v>0</v>
      </c>
      <c r="G45" s="97">
        <v>0</v>
      </c>
      <c r="H45" s="97">
        <v>0</v>
      </c>
      <c r="I45" s="97">
        <v>0</v>
      </c>
      <c r="J45" s="97">
        <v>0</v>
      </c>
      <c r="K45" s="36">
        <v>190</v>
      </c>
      <c r="L45" s="38">
        <v>15</v>
      </c>
      <c r="M45" s="39">
        <v>95.4</v>
      </c>
      <c r="N45" s="40">
        <v>0</v>
      </c>
      <c r="O45" s="35"/>
      <c r="Q45" s="38">
        <v>0</v>
      </c>
      <c r="R45" s="35">
        <v>0</v>
      </c>
      <c r="S45" s="38">
        <v>0</v>
      </c>
      <c r="T45" s="41">
        <v>0</v>
      </c>
      <c r="U45" s="42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  <c r="AB45" s="36">
        <v>0</v>
      </c>
      <c r="AC45" s="36">
        <v>0</v>
      </c>
      <c r="AD45" s="36">
        <v>0</v>
      </c>
      <c r="AE45" s="36">
        <v>0</v>
      </c>
      <c r="AF45" s="36">
        <v>0</v>
      </c>
      <c r="AG45" s="36">
        <v>0</v>
      </c>
      <c r="AH45" s="36">
        <v>0</v>
      </c>
      <c r="AI45" s="36">
        <v>0</v>
      </c>
      <c r="AJ45" s="36">
        <v>0</v>
      </c>
      <c r="AK45" s="36">
        <v>0</v>
      </c>
      <c r="AL45" s="36">
        <v>0</v>
      </c>
      <c r="AM45" s="36">
        <v>0</v>
      </c>
      <c r="AN45" s="36">
        <v>0</v>
      </c>
      <c r="AO45" s="36">
        <v>0</v>
      </c>
      <c r="AP45" s="36">
        <v>0</v>
      </c>
      <c r="AQ45" s="36">
        <v>0</v>
      </c>
      <c r="AR45" s="38">
        <v>0</v>
      </c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  <c r="LO45"/>
      <c r="LP45"/>
      <c r="LQ45"/>
      <c r="LR45"/>
      <c r="LS45"/>
      <c r="LT45"/>
      <c r="LU45"/>
      <c r="LV45"/>
      <c r="LW45"/>
      <c r="LX45"/>
      <c r="LY45"/>
      <c r="LZ45"/>
      <c r="MA45"/>
      <c r="MB45"/>
      <c r="MC45"/>
      <c r="MD45"/>
      <c r="ME45"/>
      <c r="MF45"/>
      <c r="MG45"/>
      <c r="MH45"/>
      <c r="MI45"/>
      <c r="MJ45"/>
      <c r="MK45"/>
      <c r="ML45"/>
      <c r="MM45"/>
      <c r="MN45"/>
      <c r="MO45"/>
      <c r="MP45"/>
      <c r="MQ45"/>
      <c r="MR45"/>
      <c r="MS45"/>
      <c r="MT45"/>
      <c r="MU45"/>
      <c r="MV45"/>
      <c r="MW45"/>
      <c r="MX45"/>
      <c r="MY45"/>
      <c r="MZ45"/>
      <c r="NA45"/>
      <c r="NB45"/>
      <c r="NC45"/>
      <c r="ND45"/>
      <c r="NE45"/>
      <c r="NF45"/>
      <c r="NG45"/>
      <c r="NH45"/>
      <c r="NI45"/>
      <c r="NJ45"/>
      <c r="NK45"/>
      <c r="NL45"/>
      <c r="NM45"/>
      <c r="NN45"/>
      <c r="NO45"/>
      <c r="NP45"/>
      <c r="NQ45"/>
      <c r="NR45"/>
      <c r="NS45"/>
      <c r="NT45"/>
      <c r="NU45"/>
      <c r="NV45"/>
      <c r="NW45"/>
      <c r="NX45"/>
      <c r="NY45"/>
      <c r="NZ45"/>
      <c r="OA45"/>
      <c r="OB45"/>
      <c r="OC45"/>
      <c r="OD45"/>
      <c r="OE45"/>
      <c r="OF45"/>
      <c r="OG45"/>
      <c r="OH45"/>
      <c r="OI45"/>
      <c r="OJ45"/>
      <c r="OK45"/>
      <c r="OL45"/>
      <c r="OM45"/>
      <c r="ON45"/>
      <c r="OO45"/>
      <c r="OP45"/>
      <c r="OQ45"/>
      <c r="OR45"/>
      <c r="OS45"/>
      <c r="OT45"/>
      <c r="OU45"/>
      <c r="OV45"/>
      <c r="OW45"/>
      <c r="OX45"/>
      <c r="OY45"/>
      <c r="OZ45"/>
      <c r="PA45"/>
      <c r="PB45"/>
      <c r="PC45"/>
      <c r="PD45"/>
      <c r="PE45"/>
      <c r="PF45"/>
      <c r="PG45"/>
      <c r="PH45"/>
      <c r="PI45"/>
      <c r="PJ45"/>
      <c r="PK45"/>
      <c r="PL45"/>
      <c r="PM45"/>
      <c r="PN45"/>
      <c r="PO45"/>
      <c r="PP45"/>
      <c r="PQ45"/>
      <c r="PR45"/>
      <c r="PS45"/>
      <c r="PT45"/>
      <c r="PU45"/>
      <c r="PV45"/>
      <c r="PW45"/>
      <c r="PX45"/>
      <c r="PY45"/>
      <c r="PZ45"/>
      <c r="QA45"/>
      <c r="QB45"/>
      <c r="QC45"/>
      <c r="QD45"/>
      <c r="QE45"/>
      <c r="QF45"/>
      <c r="QG45"/>
      <c r="QH45"/>
      <c r="QI45"/>
      <c r="QJ45"/>
      <c r="QK45"/>
      <c r="QL45"/>
      <c r="QM45"/>
      <c r="QN45"/>
      <c r="QO45"/>
      <c r="QP45"/>
      <c r="QQ45"/>
      <c r="QR45"/>
      <c r="QS45"/>
      <c r="QT45"/>
      <c r="QU45"/>
      <c r="QV45"/>
      <c r="QW45"/>
      <c r="QX45"/>
      <c r="QY45"/>
      <c r="QZ45"/>
      <c r="RA45"/>
      <c r="RB45"/>
      <c r="RC45"/>
      <c r="RD45"/>
      <c r="RE45"/>
      <c r="RF45"/>
      <c r="RG45"/>
      <c r="RH45"/>
      <c r="RI45"/>
      <c r="RJ45"/>
      <c r="RK45"/>
      <c r="RL45"/>
      <c r="RM45"/>
      <c r="RN45"/>
      <c r="RO45"/>
      <c r="RP45"/>
      <c r="RQ45"/>
      <c r="RR45"/>
      <c r="RS45"/>
      <c r="RT45"/>
      <c r="RU45"/>
      <c r="RV45"/>
      <c r="RW45"/>
      <c r="RX45"/>
      <c r="RY45"/>
      <c r="RZ45"/>
      <c r="SA45"/>
      <c r="SB45"/>
      <c r="SC45"/>
      <c r="SD45"/>
      <c r="SE45"/>
      <c r="SF45"/>
      <c r="SG45"/>
      <c r="SH45"/>
      <c r="SI45"/>
      <c r="SJ45"/>
      <c r="SK45"/>
      <c r="SL45"/>
      <c r="SM45"/>
      <c r="SN45"/>
      <c r="SO45"/>
      <c r="SP45"/>
      <c r="SQ45"/>
      <c r="SR45"/>
      <c r="SS45"/>
      <c r="ST45"/>
      <c r="SU45"/>
      <c r="SV45"/>
      <c r="SW45"/>
      <c r="SX45"/>
      <c r="SY45"/>
      <c r="SZ45"/>
      <c r="TA45"/>
      <c r="TB45"/>
      <c r="TC45"/>
      <c r="TD45"/>
      <c r="TE45"/>
      <c r="TF45"/>
      <c r="TG45"/>
      <c r="TH45"/>
      <c r="TI45"/>
      <c r="TJ45"/>
      <c r="TK45"/>
      <c r="TL45"/>
      <c r="TM45"/>
      <c r="TN45"/>
      <c r="TO45"/>
      <c r="TP45"/>
      <c r="TQ45"/>
      <c r="TR45"/>
      <c r="TS45"/>
      <c r="TT45"/>
      <c r="TU45"/>
      <c r="TV45"/>
      <c r="TW45"/>
      <c r="TX45"/>
      <c r="TY45"/>
      <c r="TZ45"/>
      <c r="UA45"/>
      <c r="UB45"/>
      <c r="UC45"/>
      <c r="UD45"/>
      <c r="UE45"/>
      <c r="UF45"/>
      <c r="UG45"/>
      <c r="UH45"/>
      <c r="UI45"/>
      <c r="UJ45"/>
      <c r="UK45"/>
      <c r="UL45"/>
      <c r="UM45"/>
      <c r="UN45"/>
      <c r="UO45"/>
      <c r="UP45"/>
      <c r="UQ45"/>
      <c r="UR45"/>
      <c r="US45"/>
      <c r="UT45"/>
      <c r="UU45"/>
      <c r="UV45"/>
      <c r="UW45"/>
      <c r="UX45"/>
      <c r="UY45"/>
      <c r="UZ45"/>
      <c r="VA45"/>
      <c r="VB45"/>
      <c r="VC45"/>
      <c r="VD45"/>
      <c r="VE45"/>
      <c r="VF45"/>
      <c r="VG45"/>
      <c r="VH45"/>
      <c r="VI45"/>
      <c r="VJ45"/>
      <c r="VK45"/>
      <c r="VL45"/>
      <c r="VM45"/>
      <c r="VN45"/>
      <c r="VO45"/>
      <c r="VP45"/>
      <c r="VQ45"/>
      <c r="VR45"/>
      <c r="VS45"/>
      <c r="VT45"/>
      <c r="VU45"/>
      <c r="VV45"/>
      <c r="VW45"/>
      <c r="VX45"/>
      <c r="VY45"/>
      <c r="VZ45"/>
      <c r="WA45"/>
      <c r="WB45"/>
      <c r="WC45"/>
      <c r="WD45"/>
      <c r="WE45"/>
      <c r="WF45"/>
      <c r="WG45"/>
      <c r="WH45"/>
      <c r="WI45"/>
      <c r="WJ45"/>
      <c r="WK45"/>
      <c r="WL45"/>
      <c r="WM45"/>
      <c r="WN45"/>
      <c r="WO45"/>
      <c r="WP45"/>
      <c r="WQ45"/>
      <c r="WR45"/>
      <c r="WS45"/>
      <c r="WT45"/>
      <c r="WU45"/>
      <c r="WV45"/>
      <c r="WW45"/>
      <c r="WX45"/>
      <c r="WY45"/>
      <c r="WZ45"/>
      <c r="XA45"/>
      <c r="XB45"/>
      <c r="XC45"/>
      <c r="XD45"/>
      <c r="XE45"/>
      <c r="XF45"/>
      <c r="XG45"/>
      <c r="XH45"/>
      <c r="XI45"/>
      <c r="XJ45"/>
      <c r="XK45"/>
      <c r="XL45"/>
      <c r="XM45"/>
      <c r="XN45"/>
      <c r="XO45"/>
      <c r="XP45"/>
      <c r="XQ45"/>
      <c r="XR45"/>
      <c r="XS45"/>
      <c r="XT45"/>
      <c r="XU45"/>
      <c r="XV45"/>
      <c r="XW45"/>
      <c r="XX45"/>
      <c r="XY45"/>
      <c r="XZ45"/>
      <c r="YA45"/>
      <c r="YB45"/>
      <c r="YC45"/>
      <c r="YD45"/>
      <c r="YE45"/>
      <c r="YF45"/>
      <c r="YG45"/>
      <c r="YH45"/>
      <c r="YI45"/>
      <c r="YJ45"/>
      <c r="YK45"/>
      <c r="YL45"/>
      <c r="YM45"/>
      <c r="YN45"/>
      <c r="YO45"/>
      <c r="YP45"/>
      <c r="YQ45"/>
      <c r="YR45"/>
      <c r="YS45"/>
      <c r="YT45"/>
      <c r="YU45"/>
      <c r="YV45"/>
      <c r="YW45"/>
      <c r="YX45"/>
      <c r="YY45"/>
      <c r="YZ45"/>
      <c r="ZA45"/>
      <c r="ZB45"/>
      <c r="ZC45"/>
      <c r="ZD45"/>
      <c r="ZE45"/>
      <c r="ZF45"/>
      <c r="ZG45"/>
      <c r="ZH45"/>
      <c r="ZI45"/>
      <c r="ZJ45"/>
      <c r="ZK45"/>
      <c r="ZL45"/>
      <c r="ZM45"/>
      <c r="ZN45"/>
      <c r="ZO45"/>
      <c r="ZP45"/>
      <c r="ZQ45"/>
      <c r="ZR45"/>
      <c r="ZS45"/>
      <c r="ZT45"/>
      <c r="ZU45"/>
      <c r="ZV45"/>
      <c r="ZW45"/>
      <c r="ZX45"/>
      <c r="ZY45"/>
      <c r="ZZ45"/>
      <c r="AAA45"/>
      <c r="AAB45"/>
      <c r="AAC45"/>
      <c r="AAD45"/>
      <c r="AAE45"/>
      <c r="AAF45"/>
      <c r="AAG45"/>
      <c r="AAH45"/>
      <c r="AAI45"/>
      <c r="AAJ45"/>
      <c r="AAK45"/>
      <c r="AAL45"/>
      <c r="AAM45"/>
      <c r="AAN45"/>
      <c r="AAO45"/>
      <c r="AAP45"/>
      <c r="AAQ45"/>
      <c r="AAR45"/>
      <c r="AAS45"/>
      <c r="AAT45"/>
      <c r="AAU45"/>
      <c r="AAV45"/>
      <c r="AAW45"/>
      <c r="AAX45"/>
      <c r="AAY45"/>
      <c r="AAZ45"/>
      <c r="ABA45"/>
      <c r="ABB45"/>
      <c r="ABC45"/>
      <c r="ABD45"/>
      <c r="ABE45"/>
      <c r="ABF45"/>
      <c r="ABG45"/>
      <c r="ABH45"/>
      <c r="ABI45"/>
      <c r="ABJ45"/>
      <c r="ABK45"/>
      <c r="ABL45"/>
      <c r="ABM45"/>
      <c r="ABN45"/>
      <c r="ABO45"/>
      <c r="ABP45"/>
      <c r="ABQ45"/>
      <c r="ABR45"/>
      <c r="ABS45"/>
      <c r="ABT45"/>
      <c r="ABU45"/>
      <c r="ABV45"/>
      <c r="ABW45"/>
      <c r="ABX45"/>
      <c r="ABY45"/>
      <c r="ABZ45"/>
      <c r="ACA45"/>
      <c r="ACB45"/>
      <c r="ACC45"/>
      <c r="ACD45"/>
      <c r="ACE45"/>
      <c r="ACF45"/>
      <c r="ACG45"/>
      <c r="ACH45"/>
      <c r="ACI45"/>
      <c r="ACJ45"/>
      <c r="ACK45"/>
      <c r="ACL45"/>
      <c r="ACM45"/>
      <c r="ACN45"/>
      <c r="ACO45"/>
      <c r="ACP45"/>
      <c r="ACQ45"/>
      <c r="ACR45"/>
      <c r="ACS45"/>
      <c r="ACT45"/>
      <c r="ACU45"/>
      <c r="ACV45"/>
      <c r="ACW45"/>
      <c r="ACX45"/>
      <c r="ACY45"/>
      <c r="ACZ45"/>
      <c r="ADA45"/>
      <c r="ADB45"/>
      <c r="ADC45"/>
      <c r="ADD45"/>
      <c r="ADE45"/>
      <c r="ADF45"/>
      <c r="ADG45"/>
      <c r="ADH45"/>
      <c r="ADI45"/>
      <c r="ADJ45"/>
      <c r="ADK45"/>
      <c r="ADL45"/>
      <c r="ADM45"/>
      <c r="ADN45"/>
      <c r="ADO45"/>
      <c r="ADP45"/>
      <c r="ADQ45"/>
      <c r="ADR45"/>
      <c r="ADS45"/>
      <c r="ADT45"/>
      <c r="ADU45"/>
      <c r="ADV45"/>
      <c r="ADW45"/>
      <c r="ADX45"/>
      <c r="ADY45"/>
      <c r="ADZ45"/>
      <c r="AEA45"/>
      <c r="AEB45"/>
      <c r="AEC45"/>
      <c r="AED45"/>
      <c r="AEE45"/>
      <c r="AEF45"/>
      <c r="AEG45"/>
      <c r="AEH45"/>
      <c r="AEI45"/>
      <c r="AEJ45"/>
      <c r="AEK45"/>
      <c r="AEL45"/>
      <c r="AEM45"/>
      <c r="AEN45"/>
      <c r="AEO45"/>
      <c r="AEP45"/>
      <c r="AEQ45"/>
      <c r="AER45"/>
      <c r="AES45"/>
      <c r="AET45"/>
      <c r="AEU45"/>
      <c r="AEV45"/>
      <c r="AEW45"/>
      <c r="AEX45"/>
      <c r="AEY45"/>
      <c r="AEZ45"/>
      <c r="AFA45"/>
      <c r="AFB45"/>
      <c r="AFC45"/>
      <c r="AFD45"/>
      <c r="AFE45"/>
      <c r="AFF45"/>
      <c r="AFG45"/>
      <c r="AFH45"/>
      <c r="AFI45"/>
      <c r="AFJ45"/>
      <c r="AFK45"/>
      <c r="AFL45"/>
      <c r="AFM45"/>
      <c r="AFN45"/>
      <c r="AFO45"/>
      <c r="AFP45"/>
      <c r="AFQ45"/>
      <c r="AFR45"/>
      <c r="AFS45"/>
      <c r="AFT45"/>
      <c r="AFU45"/>
      <c r="AFV45"/>
      <c r="AFW45"/>
      <c r="AFX45"/>
      <c r="AFY45"/>
      <c r="AFZ45"/>
      <c r="AGA45"/>
      <c r="AGB45"/>
      <c r="AGC45"/>
      <c r="AGD45"/>
      <c r="AGE45"/>
      <c r="AGF45"/>
      <c r="AGG45"/>
      <c r="AGH45"/>
      <c r="AGI45"/>
      <c r="AGJ45"/>
      <c r="AGK45"/>
      <c r="AGL45"/>
      <c r="AGM45"/>
      <c r="AGN45"/>
      <c r="AGO45"/>
      <c r="AGP45"/>
      <c r="AGQ45"/>
      <c r="AGR45"/>
      <c r="AGS45"/>
      <c r="AGT45"/>
      <c r="AGU45"/>
      <c r="AGV45"/>
      <c r="AGW45"/>
      <c r="AGX45"/>
      <c r="AGY45"/>
      <c r="AGZ45"/>
      <c r="AHA45"/>
      <c r="AHB45"/>
      <c r="AHC45"/>
      <c r="AHD45"/>
      <c r="AHE45"/>
      <c r="AHF45"/>
      <c r="AHG45"/>
      <c r="AHH45"/>
      <c r="AHI45"/>
      <c r="AHJ45"/>
      <c r="AHK45"/>
      <c r="AHL45"/>
      <c r="AHM45"/>
      <c r="AHN45"/>
      <c r="AHO45"/>
      <c r="AHP45"/>
      <c r="AHQ45"/>
      <c r="AHR45"/>
      <c r="AHS45"/>
      <c r="AHT45"/>
      <c r="AHU45"/>
      <c r="AHV45"/>
      <c r="AHW45"/>
      <c r="AHX45"/>
      <c r="AHY45"/>
      <c r="AHZ45"/>
      <c r="AIA45"/>
      <c r="AIB45"/>
      <c r="AIC45"/>
      <c r="AID45"/>
      <c r="AIE45"/>
      <c r="AIF45"/>
      <c r="AIG45"/>
      <c r="AIH45"/>
      <c r="AII45"/>
      <c r="AIJ45"/>
      <c r="AIK45"/>
      <c r="AIL45"/>
      <c r="AIM45"/>
      <c r="AIN45"/>
      <c r="AIO45"/>
      <c r="AIP45"/>
      <c r="AIQ45"/>
      <c r="AIR45"/>
      <c r="AIS45"/>
      <c r="AIT45"/>
      <c r="AIU45"/>
      <c r="AIV45"/>
      <c r="AIW45"/>
      <c r="AIX45"/>
      <c r="AIY45"/>
      <c r="AIZ45"/>
      <c r="AJA45"/>
      <c r="AJB45"/>
      <c r="AJC45"/>
      <c r="AJD45"/>
      <c r="AJE45"/>
      <c r="AJF45"/>
      <c r="AJG45"/>
      <c r="AJH45"/>
      <c r="AJI45"/>
      <c r="AJJ45"/>
      <c r="AJK45"/>
      <c r="AJL45"/>
      <c r="AJM45"/>
      <c r="AJN45"/>
      <c r="AJO45"/>
      <c r="AJP45"/>
      <c r="AJQ45"/>
      <c r="AJR45"/>
      <c r="AJS45"/>
      <c r="AJT45"/>
      <c r="AJU45"/>
      <c r="AJV45"/>
      <c r="AJW45"/>
      <c r="AJX45"/>
      <c r="AJY45"/>
      <c r="AJZ45"/>
      <c r="AKA45"/>
      <c r="AKB45"/>
      <c r="AKC45"/>
      <c r="AKD45"/>
      <c r="AKE45"/>
      <c r="AKF45"/>
      <c r="AKG45"/>
      <c r="AKH45"/>
      <c r="AKI45"/>
      <c r="AKJ45"/>
      <c r="AKK45"/>
      <c r="AKL45"/>
      <c r="AKM45"/>
      <c r="AKN45"/>
      <c r="AKO45"/>
      <c r="AKP45"/>
      <c r="AKQ45"/>
      <c r="AKR45"/>
      <c r="AKS45"/>
      <c r="AKT45"/>
      <c r="AKU45"/>
      <c r="AKV45"/>
      <c r="AKW45"/>
      <c r="AKX45"/>
      <c r="AKY45"/>
      <c r="AKZ45"/>
      <c r="ALA45"/>
      <c r="ALB45"/>
      <c r="ALC45"/>
      <c r="ALD45"/>
      <c r="ALE45"/>
      <c r="ALF45"/>
      <c r="ALG45"/>
      <c r="ALH45"/>
      <c r="ALI45"/>
      <c r="ALJ45"/>
      <c r="ALK45"/>
      <c r="ALL45"/>
      <c r="ALM45"/>
      <c r="ALN45"/>
      <c r="ALO45"/>
      <c r="ALP45"/>
      <c r="ALQ45"/>
      <c r="ALR45"/>
      <c r="ALS45"/>
      <c r="ALT45"/>
      <c r="ALU45"/>
      <c r="ALV45"/>
      <c r="ALW45"/>
      <c r="ALX45"/>
      <c r="ALY45"/>
      <c r="ALZ45"/>
      <c r="AMA45"/>
      <c r="AMB45"/>
      <c r="AMC45"/>
      <c r="AMD45"/>
      <c r="AME45"/>
      <c r="AMF45"/>
      <c r="AMG45"/>
      <c r="AMH45"/>
      <c r="AMI45"/>
      <c r="AMJ45"/>
      <c r="AMK45"/>
      <c r="AML45"/>
      <c r="AMM45"/>
      <c r="AMN45"/>
      <c r="AMO45"/>
      <c r="AMP45"/>
      <c r="AMQ45"/>
      <c r="AMR45"/>
      <c r="AMS45"/>
      <c r="AMT45"/>
      <c r="AMU45"/>
      <c r="AMV45"/>
      <c r="AMW45"/>
      <c r="AMX45"/>
      <c r="AMY45"/>
      <c r="AMZ45"/>
      <c r="ANA45"/>
      <c r="ANB45"/>
      <c r="ANC45"/>
      <c r="AND45"/>
      <c r="ANE45"/>
      <c r="ANF45"/>
      <c r="ANG45"/>
      <c r="ANH45"/>
      <c r="ANI45"/>
      <c r="ANJ45"/>
      <c r="ANK45"/>
      <c r="ANL45"/>
      <c r="ANM45"/>
      <c r="ANN45"/>
      <c r="ANO45"/>
    </row>
    <row r="46" spans="1:1055" s="36" customFormat="1" x14ac:dyDescent="0.25">
      <c r="A46" s="47" t="s">
        <v>68</v>
      </c>
      <c r="B46" s="35">
        <v>0</v>
      </c>
      <c r="C46" s="36">
        <v>0</v>
      </c>
      <c r="D46" s="36">
        <v>0</v>
      </c>
      <c r="E46" s="48">
        <v>1300000</v>
      </c>
      <c r="F46" s="35">
        <v>0</v>
      </c>
      <c r="G46" s="97">
        <v>0</v>
      </c>
      <c r="H46" s="97">
        <v>0</v>
      </c>
      <c r="I46" s="97">
        <v>0</v>
      </c>
      <c r="J46" s="97">
        <v>0</v>
      </c>
      <c r="K46" s="36">
        <v>0</v>
      </c>
      <c r="L46" s="38">
        <v>0</v>
      </c>
      <c r="M46" s="39">
        <v>1</v>
      </c>
      <c r="N46" s="40">
        <v>0</v>
      </c>
      <c r="O46" s="35"/>
      <c r="Q46" s="38">
        <v>0</v>
      </c>
      <c r="R46" s="35">
        <v>0</v>
      </c>
      <c r="S46" s="38">
        <v>0</v>
      </c>
      <c r="T46" s="41">
        <v>0</v>
      </c>
      <c r="U46" s="42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  <c r="AB46" s="36">
        <v>0</v>
      </c>
      <c r="AC46" s="36">
        <v>0</v>
      </c>
      <c r="AD46" s="36">
        <v>0</v>
      </c>
      <c r="AE46" s="36">
        <v>0</v>
      </c>
      <c r="AF46" s="36">
        <v>0</v>
      </c>
      <c r="AG46" s="36">
        <v>0</v>
      </c>
      <c r="AH46" s="36">
        <v>0</v>
      </c>
      <c r="AI46" s="36">
        <v>0</v>
      </c>
      <c r="AJ46" s="36">
        <v>0</v>
      </c>
      <c r="AK46" s="36">
        <v>0</v>
      </c>
      <c r="AL46" s="36">
        <v>0</v>
      </c>
      <c r="AM46" s="36">
        <v>0</v>
      </c>
      <c r="AN46" s="36">
        <v>0</v>
      </c>
      <c r="AO46" s="36">
        <v>0</v>
      </c>
      <c r="AP46" s="36">
        <v>0</v>
      </c>
      <c r="AQ46" s="36">
        <v>0</v>
      </c>
      <c r="AR46" s="38">
        <v>0</v>
      </c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  <c r="LQ46"/>
      <c r="LR46"/>
      <c r="LS46"/>
      <c r="LT46"/>
      <c r="LU46"/>
      <c r="LV46"/>
      <c r="LW46"/>
      <c r="LX46"/>
      <c r="LY46"/>
      <c r="LZ46"/>
      <c r="MA46"/>
      <c r="MB46"/>
      <c r="MC46"/>
      <c r="MD46"/>
      <c r="ME46"/>
      <c r="MF46"/>
      <c r="MG46"/>
      <c r="MH46"/>
      <c r="MI46"/>
      <c r="MJ46"/>
      <c r="MK46"/>
      <c r="ML46"/>
      <c r="MM46"/>
      <c r="MN46"/>
      <c r="MO46"/>
      <c r="MP46"/>
      <c r="MQ46"/>
      <c r="MR46"/>
      <c r="MS46"/>
      <c r="MT46"/>
      <c r="MU46"/>
      <c r="MV46"/>
      <c r="MW46"/>
      <c r="MX46"/>
      <c r="MY46"/>
      <c r="MZ46"/>
      <c r="NA46"/>
      <c r="NB46"/>
      <c r="NC46"/>
      <c r="ND46"/>
      <c r="NE46"/>
      <c r="NF46"/>
      <c r="NG46"/>
      <c r="NH46"/>
      <c r="NI46"/>
      <c r="NJ46"/>
      <c r="NK46"/>
      <c r="NL46"/>
      <c r="NM46"/>
      <c r="NN46"/>
      <c r="NO46"/>
      <c r="NP46"/>
      <c r="NQ46"/>
      <c r="NR46"/>
      <c r="NS46"/>
      <c r="NT46"/>
      <c r="NU46"/>
      <c r="NV46"/>
      <c r="NW46"/>
      <c r="NX46"/>
      <c r="NY46"/>
      <c r="NZ46"/>
      <c r="OA46"/>
      <c r="OB46"/>
      <c r="OC46"/>
      <c r="OD46"/>
      <c r="OE46"/>
      <c r="OF46"/>
      <c r="OG46"/>
      <c r="OH46"/>
      <c r="OI46"/>
      <c r="OJ46"/>
      <c r="OK46"/>
      <c r="OL46"/>
      <c r="OM46"/>
      <c r="ON46"/>
      <c r="OO46"/>
      <c r="OP46"/>
      <c r="OQ46"/>
      <c r="OR46"/>
      <c r="OS46"/>
      <c r="OT46"/>
      <c r="OU46"/>
      <c r="OV46"/>
      <c r="OW46"/>
      <c r="OX46"/>
      <c r="OY46"/>
      <c r="OZ46"/>
      <c r="PA46"/>
      <c r="PB46"/>
      <c r="PC46"/>
      <c r="PD46"/>
      <c r="PE46"/>
      <c r="PF46"/>
      <c r="PG46"/>
      <c r="PH46"/>
      <c r="PI46"/>
      <c r="PJ46"/>
      <c r="PK46"/>
      <c r="PL46"/>
      <c r="PM46"/>
      <c r="PN46"/>
      <c r="PO46"/>
      <c r="PP46"/>
      <c r="PQ46"/>
      <c r="PR46"/>
      <c r="PS46"/>
      <c r="PT46"/>
      <c r="PU46"/>
      <c r="PV46"/>
      <c r="PW46"/>
      <c r="PX46"/>
      <c r="PY46"/>
      <c r="PZ46"/>
      <c r="QA46"/>
      <c r="QB46"/>
      <c r="QC46"/>
      <c r="QD46"/>
      <c r="QE46"/>
      <c r="QF46"/>
      <c r="QG46"/>
      <c r="QH46"/>
      <c r="QI46"/>
      <c r="QJ46"/>
      <c r="QK46"/>
      <c r="QL46"/>
      <c r="QM46"/>
      <c r="QN46"/>
      <c r="QO46"/>
      <c r="QP46"/>
      <c r="QQ46"/>
      <c r="QR46"/>
      <c r="QS46"/>
      <c r="QT46"/>
      <c r="QU46"/>
      <c r="QV46"/>
      <c r="QW46"/>
      <c r="QX46"/>
      <c r="QY46"/>
      <c r="QZ46"/>
      <c r="RA46"/>
      <c r="RB46"/>
      <c r="RC46"/>
      <c r="RD46"/>
      <c r="RE46"/>
      <c r="RF46"/>
      <c r="RG46"/>
      <c r="RH46"/>
      <c r="RI46"/>
      <c r="RJ46"/>
      <c r="RK46"/>
      <c r="RL46"/>
      <c r="RM46"/>
      <c r="RN46"/>
      <c r="RO46"/>
      <c r="RP46"/>
      <c r="RQ46"/>
      <c r="RR46"/>
      <c r="RS46"/>
      <c r="RT46"/>
      <c r="RU46"/>
      <c r="RV46"/>
      <c r="RW46"/>
      <c r="RX46"/>
      <c r="RY46"/>
      <c r="RZ46"/>
      <c r="SA46"/>
      <c r="SB46"/>
      <c r="SC46"/>
      <c r="SD46"/>
      <c r="SE46"/>
      <c r="SF46"/>
      <c r="SG46"/>
      <c r="SH46"/>
      <c r="SI46"/>
      <c r="SJ46"/>
      <c r="SK46"/>
      <c r="SL46"/>
      <c r="SM46"/>
      <c r="SN46"/>
      <c r="SO46"/>
      <c r="SP46"/>
      <c r="SQ46"/>
      <c r="SR46"/>
      <c r="SS46"/>
      <c r="ST46"/>
      <c r="SU46"/>
      <c r="SV46"/>
      <c r="SW46"/>
      <c r="SX46"/>
      <c r="SY46"/>
      <c r="SZ46"/>
      <c r="TA46"/>
      <c r="TB46"/>
      <c r="TC46"/>
      <c r="TD46"/>
      <c r="TE46"/>
      <c r="TF46"/>
      <c r="TG46"/>
      <c r="TH46"/>
      <c r="TI46"/>
      <c r="TJ46"/>
      <c r="TK46"/>
      <c r="TL46"/>
      <c r="TM46"/>
      <c r="TN46"/>
      <c r="TO46"/>
      <c r="TP46"/>
      <c r="TQ46"/>
      <c r="TR46"/>
      <c r="TS46"/>
      <c r="TT46"/>
      <c r="TU46"/>
      <c r="TV46"/>
      <c r="TW46"/>
      <c r="TX46"/>
      <c r="TY46"/>
      <c r="TZ46"/>
      <c r="UA46"/>
      <c r="UB46"/>
      <c r="UC46"/>
      <c r="UD46"/>
      <c r="UE46"/>
      <c r="UF46"/>
      <c r="UG46"/>
      <c r="UH46"/>
      <c r="UI46"/>
      <c r="UJ46"/>
      <c r="UK46"/>
      <c r="UL46"/>
      <c r="UM46"/>
      <c r="UN46"/>
      <c r="UO46"/>
      <c r="UP46"/>
      <c r="UQ46"/>
      <c r="UR46"/>
      <c r="US46"/>
      <c r="UT46"/>
      <c r="UU46"/>
      <c r="UV46"/>
      <c r="UW46"/>
      <c r="UX46"/>
      <c r="UY46"/>
      <c r="UZ46"/>
      <c r="VA46"/>
      <c r="VB46"/>
      <c r="VC46"/>
      <c r="VD46"/>
      <c r="VE46"/>
      <c r="VF46"/>
      <c r="VG46"/>
      <c r="VH46"/>
      <c r="VI46"/>
      <c r="VJ46"/>
      <c r="VK46"/>
      <c r="VL46"/>
      <c r="VM46"/>
      <c r="VN46"/>
      <c r="VO46"/>
      <c r="VP46"/>
      <c r="VQ46"/>
      <c r="VR46"/>
      <c r="VS46"/>
      <c r="VT46"/>
      <c r="VU46"/>
      <c r="VV46"/>
      <c r="VW46"/>
      <c r="VX46"/>
      <c r="VY46"/>
      <c r="VZ46"/>
      <c r="WA46"/>
      <c r="WB46"/>
      <c r="WC46"/>
      <c r="WD46"/>
      <c r="WE46"/>
      <c r="WF46"/>
      <c r="WG46"/>
      <c r="WH46"/>
      <c r="WI46"/>
      <c r="WJ46"/>
      <c r="WK46"/>
      <c r="WL46"/>
      <c r="WM46"/>
      <c r="WN46"/>
      <c r="WO46"/>
      <c r="WP46"/>
      <c r="WQ46"/>
      <c r="WR46"/>
      <c r="WS46"/>
      <c r="WT46"/>
      <c r="WU46"/>
      <c r="WV46"/>
      <c r="WW46"/>
      <c r="WX46"/>
      <c r="WY46"/>
      <c r="WZ46"/>
      <c r="XA46"/>
      <c r="XB46"/>
      <c r="XC46"/>
      <c r="XD46"/>
      <c r="XE46"/>
      <c r="XF46"/>
      <c r="XG46"/>
      <c r="XH46"/>
      <c r="XI46"/>
      <c r="XJ46"/>
      <c r="XK46"/>
      <c r="XL46"/>
      <c r="XM46"/>
      <c r="XN46"/>
      <c r="XO46"/>
      <c r="XP46"/>
      <c r="XQ46"/>
      <c r="XR46"/>
      <c r="XS46"/>
      <c r="XT46"/>
      <c r="XU46"/>
      <c r="XV46"/>
      <c r="XW46"/>
      <c r="XX46"/>
      <c r="XY46"/>
      <c r="XZ46"/>
      <c r="YA46"/>
      <c r="YB46"/>
      <c r="YC46"/>
      <c r="YD46"/>
      <c r="YE46"/>
      <c r="YF46"/>
      <c r="YG46"/>
      <c r="YH46"/>
      <c r="YI46"/>
      <c r="YJ46"/>
      <c r="YK46"/>
      <c r="YL46"/>
      <c r="YM46"/>
      <c r="YN46"/>
      <c r="YO46"/>
      <c r="YP46"/>
      <c r="YQ46"/>
      <c r="YR46"/>
      <c r="YS46"/>
      <c r="YT46"/>
      <c r="YU46"/>
      <c r="YV46"/>
      <c r="YW46"/>
      <c r="YX46"/>
      <c r="YY46"/>
      <c r="YZ46"/>
      <c r="ZA46"/>
      <c r="ZB46"/>
      <c r="ZC46"/>
      <c r="ZD46"/>
      <c r="ZE46"/>
      <c r="ZF46"/>
      <c r="ZG46"/>
      <c r="ZH46"/>
      <c r="ZI46"/>
      <c r="ZJ46"/>
      <c r="ZK46"/>
      <c r="ZL46"/>
      <c r="ZM46"/>
      <c r="ZN46"/>
      <c r="ZO46"/>
      <c r="ZP46"/>
      <c r="ZQ46"/>
      <c r="ZR46"/>
      <c r="ZS46"/>
      <c r="ZT46"/>
      <c r="ZU46"/>
      <c r="ZV46"/>
      <c r="ZW46"/>
      <c r="ZX46"/>
      <c r="ZY46"/>
      <c r="ZZ46"/>
      <c r="AAA46"/>
      <c r="AAB46"/>
      <c r="AAC46"/>
      <c r="AAD46"/>
      <c r="AAE46"/>
      <c r="AAF46"/>
      <c r="AAG46"/>
      <c r="AAH46"/>
      <c r="AAI46"/>
      <c r="AAJ46"/>
      <c r="AAK46"/>
      <c r="AAL46"/>
      <c r="AAM46"/>
      <c r="AAN46"/>
      <c r="AAO46"/>
      <c r="AAP46"/>
      <c r="AAQ46"/>
      <c r="AAR46"/>
      <c r="AAS46"/>
      <c r="AAT46"/>
      <c r="AAU46"/>
      <c r="AAV46"/>
      <c r="AAW46"/>
      <c r="AAX46"/>
      <c r="AAY46"/>
      <c r="AAZ46"/>
      <c r="ABA46"/>
      <c r="ABB46"/>
      <c r="ABC46"/>
      <c r="ABD46"/>
      <c r="ABE46"/>
      <c r="ABF46"/>
      <c r="ABG46"/>
      <c r="ABH46"/>
      <c r="ABI46"/>
      <c r="ABJ46"/>
      <c r="ABK46"/>
      <c r="ABL46"/>
      <c r="ABM46"/>
      <c r="ABN46"/>
      <c r="ABO46"/>
      <c r="ABP46"/>
      <c r="ABQ46"/>
      <c r="ABR46"/>
      <c r="ABS46"/>
      <c r="ABT46"/>
      <c r="ABU46"/>
      <c r="ABV46"/>
      <c r="ABW46"/>
      <c r="ABX46"/>
      <c r="ABY46"/>
      <c r="ABZ46"/>
      <c r="ACA46"/>
      <c r="ACB46"/>
      <c r="ACC46"/>
      <c r="ACD46"/>
      <c r="ACE46"/>
      <c r="ACF46"/>
      <c r="ACG46"/>
      <c r="ACH46"/>
      <c r="ACI46"/>
      <c r="ACJ46"/>
      <c r="ACK46"/>
      <c r="ACL46"/>
      <c r="ACM46"/>
      <c r="ACN46"/>
      <c r="ACO46"/>
      <c r="ACP46"/>
      <c r="ACQ46"/>
      <c r="ACR46"/>
      <c r="ACS46"/>
      <c r="ACT46"/>
      <c r="ACU46"/>
      <c r="ACV46"/>
      <c r="ACW46"/>
      <c r="ACX46"/>
      <c r="ACY46"/>
      <c r="ACZ46"/>
      <c r="ADA46"/>
      <c r="ADB46"/>
      <c r="ADC46"/>
      <c r="ADD46"/>
      <c r="ADE46"/>
      <c r="ADF46"/>
      <c r="ADG46"/>
      <c r="ADH46"/>
      <c r="ADI46"/>
      <c r="ADJ46"/>
      <c r="ADK46"/>
      <c r="ADL46"/>
      <c r="ADM46"/>
      <c r="ADN46"/>
      <c r="ADO46"/>
      <c r="ADP46"/>
      <c r="ADQ46"/>
      <c r="ADR46"/>
      <c r="ADS46"/>
      <c r="ADT46"/>
      <c r="ADU46"/>
      <c r="ADV46"/>
      <c r="ADW46"/>
      <c r="ADX46"/>
      <c r="ADY46"/>
      <c r="ADZ46"/>
      <c r="AEA46"/>
      <c r="AEB46"/>
      <c r="AEC46"/>
      <c r="AED46"/>
      <c r="AEE46"/>
      <c r="AEF46"/>
      <c r="AEG46"/>
      <c r="AEH46"/>
      <c r="AEI46"/>
      <c r="AEJ46"/>
      <c r="AEK46"/>
      <c r="AEL46"/>
      <c r="AEM46"/>
      <c r="AEN46"/>
      <c r="AEO46"/>
      <c r="AEP46"/>
      <c r="AEQ46"/>
      <c r="AER46"/>
      <c r="AES46"/>
      <c r="AET46"/>
      <c r="AEU46"/>
      <c r="AEV46"/>
      <c r="AEW46"/>
      <c r="AEX46"/>
      <c r="AEY46"/>
      <c r="AEZ46"/>
      <c r="AFA46"/>
      <c r="AFB46"/>
      <c r="AFC46"/>
      <c r="AFD46"/>
      <c r="AFE46"/>
      <c r="AFF46"/>
      <c r="AFG46"/>
      <c r="AFH46"/>
      <c r="AFI46"/>
      <c r="AFJ46"/>
      <c r="AFK46"/>
      <c r="AFL46"/>
      <c r="AFM46"/>
      <c r="AFN46"/>
      <c r="AFO46"/>
      <c r="AFP46"/>
      <c r="AFQ46"/>
      <c r="AFR46"/>
      <c r="AFS46"/>
      <c r="AFT46"/>
      <c r="AFU46"/>
      <c r="AFV46"/>
      <c r="AFW46"/>
      <c r="AFX46"/>
      <c r="AFY46"/>
      <c r="AFZ46"/>
      <c r="AGA46"/>
      <c r="AGB46"/>
      <c r="AGC46"/>
      <c r="AGD46"/>
      <c r="AGE46"/>
      <c r="AGF46"/>
      <c r="AGG46"/>
      <c r="AGH46"/>
      <c r="AGI46"/>
      <c r="AGJ46"/>
      <c r="AGK46"/>
      <c r="AGL46"/>
      <c r="AGM46"/>
      <c r="AGN46"/>
      <c r="AGO46"/>
      <c r="AGP46"/>
      <c r="AGQ46"/>
      <c r="AGR46"/>
      <c r="AGS46"/>
      <c r="AGT46"/>
      <c r="AGU46"/>
      <c r="AGV46"/>
      <c r="AGW46"/>
      <c r="AGX46"/>
      <c r="AGY46"/>
      <c r="AGZ46"/>
      <c r="AHA46"/>
      <c r="AHB46"/>
      <c r="AHC46"/>
      <c r="AHD46"/>
      <c r="AHE46"/>
      <c r="AHF46"/>
      <c r="AHG46"/>
      <c r="AHH46"/>
      <c r="AHI46"/>
      <c r="AHJ46"/>
      <c r="AHK46"/>
      <c r="AHL46"/>
      <c r="AHM46"/>
      <c r="AHN46"/>
      <c r="AHO46"/>
      <c r="AHP46"/>
      <c r="AHQ46"/>
      <c r="AHR46"/>
      <c r="AHS46"/>
      <c r="AHT46"/>
      <c r="AHU46"/>
      <c r="AHV46"/>
      <c r="AHW46"/>
      <c r="AHX46"/>
      <c r="AHY46"/>
      <c r="AHZ46"/>
      <c r="AIA46"/>
      <c r="AIB46"/>
      <c r="AIC46"/>
      <c r="AID46"/>
      <c r="AIE46"/>
      <c r="AIF46"/>
      <c r="AIG46"/>
      <c r="AIH46"/>
      <c r="AII46"/>
      <c r="AIJ46"/>
      <c r="AIK46"/>
      <c r="AIL46"/>
      <c r="AIM46"/>
      <c r="AIN46"/>
      <c r="AIO46"/>
      <c r="AIP46"/>
      <c r="AIQ46"/>
      <c r="AIR46"/>
      <c r="AIS46"/>
      <c r="AIT46"/>
      <c r="AIU46"/>
      <c r="AIV46"/>
      <c r="AIW46"/>
      <c r="AIX46"/>
      <c r="AIY46"/>
      <c r="AIZ46"/>
      <c r="AJA46"/>
      <c r="AJB46"/>
      <c r="AJC46"/>
      <c r="AJD46"/>
      <c r="AJE46"/>
      <c r="AJF46"/>
      <c r="AJG46"/>
      <c r="AJH46"/>
      <c r="AJI46"/>
      <c r="AJJ46"/>
      <c r="AJK46"/>
      <c r="AJL46"/>
      <c r="AJM46"/>
      <c r="AJN46"/>
      <c r="AJO46"/>
      <c r="AJP46"/>
      <c r="AJQ46"/>
      <c r="AJR46"/>
      <c r="AJS46"/>
      <c r="AJT46"/>
      <c r="AJU46"/>
      <c r="AJV46"/>
      <c r="AJW46"/>
      <c r="AJX46"/>
      <c r="AJY46"/>
      <c r="AJZ46"/>
      <c r="AKA46"/>
      <c r="AKB46"/>
      <c r="AKC46"/>
      <c r="AKD46"/>
      <c r="AKE46"/>
      <c r="AKF46"/>
      <c r="AKG46"/>
      <c r="AKH46"/>
      <c r="AKI46"/>
      <c r="AKJ46"/>
      <c r="AKK46"/>
      <c r="AKL46"/>
      <c r="AKM46"/>
      <c r="AKN46"/>
      <c r="AKO46"/>
      <c r="AKP46"/>
      <c r="AKQ46"/>
      <c r="AKR46"/>
      <c r="AKS46"/>
      <c r="AKT46"/>
      <c r="AKU46"/>
      <c r="AKV46"/>
      <c r="AKW46"/>
      <c r="AKX46"/>
      <c r="AKY46"/>
      <c r="AKZ46"/>
      <c r="ALA46"/>
      <c r="ALB46"/>
      <c r="ALC46"/>
      <c r="ALD46"/>
      <c r="ALE46"/>
      <c r="ALF46"/>
      <c r="ALG46"/>
      <c r="ALH46"/>
      <c r="ALI46"/>
      <c r="ALJ46"/>
      <c r="ALK46"/>
      <c r="ALL46"/>
      <c r="ALM46"/>
      <c r="ALN46"/>
      <c r="ALO46"/>
      <c r="ALP46"/>
      <c r="ALQ46"/>
      <c r="ALR46"/>
      <c r="ALS46"/>
      <c r="ALT46"/>
      <c r="ALU46"/>
      <c r="ALV46"/>
      <c r="ALW46"/>
      <c r="ALX46"/>
      <c r="ALY46"/>
      <c r="ALZ46"/>
      <c r="AMA46"/>
      <c r="AMB46"/>
      <c r="AMC46"/>
      <c r="AMD46"/>
      <c r="AME46"/>
      <c r="AMF46"/>
      <c r="AMG46"/>
      <c r="AMH46"/>
      <c r="AMI46"/>
      <c r="AMJ46"/>
      <c r="AMK46"/>
      <c r="AML46"/>
      <c r="AMM46"/>
      <c r="AMN46"/>
      <c r="AMO46"/>
      <c r="AMP46"/>
      <c r="AMQ46"/>
      <c r="AMR46"/>
      <c r="AMS46"/>
      <c r="AMT46"/>
      <c r="AMU46"/>
      <c r="AMV46"/>
      <c r="AMW46"/>
      <c r="AMX46"/>
      <c r="AMY46"/>
      <c r="AMZ46"/>
      <c r="ANA46"/>
      <c r="ANB46"/>
      <c r="ANC46"/>
      <c r="AND46"/>
      <c r="ANE46"/>
      <c r="ANF46"/>
      <c r="ANG46"/>
      <c r="ANH46"/>
      <c r="ANI46"/>
      <c r="ANJ46"/>
      <c r="ANK46"/>
      <c r="ANL46"/>
      <c r="ANM46"/>
      <c r="ANN46"/>
      <c r="ANO46"/>
    </row>
    <row r="47" spans="1:1055" s="36" customFormat="1" x14ac:dyDescent="0.25">
      <c r="A47" s="47" t="s">
        <v>69</v>
      </c>
      <c r="B47" s="35">
        <v>0</v>
      </c>
      <c r="C47" s="36">
        <v>0</v>
      </c>
      <c r="D47" s="36">
        <v>0</v>
      </c>
      <c r="E47" s="37">
        <v>4700</v>
      </c>
      <c r="F47" s="35">
        <v>0</v>
      </c>
      <c r="G47" s="97">
        <v>0</v>
      </c>
      <c r="H47" s="97">
        <v>0</v>
      </c>
      <c r="I47" s="97">
        <v>0</v>
      </c>
      <c r="J47" s="97">
        <v>0</v>
      </c>
      <c r="K47" s="36">
        <v>0</v>
      </c>
      <c r="L47" s="38">
        <v>0</v>
      </c>
      <c r="M47" s="39">
        <v>16.600000000000001</v>
      </c>
      <c r="N47" s="40">
        <v>0</v>
      </c>
      <c r="O47" s="35"/>
      <c r="Q47" s="38">
        <v>0</v>
      </c>
      <c r="R47" s="35">
        <v>0</v>
      </c>
      <c r="S47" s="38">
        <v>0</v>
      </c>
      <c r="T47" s="41">
        <v>0</v>
      </c>
      <c r="U47" s="42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  <c r="AB47" s="36">
        <v>0</v>
      </c>
      <c r="AC47" s="36">
        <v>0</v>
      </c>
      <c r="AD47" s="36">
        <v>0</v>
      </c>
      <c r="AE47" s="36">
        <v>0</v>
      </c>
      <c r="AF47" s="36">
        <v>0</v>
      </c>
      <c r="AG47" s="36">
        <v>0</v>
      </c>
      <c r="AH47" s="36">
        <v>0</v>
      </c>
      <c r="AI47" s="36">
        <v>0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36">
        <v>0</v>
      </c>
      <c r="AQ47" s="36">
        <v>0</v>
      </c>
      <c r="AR47" s="38">
        <v>0</v>
      </c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  <c r="LQ47"/>
      <c r="LR47"/>
      <c r="LS47"/>
      <c r="LT47"/>
      <c r="LU47"/>
      <c r="LV47"/>
      <c r="LW47"/>
      <c r="LX47"/>
      <c r="LY47"/>
      <c r="LZ47"/>
      <c r="MA47"/>
      <c r="MB47"/>
      <c r="MC47"/>
      <c r="MD47"/>
      <c r="ME47"/>
      <c r="MF47"/>
      <c r="MG47"/>
      <c r="MH47"/>
      <c r="MI47"/>
      <c r="MJ47"/>
      <c r="MK47"/>
      <c r="ML47"/>
      <c r="MM47"/>
      <c r="MN47"/>
      <c r="MO47"/>
      <c r="MP47"/>
      <c r="MQ47"/>
      <c r="MR47"/>
      <c r="MS47"/>
      <c r="MT47"/>
      <c r="MU47"/>
      <c r="MV47"/>
      <c r="MW47"/>
      <c r="MX47"/>
      <c r="MY47"/>
      <c r="MZ47"/>
      <c r="NA47"/>
      <c r="NB47"/>
      <c r="NC47"/>
      <c r="ND47"/>
      <c r="NE47"/>
      <c r="NF47"/>
      <c r="NG47"/>
      <c r="NH47"/>
      <c r="NI47"/>
      <c r="NJ47"/>
      <c r="NK47"/>
      <c r="NL47"/>
      <c r="NM47"/>
      <c r="NN47"/>
      <c r="NO47"/>
      <c r="NP47"/>
      <c r="NQ47"/>
      <c r="NR47"/>
      <c r="NS47"/>
      <c r="NT47"/>
      <c r="NU47"/>
      <c r="NV47"/>
      <c r="NW47"/>
      <c r="NX47"/>
      <c r="NY47"/>
      <c r="NZ47"/>
      <c r="OA47"/>
      <c r="OB47"/>
      <c r="OC47"/>
      <c r="OD47"/>
      <c r="OE47"/>
      <c r="OF47"/>
      <c r="OG47"/>
      <c r="OH47"/>
      <c r="OI47"/>
      <c r="OJ47"/>
      <c r="OK47"/>
      <c r="OL47"/>
      <c r="OM47"/>
      <c r="ON47"/>
      <c r="OO47"/>
      <c r="OP47"/>
      <c r="OQ47"/>
      <c r="OR47"/>
      <c r="OS47"/>
      <c r="OT47"/>
      <c r="OU47"/>
      <c r="OV47"/>
      <c r="OW47"/>
      <c r="OX47"/>
      <c r="OY47"/>
      <c r="OZ47"/>
      <c r="PA47"/>
      <c r="PB47"/>
      <c r="PC47"/>
      <c r="PD47"/>
      <c r="PE47"/>
      <c r="PF47"/>
      <c r="PG47"/>
      <c r="PH47"/>
      <c r="PI47"/>
      <c r="PJ47"/>
      <c r="PK47"/>
      <c r="PL47"/>
      <c r="PM47"/>
      <c r="PN47"/>
      <c r="PO47"/>
      <c r="PP47"/>
      <c r="PQ47"/>
      <c r="PR47"/>
      <c r="PS47"/>
      <c r="PT47"/>
      <c r="PU47"/>
      <c r="PV47"/>
      <c r="PW47"/>
      <c r="PX47"/>
      <c r="PY47"/>
      <c r="PZ47"/>
      <c r="QA47"/>
      <c r="QB47"/>
      <c r="QC47"/>
      <c r="QD47"/>
      <c r="QE47"/>
      <c r="QF47"/>
      <c r="QG47"/>
      <c r="QH47"/>
      <c r="QI47"/>
      <c r="QJ47"/>
      <c r="QK47"/>
      <c r="QL47"/>
      <c r="QM47"/>
      <c r="QN47"/>
      <c r="QO47"/>
      <c r="QP47"/>
      <c r="QQ47"/>
      <c r="QR47"/>
      <c r="QS47"/>
      <c r="QT47"/>
      <c r="QU47"/>
      <c r="QV47"/>
      <c r="QW47"/>
      <c r="QX47"/>
      <c r="QY47"/>
      <c r="QZ47"/>
      <c r="RA47"/>
      <c r="RB47"/>
      <c r="RC47"/>
      <c r="RD47"/>
      <c r="RE47"/>
      <c r="RF47"/>
      <c r="RG47"/>
      <c r="RH47"/>
      <c r="RI47"/>
      <c r="RJ47"/>
      <c r="RK47"/>
      <c r="RL47"/>
      <c r="RM47"/>
      <c r="RN47"/>
      <c r="RO47"/>
      <c r="RP47"/>
      <c r="RQ47"/>
      <c r="RR47"/>
      <c r="RS47"/>
      <c r="RT47"/>
      <c r="RU47"/>
      <c r="RV47"/>
      <c r="RW47"/>
      <c r="RX47"/>
      <c r="RY47"/>
      <c r="RZ47"/>
      <c r="SA47"/>
      <c r="SB47"/>
      <c r="SC47"/>
      <c r="SD47"/>
      <c r="SE47"/>
      <c r="SF47"/>
      <c r="SG47"/>
      <c r="SH47"/>
      <c r="SI47"/>
      <c r="SJ47"/>
      <c r="SK47"/>
      <c r="SL47"/>
      <c r="SM47"/>
      <c r="SN47"/>
      <c r="SO47"/>
      <c r="SP47"/>
      <c r="SQ47"/>
      <c r="SR47"/>
      <c r="SS47"/>
      <c r="ST47"/>
      <c r="SU47"/>
      <c r="SV47"/>
      <c r="SW47"/>
      <c r="SX47"/>
      <c r="SY47"/>
      <c r="SZ47"/>
      <c r="TA47"/>
      <c r="TB47"/>
      <c r="TC47"/>
      <c r="TD47"/>
      <c r="TE47"/>
      <c r="TF47"/>
      <c r="TG47"/>
      <c r="TH47"/>
      <c r="TI47"/>
      <c r="TJ47"/>
      <c r="TK47"/>
      <c r="TL47"/>
      <c r="TM47"/>
      <c r="TN47"/>
      <c r="TO47"/>
      <c r="TP47"/>
      <c r="TQ47"/>
      <c r="TR47"/>
      <c r="TS47"/>
      <c r="TT47"/>
      <c r="TU47"/>
      <c r="TV47"/>
      <c r="TW47"/>
      <c r="TX47"/>
      <c r="TY47"/>
      <c r="TZ47"/>
      <c r="UA47"/>
      <c r="UB47"/>
      <c r="UC47"/>
      <c r="UD47"/>
      <c r="UE47"/>
      <c r="UF47"/>
      <c r="UG47"/>
      <c r="UH47"/>
      <c r="UI47"/>
      <c r="UJ47"/>
      <c r="UK47"/>
      <c r="UL47"/>
      <c r="UM47"/>
      <c r="UN47"/>
      <c r="UO47"/>
      <c r="UP47"/>
      <c r="UQ47"/>
      <c r="UR47"/>
      <c r="US47"/>
      <c r="UT47"/>
      <c r="UU47"/>
      <c r="UV47"/>
      <c r="UW47"/>
      <c r="UX47"/>
      <c r="UY47"/>
      <c r="UZ47"/>
      <c r="VA47"/>
      <c r="VB47"/>
      <c r="VC47"/>
      <c r="VD47"/>
      <c r="VE47"/>
      <c r="VF47"/>
      <c r="VG47"/>
      <c r="VH47"/>
      <c r="VI47"/>
      <c r="VJ47"/>
      <c r="VK47"/>
      <c r="VL47"/>
      <c r="VM47"/>
      <c r="VN47"/>
      <c r="VO47"/>
      <c r="VP47"/>
      <c r="VQ47"/>
      <c r="VR47"/>
      <c r="VS47"/>
      <c r="VT47"/>
      <c r="VU47"/>
      <c r="VV47"/>
      <c r="VW47"/>
      <c r="VX47"/>
      <c r="VY47"/>
      <c r="VZ47"/>
      <c r="WA47"/>
      <c r="WB47"/>
      <c r="WC47"/>
      <c r="WD47"/>
      <c r="WE47"/>
      <c r="WF47"/>
      <c r="WG47"/>
      <c r="WH47"/>
      <c r="WI47"/>
      <c r="WJ47"/>
      <c r="WK47"/>
      <c r="WL47"/>
      <c r="WM47"/>
      <c r="WN47"/>
      <c r="WO47"/>
      <c r="WP47"/>
      <c r="WQ47"/>
      <c r="WR47"/>
      <c r="WS47"/>
      <c r="WT47"/>
      <c r="WU47"/>
      <c r="WV47"/>
      <c r="WW47"/>
      <c r="WX47"/>
      <c r="WY47"/>
      <c r="WZ47"/>
      <c r="XA47"/>
      <c r="XB47"/>
      <c r="XC47"/>
      <c r="XD47"/>
      <c r="XE47"/>
      <c r="XF47"/>
      <c r="XG47"/>
      <c r="XH47"/>
      <c r="XI47"/>
      <c r="XJ47"/>
      <c r="XK47"/>
      <c r="XL47"/>
      <c r="XM47"/>
      <c r="XN47"/>
      <c r="XO47"/>
      <c r="XP47"/>
      <c r="XQ47"/>
      <c r="XR47"/>
      <c r="XS47"/>
      <c r="XT47"/>
      <c r="XU47"/>
      <c r="XV47"/>
      <c r="XW47"/>
      <c r="XX47"/>
      <c r="XY47"/>
      <c r="XZ47"/>
      <c r="YA47"/>
      <c r="YB47"/>
      <c r="YC47"/>
      <c r="YD47"/>
      <c r="YE47"/>
      <c r="YF47"/>
      <c r="YG47"/>
      <c r="YH47"/>
      <c r="YI47"/>
      <c r="YJ47"/>
      <c r="YK47"/>
      <c r="YL47"/>
      <c r="YM47"/>
      <c r="YN47"/>
      <c r="YO47"/>
      <c r="YP47"/>
      <c r="YQ47"/>
      <c r="YR47"/>
      <c r="YS47"/>
      <c r="YT47"/>
      <c r="YU47"/>
      <c r="YV47"/>
      <c r="YW47"/>
      <c r="YX47"/>
      <c r="YY47"/>
      <c r="YZ47"/>
      <c r="ZA47"/>
      <c r="ZB47"/>
      <c r="ZC47"/>
      <c r="ZD47"/>
      <c r="ZE47"/>
      <c r="ZF47"/>
      <c r="ZG47"/>
      <c r="ZH47"/>
      <c r="ZI47"/>
      <c r="ZJ47"/>
      <c r="ZK47"/>
      <c r="ZL47"/>
      <c r="ZM47"/>
      <c r="ZN47"/>
      <c r="ZO47"/>
      <c r="ZP47"/>
      <c r="ZQ47"/>
      <c r="ZR47"/>
      <c r="ZS47"/>
      <c r="ZT47"/>
      <c r="ZU47"/>
      <c r="ZV47"/>
      <c r="ZW47"/>
      <c r="ZX47"/>
      <c r="ZY47"/>
      <c r="ZZ47"/>
      <c r="AAA47"/>
      <c r="AAB47"/>
      <c r="AAC47"/>
      <c r="AAD47"/>
      <c r="AAE47"/>
      <c r="AAF47"/>
      <c r="AAG47"/>
      <c r="AAH47"/>
      <c r="AAI47"/>
      <c r="AAJ47"/>
      <c r="AAK47"/>
      <c r="AAL47"/>
      <c r="AAM47"/>
      <c r="AAN47"/>
      <c r="AAO47"/>
      <c r="AAP47"/>
      <c r="AAQ47"/>
      <c r="AAR47"/>
      <c r="AAS47"/>
      <c r="AAT47"/>
      <c r="AAU47"/>
      <c r="AAV47"/>
      <c r="AAW47"/>
      <c r="AAX47"/>
      <c r="AAY47"/>
      <c r="AAZ47"/>
      <c r="ABA47"/>
      <c r="ABB47"/>
      <c r="ABC47"/>
      <c r="ABD47"/>
      <c r="ABE47"/>
      <c r="ABF47"/>
      <c r="ABG47"/>
      <c r="ABH47"/>
      <c r="ABI47"/>
      <c r="ABJ47"/>
      <c r="ABK47"/>
      <c r="ABL47"/>
      <c r="ABM47"/>
      <c r="ABN47"/>
      <c r="ABO47"/>
      <c r="ABP47"/>
      <c r="ABQ47"/>
      <c r="ABR47"/>
      <c r="ABS47"/>
      <c r="ABT47"/>
      <c r="ABU47"/>
      <c r="ABV47"/>
      <c r="ABW47"/>
      <c r="ABX47"/>
      <c r="ABY47"/>
      <c r="ABZ47"/>
      <c r="ACA47"/>
      <c r="ACB47"/>
      <c r="ACC47"/>
      <c r="ACD47"/>
      <c r="ACE47"/>
      <c r="ACF47"/>
      <c r="ACG47"/>
      <c r="ACH47"/>
      <c r="ACI47"/>
      <c r="ACJ47"/>
      <c r="ACK47"/>
      <c r="ACL47"/>
      <c r="ACM47"/>
      <c r="ACN47"/>
      <c r="ACO47"/>
      <c r="ACP47"/>
      <c r="ACQ47"/>
      <c r="ACR47"/>
      <c r="ACS47"/>
      <c r="ACT47"/>
      <c r="ACU47"/>
      <c r="ACV47"/>
      <c r="ACW47"/>
      <c r="ACX47"/>
      <c r="ACY47"/>
      <c r="ACZ47"/>
      <c r="ADA47"/>
      <c r="ADB47"/>
      <c r="ADC47"/>
      <c r="ADD47"/>
      <c r="ADE47"/>
      <c r="ADF47"/>
      <c r="ADG47"/>
      <c r="ADH47"/>
      <c r="ADI47"/>
      <c r="ADJ47"/>
      <c r="ADK47"/>
      <c r="ADL47"/>
      <c r="ADM47"/>
      <c r="ADN47"/>
      <c r="ADO47"/>
      <c r="ADP47"/>
      <c r="ADQ47"/>
      <c r="ADR47"/>
      <c r="ADS47"/>
      <c r="ADT47"/>
      <c r="ADU47"/>
      <c r="ADV47"/>
      <c r="ADW47"/>
      <c r="ADX47"/>
      <c r="ADY47"/>
      <c r="ADZ47"/>
      <c r="AEA47"/>
      <c r="AEB47"/>
      <c r="AEC47"/>
      <c r="AED47"/>
      <c r="AEE47"/>
      <c r="AEF47"/>
      <c r="AEG47"/>
      <c r="AEH47"/>
      <c r="AEI47"/>
      <c r="AEJ47"/>
      <c r="AEK47"/>
      <c r="AEL47"/>
      <c r="AEM47"/>
      <c r="AEN47"/>
      <c r="AEO47"/>
      <c r="AEP47"/>
      <c r="AEQ47"/>
      <c r="AER47"/>
      <c r="AES47"/>
      <c r="AET47"/>
      <c r="AEU47"/>
      <c r="AEV47"/>
      <c r="AEW47"/>
      <c r="AEX47"/>
      <c r="AEY47"/>
      <c r="AEZ47"/>
      <c r="AFA47"/>
      <c r="AFB47"/>
      <c r="AFC47"/>
      <c r="AFD47"/>
      <c r="AFE47"/>
      <c r="AFF47"/>
      <c r="AFG47"/>
      <c r="AFH47"/>
      <c r="AFI47"/>
      <c r="AFJ47"/>
      <c r="AFK47"/>
      <c r="AFL47"/>
      <c r="AFM47"/>
      <c r="AFN47"/>
      <c r="AFO47"/>
      <c r="AFP47"/>
      <c r="AFQ47"/>
      <c r="AFR47"/>
      <c r="AFS47"/>
      <c r="AFT47"/>
      <c r="AFU47"/>
      <c r="AFV47"/>
      <c r="AFW47"/>
      <c r="AFX47"/>
      <c r="AFY47"/>
      <c r="AFZ47"/>
      <c r="AGA47"/>
      <c r="AGB47"/>
      <c r="AGC47"/>
      <c r="AGD47"/>
      <c r="AGE47"/>
      <c r="AGF47"/>
      <c r="AGG47"/>
      <c r="AGH47"/>
      <c r="AGI47"/>
      <c r="AGJ47"/>
      <c r="AGK47"/>
      <c r="AGL47"/>
      <c r="AGM47"/>
      <c r="AGN47"/>
      <c r="AGO47"/>
      <c r="AGP47"/>
      <c r="AGQ47"/>
      <c r="AGR47"/>
      <c r="AGS47"/>
      <c r="AGT47"/>
      <c r="AGU47"/>
      <c r="AGV47"/>
      <c r="AGW47"/>
      <c r="AGX47"/>
      <c r="AGY47"/>
      <c r="AGZ47"/>
      <c r="AHA47"/>
      <c r="AHB47"/>
      <c r="AHC47"/>
      <c r="AHD47"/>
      <c r="AHE47"/>
      <c r="AHF47"/>
      <c r="AHG47"/>
      <c r="AHH47"/>
      <c r="AHI47"/>
      <c r="AHJ47"/>
      <c r="AHK47"/>
      <c r="AHL47"/>
      <c r="AHM47"/>
      <c r="AHN47"/>
      <c r="AHO47"/>
      <c r="AHP47"/>
      <c r="AHQ47"/>
      <c r="AHR47"/>
      <c r="AHS47"/>
      <c r="AHT47"/>
      <c r="AHU47"/>
      <c r="AHV47"/>
      <c r="AHW47"/>
      <c r="AHX47"/>
      <c r="AHY47"/>
      <c r="AHZ47"/>
      <c r="AIA47"/>
      <c r="AIB47"/>
      <c r="AIC47"/>
      <c r="AID47"/>
      <c r="AIE47"/>
      <c r="AIF47"/>
      <c r="AIG47"/>
      <c r="AIH47"/>
      <c r="AII47"/>
      <c r="AIJ47"/>
      <c r="AIK47"/>
      <c r="AIL47"/>
      <c r="AIM47"/>
      <c r="AIN47"/>
      <c r="AIO47"/>
      <c r="AIP47"/>
      <c r="AIQ47"/>
      <c r="AIR47"/>
      <c r="AIS47"/>
      <c r="AIT47"/>
      <c r="AIU47"/>
      <c r="AIV47"/>
      <c r="AIW47"/>
      <c r="AIX47"/>
      <c r="AIY47"/>
      <c r="AIZ47"/>
      <c r="AJA47"/>
      <c r="AJB47"/>
      <c r="AJC47"/>
      <c r="AJD47"/>
      <c r="AJE47"/>
      <c r="AJF47"/>
      <c r="AJG47"/>
      <c r="AJH47"/>
      <c r="AJI47"/>
      <c r="AJJ47"/>
      <c r="AJK47"/>
      <c r="AJL47"/>
      <c r="AJM47"/>
      <c r="AJN47"/>
      <c r="AJO47"/>
      <c r="AJP47"/>
      <c r="AJQ47"/>
      <c r="AJR47"/>
      <c r="AJS47"/>
      <c r="AJT47"/>
      <c r="AJU47"/>
      <c r="AJV47"/>
      <c r="AJW47"/>
      <c r="AJX47"/>
      <c r="AJY47"/>
      <c r="AJZ47"/>
      <c r="AKA47"/>
      <c r="AKB47"/>
      <c r="AKC47"/>
      <c r="AKD47"/>
      <c r="AKE47"/>
      <c r="AKF47"/>
      <c r="AKG47"/>
      <c r="AKH47"/>
      <c r="AKI47"/>
      <c r="AKJ47"/>
      <c r="AKK47"/>
      <c r="AKL47"/>
      <c r="AKM47"/>
      <c r="AKN47"/>
      <c r="AKO47"/>
      <c r="AKP47"/>
      <c r="AKQ47"/>
      <c r="AKR47"/>
      <c r="AKS47"/>
      <c r="AKT47"/>
      <c r="AKU47"/>
      <c r="AKV47"/>
      <c r="AKW47"/>
      <c r="AKX47"/>
      <c r="AKY47"/>
      <c r="AKZ47"/>
      <c r="ALA47"/>
      <c r="ALB47"/>
      <c r="ALC47"/>
      <c r="ALD47"/>
      <c r="ALE47"/>
      <c r="ALF47"/>
      <c r="ALG47"/>
      <c r="ALH47"/>
      <c r="ALI47"/>
      <c r="ALJ47"/>
      <c r="ALK47"/>
      <c r="ALL47"/>
      <c r="ALM47"/>
      <c r="ALN47"/>
      <c r="ALO47"/>
      <c r="ALP47"/>
      <c r="ALQ47"/>
      <c r="ALR47"/>
      <c r="ALS47"/>
      <c r="ALT47"/>
      <c r="ALU47"/>
      <c r="ALV47"/>
      <c r="ALW47"/>
      <c r="ALX47"/>
      <c r="ALY47"/>
      <c r="ALZ47"/>
      <c r="AMA47"/>
      <c r="AMB47"/>
      <c r="AMC47"/>
      <c r="AMD47"/>
      <c r="AME47"/>
      <c r="AMF47"/>
      <c r="AMG47"/>
      <c r="AMH47"/>
      <c r="AMI47"/>
      <c r="AMJ47"/>
      <c r="AMK47"/>
      <c r="AML47"/>
      <c r="AMM47"/>
      <c r="AMN47"/>
      <c r="AMO47"/>
      <c r="AMP47"/>
      <c r="AMQ47"/>
      <c r="AMR47"/>
      <c r="AMS47"/>
      <c r="AMT47"/>
      <c r="AMU47"/>
      <c r="AMV47"/>
      <c r="AMW47"/>
      <c r="AMX47"/>
      <c r="AMY47"/>
      <c r="AMZ47"/>
      <c r="ANA47"/>
      <c r="ANB47"/>
      <c r="ANC47"/>
      <c r="AND47"/>
      <c r="ANE47"/>
      <c r="ANF47"/>
      <c r="ANG47"/>
      <c r="ANH47"/>
      <c r="ANI47"/>
      <c r="ANJ47"/>
      <c r="ANK47"/>
      <c r="ANL47"/>
      <c r="ANM47"/>
      <c r="ANN47"/>
      <c r="ANO47"/>
    </row>
    <row r="48" spans="1:1055" s="36" customFormat="1" x14ac:dyDescent="0.25">
      <c r="A48" s="47" t="s">
        <v>70</v>
      </c>
      <c r="B48" s="35">
        <v>16560</v>
      </c>
      <c r="C48" s="36">
        <v>16560</v>
      </c>
      <c r="D48" s="36">
        <v>0</v>
      </c>
      <c r="E48" s="37">
        <v>1900</v>
      </c>
      <c r="F48" s="35">
        <v>0</v>
      </c>
      <c r="G48" s="97">
        <v>0</v>
      </c>
      <c r="H48" s="97">
        <v>0</v>
      </c>
      <c r="I48" s="97">
        <v>0</v>
      </c>
      <c r="J48" s="97">
        <v>0</v>
      </c>
      <c r="K48" s="36">
        <v>160000</v>
      </c>
      <c r="L48" s="38">
        <v>0</v>
      </c>
      <c r="M48" s="39">
        <v>8.1000000000000003E-2</v>
      </c>
      <c r="N48" s="40">
        <v>0</v>
      </c>
      <c r="O48" s="35"/>
      <c r="Q48" s="38">
        <v>0</v>
      </c>
      <c r="R48" s="35">
        <v>0</v>
      </c>
      <c r="S48" s="38">
        <v>0</v>
      </c>
      <c r="T48" s="41">
        <v>0</v>
      </c>
      <c r="U48" s="42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  <c r="AB48" s="36">
        <v>0</v>
      </c>
      <c r="AC48" s="36">
        <v>0</v>
      </c>
      <c r="AD48" s="36">
        <v>0</v>
      </c>
      <c r="AE48" s="36">
        <v>0</v>
      </c>
      <c r="AF48" s="36">
        <v>0</v>
      </c>
      <c r="AG48" s="36">
        <v>0</v>
      </c>
      <c r="AH48" s="36">
        <v>0</v>
      </c>
      <c r="AI48" s="36">
        <v>0</v>
      </c>
      <c r="AJ48" s="36">
        <v>0</v>
      </c>
      <c r="AK48" s="36">
        <v>0</v>
      </c>
      <c r="AL48" s="36">
        <v>0</v>
      </c>
      <c r="AM48" s="36">
        <v>0</v>
      </c>
      <c r="AN48" s="36">
        <v>0</v>
      </c>
      <c r="AO48" s="36">
        <v>0</v>
      </c>
      <c r="AP48" s="36">
        <v>0</v>
      </c>
      <c r="AQ48" s="36">
        <v>0</v>
      </c>
      <c r="AR48" s="38">
        <v>0</v>
      </c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  <c r="LO48"/>
      <c r="LP48"/>
      <c r="LQ48"/>
      <c r="LR48"/>
      <c r="LS48"/>
      <c r="LT48"/>
      <c r="LU48"/>
      <c r="LV48"/>
      <c r="LW48"/>
      <c r="LX48"/>
      <c r="LY48"/>
      <c r="LZ48"/>
      <c r="MA48"/>
      <c r="MB48"/>
      <c r="MC48"/>
      <c r="MD48"/>
      <c r="ME48"/>
      <c r="MF48"/>
      <c r="MG48"/>
      <c r="MH48"/>
      <c r="MI48"/>
      <c r="MJ48"/>
      <c r="MK48"/>
      <c r="ML48"/>
      <c r="MM48"/>
      <c r="MN48"/>
      <c r="MO48"/>
      <c r="MP48"/>
      <c r="MQ48"/>
      <c r="MR48"/>
      <c r="MS48"/>
      <c r="MT48"/>
      <c r="MU48"/>
      <c r="MV48"/>
      <c r="MW48"/>
      <c r="MX48"/>
      <c r="MY48"/>
      <c r="MZ48"/>
      <c r="NA48"/>
      <c r="NB48"/>
      <c r="NC48"/>
      <c r="ND48"/>
      <c r="NE48"/>
      <c r="NF48"/>
      <c r="NG48"/>
      <c r="NH48"/>
      <c r="NI48"/>
      <c r="NJ48"/>
      <c r="NK48"/>
      <c r="NL48"/>
      <c r="NM48"/>
      <c r="NN48"/>
      <c r="NO48"/>
      <c r="NP48"/>
      <c r="NQ48"/>
      <c r="NR48"/>
      <c r="NS48"/>
      <c r="NT48"/>
      <c r="NU48"/>
      <c r="NV48"/>
      <c r="NW48"/>
      <c r="NX48"/>
      <c r="NY48"/>
      <c r="NZ48"/>
      <c r="OA48"/>
      <c r="OB48"/>
      <c r="OC48"/>
      <c r="OD48"/>
      <c r="OE48"/>
      <c r="OF48"/>
      <c r="OG48"/>
      <c r="OH48"/>
      <c r="OI48"/>
      <c r="OJ48"/>
      <c r="OK48"/>
      <c r="OL48"/>
      <c r="OM48"/>
      <c r="ON48"/>
      <c r="OO48"/>
      <c r="OP48"/>
      <c r="OQ48"/>
      <c r="OR48"/>
      <c r="OS48"/>
      <c r="OT48"/>
      <c r="OU48"/>
      <c r="OV48"/>
      <c r="OW48"/>
      <c r="OX48"/>
      <c r="OY48"/>
      <c r="OZ48"/>
      <c r="PA48"/>
      <c r="PB48"/>
      <c r="PC48"/>
      <c r="PD48"/>
      <c r="PE48"/>
      <c r="PF48"/>
      <c r="PG48"/>
      <c r="PH48"/>
      <c r="PI48"/>
      <c r="PJ48"/>
      <c r="PK48"/>
      <c r="PL48"/>
      <c r="PM48"/>
      <c r="PN48"/>
      <c r="PO48"/>
      <c r="PP48"/>
      <c r="PQ48"/>
      <c r="PR48"/>
      <c r="PS48"/>
      <c r="PT48"/>
      <c r="PU48"/>
      <c r="PV48"/>
      <c r="PW48"/>
      <c r="PX48"/>
      <c r="PY48"/>
      <c r="PZ48"/>
      <c r="QA48"/>
      <c r="QB48"/>
      <c r="QC48"/>
      <c r="QD48"/>
      <c r="QE48"/>
      <c r="QF48"/>
      <c r="QG48"/>
      <c r="QH48"/>
      <c r="QI48"/>
      <c r="QJ48"/>
      <c r="QK48"/>
      <c r="QL48"/>
      <c r="QM48"/>
      <c r="QN48"/>
      <c r="QO48"/>
      <c r="QP48"/>
      <c r="QQ48"/>
      <c r="QR48"/>
      <c r="QS48"/>
      <c r="QT48"/>
      <c r="QU48"/>
      <c r="QV48"/>
      <c r="QW48"/>
      <c r="QX48"/>
      <c r="QY48"/>
      <c r="QZ48"/>
      <c r="RA48"/>
      <c r="RB48"/>
      <c r="RC48"/>
      <c r="RD48"/>
      <c r="RE48"/>
      <c r="RF48"/>
      <c r="RG48"/>
      <c r="RH48"/>
      <c r="RI48"/>
      <c r="RJ48"/>
      <c r="RK48"/>
      <c r="RL48"/>
      <c r="RM48"/>
      <c r="RN48"/>
      <c r="RO48"/>
      <c r="RP48"/>
      <c r="RQ48"/>
      <c r="RR48"/>
      <c r="RS48"/>
      <c r="RT48"/>
      <c r="RU48"/>
      <c r="RV48"/>
      <c r="RW48"/>
      <c r="RX48"/>
      <c r="RY48"/>
      <c r="RZ48"/>
      <c r="SA48"/>
      <c r="SB48"/>
      <c r="SC48"/>
      <c r="SD48"/>
      <c r="SE48"/>
      <c r="SF48"/>
      <c r="SG48"/>
      <c r="SH48"/>
      <c r="SI48"/>
      <c r="SJ48"/>
      <c r="SK48"/>
      <c r="SL48"/>
      <c r="SM48"/>
      <c r="SN48"/>
      <c r="SO48"/>
      <c r="SP48"/>
      <c r="SQ48"/>
      <c r="SR48"/>
      <c r="SS48"/>
      <c r="ST48"/>
      <c r="SU48"/>
      <c r="SV48"/>
      <c r="SW48"/>
      <c r="SX48"/>
      <c r="SY48"/>
      <c r="SZ48"/>
      <c r="TA48"/>
      <c r="TB48"/>
      <c r="TC48"/>
      <c r="TD48"/>
      <c r="TE48"/>
      <c r="TF48"/>
      <c r="TG48"/>
      <c r="TH48"/>
      <c r="TI48"/>
      <c r="TJ48"/>
      <c r="TK48"/>
      <c r="TL48"/>
      <c r="TM48"/>
      <c r="TN48"/>
      <c r="TO48"/>
      <c r="TP48"/>
      <c r="TQ48"/>
      <c r="TR48"/>
      <c r="TS48"/>
      <c r="TT48"/>
      <c r="TU48"/>
      <c r="TV48"/>
      <c r="TW48"/>
      <c r="TX48"/>
      <c r="TY48"/>
      <c r="TZ48"/>
      <c r="UA48"/>
      <c r="UB48"/>
      <c r="UC48"/>
      <c r="UD48"/>
      <c r="UE48"/>
      <c r="UF48"/>
      <c r="UG48"/>
      <c r="UH48"/>
      <c r="UI48"/>
      <c r="UJ48"/>
      <c r="UK48"/>
      <c r="UL48"/>
      <c r="UM48"/>
      <c r="UN48"/>
      <c r="UO48"/>
      <c r="UP48"/>
      <c r="UQ48"/>
      <c r="UR48"/>
      <c r="US48"/>
      <c r="UT48"/>
      <c r="UU48"/>
      <c r="UV48"/>
      <c r="UW48"/>
      <c r="UX48"/>
      <c r="UY48"/>
      <c r="UZ48"/>
      <c r="VA48"/>
      <c r="VB48"/>
      <c r="VC48"/>
      <c r="VD48"/>
      <c r="VE48"/>
      <c r="VF48"/>
      <c r="VG48"/>
      <c r="VH48"/>
      <c r="VI48"/>
      <c r="VJ48"/>
      <c r="VK48"/>
      <c r="VL48"/>
      <c r="VM48"/>
      <c r="VN48"/>
      <c r="VO48"/>
      <c r="VP48"/>
      <c r="VQ48"/>
      <c r="VR48"/>
      <c r="VS48"/>
      <c r="VT48"/>
      <c r="VU48"/>
      <c r="VV48"/>
      <c r="VW48"/>
      <c r="VX48"/>
      <c r="VY48"/>
      <c r="VZ48"/>
      <c r="WA48"/>
      <c r="WB48"/>
      <c r="WC48"/>
      <c r="WD48"/>
      <c r="WE48"/>
      <c r="WF48"/>
      <c r="WG48"/>
      <c r="WH48"/>
      <c r="WI48"/>
      <c r="WJ48"/>
      <c r="WK48"/>
      <c r="WL48"/>
      <c r="WM48"/>
      <c r="WN48"/>
      <c r="WO48"/>
      <c r="WP48"/>
      <c r="WQ48"/>
      <c r="WR48"/>
      <c r="WS48"/>
      <c r="WT48"/>
      <c r="WU48"/>
      <c r="WV48"/>
      <c r="WW48"/>
      <c r="WX48"/>
      <c r="WY48"/>
      <c r="WZ48"/>
      <c r="XA48"/>
      <c r="XB48"/>
      <c r="XC48"/>
      <c r="XD48"/>
      <c r="XE48"/>
      <c r="XF48"/>
      <c r="XG48"/>
      <c r="XH48"/>
      <c r="XI48"/>
      <c r="XJ48"/>
      <c r="XK48"/>
      <c r="XL48"/>
      <c r="XM48"/>
      <c r="XN48"/>
      <c r="XO48"/>
      <c r="XP48"/>
      <c r="XQ48"/>
      <c r="XR48"/>
      <c r="XS48"/>
      <c r="XT48"/>
      <c r="XU48"/>
      <c r="XV48"/>
      <c r="XW48"/>
      <c r="XX48"/>
      <c r="XY48"/>
      <c r="XZ48"/>
      <c r="YA48"/>
      <c r="YB48"/>
      <c r="YC48"/>
      <c r="YD48"/>
      <c r="YE48"/>
      <c r="YF48"/>
      <c r="YG48"/>
      <c r="YH48"/>
      <c r="YI48"/>
      <c r="YJ48"/>
      <c r="YK48"/>
      <c r="YL48"/>
      <c r="YM48"/>
      <c r="YN48"/>
      <c r="YO48"/>
      <c r="YP48"/>
      <c r="YQ48"/>
      <c r="YR48"/>
      <c r="YS48"/>
      <c r="YT48"/>
      <c r="YU48"/>
      <c r="YV48"/>
      <c r="YW48"/>
      <c r="YX48"/>
      <c r="YY48"/>
      <c r="YZ48"/>
      <c r="ZA48"/>
      <c r="ZB48"/>
      <c r="ZC48"/>
      <c r="ZD48"/>
      <c r="ZE48"/>
      <c r="ZF48"/>
      <c r="ZG48"/>
      <c r="ZH48"/>
      <c r="ZI48"/>
      <c r="ZJ48"/>
      <c r="ZK48"/>
      <c r="ZL48"/>
      <c r="ZM48"/>
      <c r="ZN48"/>
      <c r="ZO48"/>
      <c r="ZP48"/>
      <c r="ZQ48"/>
      <c r="ZR48"/>
      <c r="ZS48"/>
      <c r="ZT48"/>
      <c r="ZU48"/>
      <c r="ZV48"/>
      <c r="ZW48"/>
      <c r="ZX48"/>
      <c r="ZY48"/>
      <c r="ZZ48"/>
      <c r="AAA48"/>
      <c r="AAB48"/>
      <c r="AAC48"/>
      <c r="AAD48"/>
      <c r="AAE48"/>
      <c r="AAF48"/>
      <c r="AAG48"/>
      <c r="AAH48"/>
      <c r="AAI48"/>
      <c r="AAJ48"/>
      <c r="AAK48"/>
      <c r="AAL48"/>
      <c r="AAM48"/>
      <c r="AAN48"/>
      <c r="AAO48"/>
      <c r="AAP48"/>
      <c r="AAQ48"/>
      <c r="AAR48"/>
      <c r="AAS48"/>
      <c r="AAT48"/>
      <c r="AAU48"/>
      <c r="AAV48"/>
      <c r="AAW48"/>
      <c r="AAX48"/>
      <c r="AAY48"/>
      <c r="AAZ48"/>
      <c r="ABA48"/>
      <c r="ABB48"/>
      <c r="ABC48"/>
      <c r="ABD48"/>
      <c r="ABE48"/>
      <c r="ABF48"/>
      <c r="ABG48"/>
      <c r="ABH48"/>
      <c r="ABI48"/>
      <c r="ABJ48"/>
      <c r="ABK48"/>
      <c r="ABL48"/>
      <c r="ABM48"/>
      <c r="ABN48"/>
      <c r="ABO48"/>
      <c r="ABP48"/>
      <c r="ABQ48"/>
      <c r="ABR48"/>
      <c r="ABS48"/>
      <c r="ABT48"/>
      <c r="ABU48"/>
      <c r="ABV48"/>
      <c r="ABW48"/>
      <c r="ABX48"/>
      <c r="ABY48"/>
      <c r="ABZ48"/>
      <c r="ACA48"/>
      <c r="ACB48"/>
      <c r="ACC48"/>
      <c r="ACD48"/>
      <c r="ACE48"/>
      <c r="ACF48"/>
      <c r="ACG48"/>
      <c r="ACH48"/>
      <c r="ACI48"/>
      <c r="ACJ48"/>
      <c r="ACK48"/>
      <c r="ACL48"/>
      <c r="ACM48"/>
      <c r="ACN48"/>
      <c r="ACO48"/>
      <c r="ACP48"/>
      <c r="ACQ48"/>
      <c r="ACR48"/>
      <c r="ACS48"/>
      <c r="ACT48"/>
      <c r="ACU48"/>
      <c r="ACV48"/>
      <c r="ACW48"/>
      <c r="ACX48"/>
      <c r="ACY48"/>
      <c r="ACZ48"/>
      <c r="ADA48"/>
      <c r="ADB48"/>
      <c r="ADC48"/>
      <c r="ADD48"/>
      <c r="ADE48"/>
      <c r="ADF48"/>
      <c r="ADG48"/>
      <c r="ADH48"/>
      <c r="ADI48"/>
      <c r="ADJ48"/>
      <c r="ADK48"/>
      <c r="ADL48"/>
      <c r="ADM48"/>
      <c r="ADN48"/>
      <c r="ADO48"/>
      <c r="ADP48"/>
      <c r="ADQ48"/>
      <c r="ADR48"/>
      <c r="ADS48"/>
      <c r="ADT48"/>
      <c r="ADU48"/>
      <c r="ADV48"/>
      <c r="ADW48"/>
      <c r="ADX48"/>
      <c r="ADY48"/>
      <c r="ADZ48"/>
      <c r="AEA48"/>
      <c r="AEB48"/>
      <c r="AEC48"/>
      <c r="AED48"/>
      <c r="AEE48"/>
      <c r="AEF48"/>
      <c r="AEG48"/>
      <c r="AEH48"/>
      <c r="AEI48"/>
      <c r="AEJ48"/>
      <c r="AEK48"/>
      <c r="AEL48"/>
      <c r="AEM48"/>
      <c r="AEN48"/>
      <c r="AEO48"/>
      <c r="AEP48"/>
      <c r="AEQ48"/>
      <c r="AER48"/>
      <c r="AES48"/>
      <c r="AET48"/>
      <c r="AEU48"/>
      <c r="AEV48"/>
      <c r="AEW48"/>
      <c r="AEX48"/>
      <c r="AEY48"/>
      <c r="AEZ48"/>
      <c r="AFA48"/>
      <c r="AFB48"/>
      <c r="AFC48"/>
      <c r="AFD48"/>
      <c r="AFE48"/>
      <c r="AFF48"/>
      <c r="AFG48"/>
      <c r="AFH48"/>
      <c r="AFI48"/>
      <c r="AFJ48"/>
      <c r="AFK48"/>
      <c r="AFL48"/>
      <c r="AFM48"/>
      <c r="AFN48"/>
      <c r="AFO48"/>
      <c r="AFP48"/>
      <c r="AFQ48"/>
      <c r="AFR48"/>
      <c r="AFS48"/>
      <c r="AFT48"/>
      <c r="AFU48"/>
      <c r="AFV48"/>
      <c r="AFW48"/>
      <c r="AFX48"/>
      <c r="AFY48"/>
      <c r="AFZ48"/>
      <c r="AGA48"/>
      <c r="AGB48"/>
      <c r="AGC48"/>
      <c r="AGD48"/>
      <c r="AGE48"/>
      <c r="AGF48"/>
      <c r="AGG48"/>
      <c r="AGH48"/>
      <c r="AGI48"/>
      <c r="AGJ48"/>
      <c r="AGK48"/>
      <c r="AGL48"/>
      <c r="AGM48"/>
      <c r="AGN48"/>
      <c r="AGO48"/>
      <c r="AGP48"/>
      <c r="AGQ48"/>
      <c r="AGR48"/>
      <c r="AGS48"/>
      <c r="AGT48"/>
      <c r="AGU48"/>
      <c r="AGV48"/>
      <c r="AGW48"/>
      <c r="AGX48"/>
      <c r="AGY48"/>
      <c r="AGZ48"/>
      <c r="AHA48"/>
      <c r="AHB48"/>
      <c r="AHC48"/>
      <c r="AHD48"/>
      <c r="AHE48"/>
      <c r="AHF48"/>
      <c r="AHG48"/>
      <c r="AHH48"/>
      <c r="AHI48"/>
      <c r="AHJ48"/>
      <c r="AHK48"/>
      <c r="AHL48"/>
      <c r="AHM48"/>
      <c r="AHN48"/>
      <c r="AHO48"/>
      <c r="AHP48"/>
      <c r="AHQ48"/>
      <c r="AHR48"/>
      <c r="AHS48"/>
      <c r="AHT48"/>
      <c r="AHU48"/>
      <c r="AHV48"/>
      <c r="AHW48"/>
      <c r="AHX48"/>
      <c r="AHY48"/>
      <c r="AHZ48"/>
      <c r="AIA48"/>
      <c r="AIB48"/>
      <c r="AIC48"/>
      <c r="AID48"/>
      <c r="AIE48"/>
      <c r="AIF48"/>
      <c r="AIG48"/>
      <c r="AIH48"/>
      <c r="AII48"/>
      <c r="AIJ48"/>
      <c r="AIK48"/>
      <c r="AIL48"/>
      <c r="AIM48"/>
      <c r="AIN48"/>
      <c r="AIO48"/>
      <c r="AIP48"/>
      <c r="AIQ48"/>
      <c r="AIR48"/>
      <c r="AIS48"/>
      <c r="AIT48"/>
      <c r="AIU48"/>
      <c r="AIV48"/>
      <c r="AIW48"/>
      <c r="AIX48"/>
      <c r="AIY48"/>
      <c r="AIZ48"/>
      <c r="AJA48"/>
      <c r="AJB48"/>
      <c r="AJC48"/>
      <c r="AJD48"/>
      <c r="AJE48"/>
      <c r="AJF48"/>
      <c r="AJG48"/>
      <c r="AJH48"/>
      <c r="AJI48"/>
      <c r="AJJ48"/>
      <c r="AJK48"/>
      <c r="AJL48"/>
      <c r="AJM48"/>
      <c r="AJN48"/>
      <c r="AJO48"/>
      <c r="AJP48"/>
      <c r="AJQ48"/>
      <c r="AJR48"/>
      <c r="AJS48"/>
      <c r="AJT48"/>
      <c r="AJU48"/>
      <c r="AJV48"/>
      <c r="AJW48"/>
      <c r="AJX48"/>
      <c r="AJY48"/>
      <c r="AJZ48"/>
      <c r="AKA48"/>
      <c r="AKB48"/>
      <c r="AKC48"/>
      <c r="AKD48"/>
      <c r="AKE48"/>
      <c r="AKF48"/>
      <c r="AKG48"/>
      <c r="AKH48"/>
      <c r="AKI48"/>
      <c r="AKJ48"/>
      <c r="AKK48"/>
      <c r="AKL48"/>
      <c r="AKM48"/>
      <c r="AKN48"/>
      <c r="AKO48"/>
      <c r="AKP48"/>
      <c r="AKQ48"/>
      <c r="AKR48"/>
      <c r="AKS48"/>
      <c r="AKT48"/>
      <c r="AKU48"/>
      <c r="AKV48"/>
      <c r="AKW48"/>
      <c r="AKX48"/>
      <c r="AKY48"/>
      <c r="AKZ48"/>
      <c r="ALA48"/>
      <c r="ALB48"/>
      <c r="ALC48"/>
      <c r="ALD48"/>
      <c r="ALE48"/>
      <c r="ALF48"/>
      <c r="ALG48"/>
      <c r="ALH48"/>
      <c r="ALI48"/>
      <c r="ALJ48"/>
      <c r="ALK48"/>
      <c r="ALL48"/>
      <c r="ALM48"/>
      <c r="ALN48"/>
      <c r="ALO48"/>
      <c r="ALP48"/>
      <c r="ALQ48"/>
      <c r="ALR48"/>
      <c r="ALS48"/>
      <c r="ALT48"/>
      <c r="ALU48"/>
      <c r="ALV48"/>
      <c r="ALW48"/>
      <c r="ALX48"/>
      <c r="ALY48"/>
      <c r="ALZ48"/>
      <c r="AMA48"/>
      <c r="AMB48"/>
      <c r="AMC48"/>
      <c r="AMD48"/>
      <c r="AME48"/>
      <c r="AMF48"/>
      <c r="AMG48"/>
      <c r="AMH48"/>
      <c r="AMI48"/>
      <c r="AMJ48"/>
      <c r="AMK48"/>
      <c r="AML48"/>
      <c r="AMM48"/>
      <c r="AMN48"/>
      <c r="AMO48"/>
      <c r="AMP48"/>
      <c r="AMQ48"/>
      <c r="AMR48"/>
      <c r="AMS48"/>
      <c r="AMT48"/>
      <c r="AMU48"/>
      <c r="AMV48"/>
      <c r="AMW48"/>
      <c r="AMX48"/>
      <c r="AMY48"/>
      <c r="AMZ48"/>
      <c r="ANA48"/>
      <c r="ANB48"/>
      <c r="ANC48"/>
      <c r="AND48"/>
      <c r="ANE48"/>
      <c r="ANF48"/>
      <c r="ANG48"/>
      <c r="ANH48"/>
      <c r="ANI48"/>
      <c r="ANJ48"/>
      <c r="ANK48"/>
      <c r="ANL48"/>
      <c r="ANM48"/>
      <c r="ANN48"/>
      <c r="ANO48"/>
    </row>
    <row r="49" spans="1:1055" s="36" customFormat="1" x14ac:dyDescent="0.25">
      <c r="A49" s="47" t="s">
        <v>71</v>
      </c>
      <c r="B49" s="35">
        <v>0</v>
      </c>
      <c r="C49" s="36">
        <v>0</v>
      </c>
      <c r="D49" s="36">
        <v>0</v>
      </c>
      <c r="E49" s="37">
        <v>92000</v>
      </c>
      <c r="F49" s="35">
        <v>0</v>
      </c>
      <c r="G49" s="97">
        <v>0</v>
      </c>
      <c r="H49" s="97">
        <v>0</v>
      </c>
      <c r="I49" s="97">
        <v>0</v>
      </c>
      <c r="J49" s="97">
        <v>0</v>
      </c>
      <c r="K49" s="36">
        <v>0</v>
      </c>
      <c r="L49" s="38">
        <v>0</v>
      </c>
      <c r="M49" s="39">
        <v>0.1</v>
      </c>
      <c r="N49" s="40">
        <v>0</v>
      </c>
      <c r="O49" s="35"/>
      <c r="Q49" s="38">
        <v>0</v>
      </c>
      <c r="R49" s="35">
        <v>0</v>
      </c>
      <c r="S49" s="38">
        <v>0</v>
      </c>
      <c r="T49" s="41">
        <v>0</v>
      </c>
      <c r="U49" s="42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  <c r="AB49" s="36">
        <v>0</v>
      </c>
      <c r="AC49" s="36">
        <v>0</v>
      </c>
      <c r="AD49" s="36">
        <v>0</v>
      </c>
      <c r="AE49" s="36">
        <v>0</v>
      </c>
      <c r="AF49" s="36">
        <v>0</v>
      </c>
      <c r="AG49" s="36">
        <v>0</v>
      </c>
      <c r="AH49" s="36">
        <v>0</v>
      </c>
      <c r="AI49" s="36">
        <v>0</v>
      </c>
      <c r="AJ49" s="36">
        <v>0</v>
      </c>
      <c r="AK49" s="36">
        <v>0</v>
      </c>
      <c r="AL49" s="36">
        <v>0</v>
      </c>
      <c r="AM49" s="36">
        <v>0</v>
      </c>
      <c r="AN49" s="36">
        <v>0</v>
      </c>
      <c r="AO49" s="36">
        <v>0</v>
      </c>
      <c r="AP49" s="36">
        <v>0</v>
      </c>
      <c r="AQ49" s="36">
        <v>0</v>
      </c>
      <c r="AR49" s="38">
        <v>0</v>
      </c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  <c r="LO49"/>
      <c r="LP49"/>
      <c r="LQ49"/>
      <c r="LR49"/>
      <c r="LS49"/>
      <c r="LT49"/>
      <c r="LU49"/>
      <c r="LV49"/>
      <c r="LW49"/>
      <c r="LX49"/>
      <c r="LY49"/>
      <c r="LZ49"/>
      <c r="MA49"/>
      <c r="MB49"/>
      <c r="MC49"/>
      <c r="MD49"/>
      <c r="ME49"/>
      <c r="MF49"/>
      <c r="MG49"/>
      <c r="MH49"/>
      <c r="MI49"/>
      <c r="MJ49"/>
      <c r="MK49"/>
      <c r="ML49"/>
      <c r="MM49"/>
      <c r="MN49"/>
      <c r="MO49"/>
      <c r="MP49"/>
      <c r="MQ49"/>
      <c r="MR49"/>
      <c r="MS49"/>
      <c r="MT49"/>
      <c r="MU49"/>
      <c r="MV49"/>
      <c r="MW49"/>
      <c r="MX49"/>
      <c r="MY49"/>
      <c r="MZ49"/>
      <c r="NA49"/>
      <c r="NB49"/>
      <c r="NC49"/>
      <c r="ND49"/>
      <c r="NE49"/>
      <c r="NF49"/>
      <c r="NG49"/>
      <c r="NH49"/>
      <c r="NI49"/>
      <c r="NJ49"/>
      <c r="NK49"/>
      <c r="NL49"/>
      <c r="NM49"/>
      <c r="NN49"/>
      <c r="NO49"/>
      <c r="NP49"/>
      <c r="NQ49"/>
      <c r="NR49"/>
      <c r="NS49"/>
      <c r="NT49"/>
      <c r="NU49"/>
      <c r="NV49"/>
      <c r="NW49"/>
      <c r="NX49"/>
      <c r="NY49"/>
      <c r="NZ49"/>
      <c r="OA49"/>
      <c r="OB49"/>
      <c r="OC49"/>
      <c r="OD49"/>
      <c r="OE49"/>
      <c r="OF49"/>
      <c r="OG49"/>
      <c r="OH49"/>
      <c r="OI49"/>
      <c r="OJ49"/>
      <c r="OK49"/>
      <c r="OL49"/>
      <c r="OM49"/>
      <c r="ON49"/>
      <c r="OO49"/>
      <c r="OP49"/>
      <c r="OQ49"/>
      <c r="OR49"/>
      <c r="OS49"/>
      <c r="OT49"/>
      <c r="OU49"/>
      <c r="OV49"/>
      <c r="OW49"/>
      <c r="OX49"/>
      <c r="OY49"/>
      <c r="OZ49"/>
      <c r="PA49"/>
      <c r="PB49"/>
      <c r="PC49"/>
      <c r="PD49"/>
      <c r="PE49"/>
      <c r="PF49"/>
      <c r="PG49"/>
      <c r="PH49"/>
      <c r="PI49"/>
      <c r="PJ49"/>
      <c r="PK49"/>
      <c r="PL49"/>
      <c r="PM49"/>
      <c r="PN49"/>
      <c r="PO49"/>
      <c r="PP49"/>
      <c r="PQ49"/>
      <c r="PR49"/>
      <c r="PS49"/>
      <c r="PT49"/>
      <c r="PU49"/>
      <c r="PV49"/>
      <c r="PW49"/>
      <c r="PX49"/>
      <c r="PY49"/>
      <c r="PZ49"/>
      <c r="QA49"/>
      <c r="QB49"/>
      <c r="QC49"/>
      <c r="QD49"/>
      <c r="QE49"/>
      <c r="QF49"/>
      <c r="QG49"/>
      <c r="QH49"/>
      <c r="QI49"/>
      <c r="QJ49"/>
      <c r="QK49"/>
      <c r="QL49"/>
      <c r="QM49"/>
      <c r="QN49"/>
      <c r="QO49"/>
      <c r="QP49"/>
      <c r="QQ49"/>
      <c r="QR49"/>
      <c r="QS49"/>
      <c r="QT49"/>
      <c r="QU49"/>
      <c r="QV49"/>
      <c r="QW49"/>
      <c r="QX49"/>
      <c r="QY49"/>
      <c r="QZ49"/>
      <c r="RA49"/>
      <c r="RB49"/>
      <c r="RC49"/>
      <c r="RD49"/>
      <c r="RE49"/>
      <c r="RF49"/>
      <c r="RG49"/>
      <c r="RH49"/>
      <c r="RI49"/>
      <c r="RJ49"/>
      <c r="RK49"/>
      <c r="RL49"/>
      <c r="RM49"/>
      <c r="RN49"/>
      <c r="RO49"/>
      <c r="RP49"/>
      <c r="RQ49"/>
      <c r="RR49"/>
      <c r="RS49"/>
      <c r="RT49"/>
      <c r="RU49"/>
      <c r="RV49"/>
      <c r="RW49"/>
      <c r="RX49"/>
      <c r="RY49"/>
      <c r="RZ49"/>
      <c r="SA49"/>
      <c r="SB49"/>
      <c r="SC49"/>
      <c r="SD49"/>
      <c r="SE49"/>
      <c r="SF49"/>
      <c r="SG49"/>
      <c r="SH49"/>
      <c r="SI49"/>
      <c r="SJ49"/>
      <c r="SK49"/>
      <c r="SL49"/>
      <c r="SM49"/>
      <c r="SN49"/>
      <c r="SO49"/>
      <c r="SP49"/>
      <c r="SQ49"/>
      <c r="SR49"/>
      <c r="SS49"/>
      <c r="ST49"/>
      <c r="SU49"/>
      <c r="SV49"/>
      <c r="SW49"/>
      <c r="SX49"/>
      <c r="SY49"/>
      <c r="SZ49"/>
      <c r="TA49"/>
      <c r="TB49"/>
      <c r="TC49"/>
      <c r="TD49"/>
      <c r="TE49"/>
      <c r="TF49"/>
      <c r="TG49"/>
      <c r="TH49"/>
      <c r="TI49"/>
      <c r="TJ49"/>
      <c r="TK49"/>
      <c r="TL49"/>
      <c r="TM49"/>
      <c r="TN49"/>
      <c r="TO49"/>
      <c r="TP49"/>
      <c r="TQ49"/>
      <c r="TR49"/>
      <c r="TS49"/>
      <c r="TT49"/>
      <c r="TU49"/>
      <c r="TV49"/>
      <c r="TW49"/>
      <c r="TX49"/>
      <c r="TY49"/>
      <c r="TZ49"/>
      <c r="UA49"/>
      <c r="UB49"/>
      <c r="UC49"/>
      <c r="UD49"/>
      <c r="UE49"/>
      <c r="UF49"/>
      <c r="UG49"/>
      <c r="UH49"/>
      <c r="UI49"/>
      <c r="UJ49"/>
      <c r="UK49"/>
      <c r="UL49"/>
      <c r="UM49"/>
      <c r="UN49"/>
      <c r="UO49"/>
      <c r="UP49"/>
      <c r="UQ49"/>
      <c r="UR49"/>
      <c r="US49"/>
      <c r="UT49"/>
      <c r="UU49"/>
      <c r="UV49"/>
      <c r="UW49"/>
      <c r="UX49"/>
      <c r="UY49"/>
      <c r="UZ49"/>
      <c r="VA49"/>
      <c r="VB49"/>
      <c r="VC49"/>
      <c r="VD49"/>
      <c r="VE49"/>
      <c r="VF49"/>
      <c r="VG49"/>
      <c r="VH49"/>
      <c r="VI49"/>
      <c r="VJ49"/>
      <c r="VK49"/>
      <c r="VL49"/>
      <c r="VM49"/>
      <c r="VN49"/>
      <c r="VO49"/>
      <c r="VP49"/>
      <c r="VQ49"/>
      <c r="VR49"/>
      <c r="VS49"/>
      <c r="VT49"/>
      <c r="VU49"/>
      <c r="VV49"/>
      <c r="VW49"/>
      <c r="VX49"/>
      <c r="VY49"/>
      <c r="VZ49"/>
      <c r="WA49"/>
      <c r="WB49"/>
      <c r="WC49"/>
      <c r="WD49"/>
      <c r="WE49"/>
      <c r="WF49"/>
      <c r="WG49"/>
      <c r="WH49"/>
      <c r="WI49"/>
      <c r="WJ49"/>
      <c r="WK49"/>
      <c r="WL49"/>
      <c r="WM49"/>
      <c r="WN49"/>
      <c r="WO49"/>
      <c r="WP49"/>
      <c r="WQ49"/>
      <c r="WR49"/>
      <c r="WS49"/>
      <c r="WT49"/>
      <c r="WU49"/>
      <c r="WV49"/>
      <c r="WW49"/>
      <c r="WX49"/>
      <c r="WY49"/>
      <c r="WZ49"/>
      <c r="XA49"/>
      <c r="XB49"/>
      <c r="XC49"/>
      <c r="XD49"/>
      <c r="XE49"/>
      <c r="XF49"/>
      <c r="XG49"/>
      <c r="XH49"/>
      <c r="XI49"/>
      <c r="XJ49"/>
      <c r="XK49"/>
      <c r="XL49"/>
      <c r="XM49"/>
      <c r="XN49"/>
      <c r="XO49"/>
      <c r="XP49"/>
      <c r="XQ49"/>
      <c r="XR49"/>
      <c r="XS49"/>
      <c r="XT49"/>
      <c r="XU49"/>
      <c r="XV49"/>
      <c r="XW49"/>
      <c r="XX49"/>
      <c r="XY49"/>
      <c r="XZ49"/>
      <c r="YA49"/>
      <c r="YB49"/>
      <c r="YC49"/>
      <c r="YD49"/>
      <c r="YE49"/>
      <c r="YF49"/>
      <c r="YG49"/>
      <c r="YH49"/>
      <c r="YI49"/>
      <c r="YJ49"/>
      <c r="YK49"/>
      <c r="YL49"/>
      <c r="YM49"/>
      <c r="YN49"/>
      <c r="YO49"/>
      <c r="YP49"/>
      <c r="YQ49"/>
      <c r="YR49"/>
      <c r="YS49"/>
      <c r="YT49"/>
      <c r="YU49"/>
      <c r="YV49"/>
      <c r="YW49"/>
      <c r="YX49"/>
      <c r="YY49"/>
      <c r="YZ49"/>
      <c r="ZA49"/>
      <c r="ZB49"/>
      <c r="ZC49"/>
      <c r="ZD49"/>
      <c r="ZE49"/>
      <c r="ZF49"/>
      <c r="ZG49"/>
      <c r="ZH49"/>
      <c r="ZI49"/>
      <c r="ZJ49"/>
      <c r="ZK49"/>
      <c r="ZL49"/>
      <c r="ZM49"/>
      <c r="ZN49"/>
      <c r="ZO49"/>
      <c r="ZP49"/>
      <c r="ZQ49"/>
      <c r="ZR49"/>
      <c r="ZS49"/>
      <c r="ZT49"/>
      <c r="ZU49"/>
      <c r="ZV49"/>
      <c r="ZW49"/>
      <c r="ZX49"/>
      <c r="ZY49"/>
      <c r="ZZ49"/>
      <c r="AAA49"/>
      <c r="AAB49"/>
      <c r="AAC49"/>
      <c r="AAD49"/>
      <c r="AAE49"/>
      <c r="AAF49"/>
      <c r="AAG49"/>
      <c r="AAH49"/>
      <c r="AAI49"/>
      <c r="AAJ49"/>
      <c r="AAK49"/>
      <c r="AAL49"/>
      <c r="AAM49"/>
      <c r="AAN49"/>
      <c r="AAO49"/>
      <c r="AAP49"/>
      <c r="AAQ49"/>
      <c r="AAR49"/>
      <c r="AAS49"/>
      <c r="AAT49"/>
      <c r="AAU49"/>
      <c r="AAV49"/>
      <c r="AAW49"/>
      <c r="AAX49"/>
      <c r="AAY49"/>
      <c r="AAZ49"/>
      <c r="ABA49"/>
      <c r="ABB49"/>
      <c r="ABC49"/>
      <c r="ABD49"/>
      <c r="ABE49"/>
      <c r="ABF49"/>
      <c r="ABG49"/>
      <c r="ABH49"/>
      <c r="ABI49"/>
      <c r="ABJ49"/>
      <c r="ABK49"/>
      <c r="ABL49"/>
      <c r="ABM49"/>
      <c r="ABN49"/>
      <c r="ABO49"/>
      <c r="ABP49"/>
      <c r="ABQ49"/>
      <c r="ABR49"/>
      <c r="ABS49"/>
      <c r="ABT49"/>
      <c r="ABU49"/>
      <c r="ABV49"/>
      <c r="ABW49"/>
      <c r="ABX49"/>
      <c r="ABY49"/>
      <c r="ABZ49"/>
      <c r="ACA49"/>
      <c r="ACB49"/>
      <c r="ACC49"/>
      <c r="ACD49"/>
      <c r="ACE49"/>
      <c r="ACF49"/>
      <c r="ACG49"/>
      <c r="ACH49"/>
      <c r="ACI49"/>
      <c r="ACJ49"/>
      <c r="ACK49"/>
      <c r="ACL49"/>
      <c r="ACM49"/>
      <c r="ACN49"/>
      <c r="ACO49"/>
      <c r="ACP49"/>
      <c r="ACQ49"/>
      <c r="ACR49"/>
      <c r="ACS49"/>
      <c r="ACT49"/>
      <c r="ACU49"/>
      <c r="ACV49"/>
      <c r="ACW49"/>
      <c r="ACX49"/>
      <c r="ACY49"/>
      <c r="ACZ49"/>
      <c r="ADA49"/>
      <c r="ADB49"/>
      <c r="ADC49"/>
      <c r="ADD49"/>
      <c r="ADE49"/>
      <c r="ADF49"/>
      <c r="ADG49"/>
      <c r="ADH49"/>
      <c r="ADI49"/>
      <c r="ADJ49"/>
      <c r="ADK49"/>
      <c r="ADL49"/>
      <c r="ADM49"/>
      <c r="ADN49"/>
      <c r="ADO49"/>
      <c r="ADP49"/>
      <c r="ADQ49"/>
      <c r="ADR49"/>
      <c r="ADS49"/>
      <c r="ADT49"/>
      <c r="ADU49"/>
      <c r="ADV49"/>
      <c r="ADW49"/>
      <c r="ADX49"/>
      <c r="ADY49"/>
      <c r="ADZ49"/>
      <c r="AEA49"/>
      <c r="AEB49"/>
      <c r="AEC49"/>
      <c r="AED49"/>
      <c r="AEE49"/>
      <c r="AEF49"/>
      <c r="AEG49"/>
      <c r="AEH49"/>
      <c r="AEI49"/>
      <c r="AEJ49"/>
      <c r="AEK49"/>
      <c r="AEL49"/>
      <c r="AEM49"/>
      <c r="AEN49"/>
      <c r="AEO49"/>
      <c r="AEP49"/>
      <c r="AEQ49"/>
      <c r="AER49"/>
      <c r="AES49"/>
      <c r="AET49"/>
      <c r="AEU49"/>
      <c r="AEV49"/>
      <c r="AEW49"/>
      <c r="AEX49"/>
      <c r="AEY49"/>
      <c r="AEZ49"/>
      <c r="AFA49"/>
      <c r="AFB49"/>
      <c r="AFC49"/>
      <c r="AFD49"/>
      <c r="AFE49"/>
      <c r="AFF49"/>
      <c r="AFG49"/>
      <c r="AFH49"/>
      <c r="AFI49"/>
      <c r="AFJ49"/>
      <c r="AFK49"/>
      <c r="AFL49"/>
      <c r="AFM49"/>
      <c r="AFN49"/>
      <c r="AFO49"/>
      <c r="AFP49"/>
      <c r="AFQ49"/>
      <c r="AFR49"/>
      <c r="AFS49"/>
      <c r="AFT49"/>
      <c r="AFU49"/>
      <c r="AFV49"/>
      <c r="AFW49"/>
      <c r="AFX49"/>
      <c r="AFY49"/>
      <c r="AFZ49"/>
      <c r="AGA49"/>
      <c r="AGB49"/>
      <c r="AGC49"/>
      <c r="AGD49"/>
      <c r="AGE49"/>
      <c r="AGF49"/>
      <c r="AGG49"/>
      <c r="AGH49"/>
      <c r="AGI49"/>
      <c r="AGJ49"/>
      <c r="AGK49"/>
      <c r="AGL49"/>
      <c r="AGM49"/>
      <c r="AGN49"/>
      <c r="AGO49"/>
      <c r="AGP49"/>
      <c r="AGQ49"/>
      <c r="AGR49"/>
      <c r="AGS49"/>
      <c r="AGT49"/>
      <c r="AGU49"/>
      <c r="AGV49"/>
      <c r="AGW49"/>
      <c r="AGX49"/>
      <c r="AGY49"/>
      <c r="AGZ49"/>
      <c r="AHA49"/>
      <c r="AHB49"/>
      <c r="AHC49"/>
      <c r="AHD49"/>
      <c r="AHE49"/>
      <c r="AHF49"/>
      <c r="AHG49"/>
      <c r="AHH49"/>
      <c r="AHI49"/>
      <c r="AHJ49"/>
      <c r="AHK49"/>
      <c r="AHL49"/>
      <c r="AHM49"/>
      <c r="AHN49"/>
      <c r="AHO49"/>
      <c r="AHP49"/>
      <c r="AHQ49"/>
      <c r="AHR49"/>
      <c r="AHS49"/>
      <c r="AHT49"/>
      <c r="AHU49"/>
      <c r="AHV49"/>
      <c r="AHW49"/>
      <c r="AHX49"/>
      <c r="AHY49"/>
      <c r="AHZ49"/>
      <c r="AIA49"/>
      <c r="AIB49"/>
      <c r="AIC49"/>
      <c r="AID49"/>
      <c r="AIE49"/>
      <c r="AIF49"/>
      <c r="AIG49"/>
      <c r="AIH49"/>
      <c r="AII49"/>
      <c r="AIJ49"/>
      <c r="AIK49"/>
      <c r="AIL49"/>
      <c r="AIM49"/>
      <c r="AIN49"/>
      <c r="AIO49"/>
      <c r="AIP49"/>
      <c r="AIQ49"/>
      <c r="AIR49"/>
      <c r="AIS49"/>
      <c r="AIT49"/>
      <c r="AIU49"/>
      <c r="AIV49"/>
      <c r="AIW49"/>
      <c r="AIX49"/>
      <c r="AIY49"/>
      <c r="AIZ49"/>
      <c r="AJA49"/>
      <c r="AJB49"/>
      <c r="AJC49"/>
      <c r="AJD49"/>
      <c r="AJE49"/>
      <c r="AJF49"/>
      <c r="AJG49"/>
      <c r="AJH49"/>
      <c r="AJI49"/>
      <c r="AJJ49"/>
      <c r="AJK49"/>
      <c r="AJL49"/>
      <c r="AJM49"/>
      <c r="AJN49"/>
      <c r="AJO49"/>
      <c r="AJP49"/>
      <c r="AJQ49"/>
      <c r="AJR49"/>
      <c r="AJS49"/>
      <c r="AJT49"/>
      <c r="AJU49"/>
      <c r="AJV49"/>
      <c r="AJW49"/>
      <c r="AJX49"/>
      <c r="AJY49"/>
      <c r="AJZ49"/>
      <c r="AKA49"/>
      <c r="AKB49"/>
      <c r="AKC49"/>
      <c r="AKD49"/>
      <c r="AKE49"/>
      <c r="AKF49"/>
      <c r="AKG49"/>
      <c r="AKH49"/>
      <c r="AKI49"/>
      <c r="AKJ49"/>
      <c r="AKK49"/>
      <c r="AKL49"/>
      <c r="AKM49"/>
      <c r="AKN49"/>
      <c r="AKO49"/>
      <c r="AKP49"/>
      <c r="AKQ49"/>
      <c r="AKR49"/>
      <c r="AKS49"/>
      <c r="AKT49"/>
      <c r="AKU49"/>
      <c r="AKV49"/>
      <c r="AKW49"/>
      <c r="AKX49"/>
      <c r="AKY49"/>
      <c r="AKZ49"/>
      <c r="ALA49"/>
      <c r="ALB49"/>
      <c r="ALC49"/>
      <c r="ALD49"/>
      <c r="ALE49"/>
      <c r="ALF49"/>
      <c r="ALG49"/>
      <c r="ALH49"/>
      <c r="ALI49"/>
      <c r="ALJ49"/>
      <c r="ALK49"/>
      <c r="ALL49"/>
      <c r="ALM49"/>
      <c r="ALN49"/>
      <c r="ALO49"/>
      <c r="ALP49"/>
      <c r="ALQ49"/>
      <c r="ALR49"/>
      <c r="ALS49"/>
      <c r="ALT49"/>
      <c r="ALU49"/>
      <c r="ALV49"/>
      <c r="ALW49"/>
      <c r="ALX49"/>
      <c r="ALY49"/>
      <c r="ALZ49"/>
      <c r="AMA49"/>
      <c r="AMB49"/>
      <c r="AMC49"/>
      <c r="AMD49"/>
      <c r="AME49"/>
      <c r="AMF49"/>
      <c r="AMG49"/>
      <c r="AMH49"/>
      <c r="AMI49"/>
      <c r="AMJ49"/>
      <c r="AMK49"/>
      <c r="AML49"/>
      <c r="AMM49"/>
      <c r="AMN49"/>
      <c r="AMO49"/>
      <c r="AMP49"/>
      <c r="AMQ49"/>
      <c r="AMR49"/>
      <c r="AMS49"/>
      <c r="AMT49"/>
      <c r="AMU49"/>
      <c r="AMV49"/>
      <c r="AMW49"/>
      <c r="AMX49"/>
      <c r="AMY49"/>
      <c r="AMZ49"/>
      <c r="ANA49"/>
      <c r="ANB49"/>
      <c r="ANC49"/>
      <c r="AND49"/>
      <c r="ANE49"/>
      <c r="ANF49"/>
      <c r="ANG49"/>
      <c r="ANH49"/>
      <c r="ANI49"/>
      <c r="ANJ49"/>
      <c r="ANK49"/>
      <c r="ANL49"/>
      <c r="ANM49"/>
      <c r="ANN49"/>
      <c r="ANO49"/>
    </row>
    <row r="50" spans="1:1055" s="36" customFormat="1" x14ac:dyDescent="0.25">
      <c r="A50" s="34" t="s">
        <v>72</v>
      </c>
      <c r="B50" s="35">
        <v>0</v>
      </c>
      <c r="C50" s="36">
        <v>0</v>
      </c>
      <c r="D50" s="36">
        <v>3200</v>
      </c>
      <c r="E50" s="37">
        <v>0</v>
      </c>
      <c r="F50" s="35">
        <v>0</v>
      </c>
      <c r="G50" s="97">
        <v>0</v>
      </c>
      <c r="H50" s="97">
        <v>0</v>
      </c>
      <c r="I50" s="97">
        <v>0</v>
      </c>
      <c r="J50" s="97">
        <v>0</v>
      </c>
      <c r="K50" s="36">
        <v>0</v>
      </c>
      <c r="L50" s="38">
        <v>0</v>
      </c>
      <c r="M50" s="39">
        <v>2000</v>
      </c>
      <c r="N50" s="40">
        <v>0</v>
      </c>
      <c r="O50" s="35"/>
      <c r="Q50" s="38">
        <v>0</v>
      </c>
      <c r="R50" s="35">
        <v>0</v>
      </c>
      <c r="S50" s="38">
        <v>0</v>
      </c>
      <c r="T50" s="41">
        <v>0</v>
      </c>
      <c r="U50" s="42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  <c r="AB50" s="36">
        <v>0</v>
      </c>
      <c r="AC50" s="36">
        <v>0</v>
      </c>
      <c r="AD50" s="36">
        <v>0</v>
      </c>
      <c r="AE50" s="36">
        <v>0</v>
      </c>
      <c r="AF50" s="36">
        <v>0</v>
      </c>
      <c r="AG50" s="36">
        <v>0</v>
      </c>
      <c r="AH50" s="36">
        <v>0</v>
      </c>
      <c r="AI50" s="36">
        <v>0</v>
      </c>
      <c r="AJ50" s="36">
        <v>0</v>
      </c>
      <c r="AK50" s="36">
        <v>0</v>
      </c>
      <c r="AL50" s="36">
        <v>0</v>
      </c>
      <c r="AM50" s="36">
        <v>0</v>
      </c>
      <c r="AN50" s="36">
        <v>0</v>
      </c>
      <c r="AO50" s="36">
        <v>0</v>
      </c>
      <c r="AP50" s="36">
        <v>0</v>
      </c>
      <c r="AQ50" s="36">
        <v>0</v>
      </c>
      <c r="AR50" s="38">
        <v>0</v>
      </c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/>
      <c r="AHL50"/>
      <c r="AHM50"/>
      <c r="AHN50"/>
      <c r="AHO50"/>
      <c r="AHP50"/>
      <c r="AHQ50"/>
      <c r="AHR50"/>
      <c r="AHS50"/>
      <c r="AHT50"/>
      <c r="AHU50"/>
      <c r="AHV50"/>
      <c r="AHW50"/>
      <c r="AHX50"/>
      <c r="AHY50"/>
      <c r="AHZ50"/>
      <c r="AIA50"/>
      <c r="AIB50"/>
      <c r="AIC50"/>
      <c r="AID50"/>
      <c r="AIE50"/>
      <c r="AIF50"/>
      <c r="AIG50"/>
      <c r="AIH50"/>
      <c r="AII50"/>
      <c r="AIJ50"/>
      <c r="AIK50"/>
      <c r="AIL50"/>
      <c r="AIM50"/>
      <c r="AIN50"/>
      <c r="AIO50"/>
      <c r="AIP50"/>
      <c r="AIQ50"/>
      <c r="AIR50"/>
      <c r="AIS50"/>
      <c r="AIT50"/>
      <c r="AIU50"/>
      <c r="AIV50"/>
      <c r="AIW50"/>
      <c r="AIX50"/>
      <c r="AIY50"/>
      <c r="AIZ50"/>
      <c r="AJA50"/>
      <c r="AJB50"/>
      <c r="AJC50"/>
      <c r="AJD50"/>
      <c r="AJE50"/>
      <c r="AJF50"/>
      <c r="AJG50"/>
      <c r="AJH50"/>
      <c r="AJI50"/>
      <c r="AJJ50"/>
      <c r="AJK50"/>
      <c r="AJL50"/>
      <c r="AJM50"/>
      <c r="AJN50"/>
      <c r="AJO50"/>
      <c r="AJP50"/>
      <c r="AJQ50"/>
      <c r="AJR50"/>
      <c r="AJS50"/>
      <c r="AJT50"/>
      <c r="AJU50"/>
      <c r="AJV50"/>
      <c r="AJW50"/>
      <c r="AJX50"/>
      <c r="AJY50"/>
      <c r="AJZ50"/>
      <c r="AKA50"/>
      <c r="AKB50"/>
      <c r="AKC50"/>
      <c r="AKD50"/>
      <c r="AKE50"/>
      <c r="AKF50"/>
      <c r="AKG50"/>
      <c r="AKH50"/>
      <c r="AKI50"/>
      <c r="AKJ50"/>
      <c r="AKK50"/>
      <c r="AKL50"/>
      <c r="AKM50"/>
      <c r="AKN50"/>
      <c r="AKO50"/>
      <c r="AKP50"/>
      <c r="AKQ50"/>
      <c r="AKR50"/>
      <c r="AKS50"/>
      <c r="AKT50"/>
      <c r="AKU50"/>
      <c r="AKV50"/>
      <c r="AKW50"/>
      <c r="AKX50"/>
      <c r="AKY50"/>
      <c r="AKZ50"/>
      <c r="ALA50"/>
      <c r="ALB50"/>
      <c r="ALC50"/>
      <c r="ALD50"/>
      <c r="ALE50"/>
      <c r="ALF50"/>
      <c r="ALG50"/>
      <c r="ALH50"/>
      <c r="ALI50"/>
      <c r="ALJ50"/>
      <c r="ALK50"/>
      <c r="ALL50"/>
      <c r="ALM50"/>
      <c r="ALN50"/>
      <c r="ALO50"/>
      <c r="ALP50"/>
      <c r="ALQ50"/>
      <c r="ALR50"/>
      <c r="ALS50"/>
      <c r="ALT50"/>
      <c r="ALU50"/>
      <c r="ALV50"/>
      <c r="ALW50"/>
      <c r="ALX50"/>
      <c r="ALY50"/>
      <c r="ALZ50"/>
      <c r="AMA50"/>
      <c r="AMB50"/>
      <c r="AMC50"/>
      <c r="AMD50"/>
      <c r="AME50"/>
      <c r="AMF50"/>
      <c r="AMG50"/>
      <c r="AMH50"/>
      <c r="AMI50"/>
      <c r="AMJ50"/>
      <c r="AMK50"/>
      <c r="AML50"/>
      <c r="AMM50"/>
      <c r="AMN50"/>
      <c r="AMO50"/>
      <c r="AMP50"/>
      <c r="AMQ50"/>
      <c r="AMR50"/>
      <c r="AMS50"/>
      <c r="AMT50"/>
      <c r="AMU50"/>
      <c r="AMV50"/>
      <c r="AMW50"/>
      <c r="AMX50"/>
      <c r="AMY50"/>
      <c r="AMZ50"/>
      <c r="ANA50"/>
      <c r="ANB50"/>
      <c r="ANC50"/>
      <c r="AND50"/>
      <c r="ANE50"/>
      <c r="ANF50"/>
      <c r="ANG50"/>
      <c r="ANH50"/>
      <c r="ANI50"/>
      <c r="ANJ50"/>
      <c r="ANK50"/>
      <c r="ANL50"/>
      <c r="ANM50"/>
      <c r="ANN50"/>
      <c r="ANO50"/>
    </row>
    <row r="51" spans="1:1055" s="36" customFormat="1" x14ac:dyDescent="0.25">
      <c r="A51" s="47" t="s">
        <v>73</v>
      </c>
      <c r="B51" s="35">
        <v>0</v>
      </c>
      <c r="C51" s="36">
        <v>0</v>
      </c>
      <c r="D51" s="36">
        <v>46.7</v>
      </c>
      <c r="E51" s="37">
        <v>13</v>
      </c>
      <c r="F51" s="35">
        <v>0</v>
      </c>
      <c r="G51" s="97">
        <v>0</v>
      </c>
      <c r="H51" s="97">
        <v>0</v>
      </c>
      <c r="I51" s="97">
        <v>0</v>
      </c>
      <c r="J51" s="97">
        <v>0</v>
      </c>
      <c r="K51" s="36">
        <v>0</v>
      </c>
      <c r="L51" s="38">
        <v>0</v>
      </c>
      <c r="M51" s="39">
        <v>1580</v>
      </c>
      <c r="N51" s="40">
        <v>0</v>
      </c>
      <c r="O51" s="35">
        <v>0.3</v>
      </c>
      <c r="P51" s="36">
        <v>0.97</v>
      </c>
      <c r="Q51" s="38">
        <f>(O51+P51)/2</f>
        <v>0.63500000000000001</v>
      </c>
      <c r="R51" s="35">
        <v>0.53</v>
      </c>
      <c r="S51" s="38">
        <v>1.3080000000000001</v>
      </c>
      <c r="T51" s="41">
        <v>257.68585968079202</v>
      </c>
      <c r="U51" s="42">
        <v>4731.2741255115297</v>
      </c>
      <c r="V51" s="36">
        <v>13900</v>
      </c>
      <c r="W51" s="36">
        <v>14600</v>
      </c>
      <c r="X51" s="36">
        <v>15200</v>
      </c>
      <c r="Y51" s="36">
        <v>16390</v>
      </c>
      <c r="Z51" s="36">
        <v>16390</v>
      </c>
      <c r="AA51" s="36">
        <v>17680</v>
      </c>
      <c r="AB51" s="36">
        <v>17690</v>
      </c>
      <c r="AC51" s="36">
        <v>18680</v>
      </c>
      <c r="AD51" s="36">
        <v>19970</v>
      </c>
      <c r="AE51" s="36">
        <v>18750</v>
      </c>
      <c r="AF51" s="36">
        <v>19630</v>
      </c>
      <c r="AG51" s="36">
        <v>19220</v>
      </c>
      <c r="AH51" s="36">
        <v>20060</v>
      </c>
      <c r="AI51" s="36">
        <v>20530</v>
      </c>
      <c r="AJ51" s="36">
        <v>20870</v>
      </c>
      <c r="AK51" s="36">
        <v>20970</v>
      </c>
      <c r="AL51" s="36">
        <v>21780</v>
      </c>
      <c r="AM51" s="36">
        <v>21860</v>
      </c>
      <c r="AN51" s="36">
        <v>23830</v>
      </c>
      <c r="AO51" s="36">
        <v>24190</v>
      </c>
      <c r="AP51" s="36">
        <v>23910</v>
      </c>
      <c r="AQ51" s="36">
        <v>21060</v>
      </c>
      <c r="AR51" s="38">
        <v>21790</v>
      </c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  <c r="LO51"/>
      <c r="LP51"/>
      <c r="LQ51"/>
      <c r="LR51"/>
      <c r="LS51"/>
      <c r="LT51"/>
      <c r="LU51"/>
      <c r="LV51"/>
      <c r="LW51"/>
      <c r="LX51"/>
      <c r="LY51"/>
      <c r="LZ51"/>
      <c r="MA51"/>
      <c r="MB51"/>
      <c r="MC51"/>
      <c r="MD51"/>
      <c r="ME51"/>
      <c r="MF51"/>
      <c r="MG51"/>
      <c r="MH51"/>
      <c r="MI51"/>
      <c r="MJ51"/>
      <c r="MK51"/>
      <c r="ML51"/>
      <c r="MM51"/>
      <c r="MN51"/>
      <c r="MO51"/>
      <c r="MP51"/>
      <c r="MQ51"/>
      <c r="MR51"/>
      <c r="MS51"/>
      <c r="MT51"/>
      <c r="MU51"/>
      <c r="MV51"/>
      <c r="MW51"/>
      <c r="MX51"/>
      <c r="MY51"/>
      <c r="MZ51"/>
      <c r="NA51"/>
      <c r="NB51"/>
      <c r="NC51"/>
      <c r="ND51"/>
      <c r="NE51"/>
      <c r="NF51"/>
      <c r="NG51"/>
      <c r="NH51"/>
      <c r="NI51"/>
      <c r="NJ51"/>
      <c r="NK51"/>
      <c r="NL51"/>
      <c r="NM51"/>
      <c r="NN51"/>
      <c r="NO51"/>
      <c r="NP51"/>
      <c r="NQ51"/>
      <c r="NR51"/>
      <c r="NS51"/>
      <c r="NT51"/>
      <c r="NU51"/>
      <c r="NV51"/>
      <c r="NW51"/>
      <c r="NX51"/>
      <c r="NY51"/>
      <c r="NZ51"/>
      <c r="OA51"/>
      <c r="OB51"/>
      <c r="OC51"/>
      <c r="OD51"/>
      <c r="OE51"/>
      <c r="OF51"/>
      <c r="OG51"/>
      <c r="OH51"/>
      <c r="OI51"/>
      <c r="OJ51"/>
      <c r="OK51"/>
      <c r="OL51"/>
      <c r="OM51"/>
      <c r="ON51"/>
      <c r="OO51"/>
      <c r="OP51"/>
      <c r="OQ51"/>
      <c r="OR51"/>
      <c r="OS51"/>
      <c r="OT51"/>
      <c r="OU51"/>
      <c r="OV51"/>
      <c r="OW51"/>
      <c r="OX51"/>
      <c r="OY51"/>
      <c r="OZ51"/>
      <c r="PA51"/>
      <c r="PB51"/>
      <c r="PC51"/>
      <c r="PD51"/>
      <c r="PE51"/>
      <c r="PF51"/>
      <c r="PG51"/>
      <c r="PH51"/>
      <c r="PI51"/>
      <c r="PJ51"/>
      <c r="PK51"/>
      <c r="PL51"/>
      <c r="PM51"/>
      <c r="PN51"/>
      <c r="PO51"/>
      <c r="PP51"/>
      <c r="PQ51"/>
      <c r="PR51"/>
      <c r="PS51"/>
      <c r="PT51"/>
      <c r="PU51"/>
      <c r="PV51"/>
      <c r="PW51"/>
      <c r="PX51"/>
      <c r="PY51"/>
      <c r="PZ51"/>
      <c r="QA51"/>
      <c r="QB51"/>
      <c r="QC51"/>
      <c r="QD51"/>
      <c r="QE51"/>
      <c r="QF51"/>
      <c r="QG51"/>
      <c r="QH51"/>
      <c r="QI51"/>
      <c r="QJ51"/>
      <c r="QK51"/>
      <c r="QL51"/>
      <c r="QM51"/>
      <c r="QN51"/>
      <c r="QO51"/>
      <c r="QP51"/>
      <c r="QQ51"/>
      <c r="QR51"/>
      <c r="QS51"/>
      <c r="QT51"/>
      <c r="QU51"/>
      <c r="QV51"/>
      <c r="QW51"/>
      <c r="QX51"/>
      <c r="QY51"/>
      <c r="QZ51"/>
      <c r="RA51"/>
      <c r="RB51"/>
      <c r="RC51"/>
      <c r="RD51"/>
      <c r="RE51"/>
      <c r="RF51"/>
      <c r="RG51"/>
      <c r="RH51"/>
      <c r="RI51"/>
      <c r="RJ51"/>
      <c r="RK51"/>
      <c r="RL51"/>
      <c r="RM51"/>
      <c r="RN51"/>
      <c r="RO51"/>
      <c r="RP51"/>
      <c r="RQ51"/>
      <c r="RR51"/>
      <c r="RS51"/>
      <c r="RT51"/>
      <c r="RU51"/>
      <c r="RV51"/>
      <c r="RW51"/>
      <c r="RX51"/>
      <c r="RY51"/>
      <c r="RZ51"/>
      <c r="SA51"/>
      <c r="SB51"/>
      <c r="SC51"/>
      <c r="SD51"/>
      <c r="SE51"/>
      <c r="SF51"/>
      <c r="SG51"/>
      <c r="SH51"/>
      <c r="SI51"/>
      <c r="SJ51"/>
      <c r="SK51"/>
      <c r="SL51"/>
      <c r="SM51"/>
      <c r="SN51"/>
      <c r="SO51"/>
      <c r="SP51"/>
      <c r="SQ51"/>
      <c r="SR51"/>
      <c r="SS51"/>
      <c r="ST51"/>
      <c r="SU51"/>
      <c r="SV51"/>
      <c r="SW51"/>
      <c r="SX51"/>
      <c r="SY51"/>
      <c r="SZ51"/>
      <c r="TA51"/>
      <c r="TB51"/>
      <c r="TC51"/>
      <c r="TD51"/>
      <c r="TE51"/>
      <c r="TF51"/>
      <c r="TG51"/>
      <c r="TH51"/>
      <c r="TI51"/>
      <c r="TJ51"/>
      <c r="TK51"/>
      <c r="TL51"/>
      <c r="TM51"/>
      <c r="TN51"/>
      <c r="TO51"/>
      <c r="TP51"/>
      <c r="TQ51"/>
      <c r="TR51"/>
      <c r="TS51"/>
      <c r="TT51"/>
      <c r="TU51"/>
      <c r="TV51"/>
      <c r="TW51"/>
      <c r="TX51"/>
      <c r="TY51"/>
      <c r="TZ51"/>
      <c r="UA51"/>
      <c r="UB51"/>
      <c r="UC51"/>
      <c r="UD51"/>
      <c r="UE51"/>
      <c r="UF51"/>
      <c r="UG51"/>
      <c r="UH51"/>
      <c r="UI51"/>
      <c r="UJ51"/>
      <c r="UK51"/>
      <c r="UL51"/>
      <c r="UM51"/>
      <c r="UN51"/>
      <c r="UO51"/>
      <c r="UP51"/>
      <c r="UQ51"/>
      <c r="UR51"/>
      <c r="US51"/>
      <c r="UT51"/>
      <c r="UU51"/>
      <c r="UV51"/>
      <c r="UW51"/>
      <c r="UX51"/>
      <c r="UY51"/>
      <c r="UZ51"/>
      <c r="VA51"/>
      <c r="VB51"/>
      <c r="VC51"/>
      <c r="VD51"/>
      <c r="VE51"/>
      <c r="VF51"/>
      <c r="VG51"/>
      <c r="VH51"/>
      <c r="VI51"/>
      <c r="VJ51"/>
      <c r="VK51"/>
      <c r="VL51"/>
      <c r="VM51"/>
      <c r="VN51"/>
      <c r="VO51"/>
      <c r="VP51"/>
      <c r="VQ51"/>
      <c r="VR51"/>
      <c r="VS51"/>
      <c r="VT51"/>
      <c r="VU51"/>
      <c r="VV51"/>
      <c r="VW51"/>
      <c r="VX51"/>
      <c r="VY51"/>
      <c r="VZ51"/>
      <c r="WA51"/>
      <c r="WB51"/>
      <c r="WC51"/>
      <c r="WD51"/>
      <c r="WE51"/>
      <c r="WF51"/>
      <c r="WG51"/>
      <c r="WH51"/>
      <c r="WI51"/>
      <c r="WJ51"/>
      <c r="WK51"/>
      <c r="WL51"/>
      <c r="WM51"/>
      <c r="WN51"/>
      <c r="WO51"/>
      <c r="WP51"/>
      <c r="WQ51"/>
      <c r="WR51"/>
      <c r="WS51"/>
      <c r="WT51"/>
      <c r="WU51"/>
      <c r="WV51"/>
      <c r="WW51"/>
      <c r="WX51"/>
      <c r="WY51"/>
      <c r="WZ51"/>
      <c r="XA51"/>
      <c r="XB51"/>
      <c r="XC51"/>
      <c r="XD51"/>
      <c r="XE51"/>
      <c r="XF51"/>
      <c r="XG51"/>
      <c r="XH51"/>
      <c r="XI51"/>
      <c r="XJ51"/>
      <c r="XK51"/>
      <c r="XL51"/>
      <c r="XM51"/>
      <c r="XN51"/>
      <c r="XO51"/>
      <c r="XP51"/>
      <c r="XQ51"/>
      <c r="XR51"/>
      <c r="XS51"/>
      <c r="XT51"/>
      <c r="XU51"/>
      <c r="XV51"/>
      <c r="XW51"/>
      <c r="XX51"/>
      <c r="XY51"/>
      <c r="XZ51"/>
      <c r="YA51"/>
      <c r="YB51"/>
      <c r="YC51"/>
      <c r="YD51"/>
      <c r="YE51"/>
      <c r="YF51"/>
      <c r="YG51"/>
      <c r="YH51"/>
      <c r="YI51"/>
      <c r="YJ51"/>
      <c r="YK51"/>
      <c r="YL51"/>
      <c r="YM51"/>
      <c r="YN51"/>
      <c r="YO51"/>
      <c r="YP51"/>
      <c r="YQ51"/>
      <c r="YR51"/>
      <c r="YS51"/>
      <c r="YT51"/>
      <c r="YU51"/>
      <c r="YV51"/>
      <c r="YW51"/>
      <c r="YX51"/>
      <c r="YY51"/>
      <c r="YZ51"/>
      <c r="ZA51"/>
      <c r="ZB51"/>
      <c r="ZC51"/>
      <c r="ZD51"/>
      <c r="ZE51"/>
      <c r="ZF51"/>
      <c r="ZG51"/>
      <c r="ZH51"/>
      <c r="ZI51"/>
      <c r="ZJ51"/>
      <c r="ZK51"/>
      <c r="ZL51"/>
      <c r="ZM51"/>
      <c r="ZN51"/>
      <c r="ZO51"/>
      <c r="ZP51"/>
      <c r="ZQ51"/>
      <c r="ZR51"/>
      <c r="ZS51"/>
      <c r="ZT51"/>
      <c r="ZU51"/>
      <c r="ZV51"/>
      <c r="ZW51"/>
      <c r="ZX51"/>
      <c r="ZY51"/>
      <c r="ZZ51"/>
      <c r="AAA51"/>
      <c r="AAB51"/>
      <c r="AAC51"/>
      <c r="AAD51"/>
      <c r="AAE51"/>
      <c r="AAF51"/>
      <c r="AAG51"/>
      <c r="AAH51"/>
      <c r="AAI51"/>
      <c r="AAJ51"/>
      <c r="AAK51"/>
      <c r="AAL51"/>
      <c r="AAM51"/>
      <c r="AAN51"/>
      <c r="AAO51"/>
      <c r="AAP51"/>
      <c r="AAQ51"/>
      <c r="AAR51"/>
      <c r="AAS51"/>
      <c r="AAT51"/>
      <c r="AAU51"/>
      <c r="AAV51"/>
      <c r="AAW51"/>
      <c r="AAX51"/>
      <c r="AAY51"/>
      <c r="AAZ51"/>
      <c r="ABA51"/>
      <c r="ABB51"/>
      <c r="ABC51"/>
      <c r="ABD51"/>
      <c r="ABE51"/>
      <c r="ABF51"/>
      <c r="ABG51"/>
      <c r="ABH51"/>
      <c r="ABI51"/>
      <c r="ABJ51"/>
      <c r="ABK51"/>
      <c r="ABL51"/>
      <c r="ABM51"/>
      <c r="ABN51"/>
      <c r="ABO51"/>
      <c r="ABP51"/>
      <c r="ABQ51"/>
      <c r="ABR51"/>
      <c r="ABS51"/>
      <c r="ABT51"/>
      <c r="ABU51"/>
      <c r="ABV51"/>
      <c r="ABW51"/>
      <c r="ABX51"/>
      <c r="ABY51"/>
      <c r="ABZ51"/>
      <c r="ACA51"/>
      <c r="ACB51"/>
      <c r="ACC51"/>
      <c r="ACD51"/>
      <c r="ACE51"/>
      <c r="ACF51"/>
      <c r="ACG51"/>
      <c r="ACH51"/>
      <c r="ACI51"/>
      <c r="ACJ51"/>
      <c r="ACK51"/>
      <c r="ACL51"/>
      <c r="ACM51"/>
      <c r="ACN51"/>
      <c r="ACO51"/>
      <c r="ACP51"/>
      <c r="ACQ51"/>
      <c r="ACR51"/>
      <c r="ACS51"/>
      <c r="ACT51"/>
      <c r="ACU51"/>
      <c r="ACV51"/>
      <c r="ACW51"/>
      <c r="ACX51"/>
      <c r="ACY51"/>
      <c r="ACZ51"/>
      <c r="ADA51"/>
      <c r="ADB51"/>
      <c r="ADC51"/>
      <c r="ADD51"/>
      <c r="ADE51"/>
      <c r="ADF51"/>
      <c r="ADG51"/>
      <c r="ADH51"/>
      <c r="ADI51"/>
      <c r="ADJ51"/>
      <c r="ADK51"/>
      <c r="ADL51"/>
      <c r="ADM51"/>
      <c r="ADN51"/>
      <c r="ADO51"/>
      <c r="ADP51"/>
      <c r="ADQ51"/>
      <c r="ADR51"/>
      <c r="ADS51"/>
      <c r="ADT51"/>
      <c r="ADU51"/>
      <c r="ADV51"/>
      <c r="ADW51"/>
      <c r="ADX51"/>
      <c r="ADY51"/>
      <c r="ADZ51"/>
      <c r="AEA51"/>
      <c r="AEB51"/>
      <c r="AEC51"/>
      <c r="AED51"/>
      <c r="AEE51"/>
      <c r="AEF51"/>
      <c r="AEG51"/>
      <c r="AEH51"/>
      <c r="AEI51"/>
      <c r="AEJ51"/>
      <c r="AEK51"/>
      <c r="AEL51"/>
      <c r="AEM51"/>
      <c r="AEN51"/>
      <c r="AEO51"/>
      <c r="AEP51"/>
      <c r="AEQ51"/>
      <c r="AER51"/>
      <c r="AES51"/>
      <c r="AET51"/>
      <c r="AEU51"/>
      <c r="AEV51"/>
      <c r="AEW51"/>
      <c r="AEX51"/>
      <c r="AEY51"/>
      <c r="AEZ51"/>
      <c r="AFA51"/>
      <c r="AFB51"/>
      <c r="AFC51"/>
      <c r="AFD51"/>
      <c r="AFE51"/>
      <c r="AFF51"/>
      <c r="AFG51"/>
      <c r="AFH51"/>
      <c r="AFI51"/>
      <c r="AFJ51"/>
      <c r="AFK51"/>
      <c r="AFL51"/>
      <c r="AFM51"/>
      <c r="AFN51"/>
      <c r="AFO51"/>
      <c r="AFP51"/>
      <c r="AFQ51"/>
      <c r="AFR51"/>
      <c r="AFS51"/>
      <c r="AFT51"/>
      <c r="AFU51"/>
      <c r="AFV51"/>
      <c r="AFW51"/>
      <c r="AFX51"/>
      <c r="AFY51"/>
      <c r="AFZ51"/>
      <c r="AGA51"/>
      <c r="AGB51"/>
      <c r="AGC51"/>
      <c r="AGD51"/>
      <c r="AGE51"/>
      <c r="AGF51"/>
      <c r="AGG51"/>
      <c r="AGH51"/>
      <c r="AGI51"/>
      <c r="AGJ51"/>
      <c r="AGK51"/>
      <c r="AGL51"/>
      <c r="AGM51"/>
      <c r="AGN51"/>
      <c r="AGO51"/>
      <c r="AGP51"/>
      <c r="AGQ51"/>
      <c r="AGR51"/>
      <c r="AGS51"/>
      <c r="AGT51"/>
      <c r="AGU51"/>
      <c r="AGV51"/>
      <c r="AGW51"/>
      <c r="AGX51"/>
      <c r="AGY51"/>
      <c r="AGZ51"/>
      <c r="AHA51"/>
      <c r="AHB51"/>
      <c r="AHC51"/>
      <c r="AHD51"/>
      <c r="AHE51"/>
      <c r="AHF51"/>
      <c r="AHG51"/>
      <c r="AHH51"/>
      <c r="AHI51"/>
      <c r="AHJ51"/>
      <c r="AHK51"/>
      <c r="AHL51"/>
      <c r="AHM51"/>
      <c r="AHN51"/>
      <c r="AHO51"/>
      <c r="AHP51"/>
      <c r="AHQ51"/>
      <c r="AHR51"/>
      <c r="AHS51"/>
      <c r="AHT51"/>
      <c r="AHU51"/>
      <c r="AHV51"/>
      <c r="AHW51"/>
      <c r="AHX51"/>
      <c r="AHY51"/>
      <c r="AHZ51"/>
      <c r="AIA51"/>
      <c r="AIB51"/>
      <c r="AIC51"/>
      <c r="AID51"/>
      <c r="AIE51"/>
      <c r="AIF51"/>
      <c r="AIG51"/>
      <c r="AIH51"/>
      <c r="AII51"/>
      <c r="AIJ51"/>
      <c r="AIK51"/>
      <c r="AIL51"/>
      <c r="AIM51"/>
      <c r="AIN51"/>
      <c r="AIO51"/>
      <c r="AIP51"/>
      <c r="AIQ51"/>
      <c r="AIR51"/>
      <c r="AIS51"/>
      <c r="AIT51"/>
      <c r="AIU51"/>
      <c r="AIV51"/>
      <c r="AIW51"/>
      <c r="AIX51"/>
      <c r="AIY51"/>
      <c r="AIZ51"/>
      <c r="AJA51"/>
      <c r="AJB51"/>
      <c r="AJC51"/>
      <c r="AJD51"/>
      <c r="AJE51"/>
      <c r="AJF51"/>
      <c r="AJG51"/>
      <c r="AJH51"/>
      <c r="AJI51"/>
      <c r="AJJ51"/>
      <c r="AJK51"/>
      <c r="AJL51"/>
      <c r="AJM51"/>
      <c r="AJN51"/>
      <c r="AJO51"/>
      <c r="AJP51"/>
      <c r="AJQ51"/>
      <c r="AJR51"/>
      <c r="AJS51"/>
      <c r="AJT51"/>
      <c r="AJU51"/>
      <c r="AJV51"/>
      <c r="AJW51"/>
      <c r="AJX51"/>
      <c r="AJY51"/>
      <c r="AJZ51"/>
      <c r="AKA51"/>
      <c r="AKB51"/>
      <c r="AKC51"/>
      <c r="AKD51"/>
      <c r="AKE51"/>
      <c r="AKF51"/>
      <c r="AKG51"/>
      <c r="AKH51"/>
      <c r="AKI51"/>
      <c r="AKJ51"/>
      <c r="AKK51"/>
      <c r="AKL51"/>
      <c r="AKM51"/>
      <c r="AKN51"/>
      <c r="AKO51"/>
      <c r="AKP51"/>
      <c r="AKQ51"/>
      <c r="AKR51"/>
      <c r="AKS51"/>
      <c r="AKT51"/>
      <c r="AKU51"/>
      <c r="AKV51"/>
      <c r="AKW51"/>
      <c r="AKX51"/>
      <c r="AKY51"/>
      <c r="AKZ51"/>
      <c r="ALA51"/>
      <c r="ALB51"/>
      <c r="ALC51"/>
      <c r="ALD51"/>
      <c r="ALE51"/>
      <c r="ALF51"/>
      <c r="ALG51"/>
      <c r="ALH51"/>
      <c r="ALI51"/>
      <c r="ALJ51"/>
      <c r="ALK51"/>
      <c r="ALL51"/>
      <c r="ALM51"/>
      <c r="ALN51"/>
      <c r="ALO51"/>
      <c r="ALP51"/>
      <c r="ALQ51"/>
      <c r="ALR51"/>
      <c r="ALS51"/>
      <c r="ALT51"/>
      <c r="ALU51"/>
      <c r="ALV51"/>
      <c r="ALW51"/>
      <c r="ALX51"/>
      <c r="ALY51"/>
      <c r="ALZ51"/>
      <c r="AMA51"/>
      <c r="AMB51"/>
      <c r="AMC51"/>
      <c r="AMD51"/>
      <c r="AME51"/>
      <c r="AMF51"/>
      <c r="AMG51"/>
      <c r="AMH51"/>
      <c r="AMI51"/>
      <c r="AMJ51"/>
      <c r="AMK51"/>
      <c r="AML51"/>
      <c r="AMM51"/>
      <c r="AMN51"/>
      <c r="AMO51"/>
      <c r="AMP51"/>
      <c r="AMQ51"/>
      <c r="AMR51"/>
      <c r="AMS51"/>
      <c r="AMT51"/>
      <c r="AMU51"/>
      <c r="AMV51"/>
      <c r="AMW51"/>
      <c r="AMX51"/>
      <c r="AMY51"/>
      <c r="AMZ51"/>
      <c r="ANA51"/>
      <c r="ANB51"/>
      <c r="ANC51"/>
      <c r="AND51"/>
      <c r="ANE51"/>
      <c r="ANF51"/>
      <c r="ANG51"/>
      <c r="ANH51"/>
      <c r="ANI51"/>
      <c r="ANJ51"/>
      <c r="ANK51"/>
      <c r="ANL51"/>
      <c r="ANM51"/>
      <c r="ANN51"/>
      <c r="ANO51"/>
    </row>
    <row r="52" spans="1:1055" s="36" customFormat="1" x14ac:dyDescent="0.25">
      <c r="A52" s="34" t="s">
        <v>74</v>
      </c>
      <c r="B52" s="49">
        <f>0.25*D52</f>
        <v>1500000</v>
      </c>
      <c r="C52" s="50">
        <v>12000000</v>
      </c>
      <c r="D52" s="50">
        <f>E52/3</f>
        <v>6000000</v>
      </c>
      <c r="E52" s="48">
        <v>18000000</v>
      </c>
      <c r="F52" s="35">
        <v>0</v>
      </c>
      <c r="G52" s="97">
        <v>0</v>
      </c>
      <c r="H52" s="97">
        <v>0</v>
      </c>
      <c r="I52" s="97">
        <v>0</v>
      </c>
      <c r="J52" s="97">
        <v>0</v>
      </c>
      <c r="K52" s="36">
        <v>0</v>
      </c>
      <c r="L52" s="38">
        <v>0</v>
      </c>
      <c r="M52" s="39">
        <v>0.45</v>
      </c>
      <c r="N52" s="40">
        <v>0</v>
      </c>
      <c r="O52" s="35"/>
      <c r="Q52" s="38">
        <v>0</v>
      </c>
      <c r="R52" s="35">
        <v>0</v>
      </c>
      <c r="S52" s="38">
        <v>0</v>
      </c>
      <c r="T52" s="41">
        <v>0</v>
      </c>
      <c r="U52" s="42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  <c r="AB52" s="36">
        <v>0</v>
      </c>
      <c r="AC52" s="36">
        <v>0</v>
      </c>
      <c r="AD52" s="36">
        <v>0</v>
      </c>
      <c r="AE52" s="36">
        <v>0</v>
      </c>
      <c r="AF52" s="36">
        <v>0</v>
      </c>
      <c r="AG52" s="36">
        <v>0</v>
      </c>
      <c r="AH52" s="36">
        <v>0</v>
      </c>
      <c r="AI52" s="36">
        <v>0</v>
      </c>
      <c r="AJ52" s="36">
        <v>0</v>
      </c>
      <c r="AK52" s="36">
        <v>0</v>
      </c>
      <c r="AL52" s="36">
        <v>0</v>
      </c>
      <c r="AM52" s="36">
        <v>0</v>
      </c>
      <c r="AN52" s="36">
        <v>0</v>
      </c>
      <c r="AO52" s="36">
        <v>0</v>
      </c>
      <c r="AP52" s="36">
        <v>0</v>
      </c>
      <c r="AQ52" s="36">
        <v>0</v>
      </c>
      <c r="AR52" s="38">
        <v>0</v>
      </c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  <c r="ANL52"/>
      <c r="ANM52"/>
      <c r="ANN52"/>
      <c r="ANO52"/>
    </row>
    <row r="53" spans="1:1055" s="36" customFormat="1" x14ac:dyDescent="0.25">
      <c r="A53" s="34" t="s">
        <v>75</v>
      </c>
      <c r="B53" s="35">
        <v>0</v>
      </c>
      <c r="C53" s="36">
        <v>0</v>
      </c>
      <c r="D53" s="36">
        <v>463</v>
      </c>
      <c r="E53" s="37">
        <v>0</v>
      </c>
      <c r="F53" s="35">
        <v>0</v>
      </c>
      <c r="G53" s="97">
        <v>0</v>
      </c>
      <c r="H53" s="97">
        <v>0</v>
      </c>
      <c r="I53" s="97">
        <v>0</v>
      </c>
      <c r="J53" s="97">
        <v>0</v>
      </c>
      <c r="K53" s="36">
        <v>64</v>
      </c>
      <c r="L53" s="38">
        <v>0</v>
      </c>
      <c r="M53" s="39">
        <v>250</v>
      </c>
      <c r="N53" s="40">
        <v>0</v>
      </c>
      <c r="O53" s="35"/>
      <c r="Q53" s="38">
        <v>0.75</v>
      </c>
      <c r="R53" s="35">
        <v>4.8</v>
      </c>
      <c r="S53" s="38">
        <v>76.2</v>
      </c>
      <c r="T53" s="41">
        <v>2274.6209310543099</v>
      </c>
      <c r="U53" s="42">
        <v>111474.49153260099</v>
      </c>
      <c r="V53" s="36">
        <v>184000</v>
      </c>
      <c r="W53" s="36">
        <v>188970</v>
      </c>
      <c r="X53" s="36">
        <v>195960</v>
      </c>
      <c r="Y53" s="36">
        <v>210950</v>
      </c>
      <c r="Z53" s="36">
        <v>205900</v>
      </c>
      <c r="AA53" s="36">
        <v>197850</v>
      </c>
      <c r="AB53" s="36">
        <v>237860</v>
      </c>
      <c r="AC53" s="36">
        <v>221830</v>
      </c>
      <c r="AD53" s="36">
        <v>248720</v>
      </c>
      <c r="AE53" s="36">
        <v>206510</v>
      </c>
      <c r="AF53" s="36">
        <v>263350</v>
      </c>
      <c r="AG53" s="36">
        <v>289200</v>
      </c>
      <c r="AH53" s="36">
        <v>300610</v>
      </c>
      <c r="AI53" s="36">
        <v>317350</v>
      </c>
      <c r="AJ53" s="36">
        <v>294830</v>
      </c>
      <c r="AK53" s="36">
        <v>251880</v>
      </c>
      <c r="AL53" s="36">
        <v>252040</v>
      </c>
      <c r="AM53" s="36">
        <v>229800</v>
      </c>
      <c r="AN53" s="36">
        <v>223630</v>
      </c>
      <c r="AO53" s="36">
        <v>276260</v>
      </c>
      <c r="AP53" s="36">
        <v>257510</v>
      </c>
      <c r="AQ53" s="36">
        <v>249220</v>
      </c>
      <c r="AR53" s="38">
        <v>228660</v>
      </c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  <c r="ANL53"/>
      <c r="ANM53"/>
      <c r="ANN53"/>
      <c r="ANO53"/>
    </row>
    <row r="54" spans="1:1055" s="36" customFormat="1" x14ac:dyDescent="0.25">
      <c r="A54" s="47" t="s">
        <v>76</v>
      </c>
      <c r="B54" s="35">
        <v>0</v>
      </c>
      <c r="C54" s="36">
        <v>0</v>
      </c>
      <c r="D54" s="36">
        <v>0</v>
      </c>
      <c r="E54" s="37">
        <v>18000</v>
      </c>
      <c r="F54" s="35">
        <v>0</v>
      </c>
      <c r="G54" s="97">
        <v>0</v>
      </c>
      <c r="H54" s="97">
        <v>0</v>
      </c>
      <c r="I54" s="97">
        <v>0</v>
      </c>
      <c r="J54" s="97">
        <v>0</v>
      </c>
      <c r="K54" s="36">
        <v>0</v>
      </c>
      <c r="L54" s="38">
        <v>0</v>
      </c>
      <c r="M54" s="39">
        <v>0</v>
      </c>
      <c r="N54" s="40">
        <v>0</v>
      </c>
      <c r="O54" s="35"/>
      <c r="Q54" s="38">
        <v>0</v>
      </c>
      <c r="R54" s="35">
        <v>0</v>
      </c>
      <c r="S54" s="38">
        <v>0</v>
      </c>
      <c r="T54" s="41">
        <v>0</v>
      </c>
      <c r="U54" s="42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  <c r="AB54" s="36">
        <v>0</v>
      </c>
      <c r="AC54" s="36">
        <v>0</v>
      </c>
      <c r="AD54" s="36">
        <v>0</v>
      </c>
      <c r="AE54" s="36">
        <v>0</v>
      </c>
      <c r="AF54" s="36">
        <v>0</v>
      </c>
      <c r="AG54" s="36">
        <v>0</v>
      </c>
      <c r="AH54" s="36">
        <v>0</v>
      </c>
      <c r="AI54" s="36">
        <v>0</v>
      </c>
      <c r="AJ54" s="36">
        <v>0</v>
      </c>
      <c r="AK54" s="36">
        <v>0</v>
      </c>
      <c r="AL54" s="36">
        <v>0</v>
      </c>
      <c r="AM54" s="36">
        <v>0</v>
      </c>
      <c r="AN54" s="36">
        <v>0</v>
      </c>
      <c r="AO54" s="36">
        <v>0</v>
      </c>
      <c r="AP54" s="36">
        <v>0</v>
      </c>
      <c r="AQ54" s="36">
        <v>0</v>
      </c>
      <c r="AR54" s="38">
        <v>0</v>
      </c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  <c r="AHJ54"/>
      <c r="AHK54"/>
      <c r="AHL54"/>
      <c r="AHM54"/>
      <c r="AHN54"/>
      <c r="AHO54"/>
      <c r="AHP54"/>
      <c r="AHQ54"/>
      <c r="AHR54"/>
      <c r="AHS54"/>
      <c r="AHT54"/>
      <c r="AHU54"/>
      <c r="AHV54"/>
      <c r="AHW54"/>
      <c r="AHX54"/>
      <c r="AHY54"/>
      <c r="AHZ54"/>
      <c r="AIA54"/>
      <c r="AIB54"/>
      <c r="AIC54"/>
      <c r="AID54"/>
      <c r="AIE54"/>
      <c r="AIF54"/>
      <c r="AIG54"/>
      <c r="AIH54"/>
      <c r="AII54"/>
      <c r="AIJ54"/>
      <c r="AIK54"/>
      <c r="AIL54"/>
      <c r="AIM54"/>
      <c r="AIN54"/>
      <c r="AIO54"/>
      <c r="AIP54"/>
      <c r="AIQ54"/>
      <c r="AIR54"/>
      <c r="AIS54"/>
      <c r="AIT54"/>
      <c r="AIU54"/>
      <c r="AIV54"/>
      <c r="AIW54"/>
      <c r="AIX54"/>
      <c r="AIY54"/>
      <c r="AIZ54"/>
      <c r="AJA54"/>
      <c r="AJB54"/>
      <c r="AJC54"/>
      <c r="AJD54"/>
      <c r="AJE54"/>
      <c r="AJF54"/>
      <c r="AJG54"/>
      <c r="AJH54"/>
      <c r="AJI54"/>
      <c r="AJJ54"/>
      <c r="AJK54"/>
      <c r="AJL54"/>
      <c r="AJM54"/>
      <c r="AJN54"/>
      <c r="AJO54"/>
      <c r="AJP54"/>
      <c r="AJQ54"/>
      <c r="AJR54"/>
      <c r="AJS54"/>
      <c r="AJT54"/>
      <c r="AJU54"/>
      <c r="AJV54"/>
      <c r="AJW54"/>
      <c r="AJX54"/>
      <c r="AJY54"/>
      <c r="AJZ54"/>
      <c r="AKA54"/>
      <c r="AKB54"/>
      <c r="AKC54"/>
      <c r="AKD54"/>
      <c r="AKE54"/>
      <c r="AKF54"/>
      <c r="AKG54"/>
      <c r="AKH54"/>
      <c r="AKI54"/>
      <c r="AKJ54"/>
      <c r="AKK54"/>
      <c r="AKL54"/>
      <c r="AKM54"/>
      <c r="AKN54"/>
      <c r="AKO54"/>
      <c r="AKP54"/>
      <c r="AKQ54"/>
      <c r="AKR54"/>
      <c r="AKS54"/>
      <c r="AKT54"/>
      <c r="AKU54"/>
      <c r="AKV54"/>
      <c r="AKW54"/>
      <c r="AKX54"/>
      <c r="AKY54"/>
      <c r="AKZ54"/>
      <c r="ALA54"/>
      <c r="ALB54"/>
      <c r="ALC54"/>
      <c r="ALD54"/>
      <c r="ALE54"/>
      <c r="ALF54"/>
      <c r="ALG54"/>
      <c r="ALH54"/>
      <c r="ALI54"/>
      <c r="ALJ54"/>
      <c r="ALK54"/>
      <c r="ALL54"/>
      <c r="ALM54"/>
      <c r="ALN54"/>
      <c r="ALO54"/>
      <c r="ALP54"/>
      <c r="ALQ54"/>
      <c r="ALR54"/>
      <c r="ALS54"/>
      <c r="ALT54"/>
      <c r="ALU54"/>
      <c r="ALV54"/>
      <c r="ALW54"/>
      <c r="ALX54"/>
      <c r="ALY54"/>
      <c r="ALZ54"/>
      <c r="AMA54"/>
      <c r="AMB54"/>
      <c r="AMC54"/>
      <c r="AMD54"/>
      <c r="AME54"/>
      <c r="AMF54"/>
      <c r="AMG54"/>
      <c r="AMH54"/>
      <c r="AMI54"/>
      <c r="AMJ54"/>
      <c r="AMK54"/>
      <c r="AML54"/>
      <c r="AMM54"/>
      <c r="AMN54"/>
      <c r="AMO54"/>
      <c r="AMP54"/>
      <c r="AMQ54"/>
      <c r="AMR54"/>
      <c r="AMS54"/>
      <c r="AMT54"/>
      <c r="AMU54"/>
      <c r="AMV54"/>
      <c r="AMW54"/>
      <c r="AMX54"/>
      <c r="AMY54"/>
      <c r="AMZ54"/>
      <c r="ANA54"/>
      <c r="ANB54"/>
      <c r="ANC54"/>
      <c r="AND54"/>
      <c r="ANE54"/>
      <c r="ANF54"/>
      <c r="ANG54"/>
      <c r="ANH54"/>
      <c r="ANI54"/>
      <c r="ANJ54"/>
      <c r="ANK54"/>
      <c r="ANL54"/>
      <c r="ANM54"/>
      <c r="ANN54"/>
      <c r="ANO54"/>
    </row>
    <row r="55" spans="1:1055" s="36" customFormat="1" x14ac:dyDescent="0.25">
      <c r="A55" s="47" t="s">
        <v>77</v>
      </c>
      <c r="B55" s="35">
        <v>126100</v>
      </c>
      <c r="C55" s="36">
        <v>400000</v>
      </c>
      <c r="D55" s="36">
        <v>2000</v>
      </c>
      <c r="E55" s="37">
        <v>240000</v>
      </c>
      <c r="F55" s="35">
        <v>0</v>
      </c>
      <c r="G55" s="97">
        <v>0</v>
      </c>
      <c r="H55" s="97">
        <v>0</v>
      </c>
      <c r="I55" s="97">
        <v>0</v>
      </c>
      <c r="J55" s="97">
        <v>0</v>
      </c>
      <c r="K55" s="36">
        <v>2651</v>
      </c>
      <c r="L55" s="38">
        <v>200</v>
      </c>
      <c r="M55" s="39">
        <v>56.7</v>
      </c>
      <c r="N55" s="40">
        <v>0</v>
      </c>
      <c r="O55" s="35"/>
      <c r="Q55" s="38">
        <v>0</v>
      </c>
      <c r="R55" s="35">
        <v>0</v>
      </c>
      <c r="S55" s="38">
        <v>0</v>
      </c>
      <c r="T55" s="41">
        <v>0</v>
      </c>
      <c r="U55" s="42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  <c r="AB55" s="36">
        <v>0</v>
      </c>
      <c r="AC55" s="36">
        <v>0</v>
      </c>
      <c r="AD55" s="36">
        <v>0</v>
      </c>
      <c r="AE55" s="36">
        <v>0</v>
      </c>
      <c r="AF55" s="36">
        <v>0</v>
      </c>
      <c r="AG55" s="36">
        <v>0</v>
      </c>
      <c r="AH55" s="36">
        <v>0</v>
      </c>
      <c r="AI55" s="36">
        <v>0</v>
      </c>
      <c r="AJ55" s="36">
        <v>0</v>
      </c>
      <c r="AK55" s="36">
        <v>0</v>
      </c>
      <c r="AL55" s="36">
        <v>0</v>
      </c>
      <c r="AM55" s="36">
        <v>0</v>
      </c>
      <c r="AN55" s="36">
        <v>0</v>
      </c>
      <c r="AO55" s="36">
        <v>0</v>
      </c>
      <c r="AP55" s="36">
        <v>0</v>
      </c>
      <c r="AQ55" s="36">
        <v>0</v>
      </c>
      <c r="AR55" s="38">
        <v>0</v>
      </c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  <c r="LO55"/>
      <c r="LP55"/>
      <c r="LQ55"/>
      <c r="LR55"/>
      <c r="LS55"/>
      <c r="LT55"/>
      <c r="LU55"/>
      <c r="LV55"/>
      <c r="LW55"/>
      <c r="LX55"/>
      <c r="LY55"/>
      <c r="LZ55"/>
      <c r="MA55"/>
      <c r="MB55"/>
      <c r="MC55"/>
      <c r="MD55"/>
      <c r="ME55"/>
      <c r="MF55"/>
      <c r="MG55"/>
      <c r="MH55"/>
      <c r="MI55"/>
      <c r="MJ55"/>
      <c r="MK55"/>
      <c r="ML55"/>
      <c r="MM55"/>
      <c r="MN55"/>
      <c r="MO55"/>
      <c r="MP55"/>
      <c r="MQ55"/>
      <c r="MR55"/>
      <c r="MS55"/>
      <c r="MT55"/>
      <c r="MU55"/>
      <c r="MV55"/>
      <c r="MW55"/>
      <c r="MX55"/>
      <c r="MY55"/>
      <c r="MZ55"/>
      <c r="NA55"/>
      <c r="NB55"/>
      <c r="NC55"/>
      <c r="ND55"/>
      <c r="NE55"/>
      <c r="NF55"/>
      <c r="NG55"/>
      <c r="NH55"/>
      <c r="NI55"/>
      <c r="NJ55"/>
      <c r="NK55"/>
      <c r="NL55"/>
      <c r="NM55"/>
      <c r="NN55"/>
      <c r="NO55"/>
      <c r="NP55"/>
      <c r="NQ55"/>
      <c r="NR55"/>
      <c r="NS55"/>
      <c r="NT55"/>
      <c r="NU55"/>
      <c r="NV55"/>
      <c r="NW55"/>
      <c r="NX55"/>
      <c r="NY55"/>
      <c r="NZ55"/>
      <c r="OA55"/>
      <c r="OB55"/>
      <c r="OC55"/>
      <c r="OD55"/>
      <c r="OE55"/>
      <c r="OF55"/>
      <c r="OG55"/>
      <c r="OH55"/>
      <c r="OI55"/>
      <c r="OJ55"/>
      <c r="OK55"/>
      <c r="OL55"/>
      <c r="OM55"/>
      <c r="ON55"/>
      <c r="OO55"/>
      <c r="OP55"/>
      <c r="OQ55"/>
      <c r="OR55"/>
      <c r="OS55"/>
      <c r="OT55"/>
      <c r="OU55"/>
      <c r="OV55"/>
      <c r="OW55"/>
      <c r="OX55"/>
      <c r="OY55"/>
      <c r="OZ55"/>
      <c r="PA55"/>
      <c r="PB55"/>
      <c r="PC55"/>
      <c r="PD55"/>
      <c r="PE55"/>
      <c r="PF55"/>
      <c r="PG55"/>
      <c r="PH55"/>
      <c r="PI55"/>
      <c r="PJ55"/>
      <c r="PK55"/>
      <c r="PL55"/>
      <c r="PM55"/>
      <c r="PN55"/>
      <c r="PO55"/>
      <c r="PP55"/>
      <c r="PQ55"/>
      <c r="PR55"/>
      <c r="PS55"/>
      <c r="PT55"/>
      <c r="PU55"/>
      <c r="PV55"/>
      <c r="PW55"/>
      <c r="PX55"/>
      <c r="PY55"/>
      <c r="PZ55"/>
      <c r="QA55"/>
      <c r="QB55"/>
      <c r="QC55"/>
      <c r="QD55"/>
      <c r="QE55"/>
      <c r="QF55"/>
      <c r="QG55"/>
      <c r="QH55"/>
      <c r="QI55"/>
      <c r="QJ55"/>
      <c r="QK55"/>
      <c r="QL55"/>
      <c r="QM55"/>
      <c r="QN55"/>
      <c r="QO55"/>
      <c r="QP55"/>
      <c r="QQ55"/>
      <c r="QR55"/>
      <c r="QS55"/>
      <c r="QT55"/>
      <c r="QU55"/>
      <c r="QV55"/>
      <c r="QW55"/>
      <c r="QX55"/>
      <c r="QY55"/>
      <c r="QZ55"/>
      <c r="RA55"/>
      <c r="RB55"/>
      <c r="RC55"/>
      <c r="RD55"/>
      <c r="RE55"/>
      <c r="RF55"/>
      <c r="RG55"/>
      <c r="RH55"/>
      <c r="RI55"/>
      <c r="RJ55"/>
      <c r="RK55"/>
      <c r="RL55"/>
      <c r="RM55"/>
      <c r="RN55"/>
      <c r="RO55"/>
      <c r="RP55"/>
      <c r="RQ55"/>
      <c r="RR55"/>
      <c r="RS55"/>
      <c r="RT55"/>
      <c r="RU55"/>
      <c r="RV55"/>
      <c r="RW55"/>
      <c r="RX55"/>
      <c r="RY55"/>
      <c r="RZ55"/>
      <c r="SA55"/>
      <c r="SB55"/>
      <c r="SC55"/>
      <c r="SD55"/>
      <c r="SE55"/>
      <c r="SF55"/>
      <c r="SG55"/>
      <c r="SH55"/>
      <c r="SI55"/>
      <c r="SJ55"/>
      <c r="SK55"/>
      <c r="SL55"/>
      <c r="SM55"/>
      <c r="SN55"/>
      <c r="SO55"/>
      <c r="SP55"/>
      <c r="SQ55"/>
      <c r="SR55"/>
      <c r="SS55"/>
      <c r="ST55"/>
      <c r="SU55"/>
      <c r="SV55"/>
      <c r="SW55"/>
      <c r="SX55"/>
      <c r="SY55"/>
      <c r="SZ55"/>
      <c r="TA55"/>
      <c r="TB55"/>
      <c r="TC55"/>
      <c r="TD55"/>
      <c r="TE55"/>
      <c r="TF55"/>
      <c r="TG55"/>
      <c r="TH55"/>
      <c r="TI55"/>
      <c r="TJ55"/>
      <c r="TK55"/>
      <c r="TL55"/>
      <c r="TM55"/>
      <c r="TN55"/>
      <c r="TO55"/>
      <c r="TP55"/>
      <c r="TQ55"/>
      <c r="TR55"/>
      <c r="TS55"/>
      <c r="TT55"/>
      <c r="TU55"/>
      <c r="TV55"/>
      <c r="TW55"/>
      <c r="TX55"/>
      <c r="TY55"/>
      <c r="TZ55"/>
      <c r="UA55"/>
      <c r="UB55"/>
      <c r="UC55"/>
      <c r="UD55"/>
      <c r="UE55"/>
      <c r="UF55"/>
      <c r="UG55"/>
      <c r="UH55"/>
      <c r="UI55"/>
      <c r="UJ55"/>
      <c r="UK55"/>
      <c r="UL55"/>
      <c r="UM55"/>
      <c r="UN55"/>
      <c r="UO55"/>
      <c r="UP55"/>
      <c r="UQ55"/>
      <c r="UR55"/>
      <c r="US55"/>
      <c r="UT55"/>
      <c r="UU55"/>
      <c r="UV55"/>
      <c r="UW55"/>
      <c r="UX55"/>
      <c r="UY55"/>
      <c r="UZ55"/>
      <c r="VA55"/>
      <c r="VB55"/>
      <c r="VC55"/>
      <c r="VD55"/>
      <c r="VE55"/>
      <c r="VF55"/>
      <c r="VG55"/>
      <c r="VH55"/>
      <c r="VI55"/>
      <c r="VJ55"/>
      <c r="VK55"/>
      <c r="VL55"/>
      <c r="VM55"/>
      <c r="VN55"/>
      <c r="VO55"/>
      <c r="VP55"/>
      <c r="VQ55"/>
      <c r="VR55"/>
      <c r="VS55"/>
      <c r="VT55"/>
      <c r="VU55"/>
      <c r="VV55"/>
      <c r="VW55"/>
      <c r="VX55"/>
      <c r="VY55"/>
      <c r="VZ55"/>
      <c r="WA55"/>
      <c r="WB55"/>
      <c r="WC55"/>
      <c r="WD55"/>
      <c r="WE55"/>
      <c r="WF55"/>
      <c r="WG55"/>
      <c r="WH55"/>
      <c r="WI55"/>
      <c r="WJ55"/>
      <c r="WK55"/>
      <c r="WL55"/>
      <c r="WM55"/>
      <c r="WN55"/>
      <c r="WO55"/>
      <c r="WP55"/>
      <c r="WQ55"/>
      <c r="WR55"/>
      <c r="WS55"/>
      <c r="WT55"/>
      <c r="WU55"/>
      <c r="WV55"/>
      <c r="WW55"/>
      <c r="WX55"/>
      <c r="WY55"/>
      <c r="WZ55"/>
      <c r="XA55"/>
      <c r="XB55"/>
      <c r="XC55"/>
      <c r="XD55"/>
      <c r="XE55"/>
      <c r="XF55"/>
      <c r="XG55"/>
      <c r="XH55"/>
      <c r="XI55"/>
      <c r="XJ55"/>
      <c r="XK55"/>
      <c r="XL55"/>
      <c r="XM55"/>
      <c r="XN55"/>
      <c r="XO55"/>
      <c r="XP55"/>
      <c r="XQ55"/>
      <c r="XR55"/>
      <c r="XS55"/>
      <c r="XT55"/>
      <c r="XU55"/>
      <c r="XV55"/>
      <c r="XW55"/>
      <c r="XX55"/>
      <c r="XY55"/>
      <c r="XZ55"/>
      <c r="YA55"/>
      <c r="YB55"/>
      <c r="YC55"/>
      <c r="YD55"/>
      <c r="YE55"/>
      <c r="YF55"/>
      <c r="YG55"/>
      <c r="YH55"/>
      <c r="YI55"/>
      <c r="YJ55"/>
      <c r="YK55"/>
      <c r="YL55"/>
      <c r="YM55"/>
      <c r="YN55"/>
      <c r="YO55"/>
      <c r="YP55"/>
      <c r="YQ55"/>
      <c r="YR55"/>
      <c r="YS55"/>
      <c r="YT55"/>
      <c r="YU55"/>
      <c r="YV55"/>
      <c r="YW55"/>
      <c r="YX55"/>
      <c r="YY55"/>
      <c r="YZ55"/>
      <c r="ZA55"/>
      <c r="ZB55"/>
      <c r="ZC55"/>
      <c r="ZD55"/>
      <c r="ZE55"/>
      <c r="ZF55"/>
      <c r="ZG55"/>
      <c r="ZH55"/>
      <c r="ZI55"/>
      <c r="ZJ55"/>
      <c r="ZK55"/>
      <c r="ZL55"/>
      <c r="ZM55"/>
      <c r="ZN55"/>
      <c r="ZO55"/>
      <c r="ZP55"/>
      <c r="ZQ55"/>
      <c r="ZR55"/>
      <c r="ZS55"/>
      <c r="ZT55"/>
      <c r="ZU55"/>
      <c r="ZV55"/>
      <c r="ZW55"/>
      <c r="ZX55"/>
      <c r="ZY55"/>
      <c r="ZZ55"/>
      <c r="AAA55"/>
      <c r="AAB55"/>
      <c r="AAC55"/>
      <c r="AAD55"/>
      <c r="AAE55"/>
      <c r="AAF55"/>
      <c r="AAG55"/>
      <c r="AAH55"/>
      <c r="AAI55"/>
      <c r="AAJ55"/>
      <c r="AAK55"/>
      <c r="AAL55"/>
      <c r="AAM55"/>
      <c r="AAN55"/>
      <c r="AAO55"/>
      <c r="AAP55"/>
      <c r="AAQ55"/>
      <c r="AAR55"/>
      <c r="AAS55"/>
      <c r="AAT55"/>
      <c r="AAU55"/>
      <c r="AAV55"/>
      <c r="AAW55"/>
      <c r="AAX55"/>
      <c r="AAY55"/>
      <c r="AAZ55"/>
      <c r="ABA55"/>
      <c r="ABB55"/>
      <c r="ABC55"/>
      <c r="ABD55"/>
      <c r="ABE55"/>
      <c r="ABF55"/>
      <c r="ABG55"/>
      <c r="ABH55"/>
      <c r="ABI55"/>
      <c r="ABJ55"/>
      <c r="ABK55"/>
      <c r="ABL55"/>
      <c r="ABM55"/>
      <c r="ABN55"/>
      <c r="ABO55"/>
      <c r="ABP55"/>
      <c r="ABQ55"/>
      <c r="ABR55"/>
      <c r="ABS55"/>
      <c r="ABT55"/>
      <c r="ABU55"/>
      <c r="ABV55"/>
      <c r="ABW55"/>
      <c r="ABX55"/>
      <c r="ABY55"/>
      <c r="ABZ55"/>
      <c r="ACA55"/>
      <c r="ACB55"/>
      <c r="ACC55"/>
      <c r="ACD55"/>
      <c r="ACE55"/>
      <c r="ACF55"/>
      <c r="ACG55"/>
      <c r="ACH55"/>
      <c r="ACI55"/>
      <c r="ACJ55"/>
      <c r="ACK55"/>
      <c r="ACL55"/>
      <c r="ACM55"/>
      <c r="ACN55"/>
      <c r="ACO55"/>
      <c r="ACP55"/>
      <c r="ACQ55"/>
      <c r="ACR55"/>
      <c r="ACS55"/>
      <c r="ACT55"/>
      <c r="ACU55"/>
      <c r="ACV55"/>
      <c r="ACW55"/>
      <c r="ACX55"/>
      <c r="ACY55"/>
      <c r="ACZ55"/>
      <c r="ADA55"/>
      <c r="ADB55"/>
      <c r="ADC55"/>
      <c r="ADD55"/>
      <c r="ADE55"/>
      <c r="ADF55"/>
      <c r="ADG55"/>
      <c r="ADH55"/>
      <c r="ADI55"/>
      <c r="ADJ55"/>
      <c r="ADK55"/>
      <c r="ADL55"/>
      <c r="ADM55"/>
      <c r="ADN55"/>
      <c r="ADO55"/>
      <c r="ADP55"/>
      <c r="ADQ55"/>
      <c r="ADR55"/>
      <c r="ADS55"/>
      <c r="ADT55"/>
      <c r="ADU55"/>
      <c r="ADV55"/>
      <c r="ADW55"/>
      <c r="ADX55"/>
      <c r="ADY55"/>
      <c r="ADZ55"/>
      <c r="AEA55"/>
      <c r="AEB55"/>
      <c r="AEC55"/>
      <c r="AED55"/>
      <c r="AEE55"/>
      <c r="AEF55"/>
      <c r="AEG55"/>
      <c r="AEH55"/>
      <c r="AEI55"/>
      <c r="AEJ55"/>
      <c r="AEK55"/>
      <c r="AEL55"/>
      <c r="AEM55"/>
      <c r="AEN55"/>
      <c r="AEO55"/>
      <c r="AEP55"/>
      <c r="AEQ55"/>
      <c r="AER55"/>
      <c r="AES55"/>
      <c r="AET55"/>
      <c r="AEU55"/>
      <c r="AEV55"/>
      <c r="AEW55"/>
      <c r="AEX55"/>
      <c r="AEY55"/>
      <c r="AEZ55"/>
      <c r="AFA55"/>
      <c r="AFB55"/>
      <c r="AFC55"/>
      <c r="AFD55"/>
      <c r="AFE55"/>
      <c r="AFF55"/>
      <c r="AFG55"/>
      <c r="AFH55"/>
      <c r="AFI55"/>
      <c r="AFJ55"/>
      <c r="AFK55"/>
      <c r="AFL55"/>
      <c r="AFM55"/>
      <c r="AFN55"/>
      <c r="AFO55"/>
      <c r="AFP55"/>
      <c r="AFQ55"/>
      <c r="AFR55"/>
      <c r="AFS55"/>
      <c r="AFT55"/>
      <c r="AFU55"/>
      <c r="AFV55"/>
      <c r="AFW55"/>
      <c r="AFX55"/>
      <c r="AFY55"/>
      <c r="AFZ55"/>
      <c r="AGA55"/>
      <c r="AGB55"/>
      <c r="AGC55"/>
      <c r="AGD55"/>
      <c r="AGE55"/>
      <c r="AGF55"/>
      <c r="AGG55"/>
      <c r="AGH55"/>
      <c r="AGI55"/>
      <c r="AGJ55"/>
      <c r="AGK55"/>
      <c r="AGL55"/>
      <c r="AGM55"/>
      <c r="AGN55"/>
      <c r="AGO55"/>
      <c r="AGP55"/>
      <c r="AGQ55"/>
      <c r="AGR55"/>
      <c r="AGS55"/>
      <c r="AGT55"/>
      <c r="AGU55"/>
      <c r="AGV55"/>
      <c r="AGW55"/>
      <c r="AGX55"/>
      <c r="AGY55"/>
      <c r="AGZ55"/>
      <c r="AHA55"/>
      <c r="AHB55"/>
      <c r="AHC55"/>
      <c r="AHD55"/>
      <c r="AHE55"/>
      <c r="AHF55"/>
      <c r="AHG55"/>
      <c r="AHH55"/>
      <c r="AHI55"/>
      <c r="AHJ55"/>
      <c r="AHK55"/>
      <c r="AHL55"/>
      <c r="AHM55"/>
      <c r="AHN55"/>
      <c r="AHO55"/>
      <c r="AHP55"/>
      <c r="AHQ55"/>
      <c r="AHR55"/>
      <c r="AHS55"/>
      <c r="AHT55"/>
      <c r="AHU55"/>
      <c r="AHV55"/>
      <c r="AHW55"/>
      <c r="AHX55"/>
      <c r="AHY55"/>
      <c r="AHZ55"/>
      <c r="AIA55"/>
      <c r="AIB55"/>
      <c r="AIC55"/>
      <c r="AID55"/>
      <c r="AIE55"/>
      <c r="AIF55"/>
      <c r="AIG55"/>
      <c r="AIH55"/>
      <c r="AII55"/>
      <c r="AIJ55"/>
      <c r="AIK55"/>
      <c r="AIL55"/>
      <c r="AIM55"/>
      <c r="AIN55"/>
      <c r="AIO55"/>
      <c r="AIP55"/>
      <c r="AIQ55"/>
      <c r="AIR55"/>
      <c r="AIS55"/>
      <c r="AIT55"/>
      <c r="AIU55"/>
      <c r="AIV55"/>
      <c r="AIW55"/>
      <c r="AIX55"/>
      <c r="AIY55"/>
      <c r="AIZ55"/>
      <c r="AJA55"/>
      <c r="AJB55"/>
      <c r="AJC55"/>
      <c r="AJD55"/>
      <c r="AJE55"/>
      <c r="AJF55"/>
      <c r="AJG55"/>
      <c r="AJH55"/>
      <c r="AJI55"/>
      <c r="AJJ55"/>
      <c r="AJK55"/>
      <c r="AJL55"/>
      <c r="AJM55"/>
      <c r="AJN55"/>
      <c r="AJO55"/>
      <c r="AJP55"/>
      <c r="AJQ55"/>
      <c r="AJR55"/>
      <c r="AJS55"/>
      <c r="AJT55"/>
      <c r="AJU55"/>
      <c r="AJV55"/>
      <c r="AJW55"/>
      <c r="AJX55"/>
      <c r="AJY55"/>
      <c r="AJZ55"/>
      <c r="AKA55"/>
      <c r="AKB55"/>
      <c r="AKC55"/>
      <c r="AKD55"/>
      <c r="AKE55"/>
      <c r="AKF55"/>
      <c r="AKG55"/>
      <c r="AKH55"/>
      <c r="AKI55"/>
      <c r="AKJ55"/>
      <c r="AKK55"/>
      <c r="AKL55"/>
      <c r="AKM55"/>
      <c r="AKN55"/>
      <c r="AKO55"/>
      <c r="AKP55"/>
      <c r="AKQ55"/>
      <c r="AKR55"/>
      <c r="AKS55"/>
      <c r="AKT55"/>
      <c r="AKU55"/>
      <c r="AKV55"/>
      <c r="AKW55"/>
      <c r="AKX55"/>
      <c r="AKY55"/>
      <c r="AKZ55"/>
      <c r="ALA55"/>
      <c r="ALB55"/>
      <c r="ALC55"/>
      <c r="ALD55"/>
      <c r="ALE55"/>
      <c r="ALF55"/>
      <c r="ALG55"/>
      <c r="ALH55"/>
      <c r="ALI55"/>
      <c r="ALJ55"/>
      <c r="ALK55"/>
      <c r="ALL55"/>
      <c r="ALM55"/>
      <c r="ALN55"/>
      <c r="ALO55"/>
      <c r="ALP55"/>
      <c r="ALQ55"/>
      <c r="ALR55"/>
      <c r="ALS55"/>
      <c r="ALT55"/>
      <c r="ALU55"/>
      <c r="ALV55"/>
      <c r="ALW55"/>
      <c r="ALX55"/>
      <c r="ALY55"/>
      <c r="ALZ55"/>
      <c r="AMA55"/>
      <c r="AMB55"/>
      <c r="AMC55"/>
      <c r="AMD55"/>
      <c r="AME55"/>
      <c r="AMF55"/>
      <c r="AMG55"/>
      <c r="AMH55"/>
      <c r="AMI55"/>
      <c r="AMJ55"/>
      <c r="AMK55"/>
      <c r="AML55"/>
      <c r="AMM55"/>
      <c r="AMN55"/>
      <c r="AMO55"/>
      <c r="AMP55"/>
      <c r="AMQ55"/>
      <c r="AMR55"/>
      <c r="AMS55"/>
      <c r="AMT55"/>
      <c r="AMU55"/>
      <c r="AMV55"/>
      <c r="AMW55"/>
      <c r="AMX55"/>
      <c r="AMY55"/>
      <c r="AMZ55"/>
      <c r="ANA55"/>
      <c r="ANB55"/>
      <c r="ANC55"/>
      <c r="AND55"/>
      <c r="ANE55"/>
      <c r="ANF55"/>
      <c r="ANG55"/>
      <c r="ANH55"/>
      <c r="ANI55"/>
      <c r="ANJ55"/>
      <c r="ANK55"/>
      <c r="ANL55"/>
      <c r="ANM55"/>
      <c r="ANN55"/>
      <c r="ANO55"/>
    </row>
    <row r="56" spans="1:1055" s="36" customFormat="1" x14ac:dyDescent="0.25">
      <c r="A56" s="34" t="s">
        <v>78</v>
      </c>
      <c r="B56" s="35">
        <v>0</v>
      </c>
      <c r="C56" s="36">
        <v>0</v>
      </c>
      <c r="D56" s="36">
        <v>0</v>
      </c>
      <c r="E56" s="37">
        <v>44000</v>
      </c>
      <c r="F56" s="35">
        <v>0</v>
      </c>
      <c r="G56" s="97">
        <v>0</v>
      </c>
      <c r="H56" s="97">
        <v>0</v>
      </c>
      <c r="I56" s="97">
        <v>0</v>
      </c>
      <c r="J56" s="97">
        <v>0</v>
      </c>
      <c r="K56" s="36">
        <v>2544</v>
      </c>
      <c r="L56" s="38">
        <v>7</v>
      </c>
      <c r="M56" s="39">
        <v>207</v>
      </c>
      <c r="N56" s="40">
        <v>0</v>
      </c>
      <c r="O56" s="35"/>
      <c r="Q56" s="38">
        <v>0</v>
      </c>
      <c r="R56" s="35">
        <v>0</v>
      </c>
      <c r="S56" s="38">
        <v>0</v>
      </c>
      <c r="T56" s="41">
        <v>0</v>
      </c>
      <c r="U56" s="42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  <c r="AB56" s="36">
        <v>0</v>
      </c>
      <c r="AC56" s="36">
        <v>0</v>
      </c>
      <c r="AD56" s="36">
        <v>0</v>
      </c>
      <c r="AE56" s="36">
        <v>0</v>
      </c>
      <c r="AF56" s="36">
        <v>0</v>
      </c>
      <c r="AG56" s="36">
        <v>0</v>
      </c>
      <c r="AH56" s="36">
        <v>0</v>
      </c>
      <c r="AI56" s="36">
        <v>0</v>
      </c>
      <c r="AJ56" s="36">
        <v>0</v>
      </c>
      <c r="AK56" s="36">
        <v>0</v>
      </c>
      <c r="AL56" s="36">
        <v>0</v>
      </c>
      <c r="AM56" s="36">
        <v>0</v>
      </c>
      <c r="AN56" s="36">
        <v>0</v>
      </c>
      <c r="AO56" s="36">
        <v>0</v>
      </c>
      <c r="AP56" s="36">
        <v>0</v>
      </c>
      <c r="AQ56" s="36">
        <v>0</v>
      </c>
      <c r="AR56" s="38">
        <v>0</v>
      </c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  <c r="LO56"/>
      <c r="LP56"/>
      <c r="LQ56"/>
      <c r="LR56"/>
      <c r="LS56"/>
      <c r="LT56"/>
      <c r="LU56"/>
      <c r="LV56"/>
      <c r="LW56"/>
      <c r="LX56"/>
      <c r="LY56"/>
      <c r="LZ56"/>
      <c r="MA56"/>
      <c r="MB56"/>
      <c r="MC56"/>
      <c r="MD56"/>
      <c r="ME56"/>
      <c r="MF56"/>
      <c r="MG56"/>
      <c r="MH56"/>
      <c r="MI56"/>
      <c r="MJ56"/>
      <c r="MK56"/>
      <c r="ML56"/>
      <c r="MM56"/>
      <c r="MN56"/>
      <c r="MO56"/>
      <c r="MP56"/>
      <c r="MQ56"/>
      <c r="MR56"/>
      <c r="MS56"/>
      <c r="MT56"/>
      <c r="MU56"/>
      <c r="MV56"/>
      <c r="MW56"/>
      <c r="MX56"/>
      <c r="MY56"/>
      <c r="MZ56"/>
      <c r="NA56"/>
      <c r="NB56"/>
      <c r="NC56"/>
      <c r="ND56"/>
      <c r="NE56"/>
      <c r="NF56"/>
      <c r="NG56"/>
      <c r="NH56"/>
      <c r="NI56"/>
      <c r="NJ56"/>
      <c r="NK56"/>
      <c r="NL56"/>
      <c r="NM56"/>
      <c r="NN56"/>
      <c r="NO56"/>
      <c r="NP56"/>
      <c r="NQ56"/>
      <c r="NR56"/>
      <c r="NS56"/>
      <c r="NT56"/>
      <c r="NU56"/>
      <c r="NV56"/>
      <c r="NW56"/>
      <c r="NX56"/>
      <c r="NY56"/>
      <c r="NZ56"/>
      <c r="OA56"/>
      <c r="OB56"/>
      <c r="OC56"/>
      <c r="OD56"/>
      <c r="OE56"/>
      <c r="OF56"/>
      <c r="OG56"/>
      <c r="OH56"/>
      <c r="OI56"/>
      <c r="OJ56"/>
      <c r="OK56"/>
      <c r="OL56"/>
      <c r="OM56"/>
      <c r="ON56"/>
      <c r="OO56"/>
      <c r="OP56"/>
      <c r="OQ56"/>
      <c r="OR56"/>
      <c r="OS56"/>
      <c r="OT56"/>
      <c r="OU56"/>
      <c r="OV56"/>
      <c r="OW56"/>
      <c r="OX56"/>
      <c r="OY56"/>
      <c r="OZ56"/>
      <c r="PA56"/>
      <c r="PB56"/>
      <c r="PC56"/>
      <c r="PD56"/>
      <c r="PE56"/>
      <c r="PF56"/>
      <c r="PG56"/>
      <c r="PH56"/>
      <c r="PI56"/>
      <c r="PJ56"/>
      <c r="PK56"/>
      <c r="PL56"/>
      <c r="PM56"/>
      <c r="PN56"/>
      <c r="PO56"/>
      <c r="PP56"/>
      <c r="PQ56"/>
      <c r="PR56"/>
      <c r="PS56"/>
      <c r="PT56"/>
      <c r="PU56"/>
      <c r="PV56"/>
      <c r="PW56"/>
      <c r="PX56"/>
      <c r="PY56"/>
      <c r="PZ56"/>
      <c r="QA56"/>
      <c r="QB56"/>
      <c r="QC56"/>
      <c r="QD56"/>
      <c r="QE56"/>
      <c r="QF56"/>
      <c r="QG56"/>
      <c r="QH56"/>
      <c r="QI56"/>
      <c r="QJ56"/>
      <c r="QK56"/>
      <c r="QL56"/>
      <c r="QM56"/>
      <c r="QN56"/>
      <c r="QO56"/>
      <c r="QP56"/>
      <c r="QQ56"/>
      <c r="QR56"/>
      <c r="QS56"/>
      <c r="QT56"/>
      <c r="QU56"/>
      <c r="QV56"/>
      <c r="QW56"/>
      <c r="QX56"/>
      <c r="QY56"/>
      <c r="QZ56"/>
      <c r="RA56"/>
      <c r="RB56"/>
      <c r="RC56"/>
      <c r="RD56"/>
      <c r="RE56"/>
      <c r="RF56"/>
      <c r="RG56"/>
      <c r="RH56"/>
      <c r="RI56"/>
      <c r="RJ56"/>
      <c r="RK56"/>
      <c r="RL56"/>
      <c r="RM56"/>
      <c r="RN56"/>
      <c r="RO56"/>
      <c r="RP56"/>
      <c r="RQ56"/>
      <c r="RR56"/>
      <c r="RS56"/>
      <c r="RT56"/>
      <c r="RU56"/>
      <c r="RV56"/>
      <c r="RW56"/>
      <c r="RX56"/>
      <c r="RY56"/>
      <c r="RZ56"/>
      <c r="SA56"/>
      <c r="SB56"/>
      <c r="SC56"/>
      <c r="SD56"/>
      <c r="SE56"/>
      <c r="SF56"/>
      <c r="SG56"/>
      <c r="SH56"/>
      <c r="SI56"/>
      <c r="SJ56"/>
      <c r="SK56"/>
      <c r="SL56"/>
      <c r="SM56"/>
      <c r="SN56"/>
      <c r="SO56"/>
      <c r="SP56"/>
      <c r="SQ56"/>
      <c r="SR56"/>
      <c r="SS56"/>
      <c r="ST56"/>
      <c r="SU56"/>
      <c r="SV56"/>
      <c r="SW56"/>
      <c r="SX56"/>
      <c r="SY56"/>
      <c r="SZ56"/>
      <c r="TA56"/>
      <c r="TB56"/>
      <c r="TC56"/>
      <c r="TD56"/>
      <c r="TE56"/>
      <c r="TF56"/>
      <c r="TG56"/>
      <c r="TH56"/>
      <c r="TI56"/>
      <c r="TJ56"/>
      <c r="TK56"/>
      <c r="TL56"/>
      <c r="TM56"/>
      <c r="TN56"/>
      <c r="TO56"/>
      <c r="TP56"/>
      <c r="TQ56"/>
      <c r="TR56"/>
      <c r="TS56"/>
      <c r="TT56"/>
      <c r="TU56"/>
      <c r="TV56"/>
      <c r="TW56"/>
      <c r="TX56"/>
      <c r="TY56"/>
      <c r="TZ56"/>
      <c r="UA56"/>
      <c r="UB56"/>
      <c r="UC56"/>
      <c r="UD56"/>
      <c r="UE56"/>
      <c r="UF56"/>
      <c r="UG56"/>
      <c r="UH56"/>
      <c r="UI56"/>
      <c r="UJ56"/>
      <c r="UK56"/>
      <c r="UL56"/>
      <c r="UM56"/>
      <c r="UN56"/>
      <c r="UO56"/>
      <c r="UP56"/>
      <c r="UQ56"/>
      <c r="UR56"/>
      <c r="US56"/>
      <c r="UT56"/>
      <c r="UU56"/>
      <c r="UV56"/>
      <c r="UW56"/>
      <c r="UX56"/>
      <c r="UY56"/>
      <c r="UZ56"/>
      <c r="VA56"/>
      <c r="VB56"/>
      <c r="VC56"/>
      <c r="VD56"/>
      <c r="VE56"/>
      <c r="VF56"/>
      <c r="VG56"/>
      <c r="VH56"/>
      <c r="VI56"/>
      <c r="VJ56"/>
      <c r="VK56"/>
      <c r="VL56"/>
      <c r="VM56"/>
      <c r="VN56"/>
      <c r="VO56"/>
      <c r="VP56"/>
      <c r="VQ56"/>
      <c r="VR56"/>
      <c r="VS56"/>
      <c r="VT56"/>
      <c r="VU56"/>
      <c r="VV56"/>
      <c r="VW56"/>
      <c r="VX56"/>
      <c r="VY56"/>
      <c r="VZ56"/>
      <c r="WA56"/>
      <c r="WB56"/>
      <c r="WC56"/>
      <c r="WD56"/>
      <c r="WE56"/>
      <c r="WF56"/>
      <c r="WG56"/>
      <c r="WH56"/>
      <c r="WI56"/>
      <c r="WJ56"/>
      <c r="WK56"/>
      <c r="WL56"/>
      <c r="WM56"/>
      <c r="WN56"/>
      <c r="WO56"/>
      <c r="WP56"/>
      <c r="WQ56"/>
      <c r="WR56"/>
      <c r="WS56"/>
      <c r="WT56"/>
      <c r="WU56"/>
      <c r="WV56"/>
      <c r="WW56"/>
      <c r="WX56"/>
      <c r="WY56"/>
      <c r="WZ56"/>
      <c r="XA56"/>
      <c r="XB56"/>
      <c r="XC56"/>
      <c r="XD56"/>
      <c r="XE56"/>
      <c r="XF56"/>
      <c r="XG56"/>
      <c r="XH56"/>
      <c r="XI56"/>
      <c r="XJ56"/>
      <c r="XK56"/>
      <c r="XL56"/>
      <c r="XM56"/>
      <c r="XN56"/>
      <c r="XO56"/>
      <c r="XP56"/>
      <c r="XQ56"/>
      <c r="XR56"/>
      <c r="XS56"/>
      <c r="XT56"/>
      <c r="XU56"/>
      <c r="XV56"/>
      <c r="XW56"/>
      <c r="XX56"/>
      <c r="XY56"/>
      <c r="XZ56"/>
      <c r="YA56"/>
      <c r="YB56"/>
      <c r="YC56"/>
      <c r="YD56"/>
      <c r="YE56"/>
      <c r="YF56"/>
      <c r="YG56"/>
      <c r="YH56"/>
      <c r="YI56"/>
      <c r="YJ56"/>
      <c r="YK56"/>
      <c r="YL56"/>
      <c r="YM56"/>
      <c r="YN56"/>
      <c r="YO56"/>
      <c r="YP56"/>
      <c r="YQ56"/>
      <c r="YR56"/>
      <c r="YS56"/>
      <c r="YT56"/>
      <c r="YU56"/>
      <c r="YV56"/>
      <c r="YW56"/>
      <c r="YX56"/>
      <c r="YY56"/>
      <c r="YZ56"/>
      <c r="ZA56"/>
      <c r="ZB56"/>
      <c r="ZC56"/>
      <c r="ZD56"/>
      <c r="ZE56"/>
      <c r="ZF56"/>
      <c r="ZG56"/>
      <c r="ZH56"/>
      <c r="ZI56"/>
      <c r="ZJ56"/>
      <c r="ZK56"/>
      <c r="ZL56"/>
      <c r="ZM56"/>
      <c r="ZN56"/>
      <c r="ZO56"/>
      <c r="ZP56"/>
      <c r="ZQ56"/>
      <c r="ZR56"/>
      <c r="ZS56"/>
      <c r="ZT56"/>
      <c r="ZU56"/>
      <c r="ZV56"/>
      <c r="ZW56"/>
      <c r="ZX56"/>
      <c r="ZY56"/>
      <c r="ZZ56"/>
      <c r="AAA56"/>
      <c r="AAB56"/>
      <c r="AAC56"/>
      <c r="AAD56"/>
      <c r="AAE56"/>
      <c r="AAF56"/>
      <c r="AAG56"/>
      <c r="AAH56"/>
      <c r="AAI56"/>
      <c r="AAJ56"/>
      <c r="AAK56"/>
      <c r="AAL56"/>
      <c r="AAM56"/>
      <c r="AAN56"/>
      <c r="AAO56"/>
      <c r="AAP56"/>
      <c r="AAQ56"/>
      <c r="AAR56"/>
      <c r="AAS56"/>
      <c r="AAT56"/>
      <c r="AAU56"/>
      <c r="AAV56"/>
      <c r="AAW56"/>
      <c r="AAX56"/>
      <c r="AAY56"/>
      <c r="AAZ56"/>
      <c r="ABA56"/>
      <c r="ABB56"/>
      <c r="ABC56"/>
      <c r="ABD56"/>
      <c r="ABE56"/>
      <c r="ABF56"/>
      <c r="ABG56"/>
      <c r="ABH56"/>
      <c r="ABI56"/>
      <c r="ABJ56"/>
      <c r="ABK56"/>
      <c r="ABL56"/>
      <c r="ABM56"/>
      <c r="ABN56"/>
      <c r="ABO56"/>
      <c r="ABP56"/>
      <c r="ABQ56"/>
      <c r="ABR56"/>
      <c r="ABS56"/>
      <c r="ABT56"/>
      <c r="ABU56"/>
      <c r="ABV56"/>
      <c r="ABW56"/>
      <c r="ABX56"/>
      <c r="ABY56"/>
      <c r="ABZ56"/>
      <c r="ACA56"/>
      <c r="ACB56"/>
      <c r="ACC56"/>
      <c r="ACD56"/>
      <c r="ACE56"/>
      <c r="ACF56"/>
      <c r="ACG56"/>
      <c r="ACH56"/>
      <c r="ACI56"/>
      <c r="ACJ56"/>
      <c r="ACK56"/>
      <c r="ACL56"/>
      <c r="ACM56"/>
      <c r="ACN56"/>
      <c r="ACO56"/>
      <c r="ACP56"/>
      <c r="ACQ56"/>
      <c r="ACR56"/>
      <c r="ACS56"/>
      <c r="ACT56"/>
      <c r="ACU56"/>
      <c r="ACV56"/>
      <c r="ACW56"/>
      <c r="ACX56"/>
      <c r="ACY56"/>
      <c r="ACZ56"/>
      <c r="ADA56"/>
      <c r="ADB56"/>
      <c r="ADC56"/>
      <c r="ADD56"/>
      <c r="ADE56"/>
      <c r="ADF56"/>
      <c r="ADG56"/>
      <c r="ADH56"/>
      <c r="ADI56"/>
      <c r="ADJ56"/>
      <c r="ADK56"/>
      <c r="ADL56"/>
      <c r="ADM56"/>
      <c r="ADN56"/>
      <c r="ADO56"/>
      <c r="ADP56"/>
      <c r="ADQ56"/>
      <c r="ADR56"/>
      <c r="ADS56"/>
      <c r="ADT56"/>
      <c r="ADU56"/>
      <c r="ADV56"/>
      <c r="ADW56"/>
      <c r="ADX56"/>
      <c r="ADY56"/>
      <c r="ADZ56"/>
      <c r="AEA56"/>
      <c r="AEB56"/>
      <c r="AEC56"/>
      <c r="AED56"/>
      <c r="AEE56"/>
      <c r="AEF56"/>
      <c r="AEG56"/>
      <c r="AEH56"/>
      <c r="AEI56"/>
      <c r="AEJ56"/>
      <c r="AEK56"/>
      <c r="AEL56"/>
      <c r="AEM56"/>
      <c r="AEN56"/>
      <c r="AEO56"/>
      <c r="AEP56"/>
      <c r="AEQ56"/>
      <c r="AER56"/>
      <c r="AES56"/>
      <c r="AET56"/>
      <c r="AEU56"/>
      <c r="AEV56"/>
      <c r="AEW56"/>
      <c r="AEX56"/>
      <c r="AEY56"/>
      <c r="AEZ56"/>
      <c r="AFA56"/>
      <c r="AFB56"/>
      <c r="AFC56"/>
      <c r="AFD56"/>
      <c r="AFE56"/>
      <c r="AFF56"/>
      <c r="AFG56"/>
      <c r="AFH56"/>
      <c r="AFI56"/>
      <c r="AFJ56"/>
      <c r="AFK56"/>
      <c r="AFL56"/>
      <c r="AFM56"/>
      <c r="AFN56"/>
      <c r="AFO56"/>
      <c r="AFP56"/>
      <c r="AFQ56"/>
      <c r="AFR56"/>
      <c r="AFS56"/>
      <c r="AFT56"/>
      <c r="AFU56"/>
      <c r="AFV56"/>
      <c r="AFW56"/>
      <c r="AFX56"/>
      <c r="AFY56"/>
      <c r="AFZ56"/>
      <c r="AGA56"/>
      <c r="AGB56"/>
      <c r="AGC56"/>
      <c r="AGD56"/>
      <c r="AGE56"/>
      <c r="AGF56"/>
      <c r="AGG56"/>
      <c r="AGH56"/>
      <c r="AGI56"/>
      <c r="AGJ56"/>
      <c r="AGK56"/>
      <c r="AGL56"/>
      <c r="AGM56"/>
      <c r="AGN56"/>
      <c r="AGO56"/>
      <c r="AGP56"/>
      <c r="AGQ56"/>
      <c r="AGR56"/>
      <c r="AGS56"/>
      <c r="AGT56"/>
      <c r="AGU56"/>
      <c r="AGV56"/>
      <c r="AGW56"/>
      <c r="AGX56"/>
      <c r="AGY56"/>
      <c r="AGZ56"/>
      <c r="AHA56"/>
      <c r="AHB56"/>
      <c r="AHC56"/>
      <c r="AHD56"/>
      <c r="AHE56"/>
      <c r="AHF56"/>
      <c r="AHG56"/>
      <c r="AHH56"/>
      <c r="AHI56"/>
      <c r="AHJ56"/>
      <c r="AHK56"/>
      <c r="AHL56"/>
      <c r="AHM56"/>
      <c r="AHN56"/>
      <c r="AHO56"/>
      <c r="AHP56"/>
      <c r="AHQ56"/>
      <c r="AHR56"/>
      <c r="AHS56"/>
      <c r="AHT56"/>
      <c r="AHU56"/>
      <c r="AHV56"/>
      <c r="AHW56"/>
      <c r="AHX56"/>
      <c r="AHY56"/>
      <c r="AHZ56"/>
      <c r="AIA56"/>
      <c r="AIB56"/>
      <c r="AIC56"/>
      <c r="AID56"/>
      <c r="AIE56"/>
      <c r="AIF56"/>
      <c r="AIG56"/>
      <c r="AIH56"/>
      <c r="AII56"/>
      <c r="AIJ56"/>
      <c r="AIK56"/>
      <c r="AIL56"/>
      <c r="AIM56"/>
      <c r="AIN56"/>
      <c r="AIO56"/>
      <c r="AIP56"/>
      <c r="AIQ56"/>
      <c r="AIR56"/>
      <c r="AIS56"/>
      <c r="AIT56"/>
      <c r="AIU56"/>
      <c r="AIV56"/>
      <c r="AIW56"/>
      <c r="AIX56"/>
      <c r="AIY56"/>
      <c r="AIZ56"/>
      <c r="AJA56"/>
      <c r="AJB56"/>
      <c r="AJC56"/>
      <c r="AJD56"/>
      <c r="AJE56"/>
      <c r="AJF56"/>
      <c r="AJG56"/>
      <c r="AJH56"/>
      <c r="AJI56"/>
      <c r="AJJ56"/>
      <c r="AJK56"/>
      <c r="AJL56"/>
      <c r="AJM56"/>
      <c r="AJN56"/>
      <c r="AJO56"/>
      <c r="AJP56"/>
      <c r="AJQ56"/>
      <c r="AJR56"/>
      <c r="AJS56"/>
      <c r="AJT56"/>
      <c r="AJU56"/>
      <c r="AJV56"/>
      <c r="AJW56"/>
      <c r="AJX56"/>
      <c r="AJY56"/>
      <c r="AJZ56"/>
      <c r="AKA56"/>
      <c r="AKB56"/>
      <c r="AKC56"/>
      <c r="AKD56"/>
      <c r="AKE56"/>
      <c r="AKF56"/>
      <c r="AKG56"/>
      <c r="AKH56"/>
      <c r="AKI56"/>
      <c r="AKJ56"/>
      <c r="AKK56"/>
      <c r="AKL56"/>
      <c r="AKM56"/>
      <c r="AKN56"/>
      <c r="AKO56"/>
      <c r="AKP56"/>
      <c r="AKQ56"/>
      <c r="AKR56"/>
      <c r="AKS56"/>
      <c r="AKT56"/>
      <c r="AKU56"/>
      <c r="AKV56"/>
      <c r="AKW56"/>
      <c r="AKX56"/>
      <c r="AKY56"/>
      <c r="AKZ56"/>
      <c r="ALA56"/>
      <c r="ALB56"/>
      <c r="ALC56"/>
      <c r="ALD56"/>
      <c r="ALE56"/>
      <c r="ALF56"/>
      <c r="ALG56"/>
      <c r="ALH56"/>
      <c r="ALI56"/>
      <c r="ALJ56"/>
      <c r="ALK56"/>
      <c r="ALL56"/>
      <c r="ALM56"/>
      <c r="ALN56"/>
      <c r="ALO56"/>
      <c r="ALP56"/>
      <c r="ALQ56"/>
      <c r="ALR56"/>
      <c r="ALS56"/>
      <c r="ALT56"/>
      <c r="ALU56"/>
      <c r="ALV56"/>
      <c r="ALW56"/>
      <c r="ALX56"/>
      <c r="ALY56"/>
      <c r="ALZ56"/>
      <c r="AMA56"/>
      <c r="AMB56"/>
      <c r="AMC56"/>
      <c r="AMD56"/>
      <c r="AME56"/>
      <c r="AMF56"/>
      <c r="AMG56"/>
      <c r="AMH56"/>
      <c r="AMI56"/>
      <c r="AMJ56"/>
      <c r="AMK56"/>
      <c r="AML56"/>
      <c r="AMM56"/>
      <c r="AMN56"/>
      <c r="AMO56"/>
      <c r="AMP56"/>
      <c r="AMQ56"/>
      <c r="AMR56"/>
      <c r="AMS56"/>
      <c r="AMT56"/>
      <c r="AMU56"/>
      <c r="AMV56"/>
      <c r="AMW56"/>
      <c r="AMX56"/>
      <c r="AMY56"/>
      <c r="AMZ56"/>
      <c r="ANA56"/>
      <c r="ANB56"/>
      <c r="ANC56"/>
      <c r="AND56"/>
      <c r="ANE56"/>
      <c r="ANF56"/>
      <c r="ANG56"/>
      <c r="ANH56"/>
      <c r="ANI56"/>
      <c r="ANJ56"/>
      <c r="ANK56"/>
      <c r="ANL56"/>
      <c r="ANM56"/>
      <c r="ANN56"/>
      <c r="ANO56"/>
    </row>
    <row r="57" spans="1:1055" s="36" customFormat="1" x14ac:dyDescent="0.25">
      <c r="A57" s="34" t="s">
        <v>79</v>
      </c>
      <c r="B57" s="35">
        <v>0</v>
      </c>
      <c r="C57" s="36">
        <v>0</v>
      </c>
      <c r="D57" s="42">
        <v>4.7</v>
      </c>
      <c r="E57" s="37">
        <v>0</v>
      </c>
      <c r="F57" s="35">
        <v>0</v>
      </c>
      <c r="G57" s="97">
        <v>0</v>
      </c>
      <c r="H57" s="97">
        <v>0</v>
      </c>
      <c r="I57" s="97">
        <v>0</v>
      </c>
      <c r="J57" s="97">
        <v>0</v>
      </c>
      <c r="K57" s="36">
        <v>0</v>
      </c>
      <c r="L57" s="38">
        <v>0</v>
      </c>
      <c r="M57" s="39">
        <v>57</v>
      </c>
      <c r="N57" s="40">
        <v>0</v>
      </c>
      <c r="O57" s="35"/>
      <c r="Q57" s="38">
        <v>5.0000000000000001E-3</v>
      </c>
      <c r="R57" s="35">
        <v>1.108E-2</v>
      </c>
      <c r="S57" s="38">
        <v>2.5000000000000001E-2</v>
      </c>
      <c r="T57" s="41">
        <v>0</v>
      </c>
      <c r="U57" s="42">
        <v>0</v>
      </c>
      <c r="V57" s="42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  <c r="AB57" s="36">
        <v>0</v>
      </c>
      <c r="AC57" s="36">
        <v>0</v>
      </c>
      <c r="AD57" s="36">
        <v>0</v>
      </c>
      <c r="AE57" s="36">
        <v>0</v>
      </c>
      <c r="AF57" s="36">
        <v>0</v>
      </c>
      <c r="AG57" s="36">
        <v>0</v>
      </c>
      <c r="AH57" s="36">
        <v>0</v>
      </c>
      <c r="AI57" s="36">
        <v>0</v>
      </c>
      <c r="AJ57" s="36">
        <v>0</v>
      </c>
      <c r="AK57" s="36">
        <v>0</v>
      </c>
      <c r="AL57" s="36">
        <v>0</v>
      </c>
      <c r="AM57" s="36">
        <v>0</v>
      </c>
      <c r="AN57" s="36">
        <v>0</v>
      </c>
      <c r="AO57" s="36">
        <v>0</v>
      </c>
      <c r="AP57" s="36">
        <v>0</v>
      </c>
      <c r="AQ57" s="36">
        <v>0</v>
      </c>
      <c r="AR57" s="38">
        <v>0</v>
      </c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  <c r="LO57"/>
      <c r="LP57"/>
      <c r="LQ57"/>
      <c r="LR57"/>
      <c r="LS57"/>
      <c r="LT57"/>
      <c r="LU57"/>
      <c r="LV57"/>
      <c r="LW57"/>
      <c r="LX57"/>
      <c r="LY57"/>
      <c r="LZ57"/>
      <c r="MA57"/>
      <c r="MB57"/>
      <c r="MC57"/>
      <c r="MD57"/>
      <c r="ME57"/>
      <c r="MF57"/>
      <c r="MG57"/>
      <c r="MH57"/>
      <c r="MI57"/>
      <c r="MJ57"/>
      <c r="MK57"/>
      <c r="ML57"/>
      <c r="MM57"/>
      <c r="MN57"/>
      <c r="MO57"/>
      <c r="MP57"/>
      <c r="MQ57"/>
      <c r="MR57"/>
      <c r="MS57"/>
      <c r="MT57"/>
      <c r="MU57"/>
      <c r="MV57"/>
      <c r="MW57"/>
      <c r="MX57"/>
      <c r="MY57"/>
      <c r="MZ57"/>
      <c r="NA57"/>
      <c r="NB57"/>
      <c r="NC57"/>
      <c r="ND57"/>
      <c r="NE57"/>
      <c r="NF57"/>
      <c r="NG57"/>
      <c r="NH57"/>
      <c r="NI57"/>
      <c r="NJ57"/>
      <c r="NK57"/>
      <c r="NL57"/>
      <c r="NM57"/>
      <c r="NN57"/>
      <c r="NO57"/>
      <c r="NP57"/>
      <c r="NQ57"/>
      <c r="NR57"/>
      <c r="NS57"/>
      <c r="NT57"/>
      <c r="NU57"/>
      <c r="NV57"/>
      <c r="NW57"/>
      <c r="NX57"/>
      <c r="NY57"/>
      <c r="NZ57"/>
      <c r="OA57"/>
      <c r="OB57"/>
      <c r="OC57"/>
      <c r="OD57"/>
      <c r="OE57"/>
      <c r="OF57"/>
      <c r="OG57"/>
      <c r="OH57"/>
      <c r="OI57"/>
      <c r="OJ57"/>
      <c r="OK57"/>
      <c r="OL57"/>
      <c r="OM57"/>
      <c r="ON57"/>
      <c r="OO57"/>
      <c r="OP57"/>
      <c r="OQ57"/>
      <c r="OR57"/>
      <c r="OS57"/>
      <c r="OT57"/>
      <c r="OU57"/>
      <c r="OV57"/>
      <c r="OW57"/>
      <c r="OX57"/>
      <c r="OY57"/>
      <c r="OZ57"/>
      <c r="PA57"/>
      <c r="PB57"/>
      <c r="PC57"/>
      <c r="PD57"/>
      <c r="PE57"/>
      <c r="PF57"/>
      <c r="PG57"/>
      <c r="PH57"/>
      <c r="PI57"/>
      <c r="PJ57"/>
      <c r="PK57"/>
      <c r="PL57"/>
      <c r="PM57"/>
      <c r="PN57"/>
      <c r="PO57"/>
      <c r="PP57"/>
      <c r="PQ57"/>
      <c r="PR57"/>
      <c r="PS57"/>
      <c r="PT57"/>
      <c r="PU57"/>
      <c r="PV57"/>
      <c r="PW57"/>
      <c r="PX57"/>
      <c r="PY57"/>
      <c r="PZ57"/>
      <c r="QA57"/>
      <c r="QB57"/>
      <c r="QC57"/>
      <c r="QD57"/>
      <c r="QE57"/>
      <c r="QF57"/>
      <c r="QG57"/>
      <c r="QH57"/>
      <c r="QI57"/>
      <c r="QJ57"/>
      <c r="QK57"/>
      <c r="QL57"/>
      <c r="QM57"/>
      <c r="QN57"/>
      <c r="QO57"/>
      <c r="QP57"/>
      <c r="QQ57"/>
      <c r="QR57"/>
      <c r="QS57"/>
      <c r="QT57"/>
      <c r="QU57"/>
      <c r="QV57"/>
      <c r="QW57"/>
      <c r="QX57"/>
      <c r="QY57"/>
      <c r="QZ57"/>
      <c r="RA57"/>
      <c r="RB57"/>
      <c r="RC57"/>
      <c r="RD57"/>
      <c r="RE57"/>
      <c r="RF57"/>
      <c r="RG57"/>
      <c r="RH57"/>
      <c r="RI57"/>
      <c r="RJ57"/>
      <c r="RK57"/>
      <c r="RL57"/>
      <c r="RM57"/>
      <c r="RN57"/>
      <c r="RO57"/>
      <c r="RP57"/>
      <c r="RQ57"/>
      <c r="RR57"/>
      <c r="RS57"/>
      <c r="RT57"/>
      <c r="RU57"/>
      <c r="RV57"/>
      <c r="RW57"/>
      <c r="RX57"/>
      <c r="RY57"/>
      <c r="RZ57"/>
      <c r="SA57"/>
      <c r="SB57"/>
      <c r="SC57"/>
      <c r="SD57"/>
      <c r="SE57"/>
      <c r="SF57"/>
      <c r="SG57"/>
      <c r="SH57"/>
      <c r="SI57"/>
      <c r="SJ57"/>
      <c r="SK57"/>
      <c r="SL57"/>
      <c r="SM57"/>
      <c r="SN57"/>
      <c r="SO57"/>
      <c r="SP57"/>
      <c r="SQ57"/>
      <c r="SR57"/>
      <c r="SS57"/>
      <c r="ST57"/>
      <c r="SU57"/>
      <c r="SV57"/>
      <c r="SW57"/>
      <c r="SX57"/>
      <c r="SY57"/>
      <c r="SZ57"/>
      <c r="TA57"/>
      <c r="TB57"/>
      <c r="TC57"/>
      <c r="TD57"/>
      <c r="TE57"/>
      <c r="TF57"/>
      <c r="TG57"/>
      <c r="TH57"/>
      <c r="TI57"/>
      <c r="TJ57"/>
      <c r="TK57"/>
      <c r="TL57"/>
      <c r="TM57"/>
      <c r="TN57"/>
      <c r="TO57"/>
      <c r="TP57"/>
      <c r="TQ57"/>
      <c r="TR57"/>
      <c r="TS57"/>
      <c r="TT57"/>
      <c r="TU57"/>
      <c r="TV57"/>
      <c r="TW57"/>
      <c r="TX57"/>
      <c r="TY57"/>
      <c r="TZ57"/>
      <c r="UA57"/>
      <c r="UB57"/>
      <c r="UC57"/>
      <c r="UD57"/>
      <c r="UE57"/>
      <c r="UF57"/>
      <c r="UG57"/>
      <c r="UH57"/>
      <c r="UI57"/>
      <c r="UJ57"/>
      <c r="UK57"/>
      <c r="UL57"/>
      <c r="UM57"/>
      <c r="UN57"/>
      <c r="UO57"/>
      <c r="UP57"/>
      <c r="UQ57"/>
      <c r="UR57"/>
      <c r="US57"/>
      <c r="UT57"/>
      <c r="UU57"/>
      <c r="UV57"/>
      <c r="UW57"/>
      <c r="UX57"/>
      <c r="UY57"/>
      <c r="UZ57"/>
      <c r="VA57"/>
      <c r="VB57"/>
      <c r="VC57"/>
      <c r="VD57"/>
      <c r="VE57"/>
      <c r="VF57"/>
      <c r="VG57"/>
      <c r="VH57"/>
      <c r="VI57"/>
      <c r="VJ57"/>
      <c r="VK57"/>
      <c r="VL57"/>
      <c r="VM57"/>
      <c r="VN57"/>
      <c r="VO57"/>
      <c r="VP57"/>
      <c r="VQ57"/>
      <c r="VR57"/>
      <c r="VS57"/>
      <c r="VT57"/>
      <c r="VU57"/>
      <c r="VV57"/>
      <c r="VW57"/>
      <c r="VX57"/>
      <c r="VY57"/>
      <c r="VZ57"/>
      <c r="WA57"/>
      <c r="WB57"/>
      <c r="WC57"/>
      <c r="WD57"/>
      <c r="WE57"/>
      <c r="WF57"/>
      <c r="WG57"/>
      <c r="WH57"/>
      <c r="WI57"/>
      <c r="WJ57"/>
      <c r="WK57"/>
      <c r="WL57"/>
      <c r="WM57"/>
      <c r="WN57"/>
      <c r="WO57"/>
      <c r="WP57"/>
      <c r="WQ57"/>
      <c r="WR57"/>
      <c r="WS57"/>
      <c r="WT57"/>
      <c r="WU57"/>
      <c r="WV57"/>
      <c r="WW57"/>
      <c r="WX57"/>
      <c r="WY57"/>
      <c r="WZ57"/>
      <c r="XA57"/>
      <c r="XB57"/>
      <c r="XC57"/>
      <c r="XD57"/>
      <c r="XE57"/>
      <c r="XF57"/>
      <c r="XG57"/>
      <c r="XH57"/>
      <c r="XI57"/>
      <c r="XJ57"/>
      <c r="XK57"/>
      <c r="XL57"/>
      <c r="XM57"/>
      <c r="XN57"/>
      <c r="XO57"/>
      <c r="XP57"/>
      <c r="XQ57"/>
      <c r="XR57"/>
      <c r="XS57"/>
      <c r="XT57"/>
      <c r="XU57"/>
      <c r="XV57"/>
      <c r="XW57"/>
      <c r="XX57"/>
      <c r="XY57"/>
      <c r="XZ57"/>
      <c r="YA57"/>
      <c r="YB57"/>
      <c r="YC57"/>
      <c r="YD57"/>
      <c r="YE57"/>
      <c r="YF57"/>
      <c r="YG57"/>
      <c r="YH57"/>
      <c r="YI57"/>
      <c r="YJ57"/>
      <c r="YK57"/>
      <c r="YL57"/>
      <c r="YM57"/>
      <c r="YN57"/>
      <c r="YO57"/>
      <c r="YP57"/>
      <c r="YQ57"/>
      <c r="YR57"/>
      <c r="YS57"/>
      <c r="YT57"/>
      <c r="YU57"/>
      <c r="YV57"/>
      <c r="YW57"/>
      <c r="YX57"/>
      <c r="YY57"/>
      <c r="YZ57"/>
      <c r="ZA57"/>
      <c r="ZB57"/>
      <c r="ZC57"/>
      <c r="ZD57"/>
      <c r="ZE57"/>
      <c r="ZF57"/>
      <c r="ZG57"/>
      <c r="ZH57"/>
      <c r="ZI57"/>
      <c r="ZJ57"/>
      <c r="ZK57"/>
      <c r="ZL57"/>
      <c r="ZM57"/>
      <c r="ZN57"/>
      <c r="ZO57"/>
      <c r="ZP57"/>
      <c r="ZQ57"/>
      <c r="ZR57"/>
      <c r="ZS57"/>
      <c r="ZT57"/>
      <c r="ZU57"/>
      <c r="ZV57"/>
      <c r="ZW57"/>
      <c r="ZX57"/>
      <c r="ZY57"/>
      <c r="ZZ57"/>
      <c r="AAA57"/>
      <c r="AAB57"/>
      <c r="AAC57"/>
      <c r="AAD57"/>
      <c r="AAE57"/>
      <c r="AAF57"/>
      <c r="AAG57"/>
      <c r="AAH57"/>
      <c r="AAI57"/>
      <c r="AAJ57"/>
      <c r="AAK57"/>
      <c r="AAL57"/>
      <c r="AAM57"/>
      <c r="AAN57"/>
      <c r="AAO57"/>
      <c r="AAP57"/>
      <c r="AAQ57"/>
      <c r="AAR57"/>
      <c r="AAS57"/>
      <c r="AAT57"/>
      <c r="AAU57"/>
      <c r="AAV57"/>
      <c r="AAW57"/>
      <c r="AAX57"/>
      <c r="AAY57"/>
      <c r="AAZ57"/>
      <c r="ABA57"/>
      <c r="ABB57"/>
      <c r="ABC57"/>
      <c r="ABD57"/>
      <c r="ABE57"/>
      <c r="ABF57"/>
      <c r="ABG57"/>
      <c r="ABH57"/>
      <c r="ABI57"/>
      <c r="ABJ57"/>
      <c r="ABK57"/>
      <c r="ABL57"/>
      <c r="ABM57"/>
      <c r="ABN57"/>
      <c r="ABO57"/>
      <c r="ABP57"/>
      <c r="ABQ57"/>
      <c r="ABR57"/>
      <c r="ABS57"/>
      <c r="ABT57"/>
      <c r="ABU57"/>
      <c r="ABV57"/>
      <c r="ABW57"/>
      <c r="ABX57"/>
      <c r="ABY57"/>
      <c r="ABZ57"/>
      <c r="ACA57"/>
      <c r="ACB57"/>
      <c r="ACC57"/>
      <c r="ACD57"/>
      <c r="ACE57"/>
      <c r="ACF57"/>
      <c r="ACG57"/>
      <c r="ACH57"/>
      <c r="ACI57"/>
      <c r="ACJ57"/>
      <c r="ACK57"/>
      <c r="ACL57"/>
      <c r="ACM57"/>
      <c r="ACN57"/>
      <c r="ACO57"/>
      <c r="ACP57"/>
      <c r="ACQ57"/>
      <c r="ACR57"/>
      <c r="ACS57"/>
      <c r="ACT57"/>
      <c r="ACU57"/>
      <c r="ACV57"/>
      <c r="ACW57"/>
      <c r="ACX57"/>
      <c r="ACY57"/>
      <c r="ACZ57"/>
      <c r="ADA57"/>
      <c r="ADB57"/>
      <c r="ADC57"/>
      <c r="ADD57"/>
      <c r="ADE57"/>
      <c r="ADF57"/>
      <c r="ADG57"/>
      <c r="ADH57"/>
      <c r="ADI57"/>
      <c r="ADJ57"/>
      <c r="ADK57"/>
      <c r="ADL57"/>
      <c r="ADM57"/>
      <c r="ADN57"/>
      <c r="ADO57"/>
      <c r="ADP57"/>
      <c r="ADQ57"/>
      <c r="ADR57"/>
      <c r="ADS57"/>
      <c r="ADT57"/>
      <c r="ADU57"/>
      <c r="ADV57"/>
      <c r="ADW57"/>
      <c r="ADX57"/>
      <c r="ADY57"/>
      <c r="ADZ57"/>
      <c r="AEA57"/>
      <c r="AEB57"/>
      <c r="AEC57"/>
      <c r="AED57"/>
      <c r="AEE57"/>
      <c r="AEF57"/>
      <c r="AEG57"/>
      <c r="AEH57"/>
      <c r="AEI57"/>
      <c r="AEJ57"/>
      <c r="AEK57"/>
      <c r="AEL57"/>
      <c r="AEM57"/>
      <c r="AEN57"/>
      <c r="AEO57"/>
      <c r="AEP57"/>
      <c r="AEQ57"/>
      <c r="AER57"/>
      <c r="AES57"/>
      <c r="AET57"/>
      <c r="AEU57"/>
      <c r="AEV57"/>
      <c r="AEW57"/>
      <c r="AEX57"/>
      <c r="AEY57"/>
      <c r="AEZ57"/>
      <c r="AFA57"/>
      <c r="AFB57"/>
      <c r="AFC57"/>
      <c r="AFD57"/>
      <c r="AFE57"/>
      <c r="AFF57"/>
      <c r="AFG57"/>
      <c r="AFH57"/>
      <c r="AFI57"/>
      <c r="AFJ57"/>
      <c r="AFK57"/>
      <c r="AFL57"/>
      <c r="AFM57"/>
      <c r="AFN57"/>
      <c r="AFO57"/>
      <c r="AFP57"/>
      <c r="AFQ57"/>
      <c r="AFR57"/>
      <c r="AFS57"/>
      <c r="AFT57"/>
      <c r="AFU57"/>
      <c r="AFV57"/>
      <c r="AFW57"/>
      <c r="AFX57"/>
      <c r="AFY57"/>
      <c r="AFZ57"/>
      <c r="AGA57"/>
      <c r="AGB57"/>
      <c r="AGC57"/>
      <c r="AGD57"/>
      <c r="AGE57"/>
      <c r="AGF57"/>
      <c r="AGG57"/>
      <c r="AGH57"/>
      <c r="AGI57"/>
      <c r="AGJ57"/>
      <c r="AGK57"/>
      <c r="AGL57"/>
      <c r="AGM57"/>
      <c r="AGN57"/>
      <c r="AGO57"/>
      <c r="AGP57"/>
      <c r="AGQ57"/>
      <c r="AGR57"/>
      <c r="AGS57"/>
      <c r="AGT57"/>
      <c r="AGU57"/>
      <c r="AGV57"/>
      <c r="AGW57"/>
      <c r="AGX57"/>
      <c r="AGY57"/>
      <c r="AGZ57"/>
      <c r="AHA57"/>
      <c r="AHB57"/>
      <c r="AHC57"/>
      <c r="AHD57"/>
      <c r="AHE57"/>
      <c r="AHF57"/>
      <c r="AHG57"/>
      <c r="AHH57"/>
      <c r="AHI57"/>
      <c r="AHJ57"/>
      <c r="AHK57"/>
      <c r="AHL57"/>
      <c r="AHM57"/>
      <c r="AHN57"/>
      <c r="AHO57"/>
      <c r="AHP57"/>
      <c r="AHQ57"/>
      <c r="AHR57"/>
      <c r="AHS57"/>
      <c r="AHT57"/>
      <c r="AHU57"/>
      <c r="AHV57"/>
      <c r="AHW57"/>
      <c r="AHX57"/>
      <c r="AHY57"/>
      <c r="AHZ57"/>
      <c r="AIA57"/>
      <c r="AIB57"/>
      <c r="AIC57"/>
      <c r="AID57"/>
      <c r="AIE57"/>
      <c r="AIF57"/>
      <c r="AIG57"/>
      <c r="AIH57"/>
      <c r="AII57"/>
      <c r="AIJ57"/>
      <c r="AIK57"/>
      <c r="AIL57"/>
      <c r="AIM57"/>
      <c r="AIN57"/>
      <c r="AIO57"/>
      <c r="AIP57"/>
      <c r="AIQ57"/>
      <c r="AIR57"/>
      <c r="AIS57"/>
      <c r="AIT57"/>
      <c r="AIU57"/>
      <c r="AIV57"/>
      <c r="AIW57"/>
      <c r="AIX57"/>
      <c r="AIY57"/>
      <c r="AIZ57"/>
      <c r="AJA57"/>
      <c r="AJB57"/>
      <c r="AJC57"/>
      <c r="AJD57"/>
      <c r="AJE57"/>
      <c r="AJF57"/>
      <c r="AJG57"/>
      <c r="AJH57"/>
      <c r="AJI57"/>
      <c r="AJJ57"/>
      <c r="AJK57"/>
      <c r="AJL57"/>
      <c r="AJM57"/>
      <c r="AJN57"/>
      <c r="AJO57"/>
      <c r="AJP57"/>
      <c r="AJQ57"/>
      <c r="AJR57"/>
      <c r="AJS57"/>
      <c r="AJT57"/>
      <c r="AJU57"/>
      <c r="AJV57"/>
      <c r="AJW57"/>
      <c r="AJX57"/>
      <c r="AJY57"/>
      <c r="AJZ57"/>
      <c r="AKA57"/>
      <c r="AKB57"/>
      <c r="AKC57"/>
      <c r="AKD57"/>
      <c r="AKE57"/>
      <c r="AKF57"/>
      <c r="AKG57"/>
      <c r="AKH57"/>
      <c r="AKI57"/>
      <c r="AKJ57"/>
      <c r="AKK57"/>
      <c r="AKL57"/>
      <c r="AKM57"/>
      <c r="AKN57"/>
      <c r="AKO57"/>
      <c r="AKP57"/>
      <c r="AKQ57"/>
      <c r="AKR57"/>
      <c r="AKS57"/>
      <c r="AKT57"/>
      <c r="AKU57"/>
      <c r="AKV57"/>
      <c r="AKW57"/>
      <c r="AKX57"/>
      <c r="AKY57"/>
      <c r="AKZ57"/>
      <c r="ALA57"/>
      <c r="ALB57"/>
      <c r="ALC57"/>
      <c r="ALD57"/>
      <c r="ALE57"/>
      <c r="ALF57"/>
      <c r="ALG57"/>
      <c r="ALH57"/>
      <c r="ALI57"/>
      <c r="ALJ57"/>
      <c r="ALK57"/>
      <c r="ALL57"/>
      <c r="ALM57"/>
      <c r="ALN57"/>
      <c r="ALO57"/>
      <c r="ALP57"/>
      <c r="ALQ57"/>
      <c r="ALR57"/>
      <c r="ALS57"/>
      <c r="ALT57"/>
      <c r="ALU57"/>
      <c r="ALV57"/>
      <c r="ALW57"/>
      <c r="ALX57"/>
      <c r="ALY57"/>
      <c r="ALZ57"/>
      <c r="AMA57"/>
      <c r="AMB57"/>
      <c r="AMC57"/>
      <c r="AMD57"/>
      <c r="AME57"/>
      <c r="AMF57"/>
      <c r="AMG57"/>
      <c r="AMH57"/>
      <c r="AMI57"/>
      <c r="AMJ57"/>
      <c r="AMK57"/>
      <c r="AML57"/>
      <c r="AMM57"/>
      <c r="AMN57"/>
      <c r="AMO57"/>
      <c r="AMP57"/>
      <c r="AMQ57"/>
      <c r="AMR57"/>
      <c r="AMS57"/>
      <c r="AMT57"/>
      <c r="AMU57"/>
      <c r="AMV57"/>
      <c r="AMW57"/>
      <c r="AMX57"/>
      <c r="AMY57"/>
      <c r="AMZ57"/>
      <c r="ANA57"/>
      <c r="ANB57"/>
      <c r="ANC57"/>
      <c r="AND57"/>
      <c r="ANE57"/>
      <c r="ANF57"/>
      <c r="ANG57"/>
      <c r="ANH57"/>
      <c r="ANI57"/>
      <c r="ANJ57"/>
      <c r="ANK57"/>
      <c r="ANL57"/>
      <c r="ANM57"/>
      <c r="ANN57"/>
      <c r="ANO57"/>
    </row>
    <row r="58" spans="1:1055" s="36" customFormat="1" x14ac:dyDescent="0.25">
      <c r="A58" s="47" t="s">
        <v>80</v>
      </c>
      <c r="B58" s="35">
        <v>0</v>
      </c>
      <c r="C58" s="36">
        <v>0</v>
      </c>
      <c r="D58" s="36">
        <f>E58/4</f>
        <v>6.25</v>
      </c>
      <c r="E58" s="37">
        <v>25</v>
      </c>
      <c r="F58" s="35">
        <v>0</v>
      </c>
      <c r="G58" s="97">
        <v>0</v>
      </c>
      <c r="H58" s="97">
        <v>0</v>
      </c>
      <c r="I58" s="97">
        <v>0</v>
      </c>
      <c r="J58" s="97">
        <v>0</v>
      </c>
      <c r="K58" s="36">
        <v>0</v>
      </c>
      <c r="L58" s="38">
        <v>0</v>
      </c>
      <c r="M58" s="39">
        <v>400</v>
      </c>
      <c r="N58" s="40">
        <v>258</v>
      </c>
      <c r="O58" s="35"/>
      <c r="Q58" s="38">
        <v>0.91</v>
      </c>
      <c r="R58" s="35">
        <v>794</v>
      </c>
      <c r="S58" s="38">
        <v>2000</v>
      </c>
      <c r="T58" s="41">
        <v>102968.10545833</v>
      </c>
      <c r="U58" s="42">
        <v>-448351.45343147498</v>
      </c>
      <c r="V58" s="36">
        <v>3600000</v>
      </c>
      <c r="W58" s="36">
        <v>3814000</v>
      </c>
      <c r="X58" s="36">
        <v>4015000</v>
      </c>
      <c r="Y58" s="36">
        <v>4055000</v>
      </c>
      <c r="Z58" s="36">
        <v>4260000</v>
      </c>
      <c r="AA58" s="36">
        <v>4500000</v>
      </c>
      <c r="AB58" s="36">
        <v>4700000</v>
      </c>
      <c r="AC58" s="36">
        <v>5000000</v>
      </c>
      <c r="AD58" s="36">
        <v>4800000</v>
      </c>
      <c r="AE58" s="36">
        <v>5299990</v>
      </c>
      <c r="AF58" s="36">
        <v>4999990</v>
      </c>
      <c r="AG58" s="36">
        <v>5199990</v>
      </c>
      <c r="AH58" s="36">
        <v>5799980</v>
      </c>
      <c r="AI58" s="36">
        <v>6289960</v>
      </c>
      <c r="AJ58" s="36">
        <v>6389940</v>
      </c>
      <c r="AK58" s="36">
        <v>5799880</v>
      </c>
      <c r="AL58" s="36">
        <v>6399810</v>
      </c>
      <c r="AM58" s="36">
        <v>6699790</v>
      </c>
      <c r="AN58" s="36">
        <v>7229760</v>
      </c>
      <c r="AO58" s="36">
        <v>7399740</v>
      </c>
      <c r="AP58" s="36">
        <v>6039590</v>
      </c>
      <c r="AQ58" s="36">
        <v>6939440</v>
      </c>
      <c r="AR58" s="38">
        <v>6599270</v>
      </c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  <c r="AAW58"/>
      <c r="AAX58"/>
      <c r="AAY58"/>
      <c r="AAZ58"/>
      <c r="ABA58"/>
      <c r="ABB58"/>
      <c r="ABC58"/>
      <c r="ABD58"/>
      <c r="ABE58"/>
      <c r="ABF58"/>
      <c r="ABG58"/>
      <c r="ABH58"/>
      <c r="ABI58"/>
      <c r="ABJ58"/>
      <c r="ABK58"/>
      <c r="ABL58"/>
      <c r="ABM58"/>
      <c r="ABN58"/>
      <c r="ABO58"/>
      <c r="ABP58"/>
      <c r="ABQ58"/>
      <c r="ABR58"/>
      <c r="ABS58"/>
      <c r="ABT58"/>
      <c r="ABU58"/>
      <c r="ABV58"/>
      <c r="ABW58"/>
      <c r="ABX58"/>
      <c r="ABY58"/>
      <c r="ABZ58"/>
      <c r="ACA58"/>
      <c r="ACB58"/>
      <c r="ACC58"/>
      <c r="ACD58"/>
      <c r="ACE58"/>
      <c r="ACF58"/>
      <c r="ACG58"/>
      <c r="ACH58"/>
      <c r="ACI58"/>
      <c r="ACJ58"/>
      <c r="ACK58"/>
      <c r="ACL58"/>
      <c r="ACM58"/>
      <c r="ACN58"/>
      <c r="ACO58"/>
      <c r="ACP58"/>
      <c r="ACQ58"/>
      <c r="ACR58"/>
      <c r="ACS58"/>
      <c r="ACT58"/>
      <c r="ACU58"/>
      <c r="ACV58"/>
      <c r="ACW58"/>
      <c r="ACX58"/>
      <c r="ACY58"/>
      <c r="ACZ58"/>
      <c r="ADA58"/>
      <c r="ADB58"/>
      <c r="ADC58"/>
      <c r="ADD58"/>
      <c r="ADE58"/>
      <c r="ADF58"/>
      <c r="ADG58"/>
      <c r="ADH58"/>
      <c r="ADI58"/>
      <c r="ADJ58"/>
      <c r="ADK58"/>
      <c r="ADL58"/>
      <c r="ADM58"/>
      <c r="ADN58"/>
      <c r="ADO58"/>
      <c r="ADP58"/>
      <c r="ADQ58"/>
      <c r="ADR58"/>
      <c r="ADS58"/>
      <c r="ADT58"/>
      <c r="ADU58"/>
      <c r="ADV58"/>
      <c r="ADW58"/>
      <c r="ADX58"/>
      <c r="ADY58"/>
      <c r="ADZ58"/>
      <c r="AEA58"/>
      <c r="AEB58"/>
      <c r="AEC58"/>
      <c r="AED58"/>
      <c r="AEE58"/>
      <c r="AEF58"/>
      <c r="AEG58"/>
      <c r="AEH58"/>
      <c r="AEI58"/>
      <c r="AEJ58"/>
      <c r="AEK58"/>
      <c r="AEL58"/>
      <c r="AEM58"/>
      <c r="AEN58"/>
      <c r="AEO58"/>
      <c r="AEP58"/>
      <c r="AEQ58"/>
      <c r="AER58"/>
      <c r="AES58"/>
      <c r="AET58"/>
      <c r="AEU58"/>
      <c r="AEV58"/>
      <c r="AEW58"/>
      <c r="AEX58"/>
      <c r="AEY58"/>
      <c r="AEZ58"/>
      <c r="AFA58"/>
      <c r="AFB58"/>
      <c r="AFC58"/>
      <c r="AFD58"/>
      <c r="AFE58"/>
      <c r="AFF58"/>
      <c r="AFG58"/>
      <c r="AFH58"/>
      <c r="AFI58"/>
      <c r="AFJ58"/>
      <c r="AFK58"/>
      <c r="AFL58"/>
      <c r="AFM58"/>
      <c r="AFN58"/>
      <c r="AFO58"/>
      <c r="AFP58"/>
      <c r="AFQ58"/>
      <c r="AFR58"/>
      <c r="AFS58"/>
      <c r="AFT58"/>
      <c r="AFU58"/>
      <c r="AFV58"/>
      <c r="AFW58"/>
      <c r="AFX58"/>
      <c r="AFY58"/>
      <c r="AFZ58"/>
      <c r="AGA58"/>
      <c r="AGB58"/>
      <c r="AGC58"/>
      <c r="AGD58"/>
      <c r="AGE58"/>
      <c r="AGF58"/>
      <c r="AGG58"/>
      <c r="AGH58"/>
      <c r="AGI58"/>
      <c r="AGJ58"/>
      <c r="AGK58"/>
      <c r="AGL58"/>
      <c r="AGM58"/>
      <c r="AGN58"/>
      <c r="AGO58"/>
      <c r="AGP58"/>
      <c r="AGQ58"/>
      <c r="AGR58"/>
      <c r="AGS58"/>
      <c r="AGT58"/>
      <c r="AGU58"/>
      <c r="AGV58"/>
      <c r="AGW58"/>
      <c r="AGX58"/>
      <c r="AGY58"/>
      <c r="AGZ58"/>
      <c r="AHA58"/>
      <c r="AHB58"/>
      <c r="AHC58"/>
      <c r="AHD58"/>
      <c r="AHE58"/>
      <c r="AHF58"/>
      <c r="AHG58"/>
      <c r="AHH58"/>
      <c r="AHI58"/>
      <c r="AHJ58"/>
      <c r="AHK58"/>
      <c r="AHL58"/>
      <c r="AHM58"/>
      <c r="AHN58"/>
      <c r="AHO58"/>
      <c r="AHP58"/>
      <c r="AHQ58"/>
      <c r="AHR58"/>
      <c r="AHS58"/>
      <c r="AHT58"/>
      <c r="AHU58"/>
      <c r="AHV58"/>
      <c r="AHW58"/>
      <c r="AHX58"/>
      <c r="AHY58"/>
      <c r="AHZ58"/>
      <c r="AIA58"/>
      <c r="AIB58"/>
      <c r="AIC58"/>
      <c r="AID58"/>
      <c r="AIE58"/>
      <c r="AIF58"/>
      <c r="AIG58"/>
      <c r="AIH58"/>
      <c r="AII58"/>
      <c r="AIJ58"/>
      <c r="AIK58"/>
      <c r="AIL58"/>
      <c r="AIM58"/>
      <c r="AIN58"/>
      <c r="AIO58"/>
      <c r="AIP58"/>
      <c r="AIQ58"/>
      <c r="AIR58"/>
      <c r="AIS58"/>
      <c r="AIT58"/>
      <c r="AIU58"/>
      <c r="AIV58"/>
      <c r="AIW58"/>
      <c r="AIX58"/>
      <c r="AIY58"/>
      <c r="AIZ58"/>
      <c r="AJA58"/>
      <c r="AJB58"/>
      <c r="AJC58"/>
      <c r="AJD58"/>
      <c r="AJE58"/>
      <c r="AJF58"/>
      <c r="AJG58"/>
      <c r="AJH58"/>
      <c r="AJI58"/>
      <c r="AJJ58"/>
      <c r="AJK58"/>
      <c r="AJL58"/>
      <c r="AJM58"/>
      <c r="AJN58"/>
      <c r="AJO58"/>
      <c r="AJP58"/>
      <c r="AJQ58"/>
      <c r="AJR58"/>
      <c r="AJS58"/>
      <c r="AJT58"/>
      <c r="AJU58"/>
      <c r="AJV58"/>
      <c r="AJW58"/>
      <c r="AJX58"/>
      <c r="AJY58"/>
      <c r="AJZ58"/>
      <c r="AKA58"/>
      <c r="AKB58"/>
      <c r="AKC58"/>
      <c r="AKD58"/>
      <c r="AKE58"/>
      <c r="AKF58"/>
      <c r="AKG58"/>
      <c r="AKH58"/>
      <c r="AKI58"/>
      <c r="AKJ58"/>
      <c r="AKK58"/>
      <c r="AKL58"/>
      <c r="AKM58"/>
      <c r="AKN58"/>
      <c r="AKO58"/>
      <c r="AKP58"/>
      <c r="AKQ58"/>
      <c r="AKR58"/>
      <c r="AKS58"/>
      <c r="AKT58"/>
      <c r="AKU58"/>
      <c r="AKV58"/>
      <c r="AKW58"/>
      <c r="AKX58"/>
      <c r="AKY58"/>
      <c r="AKZ58"/>
      <c r="ALA58"/>
      <c r="ALB58"/>
      <c r="ALC58"/>
      <c r="ALD58"/>
      <c r="ALE58"/>
      <c r="ALF58"/>
      <c r="ALG58"/>
      <c r="ALH58"/>
      <c r="ALI58"/>
      <c r="ALJ58"/>
      <c r="ALK58"/>
      <c r="ALL58"/>
      <c r="ALM58"/>
      <c r="ALN58"/>
      <c r="ALO58"/>
      <c r="ALP58"/>
      <c r="ALQ58"/>
      <c r="ALR58"/>
      <c r="ALS58"/>
      <c r="ALT58"/>
      <c r="ALU58"/>
      <c r="ALV58"/>
      <c r="ALW58"/>
      <c r="ALX58"/>
      <c r="ALY58"/>
      <c r="ALZ58"/>
      <c r="AMA58"/>
      <c r="AMB58"/>
      <c r="AMC58"/>
      <c r="AMD58"/>
      <c r="AME58"/>
      <c r="AMF58"/>
      <c r="AMG58"/>
      <c r="AMH58"/>
      <c r="AMI58"/>
      <c r="AMJ58"/>
      <c r="AMK58"/>
      <c r="AML58"/>
      <c r="AMM58"/>
      <c r="AMN58"/>
      <c r="AMO58"/>
      <c r="AMP58"/>
      <c r="AMQ58"/>
      <c r="AMR58"/>
      <c r="AMS58"/>
      <c r="AMT58"/>
      <c r="AMU58"/>
      <c r="AMV58"/>
      <c r="AMW58"/>
      <c r="AMX58"/>
      <c r="AMY58"/>
      <c r="AMZ58"/>
      <c r="ANA58"/>
      <c r="ANB58"/>
      <c r="ANC58"/>
      <c r="AND58"/>
      <c r="ANE58"/>
      <c r="ANF58"/>
      <c r="ANG58"/>
      <c r="ANH58"/>
      <c r="ANI58"/>
      <c r="ANJ58"/>
      <c r="ANK58"/>
      <c r="ANL58"/>
      <c r="ANM58"/>
      <c r="ANN58"/>
      <c r="ANO58"/>
    </row>
    <row r="59" spans="1:1055" s="36" customFormat="1" x14ac:dyDescent="0.25">
      <c r="A59" s="47" t="s">
        <v>81</v>
      </c>
      <c r="B59" s="35">
        <v>0</v>
      </c>
      <c r="C59" s="36">
        <v>0</v>
      </c>
      <c r="D59" s="36">
        <v>0</v>
      </c>
      <c r="E59" s="37">
        <v>11.5</v>
      </c>
      <c r="F59" s="35">
        <v>0</v>
      </c>
      <c r="G59" s="97">
        <v>0</v>
      </c>
      <c r="H59" s="97">
        <v>0</v>
      </c>
      <c r="I59" s="97">
        <v>0</v>
      </c>
      <c r="J59" s="97">
        <v>0</v>
      </c>
      <c r="K59" s="36">
        <v>0</v>
      </c>
      <c r="L59" s="38">
        <v>0</v>
      </c>
      <c r="M59" s="39">
        <v>60</v>
      </c>
      <c r="N59" s="40">
        <v>0</v>
      </c>
      <c r="O59" s="35"/>
      <c r="Q59" s="38">
        <v>0</v>
      </c>
      <c r="R59" s="35">
        <v>0</v>
      </c>
      <c r="S59" s="38">
        <v>0</v>
      </c>
      <c r="T59" s="41">
        <v>0</v>
      </c>
      <c r="U59" s="42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  <c r="AB59" s="36">
        <v>0</v>
      </c>
      <c r="AC59" s="36">
        <v>0</v>
      </c>
      <c r="AD59" s="36">
        <v>0</v>
      </c>
      <c r="AE59" s="36">
        <v>0</v>
      </c>
      <c r="AF59" s="36">
        <v>0</v>
      </c>
      <c r="AG59" s="36">
        <v>0</v>
      </c>
      <c r="AH59" s="36">
        <v>0</v>
      </c>
      <c r="AI59" s="36">
        <v>0</v>
      </c>
      <c r="AJ59" s="36">
        <v>0</v>
      </c>
      <c r="AK59" s="36">
        <v>0</v>
      </c>
      <c r="AL59" s="36">
        <v>0</v>
      </c>
      <c r="AM59" s="36">
        <v>0</v>
      </c>
      <c r="AN59" s="36">
        <v>0</v>
      </c>
      <c r="AO59" s="36">
        <v>0</v>
      </c>
      <c r="AP59" s="36">
        <v>0</v>
      </c>
      <c r="AQ59" s="36">
        <v>0</v>
      </c>
      <c r="AR59" s="38">
        <v>0</v>
      </c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  <c r="LQ59"/>
      <c r="LR59"/>
      <c r="LS59"/>
      <c r="LT59"/>
      <c r="LU59"/>
      <c r="LV59"/>
      <c r="LW59"/>
      <c r="LX59"/>
      <c r="LY59"/>
      <c r="LZ59"/>
      <c r="MA59"/>
      <c r="MB59"/>
      <c r="MC59"/>
      <c r="MD59"/>
      <c r="ME59"/>
      <c r="MF59"/>
      <c r="MG59"/>
      <c r="MH59"/>
      <c r="MI59"/>
      <c r="MJ59"/>
      <c r="MK59"/>
      <c r="ML59"/>
      <c r="MM59"/>
      <c r="MN59"/>
      <c r="MO59"/>
      <c r="MP59"/>
      <c r="MQ59"/>
      <c r="MR59"/>
      <c r="MS59"/>
      <c r="MT59"/>
      <c r="MU59"/>
      <c r="MV59"/>
      <c r="MW59"/>
      <c r="MX59"/>
      <c r="MY59"/>
      <c r="MZ59"/>
      <c r="NA59"/>
      <c r="NB59"/>
      <c r="NC59"/>
      <c r="ND59"/>
      <c r="NE59"/>
      <c r="NF59"/>
      <c r="NG59"/>
      <c r="NH59"/>
      <c r="NI59"/>
      <c r="NJ59"/>
      <c r="NK59"/>
      <c r="NL59"/>
      <c r="NM59"/>
      <c r="NN59"/>
      <c r="NO59"/>
      <c r="NP59"/>
      <c r="NQ59"/>
      <c r="NR59"/>
      <c r="NS59"/>
      <c r="NT59"/>
      <c r="NU59"/>
      <c r="NV59"/>
      <c r="NW59"/>
      <c r="NX59"/>
      <c r="NY59"/>
      <c r="NZ59"/>
      <c r="OA59"/>
      <c r="OB59"/>
      <c r="OC59"/>
      <c r="OD59"/>
      <c r="OE59"/>
      <c r="OF59"/>
      <c r="OG59"/>
      <c r="OH59"/>
      <c r="OI59"/>
      <c r="OJ59"/>
      <c r="OK59"/>
      <c r="OL59"/>
      <c r="OM59"/>
      <c r="ON59"/>
      <c r="OO59"/>
      <c r="OP59"/>
      <c r="OQ59"/>
      <c r="OR59"/>
      <c r="OS59"/>
      <c r="OT59"/>
      <c r="OU59"/>
      <c r="OV59"/>
      <c r="OW59"/>
      <c r="OX59"/>
      <c r="OY59"/>
      <c r="OZ59"/>
      <c r="PA59"/>
      <c r="PB59"/>
      <c r="PC59"/>
      <c r="PD59"/>
      <c r="PE59"/>
      <c r="PF59"/>
      <c r="PG59"/>
      <c r="PH59"/>
      <c r="PI59"/>
      <c r="PJ59"/>
      <c r="PK59"/>
      <c r="PL59"/>
      <c r="PM59"/>
      <c r="PN59"/>
      <c r="PO59"/>
      <c r="PP59"/>
      <c r="PQ59"/>
      <c r="PR59"/>
      <c r="PS59"/>
      <c r="PT59"/>
      <c r="PU59"/>
      <c r="PV59"/>
      <c r="PW59"/>
      <c r="PX59"/>
      <c r="PY59"/>
      <c r="PZ59"/>
      <c r="QA59"/>
      <c r="QB59"/>
      <c r="QC59"/>
      <c r="QD59"/>
      <c r="QE59"/>
      <c r="QF59"/>
      <c r="QG59"/>
      <c r="QH59"/>
      <c r="QI59"/>
      <c r="QJ59"/>
      <c r="QK59"/>
      <c r="QL59"/>
      <c r="QM59"/>
      <c r="QN59"/>
      <c r="QO59"/>
      <c r="QP59"/>
      <c r="QQ59"/>
      <c r="QR59"/>
      <c r="QS59"/>
      <c r="QT59"/>
      <c r="QU59"/>
      <c r="QV59"/>
      <c r="QW59"/>
      <c r="QX59"/>
      <c r="QY59"/>
      <c r="QZ59"/>
      <c r="RA59"/>
      <c r="RB59"/>
      <c r="RC59"/>
      <c r="RD59"/>
      <c r="RE59"/>
      <c r="RF59"/>
      <c r="RG59"/>
      <c r="RH59"/>
      <c r="RI59"/>
      <c r="RJ59"/>
      <c r="RK59"/>
      <c r="RL59"/>
      <c r="RM59"/>
      <c r="RN59"/>
      <c r="RO59"/>
      <c r="RP59"/>
      <c r="RQ59"/>
      <c r="RR59"/>
      <c r="RS59"/>
      <c r="RT59"/>
      <c r="RU59"/>
      <c r="RV59"/>
      <c r="RW59"/>
      <c r="RX59"/>
      <c r="RY59"/>
      <c r="RZ59"/>
      <c r="SA59"/>
      <c r="SB59"/>
      <c r="SC59"/>
      <c r="SD59"/>
      <c r="SE59"/>
      <c r="SF59"/>
      <c r="SG59"/>
      <c r="SH59"/>
      <c r="SI59"/>
      <c r="SJ59"/>
      <c r="SK59"/>
      <c r="SL59"/>
      <c r="SM59"/>
      <c r="SN59"/>
      <c r="SO59"/>
      <c r="SP59"/>
      <c r="SQ59"/>
      <c r="SR59"/>
      <c r="SS59"/>
      <c r="ST59"/>
      <c r="SU59"/>
      <c r="SV59"/>
      <c r="SW59"/>
      <c r="SX59"/>
      <c r="SY59"/>
      <c r="SZ59"/>
      <c r="TA59"/>
      <c r="TB59"/>
      <c r="TC59"/>
      <c r="TD59"/>
      <c r="TE59"/>
      <c r="TF59"/>
      <c r="TG59"/>
      <c r="TH59"/>
      <c r="TI59"/>
      <c r="TJ59"/>
      <c r="TK59"/>
      <c r="TL59"/>
      <c r="TM59"/>
      <c r="TN59"/>
      <c r="TO59"/>
      <c r="TP59"/>
      <c r="TQ59"/>
      <c r="TR59"/>
      <c r="TS59"/>
      <c r="TT59"/>
      <c r="TU59"/>
      <c r="TV59"/>
      <c r="TW59"/>
      <c r="TX59"/>
      <c r="TY59"/>
      <c r="TZ59"/>
      <c r="UA59"/>
      <c r="UB59"/>
      <c r="UC59"/>
      <c r="UD59"/>
      <c r="UE59"/>
      <c r="UF59"/>
      <c r="UG59"/>
      <c r="UH59"/>
      <c r="UI59"/>
      <c r="UJ59"/>
      <c r="UK59"/>
      <c r="UL59"/>
      <c r="UM59"/>
      <c r="UN59"/>
      <c r="UO59"/>
      <c r="UP59"/>
      <c r="UQ59"/>
      <c r="UR59"/>
      <c r="US59"/>
      <c r="UT59"/>
      <c r="UU59"/>
      <c r="UV59"/>
      <c r="UW59"/>
      <c r="UX59"/>
      <c r="UY59"/>
      <c r="UZ59"/>
      <c r="VA59"/>
      <c r="VB59"/>
      <c r="VC59"/>
      <c r="VD59"/>
      <c r="VE59"/>
      <c r="VF59"/>
      <c r="VG59"/>
      <c r="VH59"/>
      <c r="VI59"/>
      <c r="VJ59"/>
      <c r="VK59"/>
      <c r="VL59"/>
      <c r="VM59"/>
      <c r="VN59"/>
      <c r="VO59"/>
      <c r="VP59"/>
      <c r="VQ59"/>
      <c r="VR59"/>
      <c r="VS59"/>
      <c r="VT59"/>
      <c r="VU59"/>
      <c r="VV59"/>
      <c r="VW59"/>
      <c r="VX59"/>
      <c r="VY59"/>
      <c r="VZ59"/>
      <c r="WA59"/>
      <c r="WB59"/>
      <c r="WC59"/>
      <c r="WD59"/>
      <c r="WE59"/>
      <c r="WF59"/>
      <c r="WG59"/>
      <c r="WH59"/>
      <c r="WI59"/>
      <c r="WJ59"/>
      <c r="WK59"/>
      <c r="WL59"/>
      <c r="WM59"/>
      <c r="WN59"/>
      <c r="WO59"/>
      <c r="WP59"/>
      <c r="WQ59"/>
      <c r="WR59"/>
      <c r="WS59"/>
      <c r="WT59"/>
      <c r="WU59"/>
      <c r="WV59"/>
      <c r="WW59"/>
      <c r="WX59"/>
      <c r="WY59"/>
      <c r="WZ59"/>
      <c r="XA59"/>
      <c r="XB59"/>
      <c r="XC59"/>
      <c r="XD59"/>
      <c r="XE59"/>
      <c r="XF59"/>
      <c r="XG59"/>
      <c r="XH59"/>
      <c r="XI59"/>
      <c r="XJ59"/>
      <c r="XK59"/>
      <c r="XL59"/>
      <c r="XM59"/>
      <c r="XN59"/>
      <c r="XO59"/>
      <c r="XP59"/>
      <c r="XQ59"/>
      <c r="XR59"/>
      <c r="XS59"/>
      <c r="XT59"/>
      <c r="XU59"/>
      <c r="XV59"/>
      <c r="XW59"/>
      <c r="XX59"/>
      <c r="XY59"/>
      <c r="XZ59"/>
      <c r="YA59"/>
      <c r="YB59"/>
      <c r="YC59"/>
      <c r="YD59"/>
      <c r="YE59"/>
      <c r="YF59"/>
      <c r="YG59"/>
      <c r="YH59"/>
      <c r="YI59"/>
      <c r="YJ59"/>
      <c r="YK59"/>
      <c r="YL59"/>
      <c r="YM59"/>
      <c r="YN59"/>
      <c r="YO59"/>
      <c r="YP59"/>
      <c r="YQ59"/>
      <c r="YR59"/>
      <c r="YS59"/>
      <c r="YT59"/>
      <c r="YU59"/>
      <c r="YV59"/>
      <c r="YW59"/>
      <c r="YX59"/>
      <c r="YY59"/>
      <c r="YZ59"/>
      <c r="ZA59"/>
      <c r="ZB59"/>
      <c r="ZC59"/>
      <c r="ZD59"/>
      <c r="ZE59"/>
      <c r="ZF59"/>
      <c r="ZG59"/>
      <c r="ZH59"/>
      <c r="ZI59"/>
      <c r="ZJ59"/>
      <c r="ZK59"/>
      <c r="ZL59"/>
      <c r="ZM59"/>
      <c r="ZN59"/>
      <c r="ZO59"/>
      <c r="ZP59"/>
      <c r="ZQ59"/>
      <c r="ZR59"/>
      <c r="ZS59"/>
      <c r="ZT59"/>
      <c r="ZU59"/>
      <c r="ZV59"/>
      <c r="ZW59"/>
      <c r="ZX59"/>
      <c r="ZY59"/>
      <c r="ZZ59"/>
      <c r="AAA59"/>
      <c r="AAB59"/>
      <c r="AAC59"/>
      <c r="AAD59"/>
      <c r="AAE59"/>
      <c r="AAF59"/>
      <c r="AAG59"/>
      <c r="AAH59"/>
      <c r="AAI59"/>
      <c r="AAJ59"/>
      <c r="AAK59"/>
      <c r="AAL59"/>
      <c r="AAM59"/>
      <c r="AAN59"/>
      <c r="AAO59"/>
      <c r="AAP59"/>
      <c r="AAQ59"/>
      <c r="AAR59"/>
      <c r="AAS59"/>
      <c r="AAT59"/>
      <c r="AAU59"/>
      <c r="AAV59"/>
      <c r="AAW59"/>
      <c r="AAX59"/>
      <c r="AAY59"/>
      <c r="AAZ59"/>
      <c r="ABA59"/>
      <c r="ABB59"/>
      <c r="ABC59"/>
      <c r="ABD59"/>
      <c r="ABE59"/>
      <c r="ABF59"/>
      <c r="ABG59"/>
      <c r="ABH59"/>
      <c r="ABI59"/>
      <c r="ABJ59"/>
      <c r="ABK59"/>
      <c r="ABL59"/>
      <c r="ABM59"/>
      <c r="ABN59"/>
      <c r="ABO59"/>
      <c r="ABP59"/>
      <c r="ABQ59"/>
      <c r="ABR59"/>
      <c r="ABS59"/>
      <c r="ABT59"/>
      <c r="ABU59"/>
      <c r="ABV59"/>
      <c r="ABW59"/>
      <c r="ABX59"/>
      <c r="ABY59"/>
      <c r="ABZ59"/>
      <c r="ACA59"/>
      <c r="ACB59"/>
      <c r="ACC59"/>
      <c r="ACD59"/>
      <c r="ACE59"/>
      <c r="ACF59"/>
      <c r="ACG59"/>
      <c r="ACH59"/>
      <c r="ACI59"/>
      <c r="ACJ59"/>
      <c r="ACK59"/>
      <c r="ACL59"/>
      <c r="ACM59"/>
      <c r="ACN59"/>
      <c r="ACO59"/>
      <c r="ACP59"/>
      <c r="ACQ59"/>
      <c r="ACR59"/>
      <c r="ACS59"/>
      <c r="ACT59"/>
      <c r="ACU59"/>
      <c r="ACV59"/>
      <c r="ACW59"/>
      <c r="ACX59"/>
      <c r="ACY59"/>
      <c r="ACZ59"/>
      <c r="ADA59"/>
      <c r="ADB59"/>
      <c r="ADC59"/>
      <c r="ADD59"/>
      <c r="ADE59"/>
      <c r="ADF59"/>
      <c r="ADG59"/>
      <c r="ADH59"/>
      <c r="ADI59"/>
      <c r="ADJ59"/>
      <c r="ADK59"/>
      <c r="ADL59"/>
      <c r="ADM59"/>
      <c r="ADN59"/>
      <c r="ADO59"/>
      <c r="ADP59"/>
      <c r="ADQ59"/>
      <c r="ADR59"/>
      <c r="ADS59"/>
      <c r="ADT59"/>
      <c r="ADU59"/>
      <c r="ADV59"/>
      <c r="ADW59"/>
      <c r="ADX59"/>
      <c r="ADY59"/>
      <c r="ADZ59"/>
      <c r="AEA59"/>
      <c r="AEB59"/>
      <c r="AEC59"/>
      <c r="AED59"/>
      <c r="AEE59"/>
      <c r="AEF59"/>
      <c r="AEG59"/>
      <c r="AEH59"/>
      <c r="AEI59"/>
      <c r="AEJ59"/>
      <c r="AEK59"/>
      <c r="AEL59"/>
      <c r="AEM59"/>
      <c r="AEN59"/>
      <c r="AEO59"/>
      <c r="AEP59"/>
      <c r="AEQ59"/>
      <c r="AER59"/>
      <c r="AES59"/>
      <c r="AET59"/>
      <c r="AEU59"/>
      <c r="AEV59"/>
      <c r="AEW59"/>
      <c r="AEX59"/>
      <c r="AEY59"/>
      <c r="AEZ59"/>
      <c r="AFA59"/>
      <c r="AFB59"/>
      <c r="AFC59"/>
      <c r="AFD59"/>
      <c r="AFE59"/>
      <c r="AFF59"/>
      <c r="AFG59"/>
      <c r="AFH59"/>
      <c r="AFI59"/>
      <c r="AFJ59"/>
      <c r="AFK59"/>
      <c r="AFL59"/>
      <c r="AFM59"/>
      <c r="AFN59"/>
      <c r="AFO59"/>
      <c r="AFP59"/>
      <c r="AFQ59"/>
      <c r="AFR59"/>
      <c r="AFS59"/>
      <c r="AFT59"/>
      <c r="AFU59"/>
      <c r="AFV59"/>
      <c r="AFW59"/>
      <c r="AFX59"/>
      <c r="AFY59"/>
      <c r="AFZ59"/>
      <c r="AGA59"/>
      <c r="AGB59"/>
      <c r="AGC59"/>
      <c r="AGD59"/>
      <c r="AGE59"/>
      <c r="AGF59"/>
      <c r="AGG59"/>
      <c r="AGH59"/>
      <c r="AGI59"/>
      <c r="AGJ59"/>
      <c r="AGK59"/>
      <c r="AGL59"/>
      <c r="AGM59"/>
      <c r="AGN59"/>
      <c r="AGO59"/>
      <c r="AGP59"/>
      <c r="AGQ59"/>
      <c r="AGR59"/>
      <c r="AGS59"/>
      <c r="AGT59"/>
      <c r="AGU59"/>
      <c r="AGV59"/>
      <c r="AGW59"/>
      <c r="AGX59"/>
      <c r="AGY59"/>
      <c r="AGZ59"/>
      <c r="AHA59"/>
      <c r="AHB59"/>
      <c r="AHC59"/>
      <c r="AHD59"/>
      <c r="AHE59"/>
      <c r="AHF59"/>
      <c r="AHG59"/>
      <c r="AHH59"/>
      <c r="AHI59"/>
      <c r="AHJ59"/>
      <c r="AHK59"/>
      <c r="AHL59"/>
      <c r="AHM59"/>
      <c r="AHN59"/>
      <c r="AHO59"/>
      <c r="AHP59"/>
      <c r="AHQ59"/>
      <c r="AHR59"/>
      <c r="AHS59"/>
      <c r="AHT59"/>
      <c r="AHU59"/>
      <c r="AHV59"/>
      <c r="AHW59"/>
      <c r="AHX59"/>
      <c r="AHY59"/>
      <c r="AHZ59"/>
      <c r="AIA59"/>
      <c r="AIB59"/>
      <c r="AIC59"/>
      <c r="AID59"/>
      <c r="AIE59"/>
      <c r="AIF59"/>
      <c r="AIG59"/>
      <c r="AIH59"/>
      <c r="AII59"/>
      <c r="AIJ59"/>
      <c r="AIK59"/>
      <c r="AIL59"/>
      <c r="AIM59"/>
      <c r="AIN59"/>
      <c r="AIO59"/>
      <c r="AIP59"/>
      <c r="AIQ59"/>
      <c r="AIR59"/>
      <c r="AIS59"/>
      <c r="AIT59"/>
      <c r="AIU59"/>
      <c r="AIV59"/>
      <c r="AIW59"/>
      <c r="AIX59"/>
      <c r="AIY59"/>
      <c r="AIZ59"/>
      <c r="AJA59"/>
      <c r="AJB59"/>
      <c r="AJC59"/>
      <c r="AJD59"/>
      <c r="AJE59"/>
      <c r="AJF59"/>
      <c r="AJG59"/>
      <c r="AJH59"/>
      <c r="AJI59"/>
      <c r="AJJ59"/>
      <c r="AJK59"/>
      <c r="AJL59"/>
      <c r="AJM59"/>
      <c r="AJN59"/>
      <c r="AJO59"/>
      <c r="AJP59"/>
      <c r="AJQ59"/>
      <c r="AJR59"/>
      <c r="AJS59"/>
      <c r="AJT59"/>
      <c r="AJU59"/>
      <c r="AJV59"/>
      <c r="AJW59"/>
      <c r="AJX59"/>
      <c r="AJY59"/>
      <c r="AJZ59"/>
      <c r="AKA59"/>
      <c r="AKB59"/>
      <c r="AKC59"/>
      <c r="AKD59"/>
      <c r="AKE59"/>
      <c r="AKF59"/>
      <c r="AKG59"/>
      <c r="AKH59"/>
      <c r="AKI59"/>
      <c r="AKJ59"/>
      <c r="AKK59"/>
      <c r="AKL59"/>
      <c r="AKM59"/>
      <c r="AKN59"/>
      <c r="AKO59"/>
      <c r="AKP59"/>
      <c r="AKQ59"/>
      <c r="AKR59"/>
      <c r="AKS59"/>
      <c r="AKT59"/>
      <c r="AKU59"/>
      <c r="AKV59"/>
      <c r="AKW59"/>
      <c r="AKX59"/>
      <c r="AKY59"/>
      <c r="AKZ59"/>
      <c r="ALA59"/>
      <c r="ALB59"/>
      <c r="ALC59"/>
      <c r="ALD59"/>
      <c r="ALE59"/>
      <c r="ALF59"/>
      <c r="ALG59"/>
      <c r="ALH59"/>
      <c r="ALI59"/>
      <c r="ALJ59"/>
      <c r="ALK59"/>
      <c r="ALL59"/>
      <c r="ALM59"/>
      <c r="ALN59"/>
      <c r="ALO59"/>
      <c r="ALP59"/>
      <c r="ALQ59"/>
      <c r="ALR59"/>
      <c r="ALS59"/>
      <c r="ALT59"/>
      <c r="ALU59"/>
      <c r="ALV59"/>
      <c r="ALW59"/>
      <c r="ALX59"/>
      <c r="ALY59"/>
      <c r="ALZ59"/>
      <c r="AMA59"/>
      <c r="AMB59"/>
      <c r="AMC59"/>
      <c r="AMD59"/>
      <c r="AME59"/>
      <c r="AMF59"/>
      <c r="AMG59"/>
      <c r="AMH59"/>
      <c r="AMI59"/>
      <c r="AMJ59"/>
      <c r="AMK59"/>
      <c r="AML59"/>
      <c r="AMM59"/>
      <c r="AMN59"/>
      <c r="AMO59"/>
      <c r="AMP59"/>
      <c r="AMQ59"/>
      <c r="AMR59"/>
      <c r="AMS59"/>
      <c r="AMT59"/>
      <c r="AMU59"/>
      <c r="AMV59"/>
      <c r="AMW59"/>
      <c r="AMX59"/>
      <c r="AMY59"/>
      <c r="AMZ59"/>
      <c r="ANA59"/>
      <c r="ANB59"/>
      <c r="ANC59"/>
      <c r="AND59"/>
      <c r="ANE59"/>
      <c r="ANF59"/>
      <c r="ANG59"/>
      <c r="ANH59"/>
      <c r="ANI59"/>
      <c r="ANJ59"/>
      <c r="ANK59"/>
      <c r="ANL59"/>
      <c r="ANM59"/>
      <c r="ANN59"/>
      <c r="ANO59"/>
    </row>
    <row r="60" spans="1:1055" s="36" customFormat="1" x14ac:dyDescent="0.25">
      <c r="A60" s="47" t="s">
        <v>82</v>
      </c>
      <c r="B60" s="35">
        <v>0</v>
      </c>
      <c r="C60" s="36">
        <v>0</v>
      </c>
      <c r="D60" s="36">
        <f>E60/4</f>
        <v>0.47499999999999998</v>
      </c>
      <c r="E60" s="37">
        <v>1.9</v>
      </c>
      <c r="F60" s="35">
        <v>0</v>
      </c>
      <c r="G60" s="97">
        <v>0</v>
      </c>
      <c r="H60" s="97">
        <v>0</v>
      </c>
      <c r="I60" s="97">
        <v>0</v>
      </c>
      <c r="J60" s="97">
        <v>0</v>
      </c>
      <c r="K60" s="36">
        <v>0</v>
      </c>
      <c r="L60" s="38">
        <v>0</v>
      </c>
      <c r="M60" s="39">
        <v>3710</v>
      </c>
      <c r="N60" s="40">
        <v>0</v>
      </c>
      <c r="O60" s="35"/>
      <c r="Q60" s="38">
        <v>5.0000000000000001E-3</v>
      </c>
      <c r="R60" s="35">
        <v>15</v>
      </c>
      <c r="S60" s="38">
        <v>63</v>
      </c>
      <c r="T60" s="41">
        <v>1274.74442509663</v>
      </c>
      <c r="U60" s="42">
        <v>-18947.842061937801</v>
      </c>
      <c r="V60" s="36">
        <v>33900</v>
      </c>
      <c r="W60" s="36">
        <v>33700</v>
      </c>
      <c r="X60" s="36">
        <v>35100</v>
      </c>
      <c r="Y60" s="36">
        <v>37100</v>
      </c>
      <c r="Z60" s="36">
        <v>41800</v>
      </c>
      <c r="AA60" s="36">
        <v>42800</v>
      </c>
      <c r="AB60" s="36">
        <v>43000</v>
      </c>
      <c r="AC60" s="36">
        <v>58000</v>
      </c>
      <c r="AD60" s="36">
        <v>60000</v>
      </c>
      <c r="AE60" s="36">
        <v>41000</v>
      </c>
      <c r="AF60" s="36">
        <v>40200</v>
      </c>
      <c r="AG60" s="36">
        <v>58200</v>
      </c>
      <c r="AH60" s="36">
        <v>55700</v>
      </c>
      <c r="AI60" s="36">
        <v>58500</v>
      </c>
      <c r="AJ60" s="36">
        <v>55500</v>
      </c>
      <c r="AK60" s="36">
        <v>53490</v>
      </c>
      <c r="AL60" s="36">
        <v>57590</v>
      </c>
      <c r="AM60" s="36">
        <v>62380</v>
      </c>
      <c r="AN60" s="36">
        <v>73980</v>
      </c>
      <c r="AO60" s="36">
        <v>78980</v>
      </c>
      <c r="AP60" s="36">
        <v>82670</v>
      </c>
      <c r="AQ60" s="36">
        <v>77760</v>
      </c>
      <c r="AR60" s="38">
        <v>75940</v>
      </c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  <c r="IW60"/>
      <c r="IX60"/>
      <c r="IY60"/>
      <c r="IZ60"/>
      <c r="JA60"/>
      <c r="JB60"/>
      <c r="JC60"/>
      <c r="JD60"/>
      <c r="JE60"/>
      <c r="JF60"/>
      <c r="JG60"/>
      <c r="JH60"/>
      <c r="JI60"/>
      <c r="JJ60"/>
      <c r="JK60"/>
      <c r="JL60"/>
      <c r="JM60"/>
      <c r="JN60"/>
      <c r="JO60"/>
      <c r="JP60"/>
      <c r="JQ60"/>
      <c r="JR60"/>
      <c r="JS60"/>
      <c r="JT60"/>
      <c r="JU60"/>
      <c r="JV60"/>
      <c r="JW60"/>
      <c r="JX60"/>
      <c r="JY60"/>
      <c r="JZ60"/>
      <c r="KA60"/>
      <c r="KB60"/>
      <c r="KC60"/>
      <c r="KD60"/>
      <c r="KE60"/>
      <c r="KF60"/>
      <c r="KG60"/>
      <c r="KH60"/>
      <c r="KI60"/>
      <c r="KJ60"/>
      <c r="KK60"/>
      <c r="KL60"/>
      <c r="KM60"/>
      <c r="KN60"/>
      <c r="KO60"/>
      <c r="KP60"/>
      <c r="KQ60"/>
      <c r="KR60"/>
      <c r="KS60"/>
      <c r="KT60"/>
      <c r="KU60"/>
      <c r="KV60"/>
      <c r="KW60"/>
      <c r="KX60"/>
      <c r="KY60"/>
      <c r="KZ60"/>
      <c r="LA60"/>
      <c r="LB60"/>
      <c r="LC60"/>
      <c r="LD60"/>
      <c r="LE60"/>
      <c r="LF60"/>
      <c r="LG60"/>
      <c r="LH60"/>
      <c r="LI60"/>
      <c r="LJ60"/>
      <c r="LK60"/>
      <c r="LL60"/>
      <c r="LM60"/>
      <c r="LN60"/>
      <c r="LO60"/>
      <c r="LP60"/>
      <c r="LQ60"/>
      <c r="LR60"/>
      <c r="LS60"/>
      <c r="LT60"/>
      <c r="LU60"/>
      <c r="LV60"/>
      <c r="LW60"/>
      <c r="LX60"/>
      <c r="LY60"/>
      <c r="LZ60"/>
      <c r="MA60"/>
      <c r="MB60"/>
      <c r="MC60"/>
      <c r="MD60"/>
      <c r="ME60"/>
      <c r="MF60"/>
      <c r="MG60"/>
      <c r="MH60"/>
      <c r="MI60"/>
      <c r="MJ60"/>
      <c r="MK60"/>
      <c r="ML60"/>
      <c r="MM60"/>
      <c r="MN60"/>
      <c r="MO60"/>
      <c r="MP60"/>
      <c r="MQ60"/>
      <c r="MR60"/>
      <c r="MS60"/>
      <c r="MT60"/>
      <c r="MU60"/>
      <c r="MV60"/>
      <c r="MW60"/>
      <c r="MX60"/>
      <c r="MY60"/>
      <c r="MZ60"/>
      <c r="NA60"/>
      <c r="NB60"/>
      <c r="NC60"/>
      <c r="ND60"/>
      <c r="NE60"/>
      <c r="NF60"/>
      <c r="NG60"/>
      <c r="NH60"/>
      <c r="NI60"/>
      <c r="NJ60"/>
      <c r="NK60"/>
      <c r="NL60"/>
      <c r="NM60"/>
      <c r="NN60"/>
      <c r="NO60"/>
      <c r="NP60"/>
      <c r="NQ60"/>
      <c r="NR60"/>
      <c r="NS60"/>
      <c r="NT60"/>
      <c r="NU60"/>
      <c r="NV60"/>
      <c r="NW60"/>
      <c r="NX60"/>
      <c r="NY60"/>
      <c r="NZ60"/>
      <c r="OA60"/>
      <c r="OB60"/>
      <c r="OC60"/>
      <c r="OD60"/>
      <c r="OE60"/>
      <c r="OF60"/>
      <c r="OG60"/>
      <c r="OH60"/>
      <c r="OI60"/>
      <c r="OJ60"/>
      <c r="OK60"/>
      <c r="OL60"/>
      <c r="OM60"/>
      <c r="ON60"/>
      <c r="OO60"/>
      <c r="OP60"/>
      <c r="OQ60"/>
      <c r="OR60"/>
      <c r="OS60"/>
      <c r="OT60"/>
      <c r="OU60"/>
      <c r="OV60"/>
      <c r="OW60"/>
      <c r="OX60"/>
      <c r="OY60"/>
      <c r="OZ60"/>
      <c r="PA60"/>
      <c r="PB60"/>
      <c r="PC60"/>
      <c r="PD60"/>
      <c r="PE60"/>
      <c r="PF60"/>
      <c r="PG60"/>
      <c r="PH60"/>
      <c r="PI60"/>
      <c r="PJ60"/>
      <c r="PK60"/>
      <c r="PL60"/>
      <c r="PM60"/>
      <c r="PN60"/>
      <c r="PO60"/>
      <c r="PP60"/>
      <c r="PQ60"/>
      <c r="PR60"/>
      <c r="PS60"/>
      <c r="PT60"/>
      <c r="PU60"/>
      <c r="PV60"/>
      <c r="PW60"/>
      <c r="PX60"/>
      <c r="PY60"/>
      <c r="PZ60"/>
      <c r="QA60"/>
      <c r="QB60"/>
      <c r="QC60"/>
      <c r="QD60"/>
      <c r="QE60"/>
      <c r="QF60"/>
      <c r="QG60"/>
      <c r="QH60"/>
      <c r="QI60"/>
      <c r="QJ60"/>
      <c r="QK60"/>
      <c r="QL60"/>
      <c r="QM60"/>
      <c r="QN60"/>
      <c r="QO60"/>
      <c r="QP60"/>
      <c r="QQ60"/>
      <c r="QR60"/>
      <c r="QS60"/>
      <c r="QT60"/>
      <c r="QU60"/>
      <c r="QV60"/>
      <c r="QW60"/>
      <c r="QX60"/>
      <c r="QY60"/>
      <c r="QZ60"/>
      <c r="RA60"/>
      <c r="RB60"/>
      <c r="RC60"/>
      <c r="RD60"/>
      <c r="RE60"/>
      <c r="RF60"/>
      <c r="RG60"/>
      <c r="RH60"/>
      <c r="RI60"/>
      <c r="RJ60"/>
      <c r="RK60"/>
      <c r="RL60"/>
      <c r="RM60"/>
      <c r="RN60"/>
      <c r="RO60"/>
      <c r="RP60"/>
      <c r="RQ60"/>
      <c r="RR60"/>
      <c r="RS60"/>
      <c r="RT60"/>
      <c r="RU60"/>
      <c r="RV60"/>
      <c r="RW60"/>
      <c r="RX60"/>
      <c r="RY60"/>
      <c r="RZ60"/>
      <c r="SA60"/>
      <c r="SB60"/>
      <c r="SC60"/>
      <c r="SD60"/>
      <c r="SE60"/>
      <c r="SF60"/>
      <c r="SG60"/>
      <c r="SH60"/>
      <c r="SI60"/>
      <c r="SJ60"/>
      <c r="SK60"/>
      <c r="SL60"/>
      <c r="SM60"/>
      <c r="SN60"/>
      <c r="SO60"/>
      <c r="SP60"/>
      <c r="SQ60"/>
      <c r="SR60"/>
      <c r="SS60"/>
      <c r="ST60"/>
      <c r="SU60"/>
      <c r="SV60"/>
      <c r="SW60"/>
      <c r="SX60"/>
      <c r="SY60"/>
      <c r="SZ60"/>
      <c r="TA60"/>
      <c r="TB60"/>
      <c r="TC60"/>
      <c r="TD60"/>
      <c r="TE60"/>
      <c r="TF60"/>
      <c r="TG60"/>
      <c r="TH60"/>
      <c r="TI60"/>
      <c r="TJ60"/>
      <c r="TK60"/>
      <c r="TL60"/>
      <c r="TM60"/>
      <c r="TN60"/>
      <c r="TO60"/>
      <c r="TP60"/>
      <c r="TQ60"/>
      <c r="TR60"/>
      <c r="TS60"/>
      <c r="TT60"/>
      <c r="TU60"/>
      <c r="TV60"/>
      <c r="TW60"/>
      <c r="TX60"/>
      <c r="TY60"/>
      <c r="TZ60"/>
      <c r="UA60"/>
      <c r="UB60"/>
      <c r="UC60"/>
      <c r="UD60"/>
      <c r="UE60"/>
      <c r="UF60"/>
      <c r="UG60"/>
      <c r="UH60"/>
      <c r="UI60"/>
      <c r="UJ60"/>
      <c r="UK60"/>
      <c r="UL60"/>
      <c r="UM60"/>
      <c r="UN60"/>
      <c r="UO60"/>
      <c r="UP60"/>
      <c r="UQ60"/>
      <c r="UR60"/>
      <c r="US60"/>
      <c r="UT60"/>
      <c r="UU60"/>
      <c r="UV60"/>
      <c r="UW60"/>
      <c r="UX60"/>
      <c r="UY60"/>
      <c r="UZ60"/>
      <c r="VA60"/>
      <c r="VB60"/>
      <c r="VC60"/>
      <c r="VD60"/>
      <c r="VE60"/>
      <c r="VF60"/>
      <c r="VG60"/>
      <c r="VH60"/>
      <c r="VI60"/>
      <c r="VJ60"/>
      <c r="VK60"/>
      <c r="VL60"/>
      <c r="VM60"/>
      <c r="VN60"/>
      <c r="VO60"/>
      <c r="VP60"/>
      <c r="VQ60"/>
      <c r="VR60"/>
      <c r="VS60"/>
      <c r="VT60"/>
      <c r="VU60"/>
      <c r="VV60"/>
      <c r="VW60"/>
      <c r="VX60"/>
      <c r="VY60"/>
      <c r="VZ60"/>
      <c r="WA60"/>
      <c r="WB60"/>
      <c r="WC60"/>
      <c r="WD60"/>
      <c r="WE60"/>
      <c r="WF60"/>
      <c r="WG60"/>
      <c r="WH60"/>
      <c r="WI60"/>
      <c r="WJ60"/>
      <c r="WK60"/>
      <c r="WL60"/>
      <c r="WM60"/>
      <c r="WN60"/>
      <c r="WO60"/>
      <c r="WP60"/>
      <c r="WQ60"/>
      <c r="WR60"/>
      <c r="WS60"/>
      <c r="WT60"/>
      <c r="WU60"/>
      <c r="WV60"/>
      <c r="WW60"/>
      <c r="WX60"/>
      <c r="WY60"/>
      <c r="WZ60"/>
      <c r="XA60"/>
      <c r="XB60"/>
      <c r="XC60"/>
      <c r="XD60"/>
      <c r="XE60"/>
      <c r="XF60"/>
      <c r="XG60"/>
      <c r="XH60"/>
      <c r="XI60"/>
      <c r="XJ60"/>
      <c r="XK60"/>
      <c r="XL60"/>
      <c r="XM60"/>
      <c r="XN60"/>
      <c r="XO60"/>
      <c r="XP60"/>
      <c r="XQ60"/>
      <c r="XR60"/>
      <c r="XS60"/>
      <c r="XT60"/>
      <c r="XU60"/>
      <c r="XV60"/>
      <c r="XW60"/>
      <c r="XX60"/>
      <c r="XY60"/>
      <c r="XZ60"/>
      <c r="YA60"/>
      <c r="YB60"/>
      <c r="YC60"/>
      <c r="YD60"/>
      <c r="YE60"/>
      <c r="YF60"/>
      <c r="YG60"/>
      <c r="YH60"/>
      <c r="YI60"/>
      <c r="YJ60"/>
      <c r="YK60"/>
      <c r="YL60"/>
      <c r="YM60"/>
      <c r="YN60"/>
      <c r="YO60"/>
      <c r="YP60"/>
      <c r="YQ60"/>
      <c r="YR60"/>
      <c r="YS60"/>
      <c r="YT60"/>
      <c r="YU60"/>
      <c r="YV60"/>
      <c r="YW60"/>
      <c r="YX60"/>
      <c r="YY60"/>
      <c r="YZ60"/>
      <c r="ZA60"/>
      <c r="ZB60"/>
      <c r="ZC60"/>
      <c r="ZD60"/>
      <c r="ZE60"/>
      <c r="ZF60"/>
      <c r="ZG60"/>
      <c r="ZH60"/>
      <c r="ZI60"/>
      <c r="ZJ60"/>
      <c r="ZK60"/>
      <c r="ZL60"/>
      <c r="ZM60"/>
      <c r="ZN60"/>
      <c r="ZO60"/>
      <c r="ZP60"/>
      <c r="ZQ60"/>
      <c r="ZR60"/>
      <c r="ZS60"/>
      <c r="ZT60"/>
      <c r="ZU60"/>
      <c r="ZV60"/>
      <c r="ZW60"/>
      <c r="ZX60"/>
      <c r="ZY60"/>
      <c r="ZZ60"/>
      <c r="AAA60"/>
      <c r="AAB60"/>
      <c r="AAC60"/>
      <c r="AAD60"/>
      <c r="AAE60"/>
      <c r="AAF60"/>
      <c r="AAG60"/>
      <c r="AAH60"/>
      <c r="AAI60"/>
      <c r="AAJ60"/>
      <c r="AAK60"/>
      <c r="AAL60"/>
      <c r="AAM60"/>
      <c r="AAN60"/>
      <c r="AAO60"/>
      <c r="AAP60"/>
      <c r="AAQ60"/>
      <c r="AAR60"/>
      <c r="AAS60"/>
      <c r="AAT60"/>
      <c r="AAU60"/>
      <c r="AAV60"/>
      <c r="AAW60"/>
      <c r="AAX60"/>
      <c r="AAY60"/>
      <c r="AAZ60"/>
      <c r="ABA60"/>
      <c r="ABB60"/>
      <c r="ABC60"/>
      <c r="ABD60"/>
      <c r="ABE60"/>
      <c r="ABF60"/>
      <c r="ABG60"/>
      <c r="ABH60"/>
      <c r="ABI60"/>
      <c r="ABJ60"/>
      <c r="ABK60"/>
      <c r="ABL60"/>
      <c r="ABM60"/>
      <c r="ABN60"/>
      <c r="ABO60"/>
      <c r="ABP60"/>
      <c r="ABQ60"/>
      <c r="ABR60"/>
      <c r="ABS60"/>
      <c r="ABT60"/>
      <c r="ABU60"/>
      <c r="ABV60"/>
      <c r="ABW60"/>
      <c r="ABX60"/>
      <c r="ABY60"/>
      <c r="ABZ60"/>
      <c r="ACA60"/>
      <c r="ACB60"/>
      <c r="ACC60"/>
      <c r="ACD60"/>
      <c r="ACE60"/>
      <c r="ACF60"/>
      <c r="ACG60"/>
      <c r="ACH60"/>
      <c r="ACI60"/>
      <c r="ACJ60"/>
      <c r="ACK60"/>
      <c r="ACL60"/>
      <c r="ACM60"/>
      <c r="ACN60"/>
      <c r="ACO60"/>
      <c r="ACP60"/>
      <c r="ACQ60"/>
      <c r="ACR60"/>
      <c r="ACS60"/>
      <c r="ACT60"/>
      <c r="ACU60"/>
      <c r="ACV60"/>
      <c r="ACW60"/>
      <c r="ACX60"/>
      <c r="ACY60"/>
      <c r="ACZ60"/>
      <c r="ADA60"/>
      <c r="ADB60"/>
      <c r="ADC60"/>
      <c r="ADD60"/>
      <c r="ADE60"/>
      <c r="ADF60"/>
      <c r="ADG60"/>
      <c r="ADH60"/>
      <c r="ADI60"/>
      <c r="ADJ60"/>
      <c r="ADK60"/>
      <c r="ADL60"/>
      <c r="ADM60"/>
      <c r="ADN60"/>
      <c r="ADO60"/>
      <c r="ADP60"/>
      <c r="ADQ60"/>
      <c r="ADR60"/>
      <c r="ADS60"/>
      <c r="ADT60"/>
      <c r="ADU60"/>
      <c r="ADV60"/>
      <c r="ADW60"/>
      <c r="ADX60"/>
      <c r="ADY60"/>
      <c r="ADZ60"/>
      <c r="AEA60"/>
      <c r="AEB60"/>
      <c r="AEC60"/>
      <c r="AED60"/>
      <c r="AEE60"/>
      <c r="AEF60"/>
      <c r="AEG60"/>
      <c r="AEH60"/>
      <c r="AEI60"/>
      <c r="AEJ60"/>
      <c r="AEK60"/>
      <c r="AEL60"/>
      <c r="AEM60"/>
      <c r="AEN60"/>
      <c r="AEO60"/>
      <c r="AEP60"/>
      <c r="AEQ60"/>
      <c r="AER60"/>
      <c r="AES60"/>
      <c r="AET60"/>
      <c r="AEU60"/>
      <c r="AEV60"/>
      <c r="AEW60"/>
      <c r="AEX60"/>
      <c r="AEY60"/>
      <c r="AEZ60"/>
      <c r="AFA60"/>
      <c r="AFB60"/>
      <c r="AFC60"/>
      <c r="AFD60"/>
      <c r="AFE60"/>
      <c r="AFF60"/>
      <c r="AFG60"/>
      <c r="AFH60"/>
      <c r="AFI60"/>
      <c r="AFJ60"/>
      <c r="AFK60"/>
      <c r="AFL60"/>
      <c r="AFM60"/>
      <c r="AFN60"/>
      <c r="AFO60"/>
      <c r="AFP60"/>
      <c r="AFQ60"/>
      <c r="AFR60"/>
      <c r="AFS60"/>
      <c r="AFT60"/>
      <c r="AFU60"/>
      <c r="AFV60"/>
      <c r="AFW60"/>
      <c r="AFX60"/>
      <c r="AFY60"/>
      <c r="AFZ60"/>
      <c r="AGA60"/>
      <c r="AGB60"/>
      <c r="AGC60"/>
      <c r="AGD60"/>
      <c r="AGE60"/>
      <c r="AGF60"/>
      <c r="AGG60"/>
      <c r="AGH60"/>
      <c r="AGI60"/>
      <c r="AGJ60"/>
      <c r="AGK60"/>
      <c r="AGL60"/>
      <c r="AGM60"/>
      <c r="AGN60"/>
      <c r="AGO60"/>
      <c r="AGP60"/>
      <c r="AGQ60"/>
      <c r="AGR60"/>
      <c r="AGS60"/>
      <c r="AGT60"/>
      <c r="AGU60"/>
      <c r="AGV60"/>
      <c r="AGW60"/>
      <c r="AGX60"/>
      <c r="AGY60"/>
      <c r="AGZ60"/>
      <c r="AHA60"/>
      <c r="AHB60"/>
      <c r="AHC60"/>
      <c r="AHD60"/>
      <c r="AHE60"/>
      <c r="AHF60"/>
      <c r="AHG60"/>
      <c r="AHH60"/>
      <c r="AHI60"/>
      <c r="AHJ60"/>
      <c r="AHK60"/>
      <c r="AHL60"/>
      <c r="AHM60"/>
      <c r="AHN60"/>
      <c r="AHO60"/>
      <c r="AHP60"/>
      <c r="AHQ60"/>
      <c r="AHR60"/>
      <c r="AHS60"/>
      <c r="AHT60"/>
      <c r="AHU60"/>
      <c r="AHV60"/>
      <c r="AHW60"/>
      <c r="AHX60"/>
      <c r="AHY60"/>
      <c r="AHZ60"/>
      <c r="AIA60"/>
      <c r="AIB60"/>
      <c r="AIC60"/>
      <c r="AID60"/>
      <c r="AIE60"/>
      <c r="AIF60"/>
      <c r="AIG60"/>
      <c r="AIH60"/>
      <c r="AII60"/>
      <c r="AIJ60"/>
      <c r="AIK60"/>
      <c r="AIL60"/>
      <c r="AIM60"/>
      <c r="AIN60"/>
      <c r="AIO60"/>
      <c r="AIP60"/>
      <c r="AIQ60"/>
      <c r="AIR60"/>
      <c r="AIS60"/>
      <c r="AIT60"/>
      <c r="AIU60"/>
      <c r="AIV60"/>
      <c r="AIW60"/>
      <c r="AIX60"/>
      <c r="AIY60"/>
      <c r="AIZ60"/>
      <c r="AJA60"/>
      <c r="AJB60"/>
      <c r="AJC60"/>
      <c r="AJD60"/>
      <c r="AJE60"/>
      <c r="AJF60"/>
      <c r="AJG60"/>
      <c r="AJH60"/>
      <c r="AJI60"/>
      <c r="AJJ60"/>
      <c r="AJK60"/>
      <c r="AJL60"/>
      <c r="AJM60"/>
      <c r="AJN60"/>
      <c r="AJO60"/>
      <c r="AJP60"/>
      <c r="AJQ60"/>
      <c r="AJR60"/>
      <c r="AJS60"/>
      <c r="AJT60"/>
      <c r="AJU60"/>
      <c r="AJV60"/>
      <c r="AJW60"/>
      <c r="AJX60"/>
      <c r="AJY60"/>
      <c r="AJZ60"/>
      <c r="AKA60"/>
      <c r="AKB60"/>
      <c r="AKC60"/>
      <c r="AKD60"/>
      <c r="AKE60"/>
      <c r="AKF60"/>
      <c r="AKG60"/>
      <c r="AKH60"/>
      <c r="AKI60"/>
      <c r="AKJ60"/>
      <c r="AKK60"/>
      <c r="AKL60"/>
      <c r="AKM60"/>
      <c r="AKN60"/>
      <c r="AKO60"/>
      <c r="AKP60"/>
      <c r="AKQ60"/>
      <c r="AKR60"/>
      <c r="AKS60"/>
      <c r="AKT60"/>
      <c r="AKU60"/>
      <c r="AKV60"/>
      <c r="AKW60"/>
      <c r="AKX60"/>
      <c r="AKY60"/>
      <c r="AKZ60"/>
      <c r="ALA60"/>
      <c r="ALB60"/>
      <c r="ALC60"/>
      <c r="ALD60"/>
      <c r="ALE60"/>
      <c r="ALF60"/>
      <c r="ALG60"/>
      <c r="ALH60"/>
      <c r="ALI60"/>
      <c r="ALJ60"/>
      <c r="ALK60"/>
      <c r="ALL60"/>
      <c r="ALM60"/>
      <c r="ALN60"/>
      <c r="ALO60"/>
      <c r="ALP60"/>
      <c r="ALQ60"/>
      <c r="ALR60"/>
      <c r="ALS60"/>
      <c r="ALT60"/>
      <c r="ALU60"/>
      <c r="ALV60"/>
      <c r="ALW60"/>
      <c r="ALX60"/>
      <c r="ALY60"/>
      <c r="ALZ60"/>
      <c r="AMA60"/>
      <c r="AMB60"/>
      <c r="AMC60"/>
      <c r="AMD60"/>
      <c r="AME60"/>
      <c r="AMF60"/>
      <c r="AMG60"/>
      <c r="AMH60"/>
      <c r="AMI60"/>
      <c r="AMJ60"/>
      <c r="AMK60"/>
      <c r="AML60"/>
      <c r="AMM60"/>
      <c r="AMN60"/>
      <c r="AMO60"/>
      <c r="AMP60"/>
      <c r="AMQ60"/>
      <c r="AMR60"/>
      <c r="AMS60"/>
      <c r="AMT60"/>
      <c r="AMU60"/>
      <c r="AMV60"/>
      <c r="AMW60"/>
      <c r="AMX60"/>
      <c r="AMY60"/>
      <c r="AMZ60"/>
      <c r="ANA60"/>
      <c r="ANB60"/>
      <c r="ANC60"/>
      <c r="AND60"/>
      <c r="ANE60"/>
      <c r="ANF60"/>
      <c r="ANG60"/>
      <c r="ANH60"/>
      <c r="ANI60"/>
      <c r="ANJ60"/>
      <c r="ANK60"/>
      <c r="ANL60"/>
      <c r="ANM60"/>
      <c r="ANN60"/>
      <c r="ANO60"/>
    </row>
    <row r="61" spans="1:1055" s="36" customFormat="1" x14ac:dyDescent="0.25">
      <c r="A61" s="34" t="s">
        <v>83</v>
      </c>
      <c r="B61" s="35">
        <v>640</v>
      </c>
      <c r="C61" s="36">
        <v>640</v>
      </c>
      <c r="D61" s="36">
        <v>0</v>
      </c>
      <c r="E61" s="37">
        <v>0</v>
      </c>
      <c r="F61" s="35">
        <v>0</v>
      </c>
      <c r="G61" s="97">
        <v>0</v>
      </c>
      <c r="H61" s="97">
        <v>0</v>
      </c>
      <c r="I61" s="97">
        <v>0</v>
      </c>
      <c r="J61" s="97">
        <v>0</v>
      </c>
      <c r="K61" s="36">
        <v>0</v>
      </c>
      <c r="L61" s="38">
        <v>0</v>
      </c>
      <c r="M61" s="39">
        <v>36</v>
      </c>
      <c r="N61" s="40">
        <v>0</v>
      </c>
      <c r="O61" s="35"/>
      <c r="Q61" s="38">
        <v>0</v>
      </c>
      <c r="R61" s="35">
        <v>0</v>
      </c>
      <c r="S61" s="38">
        <v>0</v>
      </c>
      <c r="T61" s="41">
        <v>0</v>
      </c>
      <c r="U61" s="42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  <c r="AB61" s="36">
        <v>0</v>
      </c>
      <c r="AC61" s="36">
        <v>0</v>
      </c>
      <c r="AD61" s="36">
        <v>0</v>
      </c>
      <c r="AE61" s="36">
        <v>0</v>
      </c>
      <c r="AF61" s="36">
        <v>0</v>
      </c>
      <c r="AG61" s="36">
        <v>0</v>
      </c>
      <c r="AH61" s="36">
        <v>0</v>
      </c>
      <c r="AI61" s="36">
        <v>0</v>
      </c>
      <c r="AJ61" s="36">
        <v>0</v>
      </c>
      <c r="AK61" s="36">
        <v>0</v>
      </c>
      <c r="AL61" s="36">
        <v>0</v>
      </c>
      <c r="AM61" s="36">
        <v>0</v>
      </c>
      <c r="AN61" s="36">
        <v>0</v>
      </c>
      <c r="AO61" s="36">
        <v>0</v>
      </c>
      <c r="AP61" s="36">
        <v>0</v>
      </c>
      <c r="AQ61" s="36">
        <v>0</v>
      </c>
      <c r="AR61" s="38">
        <v>0</v>
      </c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  <c r="IW61"/>
      <c r="IX61"/>
      <c r="IY61"/>
      <c r="IZ61"/>
      <c r="JA61"/>
      <c r="JB61"/>
      <c r="JC61"/>
      <c r="JD61"/>
      <c r="JE61"/>
      <c r="JF61"/>
      <c r="JG61"/>
      <c r="JH61"/>
      <c r="JI61"/>
      <c r="JJ61"/>
      <c r="JK61"/>
      <c r="JL61"/>
      <c r="JM61"/>
      <c r="JN61"/>
      <c r="JO61"/>
      <c r="JP61"/>
      <c r="JQ61"/>
      <c r="JR61"/>
      <c r="JS61"/>
      <c r="JT61"/>
      <c r="JU61"/>
      <c r="JV61"/>
      <c r="JW61"/>
      <c r="JX61"/>
      <c r="JY61"/>
      <c r="JZ61"/>
      <c r="KA61"/>
      <c r="KB61"/>
      <c r="KC61"/>
      <c r="KD61"/>
      <c r="KE61"/>
      <c r="KF61"/>
      <c r="KG61"/>
      <c r="KH61"/>
      <c r="KI61"/>
      <c r="KJ61"/>
      <c r="KK61"/>
      <c r="KL61"/>
      <c r="KM61"/>
      <c r="KN61"/>
      <c r="KO61"/>
      <c r="KP61"/>
      <c r="KQ61"/>
      <c r="KR61"/>
      <c r="KS61"/>
      <c r="KT61"/>
      <c r="KU61"/>
      <c r="KV61"/>
      <c r="KW61"/>
      <c r="KX61"/>
      <c r="KY61"/>
      <c r="KZ61"/>
      <c r="LA61"/>
      <c r="LB61"/>
      <c r="LC61"/>
      <c r="LD61"/>
      <c r="LE61"/>
      <c r="LF61"/>
      <c r="LG61"/>
      <c r="LH61"/>
      <c r="LI61"/>
      <c r="LJ61"/>
      <c r="LK61"/>
      <c r="LL61"/>
      <c r="LM61"/>
      <c r="LN61"/>
      <c r="LO61"/>
      <c r="LP61"/>
      <c r="LQ61"/>
      <c r="LR61"/>
      <c r="LS61"/>
      <c r="LT61"/>
      <c r="LU61"/>
      <c r="LV61"/>
      <c r="LW61"/>
      <c r="LX61"/>
      <c r="LY61"/>
      <c r="LZ61"/>
      <c r="MA61"/>
      <c r="MB61"/>
      <c r="MC61"/>
      <c r="MD61"/>
      <c r="ME61"/>
      <c r="MF61"/>
      <c r="MG61"/>
      <c r="MH61"/>
      <c r="MI61"/>
      <c r="MJ61"/>
      <c r="MK61"/>
      <c r="ML61"/>
      <c r="MM61"/>
      <c r="MN61"/>
      <c r="MO61"/>
      <c r="MP61"/>
      <c r="MQ61"/>
      <c r="MR61"/>
      <c r="MS61"/>
      <c r="MT61"/>
      <c r="MU61"/>
      <c r="MV61"/>
      <c r="MW61"/>
      <c r="MX61"/>
      <c r="MY61"/>
      <c r="MZ61"/>
      <c r="NA61"/>
      <c r="NB61"/>
      <c r="NC61"/>
      <c r="ND61"/>
      <c r="NE61"/>
      <c r="NF61"/>
      <c r="NG61"/>
      <c r="NH61"/>
      <c r="NI61"/>
      <c r="NJ61"/>
      <c r="NK61"/>
      <c r="NL61"/>
      <c r="NM61"/>
      <c r="NN61"/>
      <c r="NO61"/>
      <c r="NP61"/>
      <c r="NQ61"/>
      <c r="NR61"/>
      <c r="NS61"/>
      <c r="NT61"/>
      <c r="NU61"/>
      <c r="NV61"/>
      <c r="NW61"/>
      <c r="NX61"/>
      <c r="NY61"/>
      <c r="NZ61"/>
      <c r="OA61"/>
      <c r="OB61"/>
      <c r="OC61"/>
      <c r="OD61"/>
      <c r="OE61"/>
      <c r="OF61"/>
      <c r="OG61"/>
      <c r="OH61"/>
      <c r="OI61"/>
      <c r="OJ61"/>
      <c r="OK61"/>
      <c r="OL61"/>
      <c r="OM61"/>
      <c r="ON61"/>
      <c r="OO61"/>
      <c r="OP61"/>
      <c r="OQ61"/>
      <c r="OR61"/>
      <c r="OS61"/>
      <c r="OT61"/>
      <c r="OU61"/>
      <c r="OV61"/>
      <c r="OW61"/>
      <c r="OX61"/>
      <c r="OY61"/>
      <c r="OZ61"/>
      <c r="PA61"/>
      <c r="PB61"/>
      <c r="PC61"/>
      <c r="PD61"/>
      <c r="PE61"/>
      <c r="PF61"/>
      <c r="PG61"/>
      <c r="PH61"/>
      <c r="PI61"/>
      <c r="PJ61"/>
      <c r="PK61"/>
      <c r="PL61"/>
      <c r="PM61"/>
      <c r="PN61"/>
      <c r="PO61"/>
      <c r="PP61"/>
      <c r="PQ61"/>
      <c r="PR61"/>
      <c r="PS61"/>
      <c r="PT61"/>
      <c r="PU61"/>
      <c r="PV61"/>
      <c r="PW61"/>
      <c r="PX61"/>
      <c r="PY61"/>
      <c r="PZ61"/>
      <c r="QA61"/>
      <c r="QB61"/>
      <c r="QC61"/>
      <c r="QD61"/>
      <c r="QE61"/>
      <c r="QF61"/>
      <c r="QG61"/>
      <c r="QH61"/>
      <c r="QI61"/>
      <c r="QJ61"/>
      <c r="QK61"/>
      <c r="QL61"/>
      <c r="QM61"/>
      <c r="QN61"/>
      <c r="QO61"/>
      <c r="QP61"/>
      <c r="QQ61"/>
      <c r="QR61"/>
      <c r="QS61"/>
      <c r="QT61"/>
      <c r="QU61"/>
      <c r="QV61"/>
      <c r="QW61"/>
      <c r="QX61"/>
      <c r="QY61"/>
      <c r="QZ61"/>
      <c r="RA61"/>
      <c r="RB61"/>
      <c r="RC61"/>
      <c r="RD61"/>
      <c r="RE61"/>
      <c r="RF61"/>
      <c r="RG61"/>
      <c r="RH61"/>
      <c r="RI61"/>
      <c r="RJ61"/>
      <c r="RK61"/>
      <c r="RL61"/>
      <c r="RM61"/>
      <c r="RN61"/>
      <c r="RO61"/>
      <c r="RP61"/>
      <c r="RQ61"/>
      <c r="RR61"/>
      <c r="RS61"/>
      <c r="RT61"/>
      <c r="RU61"/>
      <c r="RV61"/>
      <c r="RW61"/>
      <c r="RX61"/>
      <c r="RY61"/>
      <c r="RZ61"/>
      <c r="SA61"/>
      <c r="SB61"/>
      <c r="SC61"/>
      <c r="SD61"/>
      <c r="SE61"/>
      <c r="SF61"/>
      <c r="SG61"/>
      <c r="SH61"/>
      <c r="SI61"/>
      <c r="SJ61"/>
      <c r="SK61"/>
      <c r="SL61"/>
      <c r="SM61"/>
      <c r="SN61"/>
      <c r="SO61"/>
      <c r="SP61"/>
      <c r="SQ61"/>
      <c r="SR61"/>
      <c r="SS61"/>
      <c r="ST61"/>
      <c r="SU61"/>
      <c r="SV61"/>
      <c r="SW61"/>
      <c r="SX61"/>
      <c r="SY61"/>
      <c r="SZ61"/>
      <c r="TA61"/>
      <c r="TB61"/>
      <c r="TC61"/>
      <c r="TD61"/>
      <c r="TE61"/>
      <c r="TF61"/>
      <c r="TG61"/>
      <c r="TH61"/>
      <c r="TI61"/>
      <c r="TJ61"/>
      <c r="TK61"/>
      <c r="TL61"/>
      <c r="TM61"/>
      <c r="TN61"/>
      <c r="TO61"/>
      <c r="TP61"/>
      <c r="TQ61"/>
      <c r="TR61"/>
      <c r="TS61"/>
      <c r="TT61"/>
      <c r="TU61"/>
      <c r="TV61"/>
      <c r="TW61"/>
      <c r="TX61"/>
      <c r="TY61"/>
      <c r="TZ61"/>
      <c r="UA61"/>
      <c r="UB61"/>
      <c r="UC61"/>
      <c r="UD61"/>
      <c r="UE61"/>
      <c r="UF61"/>
      <c r="UG61"/>
      <c r="UH61"/>
      <c r="UI61"/>
      <c r="UJ61"/>
      <c r="UK61"/>
      <c r="UL61"/>
      <c r="UM61"/>
      <c r="UN61"/>
      <c r="UO61"/>
      <c r="UP61"/>
      <c r="UQ61"/>
      <c r="UR61"/>
      <c r="US61"/>
      <c r="UT61"/>
      <c r="UU61"/>
      <c r="UV61"/>
      <c r="UW61"/>
      <c r="UX61"/>
      <c r="UY61"/>
      <c r="UZ61"/>
      <c r="VA61"/>
      <c r="VB61"/>
      <c r="VC61"/>
      <c r="VD61"/>
      <c r="VE61"/>
      <c r="VF61"/>
      <c r="VG61"/>
      <c r="VH61"/>
      <c r="VI61"/>
      <c r="VJ61"/>
      <c r="VK61"/>
      <c r="VL61"/>
      <c r="VM61"/>
      <c r="VN61"/>
      <c r="VO61"/>
      <c r="VP61"/>
      <c r="VQ61"/>
      <c r="VR61"/>
      <c r="VS61"/>
      <c r="VT61"/>
      <c r="VU61"/>
      <c r="VV61"/>
      <c r="VW61"/>
      <c r="VX61"/>
      <c r="VY61"/>
      <c r="VZ61"/>
      <c r="WA61"/>
      <c r="WB61"/>
      <c r="WC61"/>
      <c r="WD61"/>
      <c r="WE61"/>
      <c r="WF61"/>
      <c r="WG61"/>
      <c r="WH61"/>
      <c r="WI61"/>
      <c r="WJ61"/>
      <c r="WK61"/>
      <c r="WL61"/>
      <c r="WM61"/>
      <c r="WN61"/>
      <c r="WO61"/>
      <c r="WP61"/>
      <c r="WQ61"/>
      <c r="WR61"/>
      <c r="WS61"/>
      <c r="WT61"/>
      <c r="WU61"/>
      <c r="WV61"/>
      <c r="WW61"/>
      <c r="WX61"/>
      <c r="WY61"/>
      <c r="WZ61"/>
      <c r="XA61"/>
      <c r="XB61"/>
      <c r="XC61"/>
      <c r="XD61"/>
      <c r="XE61"/>
      <c r="XF61"/>
      <c r="XG61"/>
      <c r="XH61"/>
      <c r="XI61"/>
      <c r="XJ61"/>
      <c r="XK61"/>
      <c r="XL61"/>
      <c r="XM61"/>
      <c r="XN61"/>
      <c r="XO61"/>
      <c r="XP61"/>
      <c r="XQ61"/>
      <c r="XR61"/>
      <c r="XS61"/>
      <c r="XT61"/>
      <c r="XU61"/>
      <c r="XV61"/>
      <c r="XW61"/>
      <c r="XX61"/>
      <c r="XY61"/>
      <c r="XZ61"/>
      <c r="YA61"/>
      <c r="YB61"/>
      <c r="YC61"/>
      <c r="YD61"/>
      <c r="YE61"/>
      <c r="YF61"/>
      <c r="YG61"/>
      <c r="YH61"/>
      <c r="YI61"/>
      <c r="YJ61"/>
      <c r="YK61"/>
      <c r="YL61"/>
      <c r="YM61"/>
      <c r="YN61"/>
      <c r="YO61"/>
      <c r="YP61"/>
      <c r="YQ61"/>
      <c r="YR61"/>
      <c r="YS61"/>
      <c r="YT61"/>
      <c r="YU61"/>
      <c r="YV61"/>
      <c r="YW61"/>
      <c r="YX61"/>
      <c r="YY61"/>
      <c r="YZ61"/>
      <c r="ZA61"/>
      <c r="ZB61"/>
      <c r="ZC61"/>
      <c r="ZD61"/>
      <c r="ZE61"/>
      <c r="ZF61"/>
      <c r="ZG61"/>
      <c r="ZH61"/>
      <c r="ZI61"/>
      <c r="ZJ61"/>
      <c r="ZK61"/>
      <c r="ZL61"/>
      <c r="ZM61"/>
      <c r="ZN61"/>
      <c r="ZO61"/>
      <c r="ZP61"/>
      <c r="ZQ61"/>
      <c r="ZR61"/>
      <c r="ZS61"/>
      <c r="ZT61"/>
      <c r="ZU61"/>
      <c r="ZV61"/>
      <c r="ZW61"/>
      <c r="ZX61"/>
      <c r="ZY61"/>
      <c r="ZZ61"/>
      <c r="AAA61"/>
      <c r="AAB61"/>
      <c r="AAC61"/>
      <c r="AAD61"/>
      <c r="AAE61"/>
      <c r="AAF61"/>
      <c r="AAG61"/>
      <c r="AAH61"/>
      <c r="AAI61"/>
      <c r="AAJ61"/>
      <c r="AAK61"/>
      <c r="AAL61"/>
      <c r="AAM61"/>
      <c r="AAN61"/>
      <c r="AAO61"/>
      <c r="AAP61"/>
      <c r="AAQ61"/>
      <c r="AAR61"/>
      <c r="AAS61"/>
      <c r="AAT61"/>
      <c r="AAU61"/>
      <c r="AAV61"/>
      <c r="AAW61"/>
      <c r="AAX61"/>
      <c r="AAY61"/>
      <c r="AAZ61"/>
      <c r="ABA61"/>
      <c r="ABB61"/>
      <c r="ABC61"/>
      <c r="ABD61"/>
      <c r="ABE61"/>
      <c r="ABF61"/>
      <c r="ABG61"/>
      <c r="ABH61"/>
      <c r="ABI61"/>
      <c r="ABJ61"/>
      <c r="ABK61"/>
      <c r="ABL61"/>
      <c r="ABM61"/>
      <c r="ABN61"/>
      <c r="ABO61"/>
      <c r="ABP61"/>
      <c r="ABQ61"/>
      <c r="ABR61"/>
      <c r="ABS61"/>
      <c r="ABT61"/>
      <c r="ABU61"/>
      <c r="ABV61"/>
      <c r="ABW61"/>
      <c r="ABX61"/>
      <c r="ABY61"/>
      <c r="ABZ61"/>
      <c r="ACA61"/>
      <c r="ACB61"/>
      <c r="ACC61"/>
      <c r="ACD61"/>
      <c r="ACE61"/>
      <c r="ACF61"/>
      <c r="ACG61"/>
      <c r="ACH61"/>
      <c r="ACI61"/>
      <c r="ACJ61"/>
      <c r="ACK61"/>
      <c r="ACL61"/>
      <c r="ACM61"/>
      <c r="ACN61"/>
      <c r="ACO61"/>
      <c r="ACP61"/>
      <c r="ACQ61"/>
      <c r="ACR61"/>
      <c r="ACS61"/>
      <c r="ACT61"/>
      <c r="ACU61"/>
      <c r="ACV61"/>
      <c r="ACW61"/>
      <c r="ACX61"/>
      <c r="ACY61"/>
      <c r="ACZ61"/>
      <c r="ADA61"/>
      <c r="ADB61"/>
      <c r="ADC61"/>
      <c r="ADD61"/>
      <c r="ADE61"/>
      <c r="ADF61"/>
      <c r="ADG61"/>
      <c r="ADH61"/>
      <c r="ADI61"/>
      <c r="ADJ61"/>
      <c r="ADK61"/>
      <c r="ADL61"/>
      <c r="ADM61"/>
      <c r="ADN61"/>
      <c r="ADO61"/>
      <c r="ADP61"/>
      <c r="ADQ61"/>
      <c r="ADR61"/>
      <c r="ADS61"/>
      <c r="ADT61"/>
      <c r="ADU61"/>
      <c r="ADV61"/>
      <c r="ADW61"/>
      <c r="ADX61"/>
      <c r="ADY61"/>
      <c r="ADZ61"/>
      <c r="AEA61"/>
      <c r="AEB61"/>
      <c r="AEC61"/>
      <c r="AED61"/>
      <c r="AEE61"/>
      <c r="AEF61"/>
      <c r="AEG61"/>
      <c r="AEH61"/>
      <c r="AEI61"/>
      <c r="AEJ61"/>
      <c r="AEK61"/>
      <c r="AEL61"/>
      <c r="AEM61"/>
      <c r="AEN61"/>
      <c r="AEO61"/>
      <c r="AEP61"/>
      <c r="AEQ61"/>
      <c r="AER61"/>
      <c r="AES61"/>
      <c r="AET61"/>
      <c r="AEU61"/>
      <c r="AEV61"/>
      <c r="AEW61"/>
      <c r="AEX61"/>
      <c r="AEY61"/>
      <c r="AEZ61"/>
      <c r="AFA61"/>
      <c r="AFB61"/>
      <c r="AFC61"/>
      <c r="AFD61"/>
      <c r="AFE61"/>
      <c r="AFF61"/>
      <c r="AFG61"/>
      <c r="AFH61"/>
      <c r="AFI61"/>
      <c r="AFJ61"/>
      <c r="AFK61"/>
      <c r="AFL61"/>
      <c r="AFM61"/>
      <c r="AFN61"/>
      <c r="AFO61"/>
      <c r="AFP61"/>
      <c r="AFQ61"/>
      <c r="AFR61"/>
      <c r="AFS61"/>
      <c r="AFT61"/>
      <c r="AFU61"/>
      <c r="AFV61"/>
      <c r="AFW61"/>
      <c r="AFX61"/>
      <c r="AFY61"/>
      <c r="AFZ61"/>
      <c r="AGA61"/>
      <c r="AGB61"/>
      <c r="AGC61"/>
      <c r="AGD61"/>
      <c r="AGE61"/>
      <c r="AGF61"/>
      <c r="AGG61"/>
      <c r="AGH61"/>
      <c r="AGI61"/>
      <c r="AGJ61"/>
      <c r="AGK61"/>
      <c r="AGL61"/>
      <c r="AGM61"/>
      <c r="AGN61"/>
      <c r="AGO61"/>
      <c r="AGP61"/>
      <c r="AGQ61"/>
      <c r="AGR61"/>
      <c r="AGS61"/>
      <c r="AGT61"/>
      <c r="AGU61"/>
      <c r="AGV61"/>
      <c r="AGW61"/>
      <c r="AGX61"/>
      <c r="AGY61"/>
      <c r="AGZ61"/>
      <c r="AHA61"/>
      <c r="AHB61"/>
      <c r="AHC61"/>
      <c r="AHD61"/>
      <c r="AHE61"/>
      <c r="AHF61"/>
      <c r="AHG61"/>
      <c r="AHH61"/>
      <c r="AHI61"/>
      <c r="AHJ61"/>
      <c r="AHK61"/>
      <c r="AHL61"/>
      <c r="AHM61"/>
      <c r="AHN61"/>
      <c r="AHO61"/>
      <c r="AHP61"/>
      <c r="AHQ61"/>
      <c r="AHR61"/>
      <c r="AHS61"/>
      <c r="AHT61"/>
      <c r="AHU61"/>
      <c r="AHV61"/>
      <c r="AHW61"/>
      <c r="AHX61"/>
      <c r="AHY61"/>
      <c r="AHZ61"/>
      <c r="AIA61"/>
      <c r="AIB61"/>
      <c r="AIC61"/>
      <c r="AID61"/>
      <c r="AIE61"/>
      <c r="AIF61"/>
      <c r="AIG61"/>
      <c r="AIH61"/>
      <c r="AII61"/>
      <c r="AIJ61"/>
      <c r="AIK61"/>
      <c r="AIL61"/>
      <c r="AIM61"/>
      <c r="AIN61"/>
      <c r="AIO61"/>
      <c r="AIP61"/>
      <c r="AIQ61"/>
      <c r="AIR61"/>
      <c r="AIS61"/>
      <c r="AIT61"/>
      <c r="AIU61"/>
      <c r="AIV61"/>
      <c r="AIW61"/>
      <c r="AIX61"/>
      <c r="AIY61"/>
      <c r="AIZ61"/>
      <c r="AJA61"/>
      <c r="AJB61"/>
      <c r="AJC61"/>
      <c r="AJD61"/>
      <c r="AJE61"/>
      <c r="AJF61"/>
      <c r="AJG61"/>
      <c r="AJH61"/>
      <c r="AJI61"/>
      <c r="AJJ61"/>
      <c r="AJK61"/>
      <c r="AJL61"/>
      <c r="AJM61"/>
      <c r="AJN61"/>
      <c r="AJO61"/>
      <c r="AJP61"/>
      <c r="AJQ61"/>
      <c r="AJR61"/>
      <c r="AJS61"/>
      <c r="AJT61"/>
      <c r="AJU61"/>
      <c r="AJV61"/>
      <c r="AJW61"/>
      <c r="AJX61"/>
      <c r="AJY61"/>
      <c r="AJZ61"/>
      <c r="AKA61"/>
      <c r="AKB61"/>
      <c r="AKC61"/>
      <c r="AKD61"/>
      <c r="AKE61"/>
      <c r="AKF61"/>
      <c r="AKG61"/>
      <c r="AKH61"/>
      <c r="AKI61"/>
      <c r="AKJ61"/>
      <c r="AKK61"/>
      <c r="AKL61"/>
      <c r="AKM61"/>
      <c r="AKN61"/>
      <c r="AKO61"/>
      <c r="AKP61"/>
      <c r="AKQ61"/>
      <c r="AKR61"/>
      <c r="AKS61"/>
      <c r="AKT61"/>
      <c r="AKU61"/>
      <c r="AKV61"/>
      <c r="AKW61"/>
      <c r="AKX61"/>
      <c r="AKY61"/>
      <c r="AKZ61"/>
      <c r="ALA61"/>
      <c r="ALB61"/>
      <c r="ALC61"/>
      <c r="ALD61"/>
      <c r="ALE61"/>
      <c r="ALF61"/>
      <c r="ALG61"/>
      <c r="ALH61"/>
      <c r="ALI61"/>
      <c r="ALJ61"/>
      <c r="ALK61"/>
      <c r="ALL61"/>
      <c r="ALM61"/>
      <c r="ALN61"/>
      <c r="ALO61"/>
      <c r="ALP61"/>
      <c r="ALQ61"/>
      <c r="ALR61"/>
      <c r="ALS61"/>
      <c r="ALT61"/>
      <c r="ALU61"/>
      <c r="ALV61"/>
      <c r="ALW61"/>
      <c r="ALX61"/>
      <c r="ALY61"/>
      <c r="ALZ61"/>
      <c r="AMA61"/>
      <c r="AMB61"/>
      <c r="AMC61"/>
      <c r="AMD61"/>
      <c r="AME61"/>
      <c r="AMF61"/>
      <c r="AMG61"/>
      <c r="AMH61"/>
      <c r="AMI61"/>
      <c r="AMJ61"/>
      <c r="AMK61"/>
      <c r="AML61"/>
      <c r="AMM61"/>
      <c r="AMN61"/>
      <c r="AMO61"/>
      <c r="AMP61"/>
      <c r="AMQ61"/>
      <c r="AMR61"/>
      <c r="AMS61"/>
      <c r="AMT61"/>
      <c r="AMU61"/>
      <c r="AMV61"/>
      <c r="AMW61"/>
      <c r="AMX61"/>
      <c r="AMY61"/>
      <c r="AMZ61"/>
      <c r="ANA61"/>
      <c r="ANB61"/>
      <c r="ANC61"/>
      <c r="AND61"/>
      <c r="ANE61"/>
      <c r="ANF61"/>
      <c r="ANG61"/>
      <c r="ANH61"/>
      <c r="ANI61"/>
      <c r="ANJ61"/>
      <c r="ANK61"/>
      <c r="ANL61"/>
      <c r="ANM61"/>
      <c r="ANN61"/>
      <c r="ANO61"/>
    </row>
    <row r="62" spans="1:1055" s="53" customFormat="1" ht="15.75" thickBot="1" x14ac:dyDescent="0.3">
      <c r="A62" s="51" t="s">
        <v>84</v>
      </c>
      <c r="B62" s="52">
        <v>0</v>
      </c>
      <c r="C62" s="53">
        <v>0</v>
      </c>
      <c r="D62" s="53">
        <f>E62/4</f>
        <v>162.5</v>
      </c>
      <c r="E62" s="54">
        <v>650</v>
      </c>
      <c r="F62" s="52">
        <v>0</v>
      </c>
      <c r="G62" s="97">
        <v>0</v>
      </c>
      <c r="H62" s="97">
        <v>0</v>
      </c>
      <c r="I62" s="97">
        <v>0</v>
      </c>
      <c r="J62" s="97">
        <v>0</v>
      </c>
      <c r="K62" s="53">
        <v>200</v>
      </c>
      <c r="L62" s="55">
        <v>0</v>
      </c>
      <c r="M62" s="56">
        <v>72</v>
      </c>
      <c r="N62" s="57">
        <v>9</v>
      </c>
      <c r="O62" s="52">
        <v>0.19</v>
      </c>
      <c r="P62" s="53">
        <v>0.6</v>
      </c>
      <c r="Q62" s="55">
        <f>(O62+P62)/2</f>
        <v>0.39500000000000002</v>
      </c>
      <c r="R62" s="52">
        <v>230</v>
      </c>
      <c r="S62" s="55">
        <v>1900</v>
      </c>
      <c r="T62" s="58">
        <v>207576.31076444799</v>
      </c>
      <c r="U62" s="59">
        <v>-1819702.6572439</v>
      </c>
      <c r="V62" s="53">
        <v>6810000</v>
      </c>
      <c r="W62" s="53">
        <v>7119990</v>
      </c>
      <c r="X62" s="53">
        <v>7439990</v>
      </c>
      <c r="Y62" s="53">
        <v>7459980</v>
      </c>
      <c r="Z62" s="53">
        <v>7549970</v>
      </c>
      <c r="AA62" s="53">
        <v>8039950</v>
      </c>
      <c r="AB62" s="53">
        <v>8729950</v>
      </c>
      <c r="AC62" s="53">
        <v>8849940</v>
      </c>
      <c r="AD62" s="53">
        <v>8359900</v>
      </c>
      <c r="AE62" s="53">
        <v>9009830</v>
      </c>
      <c r="AF62" s="53">
        <v>9599770</v>
      </c>
      <c r="AG62" s="53">
        <v>9799700</v>
      </c>
      <c r="AH62" s="53">
        <v>9999480</v>
      </c>
      <c r="AI62" s="53">
        <v>10898960</v>
      </c>
      <c r="AJ62" s="53">
        <v>11598360</v>
      </c>
      <c r="AK62" s="53">
        <v>11196900</v>
      </c>
      <c r="AL62" s="53">
        <v>11995070</v>
      </c>
      <c r="AM62" s="53">
        <v>12794550</v>
      </c>
      <c r="AN62" s="53">
        <v>13493710</v>
      </c>
      <c r="AO62" s="53">
        <v>13393260</v>
      </c>
      <c r="AP62" s="53">
        <v>13289410</v>
      </c>
      <c r="AQ62" s="53">
        <v>12785320</v>
      </c>
      <c r="AR62" s="55">
        <v>11881060</v>
      </c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  <c r="IW62"/>
      <c r="IX62"/>
      <c r="IY62"/>
      <c r="IZ62"/>
      <c r="JA62"/>
      <c r="JB62"/>
      <c r="JC62"/>
      <c r="JD62"/>
      <c r="JE62"/>
      <c r="JF62"/>
      <c r="JG62"/>
      <c r="JH62"/>
      <c r="JI62"/>
      <c r="JJ62"/>
      <c r="JK62"/>
      <c r="JL62"/>
      <c r="JM62"/>
      <c r="JN62"/>
      <c r="JO62"/>
      <c r="JP62"/>
      <c r="JQ62"/>
      <c r="JR62"/>
      <c r="JS62"/>
      <c r="JT62"/>
      <c r="JU62"/>
      <c r="JV62"/>
      <c r="JW62"/>
      <c r="JX62"/>
      <c r="JY62"/>
      <c r="JZ62"/>
      <c r="KA62"/>
      <c r="KB62"/>
      <c r="KC62"/>
      <c r="KD62"/>
      <c r="KE62"/>
      <c r="KF62"/>
      <c r="KG62"/>
      <c r="KH62"/>
      <c r="KI62"/>
      <c r="KJ62"/>
      <c r="KK62"/>
      <c r="KL62"/>
      <c r="KM62"/>
      <c r="KN62"/>
      <c r="KO62"/>
      <c r="KP62"/>
      <c r="KQ62"/>
      <c r="KR62"/>
      <c r="KS62"/>
      <c r="KT62"/>
      <c r="KU62"/>
      <c r="KV62"/>
      <c r="KW62"/>
      <c r="KX62"/>
      <c r="KY62"/>
      <c r="KZ62"/>
      <c r="LA62"/>
      <c r="LB62"/>
      <c r="LC62"/>
      <c r="LD62"/>
      <c r="LE62"/>
      <c r="LF62"/>
      <c r="LG62"/>
      <c r="LH62"/>
      <c r="LI62"/>
      <c r="LJ62"/>
      <c r="LK62"/>
      <c r="LL62"/>
      <c r="LM62"/>
      <c r="LN62"/>
      <c r="LO62"/>
      <c r="LP62"/>
      <c r="LQ62"/>
      <c r="LR62"/>
      <c r="LS62"/>
      <c r="LT62"/>
      <c r="LU62"/>
      <c r="LV62"/>
      <c r="LW62"/>
      <c r="LX62"/>
      <c r="LY62"/>
      <c r="LZ62"/>
      <c r="MA62"/>
      <c r="MB62"/>
      <c r="MC62"/>
      <c r="MD62"/>
      <c r="ME62"/>
      <c r="MF62"/>
      <c r="MG62"/>
      <c r="MH62"/>
      <c r="MI62"/>
      <c r="MJ62"/>
      <c r="MK62"/>
      <c r="ML62"/>
      <c r="MM62"/>
      <c r="MN62"/>
      <c r="MO62"/>
      <c r="MP62"/>
      <c r="MQ62"/>
      <c r="MR62"/>
      <c r="MS62"/>
      <c r="MT62"/>
      <c r="MU62"/>
      <c r="MV62"/>
      <c r="MW62"/>
      <c r="MX62"/>
      <c r="MY62"/>
      <c r="MZ62"/>
      <c r="NA62"/>
      <c r="NB62"/>
      <c r="NC62"/>
      <c r="ND62"/>
      <c r="NE62"/>
      <c r="NF62"/>
      <c r="NG62"/>
      <c r="NH62"/>
      <c r="NI62"/>
      <c r="NJ62"/>
      <c r="NK62"/>
      <c r="NL62"/>
      <c r="NM62"/>
      <c r="NN62"/>
      <c r="NO62"/>
      <c r="NP62"/>
      <c r="NQ62"/>
      <c r="NR62"/>
      <c r="NS62"/>
      <c r="NT62"/>
      <c r="NU62"/>
      <c r="NV62"/>
      <c r="NW62"/>
      <c r="NX62"/>
      <c r="NY62"/>
      <c r="NZ62"/>
      <c r="OA62"/>
      <c r="OB62"/>
      <c r="OC62"/>
      <c r="OD62"/>
      <c r="OE62"/>
      <c r="OF62"/>
      <c r="OG62"/>
      <c r="OH62"/>
      <c r="OI62"/>
      <c r="OJ62"/>
      <c r="OK62"/>
      <c r="OL62"/>
      <c r="OM62"/>
      <c r="ON62"/>
      <c r="OO62"/>
      <c r="OP62"/>
      <c r="OQ62"/>
      <c r="OR62"/>
      <c r="OS62"/>
      <c r="OT62"/>
      <c r="OU62"/>
      <c r="OV62"/>
      <c r="OW62"/>
      <c r="OX62"/>
      <c r="OY62"/>
      <c r="OZ62"/>
      <c r="PA62"/>
      <c r="PB62"/>
      <c r="PC62"/>
      <c r="PD62"/>
      <c r="PE62"/>
      <c r="PF62"/>
      <c r="PG62"/>
      <c r="PH62"/>
      <c r="PI62"/>
      <c r="PJ62"/>
      <c r="PK62"/>
      <c r="PL62"/>
      <c r="PM62"/>
      <c r="PN62"/>
      <c r="PO62"/>
      <c r="PP62"/>
      <c r="PQ62"/>
      <c r="PR62"/>
      <c r="PS62"/>
      <c r="PT62"/>
      <c r="PU62"/>
      <c r="PV62"/>
      <c r="PW62"/>
      <c r="PX62"/>
      <c r="PY62"/>
      <c r="PZ62"/>
      <c r="QA62"/>
      <c r="QB62"/>
      <c r="QC62"/>
      <c r="QD62"/>
      <c r="QE62"/>
      <c r="QF62"/>
      <c r="QG62"/>
      <c r="QH62"/>
      <c r="QI62"/>
      <c r="QJ62"/>
      <c r="QK62"/>
      <c r="QL62"/>
      <c r="QM62"/>
      <c r="QN62"/>
      <c r="QO62"/>
      <c r="QP62"/>
      <c r="QQ62"/>
      <c r="QR62"/>
      <c r="QS62"/>
      <c r="QT62"/>
      <c r="QU62"/>
      <c r="QV62"/>
      <c r="QW62"/>
      <c r="QX62"/>
      <c r="QY62"/>
      <c r="QZ62"/>
      <c r="RA62"/>
      <c r="RB62"/>
      <c r="RC62"/>
      <c r="RD62"/>
      <c r="RE62"/>
      <c r="RF62"/>
      <c r="RG62"/>
      <c r="RH62"/>
      <c r="RI62"/>
      <c r="RJ62"/>
      <c r="RK62"/>
      <c r="RL62"/>
      <c r="RM62"/>
      <c r="RN62"/>
      <c r="RO62"/>
      <c r="RP62"/>
      <c r="RQ62"/>
      <c r="RR62"/>
      <c r="RS62"/>
      <c r="RT62"/>
      <c r="RU62"/>
      <c r="RV62"/>
      <c r="RW62"/>
      <c r="RX62"/>
      <c r="RY62"/>
      <c r="RZ62"/>
      <c r="SA62"/>
      <c r="SB62"/>
      <c r="SC62"/>
      <c r="SD62"/>
      <c r="SE62"/>
      <c r="SF62"/>
      <c r="SG62"/>
      <c r="SH62"/>
      <c r="SI62"/>
      <c r="SJ62"/>
      <c r="SK62"/>
      <c r="SL62"/>
      <c r="SM62"/>
      <c r="SN62"/>
      <c r="SO62"/>
      <c r="SP62"/>
      <c r="SQ62"/>
      <c r="SR62"/>
      <c r="SS62"/>
      <c r="ST62"/>
      <c r="SU62"/>
      <c r="SV62"/>
      <c r="SW62"/>
      <c r="SX62"/>
      <c r="SY62"/>
      <c r="SZ62"/>
      <c r="TA62"/>
      <c r="TB62"/>
      <c r="TC62"/>
      <c r="TD62"/>
      <c r="TE62"/>
      <c r="TF62"/>
      <c r="TG62"/>
      <c r="TH62"/>
      <c r="TI62"/>
      <c r="TJ62"/>
      <c r="TK62"/>
      <c r="TL62"/>
      <c r="TM62"/>
      <c r="TN62"/>
      <c r="TO62"/>
      <c r="TP62"/>
      <c r="TQ62"/>
      <c r="TR62"/>
      <c r="TS62"/>
      <c r="TT62"/>
      <c r="TU62"/>
      <c r="TV62"/>
      <c r="TW62"/>
      <c r="TX62"/>
      <c r="TY62"/>
      <c r="TZ62"/>
      <c r="UA62"/>
      <c r="UB62"/>
      <c r="UC62"/>
      <c r="UD62"/>
      <c r="UE62"/>
      <c r="UF62"/>
      <c r="UG62"/>
      <c r="UH62"/>
      <c r="UI62"/>
      <c r="UJ62"/>
      <c r="UK62"/>
      <c r="UL62"/>
      <c r="UM62"/>
      <c r="UN62"/>
      <c r="UO62"/>
      <c r="UP62"/>
      <c r="UQ62"/>
      <c r="UR62"/>
      <c r="US62"/>
      <c r="UT62"/>
      <c r="UU62"/>
      <c r="UV62"/>
      <c r="UW62"/>
      <c r="UX62"/>
      <c r="UY62"/>
      <c r="UZ62"/>
      <c r="VA62"/>
      <c r="VB62"/>
      <c r="VC62"/>
      <c r="VD62"/>
      <c r="VE62"/>
      <c r="VF62"/>
      <c r="VG62"/>
      <c r="VH62"/>
      <c r="VI62"/>
      <c r="VJ62"/>
      <c r="VK62"/>
      <c r="VL62"/>
      <c r="VM62"/>
      <c r="VN62"/>
      <c r="VO62"/>
      <c r="VP62"/>
      <c r="VQ62"/>
      <c r="VR62"/>
      <c r="VS62"/>
      <c r="VT62"/>
      <c r="VU62"/>
      <c r="VV62"/>
      <c r="VW62"/>
      <c r="VX62"/>
      <c r="VY62"/>
      <c r="VZ62"/>
      <c r="WA62"/>
      <c r="WB62"/>
      <c r="WC62"/>
      <c r="WD62"/>
      <c r="WE62"/>
      <c r="WF62"/>
      <c r="WG62"/>
      <c r="WH62"/>
      <c r="WI62"/>
      <c r="WJ62"/>
      <c r="WK62"/>
      <c r="WL62"/>
      <c r="WM62"/>
      <c r="WN62"/>
      <c r="WO62"/>
      <c r="WP62"/>
      <c r="WQ62"/>
      <c r="WR62"/>
      <c r="WS62"/>
      <c r="WT62"/>
      <c r="WU62"/>
      <c r="WV62"/>
      <c r="WW62"/>
      <c r="WX62"/>
      <c r="WY62"/>
      <c r="WZ62"/>
      <c r="XA62"/>
      <c r="XB62"/>
      <c r="XC62"/>
      <c r="XD62"/>
      <c r="XE62"/>
      <c r="XF62"/>
      <c r="XG62"/>
      <c r="XH62"/>
      <c r="XI62"/>
      <c r="XJ62"/>
      <c r="XK62"/>
      <c r="XL62"/>
      <c r="XM62"/>
      <c r="XN62"/>
      <c r="XO62"/>
      <c r="XP62"/>
      <c r="XQ62"/>
      <c r="XR62"/>
      <c r="XS62"/>
      <c r="XT62"/>
      <c r="XU62"/>
      <c r="XV62"/>
      <c r="XW62"/>
      <c r="XX62"/>
      <c r="XY62"/>
      <c r="XZ62"/>
      <c r="YA62"/>
      <c r="YB62"/>
      <c r="YC62"/>
      <c r="YD62"/>
      <c r="YE62"/>
      <c r="YF62"/>
      <c r="YG62"/>
      <c r="YH62"/>
      <c r="YI62"/>
      <c r="YJ62"/>
      <c r="YK62"/>
      <c r="YL62"/>
      <c r="YM62"/>
      <c r="YN62"/>
      <c r="YO62"/>
      <c r="YP62"/>
      <c r="YQ62"/>
      <c r="YR62"/>
      <c r="YS62"/>
      <c r="YT62"/>
      <c r="YU62"/>
      <c r="YV62"/>
      <c r="YW62"/>
      <c r="YX62"/>
      <c r="YY62"/>
      <c r="YZ62"/>
      <c r="ZA62"/>
      <c r="ZB62"/>
      <c r="ZC62"/>
      <c r="ZD62"/>
      <c r="ZE62"/>
      <c r="ZF62"/>
      <c r="ZG62"/>
      <c r="ZH62"/>
      <c r="ZI62"/>
      <c r="ZJ62"/>
      <c r="ZK62"/>
      <c r="ZL62"/>
      <c r="ZM62"/>
      <c r="ZN62"/>
      <c r="ZO62"/>
      <c r="ZP62"/>
      <c r="ZQ62"/>
      <c r="ZR62"/>
      <c r="ZS62"/>
      <c r="ZT62"/>
      <c r="ZU62"/>
      <c r="ZV62"/>
      <c r="ZW62"/>
      <c r="ZX62"/>
      <c r="ZY62"/>
      <c r="ZZ62"/>
      <c r="AAA62"/>
      <c r="AAB62"/>
      <c r="AAC62"/>
      <c r="AAD62"/>
      <c r="AAE62"/>
      <c r="AAF62"/>
      <c r="AAG62"/>
      <c r="AAH62"/>
      <c r="AAI62"/>
      <c r="AAJ62"/>
      <c r="AAK62"/>
      <c r="AAL62"/>
      <c r="AAM62"/>
      <c r="AAN62"/>
      <c r="AAO62"/>
      <c r="AAP62"/>
      <c r="AAQ62"/>
      <c r="AAR62"/>
      <c r="AAS62"/>
      <c r="AAT62"/>
      <c r="AAU62"/>
      <c r="AAV62"/>
      <c r="AAW62"/>
      <c r="AAX62"/>
      <c r="AAY62"/>
      <c r="AAZ62"/>
      <c r="ABA62"/>
      <c r="ABB62"/>
      <c r="ABC62"/>
      <c r="ABD62"/>
      <c r="ABE62"/>
      <c r="ABF62"/>
      <c r="ABG62"/>
      <c r="ABH62"/>
      <c r="ABI62"/>
      <c r="ABJ62"/>
      <c r="ABK62"/>
      <c r="ABL62"/>
      <c r="ABM62"/>
      <c r="ABN62"/>
      <c r="ABO62"/>
      <c r="ABP62"/>
      <c r="ABQ62"/>
      <c r="ABR62"/>
      <c r="ABS62"/>
      <c r="ABT62"/>
      <c r="ABU62"/>
      <c r="ABV62"/>
      <c r="ABW62"/>
      <c r="ABX62"/>
      <c r="ABY62"/>
      <c r="ABZ62"/>
      <c r="ACA62"/>
      <c r="ACB62"/>
      <c r="ACC62"/>
      <c r="ACD62"/>
      <c r="ACE62"/>
      <c r="ACF62"/>
      <c r="ACG62"/>
      <c r="ACH62"/>
      <c r="ACI62"/>
      <c r="ACJ62"/>
      <c r="ACK62"/>
      <c r="ACL62"/>
      <c r="ACM62"/>
      <c r="ACN62"/>
      <c r="ACO62"/>
      <c r="ACP62"/>
      <c r="ACQ62"/>
      <c r="ACR62"/>
      <c r="ACS62"/>
      <c r="ACT62"/>
      <c r="ACU62"/>
      <c r="ACV62"/>
      <c r="ACW62"/>
      <c r="ACX62"/>
      <c r="ACY62"/>
      <c r="ACZ62"/>
      <c r="ADA62"/>
      <c r="ADB62"/>
      <c r="ADC62"/>
      <c r="ADD62"/>
      <c r="ADE62"/>
      <c r="ADF62"/>
      <c r="ADG62"/>
      <c r="ADH62"/>
      <c r="ADI62"/>
      <c r="ADJ62"/>
      <c r="ADK62"/>
      <c r="ADL62"/>
      <c r="ADM62"/>
      <c r="ADN62"/>
      <c r="ADO62"/>
      <c r="ADP62"/>
      <c r="ADQ62"/>
      <c r="ADR62"/>
      <c r="ADS62"/>
      <c r="ADT62"/>
      <c r="ADU62"/>
      <c r="ADV62"/>
      <c r="ADW62"/>
      <c r="ADX62"/>
      <c r="ADY62"/>
      <c r="ADZ62"/>
      <c r="AEA62"/>
      <c r="AEB62"/>
      <c r="AEC62"/>
      <c r="AED62"/>
      <c r="AEE62"/>
      <c r="AEF62"/>
      <c r="AEG62"/>
      <c r="AEH62"/>
      <c r="AEI62"/>
      <c r="AEJ62"/>
      <c r="AEK62"/>
      <c r="AEL62"/>
      <c r="AEM62"/>
      <c r="AEN62"/>
      <c r="AEO62"/>
      <c r="AEP62"/>
      <c r="AEQ62"/>
      <c r="AER62"/>
      <c r="AES62"/>
      <c r="AET62"/>
      <c r="AEU62"/>
      <c r="AEV62"/>
      <c r="AEW62"/>
      <c r="AEX62"/>
      <c r="AEY62"/>
      <c r="AEZ62"/>
      <c r="AFA62"/>
      <c r="AFB62"/>
      <c r="AFC62"/>
      <c r="AFD62"/>
      <c r="AFE62"/>
      <c r="AFF62"/>
      <c r="AFG62"/>
      <c r="AFH62"/>
      <c r="AFI62"/>
      <c r="AFJ62"/>
      <c r="AFK62"/>
      <c r="AFL62"/>
      <c r="AFM62"/>
      <c r="AFN62"/>
      <c r="AFO62"/>
      <c r="AFP62"/>
      <c r="AFQ62"/>
      <c r="AFR62"/>
      <c r="AFS62"/>
      <c r="AFT62"/>
      <c r="AFU62"/>
      <c r="AFV62"/>
      <c r="AFW62"/>
      <c r="AFX62"/>
      <c r="AFY62"/>
      <c r="AFZ62"/>
      <c r="AGA62"/>
      <c r="AGB62"/>
      <c r="AGC62"/>
      <c r="AGD62"/>
      <c r="AGE62"/>
      <c r="AGF62"/>
      <c r="AGG62"/>
      <c r="AGH62"/>
      <c r="AGI62"/>
      <c r="AGJ62"/>
      <c r="AGK62"/>
      <c r="AGL62"/>
      <c r="AGM62"/>
      <c r="AGN62"/>
      <c r="AGO62"/>
      <c r="AGP62"/>
      <c r="AGQ62"/>
      <c r="AGR62"/>
      <c r="AGS62"/>
      <c r="AGT62"/>
      <c r="AGU62"/>
      <c r="AGV62"/>
      <c r="AGW62"/>
      <c r="AGX62"/>
      <c r="AGY62"/>
      <c r="AGZ62"/>
      <c r="AHA62"/>
      <c r="AHB62"/>
      <c r="AHC62"/>
      <c r="AHD62"/>
      <c r="AHE62"/>
      <c r="AHF62"/>
      <c r="AHG62"/>
      <c r="AHH62"/>
      <c r="AHI62"/>
      <c r="AHJ62"/>
      <c r="AHK62"/>
      <c r="AHL62"/>
      <c r="AHM62"/>
      <c r="AHN62"/>
      <c r="AHO62"/>
      <c r="AHP62"/>
      <c r="AHQ62"/>
      <c r="AHR62"/>
      <c r="AHS62"/>
      <c r="AHT62"/>
      <c r="AHU62"/>
      <c r="AHV62"/>
      <c r="AHW62"/>
      <c r="AHX62"/>
      <c r="AHY62"/>
      <c r="AHZ62"/>
      <c r="AIA62"/>
      <c r="AIB62"/>
      <c r="AIC62"/>
      <c r="AID62"/>
      <c r="AIE62"/>
      <c r="AIF62"/>
      <c r="AIG62"/>
      <c r="AIH62"/>
      <c r="AII62"/>
      <c r="AIJ62"/>
      <c r="AIK62"/>
      <c r="AIL62"/>
      <c r="AIM62"/>
      <c r="AIN62"/>
      <c r="AIO62"/>
      <c r="AIP62"/>
      <c r="AIQ62"/>
      <c r="AIR62"/>
      <c r="AIS62"/>
      <c r="AIT62"/>
      <c r="AIU62"/>
      <c r="AIV62"/>
      <c r="AIW62"/>
      <c r="AIX62"/>
      <c r="AIY62"/>
      <c r="AIZ62"/>
      <c r="AJA62"/>
      <c r="AJB62"/>
      <c r="AJC62"/>
      <c r="AJD62"/>
      <c r="AJE62"/>
      <c r="AJF62"/>
      <c r="AJG62"/>
      <c r="AJH62"/>
      <c r="AJI62"/>
      <c r="AJJ62"/>
      <c r="AJK62"/>
      <c r="AJL62"/>
      <c r="AJM62"/>
      <c r="AJN62"/>
      <c r="AJO62"/>
      <c r="AJP62"/>
      <c r="AJQ62"/>
      <c r="AJR62"/>
      <c r="AJS62"/>
      <c r="AJT62"/>
      <c r="AJU62"/>
      <c r="AJV62"/>
      <c r="AJW62"/>
      <c r="AJX62"/>
      <c r="AJY62"/>
      <c r="AJZ62"/>
      <c r="AKA62"/>
      <c r="AKB62"/>
      <c r="AKC62"/>
      <c r="AKD62"/>
      <c r="AKE62"/>
      <c r="AKF62"/>
      <c r="AKG62"/>
      <c r="AKH62"/>
      <c r="AKI62"/>
      <c r="AKJ62"/>
      <c r="AKK62"/>
      <c r="AKL62"/>
      <c r="AKM62"/>
      <c r="AKN62"/>
      <c r="AKO62"/>
      <c r="AKP62"/>
      <c r="AKQ62"/>
      <c r="AKR62"/>
      <c r="AKS62"/>
      <c r="AKT62"/>
      <c r="AKU62"/>
      <c r="AKV62"/>
      <c r="AKW62"/>
      <c r="AKX62"/>
      <c r="AKY62"/>
      <c r="AKZ62"/>
      <c r="ALA62"/>
      <c r="ALB62"/>
      <c r="ALC62"/>
      <c r="ALD62"/>
      <c r="ALE62"/>
      <c r="ALF62"/>
      <c r="ALG62"/>
      <c r="ALH62"/>
      <c r="ALI62"/>
      <c r="ALJ62"/>
      <c r="ALK62"/>
      <c r="ALL62"/>
      <c r="ALM62"/>
      <c r="ALN62"/>
      <c r="ALO62"/>
      <c r="ALP62"/>
      <c r="ALQ62"/>
      <c r="ALR62"/>
      <c r="ALS62"/>
      <c r="ALT62"/>
      <c r="ALU62"/>
      <c r="ALV62"/>
      <c r="ALW62"/>
      <c r="ALX62"/>
      <c r="ALY62"/>
      <c r="ALZ62"/>
      <c r="AMA62"/>
      <c r="AMB62"/>
      <c r="AMC62"/>
      <c r="AMD62"/>
      <c r="AME62"/>
      <c r="AMF62"/>
      <c r="AMG62"/>
      <c r="AMH62"/>
      <c r="AMI62"/>
      <c r="AMJ62"/>
      <c r="AMK62"/>
      <c r="AML62"/>
      <c r="AMM62"/>
      <c r="AMN62"/>
      <c r="AMO62"/>
      <c r="AMP62"/>
      <c r="AMQ62"/>
      <c r="AMR62"/>
      <c r="AMS62"/>
      <c r="AMT62"/>
      <c r="AMU62"/>
      <c r="AMV62"/>
      <c r="AMW62"/>
      <c r="AMX62"/>
      <c r="AMY62"/>
      <c r="AMZ62"/>
      <c r="ANA62"/>
      <c r="ANB62"/>
      <c r="ANC62"/>
      <c r="AND62"/>
      <c r="ANE62"/>
      <c r="ANF62"/>
      <c r="ANG62"/>
      <c r="ANH62"/>
      <c r="ANI62"/>
      <c r="ANJ62"/>
      <c r="ANK62"/>
      <c r="ANL62"/>
      <c r="ANM62"/>
      <c r="ANN62"/>
      <c r="ANO62"/>
    </row>
    <row r="63" spans="1:1055" x14ac:dyDescent="0.25">
      <c r="A63" s="60" t="s">
        <v>85</v>
      </c>
      <c r="B63" s="28"/>
      <c r="C63" s="28"/>
      <c r="D63" s="28"/>
      <c r="E63" s="61"/>
      <c r="F63" s="29">
        <v>0</v>
      </c>
    </row>
    <row r="64" spans="1:1055" ht="15.75" thickBot="1" x14ac:dyDescent="0.3">
      <c r="A64" s="64" t="s">
        <v>86</v>
      </c>
      <c r="B64" s="53">
        <v>0.06</v>
      </c>
      <c r="C64" s="53">
        <v>0.06</v>
      </c>
      <c r="D64" s="53">
        <v>0.06</v>
      </c>
      <c r="E64" s="65">
        <v>7.4999999999999997E-2</v>
      </c>
      <c r="F64" s="55">
        <v>0.1</v>
      </c>
    </row>
    <row r="65" spans="4:5" ht="15.75" thickBot="1" x14ac:dyDescent="0.3">
      <c r="E65" s="62"/>
    </row>
    <row r="66" spans="4:5" ht="14.45" hidden="1" customHeight="1" x14ac:dyDescent="0.25">
      <c r="D66" s="66"/>
      <c r="E66" s="62">
        <v>0</v>
      </c>
    </row>
    <row r="67" spans="4:5" ht="14.45" hidden="1" customHeight="1" x14ac:dyDescent="0.25">
      <c r="D67" s="66"/>
      <c r="E67" s="62">
        <v>0</v>
      </c>
    </row>
    <row r="68" spans="4:5" ht="14.45" hidden="1" customHeight="1" x14ac:dyDescent="0.25">
      <c r="D68" s="66"/>
      <c r="E68" s="62">
        <v>0</v>
      </c>
    </row>
    <row r="69" spans="4:5" ht="14.45" hidden="1" customHeight="1" x14ac:dyDescent="0.25">
      <c r="D69" s="66"/>
      <c r="E69" s="62">
        <v>0</v>
      </c>
    </row>
    <row r="70" spans="4:5" ht="14.45" hidden="1" customHeight="1" x14ac:dyDescent="0.25">
      <c r="D70" s="66"/>
      <c r="E70" s="62">
        <v>0</v>
      </c>
    </row>
    <row r="71" spans="4:5" ht="14.45" hidden="1" customHeight="1" x14ac:dyDescent="0.25">
      <c r="D71" s="66"/>
      <c r="E71" s="62">
        <v>0</v>
      </c>
    </row>
    <row r="72" spans="4:5" ht="14.45" hidden="1" customHeight="1" x14ac:dyDescent="0.25">
      <c r="D72" s="66"/>
      <c r="E72" s="62">
        <v>0</v>
      </c>
    </row>
    <row r="73" spans="4:5" ht="14.45" hidden="1" customHeight="1" x14ac:dyDescent="0.25">
      <c r="D73" s="66"/>
      <c r="E73" s="62">
        <v>0</v>
      </c>
    </row>
    <row r="74" spans="4:5" ht="14.45" hidden="1" customHeight="1" x14ac:dyDescent="0.25">
      <c r="D74" s="66"/>
      <c r="E74" s="62">
        <v>0</v>
      </c>
    </row>
    <row r="75" spans="4:5" ht="14.45" hidden="1" customHeight="1" x14ac:dyDescent="0.25">
      <c r="D75" s="66"/>
      <c r="E75" s="62">
        <v>0</v>
      </c>
    </row>
    <row r="76" spans="4:5" ht="14.45" hidden="1" customHeight="1" x14ac:dyDescent="0.25">
      <c r="D76" s="66"/>
      <c r="E76" s="62">
        <v>0</v>
      </c>
    </row>
    <row r="77" spans="4:5" ht="14.45" hidden="1" customHeight="1" x14ac:dyDescent="0.25">
      <c r="D77" s="66"/>
      <c r="E77" s="62">
        <v>0</v>
      </c>
    </row>
    <row r="78" spans="4:5" ht="14.45" hidden="1" customHeight="1" x14ac:dyDescent="0.25">
      <c r="D78" s="66"/>
      <c r="E78" s="62">
        <v>0</v>
      </c>
    </row>
    <row r="79" spans="4:5" ht="14.45" hidden="1" customHeight="1" x14ac:dyDescent="0.25">
      <c r="D79" s="66"/>
      <c r="E79" s="62">
        <v>0</v>
      </c>
    </row>
    <row r="80" spans="4:5" ht="14.45" hidden="1" customHeight="1" x14ac:dyDescent="0.25">
      <c r="D80" s="66"/>
      <c r="E80" s="62">
        <v>0</v>
      </c>
    </row>
    <row r="81" spans="4:5" ht="14.45" hidden="1" customHeight="1" x14ac:dyDescent="0.25">
      <c r="D81" s="66"/>
      <c r="E81" s="62">
        <v>0</v>
      </c>
    </row>
    <row r="82" spans="4:5" ht="14.45" hidden="1" customHeight="1" x14ac:dyDescent="0.25">
      <c r="D82" s="66"/>
      <c r="E82" s="62">
        <v>0</v>
      </c>
    </row>
    <row r="83" spans="4:5" ht="14.45" hidden="1" customHeight="1" x14ac:dyDescent="0.25">
      <c r="D83" s="66"/>
      <c r="E83" s="62">
        <v>0</v>
      </c>
    </row>
    <row r="84" spans="4:5" ht="14.45" hidden="1" customHeight="1" x14ac:dyDescent="0.25">
      <c r="D84" s="66"/>
      <c r="E84" s="62">
        <v>0</v>
      </c>
    </row>
    <row r="85" spans="4:5" ht="14.45" hidden="1" customHeight="1" x14ac:dyDescent="0.25">
      <c r="D85" s="66"/>
      <c r="E85" s="62">
        <v>0</v>
      </c>
    </row>
    <row r="86" spans="4:5" ht="14.45" hidden="1" customHeight="1" x14ac:dyDescent="0.25">
      <c r="D86" s="66"/>
      <c r="E86" s="62">
        <v>0</v>
      </c>
    </row>
    <row r="87" spans="4:5" ht="14.45" hidden="1" customHeight="1" x14ac:dyDescent="0.25">
      <c r="D87" s="66"/>
      <c r="E87" s="62">
        <v>0</v>
      </c>
    </row>
    <row r="88" spans="4:5" ht="14.45" hidden="1" customHeight="1" x14ac:dyDescent="0.25">
      <c r="D88" s="66"/>
      <c r="E88" s="62">
        <v>0</v>
      </c>
    </row>
    <row r="89" spans="4:5" ht="14.45" hidden="1" customHeight="1" x14ac:dyDescent="0.25">
      <c r="D89" s="66"/>
      <c r="E89" s="62">
        <v>0</v>
      </c>
    </row>
    <row r="90" spans="4:5" ht="14.45" hidden="1" customHeight="1" x14ac:dyDescent="0.25">
      <c r="D90" s="66"/>
      <c r="E90" s="62">
        <v>0</v>
      </c>
    </row>
    <row r="91" spans="4:5" ht="14.45" hidden="1" customHeight="1" x14ac:dyDescent="0.25">
      <c r="D91" s="66"/>
      <c r="E91" s="62">
        <v>0</v>
      </c>
    </row>
    <row r="92" spans="4:5" ht="14.45" hidden="1" customHeight="1" x14ac:dyDescent="0.25">
      <c r="D92" s="66"/>
      <c r="E92" s="62">
        <v>0</v>
      </c>
    </row>
    <row r="93" spans="4:5" ht="14.45" hidden="1" customHeight="1" x14ac:dyDescent="0.25">
      <c r="D93" s="66"/>
      <c r="E93" s="62">
        <v>0</v>
      </c>
    </row>
    <row r="94" spans="4:5" ht="14.45" hidden="1" customHeight="1" x14ac:dyDescent="0.25">
      <c r="D94" s="66"/>
      <c r="E94" s="62">
        <v>0</v>
      </c>
    </row>
    <row r="95" spans="4:5" ht="14.45" hidden="1" customHeight="1" x14ac:dyDescent="0.25">
      <c r="D95" s="66"/>
      <c r="E95" s="62">
        <v>0</v>
      </c>
    </row>
    <row r="96" spans="4:5" ht="14.45" hidden="1" customHeight="1" x14ac:dyDescent="0.25">
      <c r="D96" s="66"/>
      <c r="E96" s="62">
        <v>0</v>
      </c>
    </row>
    <row r="97" spans="1:14" ht="14.45" hidden="1" customHeight="1" x14ac:dyDescent="0.25">
      <c r="E97" s="62">
        <v>0</v>
      </c>
    </row>
    <row r="98" spans="1:14" ht="15.75" thickBot="1" x14ac:dyDescent="0.3">
      <c r="A98" s="67" t="s">
        <v>87</v>
      </c>
      <c r="B98" s="68" t="str">
        <f>+D98</f>
        <v>kg/installed MW</v>
      </c>
      <c r="C98" s="69" t="str">
        <f>+B98</f>
        <v>kg/installed MW</v>
      </c>
      <c r="D98" s="70" t="str">
        <f>+E98</f>
        <v>kg/installed MW</v>
      </c>
      <c r="E98" s="71" t="s">
        <v>88</v>
      </c>
      <c r="M98" s="72"/>
      <c r="N98" s="73"/>
    </row>
    <row r="99" spans="1:14" x14ac:dyDescent="0.25">
      <c r="A99" s="47" t="s">
        <v>27</v>
      </c>
      <c r="B99" s="74">
        <v>0</v>
      </c>
      <c r="C99" s="61">
        <v>0</v>
      </c>
      <c r="D99" s="61">
        <v>0</v>
      </c>
      <c r="E99" s="75">
        <v>0</v>
      </c>
      <c r="M99" s="72"/>
      <c r="N99" s="73"/>
    </row>
    <row r="100" spans="1:14" x14ac:dyDescent="0.25">
      <c r="A100" s="47" t="s">
        <v>28</v>
      </c>
      <c r="B100" s="76">
        <v>10.8</v>
      </c>
      <c r="C100" s="77">
        <v>10.8</v>
      </c>
      <c r="D100" s="77">
        <v>0</v>
      </c>
      <c r="E100" s="37">
        <v>0.78</v>
      </c>
      <c r="M100" s="72"/>
      <c r="N100" s="73"/>
    </row>
    <row r="101" spans="1:14" x14ac:dyDescent="0.25">
      <c r="A101" s="47" t="s">
        <v>29</v>
      </c>
      <c r="B101" s="76">
        <v>0</v>
      </c>
      <c r="C101" s="77">
        <v>0</v>
      </c>
      <c r="D101" s="77">
        <v>0</v>
      </c>
      <c r="E101" s="37">
        <v>0</v>
      </c>
      <c r="M101" s="72"/>
      <c r="N101" s="73"/>
    </row>
    <row r="102" spans="1:14" x14ac:dyDescent="0.25">
      <c r="A102" s="47" t="s">
        <v>30</v>
      </c>
      <c r="B102" s="76">
        <v>0</v>
      </c>
      <c r="C102" s="77">
        <v>0</v>
      </c>
      <c r="D102" s="77">
        <v>0</v>
      </c>
      <c r="E102" s="37">
        <v>0</v>
      </c>
      <c r="M102" s="72"/>
      <c r="N102" s="73"/>
    </row>
    <row r="103" spans="1:14" x14ac:dyDescent="0.25">
      <c r="A103" s="47" t="s">
        <v>31</v>
      </c>
      <c r="B103" s="76">
        <v>29.8</v>
      </c>
      <c r="C103" s="77">
        <v>59.6</v>
      </c>
      <c r="D103" s="77">
        <v>0</v>
      </c>
      <c r="E103" s="37">
        <v>0</v>
      </c>
      <c r="M103" s="72"/>
      <c r="N103" s="73"/>
    </row>
    <row r="104" spans="1:14" x14ac:dyDescent="0.25">
      <c r="A104" s="47" t="s">
        <v>32</v>
      </c>
      <c r="B104" s="76">
        <v>0</v>
      </c>
      <c r="C104" s="77">
        <v>0</v>
      </c>
      <c r="D104" s="77">
        <v>0</v>
      </c>
      <c r="E104" s="37">
        <v>0</v>
      </c>
      <c r="M104" s="72"/>
      <c r="N104" s="73"/>
    </row>
    <row r="105" spans="1:14" x14ac:dyDescent="0.25">
      <c r="A105" s="47" t="s">
        <v>33</v>
      </c>
      <c r="B105" s="76">
        <v>0</v>
      </c>
      <c r="C105" s="77">
        <v>0</v>
      </c>
      <c r="D105" s="77">
        <v>0</v>
      </c>
      <c r="E105" s="37">
        <v>0</v>
      </c>
      <c r="M105" s="72"/>
      <c r="N105" s="73"/>
    </row>
    <row r="106" spans="1:14" x14ac:dyDescent="0.25">
      <c r="A106" s="47" t="s">
        <v>34</v>
      </c>
      <c r="B106" s="76">
        <v>5.8</v>
      </c>
      <c r="C106" s="77">
        <v>5.8</v>
      </c>
      <c r="D106" s="77">
        <v>0</v>
      </c>
      <c r="E106" s="37">
        <v>0</v>
      </c>
      <c r="M106" s="72"/>
      <c r="N106" s="73"/>
    </row>
    <row r="107" spans="1:14" x14ac:dyDescent="0.25">
      <c r="A107" s="34" t="s">
        <v>35</v>
      </c>
      <c r="B107" s="76">
        <v>65</v>
      </c>
      <c r="C107" s="77">
        <v>356</v>
      </c>
      <c r="D107" s="77">
        <v>1294</v>
      </c>
      <c r="E107" s="37">
        <v>3450</v>
      </c>
      <c r="M107" s="72"/>
      <c r="N107" s="73"/>
    </row>
    <row r="108" spans="1:14" x14ac:dyDescent="0.25">
      <c r="A108" s="34" t="s">
        <v>36</v>
      </c>
      <c r="B108" s="76">
        <v>0</v>
      </c>
      <c r="C108" s="77">
        <v>0</v>
      </c>
      <c r="D108" s="77">
        <v>0</v>
      </c>
      <c r="E108" s="37">
        <v>0</v>
      </c>
      <c r="M108" s="72"/>
      <c r="N108" s="73"/>
    </row>
    <row r="109" spans="1:14" x14ac:dyDescent="0.25">
      <c r="A109" s="34" t="s">
        <v>37</v>
      </c>
      <c r="B109" s="76">
        <v>0</v>
      </c>
      <c r="C109" s="77">
        <v>0</v>
      </c>
      <c r="D109" s="77">
        <v>0</v>
      </c>
      <c r="E109" s="37">
        <v>0</v>
      </c>
      <c r="M109" s="72"/>
      <c r="N109" s="73"/>
    </row>
    <row r="110" spans="1:14" x14ac:dyDescent="0.25">
      <c r="A110" s="34" t="s">
        <v>38</v>
      </c>
      <c r="B110" s="76">
        <v>0</v>
      </c>
      <c r="C110" s="77">
        <v>0</v>
      </c>
      <c r="D110" s="77">
        <v>0</v>
      </c>
      <c r="E110" s="37">
        <v>0</v>
      </c>
      <c r="M110" s="72"/>
      <c r="N110" s="73"/>
    </row>
    <row r="111" spans="1:14" x14ac:dyDescent="0.25">
      <c r="A111" s="47" t="s">
        <v>39</v>
      </c>
      <c r="B111" s="76">
        <v>122</v>
      </c>
      <c r="C111" s="77">
        <v>122</v>
      </c>
      <c r="D111" s="77">
        <v>0</v>
      </c>
      <c r="E111" s="37">
        <v>0</v>
      </c>
      <c r="M111" s="72"/>
      <c r="N111" s="73"/>
    </row>
    <row r="112" spans="1:14" x14ac:dyDescent="0.25">
      <c r="A112" s="47" t="s">
        <v>40</v>
      </c>
      <c r="B112" s="76">
        <v>0</v>
      </c>
      <c r="C112" s="77">
        <v>0</v>
      </c>
      <c r="D112" s="77">
        <v>0</v>
      </c>
      <c r="E112" s="37">
        <v>0</v>
      </c>
      <c r="M112" s="72"/>
      <c r="N112" s="73"/>
    </row>
    <row r="113" spans="1:14" x14ac:dyDescent="0.25">
      <c r="A113" s="47" t="s">
        <v>89</v>
      </c>
      <c r="B113" s="76">
        <v>0</v>
      </c>
      <c r="C113" s="77">
        <v>0</v>
      </c>
      <c r="D113" s="77">
        <v>0</v>
      </c>
      <c r="E113" s="37">
        <v>0</v>
      </c>
      <c r="M113" s="72"/>
      <c r="N113" s="73"/>
    </row>
    <row r="114" spans="1:14" x14ac:dyDescent="0.25">
      <c r="A114" s="47" t="s">
        <v>42</v>
      </c>
      <c r="B114" s="76">
        <v>0</v>
      </c>
      <c r="C114" s="77">
        <v>0</v>
      </c>
      <c r="D114" s="77">
        <v>0</v>
      </c>
      <c r="E114" s="37">
        <v>140</v>
      </c>
      <c r="M114" s="72"/>
      <c r="N114" s="73"/>
    </row>
    <row r="115" spans="1:14" x14ac:dyDescent="0.25">
      <c r="A115" s="47" t="s">
        <v>43</v>
      </c>
      <c r="B115" s="76">
        <v>19</v>
      </c>
      <c r="C115" s="77">
        <v>19</v>
      </c>
      <c r="D115" s="77">
        <v>0</v>
      </c>
      <c r="E115" s="37">
        <v>0</v>
      </c>
      <c r="M115" s="72"/>
      <c r="N115" s="73"/>
    </row>
    <row r="116" spans="1:14" x14ac:dyDescent="0.25">
      <c r="A116" s="47" t="s">
        <v>44</v>
      </c>
      <c r="B116" s="76">
        <v>0</v>
      </c>
      <c r="C116" s="77">
        <v>0</v>
      </c>
      <c r="D116" s="77">
        <v>0</v>
      </c>
      <c r="E116" s="37">
        <v>0</v>
      </c>
      <c r="M116" s="72"/>
      <c r="N116" s="73"/>
    </row>
    <row r="117" spans="1:14" x14ac:dyDescent="0.25">
      <c r="A117" s="47" t="s">
        <v>45</v>
      </c>
      <c r="B117" s="76">
        <v>0</v>
      </c>
      <c r="C117" s="77">
        <v>0</v>
      </c>
      <c r="D117" s="77">
        <v>0</v>
      </c>
      <c r="E117" s="37">
        <v>0</v>
      </c>
      <c r="M117" s="72"/>
      <c r="N117" s="73"/>
    </row>
    <row r="118" spans="1:14" x14ac:dyDescent="0.25">
      <c r="A118" s="47" t="s">
        <v>46</v>
      </c>
      <c r="B118" s="76">
        <v>0</v>
      </c>
      <c r="C118" s="77">
        <v>0</v>
      </c>
      <c r="D118" s="77">
        <v>0</v>
      </c>
      <c r="E118" s="37">
        <v>0</v>
      </c>
      <c r="M118" s="72"/>
      <c r="N118" s="73"/>
    </row>
    <row r="119" spans="1:14" x14ac:dyDescent="0.25">
      <c r="A119" s="47" t="s">
        <v>47</v>
      </c>
      <c r="B119" s="76">
        <v>0</v>
      </c>
      <c r="C119" s="77">
        <v>0</v>
      </c>
      <c r="D119" s="77">
        <v>0</v>
      </c>
      <c r="E119" s="37">
        <v>0</v>
      </c>
      <c r="M119" s="72"/>
      <c r="N119" s="73"/>
    </row>
    <row r="120" spans="1:14" x14ac:dyDescent="0.25">
      <c r="A120" s="47" t="s">
        <v>48</v>
      </c>
      <c r="B120" s="76">
        <v>0</v>
      </c>
      <c r="C120" s="77">
        <v>0</v>
      </c>
      <c r="D120" s="77">
        <v>0</v>
      </c>
      <c r="E120" s="37">
        <v>0</v>
      </c>
      <c r="M120" s="72"/>
      <c r="N120" s="73"/>
    </row>
    <row r="121" spans="1:14" x14ac:dyDescent="0.25">
      <c r="A121" s="47" t="s">
        <v>49</v>
      </c>
      <c r="B121" s="76">
        <v>0</v>
      </c>
      <c r="C121" s="77">
        <v>0</v>
      </c>
      <c r="D121" s="77">
        <v>0</v>
      </c>
      <c r="E121" s="37">
        <v>11</v>
      </c>
      <c r="M121" s="72"/>
      <c r="N121" s="73"/>
    </row>
    <row r="122" spans="1:14" x14ac:dyDescent="0.25">
      <c r="A122" s="47" t="s">
        <v>50</v>
      </c>
      <c r="B122" s="76">
        <v>0</v>
      </c>
      <c r="C122" s="77">
        <v>0</v>
      </c>
      <c r="D122" s="77">
        <v>0</v>
      </c>
      <c r="E122" s="37">
        <v>0</v>
      </c>
      <c r="M122" s="72"/>
      <c r="N122" s="73"/>
    </row>
    <row r="123" spans="1:14" x14ac:dyDescent="0.25">
      <c r="A123" s="47" t="s">
        <v>51</v>
      </c>
      <c r="B123" s="76">
        <v>0</v>
      </c>
      <c r="C123" s="77">
        <v>0</v>
      </c>
      <c r="D123" s="77">
        <v>0</v>
      </c>
      <c r="E123" s="37">
        <v>0</v>
      </c>
      <c r="M123" s="72"/>
      <c r="N123" s="73"/>
    </row>
    <row r="124" spans="1:14" x14ac:dyDescent="0.25">
      <c r="A124" s="47" t="s">
        <v>52</v>
      </c>
      <c r="B124" s="76">
        <v>25.6</v>
      </c>
      <c r="C124" s="77">
        <v>25.6</v>
      </c>
      <c r="D124" s="77">
        <v>0</v>
      </c>
      <c r="E124" s="37">
        <v>0</v>
      </c>
      <c r="M124" s="72"/>
      <c r="N124" s="73"/>
    </row>
    <row r="125" spans="1:14" x14ac:dyDescent="0.25">
      <c r="A125" s="47" t="s">
        <v>53</v>
      </c>
      <c r="B125" s="76">
        <v>0</v>
      </c>
      <c r="C125" s="77">
        <v>0</v>
      </c>
      <c r="D125" s="77">
        <v>0</v>
      </c>
      <c r="E125" s="37">
        <v>3.2</v>
      </c>
      <c r="M125" s="72"/>
      <c r="N125" s="73"/>
    </row>
    <row r="126" spans="1:14" x14ac:dyDescent="0.25">
      <c r="A126" s="47" t="s">
        <v>54</v>
      </c>
      <c r="B126" s="76">
        <v>0</v>
      </c>
      <c r="C126" s="77">
        <v>0</v>
      </c>
      <c r="D126" s="77">
        <v>0</v>
      </c>
      <c r="E126" s="37">
        <v>0</v>
      </c>
      <c r="M126" s="72"/>
      <c r="N126" s="73"/>
    </row>
    <row r="127" spans="1:14" x14ac:dyDescent="0.25">
      <c r="A127" s="47" t="s">
        <v>55</v>
      </c>
      <c r="B127" s="76">
        <v>0</v>
      </c>
      <c r="C127" s="77">
        <v>0</v>
      </c>
      <c r="D127" s="77">
        <v>0</v>
      </c>
      <c r="E127" s="37">
        <v>0</v>
      </c>
      <c r="M127" s="72"/>
      <c r="N127" s="73"/>
    </row>
    <row r="128" spans="1:14" x14ac:dyDescent="0.25">
      <c r="A128" s="47" t="s">
        <v>56</v>
      </c>
      <c r="B128" s="76">
        <v>0</v>
      </c>
      <c r="C128" s="77">
        <v>0</v>
      </c>
      <c r="D128" s="77">
        <v>0</v>
      </c>
      <c r="E128" s="37">
        <v>0</v>
      </c>
      <c r="M128" s="72"/>
      <c r="N128" s="73"/>
    </row>
    <row r="129" spans="1:14" x14ac:dyDescent="0.25">
      <c r="A129" s="47" t="s">
        <v>57</v>
      </c>
      <c r="B129" s="76">
        <v>0</v>
      </c>
      <c r="C129" s="77">
        <v>0</v>
      </c>
      <c r="D129" s="77">
        <v>0</v>
      </c>
      <c r="E129" s="37">
        <v>0</v>
      </c>
      <c r="M129" s="72"/>
      <c r="N129" s="73"/>
    </row>
    <row r="130" spans="1:14" x14ac:dyDescent="0.25">
      <c r="A130" s="47" t="s">
        <v>58</v>
      </c>
      <c r="B130" s="76">
        <v>0</v>
      </c>
      <c r="C130" s="77">
        <v>0</v>
      </c>
      <c r="D130" s="77">
        <v>0</v>
      </c>
      <c r="E130" s="37">
        <v>0</v>
      </c>
      <c r="M130" s="72"/>
      <c r="N130" s="73"/>
    </row>
    <row r="131" spans="1:14" x14ac:dyDescent="0.25">
      <c r="A131" s="47" t="s">
        <v>59</v>
      </c>
      <c r="B131" s="76">
        <v>0</v>
      </c>
      <c r="C131" s="77">
        <v>0</v>
      </c>
      <c r="D131" s="77">
        <v>0</v>
      </c>
      <c r="E131" s="37">
        <v>0</v>
      </c>
      <c r="M131" s="72"/>
      <c r="N131" s="73"/>
    </row>
    <row r="132" spans="1:14" x14ac:dyDescent="0.25">
      <c r="A132" s="47" t="s">
        <v>60</v>
      </c>
      <c r="B132" s="76">
        <v>0</v>
      </c>
      <c r="C132" s="77">
        <v>0</v>
      </c>
      <c r="D132" s="77">
        <v>0</v>
      </c>
      <c r="E132" s="37">
        <v>0</v>
      </c>
      <c r="M132" s="72"/>
      <c r="N132" s="73"/>
    </row>
    <row r="133" spans="1:14" x14ac:dyDescent="0.25">
      <c r="A133" s="47" t="s">
        <v>61</v>
      </c>
      <c r="B133" s="76">
        <v>0</v>
      </c>
      <c r="C133" s="77">
        <v>0</v>
      </c>
      <c r="D133" s="77">
        <v>0</v>
      </c>
      <c r="E133" s="37">
        <v>0</v>
      </c>
      <c r="M133" s="72"/>
      <c r="N133" s="73"/>
    </row>
    <row r="134" spans="1:14" x14ac:dyDescent="0.25">
      <c r="A134" s="47" t="s">
        <v>62</v>
      </c>
      <c r="B134" s="76">
        <v>0</v>
      </c>
      <c r="C134" s="77">
        <v>0</v>
      </c>
      <c r="D134" s="77">
        <v>0</v>
      </c>
      <c r="E134" s="37">
        <v>0</v>
      </c>
      <c r="M134" s="72"/>
      <c r="N134" s="73"/>
    </row>
    <row r="135" spans="1:14" x14ac:dyDescent="0.25">
      <c r="A135" s="47" t="s">
        <v>63</v>
      </c>
      <c r="B135" s="76">
        <v>0</v>
      </c>
      <c r="C135" s="77">
        <v>0</v>
      </c>
      <c r="D135" s="77">
        <v>0</v>
      </c>
      <c r="E135" s="37">
        <v>0</v>
      </c>
      <c r="M135" s="72"/>
      <c r="N135" s="73"/>
    </row>
    <row r="136" spans="1:14" x14ac:dyDescent="0.25">
      <c r="A136" s="47" t="s">
        <v>64</v>
      </c>
      <c r="B136" s="76">
        <v>0</v>
      </c>
      <c r="C136" s="77">
        <v>0</v>
      </c>
      <c r="D136" s="77">
        <v>0</v>
      </c>
      <c r="E136" s="37">
        <v>0</v>
      </c>
      <c r="M136" s="72"/>
      <c r="N136" s="73"/>
    </row>
    <row r="137" spans="1:14" x14ac:dyDescent="0.25">
      <c r="A137" s="47" t="s">
        <v>65</v>
      </c>
      <c r="B137" s="76">
        <v>0</v>
      </c>
      <c r="C137" s="77">
        <v>0</v>
      </c>
      <c r="D137" s="77">
        <v>0</v>
      </c>
      <c r="E137" s="37">
        <v>0</v>
      </c>
      <c r="M137" s="72"/>
      <c r="N137" s="73"/>
    </row>
    <row r="138" spans="1:14" x14ac:dyDescent="0.25">
      <c r="A138" s="47" t="s">
        <v>66</v>
      </c>
      <c r="B138" s="76">
        <v>9.1999999999999993</v>
      </c>
      <c r="C138" s="77">
        <v>9.1999999999999993</v>
      </c>
      <c r="D138" s="77">
        <v>0</v>
      </c>
      <c r="E138" s="37">
        <v>0</v>
      </c>
      <c r="M138" s="72"/>
      <c r="N138" s="73"/>
    </row>
    <row r="139" spans="1:14" x14ac:dyDescent="0.25">
      <c r="A139" s="47" t="s">
        <v>67</v>
      </c>
      <c r="B139" s="76">
        <v>0</v>
      </c>
      <c r="C139" s="77">
        <v>0</v>
      </c>
      <c r="D139" s="77">
        <v>0</v>
      </c>
      <c r="E139" s="37">
        <v>0</v>
      </c>
      <c r="M139" s="72"/>
      <c r="N139" s="73"/>
    </row>
    <row r="140" spans="1:14" x14ac:dyDescent="0.25">
      <c r="A140" s="47" t="s">
        <v>68</v>
      </c>
      <c r="B140" s="76">
        <v>0</v>
      </c>
      <c r="C140" s="77">
        <v>0</v>
      </c>
      <c r="D140" s="77">
        <v>0</v>
      </c>
      <c r="E140" s="37">
        <v>0</v>
      </c>
      <c r="M140" s="72"/>
      <c r="N140" s="73"/>
    </row>
    <row r="141" spans="1:14" x14ac:dyDescent="0.25">
      <c r="A141" s="47" t="s">
        <v>69</v>
      </c>
      <c r="B141" s="76">
        <v>0</v>
      </c>
      <c r="C141" s="77">
        <v>0</v>
      </c>
      <c r="D141" s="77">
        <v>0</v>
      </c>
      <c r="E141" s="37">
        <v>0</v>
      </c>
      <c r="M141" s="72"/>
      <c r="N141" s="73"/>
    </row>
    <row r="142" spans="1:14" x14ac:dyDescent="0.25">
      <c r="A142" s="47" t="s">
        <v>70</v>
      </c>
      <c r="B142" s="76">
        <v>0</v>
      </c>
      <c r="C142" s="77">
        <v>0</v>
      </c>
      <c r="D142" s="77">
        <v>0</v>
      </c>
      <c r="E142" s="37">
        <v>0</v>
      </c>
      <c r="M142" s="78"/>
      <c r="N142" s="73"/>
    </row>
    <row r="143" spans="1:14" x14ac:dyDescent="0.25">
      <c r="A143" s="34" t="s">
        <v>71</v>
      </c>
      <c r="B143" s="76">
        <v>0</v>
      </c>
      <c r="C143" s="77">
        <v>0</v>
      </c>
      <c r="D143" s="77">
        <v>0</v>
      </c>
      <c r="E143" s="37">
        <v>98</v>
      </c>
      <c r="M143" s="72"/>
      <c r="N143" s="73"/>
    </row>
    <row r="144" spans="1:14" x14ac:dyDescent="0.25">
      <c r="A144" s="34" t="s">
        <v>90</v>
      </c>
      <c r="B144" s="76">
        <v>0</v>
      </c>
      <c r="C144" s="77">
        <v>0</v>
      </c>
      <c r="D144" s="77">
        <v>2.56</v>
      </c>
      <c r="E144" s="37">
        <v>0</v>
      </c>
      <c r="M144" s="72"/>
      <c r="N144" s="73"/>
    </row>
    <row r="145" spans="1:14" x14ac:dyDescent="0.25">
      <c r="A145" s="47" t="s">
        <v>73</v>
      </c>
      <c r="B145" s="76">
        <v>0</v>
      </c>
      <c r="C145" s="77">
        <v>0</v>
      </c>
      <c r="D145" s="77">
        <v>0.04</v>
      </c>
      <c r="E145" s="37">
        <v>1.4E-2</v>
      </c>
      <c r="M145" s="72"/>
      <c r="N145" s="73"/>
    </row>
    <row r="146" spans="1:14" x14ac:dyDescent="0.25">
      <c r="A146" s="47" t="s">
        <v>74</v>
      </c>
      <c r="B146" s="76">
        <v>0</v>
      </c>
      <c r="C146" s="77">
        <v>0</v>
      </c>
      <c r="D146" s="77">
        <v>0</v>
      </c>
      <c r="E146" s="37">
        <v>0</v>
      </c>
      <c r="M146" s="72"/>
      <c r="N146" s="73"/>
    </row>
    <row r="147" spans="1:14" x14ac:dyDescent="0.25">
      <c r="A147" s="47" t="s">
        <v>75</v>
      </c>
      <c r="B147" s="76">
        <v>0</v>
      </c>
      <c r="C147" s="77">
        <v>0</v>
      </c>
      <c r="D147" s="77">
        <v>0</v>
      </c>
      <c r="E147" s="37">
        <v>0</v>
      </c>
      <c r="M147" s="72"/>
      <c r="N147" s="73"/>
    </row>
    <row r="148" spans="1:14" x14ac:dyDescent="0.25">
      <c r="A148" s="47" t="s">
        <v>76</v>
      </c>
      <c r="B148" s="76">
        <v>0</v>
      </c>
      <c r="C148" s="77">
        <v>0</v>
      </c>
      <c r="D148" s="77">
        <v>0</v>
      </c>
      <c r="E148" s="37">
        <v>0</v>
      </c>
      <c r="M148" s="72"/>
      <c r="N148" s="73"/>
    </row>
    <row r="149" spans="1:14" x14ac:dyDescent="0.25">
      <c r="A149" s="47" t="s">
        <v>77</v>
      </c>
      <c r="B149" s="76">
        <v>0</v>
      </c>
      <c r="C149" s="77">
        <v>0</v>
      </c>
      <c r="D149" s="77">
        <v>0</v>
      </c>
      <c r="E149" s="37">
        <v>0</v>
      </c>
      <c r="M149" s="72"/>
      <c r="N149" s="73"/>
    </row>
    <row r="150" spans="1:14" x14ac:dyDescent="0.25">
      <c r="A150" s="34" t="s">
        <v>91</v>
      </c>
      <c r="B150" s="76">
        <v>0</v>
      </c>
      <c r="C150" s="77">
        <v>0</v>
      </c>
      <c r="D150" s="77">
        <v>0</v>
      </c>
      <c r="E150" s="37">
        <v>2000</v>
      </c>
      <c r="M150" s="72"/>
      <c r="N150" s="73"/>
    </row>
    <row r="151" spans="1:14" x14ac:dyDescent="0.25">
      <c r="A151" s="34" t="s">
        <v>79</v>
      </c>
      <c r="B151" s="76">
        <v>0</v>
      </c>
      <c r="C151" s="77">
        <v>0</v>
      </c>
      <c r="D151" s="77">
        <v>0</v>
      </c>
      <c r="E151" s="37">
        <v>0</v>
      </c>
      <c r="M151" s="72"/>
      <c r="N151" s="73"/>
    </row>
    <row r="152" spans="1:14" x14ac:dyDescent="0.25">
      <c r="A152" s="34" t="s">
        <v>80</v>
      </c>
      <c r="B152" s="76">
        <v>0</v>
      </c>
      <c r="C152" s="77">
        <v>0</v>
      </c>
      <c r="D152" s="77">
        <v>0</v>
      </c>
      <c r="E152" s="37">
        <v>0</v>
      </c>
      <c r="M152" s="72"/>
      <c r="N152" s="73"/>
    </row>
    <row r="153" spans="1:14" x14ac:dyDescent="0.25">
      <c r="A153" s="34" t="s">
        <v>81</v>
      </c>
      <c r="B153" s="76">
        <v>0</v>
      </c>
      <c r="C153" s="77">
        <v>0</v>
      </c>
      <c r="D153" s="77">
        <v>0</v>
      </c>
      <c r="E153" s="37">
        <v>0</v>
      </c>
      <c r="M153" s="72"/>
      <c r="N153" s="73"/>
    </row>
    <row r="154" spans="1:14" x14ac:dyDescent="0.25">
      <c r="A154" s="34" t="s">
        <v>82</v>
      </c>
      <c r="B154" s="76">
        <v>0</v>
      </c>
      <c r="C154" s="77">
        <v>0</v>
      </c>
      <c r="D154" s="77">
        <v>0</v>
      </c>
      <c r="E154" s="37">
        <v>0</v>
      </c>
      <c r="M154" s="72"/>
      <c r="N154" s="73"/>
    </row>
    <row r="155" spans="1:14" x14ac:dyDescent="0.25">
      <c r="A155" s="34" t="s">
        <v>83</v>
      </c>
      <c r="B155" s="76">
        <v>0</v>
      </c>
      <c r="C155" s="77">
        <v>0</v>
      </c>
      <c r="D155" s="77">
        <v>0</v>
      </c>
      <c r="E155" s="37">
        <v>0</v>
      </c>
      <c r="M155" s="72"/>
      <c r="N155" s="73"/>
    </row>
    <row r="156" spans="1:14" ht="15.75" thickBot="1" x14ac:dyDescent="0.3">
      <c r="A156" s="79" t="s">
        <v>84</v>
      </c>
      <c r="B156" s="80">
        <v>0</v>
      </c>
      <c r="C156" s="81">
        <v>0</v>
      </c>
      <c r="D156" s="81">
        <v>0</v>
      </c>
      <c r="E156" s="82">
        <v>0</v>
      </c>
      <c r="M156" s="72"/>
      <c r="N156" s="73"/>
    </row>
    <row r="157" spans="1:14" x14ac:dyDescent="0.25">
      <c r="A157" s="83" t="s">
        <v>92</v>
      </c>
      <c r="B157" s="74">
        <v>0</v>
      </c>
      <c r="C157" s="61">
        <v>0</v>
      </c>
      <c r="D157" s="61">
        <v>0</v>
      </c>
      <c r="E157" s="84">
        <v>12000000</v>
      </c>
      <c r="M157" s="85">
        <v>2.5000000000000001E-3</v>
      </c>
      <c r="N157" s="73"/>
    </row>
    <row r="158" spans="1:14" ht="15.75" thickBot="1" x14ac:dyDescent="0.3">
      <c r="A158" s="86" t="s">
        <v>93</v>
      </c>
      <c r="B158" s="87">
        <v>0</v>
      </c>
      <c r="C158" s="65">
        <v>0</v>
      </c>
      <c r="D158" s="65">
        <v>20000</v>
      </c>
      <c r="E158" s="54">
        <v>500000</v>
      </c>
      <c r="M158" s="88">
        <v>2.5000000000000001E-2</v>
      </c>
      <c r="N158" s="73"/>
    </row>
    <row r="159" spans="1:14" x14ac:dyDescent="0.25">
      <c r="A159" s="89"/>
      <c r="E159" s="62"/>
      <c r="N159" s="90"/>
    </row>
    <row r="160" spans="1:14" x14ac:dyDescent="0.25">
      <c r="A160" s="91" t="s">
        <v>94</v>
      </c>
      <c r="B160" s="92">
        <v>0.02</v>
      </c>
      <c r="C160" s="92">
        <v>0.02</v>
      </c>
      <c r="D160" s="93">
        <v>5.0000000000000001E-3</v>
      </c>
      <c r="E160" s="92">
        <v>0.1</v>
      </c>
    </row>
    <row r="161" spans="1:10" x14ac:dyDescent="0.25">
      <c r="A161" s="91" t="s">
        <v>95</v>
      </c>
      <c r="B161" s="92">
        <f>D161</f>
        <v>0.1</v>
      </c>
      <c r="C161" s="92">
        <f>B161</f>
        <v>0.1</v>
      </c>
      <c r="D161" s="92">
        <f>E161</f>
        <v>0.1</v>
      </c>
      <c r="E161" s="92">
        <v>0.1</v>
      </c>
      <c r="F161" s="92">
        <v>0.1</v>
      </c>
      <c r="G161" s="95"/>
      <c r="H161" s="95"/>
      <c r="I161" s="95"/>
      <c r="J161" s="95"/>
    </row>
    <row r="162" spans="1:10" x14ac:dyDescent="0.25">
      <c r="A162" s="94"/>
    </row>
    <row r="164" spans="1:10" x14ac:dyDescent="0.25">
      <c r="A164" s="63"/>
    </row>
  </sheetData>
  <mergeCells count="1">
    <mergeCell ref="B1:L1"/>
  </mergeCells>
  <pageMargins left="0.7" right="0.7" top="0.75" bottom="0.75" header="0.51180555555555496" footer="0.51180555555555496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21</vt:i4>
      </vt:variant>
    </vt:vector>
  </HeadingPairs>
  <TitlesOfParts>
    <vt:vector size="22" baseType="lpstr">
      <vt:lpstr>Global</vt:lpstr>
      <vt:lpstr>Global!a_extraction_projection_minerals</vt:lpstr>
      <vt:lpstr>Global!current_mineral_reserves_mt</vt:lpstr>
      <vt:lpstr>Global!current_mineral_resources_mt</vt:lpstr>
      <vt:lpstr>Global!current_recycling_rates_minerals</vt:lpstr>
      <vt:lpstr>Global!energy_requirements_per_unit_of_water_consumption</vt:lpstr>
      <vt:lpstr>Global!grid_correction_factor_ev_batteries</vt:lpstr>
      <vt:lpstr>Global!grid_correction_factor_res_elec</vt:lpstr>
      <vt:lpstr>Global!historical_extraction_minerals_rest</vt:lpstr>
      <vt:lpstr>Global!initial_energy_cons_per_material_recycled</vt:lpstr>
      <vt:lpstr>Global!initial_energy_cons_per_material_virgin</vt:lpstr>
      <vt:lpstr>Global!initial_minerals_extraction_rest</vt:lpstr>
      <vt:lpstr>Global!materials_for_om_per_capacity_installed_res_elec</vt:lpstr>
      <vt:lpstr>Global!materials_per_new_capacity_installed_ev_batteries</vt:lpstr>
      <vt:lpstr>Global!materials_per_new_capacity_installed_res</vt:lpstr>
      <vt:lpstr>Global!materials_per_new_res_elec_capacity_installed_hvdcs</vt:lpstr>
      <vt:lpstr>Global!materials_per_new_res_elec_capacity_installed_material_overgrid_high_power</vt:lpstr>
      <vt:lpstr>Global!self_electricity_consumption_res_elec</vt:lpstr>
      <vt:lpstr>Global!share_energy_requirements_for_decom_ev_batteries</vt:lpstr>
      <vt:lpstr>Global!share_energy_requirements_for_decom_res_elec</vt:lpstr>
      <vt:lpstr>Global!time</vt:lpstr>
      <vt:lpstr>Global!water_for_om_res_elec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</dc:creator>
  <cp:lastModifiedBy>Joan Enric Alcover</cp:lastModifiedBy>
  <dcterms:created xsi:type="dcterms:W3CDTF">2021-10-19T08:10:42Z</dcterms:created>
  <dcterms:modified xsi:type="dcterms:W3CDTF">2026-02-10T18:53:17Z</dcterms:modified>
</cp:coreProperties>
</file>