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3"/>
  </sheets>
  <definedNames>
    <definedName function="false" hidden="false" localSheetId="0" name="a_extraction_projection_minerals" vbProcedure="false">Global!$P$5:$P$62</definedName>
    <definedName function="false" hidden="false" localSheetId="0" name="current_mineral_reserves_mt" vbProcedure="false">Global!$N$5:$N$62</definedName>
    <definedName function="false" hidden="false" localSheetId="0" name="current_mineral_resources_mt" vbProcedure="false">Global!$O$5:$O$62</definedName>
    <definedName function="false" hidden="false" localSheetId="0" name="current_recycling_rates_minerals" vbProcedure="false">Global!$M$5:$M$62</definedName>
    <definedName function="false" hidden="false" localSheetId="0" name="energy_requirements_per_unit_of_water_consumption" vbProcedure="false">Global!$I$157:$I$158</definedName>
    <definedName function="false" hidden="false" localSheetId="0" name="grid_correction_factor_ev_batteries" vbProcedure="false">Global!$F$64</definedName>
    <definedName function="false" hidden="false" localSheetId="0" name="grid_correction_factor_res_elec" vbProcedure="false">Global!$B$64:$E$64</definedName>
    <definedName function="false" hidden="false" localSheetId="0" name="historical_extraction_minerals_rest" vbProcedure="false">Global!$R$5:$AN$62</definedName>
    <definedName function="false" hidden="false" localSheetId="0" name="initial_energy_cons_per_material_recycled" vbProcedure="false">Global!$J$5:$J$62</definedName>
    <definedName function="false" hidden="false" localSheetId="0" name="initial_energy_cons_per_material_virgin" vbProcedure="false">Global!$I$5:$I$62</definedName>
    <definedName function="false" hidden="false" localSheetId="0" name="initial_minerals_extraction_rest" vbProcedure="false">Global!$S$5:$S$62</definedName>
    <definedName function="false" hidden="false" localSheetId="0" name="materials_for_om_per_capacity_installed_res_elec" vbProcedure="false">Global!$B$99:$E$156</definedName>
    <definedName function="false" hidden="false" localSheetId="0" name="materials_per_new_capacity_installed_ev_batteries" vbProcedure="false">Global!$F$5:$F$62</definedName>
    <definedName function="false" hidden="false" localSheetId="0" name="materials_per_new_capacity_installed_res" vbProcedure="false">Global!$B$5:$E$62</definedName>
    <definedName function="false" hidden="false" localSheetId="0" name="materials_per_new_res_elec_capacity_installed_hvdcs" vbProcedure="false">Global!$H$5:$H$62</definedName>
    <definedName function="false" hidden="false" localSheetId="0" name="materials_per_new_res_elec_capacity_installed_material_overgrid_high_power" vbProcedure="false">Global!$G$5:$G$62</definedName>
    <definedName function="false" hidden="false" localSheetId="0" name="self_electricity_consumption_res_elec" vbProcedure="false">Global!$B$160:$E$160</definedName>
    <definedName function="false" hidden="false" localSheetId="0" name="share_energy_requirements_for_decom_ev_batteries" vbProcedure="false">Global!$F$161</definedName>
    <definedName function="false" hidden="false" localSheetId="0" name="share_energy_requirements_for_decom_res_elec" vbProcedure="false">Global!$B$161:$E$161</definedName>
    <definedName function="false" hidden="false" localSheetId="0" name="time" vbProcedure="false">Global!$R$3:$AN$3</definedName>
    <definedName function="false" hidden="false" localSheetId="0" name="water_for_om_res_elec" vbProcedure="false">Global!$B$157:$E$158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EM</author>
  </authors>
  <commentList>
    <comment ref="A64" authorId="0">
      <text>
        <r>
          <rPr>
            <sz val="10"/>
            <rFont val="Arial"/>
            <family val="2"/>
          </rPr>
          <t xml:space="preserve">carlos:
</t>
        </r>
        <r>
          <rPr>
            <sz val="9"/>
            <color rgb="FF000000"/>
            <rFont val="Tahoma"/>
            <family val="2"/>
            <charset val="1"/>
          </rPr>
          <t xml:space="preserve">Electricity losses due to Joule effect in the power plant as a share of the energy inputs requires for the construction of new capacities</t>
        </r>
      </text>
    </comment>
    <comment ref="A161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10% of the CED of the construction Hertwich et al (2015)</t>
        </r>
      </text>
    </comment>
    <comment ref="I2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0"/>
            <charset val="1"/>
          </rPr>
          <t xml:space="preserve">Main reference: Hammond and Jones (2011)</t>
        </r>
      </text>
    </comment>
    <comment ref="J2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Main reference: Hammond and Jones (2011)</t>
        </r>
      </text>
    </comment>
    <comment ref="K2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UNEP (2011)</t>
        </r>
      </text>
    </comment>
    <comment ref="L2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UNEP (2011)</t>
        </r>
      </text>
    </comment>
    <comment ref="M2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UNEP (2011)
mean of the minimum and maximum values if a range is reported</t>
        </r>
      </text>
    </comment>
    <comment ref="M19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&lt;1</t>
        </r>
      </text>
    </comment>
    <comment ref="M23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&lt;1</t>
        </r>
      </text>
    </comment>
    <comment ref="M29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&lt;1</t>
        </r>
      </text>
    </comment>
    <comment ref="M57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&lt;1</t>
        </r>
      </text>
    </comment>
    <comment ref="M60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&lt;1</t>
        </r>
      </text>
    </comment>
    <comment ref="N2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Table 1 Task 2.2c.2 deliverable MEDEAS
</t>
        </r>
      </text>
    </comment>
    <comment ref="N39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includes sulphides and laterites</t>
        </r>
      </text>
    </comment>
    <comment ref="N58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includes ilmenite and rutile</t>
        </r>
      </text>
    </comment>
    <comment ref="O2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Table 1 Task 2.2c.2 deliverable MEDEAS</t>
        </r>
      </text>
    </comment>
    <comment ref="O39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includes sulphides and laterites</t>
        </r>
      </text>
    </comment>
    <comment ref="O58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includes ilmenite and rutile</t>
        </r>
      </text>
    </comment>
    <comment ref="P1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Regression using historical data from USGS (1994-2015)</t>
        </r>
      </text>
    </comment>
    <comment ref="R2" authorId="0">
      <text>
        <r>
          <rPr>
            <sz val="10"/>
            <rFont val="Arial"/>
            <family val="2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Source: USGS</t>
        </r>
      </text>
    </comment>
  </commentList>
</comments>
</file>

<file path=xl/sharedStrings.xml><?xml version="1.0" encoding="utf-8"?>
<sst xmlns="http://schemas.openxmlformats.org/spreadsheetml/2006/main" count="159" uniqueCount="96">
  <si>
    <t xml:space="preserve">Material intensity of technologies</t>
  </si>
  <si>
    <t xml:space="preserve">Materials extraction projection Rest of the economy (cte rr)</t>
  </si>
  <si>
    <t xml:space="preserve">wind onshore</t>
  </si>
  <si>
    <t xml:space="preserve">wind offshore</t>
  </si>
  <si>
    <t xml:space="preserve">Solar PV</t>
  </si>
  <si>
    <t xml:space="preserve">CSP</t>
  </si>
  <si>
    <t xml:space="preserve">Li bateries</t>
  </si>
  <si>
    <t xml:space="preserve">material overgrid high power</t>
  </si>
  <si>
    <t xml:space="preserve">Inter-regional grids (HVDC)</t>
  </si>
  <si>
    <t xml:space="preserve">Initial energy consumption per unit of material consumption (virgin)</t>
  </si>
  <si>
    <t xml:space="preserve">Initial energy consumption per unit of material consumption (recycled)</t>
  </si>
  <si>
    <t xml:space="preserve">min range current recycling rates minerals</t>
  </si>
  <si>
    <t xml:space="preserve">MAX range current recycling rates minerals</t>
  </si>
  <si>
    <t xml:space="preserve">Current recycling rates minerals (EOL-RR)</t>
  </si>
  <si>
    <t xml:space="preserve">Reserves</t>
  </si>
  <si>
    <t xml:space="preserve">Resources</t>
  </si>
  <si>
    <t xml:space="preserve">M(t)=a*GDP[T$](t)+b [tonnes]</t>
  </si>
  <si>
    <t xml:space="preserve">Historical mineral production (tonnes) Rest of the economy (without RES elec and EV batteries)</t>
  </si>
  <si>
    <t xml:space="preserve">kg/new MW</t>
  </si>
  <si>
    <t xml:space="preserve">kg/new MW of each RES var elec techn</t>
  </si>
  <si>
    <t xml:space="preserve">MJ/kg</t>
  </si>
  <si>
    <t xml:space="preserve">MJ/Kg</t>
  </si>
  <si>
    <t xml:space="preserve">share</t>
  </si>
  <si>
    <t xml:space="preserve">Mt</t>
  </si>
  <si>
    <t xml:space="preserve">a</t>
  </si>
  <si>
    <t xml:space="preserve">b</t>
  </si>
  <si>
    <t xml:space="preserve">Construction phase</t>
  </si>
  <si>
    <t xml:space="preserve">Adhesive</t>
  </si>
  <si>
    <t xml:space="preserve">Aluminium (Al)</t>
  </si>
  <si>
    <t xml:space="preserve">Aluminium mirrors</t>
  </si>
  <si>
    <t xml:space="preserve">Cadmium (Cd)</t>
  </si>
  <si>
    <t xml:space="preserve">Carbon fiber</t>
  </si>
  <si>
    <t xml:space="preserve">Cement</t>
  </si>
  <si>
    <t xml:space="preserve">Chromium (Cr)</t>
  </si>
  <si>
    <t xml:space="preserve">Copper (Cu)</t>
  </si>
  <si>
    <t xml:space="preserve">Diesel</t>
  </si>
  <si>
    <t xml:space="preserve">Dysprosium (Dy)</t>
  </si>
  <si>
    <t xml:space="preserve">Electric/electronic components</t>
  </si>
  <si>
    <t xml:space="preserve">Evacuation lines (KM)</t>
  </si>
  <si>
    <t xml:space="preserve">Fiberglass</t>
  </si>
  <si>
    <t xml:space="preserve">Foam glass</t>
  </si>
  <si>
    <t xml:space="preserve">Galium (Ga)</t>
  </si>
  <si>
    <t xml:space="preserve">Glass</t>
  </si>
  <si>
    <t xml:space="preserve">Glass reinforcing plastic (GRP)</t>
  </si>
  <si>
    <t xml:space="preserve">gravel (roads, protection…)</t>
  </si>
  <si>
    <t xml:space="preserve">Indium (In)</t>
  </si>
  <si>
    <t xml:space="preserve">Iron (Fe)</t>
  </si>
  <si>
    <t xml:space="preserve">KNO3 mined</t>
  </si>
  <si>
    <t xml:space="preserve">Asphalt</t>
  </si>
  <si>
    <t xml:space="preserve">Lime</t>
  </si>
  <si>
    <t xml:space="preserve">Limestone</t>
  </si>
  <si>
    <t xml:space="preserve">Lithium (Li)</t>
  </si>
  <si>
    <t xml:space="preserve">Lubricant</t>
  </si>
  <si>
    <t xml:space="preserve">Magnesium (Mg)</t>
  </si>
  <si>
    <t xml:space="preserve">Manganese (Mn)</t>
  </si>
  <si>
    <t xml:space="preserve">Heavy machinery (depreciation and reposition)</t>
  </si>
  <si>
    <t xml:space="preserve">Concrete</t>
  </si>
  <si>
    <t xml:space="preserve">Molybdenum (Mo)</t>
  </si>
  <si>
    <t xml:space="preserve">NaNO3 mined</t>
  </si>
  <si>
    <t xml:space="preserve">NaNO3 synthetic</t>
  </si>
  <si>
    <t xml:space="preserve">Neodymium (Nd)</t>
  </si>
  <si>
    <t xml:space="preserve">Nickel (Ni)</t>
  </si>
  <si>
    <t xml:space="preserve">Over grid (15%)</t>
  </si>
  <si>
    <t xml:space="preserve">Over grid (5%)</t>
  </si>
  <si>
    <t xml:space="preserve">Paint</t>
  </si>
  <si>
    <t xml:space="preserve">Lead (Pb)</t>
  </si>
  <si>
    <t xml:space="preserve">Plastics</t>
  </si>
  <si>
    <t xml:space="preserve">Polypropylene</t>
  </si>
  <si>
    <t xml:space="preserve">Rock</t>
  </si>
  <si>
    <t xml:space="preserve">Rock wool</t>
  </si>
  <si>
    <t xml:space="preserve">Sand</t>
  </si>
  <si>
    <t xml:space="preserve">Silicon sand</t>
  </si>
  <si>
    <t xml:space="preserve">Sillicon wafer modules</t>
  </si>
  <si>
    <t xml:space="preserve">Silver (Ag)</t>
  </si>
  <si>
    <t xml:space="preserve">Site preparation (soil works), etc.</t>
  </si>
  <si>
    <t xml:space="preserve">Tin (Sn)</t>
  </si>
  <si>
    <t xml:space="preserve">Soda ash</t>
  </si>
  <si>
    <t xml:space="preserve">Steel</t>
  </si>
  <si>
    <t xml:space="preserve">Syntethic oil</t>
  </si>
  <si>
    <t xml:space="preserve">Tellurium (Te)</t>
  </si>
  <si>
    <t xml:space="preserve">Titanium (Ti)</t>
  </si>
  <si>
    <t xml:space="preserve">Titanium dioxide</t>
  </si>
  <si>
    <t xml:space="preserve">Vanadium (V)</t>
  </si>
  <si>
    <t xml:space="preserve">Wires</t>
  </si>
  <si>
    <t xml:space="preserve">Zinc (Zn)</t>
  </si>
  <si>
    <t xml:space="preserve">Total construction phase</t>
  </si>
  <si>
    <t xml:space="preserve">grid correction factor (A34+A41)</t>
  </si>
  <si>
    <t xml:space="preserve">Operation and maintenance (yearly)</t>
  </si>
  <si>
    <t xml:space="preserve">kg/installed MW</t>
  </si>
  <si>
    <t xml:space="preserve">Gallium (Ga)</t>
  </si>
  <si>
    <t xml:space="preserve">sillicon wafer modules</t>
  </si>
  <si>
    <t xml:space="preserve">synthetic oil</t>
  </si>
  <si>
    <t xml:space="preserve">Clean, pumped Water</t>
  </si>
  <si>
    <t xml:space="preserve">Distilled, deionized water</t>
  </si>
  <si>
    <t xml:space="preserve">Self-electricity consumption</t>
  </si>
  <si>
    <t xml:space="preserve">Decommissioning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</si>
</sst>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E+00"/>
    <numFmt numFmtId="167" formatCode="0.00"/>
    <numFmt numFmtId="168" formatCode="0%"/>
    <numFmt numFmtId="169" formatCode="0.00%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i val="true"/>
      <sz val="11"/>
      <name val="Calibri"/>
      <family val="2"/>
      <charset val="1"/>
    </font>
    <font>
      <u val="single"/>
      <sz val="11"/>
      <color rgb="FFFF0000"/>
      <name val="Calibri"/>
      <family val="2"/>
      <charset val="1"/>
    </font>
    <font>
      <sz val="11"/>
      <color rgb="FF0070C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9D18E"/>
        <bgColor rgb="FFBFBFBF"/>
      </patternFill>
    </fill>
    <fill>
      <patternFill patternType="solid">
        <fgColor rgb="FFBDD7EE"/>
        <bgColor rgb="FFBFBFBF"/>
      </patternFill>
    </fill>
    <fill>
      <patternFill patternType="solid">
        <fgColor rgb="FFBFBFBF"/>
        <bgColor rgb="FFBDD7EE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NK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14" activeCellId="0" sqref="C14"/>
    </sheetView>
  </sheetViews>
  <sheetFormatPr defaultColWidth="11.57421875" defaultRowHeight="15" customHeight="true" zeroHeight="false" outlineLevelRow="0" outlineLevelCol="0"/>
  <cols>
    <col collapsed="false" customWidth="true" hidden="false" outlineLevel="0" max="1" min="1" style="1" width="45.71"/>
    <col collapsed="false" customWidth="true" hidden="false" outlineLevel="0" max="5" min="2" style="1" width="15.57"/>
    <col collapsed="false" customWidth="true" hidden="false" outlineLevel="0" max="6" min="6" style="1" width="16.43"/>
    <col collapsed="false" customWidth="true" hidden="false" outlineLevel="0" max="7" min="7" style="1" width="18.29"/>
    <col collapsed="false" customWidth="true" hidden="false" outlineLevel="0" max="8" min="8" style="1" width="18.57"/>
    <col collapsed="false" customWidth="true" hidden="false" outlineLevel="0" max="9" min="9" style="2" width="31.86"/>
    <col collapsed="false" customWidth="true" hidden="false" outlineLevel="0" max="10" min="10" style="1" width="32.57"/>
    <col collapsed="false" customWidth="true" hidden="false" outlineLevel="0" max="11" min="11" style="1" width="17.71"/>
    <col collapsed="false" customWidth="true" hidden="false" outlineLevel="0" max="12" min="12" style="1" width="16.29"/>
    <col collapsed="false" customWidth="true" hidden="false" outlineLevel="0" max="13" min="13" style="1" width="18"/>
    <col collapsed="false" customWidth="true" hidden="false" outlineLevel="0" max="15" min="14" style="1" width="12"/>
    <col collapsed="false" customWidth="true" hidden="false" outlineLevel="0" max="16" min="16" style="3" width="12"/>
    <col collapsed="false" customWidth="true" hidden="false" outlineLevel="0" max="17" min="17" style="3" width="11.72"/>
    <col collapsed="false" customWidth="false" hidden="false" outlineLevel="0" max="40" min="18" style="1" width="11.57"/>
    <col collapsed="false" customWidth="false" hidden="false" outlineLevel="0" max="1051" min="41" style="4" width="11.57"/>
  </cols>
  <sheetData>
    <row r="1" customFormat="false" ht="15" hidden="false" customHeight="false" outlineLevel="0" collapsed="false">
      <c r="A1" s="5"/>
      <c r="B1" s="6" t="s">
        <v>0</v>
      </c>
      <c r="C1" s="6"/>
      <c r="D1" s="6"/>
      <c r="E1" s="6"/>
      <c r="F1" s="6"/>
      <c r="G1" s="6"/>
      <c r="H1" s="6"/>
      <c r="I1" s="7"/>
      <c r="J1" s="8"/>
      <c r="K1" s="9"/>
      <c r="L1" s="10"/>
      <c r="M1" s="11"/>
      <c r="N1" s="9"/>
      <c r="O1" s="11"/>
      <c r="P1" s="12" t="s">
        <v>1</v>
      </c>
      <c r="Q1" s="13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1"/>
    </row>
    <row r="2" customFormat="false" ht="46.25" hidden="false" customHeight="false" outlineLevel="0" collapsed="false">
      <c r="A2" s="14"/>
      <c r="B2" s="15" t="s">
        <v>2</v>
      </c>
      <c r="C2" s="16" t="s">
        <v>3</v>
      </c>
      <c r="D2" s="16" t="s">
        <v>4</v>
      </c>
      <c r="E2" s="17" t="s">
        <v>5</v>
      </c>
      <c r="F2" s="15" t="s">
        <v>6</v>
      </c>
      <c r="G2" s="18" t="s">
        <v>7</v>
      </c>
      <c r="H2" s="19" t="s">
        <v>8</v>
      </c>
      <c r="I2" s="20" t="s">
        <v>9</v>
      </c>
      <c r="J2" s="19" t="s">
        <v>10</v>
      </c>
      <c r="K2" s="20" t="s">
        <v>11</v>
      </c>
      <c r="L2" s="18" t="s">
        <v>12</v>
      </c>
      <c r="M2" s="19" t="s">
        <v>13</v>
      </c>
      <c r="N2" s="15" t="s">
        <v>14</v>
      </c>
      <c r="O2" s="17" t="s">
        <v>15</v>
      </c>
      <c r="P2" s="21" t="s">
        <v>16</v>
      </c>
      <c r="Q2" s="22"/>
      <c r="R2" s="23" t="s">
        <v>17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5"/>
    </row>
    <row r="3" customFormat="false" ht="46.25" hidden="false" customHeight="false" outlineLevel="0" collapsed="false">
      <c r="A3" s="5"/>
      <c r="B3" s="26" t="s">
        <v>18</v>
      </c>
      <c r="C3" s="27" t="s">
        <v>18</v>
      </c>
      <c r="D3" s="27" t="s">
        <v>18</v>
      </c>
      <c r="E3" s="28" t="s">
        <v>18</v>
      </c>
      <c r="F3" s="29" t="s">
        <v>19</v>
      </c>
      <c r="G3" s="29" t="s">
        <v>19</v>
      </c>
      <c r="H3" s="29" t="s">
        <v>19</v>
      </c>
      <c r="I3" s="26" t="s">
        <v>20</v>
      </c>
      <c r="J3" s="30" t="s">
        <v>21</v>
      </c>
      <c r="K3" s="31" t="s">
        <v>22</v>
      </c>
      <c r="L3" s="32" t="s">
        <v>22</v>
      </c>
      <c r="M3" s="30" t="s">
        <v>22</v>
      </c>
      <c r="N3" s="31" t="s">
        <v>23</v>
      </c>
      <c r="O3" s="30" t="s">
        <v>23</v>
      </c>
      <c r="P3" s="21" t="s">
        <v>24</v>
      </c>
      <c r="Q3" s="22" t="s">
        <v>25</v>
      </c>
      <c r="R3" s="24" t="n">
        <v>1994</v>
      </c>
      <c r="S3" s="24" t="n">
        <v>1995</v>
      </c>
      <c r="T3" s="24" t="n">
        <v>1996</v>
      </c>
      <c r="U3" s="24" t="n">
        <v>1997</v>
      </c>
      <c r="V3" s="24" t="n">
        <v>1998</v>
      </c>
      <c r="W3" s="24" t="n">
        <v>1999</v>
      </c>
      <c r="X3" s="24" t="n">
        <v>2000</v>
      </c>
      <c r="Y3" s="24" t="n">
        <v>2001</v>
      </c>
      <c r="Z3" s="24" t="n">
        <v>2002</v>
      </c>
      <c r="AA3" s="24" t="n">
        <v>2003</v>
      </c>
      <c r="AB3" s="24" t="n">
        <v>2004</v>
      </c>
      <c r="AC3" s="24" t="n">
        <v>2005</v>
      </c>
      <c r="AD3" s="24" t="n">
        <v>2006</v>
      </c>
      <c r="AE3" s="24" t="n">
        <v>2007</v>
      </c>
      <c r="AF3" s="24" t="n">
        <v>2008</v>
      </c>
      <c r="AG3" s="24" t="n">
        <v>2009</v>
      </c>
      <c r="AH3" s="24" t="n">
        <v>2010</v>
      </c>
      <c r="AI3" s="24" t="n">
        <v>2011</v>
      </c>
      <c r="AJ3" s="24" t="n">
        <v>2012</v>
      </c>
      <c r="AK3" s="24" t="n">
        <v>2013</v>
      </c>
      <c r="AL3" s="24" t="n">
        <v>2014</v>
      </c>
      <c r="AM3" s="24" t="n">
        <v>2015</v>
      </c>
      <c r="AN3" s="25" t="n">
        <v>2016</v>
      </c>
    </row>
    <row r="4" s="35" customFormat="true" ht="15" hidden="false" customHeight="false" outlineLevel="0" collapsed="false">
      <c r="A4" s="33" t="s">
        <v>26</v>
      </c>
      <c r="B4" s="34"/>
      <c r="E4" s="36"/>
      <c r="F4" s="34"/>
      <c r="H4" s="36"/>
      <c r="I4" s="37"/>
      <c r="J4" s="38"/>
      <c r="K4" s="34"/>
      <c r="M4" s="36"/>
      <c r="N4" s="34"/>
      <c r="O4" s="36"/>
      <c r="P4" s="39"/>
      <c r="Q4" s="40"/>
      <c r="AN4" s="36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1"/>
      <c r="NR4" s="41"/>
      <c r="NS4" s="41"/>
      <c r="NT4" s="41"/>
      <c r="NU4" s="41"/>
      <c r="NV4" s="41"/>
      <c r="NW4" s="41"/>
      <c r="NX4" s="41"/>
      <c r="NY4" s="41"/>
      <c r="NZ4" s="41"/>
      <c r="OA4" s="41"/>
      <c r="OB4" s="41"/>
      <c r="OC4" s="41"/>
      <c r="OD4" s="41"/>
      <c r="OE4" s="41"/>
      <c r="OF4" s="41"/>
      <c r="OG4" s="41"/>
      <c r="OH4" s="41"/>
      <c r="OI4" s="41"/>
      <c r="OJ4" s="41"/>
      <c r="OK4" s="41"/>
      <c r="OL4" s="41"/>
      <c r="OM4" s="41"/>
      <c r="ON4" s="41"/>
      <c r="OO4" s="41"/>
      <c r="OP4" s="41"/>
      <c r="OQ4" s="41"/>
      <c r="OR4" s="41"/>
      <c r="OS4" s="41"/>
      <c r="OT4" s="41"/>
      <c r="OU4" s="41"/>
      <c r="OV4" s="41"/>
      <c r="OW4" s="41"/>
      <c r="OX4" s="41"/>
      <c r="OY4" s="41"/>
      <c r="OZ4" s="41"/>
      <c r="PA4" s="41"/>
      <c r="PB4" s="41"/>
      <c r="PC4" s="41"/>
      <c r="PD4" s="41"/>
      <c r="PE4" s="41"/>
      <c r="PF4" s="41"/>
      <c r="PG4" s="41"/>
      <c r="PH4" s="41"/>
      <c r="PI4" s="41"/>
      <c r="PJ4" s="41"/>
      <c r="PK4" s="41"/>
      <c r="PL4" s="41"/>
      <c r="PM4" s="41"/>
      <c r="PN4" s="41"/>
      <c r="PO4" s="41"/>
      <c r="PP4" s="41"/>
      <c r="PQ4" s="41"/>
      <c r="PR4" s="41"/>
      <c r="PS4" s="41"/>
      <c r="PT4" s="41"/>
      <c r="PU4" s="41"/>
      <c r="PV4" s="41"/>
      <c r="PW4" s="41"/>
      <c r="PX4" s="41"/>
      <c r="PY4" s="41"/>
      <c r="PZ4" s="41"/>
      <c r="QA4" s="41"/>
      <c r="QB4" s="41"/>
      <c r="QC4" s="41"/>
      <c r="QD4" s="41"/>
      <c r="QE4" s="41"/>
      <c r="QF4" s="41"/>
      <c r="QG4" s="41"/>
      <c r="QH4" s="41"/>
      <c r="QI4" s="41"/>
      <c r="QJ4" s="41"/>
      <c r="QK4" s="41"/>
      <c r="QL4" s="41"/>
      <c r="QM4" s="41"/>
      <c r="QN4" s="41"/>
      <c r="QO4" s="41"/>
      <c r="QP4" s="41"/>
      <c r="QQ4" s="41"/>
      <c r="QR4" s="41"/>
      <c r="QS4" s="41"/>
      <c r="QT4" s="41"/>
      <c r="QU4" s="41"/>
      <c r="QV4" s="41"/>
      <c r="QW4" s="41"/>
      <c r="QX4" s="41"/>
      <c r="QY4" s="41"/>
      <c r="QZ4" s="41"/>
      <c r="RA4" s="41"/>
      <c r="RB4" s="41"/>
      <c r="RC4" s="41"/>
      <c r="RD4" s="41"/>
      <c r="RE4" s="41"/>
      <c r="RF4" s="41"/>
      <c r="RG4" s="41"/>
      <c r="RH4" s="41"/>
      <c r="RI4" s="41"/>
      <c r="RJ4" s="41"/>
      <c r="RK4" s="41"/>
      <c r="RL4" s="41"/>
      <c r="RM4" s="41"/>
      <c r="RN4" s="41"/>
      <c r="RO4" s="41"/>
      <c r="RP4" s="41"/>
      <c r="RQ4" s="41"/>
      <c r="RR4" s="41"/>
      <c r="RS4" s="41"/>
      <c r="RT4" s="41"/>
      <c r="RU4" s="41"/>
      <c r="RV4" s="41"/>
      <c r="RW4" s="41"/>
      <c r="RX4" s="41"/>
      <c r="RY4" s="41"/>
      <c r="RZ4" s="41"/>
      <c r="SA4" s="41"/>
      <c r="SB4" s="41"/>
      <c r="SC4" s="41"/>
      <c r="SD4" s="41"/>
      <c r="SE4" s="41"/>
      <c r="SF4" s="41"/>
      <c r="SG4" s="41"/>
      <c r="SH4" s="41"/>
      <c r="SI4" s="41"/>
      <c r="SJ4" s="41"/>
      <c r="SK4" s="41"/>
      <c r="SL4" s="41"/>
      <c r="SM4" s="41"/>
      <c r="SN4" s="41"/>
      <c r="SO4" s="41"/>
      <c r="SP4" s="41"/>
      <c r="SQ4" s="41"/>
      <c r="SR4" s="41"/>
      <c r="SS4" s="41"/>
      <c r="ST4" s="41"/>
      <c r="SU4" s="41"/>
      <c r="SV4" s="41"/>
      <c r="SW4" s="41"/>
      <c r="SX4" s="41"/>
      <c r="SY4" s="41"/>
      <c r="SZ4" s="41"/>
      <c r="TA4" s="41"/>
      <c r="TB4" s="41"/>
      <c r="TC4" s="41"/>
      <c r="TD4" s="41"/>
      <c r="TE4" s="41"/>
      <c r="TF4" s="41"/>
      <c r="TG4" s="41"/>
      <c r="TH4" s="41"/>
      <c r="TI4" s="41"/>
      <c r="TJ4" s="41"/>
      <c r="TK4" s="41"/>
      <c r="TL4" s="41"/>
      <c r="TM4" s="41"/>
      <c r="TN4" s="41"/>
      <c r="TO4" s="41"/>
      <c r="TP4" s="41"/>
      <c r="TQ4" s="41"/>
      <c r="TR4" s="41"/>
      <c r="TS4" s="41"/>
      <c r="TT4" s="41"/>
      <c r="TU4" s="41"/>
      <c r="TV4" s="41"/>
      <c r="TW4" s="41"/>
      <c r="TX4" s="41"/>
      <c r="TY4" s="41"/>
      <c r="TZ4" s="41"/>
      <c r="UA4" s="41"/>
      <c r="UB4" s="41"/>
      <c r="UC4" s="41"/>
      <c r="UD4" s="41"/>
      <c r="UE4" s="41"/>
      <c r="UF4" s="41"/>
      <c r="UG4" s="41"/>
      <c r="UH4" s="41"/>
      <c r="UI4" s="41"/>
      <c r="UJ4" s="41"/>
      <c r="UK4" s="41"/>
      <c r="UL4" s="41"/>
      <c r="UM4" s="41"/>
      <c r="UN4" s="41"/>
      <c r="UO4" s="41"/>
      <c r="UP4" s="41"/>
      <c r="UQ4" s="41"/>
      <c r="UR4" s="41"/>
      <c r="US4" s="41"/>
      <c r="UT4" s="41"/>
      <c r="UU4" s="41"/>
      <c r="UV4" s="41"/>
      <c r="UW4" s="41"/>
      <c r="UX4" s="41"/>
      <c r="UY4" s="41"/>
      <c r="UZ4" s="41"/>
      <c r="VA4" s="41"/>
      <c r="VB4" s="41"/>
      <c r="VC4" s="41"/>
      <c r="VD4" s="41"/>
      <c r="VE4" s="41"/>
      <c r="VF4" s="41"/>
      <c r="VG4" s="41"/>
      <c r="VH4" s="41"/>
      <c r="VI4" s="41"/>
      <c r="VJ4" s="41"/>
      <c r="VK4" s="41"/>
      <c r="VL4" s="41"/>
      <c r="VM4" s="41"/>
      <c r="VN4" s="41"/>
      <c r="VO4" s="41"/>
      <c r="VP4" s="41"/>
      <c r="VQ4" s="41"/>
      <c r="VR4" s="41"/>
      <c r="VS4" s="41"/>
      <c r="VT4" s="41"/>
      <c r="VU4" s="41"/>
      <c r="VV4" s="41"/>
      <c r="VW4" s="41"/>
      <c r="VX4" s="41"/>
      <c r="VY4" s="41"/>
      <c r="VZ4" s="41"/>
      <c r="WA4" s="41"/>
      <c r="WB4" s="41"/>
      <c r="WC4" s="41"/>
      <c r="WD4" s="41"/>
      <c r="WE4" s="41"/>
      <c r="WF4" s="41"/>
      <c r="WG4" s="41"/>
      <c r="WH4" s="41"/>
      <c r="WI4" s="41"/>
      <c r="WJ4" s="41"/>
      <c r="WK4" s="41"/>
      <c r="WL4" s="41"/>
      <c r="WM4" s="41"/>
      <c r="WN4" s="41"/>
      <c r="WO4" s="41"/>
      <c r="WP4" s="41"/>
      <c r="WQ4" s="41"/>
      <c r="WR4" s="41"/>
      <c r="WS4" s="41"/>
      <c r="WT4" s="41"/>
      <c r="WU4" s="41"/>
      <c r="WV4" s="41"/>
      <c r="WW4" s="41"/>
      <c r="WX4" s="41"/>
      <c r="WY4" s="41"/>
      <c r="WZ4" s="41"/>
      <c r="XA4" s="41"/>
      <c r="XB4" s="41"/>
      <c r="XC4" s="41"/>
      <c r="XD4" s="41"/>
      <c r="XE4" s="41"/>
      <c r="XF4" s="41"/>
      <c r="XG4" s="41"/>
      <c r="XH4" s="41"/>
      <c r="XI4" s="41"/>
      <c r="XJ4" s="41"/>
      <c r="XK4" s="41"/>
      <c r="XL4" s="41"/>
      <c r="XM4" s="41"/>
      <c r="XN4" s="41"/>
      <c r="XO4" s="41"/>
      <c r="XP4" s="41"/>
      <c r="XQ4" s="41"/>
      <c r="XR4" s="41"/>
      <c r="XS4" s="41"/>
      <c r="XT4" s="41"/>
      <c r="XU4" s="41"/>
      <c r="XV4" s="41"/>
      <c r="XW4" s="41"/>
      <c r="XX4" s="41"/>
      <c r="XY4" s="41"/>
      <c r="XZ4" s="41"/>
      <c r="YA4" s="41"/>
      <c r="YB4" s="41"/>
      <c r="YC4" s="41"/>
      <c r="YD4" s="41"/>
      <c r="YE4" s="41"/>
      <c r="YF4" s="41"/>
      <c r="YG4" s="41"/>
      <c r="YH4" s="41"/>
      <c r="YI4" s="41"/>
      <c r="YJ4" s="41"/>
      <c r="YK4" s="41"/>
      <c r="YL4" s="41"/>
      <c r="YM4" s="41"/>
      <c r="YN4" s="41"/>
      <c r="YO4" s="41"/>
      <c r="YP4" s="41"/>
      <c r="YQ4" s="41"/>
      <c r="YR4" s="41"/>
      <c r="YS4" s="41"/>
      <c r="YT4" s="41"/>
      <c r="YU4" s="41"/>
      <c r="YV4" s="41"/>
      <c r="YW4" s="41"/>
      <c r="YX4" s="41"/>
      <c r="YY4" s="41"/>
      <c r="YZ4" s="41"/>
      <c r="ZA4" s="41"/>
      <c r="ZB4" s="41"/>
      <c r="ZC4" s="41"/>
      <c r="ZD4" s="41"/>
      <c r="ZE4" s="41"/>
      <c r="ZF4" s="41"/>
      <c r="ZG4" s="41"/>
      <c r="ZH4" s="41"/>
      <c r="ZI4" s="41"/>
      <c r="ZJ4" s="41"/>
      <c r="ZK4" s="41"/>
      <c r="ZL4" s="41"/>
      <c r="ZM4" s="41"/>
      <c r="ZN4" s="41"/>
      <c r="ZO4" s="41"/>
      <c r="ZP4" s="41"/>
      <c r="ZQ4" s="41"/>
      <c r="ZR4" s="41"/>
      <c r="ZS4" s="41"/>
      <c r="ZT4" s="41"/>
      <c r="ZU4" s="41"/>
      <c r="ZV4" s="41"/>
      <c r="ZW4" s="41"/>
      <c r="ZX4" s="41"/>
      <c r="ZY4" s="41"/>
      <c r="ZZ4" s="41"/>
      <c r="AAA4" s="41"/>
      <c r="AAB4" s="41"/>
      <c r="AAC4" s="41"/>
      <c r="AAD4" s="41"/>
      <c r="AAE4" s="41"/>
      <c r="AAF4" s="41"/>
      <c r="AAG4" s="41"/>
      <c r="AAH4" s="41"/>
      <c r="AAI4" s="41"/>
      <c r="AAJ4" s="41"/>
      <c r="AAK4" s="41"/>
      <c r="AAL4" s="41"/>
      <c r="AAM4" s="41"/>
      <c r="AAN4" s="41"/>
      <c r="AAO4" s="41"/>
      <c r="AAP4" s="41"/>
      <c r="AAQ4" s="41"/>
      <c r="AAR4" s="41"/>
      <c r="AAS4" s="41"/>
      <c r="AAT4" s="41"/>
      <c r="AAU4" s="41"/>
      <c r="AAV4" s="41"/>
      <c r="AAW4" s="41"/>
      <c r="AAX4" s="41"/>
      <c r="AAY4" s="41"/>
      <c r="AAZ4" s="41"/>
      <c r="ABA4" s="41"/>
      <c r="ABB4" s="41"/>
      <c r="ABC4" s="41"/>
      <c r="ABD4" s="41"/>
      <c r="ABE4" s="41"/>
      <c r="ABF4" s="41"/>
      <c r="ABG4" s="41"/>
      <c r="ABH4" s="41"/>
      <c r="ABI4" s="41"/>
      <c r="ABJ4" s="41"/>
      <c r="ABK4" s="41"/>
      <c r="ABL4" s="41"/>
      <c r="ABM4" s="41"/>
      <c r="ABN4" s="41"/>
      <c r="ABO4" s="41"/>
      <c r="ABP4" s="41"/>
      <c r="ABQ4" s="41"/>
      <c r="ABR4" s="41"/>
      <c r="ABS4" s="41"/>
      <c r="ABT4" s="41"/>
      <c r="ABU4" s="41"/>
      <c r="ABV4" s="41"/>
      <c r="ABW4" s="41"/>
      <c r="ABX4" s="41"/>
      <c r="ABY4" s="41"/>
      <c r="ABZ4" s="41"/>
      <c r="ACA4" s="41"/>
      <c r="ACB4" s="41"/>
      <c r="ACC4" s="41"/>
      <c r="ACD4" s="41"/>
      <c r="ACE4" s="41"/>
      <c r="ACF4" s="41"/>
      <c r="ACG4" s="41"/>
      <c r="ACH4" s="41"/>
      <c r="ACI4" s="41"/>
      <c r="ACJ4" s="41"/>
      <c r="ACK4" s="41"/>
      <c r="ACL4" s="41"/>
      <c r="ACM4" s="41"/>
      <c r="ACN4" s="41"/>
      <c r="ACO4" s="41"/>
      <c r="ACP4" s="41"/>
      <c r="ACQ4" s="41"/>
      <c r="ACR4" s="41"/>
      <c r="ACS4" s="41"/>
      <c r="ACT4" s="41"/>
      <c r="ACU4" s="41"/>
      <c r="ACV4" s="41"/>
      <c r="ACW4" s="41"/>
      <c r="ACX4" s="41"/>
      <c r="ACY4" s="41"/>
      <c r="ACZ4" s="41"/>
      <c r="ADA4" s="41"/>
      <c r="ADB4" s="41"/>
      <c r="ADC4" s="41"/>
      <c r="ADD4" s="41"/>
      <c r="ADE4" s="41"/>
      <c r="ADF4" s="41"/>
      <c r="ADG4" s="41"/>
      <c r="ADH4" s="41"/>
      <c r="ADI4" s="41"/>
      <c r="ADJ4" s="41"/>
      <c r="ADK4" s="41"/>
      <c r="ADL4" s="41"/>
      <c r="ADM4" s="41"/>
      <c r="ADN4" s="41"/>
      <c r="ADO4" s="41"/>
      <c r="ADP4" s="41"/>
      <c r="ADQ4" s="41"/>
      <c r="ADR4" s="41"/>
      <c r="ADS4" s="41"/>
      <c r="ADT4" s="41"/>
      <c r="ADU4" s="41"/>
      <c r="ADV4" s="41"/>
      <c r="ADW4" s="41"/>
      <c r="ADX4" s="41"/>
      <c r="ADY4" s="41"/>
      <c r="ADZ4" s="41"/>
      <c r="AEA4" s="41"/>
      <c r="AEB4" s="41"/>
      <c r="AEC4" s="41"/>
      <c r="AED4" s="41"/>
      <c r="AEE4" s="41"/>
      <c r="AEF4" s="41"/>
      <c r="AEG4" s="41"/>
      <c r="AEH4" s="41"/>
      <c r="AEI4" s="41"/>
      <c r="AEJ4" s="41"/>
      <c r="AEK4" s="41"/>
      <c r="AEL4" s="41"/>
      <c r="AEM4" s="41"/>
      <c r="AEN4" s="41"/>
      <c r="AEO4" s="41"/>
      <c r="AEP4" s="41"/>
      <c r="AEQ4" s="41"/>
      <c r="AER4" s="41"/>
      <c r="AES4" s="41"/>
      <c r="AET4" s="41"/>
      <c r="AEU4" s="41"/>
      <c r="AEV4" s="41"/>
      <c r="AEW4" s="41"/>
      <c r="AEX4" s="41"/>
      <c r="AEY4" s="41"/>
      <c r="AEZ4" s="41"/>
      <c r="AFA4" s="41"/>
      <c r="AFB4" s="41"/>
      <c r="AFC4" s="41"/>
      <c r="AFD4" s="41"/>
      <c r="AFE4" s="41"/>
      <c r="AFF4" s="41"/>
      <c r="AFG4" s="41"/>
      <c r="AFH4" s="41"/>
      <c r="AFI4" s="41"/>
      <c r="AFJ4" s="41"/>
      <c r="AFK4" s="41"/>
      <c r="AFL4" s="41"/>
      <c r="AFM4" s="41"/>
      <c r="AFN4" s="41"/>
      <c r="AFO4" s="41"/>
      <c r="AFP4" s="41"/>
      <c r="AFQ4" s="41"/>
      <c r="AFR4" s="41"/>
      <c r="AFS4" s="41"/>
      <c r="AFT4" s="41"/>
      <c r="AFU4" s="41"/>
      <c r="AFV4" s="41"/>
      <c r="AFW4" s="41"/>
      <c r="AFX4" s="41"/>
      <c r="AFY4" s="41"/>
      <c r="AFZ4" s="41"/>
      <c r="AGA4" s="41"/>
      <c r="AGB4" s="41"/>
      <c r="AGC4" s="41"/>
      <c r="AGD4" s="41"/>
      <c r="AGE4" s="41"/>
      <c r="AGF4" s="41"/>
      <c r="AGG4" s="41"/>
      <c r="AGH4" s="41"/>
      <c r="AGI4" s="41"/>
      <c r="AGJ4" s="41"/>
      <c r="AGK4" s="41"/>
      <c r="AGL4" s="41"/>
      <c r="AGM4" s="41"/>
      <c r="AGN4" s="41"/>
      <c r="AGO4" s="41"/>
      <c r="AGP4" s="41"/>
      <c r="AGQ4" s="41"/>
      <c r="AGR4" s="41"/>
      <c r="AGS4" s="41"/>
      <c r="AGT4" s="41"/>
      <c r="AGU4" s="41"/>
      <c r="AGV4" s="41"/>
      <c r="AGW4" s="41"/>
      <c r="AGX4" s="41"/>
      <c r="AGY4" s="41"/>
      <c r="AGZ4" s="41"/>
      <c r="AHA4" s="41"/>
      <c r="AHB4" s="41"/>
      <c r="AHC4" s="41"/>
      <c r="AHD4" s="41"/>
      <c r="AHE4" s="41"/>
      <c r="AHF4" s="41"/>
      <c r="AHG4" s="41"/>
      <c r="AHH4" s="41"/>
      <c r="AHI4" s="41"/>
      <c r="AHJ4" s="41"/>
      <c r="AHK4" s="41"/>
      <c r="AHL4" s="41"/>
      <c r="AHM4" s="41"/>
      <c r="AHN4" s="41"/>
      <c r="AHO4" s="41"/>
      <c r="AHP4" s="41"/>
      <c r="AHQ4" s="41"/>
      <c r="AHR4" s="41"/>
      <c r="AHS4" s="41"/>
      <c r="AHT4" s="41"/>
      <c r="AHU4" s="41"/>
      <c r="AHV4" s="41"/>
      <c r="AHW4" s="41"/>
      <c r="AHX4" s="41"/>
      <c r="AHY4" s="41"/>
      <c r="AHZ4" s="41"/>
      <c r="AIA4" s="41"/>
      <c r="AIB4" s="41"/>
      <c r="AIC4" s="41"/>
      <c r="AID4" s="41"/>
      <c r="AIE4" s="41"/>
      <c r="AIF4" s="41"/>
      <c r="AIG4" s="41"/>
      <c r="AIH4" s="41"/>
      <c r="AII4" s="41"/>
      <c r="AIJ4" s="41"/>
      <c r="AIK4" s="41"/>
      <c r="AIL4" s="41"/>
      <c r="AIM4" s="41"/>
      <c r="AIN4" s="41"/>
      <c r="AIO4" s="41"/>
      <c r="AIP4" s="41"/>
      <c r="AIQ4" s="41"/>
      <c r="AIR4" s="41"/>
      <c r="AIS4" s="41"/>
      <c r="AIT4" s="41"/>
      <c r="AIU4" s="41"/>
      <c r="AIV4" s="41"/>
      <c r="AIW4" s="41"/>
      <c r="AIX4" s="41"/>
      <c r="AIY4" s="41"/>
      <c r="AIZ4" s="41"/>
      <c r="AJA4" s="41"/>
      <c r="AJB4" s="41"/>
      <c r="AJC4" s="41"/>
      <c r="AJD4" s="41"/>
      <c r="AJE4" s="41"/>
      <c r="AJF4" s="41"/>
      <c r="AJG4" s="41"/>
      <c r="AJH4" s="41"/>
      <c r="AJI4" s="41"/>
      <c r="AJJ4" s="41"/>
      <c r="AJK4" s="41"/>
      <c r="AJL4" s="41"/>
      <c r="AJM4" s="41"/>
      <c r="AJN4" s="41"/>
      <c r="AJO4" s="41"/>
      <c r="AJP4" s="41"/>
      <c r="AJQ4" s="41"/>
      <c r="AJR4" s="41"/>
      <c r="AJS4" s="41"/>
      <c r="AJT4" s="41"/>
      <c r="AJU4" s="41"/>
      <c r="AJV4" s="41"/>
      <c r="AJW4" s="41"/>
      <c r="AJX4" s="41"/>
      <c r="AJY4" s="41"/>
      <c r="AJZ4" s="41"/>
      <c r="AKA4" s="41"/>
      <c r="AKB4" s="41"/>
      <c r="AKC4" s="41"/>
      <c r="AKD4" s="41"/>
      <c r="AKE4" s="41"/>
      <c r="AKF4" s="41"/>
      <c r="AKG4" s="41"/>
      <c r="AKH4" s="41"/>
      <c r="AKI4" s="41"/>
      <c r="AKJ4" s="41"/>
      <c r="AKK4" s="41"/>
      <c r="AKL4" s="41"/>
      <c r="AKM4" s="41"/>
      <c r="AKN4" s="41"/>
      <c r="AKO4" s="41"/>
      <c r="AKP4" s="41"/>
      <c r="AKQ4" s="41"/>
      <c r="AKR4" s="41"/>
      <c r="AKS4" s="41"/>
      <c r="AKT4" s="41"/>
      <c r="AKU4" s="41"/>
      <c r="AKV4" s="41"/>
      <c r="AKW4" s="41"/>
      <c r="AKX4" s="41"/>
      <c r="AKY4" s="41"/>
      <c r="AKZ4" s="41"/>
      <c r="ALA4" s="41"/>
      <c r="ALB4" s="41"/>
      <c r="ALC4" s="41"/>
      <c r="ALD4" s="41"/>
      <c r="ALE4" s="41"/>
      <c r="ALF4" s="41"/>
      <c r="ALG4" s="41"/>
      <c r="ALH4" s="41"/>
      <c r="ALI4" s="41"/>
      <c r="ALJ4" s="41"/>
      <c r="ALK4" s="41"/>
      <c r="ALL4" s="41"/>
      <c r="ALM4" s="41"/>
      <c r="ALN4" s="41"/>
      <c r="ALO4" s="41"/>
      <c r="ALP4" s="41"/>
      <c r="ALQ4" s="41"/>
      <c r="ALR4" s="41"/>
      <c r="ALS4" s="41"/>
      <c r="ALT4" s="41"/>
      <c r="ALU4" s="41"/>
      <c r="ALV4" s="41"/>
      <c r="ALW4" s="41"/>
      <c r="ALX4" s="41"/>
      <c r="ALY4" s="41"/>
      <c r="ALZ4" s="41"/>
      <c r="AMA4" s="41"/>
      <c r="AMB4" s="41"/>
      <c r="AMC4" s="41"/>
      <c r="AMD4" s="41"/>
      <c r="AME4" s="41"/>
      <c r="AMF4" s="41"/>
      <c r="AMG4" s="41"/>
      <c r="AMH4" s="41"/>
      <c r="AMI4" s="41"/>
      <c r="AMJ4" s="41"/>
      <c r="AMK4" s="41"/>
      <c r="AML4" s="41"/>
      <c r="AMM4" s="41"/>
      <c r="AMN4" s="41"/>
      <c r="AMO4" s="41"/>
      <c r="AMP4" s="41"/>
      <c r="AMQ4" s="41"/>
      <c r="AMR4" s="41"/>
      <c r="AMS4" s="41"/>
      <c r="AMT4" s="41"/>
      <c r="AMU4" s="41"/>
      <c r="AMV4" s="41"/>
      <c r="AMW4" s="41"/>
      <c r="AMX4" s="41"/>
      <c r="AMY4" s="41"/>
      <c r="AMZ4" s="41"/>
      <c r="ANA4" s="41"/>
      <c r="ANB4" s="41"/>
      <c r="ANC4" s="41"/>
      <c r="AND4" s="41"/>
      <c r="ANE4" s="41"/>
      <c r="ANF4" s="41"/>
      <c r="ANG4" s="41"/>
      <c r="ANH4" s="41"/>
      <c r="ANI4" s="41"/>
      <c r="ANJ4" s="41"/>
      <c r="ANK4" s="41"/>
    </row>
    <row r="5" s="44" customFormat="true" ht="15" hidden="false" customHeight="false" outlineLevel="0" collapsed="false">
      <c r="A5" s="42" t="s">
        <v>27</v>
      </c>
      <c r="B5" s="43" t="n">
        <v>3480.076772</v>
      </c>
      <c r="C5" s="44" t="n">
        <v>1935.538566</v>
      </c>
      <c r="D5" s="44" t="n">
        <v>45.3041235</v>
      </c>
      <c r="E5" s="45" t="n">
        <v>0</v>
      </c>
      <c r="F5" s="43" t="n">
        <v>0</v>
      </c>
      <c r="G5" s="44" t="n">
        <v>0</v>
      </c>
      <c r="H5" s="46" t="n">
        <v>0</v>
      </c>
      <c r="I5" s="47" t="n">
        <v>100</v>
      </c>
      <c r="J5" s="48" t="n">
        <v>0</v>
      </c>
      <c r="K5" s="43"/>
      <c r="M5" s="46" t="n">
        <v>0</v>
      </c>
      <c r="N5" s="43" t="n">
        <v>0</v>
      </c>
      <c r="O5" s="46" t="n">
        <v>0</v>
      </c>
      <c r="P5" s="49" t="n">
        <v>0</v>
      </c>
      <c r="Q5" s="50" t="n">
        <v>0</v>
      </c>
      <c r="R5" s="44" t="n">
        <v>0</v>
      </c>
      <c r="S5" s="44" t="n">
        <v>0</v>
      </c>
      <c r="T5" s="44" t="n">
        <v>0</v>
      </c>
      <c r="U5" s="44" t="n">
        <v>0</v>
      </c>
      <c r="V5" s="44" t="n">
        <v>0</v>
      </c>
      <c r="W5" s="44" t="n">
        <v>0</v>
      </c>
      <c r="X5" s="44" t="n">
        <v>0</v>
      </c>
      <c r="Y5" s="44" t="n">
        <v>0</v>
      </c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44" t="n">
        <v>0</v>
      </c>
      <c r="AJ5" s="44" t="n">
        <v>0</v>
      </c>
      <c r="AK5" s="44" t="n">
        <v>0</v>
      </c>
      <c r="AL5" s="44" t="n">
        <v>0</v>
      </c>
      <c r="AM5" s="44" t="n">
        <v>0</v>
      </c>
      <c r="AN5" s="46" t="n">
        <v>0</v>
      </c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  <c r="LW5" s="41"/>
      <c r="LX5" s="41"/>
      <c r="LY5" s="41"/>
      <c r="LZ5" s="41"/>
      <c r="MA5" s="41"/>
      <c r="MB5" s="41"/>
      <c r="MC5" s="41"/>
      <c r="MD5" s="41"/>
      <c r="ME5" s="41"/>
      <c r="MF5" s="41"/>
      <c r="MG5" s="41"/>
      <c r="MH5" s="41"/>
      <c r="MI5" s="41"/>
      <c r="MJ5" s="41"/>
      <c r="MK5" s="41"/>
      <c r="ML5" s="41"/>
      <c r="MM5" s="41"/>
      <c r="MN5" s="41"/>
      <c r="MO5" s="41"/>
      <c r="MP5" s="41"/>
      <c r="MQ5" s="41"/>
      <c r="MR5" s="41"/>
      <c r="MS5" s="41"/>
      <c r="MT5" s="41"/>
      <c r="MU5" s="41"/>
      <c r="MV5" s="41"/>
      <c r="MW5" s="41"/>
      <c r="MX5" s="41"/>
      <c r="MY5" s="41"/>
      <c r="MZ5" s="41"/>
      <c r="NA5" s="41"/>
      <c r="NB5" s="41"/>
      <c r="NC5" s="41"/>
      <c r="ND5" s="41"/>
      <c r="NE5" s="41"/>
      <c r="NF5" s="41"/>
      <c r="NG5" s="41"/>
      <c r="NH5" s="41"/>
      <c r="NI5" s="41"/>
      <c r="NJ5" s="41"/>
      <c r="NK5" s="41"/>
      <c r="NL5" s="41"/>
      <c r="NM5" s="41"/>
      <c r="NN5" s="41"/>
      <c r="NO5" s="41"/>
      <c r="NP5" s="41"/>
      <c r="NQ5" s="41"/>
      <c r="NR5" s="41"/>
      <c r="NS5" s="41"/>
      <c r="NT5" s="41"/>
      <c r="NU5" s="41"/>
      <c r="NV5" s="41"/>
      <c r="NW5" s="41"/>
      <c r="NX5" s="41"/>
      <c r="NY5" s="41"/>
      <c r="NZ5" s="41"/>
      <c r="OA5" s="41"/>
      <c r="OB5" s="41"/>
      <c r="OC5" s="41"/>
      <c r="OD5" s="41"/>
      <c r="OE5" s="41"/>
      <c r="OF5" s="41"/>
      <c r="OG5" s="41"/>
      <c r="OH5" s="41"/>
      <c r="OI5" s="41"/>
      <c r="OJ5" s="41"/>
      <c r="OK5" s="41"/>
      <c r="OL5" s="41"/>
      <c r="OM5" s="41"/>
      <c r="ON5" s="41"/>
      <c r="OO5" s="41"/>
      <c r="OP5" s="41"/>
      <c r="OQ5" s="41"/>
      <c r="OR5" s="41"/>
      <c r="OS5" s="41"/>
      <c r="OT5" s="41"/>
      <c r="OU5" s="41"/>
      <c r="OV5" s="41"/>
      <c r="OW5" s="41"/>
      <c r="OX5" s="41"/>
      <c r="OY5" s="41"/>
      <c r="OZ5" s="41"/>
      <c r="PA5" s="41"/>
      <c r="PB5" s="41"/>
      <c r="PC5" s="41"/>
      <c r="PD5" s="41"/>
      <c r="PE5" s="41"/>
      <c r="PF5" s="41"/>
      <c r="PG5" s="41"/>
      <c r="PH5" s="41"/>
      <c r="PI5" s="41"/>
      <c r="PJ5" s="41"/>
      <c r="PK5" s="41"/>
      <c r="PL5" s="41"/>
      <c r="PM5" s="41"/>
      <c r="PN5" s="41"/>
      <c r="PO5" s="41"/>
      <c r="PP5" s="41"/>
      <c r="PQ5" s="41"/>
      <c r="PR5" s="41"/>
      <c r="PS5" s="41"/>
      <c r="PT5" s="41"/>
      <c r="PU5" s="41"/>
      <c r="PV5" s="41"/>
      <c r="PW5" s="41"/>
      <c r="PX5" s="41"/>
      <c r="PY5" s="41"/>
      <c r="PZ5" s="41"/>
      <c r="QA5" s="41"/>
      <c r="QB5" s="41"/>
      <c r="QC5" s="41"/>
      <c r="QD5" s="41"/>
      <c r="QE5" s="41"/>
      <c r="QF5" s="41"/>
      <c r="QG5" s="41"/>
      <c r="QH5" s="41"/>
      <c r="QI5" s="41"/>
      <c r="QJ5" s="41"/>
      <c r="QK5" s="41"/>
      <c r="QL5" s="41"/>
      <c r="QM5" s="41"/>
      <c r="QN5" s="41"/>
      <c r="QO5" s="41"/>
      <c r="QP5" s="41"/>
      <c r="QQ5" s="41"/>
      <c r="QR5" s="41"/>
      <c r="QS5" s="41"/>
      <c r="QT5" s="41"/>
      <c r="QU5" s="41"/>
      <c r="QV5" s="41"/>
      <c r="QW5" s="41"/>
      <c r="QX5" s="41"/>
      <c r="QY5" s="41"/>
      <c r="QZ5" s="41"/>
      <c r="RA5" s="41"/>
      <c r="RB5" s="41"/>
      <c r="RC5" s="41"/>
      <c r="RD5" s="41"/>
      <c r="RE5" s="41"/>
      <c r="RF5" s="41"/>
      <c r="RG5" s="41"/>
      <c r="RH5" s="41"/>
      <c r="RI5" s="41"/>
      <c r="RJ5" s="41"/>
      <c r="RK5" s="41"/>
      <c r="RL5" s="41"/>
      <c r="RM5" s="41"/>
      <c r="RN5" s="41"/>
      <c r="RO5" s="41"/>
      <c r="RP5" s="41"/>
      <c r="RQ5" s="41"/>
      <c r="RR5" s="41"/>
      <c r="RS5" s="41"/>
      <c r="RT5" s="41"/>
      <c r="RU5" s="41"/>
      <c r="RV5" s="41"/>
      <c r="RW5" s="41"/>
      <c r="RX5" s="41"/>
      <c r="RY5" s="41"/>
      <c r="RZ5" s="41"/>
      <c r="SA5" s="41"/>
      <c r="SB5" s="41"/>
      <c r="SC5" s="41"/>
      <c r="SD5" s="41"/>
      <c r="SE5" s="41"/>
      <c r="SF5" s="41"/>
      <c r="SG5" s="41"/>
      <c r="SH5" s="41"/>
      <c r="SI5" s="41"/>
      <c r="SJ5" s="41"/>
      <c r="SK5" s="41"/>
      <c r="SL5" s="41"/>
      <c r="SM5" s="41"/>
      <c r="SN5" s="41"/>
      <c r="SO5" s="41"/>
      <c r="SP5" s="41"/>
      <c r="SQ5" s="41"/>
      <c r="SR5" s="41"/>
      <c r="SS5" s="41"/>
      <c r="ST5" s="41"/>
      <c r="SU5" s="41"/>
      <c r="SV5" s="41"/>
      <c r="SW5" s="41"/>
      <c r="SX5" s="41"/>
      <c r="SY5" s="41"/>
      <c r="SZ5" s="41"/>
      <c r="TA5" s="41"/>
      <c r="TB5" s="41"/>
      <c r="TC5" s="41"/>
      <c r="TD5" s="41"/>
      <c r="TE5" s="41"/>
      <c r="TF5" s="41"/>
      <c r="TG5" s="41"/>
      <c r="TH5" s="41"/>
      <c r="TI5" s="41"/>
      <c r="TJ5" s="41"/>
      <c r="TK5" s="41"/>
      <c r="TL5" s="41"/>
      <c r="TM5" s="41"/>
      <c r="TN5" s="41"/>
      <c r="TO5" s="41"/>
      <c r="TP5" s="41"/>
      <c r="TQ5" s="41"/>
      <c r="TR5" s="41"/>
      <c r="TS5" s="41"/>
      <c r="TT5" s="41"/>
      <c r="TU5" s="41"/>
      <c r="TV5" s="41"/>
      <c r="TW5" s="41"/>
      <c r="TX5" s="41"/>
      <c r="TY5" s="41"/>
      <c r="TZ5" s="41"/>
      <c r="UA5" s="41"/>
      <c r="UB5" s="41"/>
      <c r="UC5" s="41"/>
      <c r="UD5" s="41"/>
      <c r="UE5" s="41"/>
      <c r="UF5" s="41"/>
      <c r="UG5" s="41"/>
      <c r="UH5" s="41"/>
      <c r="UI5" s="41"/>
      <c r="UJ5" s="41"/>
      <c r="UK5" s="41"/>
      <c r="UL5" s="41"/>
      <c r="UM5" s="41"/>
      <c r="UN5" s="41"/>
      <c r="UO5" s="41"/>
      <c r="UP5" s="41"/>
      <c r="UQ5" s="41"/>
      <c r="UR5" s="41"/>
      <c r="US5" s="41"/>
      <c r="UT5" s="41"/>
      <c r="UU5" s="41"/>
      <c r="UV5" s="41"/>
      <c r="UW5" s="41"/>
      <c r="UX5" s="41"/>
      <c r="UY5" s="41"/>
      <c r="UZ5" s="41"/>
      <c r="VA5" s="41"/>
      <c r="VB5" s="41"/>
      <c r="VC5" s="41"/>
      <c r="VD5" s="41"/>
      <c r="VE5" s="41"/>
      <c r="VF5" s="41"/>
      <c r="VG5" s="41"/>
      <c r="VH5" s="41"/>
      <c r="VI5" s="41"/>
      <c r="VJ5" s="41"/>
      <c r="VK5" s="41"/>
      <c r="VL5" s="41"/>
      <c r="VM5" s="41"/>
      <c r="VN5" s="41"/>
      <c r="VO5" s="41"/>
      <c r="VP5" s="41"/>
      <c r="VQ5" s="41"/>
      <c r="VR5" s="41"/>
      <c r="VS5" s="41"/>
      <c r="VT5" s="41"/>
      <c r="VU5" s="41"/>
      <c r="VV5" s="41"/>
      <c r="VW5" s="41"/>
      <c r="VX5" s="41"/>
      <c r="VY5" s="41"/>
      <c r="VZ5" s="41"/>
      <c r="WA5" s="41"/>
      <c r="WB5" s="41"/>
      <c r="WC5" s="41"/>
      <c r="WD5" s="41"/>
      <c r="WE5" s="41"/>
      <c r="WF5" s="41"/>
      <c r="WG5" s="41"/>
      <c r="WH5" s="41"/>
      <c r="WI5" s="41"/>
      <c r="WJ5" s="41"/>
      <c r="WK5" s="41"/>
      <c r="WL5" s="41"/>
      <c r="WM5" s="41"/>
      <c r="WN5" s="41"/>
      <c r="WO5" s="41"/>
      <c r="WP5" s="41"/>
      <c r="WQ5" s="41"/>
      <c r="WR5" s="41"/>
      <c r="WS5" s="41"/>
      <c r="WT5" s="41"/>
      <c r="WU5" s="41"/>
      <c r="WV5" s="41"/>
      <c r="WW5" s="41"/>
      <c r="WX5" s="41"/>
      <c r="WY5" s="41"/>
      <c r="WZ5" s="41"/>
      <c r="XA5" s="41"/>
      <c r="XB5" s="41"/>
      <c r="XC5" s="41"/>
      <c r="XD5" s="41"/>
      <c r="XE5" s="41"/>
      <c r="XF5" s="41"/>
      <c r="XG5" s="41"/>
      <c r="XH5" s="41"/>
      <c r="XI5" s="41"/>
      <c r="XJ5" s="41"/>
      <c r="XK5" s="41"/>
      <c r="XL5" s="41"/>
      <c r="XM5" s="41"/>
      <c r="XN5" s="41"/>
      <c r="XO5" s="41"/>
      <c r="XP5" s="41"/>
      <c r="XQ5" s="41"/>
      <c r="XR5" s="41"/>
      <c r="XS5" s="41"/>
      <c r="XT5" s="41"/>
      <c r="XU5" s="41"/>
      <c r="XV5" s="41"/>
      <c r="XW5" s="41"/>
      <c r="XX5" s="41"/>
      <c r="XY5" s="41"/>
      <c r="XZ5" s="41"/>
      <c r="YA5" s="41"/>
      <c r="YB5" s="41"/>
      <c r="YC5" s="41"/>
      <c r="YD5" s="41"/>
      <c r="YE5" s="41"/>
      <c r="YF5" s="41"/>
      <c r="YG5" s="41"/>
      <c r="YH5" s="41"/>
      <c r="YI5" s="41"/>
      <c r="YJ5" s="41"/>
      <c r="YK5" s="41"/>
      <c r="YL5" s="41"/>
      <c r="YM5" s="41"/>
      <c r="YN5" s="41"/>
      <c r="YO5" s="41"/>
      <c r="YP5" s="41"/>
      <c r="YQ5" s="41"/>
      <c r="YR5" s="41"/>
      <c r="YS5" s="41"/>
      <c r="YT5" s="41"/>
      <c r="YU5" s="41"/>
      <c r="YV5" s="41"/>
      <c r="YW5" s="41"/>
      <c r="YX5" s="41"/>
      <c r="YY5" s="41"/>
      <c r="YZ5" s="41"/>
      <c r="ZA5" s="41"/>
      <c r="ZB5" s="41"/>
      <c r="ZC5" s="41"/>
      <c r="ZD5" s="41"/>
      <c r="ZE5" s="41"/>
      <c r="ZF5" s="41"/>
      <c r="ZG5" s="41"/>
      <c r="ZH5" s="41"/>
      <c r="ZI5" s="41"/>
      <c r="ZJ5" s="41"/>
      <c r="ZK5" s="41"/>
      <c r="ZL5" s="41"/>
      <c r="ZM5" s="41"/>
      <c r="ZN5" s="41"/>
      <c r="ZO5" s="41"/>
      <c r="ZP5" s="41"/>
      <c r="ZQ5" s="41"/>
      <c r="ZR5" s="41"/>
      <c r="ZS5" s="41"/>
      <c r="ZT5" s="41"/>
      <c r="ZU5" s="41"/>
      <c r="ZV5" s="41"/>
      <c r="ZW5" s="41"/>
      <c r="ZX5" s="41"/>
      <c r="ZY5" s="41"/>
      <c r="ZZ5" s="41"/>
      <c r="AAA5" s="41"/>
      <c r="AAB5" s="41"/>
      <c r="AAC5" s="41"/>
      <c r="AAD5" s="41"/>
      <c r="AAE5" s="41"/>
      <c r="AAF5" s="41"/>
      <c r="AAG5" s="41"/>
      <c r="AAH5" s="41"/>
      <c r="AAI5" s="41"/>
      <c r="AAJ5" s="41"/>
      <c r="AAK5" s="41"/>
      <c r="AAL5" s="41"/>
      <c r="AAM5" s="41"/>
      <c r="AAN5" s="41"/>
      <c r="AAO5" s="41"/>
      <c r="AAP5" s="41"/>
      <c r="AAQ5" s="41"/>
      <c r="AAR5" s="41"/>
      <c r="AAS5" s="41"/>
      <c r="AAT5" s="41"/>
      <c r="AAU5" s="41"/>
      <c r="AAV5" s="41"/>
      <c r="AAW5" s="41"/>
      <c r="AAX5" s="41"/>
      <c r="AAY5" s="41"/>
      <c r="AAZ5" s="41"/>
      <c r="ABA5" s="41"/>
      <c r="ABB5" s="41"/>
      <c r="ABC5" s="41"/>
      <c r="ABD5" s="41"/>
      <c r="ABE5" s="41"/>
      <c r="ABF5" s="41"/>
      <c r="ABG5" s="41"/>
      <c r="ABH5" s="41"/>
      <c r="ABI5" s="41"/>
      <c r="ABJ5" s="41"/>
      <c r="ABK5" s="41"/>
      <c r="ABL5" s="41"/>
      <c r="ABM5" s="41"/>
      <c r="ABN5" s="41"/>
      <c r="ABO5" s="41"/>
      <c r="ABP5" s="41"/>
      <c r="ABQ5" s="41"/>
      <c r="ABR5" s="41"/>
      <c r="ABS5" s="41"/>
      <c r="ABT5" s="41"/>
      <c r="ABU5" s="41"/>
      <c r="ABV5" s="41"/>
      <c r="ABW5" s="41"/>
      <c r="ABX5" s="41"/>
      <c r="ABY5" s="41"/>
      <c r="ABZ5" s="41"/>
      <c r="ACA5" s="41"/>
      <c r="ACB5" s="41"/>
      <c r="ACC5" s="41"/>
      <c r="ACD5" s="41"/>
      <c r="ACE5" s="41"/>
      <c r="ACF5" s="41"/>
      <c r="ACG5" s="41"/>
      <c r="ACH5" s="41"/>
      <c r="ACI5" s="41"/>
      <c r="ACJ5" s="41"/>
      <c r="ACK5" s="41"/>
      <c r="ACL5" s="41"/>
      <c r="ACM5" s="41"/>
      <c r="ACN5" s="41"/>
      <c r="ACO5" s="41"/>
      <c r="ACP5" s="41"/>
      <c r="ACQ5" s="41"/>
      <c r="ACR5" s="41"/>
      <c r="ACS5" s="41"/>
      <c r="ACT5" s="41"/>
      <c r="ACU5" s="41"/>
      <c r="ACV5" s="41"/>
      <c r="ACW5" s="41"/>
      <c r="ACX5" s="41"/>
      <c r="ACY5" s="41"/>
      <c r="ACZ5" s="41"/>
      <c r="ADA5" s="41"/>
      <c r="ADB5" s="41"/>
      <c r="ADC5" s="41"/>
      <c r="ADD5" s="41"/>
      <c r="ADE5" s="41"/>
      <c r="ADF5" s="41"/>
      <c r="ADG5" s="41"/>
      <c r="ADH5" s="41"/>
      <c r="ADI5" s="41"/>
      <c r="ADJ5" s="41"/>
      <c r="ADK5" s="41"/>
      <c r="ADL5" s="41"/>
      <c r="ADM5" s="41"/>
      <c r="ADN5" s="41"/>
      <c r="ADO5" s="41"/>
      <c r="ADP5" s="41"/>
      <c r="ADQ5" s="41"/>
      <c r="ADR5" s="41"/>
      <c r="ADS5" s="41"/>
      <c r="ADT5" s="41"/>
      <c r="ADU5" s="41"/>
      <c r="ADV5" s="41"/>
      <c r="ADW5" s="41"/>
      <c r="ADX5" s="41"/>
      <c r="ADY5" s="41"/>
      <c r="ADZ5" s="41"/>
      <c r="AEA5" s="41"/>
      <c r="AEB5" s="41"/>
      <c r="AEC5" s="41"/>
      <c r="AED5" s="41"/>
      <c r="AEE5" s="41"/>
      <c r="AEF5" s="41"/>
      <c r="AEG5" s="41"/>
      <c r="AEH5" s="41"/>
      <c r="AEI5" s="41"/>
      <c r="AEJ5" s="41"/>
      <c r="AEK5" s="41"/>
      <c r="AEL5" s="41"/>
      <c r="AEM5" s="41"/>
      <c r="AEN5" s="41"/>
      <c r="AEO5" s="41"/>
      <c r="AEP5" s="41"/>
      <c r="AEQ5" s="41"/>
      <c r="AER5" s="41"/>
      <c r="AES5" s="41"/>
      <c r="AET5" s="41"/>
      <c r="AEU5" s="41"/>
      <c r="AEV5" s="41"/>
      <c r="AEW5" s="41"/>
      <c r="AEX5" s="41"/>
      <c r="AEY5" s="41"/>
      <c r="AEZ5" s="41"/>
      <c r="AFA5" s="41"/>
      <c r="AFB5" s="41"/>
      <c r="AFC5" s="41"/>
      <c r="AFD5" s="41"/>
      <c r="AFE5" s="41"/>
      <c r="AFF5" s="41"/>
      <c r="AFG5" s="41"/>
      <c r="AFH5" s="41"/>
      <c r="AFI5" s="41"/>
      <c r="AFJ5" s="41"/>
      <c r="AFK5" s="41"/>
      <c r="AFL5" s="41"/>
      <c r="AFM5" s="41"/>
      <c r="AFN5" s="41"/>
      <c r="AFO5" s="41"/>
      <c r="AFP5" s="41"/>
      <c r="AFQ5" s="41"/>
      <c r="AFR5" s="41"/>
      <c r="AFS5" s="41"/>
      <c r="AFT5" s="41"/>
      <c r="AFU5" s="41"/>
      <c r="AFV5" s="41"/>
      <c r="AFW5" s="41"/>
      <c r="AFX5" s="41"/>
      <c r="AFY5" s="41"/>
      <c r="AFZ5" s="41"/>
      <c r="AGA5" s="41"/>
      <c r="AGB5" s="41"/>
      <c r="AGC5" s="41"/>
      <c r="AGD5" s="41"/>
      <c r="AGE5" s="41"/>
      <c r="AGF5" s="41"/>
      <c r="AGG5" s="41"/>
      <c r="AGH5" s="41"/>
      <c r="AGI5" s="41"/>
      <c r="AGJ5" s="41"/>
      <c r="AGK5" s="41"/>
      <c r="AGL5" s="41"/>
      <c r="AGM5" s="41"/>
      <c r="AGN5" s="41"/>
      <c r="AGO5" s="41"/>
      <c r="AGP5" s="41"/>
      <c r="AGQ5" s="41"/>
      <c r="AGR5" s="41"/>
      <c r="AGS5" s="41"/>
      <c r="AGT5" s="41"/>
      <c r="AGU5" s="41"/>
      <c r="AGV5" s="41"/>
      <c r="AGW5" s="41"/>
      <c r="AGX5" s="41"/>
      <c r="AGY5" s="41"/>
      <c r="AGZ5" s="41"/>
      <c r="AHA5" s="41"/>
      <c r="AHB5" s="41"/>
      <c r="AHC5" s="41"/>
      <c r="AHD5" s="41"/>
      <c r="AHE5" s="41"/>
      <c r="AHF5" s="41"/>
      <c r="AHG5" s="41"/>
      <c r="AHH5" s="41"/>
      <c r="AHI5" s="41"/>
      <c r="AHJ5" s="41"/>
      <c r="AHK5" s="41"/>
      <c r="AHL5" s="41"/>
      <c r="AHM5" s="41"/>
      <c r="AHN5" s="41"/>
      <c r="AHO5" s="41"/>
      <c r="AHP5" s="41"/>
      <c r="AHQ5" s="41"/>
      <c r="AHR5" s="41"/>
      <c r="AHS5" s="41"/>
      <c r="AHT5" s="41"/>
      <c r="AHU5" s="41"/>
      <c r="AHV5" s="41"/>
      <c r="AHW5" s="41"/>
      <c r="AHX5" s="41"/>
      <c r="AHY5" s="41"/>
      <c r="AHZ5" s="41"/>
      <c r="AIA5" s="41"/>
      <c r="AIB5" s="41"/>
      <c r="AIC5" s="41"/>
      <c r="AID5" s="41"/>
      <c r="AIE5" s="41"/>
      <c r="AIF5" s="41"/>
      <c r="AIG5" s="41"/>
      <c r="AIH5" s="41"/>
      <c r="AII5" s="41"/>
      <c r="AIJ5" s="41"/>
      <c r="AIK5" s="41"/>
      <c r="AIL5" s="41"/>
      <c r="AIM5" s="41"/>
      <c r="AIN5" s="41"/>
      <c r="AIO5" s="41"/>
      <c r="AIP5" s="41"/>
      <c r="AIQ5" s="41"/>
      <c r="AIR5" s="41"/>
      <c r="AIS5" s="41"/>
      <c r="AIT5" s="41"/>
      <c r="AIU5" s="41"/>
      <c r="AIV5" s="41"/>
      <c r="AIW5" s="41"/>
      <c r="AIX5" s="41"/>
      <c r="AIY5" s="41"/>
      <c r="AIZ5" s="41"/>
      <c r="AJA5" s="41"/>
      <c r="AJB5" s="41"/>
      <c r="AJC5" s="41"/>
      <c r="AJD5" s="41"/>
      <c r="AJE5" s="41"/>
      <c r="AJF5" s="41"/>
      <c r="AJG5" s="41"/>
      <c r="AJH5" s="41"/>
      <c r="AJI5" s="41"/>
      <c r="AJJ5" s="41"/>
      <c r="AJK5" s="41"/>
      <c r="AJL5" s="41"/>
      <c r="AJM5" s="41"/>
      <c r="AJN5" s="41"/>
      <c r="AJO5" s="41"/>
      <c r="AJP5" s="41"/>
      <c r="AJQ5" s="41"/>
      <c r="AJR5" s="41"/>
      <c r="AJS5" s="41"/>
      <c r="AJT5" s="41"/>
      <c r="AJU5" s="41"/>
      <c r="AJV5" s="41"/>
      <c r="AJW5" s="41"/>
      <c r="AJX5" s="41"/>
      <c r="AJY5" s="41"/>
      <c r="AJZ5" s="41"/>
      <c r="AKA5" s="41"/>
      <c r="AKB5" s="41"/>
      <c r="AKC5" s="41"/>
      <c r="AKD5" s="41"/>
      <c r="AKE5" s="41"/>
      <c r="AKF5" s="41"/>
      <c r="AKG5" s="41"/>
      <c r="AKH5" s="41"/>
      <c r="AKI5" s="41"/>
      <c r="AKJ5" s="41"/>
      <c r="AKK5" s="41"/>
      <c r="AKL5" s="41"/>
      <c r="AKM5" s="41"/>
      <c r="AKN5" s="41"/>
      <c r="AKO5" s="41"/>
      <c r="AKP5" s="41"/>
      <c r="AKQ5" s="41"/>
      <c r="AKR5" s="41"/>
      <c r="AKS5" s="41"/>
      <c r="AKT5" s="41"/>
      <c r="AKU5" s="41"/>
      <c r="AKV5" s="41"/>
      <c r="AKW5" s="41"/>
      <c r="AKX5" s="41"/>
      <c r="AKY5" s="41"/>
      <c r="AKZ5" s="41"/>
      <c r="ALA5" s="41"/>
      <c r="ALB5" s="41"/>
      <c r="ALC5" s="41"/>
      <c r="ALD5" s="41"/>
      <c r="ALE5" s="41"/>
      <c r="ALF5" s="41"/>
      <c r="ALG5" s="41"/>
      <c r="ALH5" s="41"/>
      <c r="ALI5" s="41"/>
      <c r="ALJ5" s="41"/>
      <c r="ALK5" s="41"/>
      <c r="ALL5" s="41"/>
      <c r="ALM5" s="41"/>
      <c r="ALN5" s="41"/>
      <c r="ALO5" s="41"/>
      <c r="ALP5" s="41"/>
      <c r="ALQ5" s="41"/>
      <c r="ALR5" s="41"/>
      <c r="ALS5" s="41"/>
      <c r="ALT5" s="41"/>
      <c r="ALU5" s="41"/>
      <c r="ALV5" s="41"/>
      <c r="ALW5" s="41"/>
      <c r="ALX5" s="41"/>
      <c r="ALY5" s="41"/>
      <c r="ALZ5" s="41"/>
      <c r="AMA5" s="41"/>
      <c r="AMB5" s="41"/>
      <c r="AMC5" s="41"/>
      <c r="AMD5" s="41"/>
      <c r="AME5" s="41"/>
      <c r="AMF5" s="41"/>
      <c r="AMG5" s="41"/>
      <c r="AMH5" s="41"/>
      <c r="AMI5" s="41"/>
      <c r="AMJ5" s="41"/>
      <c r="AMK5" s="41"/>
      <c r="AML5" s="41"/>
      <c r="AMM5" s="41"/>
      <c r="AMN5" s="41"/>
      <c r="AMO5" s="41"/>
      <c r="AMP5" s="41"/>
      <c r="AMQ5" s="41"/>
      <c r="AMR5" s="41"/>
      <c r="AMS5" s="41"/>
      <c r="AMT5" s="41"/>
      <c r="AMU5" s="41"/>
      <c r="AMV5" s="41"/>
      <c r="AMW5" s="41"/>
      <c r="AMX5" s="41"/>
      <c r="AMY5" s="41"/>
      <c r="AMZ5" s="41"/>
      <c r="ANA5" s="41"/>
      <c r="ANB5" s="41"/>
      <c r="ANC5" s="41"/>
      <c r="AND5" s="41"/>
      <c r="ANE5" s="41"/>
      <c r="ANF5" s="41"/>
      <c r="ANG5" s="41"/>
      <c r="ANH5" s="41"/>
      <c r="ANI5" s="41"/>
      <c r="ANJ5" s="41"/>
      <c r="ANK5" s="41"/>
    </row>
    <row r="6" s="44" customFormat="true" ht="15" hidden="false" customHeight="false" outlineLevel="0" collapsed="false">
      <c r="A6" s="42" t="s">
        <v>28</v>
      </c>
      <c r="B6" s="43" t="n">
        <v>3220.705444</v>
      </c>
      <c r="C6" s="44" t="n">
        <v>1002.672631</v>
      </c>
      <c r="D6" s="44" t="n">
        <v>25793.753871</v>
      </c>
      <c r="E6" s="45" t="n">
        <v>740</v>
      </c>
      <c r="F6" s="43" t="n">
        <v>500</v>
      </c>
      <c r="G6" s="44" t="n">
        <v>7362</v>
      </c>
      <c r="H6" s="46" t="n">
        <v>100</v>
      </c>
      <c r="I6" s="47" t="n">
        <v>218</v>
      </c>
      <c r="J6" s="48" t="n">
        <v>29</v>
      </c>
      <c r="K6" s="43" t="n">
        <v>0.42</v>
      </c>
      <c r="L6" s="44" t="n">
        <v>0.7</v>
      </c>
      <c r="M6" s="46" t="n">
        <f aca="false">(K6+L6)/2</f>
        <v>0.56</v>
      </c>
      <c r="N6" s="43" t="n">
        <v>28000</v>
      </c>
      <c r="O6" s="46" t="n">
        <v>75000</v>
      </c>
      <c r="P6" s="49" t="n">
        <v>1006851.44431989</v>
      </c>
      <c r="Q6" s="50" t="n">
        <v>-24747508.8404687</v>
      </c>
      <c r="R6" s="44" t="n">
        <v>19100000</v>
      </c>
      <c r="S6" s="44" t="n">
        <v>19393200</v>
      </c>
      <c r="T6" s="44" t="n">
        <v>20694690</v>
      </c>
      <c r="U6" s="44" t="n">
        <v>21392970</v>
      </c>
      <c r="V6" s="44" t="n">
        <v>22089700</v>
      </c>
      <c r="W6" s="44" t="n">
        <v>23084960</v>
      </c>
      <c r="X6" s="44" t="n">
        <v>23982470</v>
      </c>
      <c r="Y6" s="44" t="n">
        <v>24378590</v>
      </c>
      <c r="Z6" s="44" t="n">
        <v>25872770</v>
      </c>
      <c r="AA6" s="44" t="n">
        <v>27662610</v>
      </c>
      <c r="AB6" s="44" t="n">
        <v>29751750</v>
      </c>
      <c r="AC6" s="44" t="n">
        <v>31838150</v>
      </c>
      <c r="AD6" s="44" t="n">
        <v>33607000</v>
      </c>
      <c r="AE6" s="44" t="n">
        <v>37851990</v>
      </c>
      <c r="AF6" s="44" t="n">
        <v>38789070</v>
      </c>
      <c r="AG6" s="44" t="n">
        <v>36941740</v>
      </c>
      <c r="AH6" s="44" t="n">
        <v>40260150</v>
      </c>
      <c r="AI6" s="44" t="n">
        <v>43814260</v>
      </c>
      <c r="AJ6" s="44" t="n">
        <v>45233790</v>
      </c>
      <c r="AK6" s="44" t="n">
        <v>46864630</v>
      </c>
      <c r="AL6" s="44" t="n">
        <v>49355110</v>
      </c>
      <c r="AM6" s="44" t="n">
        <v>55928650</v>
      </c>
      <c r="AN6" s="46" t="n">
        <v>55520790</v>
      </c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</row>
    <row r="7" s="44" customFormat="true" ht="15" hidden="false" customHeight="false" outlineLevel="0" collapsed="false">
      <c r="A7" s="42" t="s">
        <v>29</v>
      </c>
      <c r="B7" s="43" t="n">
        <v>0</v>
      </c>
      <c r="C7" s="44" t="n">
        <v>0</v>
      </c>
      <c r="D7" s="44" t="n">
        <v>0</v>
      </c>
      <c r="E7" s="45" t="n">
        <v>3280</v>
      </c>
      <c r="F7" s="43" t="n">
        <v>0</v>
      </c>
      <c r="G7" s="44" t="n">
        <v>0</v>
      </c>
      <c r="H7" s="46" t="n">
        <v>0</v>
      </c>
      <c r="I7" s="47" t="n">
        <v>0</v>
      </c>
      <c r="J7" s="48" t="n">
        <v>0</v>
      </c>
      <c r="K7" s="43"/>
      <c r="M7" s="46" t="n">
        <v>0</v>
      </c>
      <c r="N7" s="43" t="n">
        <v>0</v>
      </c>
      <c r="O7" s="46" t="n">
        <v>0</v>
      </c>
      <c r="P7" s="49" t="n">
        <v>0</v>
      </c>
      <c r="Q7" s="50" t="n">
        <v>0</v>
      </c>
      <c r="R7" s="44" t="n">
        <v>0</v>
      </c>
      <c r="S7" s="44" t="n">
        <v>0</v>
      </c>
      <c r="T7" s="44" t="n">
        <v>0</v>
      </c>
      <c r="U7" s="44" t="n">
        <v>0</v>
      </c>
      <c r="V7" s="44" t="n">
        <v>0</v>
      </c>
      <c r="W7" s="44" t="n">
        <v>0</v>
      </c>
      <c r="X7" s="44" t="n">
        <v>0</v>
      </c>
      <c r="Y7" s="44" t="n">
        <v>0</v>
      </c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0</v>
      </c>
      <c r="AI7" s="44" t="n">
        <v>0</v>
      </c>
      <c r="AJ7" s="44" t="n">
        <v>0</v>
      </c>
      <c r="AK7" s="44" t="n">
        <v>0</v>
      </c>
      <c r="AL7" s="44" t="n">
        <v>0</v>
      </c>
      <c r="AM7" s="44" t="n">
        <v>0</v>
      </c>
      <c r="AN7" s="46" t="n">
        <v>0</v>
      </c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</row>
    <row r="8" s="44" customFormat="true" ht="15" hidden="false" customHeight="false" outlineLevel="0" collapsed="false">
      <c r="A8" s="42" t="s">
        <v>30</v>
      </c>
      <c r="B8" s="43" t="n">
        <v>0</v>
      </c>
      <c r="C8" s="44" t="n">
        <v>0</v>
      </c>
      <c r="D8" s="44" t="n">
        <v>21.0921243333333</v>
      </c>
      <c r="E8" s="45" t="n">
        <v>0</v>
      </c>
      <c r="F8" s="43" t="n">
        <v>0</v>
      </c>
      <c r="G8" s="44" t="n">
        <v>0</v>
      </c>
      <c r="H8" s="46" t="n">
        <v>0</v>
      </c>
      <c r="I8" s="47" t="n">
        <v>264</v>
      </c>
      <c r="J8" s="48" t="n">
        <v>0</v>
      </c>
      <c r="K8" s="43"/>
      <c r="M8" s="46" t="n">
        <v>0.15</v>
      </c>
      <c r="N8" s="43" t="n">
        <v>0.5</v>
      </c>
      <c r="O8" s="46" t="n">
        <v>6</v>
      </c>
      <c r="P8" s="49" t="n">
        <v>119.692871936237</v>
      </c>
      <c r="Q8" s="50" t="n">
        <v>12862.9927690069</v>
      </c>
      <c r="R8" s="44" t="n">
        <v>18100</v>
      </c>
      <c r="S8" s="44" t="n">
        <v>18500</v>
      </c>
      <c r="T8" s="44" t="n">
        <v>18900</v>
      </c>
      <c r="U8" s="44" t="n">
        <v>20000</v>
      </c>
      <c r="V8" s="44" t="n">
        <v>19600</v>
      </c>
      <c r="W8" s="44" t="n">
        <v>19100</v>
      </c>
      <c r="X8" s="44" t="n">
        <v>19700</v>
      </c>
      <c r="Y8" s="44" t="n">
        <v>18200</v>
      </c>
      <c r="Z8" s="44" t="n">
        <v>15800</v>
      </c>
      <c r="AA8" s="44" t="n">
        <v>16890</v>
      </c>
      <c r="AB8" s="44" t="n">
        <v>18790</v>
      </c>
      <c r="AC8" s="44" t="n">
        <v>19390</v>
      </c>
      <c r="AD8" s="44" t="n">
        <v>19280</v>
      </c>
      <c r="AE8" s="44" t="n">
        <v>20370</v>
      </c>
      <c r="AF8" s="44" t="n">
        <v>19550</v>
      </c>
      <c r="AG8" s="44" t="n">
        <v>18690</v>
      </c>
      <c r="AH8" s="44" t="n">
        <v>20930</v>
      </c>
      <c r="AI8" s="44" t="n">
        <v>22010</v>
      </c>
      <c r="AJ8" s="44" t="n">
        <v>22780</v>
      </c>
      <c r="AK8" s="44" t="n">
        <v>21770</v>
      </c>
      <c r="AL8" s="44" t="n">
        <v>22020</v>
      </c>
      <c r="AM8" s="44" t="n">
        <v>22680</v>
      </c>
      <c r="AN8" s="46" t="n">
        <v>22320</v>
      </c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</row>
    <row r="9" s="44" customFormat="true" ht="15" hidden="false" customHeight="false" outlineLevel="0" collapsed="false">
      <c r="A9" s="42" t="s">
        <v>31</v>
      </c>
      <c r="B9" s="43" t="n">
        <v>530.39512</v>
      </c>
      <c r="C9" s="44" t="n">
        <v>825.305628</v>
      </c>
      <c r="D9" s="44" t="n">
        <v>0</v>
      </c>
      <c r="E9" s="45" t="n">
        <v>0</v>
      </c>
      <c r="F9" s="43" t="n">
        <v>0</v>
      </c>
      <c r="G9" s="44" t="n">
        <v>0</v>
      </c>
      <c r="H9" s="46" t="n">
        <v>0</v>
      </c>
      <c r="I9" s="47" t="n">
        <v>200</v>
      </c>
      <c r="J9" s="48" t="n">
        <v>0</v>
      </c>
      <c r="K9" s="43"/>
      <c r="M9" s="46" t="n">
        <v>0</v>
      </c>
      <c r="N9" s="43" t="n">
        <v>0</v>
      </c>
      <c r="O9" s="46" t="n">
        <v>0</v>
      </c>
      <c r="P9" s="49" t="n">
        <v>0</v>
      </c>
      <c r="Q9" s="50" t="n">
        <v>0</v>
      </c>
      <c r="R9" s="44" t="n">
        <v>0</v>
      </c>
      <c r="S9" s="44" t="n">
        <v>0</v>
      </c>
      <c r="T9" s="44" t="n">
        <v>0</v>
      </c>
      <c r="U9" s="44" t="n">
        <v>0</v>
      </c>
      <c r="V9" s="44" t="n">
        <v>0</v>
      </c>
      <c r="W9" s="44" t="n">
        <v>0</v>
      </c>
      <c r="X9" s="44" t="n">
        <v>0</v>
      </c>
      <c r="Y9" s="44" t="n">
        <v>0</v>
      </c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44" t="n">
        <v>0</v>
      </c>
      <c r="AJ9" s="44" t="n">
        <v>0</v>
      </c>
      <c r="AK9" s="44" t="n">
        <v>0</v>
      </c>
      <c r="AL9" s="44" t="n">
        <v>0</v>
      </c>
      <c r="AM9" s="44" t="n">
        <v>0</v>
      </c>
      <c r="AN9" s="46" t="n">
        <v>0</v>
      </c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  <c r="AMM9" s="41"/>
      <c r="AMN9" s="41"/>
      <c r="AMO9" s="41"/>
      <c r="AMP9" s="41"/>
      <c r="AMQ9" s="41"/>
      <c r="AMR9" s="41"/>
      <c r="AMS9" s="41"/>
      <c r="AMT9" s="41"/>
      <c r="AMU9" s="41"/>
      <c r="AMV9" s="41"/>
      <c r="AMW9" s="41"/>
      <c r="AMX9" s="41"/>
      <c r="AMY9" s="41"/>
      <c r="AMZ9" s="41"/>
      <c r="ANA9" s="41"/>
      <c r="ANB9" s="41"/>
      <c r="ANC9" s="41"/>
      <c r="AND9" s="41"/>
      <c r="ANE9" s="41"/>
      <c r="ANF9" s="41"/>
      <c r="ANG9" s="41"/>
      <c r="ANH9" s="41"/>
      <c r="ANI9" s="41"/>
      <c r="ANJ9" s="41"/>
      <c r="ANK9" s="41"/>
    </row>
    <row r="10" s="44" customFormat="true" ht="15" hidden="false" customHeight="false" outlineLevel="0" collapsed="false">
      <c r="A10" s="42" t="s">
        <v>32</v>
      </c>
      <c r="B10" s="43" t="n">
        <v>561600</v>
      </c>
      <c r="C10" s="44" t="n">
        <v>24000</v>
      </c>
      <c r="D10" s="44" t="n">
        <v>75000</v>
      </c>
      <c r="E10" s="45" t="n">
        <v>250000</v>
      </c>
      <c r="F10" s="43" t="n">
        <v>0</v>
      </c>
      <c r="G10" s="44" t="n">
        <v>48</v>
      </c>
      <c r="H10" s="46" t="n">
        <v>0</v>
      </c>
      <c r="I10" s="47" t="n">
        <v>4.5</v>
      </c>
      <c r="J10" s="48" t="n">
        <v>0</v>
      </c>
      <c r="K10" s="43"/>
      <c r="M10" s="46" t="n">
        <v>0</v>
      </c>
      <c r="N10" s="43" t="n">
        <v>0</v>
      </c>
      <c r="O10" s="46" t="n">
        <v>0</v>
      </c>
      <c r="P10" s="49" t="n">
        <v>0</v>
      </c>
      <c r="Q10" s="50" t="n">
        <v>0</v>
      </c>
      <c r="R10" s="44" t="n">
        <v>0</v>
      </c>
      <c r="S10" s="44" t="n">
        <v>0</v>
      </c>
      <c r="T10" s="44" t="n">
        <v>0</v>
      </c>
      <c r="U10" s="44" t="n">
        <v>0</v>
      </c>
      <c r="V10" s="44" t="n">
        <v>0</v>
      </c>
      <c r="W10" s="44" t="n">
        <v>0</v>
      </c>
      <c r="X10" s="44" t="n">
        <v>0</v>
      </c>
      <c r="Y10" s="44" t="n">
        <v>0</v>
      </c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0</v>
      </c>
      <c r="AI10" s="44" t="n">
        <v>0</v>
      </c>
      <c r="AJ10" s="44" t="n">
        <v>0</v>
      </c>
      <c r="AK10" s="44" t="n">
        <v>0</v>
      </c>
      <c r="AL10" s="44" t="n">
        <v>0</v>
      </c>
      <c r="AM10" s="44" t="n">
        <v>0</v>
      </c>
      <c r="AN10" s="46" t="n">
        <v>0</v>
      </c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  <c r="AMM10" s="41"/>
      <c r="AMN10" s="41"/>
      <c r="AMO10" s="41"/>
      <c r="AMP10" s="41"/>
      <c r="AMQ10" s="41"/>
      <c r="AMR10" s="41"/>
      <c r="AMS10" s="41"/>
      <c r="AMT10" s="41"/>
      <c r="AMU10" s="41"/>
      <c r="AMV10" s="41"/>
      <c r="AMW10" s="41"/>
      <c r="AMX10" s="41"/>
      <c r="AMY10" s="41"/>
      <c r="AMZ10" s="41"/>
      <c r="ANA10" s="41"/>
      <c r="ANB10" s="41"/>
      <c r="ANC10" s="41"/>
      <c r="AND10" s="41"/>
      <c r="ANE10" s="41"/>
      <c r="ANF10" s="41"/>
      <c r="ANG10" s="41"/>
      <c r="ANH10" s="41"/>
      <c r="ANI10" s="41"/>
      <c r="ANJ10" s="41"/>
      <c r="ANK10" s="41"/>
    </row>
    <row r="11" s="44" customFormat="true" ht="15" hidden="false" customHeight="false" outlineLevel="0" collapsed="false">
      <c r="A11" s="42" t="s">
        <v>33</v>
      </c>
      <c r="B11" s="43" t="n">
        <v>1200.393222</v>
      </c>
      <c r="C11" s="44" t="n">
        <v>261.519959</v>
      </c>
      <c r="D11" s="44" t="n">
        <v>66.855811</v>
      </c>
      <c r="E11" s="45" t="n">
        <v>2200</v>
      </c>
      <c r="F11" s="43" t="n">
        <v>0</v>
      </c>
      <c r="G11" s="44" t="n">
        <v>0</v>
      </c>
      <c r="H11" s="46" t="n">
        <v>0</v>
      </c>
      <c r="I11" s="47" t="n">
        <v>83</v>
      </c>
      <c r="J11" s="48" t="n">
        <v>0</v>
      </c>
      <c r="K11" s="43" t="n">
        <v>0.87</v>
      </c>
      <c r="L11" s="44" t="n">
        <v>0.93</v>
      </c>
      <c r="M11" s="46" t="n">
        <f aca="false">(K11+L11)/2</f>
        <v>0.9</v>
      </c>
      <c r="N11" s="43" t="n">
        <v>480</v>
      </c>
      <c r="O11" s="46" t="n">
        <v>12000</v>
      </c>
      <c r="P11" s="49" t="n">
        <v>561172.975773779</v>
      </c>
      <c r="Q11" s="50" t="n">
        <v>-13481662.0715207</v>
      </c>
      <c r="R11" s="44" t="n">
        <v>9570000</v>
      </c>
      <c r="S11" s="44" t="n">
        <v>11999960</v>
      </c>
      <c r="T11" s="44" t="n">
        <v>12189960</v>
      </c>
      <c r="U11" s="44" t="n">
        <v>12499930</v>
      </c>
      <c r="V11" s="44" t="n">
        <v>12699880</v>
      </c>
      <c r="W11" s="44" t="n">
        <v>13499820</v>
      </c>
      <c r="X11" s="44" t="n">
        <v>14399830</v>
      </c>
      <c r="Y11" s="44" t="n">
        <v>12099800</v>
      </c>
      <c r="Z11" s="44" t="n">
        <v>13499670</v>
      </c>
      <c r="AA11" s="44" t="n">
        <v>15499420</v>
      </c>
      <c r="AB11" s="44" t="n">
        <v>17499230</v>
      </c>
      <c r="AC11" s="44" t="n">
        <v>19298990</v>
      </c>
      <c r="AD11" s="44" t="n">
        <v>19598220</v>
      </c>
      <c r="AE11" s="44" t="n">
        <v>21496500</v>
      </c>
      <c r="AF11" s="44" t="n">
        <v>23794450</v>
      </c>
      <c r="AG11" s="44" t="n">
        <v>19289490</v>
      </c>
      <c r="AH11" s="44" t="n">
        <v>23683310</v>
      </c>
      <c r="AI11" s="44" t="n">
        <v>23281570</v>
      </c>
      <c r="AJ11" s="44" t="n">
        <v>25578710</v>
      </c>
      <c r="AK11" s="44" t="n">
        <v>28777200</v>
      </c>
      <c r="AL11" s="44" t="n">
        <v>26364160</v>
      </c>
      <c r="AM11" s="44" t="n">
        <v>30350300</v>
      </c>
      <c r="AN11" s="46" t="n">
        <v>30335910</v>
      </c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</row>
    <row r="12" s="44" customFormat="true" ht="15" hidden="false" customHeight="false" outlineLevel="0" collapsed="false">
      <c r="A12" s="42" t="s">
        <v>34</v>
      </c>
      <c r="B12" s="43" t="n">
        <v>2368.905178</v>
      </c>
      <c r="C12" s="44" t="n">
        <v>3001.808243</v>
      </c>
      <c r="D12" s="44" t="n">
        <v>1592.630466</v>
      </c>
      <c r="E12" s="45" t="n">
        <v>3200</v>
      </c>
      <c r="F12" s="43" t="n">
        <v>289</v>
      </c>
      <c r="G12" s="44" t="n">
        <v>2044</v>
      </c>
      <c r="H12" s="46" t="n">
        <v>125</v>
      </c>
      <c r="I12" s="47" t="n">
        <v>57</v>
      </c>
      <c r="J12" s="48" t="n">
        <v>16.5</v>
      </c>
      <c r="K12" s="43" t="n">
        <v>0.43</v>
      </c>
      <c r="L12" s="44" t="n">
        <v>0.53</v>
      </c>
      <c r="M12" s="46" t="n">
        <f aca="false">(K12+L12)/2</f>
        <v>0.48</v>
      </c>
      <c r="N12" s="43" t="n">
        <v>720</v>
      </c>
      <c r="O12" s="46" t="n">
        <v>2100</v>
      </c>
      <c r="P12" s="49" t="n">
        <v>230741.487187447</v>
      </c>
      <c r="Q12" s="50" t="n">
        <v>1147112.83580538</v>
      </c>
      <c r="R12" s="44" t="n">
        <v>9430000</v>
      </c>
      <c r="S12" s="44" t="n">
        <v>9992170</v>
      </c>
      <c r="T12" s="44" t="n">
        <v>10994390</v>
      </c>
      <c r="U12" s="44" t="n">
        <v>11392880</v>
      </c>
      <c r="V12" s="44" t="n">
        <v>12190320</v>
      </c>
      <c r="W12" s="44" t="n">
        <v>12586080</v>
      </c>
      <c r="X12" s="44" t="n">
        <v>13182150</v>
      </c>
      <c r="Y12" s="44" t="n">
        <v>13677330</v>
      </c>
      <c r="Z12" s="44" t="n">
        <v>13573660</v>
      </c>
      <c r="AA12" s="44" t="n">
        <v>13569730</v>
      </c>
      <c r="AB12" s="44" t="n">
        <v>14561920</v>
      </c>
      <c r="AC12" s="44" t="n">
        <v>14949450</v>
      </c>
      <c r="AD12" s="44" t="n">
        <v>15032000</v>
      </c>
      <c r="AE12" s="44" t="n">
        <v>15309050</v>
      </c>
      <c r="AF12" s="44" t="n">
        <v>15285180</v>
      </c>
      <c r="AG12" s="44" t="n">
        <v>15750700</v>
      </c>
      <c r="AH12" s="44" t="n">
        <v>15707320</v>
      </c>
      <c r="AI12" s="44" t="n">
        <v>15891470</v>
      </c>
      <c r="AJ12" s="44" t="n">
        <v>16672810</v>
      </c>
      <c r="AK12" s="44" t="n">
        <v>18037090</v>
      </c>
      <c r="AL12" s="44" t="n">
        <v>18126070</v>
      </c>
      <c r="AM12" s="44" t="n">
        <v>18615350</v>
      </c>
      <c r="AN12" s="46" t="n">
        <v>18700270</v>
      </c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  <c r="AMM12" s="41"/>
      <c r="AMN12" s="41"/>
      <c r="AMO12" s="41"/>
      <c r="AMP12" s="41"/>
      <c r="AMQ12" s="41"/>
      <c r="AMR12" s="41"/>
      <c r="AMS12" s="41"/>
      <c r="AMT12" s="41"/>
      <c r="AMU12" s="41"/>
      <c r="AMV12" s="41"/>
      <c r="AMW12" s="41"/>
      <c r="AMX12" s="41"/>
      <c r="AMY12" s="41"/>
      <c r="AMZ12" s="41"/>
      <c r="ANA12" s="41"/>
      <c r="ANB12" s="41"/>
      <c r="ANC12" s="41"/>
      <c r="AND12" s="41"/>
      <c r="ANE12" s="41"/>
      <c r="ANF12" s="41"/>
      <c r="ANG12" s="41"/>
      <c r="ANH12" s="41"/>
      <c r="ANI12" s="41"/>
      <c r="ANJ12" s="41"/>
      <c r="ANK12" s="41"/>
    </row>
    <row r="13" s="44" customFormat="true" ht="15" hidden="false" customHeight="false" outlineLevel="0" collapsed="false">
      <c r="A13" s="42" t="s">
        <v>35</v>
      </c>
      <c r="B13" s="43" t="n">
        <v>5700</v>
      </c>
      <c r="C13" s="44" t="n">
        <v>11341.0528512976</v>
      </c>
      <c r="D13" s="44" t="n">
        <v>15600</v>
      </c>
      <c r="E13" s="45" t="n">
        <v>15600</v>
      </c>
      <c r="F13" s="43" t="n">
        <v>0</v>
      </c>
      <c r="G13" s="44" t="n">
        <v>6200</v>
      </c>
      <c r="H13" s="46" t="n">
        <v>0</v>
      </c>
      <c r="I13" s="47" t="n">
        <v>38.5</v>
      </c>
      <c r="J13" s="48" t="n">
        <v>0</v>
      </c>
      <c r="K13" s="43"/>
      <c r="M13" s="46" t="n">
        <v>0</v>
      </c>
      <c r="N13" s="43" t="n">
        <v>0</v>
      </c>
      <c r="O13" s="46" t="n">
        <v>0</v>
      </c>
      <c r="P13" s="49" t="n">
        <v>0</v>
      </c>
      <c r="Q13" s="50" t="n">
        <v>0</v>
      </c>
      <c r="R13" s="44" t="n">
        <v>0</v>
      </c>
      <c r="S13" s="44" t="n">
        <v>0</v>
      </c>
      <c r="T13" s="44" t="n">
        <v>0</v>
      </c>
      <c r="U13" s="44" t="n">
        <v>0</v>
      </c>
      <c r="V13" s="44" t="n">
        <v>0</v>
      </c>
      <c r="W13" s="44" t="n">
        <v>0</v>
      </c>
      <c r="X13" s="44" t="n">
        <v>0</v>
      </c>
      <c r="Y13" s="44" t="n">
        <v>0</v>
      </c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0</v>
      </c>
      <c r="AI13" s="44" t="n">
        <v>0</v>
      </c>
      <c r="AJ13" s="44" t="n">
        <v>0</v>
      </c>
      <c r="AK13" s="44" t="n">
        <v>0</v>
      </c>
      <c r="AL13" s="44" t="n">
        <v>0</v>
      </c>
      <c r="AM13" s="44" t="n">
        <v>0</v>
      </c>
      <c r="AN13" s="46" t="n">
        <v>0</v>
      </c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</row>
    <row r="14" s="44" customFormat="true" ht="15" hidden="false" customHeight="false" outlineLevel="0" collapsed="false">
      <c r="A14" s="42" t="s">
        <v>36</v>
      </c>
      <c r="B14" s="43" t="n">
        <v>1.887532</v>
      </c>
      <c r="C14" s="44" t="n">
        <v>6.563003</v>
      </c>
      <c r="D14" s="44" t="n">
        <v>0</v>
      </c>
      <c r="E14" s="45" t="n">
        <v>0</v>
      </c>
      <c r="F14" s="43" t="n">
        <v>0</v>
      </c>
      <c r="G14" s="44" t="n">
        <v>0</v>
      </c>
      <c r="H14" s="46" t="n">
        <v>0</v>
      </c>
      <c r="I14" s="47" t="n">
        <v>384.2</v>
      </c>
      <c r="J14" s="48" t="n">
        <v>0</v>
      </c>
      <c r="K14" s="43"/>
      <c r="M14" s="46" t="n">
        <v>0</v>
      </c>
      <c r="N14" s="43" t="n">
        <v>0</v>
      </c>
      <c r="O14" s="46" t="n">
        <v>0</v>
      </c>
      <c r="P14" s="49" t="n">
        <v>0</v>
      </c>
      <c r="Q14" s="50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0</v>
      </c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6" t="n">
        <v>0</v>
      </c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  <c r="AMM14" s="41"/>
      <c r="AMN14" s="41"/>
      <c r="AMO14" s="41"/>
      <c r="AMP14" s="41"/>
      <c r="AMQ14" s="41"/>
      <c r="AMR14" s="41"/>
      <c r="AMS14" s="41"/>
      <c r="AMT14" s="41"/>
      <c r="AMU14" s="41"/>
      <c r="AMV14" s="41"/>
      <c r="AMW14" s="41"/>
      <c r="AMX14" s="41"/>
      <c r="AMY14" s="41"/>
      <c r="AMZ14" s="41"/>
      <c r="ANA14" s="41"/>
      <c r="ANB14" s="41"/>
      <c r="ANC14" s="41"/>
      <c r="AND14" s="41"/>
      <c r="ANE14" s="41"/>
      <c r="ANF14" s="41"/>
      <c r="ANG14" s="41"/>
      <c r="ANH14" s="41"/>
      <c r="ANI14" s="41"/>
      <c r="ANJ14" s="41"/>
      <c r="ANK14" s="41"/>
    </row>
    <row r="15" s="44" customFormat="true" ht="15" hidden="false" customHeight="false" outlineLevel="0" collapsed="false">
      <c r="A15" s="42" t="s">
        <v>37</v>
      </c>
      <c r="B15" s="43" t="n">
        <v>450</v>
      </c>
      <c r="C15" s="44" t="n">
        <v>450</v>
      </c>
      <c r="D15" s="44" t="n">
        <v>0</v>
      </c>
      <c r="E15" s="45" t="n">
        <v>0</v>
      </c>
      <c r="F15" s="43" t="n">
        <v>0</v>
      </c>
      <c r="G15" s="44" t="n">
        <v>0</v>
      </c>
      <c r="H15" s="46" t="n">
        <v>0</v>
      </c>
      <c r="I15" s="47" t="n">
        <v>2000</v>
      </c>
      <c r="J15" s="48" t="n">
        <v>0</v>
      </c>
      <c r="K15" s="43"/>
      <c r="M15" s="46" t="n">
        <v>0</v>
      </c>
      <c r="N15" s="43" t="n">
        <v>0</v>
      </c>
      <c r="O15" s="46" t="n">
        <v>0</v>
      </c>
      <c r="P15" s="49" t="n">
        <v>0</v>
      </c>
      <c r="Q15" s="50" t="n">
        <v>0</v>
      </c>
      <c r="R15" s="44" t="n">
        <v>0</v>
      </c>
      <c r="S15" s="44" t="n">
        <v>0</v>
      </c>
      <c r="T15" s="44" t="n">
        <v>0</v>
      </c>
      <c r="U15" s="44" t="n">
        <v>0</v>
      </c>
      <c r="V15" s="44" t="n">
        <v>0</v>
      </c>
      <c r="W15" s="44" t="n">
        <v>0</v>
      </c>
      <c r="X15" s="44" t="n">
        <v>0</v>
      </c>
      <c r="Y15" s="44" t="n">
        <v>0</v>
      </c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6" t="n">
        <v>0</v>
      </c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  <c r="AMK15" s="41"/>
      <c r="AML15" s="41"/>
      <c r="AMM15" s="41"/>
      <c r="AMN15" s="41"/>
      <c r="AMO15" s="41"/>
      <c r="AMP15" s="41"/>
      <c r="AMQ15" s="41"/>
      <c r="AMR15" s="41"/>
      <c r="AMS15" s="41"/>
      <c r="AMT15" s="41"/>
      <c r="AMU15" s="41"/>
      <c r="AMV15" s="41"/>
      <c r="AMW15" s="41"/>
      <c r="AMX15" s="41"/>
      <c r="AMY15" s="41"/>
      <c r="AMZ15" s="41"/>
      <c r="ANA15" s="41"/>
      <c r="ANB15" s="41"/>
      <c r="ANC15" s="41"/>
      <c r="AND15" s="41"/>
      <c r="ANE15" s="41"/>
      <c r="ANF15" s="41"/>
      <c r="ANG15" s="41"/>
      <c r="ANH15" s="41"/>
      <c r="ANI15" s="41"/>
      <c r="ANJ15" s="41"/>
      <c r="ANK15" s="41"/>
    </row>
    <row r="16" s="44" customFormat="true" ht="15" hidden="false" customHeight="false" outlineLevel="0" collapsed="false">
      <c r="A16" s="42" t="s">
        <v>38</v>
      </c>
      <c r="B16" s="43" t="n">
        <v>0</v>
      </c>
      <c r="C16" s="44" t="n">
        <v>0</v>
      </c>
      <c r="D16" s="44" t="n">
        <v>150</v>
      </c>
      <c r="E16" s="45" t="n">
        <v>150</v>
      </c>
      <c r="F16" s="43" t="n">
        <v>0</v>
      </c>
      <c r="G16" s="44" t="n">
        <v>0</v>
      </c>
      <c r="H16" s="46" t="n">
        <v>0</v>
      </c>
      <c r="I16" s="47" t="n">
        <v>120</v>
      </c>
      <c r="J16" s="48" t="n">
        <v>0</v>
      </c>
      <c r="K16" s="43"/>
      <c r="M16" s="46" t="n">
        <v>0</v>
      </c>
      <c r="N16" s="43" t="n">
        <v>0</v>
      </c>
      <c r="O16" s="46" t="n">
        <v>0</v>
      </c>
      <c r="P16" s="49" t="n">
        <v>0</v>
      </c>
      <c r="Q16" s="50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</v>
      </c>
      <c r="Y16" s="44" t="n">
        <v>0</v>
      </c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6" t="n">
        <v>0</v>
      </c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  <c r="AMK16" s="41"/>
      <c r="AML16" s="41"/>
      <c r="AMM16" s="41"/>
      <c r="AMN16" s="41"/>
      <c r="AMO16" s="41"/>
      <c r="AMP16" s="41"/>
      <c r="AMQ16" s="41"/>
      <c r="AMR16" s="41"/>
      <c r="AMS16" s="41"/>
      <c r="AMT16" s="41"/>
      <c r="AMU16" s="41"/>
      <c r="AMV16" s="41"/>
      <c r="AMW16" s="41"/>
      <c r="AMX16" s="41"/>
      <c r="AMY16" s="41"/>
      <c r="AMZ16" s="41"/>
      <c r="ANA16" s="41"/>
      <c r="ANB16" s="41"/>
      <c r="ANC16" s="41"/>
      <c r="AND16" s="41"/>
      <c r="ANE16" s="41"/>
      <c r="ANF16" s="41"/>
      <c r="ANG16" s="41"/>
      <c r="ANH16" s="41"/>
      <c r="ANI16" s="41"/>
      <c r="ANJ16" s="41"/>
      <c r="ANK16" s="41"/>
    </row>
    <row r="17" s="44" customFormat="true" ht="15" hidden="false" customHeight="false" outlineLevel="0" collapsed="false">
      <c r="A17" s="42" t="s">
        <v>39</v>
      </c>
      <c r="B17" s="43" t="n">
        <v>9139.817716</v>
      </c>
      <c r="C17" s="44" t="n">
        <v>9680.553157</v>
      </c>
      <c r="D17" s="44" t="n">
        <v>0</v>
      </c>
      <c r="E17" s="45" t="n">
        <v>310</v>
      </c>
      <c r="F17" s="43" t="n">
        <v>0</v>
      </c>
      <c r="G17" s="44" t="n">
        <v>1140</v>
      </c>
      <c r="H17" s="46" t="n">
        <v>0</v>
      </c>
      <c r="I17" s="47" t="n">
        <v>28</v>
      </c>
      <c r="J17" s="48" t="n">
        <v>0</v>
      </c>
      <c r="K17" s="43"/>
      <c r="M17" s="46" t="n">
        <v>0</v>
      </c>
      <c r="N17" s="43" t="n">
        <v>0</v>
      </c>
      <c r="O17" s="46" t="n">
        <v>0</v>
      </c>
      <c r="P17" s="49" t="n">
        <v>0</v>
      </c>
      <c r="Q17" s="50" t="n">
        <v>0</v>
      </c>
      <c r="R17" s="44" t="n">
        <v>0</v>
      </c>
      <c r="S17" s="44" t="n">
        <v>0</v>
      </c>
      <c r="T17" s="44" t="n">
        <v>0</v>
      </c>
      <c r="U17" s="44" t="n">
        <v>0</v>
      </c>
      <c r="V17" s="44" t="n">
        <v>0</v>
      </c>
      <c r="W17" s="44" t="n">
        <v>0</v>
      </c>
      <c r="X17" s="44" t="n">
        <v>0</v>
      </c>
      <c r="Y17" s="44" t="n">
        <v>0</v>
      </c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6" t="n">
        <v>0</v>
      </c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</row>
    <row r="18" s="44" customFormat="true" ht="15" hidden="false" customHeight="false" outlineLevel="0" collapsed="false">
      <c r="A18" s="42" t="s">
        <v>40</v>
      </c>
      <c r="B18" s="43" t="n">
        <v>0</v>
      </c>
      <c r="C18" s="44" t="n">
        <v>0</v>
      </c>
      <c r="D18" s="44" t="n">
        <v>0</v>
      </c>
      <c r="E18" s="45" t="n">
        <v>2500</v>
      </c>
      <c r="F18" s="43" t="n">
        <v>0</v>
      </c>
      <c r="G18" s="44" t="n">
        <v>0</v>
      </c>
      <c r="H18" s="46" t="n">
        <v>0</v>
      </c>
      <c r="I18" s="47" t="n">
        <v>28</v>
      </c>
      <c r="J18" s="48" t="n">
        <v>0</v>
      </c>
      <c r="K18" s="43"/>
      <c r="M18" s="46" t="n">
        <v>0</v>
      </c>
      <c r="N18" s="43" t="n">
        <v>0</v>
      </c>
      <c r="O18" s="46" t="n">
        <v>0</v>
      </c>
      <c r="P18" s="49" t="n">
        <v>0</v>
      </c>
      <c r="Q18" s="50" t="n">
        <v>0</v>
      </c>
      <c r="R18" s="44" t="n">
        <v>0</v>
      </c>
      <c r="S18" s="44" t="n">
        <v>0</v>
      </c>
      <c r="T18" s="44" t="n">
        <v>0</v>
      </c>
      <c r="U18" s="44" t="n">
        <v>0</v>
      </c>
      <c r="V18" s="44" t="n">
        <v>0</v>
      </c>
      <c r="W18" s="44" t="n">
        <v>0</v>
      </c>
      <c r="X18" s="44" t="n">
        <v>0</v>
      </c>
      <c r="Y18" s="44" t="n">
        <v>0</v>
      </c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44" t="n">
        <v>0</v>
      </c>
      <c r="AJ18" s="44" t="n">
        <v>0</v>
      </c>
      <c r="AK18" s="44" t="n">
        <v>0</v>
      </c>
      <c r="AL18" s="44" t="n">
        <v>0</v>
      </c>
      <c r="AM18" s="44" t="n">
        <v>0</v>
      </c>
      <c r="AN18" s="46" t="n">
        <v>0</v>
      </c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1"/>
      <c r="MO18" s="41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  <c r="NO18" s="41"/>
      <c r="NP18" s="41"/>
      <c r="NQ18" s="41"/>
      <c r="NR18" s="41"/>
      <c r="NS18" s="41"/>
      <c r="NT18" s="41"/>
      <c r="NU18" s="41"/>
      <c r="NV18" s="41"/>
      <c r="NW18" s="41"/>
      <c r="NX18" s="41"/>
      <c r="NY18" s="41"/>
      <c r="NZ18" s="41"/>
      <c r="OA18" s="41"/>
      <c r="OB18" s="41"/>
      <c r="OC18" s="41"/>
      <c r="OD18" s="41"/>
      <c r="OE18" s="41"/>
      <c r="OF18" s="41"/>
      <c r="OG18" s="41"/>
      <c r="OH18" s="41"/>
      <c r="OI18" s="41"/>
      <c r="OJ18" s="41"/>
      <c r="OK18" s="41"/>
      <c r="OL18" s="41"/>
      <c r="OM18" s="41"/>
      <c r="ON18" s="41"/>
      <c r="OO18" s="41"/>
      <c r="OP18" s="41"/>
      <c r="OQ18" s="41"/>
      <c r="OR18" s="41"/>
      <c r="OS18" s="41"/>
      <c r="OT18" s="41"/>
      <c r="OU18" s="41"/>
      <c r="OV18" s="41"/>
      <c r="OW18" s="41"/>
      <c r="OX18" s="41"/>
      <c r="OY18" s="41"/>
      <c r="OZ18" s="41"/>
      <c r="PA18" s="41"/>
      <c r="PB18" s="41"/>
      <c r="PC18" s="41"/>
      <c r="PD18" s="41"/>
      <c r="PE18" s="41"/>
      <c r="PF18" s="41"/>
      <c r="PG18" s="41"/>
      <c r="PH18" s="41"/>
      <c r="PI18" s="41"/>
      <c r="PJ18" s="41"/>
      <c r="PK18" s="41"/>
      <c r="PL18" s="41"/>
      <c r="PM18" s="41"/>
      <c r="PN18" s="41"/>
      <c r="PO18" s="41"/>
      <c r="PP18" s="41"/>
      <c r="PQ18" s="41"/>
      <c r="PR18" s="41"/>
      <c r="PS18" s="41"/>
      <c r="PT18" s="41"/>
      <c r="PU18" s="41"/>
      <c r="PV18" s="41"/>
      <c r="PW18" s="41"/>
      <c r="PX18" s="41"/>
      <c r="PY18" s="41"/>
      <c r="PZ18" s="41"/>
      <c r="QA18" s="41"/>
      <c r="QB18" s="41"/>
      <c r="QC18" s="41"/>
      <c r="QD18" s="41"/>
      <c r="QE18" s="41"/>
      <c r="QF18" s="41"/>
      <c r="QG18" s="41"/>
      <c r="QH18" s="41"/>
      <c r="QI18" s="41"/>
      <c r="QJ18" s="41"/>
      <c r="QK18" s="41"/>
      <c r="QL18" s="41"/>
      <c r="QM18" s="41"/>
      <c r="QN18" s="41"/>
      <c r="QO18" s="41"/>
      <c r="QP18" s="41"/>
      <c r="QQ18" s="41"/>
      <c r="QR18" s="41"/>
      <c r="QS18" s="41"/>
      <c r="QT18" s="41"/>
      <c r="QU18" s="41"/>
      <c r="QV18" s="41"/>
      <c r="QW18" s="41"/>
      <c r="QX18" s="41"/>
      <c r="QY18" s="41"/>
      <c r="QZ18" s="41"/>
      <c r="RA18" s="41"/>
      <c r="RB18" s="41"/>
      <c r="RC18" s="41"/>
      <c r="RD18" s="41"/>
      <c r="RE18" s="41"/>
      <c r="RF18" s="41"/>
      <c r="RG18" s="41"/>
      <c r="RH18" s="41"/>
      <c r="RI18" s="41"/>
      <c r="RJ18" s="41"/>
      <c r="RK18" s="41"/>
      <c r="RL18" s="41"/>
      <c r="RM18" s="41"/>
      <c r="RN18" s="41"/>
      <c r="RO18" s="41"/>
      <c r="RP18" s="41"/>
      <c r="RQ18" s="41"/>
      <c r="RR18" s="41"/>
      <c r="RS18" s="41"/>
      <c r="RT18" s="41"/>
      <c r="RU18" s="41"/>
      <c r="RV18" s="41"/>
      <c r="RW18" s="41"/>
      <c r="RX18" s="41"/>
      <c r="RY18" s="41"/>
      <c r="RZ18" s="41"/>
      <c r="SA18" s="41"/>
      <c r="SB18" s="41"/>
      <c r="SC18" s="41"/>
      <c r="SD18" s="41"/>
      <c r="SE18" s="41"/>
      <c r="SF18" s="41"/>
      <c r="SG18" s="41"/>
      <c r="SH18" s="41"/>
      <c r="SI18" s="41"/>
      <c r="SJ18" s="41"/>
      <c r="SK18" s="41"/>
      <c r="SL18" s="41"/>
      <c r="SM18" s="41"/>
      <c r="SN18" s="41"/>
      <c r="SO18" s="41"/>
      <c r="SP18" s="41"/>
      <c r="SQ18" s="41"/>
      <c r="SR18" s="41"/>
      <c r="SS18" s="41"/>
      <c r="ST18" s="41"/>
      <c r="SU18" s="41"/>
      <c r="SV18" s="41"/>
      <c r="SW18" s="41"/>
      <c r="SX18" s="41"/>
      <c r="SY18" s="41"/>
      <c r="SZ18" s="41"/>
      <c r="TA18" s="41"/>
      <c r="TB18" s="41"/>
      <c r="TC18" s="41"/>
      <c r="TD18" s="41"/>
      <c r="TE18" s="41"/>
      <c r="TF18" s="41"/>
      <c r="TG18" s="41"/>
      <c r="TH18" s="41"/>
      <c r="TI18" s="41"/>
      <c r="TJ18" s="41"/>
      <c r="TK18" s="41"/>
      <c r="TL18" s="41"/>
      <c r="TM18" s="41"/>
      <c r="TN18" s="41"/>
      <c r="TO18" s="41"/>
      <c r="TP18" s="41"/>
      <c r="TQ18" s="41"/>
      <c r="TR18" s="41"/>
      <c r="TS18" s="41"/>
      <c r="TT18" s="41"/>
      <c r="TU18" s="41"/>
      <c r="TV18" s="41"/>
      <c r="TW18" s="41"/>
      <c r="TX18" s="41"/>
      <c r="TY18" s="41"/>
      <c r="TZ18" s="41"/>
      <c r="UA18" s="41"/>
      <c r="UB18" s="41"/>
      <c r="UC18" s="41"/>
      <c r="UD18" s="41"/>
      <c r="UE18" s="41"/>
      <c r="UF18" s="41"/>
      <c r="UG18" s="41"/>
      <c r="UH18" s="41"/>
      <c r="UI18" s="41"/>
      <c r="UJ18" s="41"/>
      <c r="UK18" s="41"/>
      <c r="UL18" s="41"/>
      <c r="UM18" s="41"/>
      <c r="UN18" s="41"/>
      <c r="UO18" s="41"/>
      <c r="UP18" s="41"/>
      <c r="UQ18" s="41"/>
      <c r="UR18" s="41"/>
      <c r="US18" s="41"/>
      <c r="UT18" s="41"/>
      <c r="UU18" s="41"/>
      <c r="UV18" s="41"/>
      <c r="UW18" s="41"/>
      <c r="UX18" s="41"/>
      <c r="UY18" s="41"/>
      <c r="UZ18" s="41"/>
      <c r="VA18" s="41"/>
      <c r="VB18" s="41"/>
      <c r="VC18" s="41"/>
      <c r="VD18" s="41"/>
      <c r="VE18" s="41"/>
      <c r="VF18" s="41"/>
      <c r="VG18" s="41"/>
      <c r="VH18" s="41"/>
      <c r="VI18" s="41"/>
      <c r="VJ18" s="41"/>
      <c r="VK18" s="41"/>
      <c r="VL18" s="41"/>
      <c r="VM18" s="41"/>
      <c r="VN18" s="41"/>
      <c r="VO18" s="41"/>
      <c r="VP18" s="41"/>
      <c r="VQ18" s="41"/>
      <c r="VR18" s="41"/>
      <c r="VS18" s="41"/>
      <c r="VT18" s="41"/>
      <c r="VU18" s="41"/>
      <c r="VV18" s="41"/>
      <c r="VW18" s="41"/>
      <c r="VX18" s="41"/>
      <c r="VY18" s="41"/>
      <c r="VZ18" s="41"/>
      <c r="WA18" s="41"/>
      <c r="WB18" s="41"/>
      <c r="WC18" s="41"/>
      <c r="WD18" s="41"/>
      <c r="WE18" s="41"/>
      <c r="WF18" s="41"/>
      <c r="WG18" s="41"/>
      <c r="WH18" s="41"/>
      <c r="WI18" s="41"/>
      <c r="WJ18" s="41"/>
      <c r="WK18" s="41"/>
      <c r="WL18" s="41"/>
      <c r="WM18" s="41"/>
      <c r="WN18" s="41"/>
      <c r="WO18" s="41"/>
      <c r="WP18" s="41"/>
      <c r="WQ18" s="41"/>
      <c r="WR18" s="41"/>
      <c r="WS18" s="41"/>
      <c r="WT18" s="41"/>
      <c r="WU18" s="41"/>
      <c r="WV18" s="41"/>
      <c r="WW18" s="41"/>
      <c r="WX18" s="41"/>
      <c r="WY18" s="41"/>
      <c r="WZ18" s="41"/>
      <c r="XA18" s="41"/>
      <c r="XB18" s="41"/>
      <c r="XC18" s="41"/>
      <c r="XD18" s="41"/>
      <c r="XE18" s="41"/>
      <c r="XF18" s="41"/>
      <c r="XG18" s="41"/>
      <c r="XH18" s="41"/>
      <c r="XI18" s="41"/>
      <c r="XJ18" s="41"/>
      <c r="XK18" s="41"/>
      <c r="XL18" s="41"/>
      <c r="XM18" s="41"/>
      <c r="XN18" s="41"/>
      <c r="XO18" s="41"/>
      <c r="XP18" s="41"/>
      <c r="XQ18" s="41"/>
      <c r="XR18" s="41"/>
      <c r="XS18" s="41"/>
      <c r="XT18" s="41"/>
      <c r="XU18" s="41"/>
      <c r="XV18" s="41"/>
      <c r="XW18" s="41"/>
      <c r="XX18" s="41"/>
      <c r="XY18" s="41"/>
      <c r="XZ18" s="41"/>
      <c r="YA18" s="41"/>
      <c r="YB18" s="41"/>
      <c r="YC18" s="41"/>
      <c r="YD18" s="41"/>
      <c r="YE18" s="41"/>
      <c r="YF18" s="41"/>
      <c r="YG18" s="41"/>
      <c r="YH18" s="41"/>
      <c r="YI18" s="41"/>
      <c r="YJ18" s="41"/>
      <c r="YK18" s="41"/>
      <c r="YL18" s="41"/>
      <c r="YM18" s="41"/>
      <c r="YN18" s="41"/>
      <c r="YO18" s="41"/>
      <c r="YP18" s="41"/>
      <c r="YQ18" s="41"/>
      <c r="YR18" s="41"/>
      <c r="YS18" s="41"/>
      <c r="YT18" s="41"/>
      <c r="YU18" s="41"/>
      <c r="YV18" s="41"/>
      <c r="YW18" s="41"/>
      <c r="YX18" s="41"/>
      <c r="YY18" s="41"/>
      <c r="YZ18" s="41"/>
      <c r="ZA18" s="41"/>
      <c r="ZB18" s="41"/>
      <c r="ZC18" s="41"/>
      <c r="ZD18" s="41"/>
      <c r="ZE18" s="41"/>
      <c r="ZF18" s="41"/>
      <c r="ZG18" s="41"/>
      <c r="ZH18" s="41"/>
      <c r="ZI18" s="41"/>
      <c r="ZJ18" s="41"/>
      <c r="ZK18" s="41"/>
      <c r="ZL18" s="41"/>
      <c r="ZM18" s="41"/>
      <c r="ZN18" s="41"/>
      <c r="ZO18" s="41"/>
      <c r="ZP18" s="41"/>
      <c r="ZQ18" s="41"/>
      <c r="ZR18" s="41"/>
      <c r="ZS18" s="41"/>
      <c r="ZT18" s="41"/>
      <c r="ZU18" s="41"/>
      <c r="ZV18" s="41"/>
      <c r="ZW18" s="41"/>
      <c r="ZX18" s="41"/>
      <c r="ZY18" s="41"/>
      <c r="ZZ18" s="41"/>
      <c r="AAA18" s="41"/>
      <c r="AAB18" s="41"/>
      <c r="AAC18" s="41"/>
      <c r="AAD18" s="41"/>
      <c r="AAE18" s="41"/>
      <c r="AAF18" s="41"/>
      <c r="AAG18" s="41"/>
      <c r="AAH18" s="41"/>
      <c r="AAI18" s="41"/>
      <c r="AAJ18" s="41"/>
      <c r="AAK18" s="41"/>
      <c r="AAL18" s="41"/>
      <c r="AAM18" s="41"/>
      <c r="AAN18" s="41"/>
      <c r="AAO18" s="41"/>
      <c r="AAP18" s="41"/>
      <c r="AAQ18" s="41"/>
      <c r="AAR18" s="41"/>
      <c r="AAS18" s="41"/>
      <c r="AAT18" s="41"/>
      <c r="AAU18" s="41"/>
      <c r="AAV18" s="41"/>
      <c r="AAW18" s="41"/>
      <c r="AAX18" s="41"/>
      <c r="AAY18" s="41"/>
      <c r="AAZ18" s="41"/>
      <c r="ABA18" s="41"/>
      <c r="ABB18" s="41"/>
      <c r="ABC18" s="41"/>
      <c r="ABD18" s="41"/>
      <c r="ABE18" s="41"/>
      <c r="ABF18" s="41"/>
      <c r="ABG18" s="41"/>
      <c r="ABH18" s="41"/>
      <c r="ABI18" s="41"/>
      <c r="ABJ18" s="41"/>
      <c r="ABK18" s="41"/>
      <c r="ABL18" s="41"/>
      <c r="ABM18" s="41"/>
      <c r="ABN18" s="41"/>
      <c r="ABO18" s="41"/>
      <c r="ABP18" s="41"/>
      <c r="ABQ18" s="41"/>
      <c r="ABR18" s="41"/>
      <c r="ABS18" s="41"/>
      <c r="ABT18" s="41"/>
      <c r="ABU18" s="41"/>
      <c r="ABV18" s="41"/>
      <c r="ABW18" s="41"/>
      <c r="ABX18" s="41"/>
      <c r="ABY18" s="41"/>
      <c r="ABZ18" s="41"/>
      <c r="ACA18" s="41"/>
      <c r="ACB18" s="41"/>
      <c r="ACC18" s="41"/>
      <c r="ACD18" s="41"/>
      <c r="ACE18" s="41"/>
      <c r="ACF18" s="41"/>
      <c r="ACG18" s="41"/>
      <c r="ACH18" s="41"/>
      <c r="ACI18" s="41"/>
      <c r="ACJ18" s="41"/>
      <c r="ACK18" s="41"/>
      <c r="ACL18" s="41"/>
      <c r="ACM18" s="41"/>
      <c r="ACN18" s="41"/>
      <c r="ACO18" s="41"/>
      <c r="ACP18" s="41"/>
      <c r="ACQ18" s="41"/>
      <c r="ACR18" s="41"/>
      <c r="ACS18" s="41"/>
      <c r="ACT18" s="41"/>
      <c r="ACU18" s="41"/>
      <c r="ACV18" s="41"/>
      <c r="ACW18" s="41"/>
      <c r="ACX18" s="41"/>
      <c r="ACY18" s="41"/>
      <c r="ACZ18" s="41"/>
      <c r="ADA18" s="41"/>
      <c r="ADB18" s="41"/>
      <c r="ADC18" s="41"/>
      <c r="ADD18" s="41"/>
      <c r="ADE18" s="41"/>
      <c r="ADF18" s="41"/>
      <c r="ADG18" s="41"/>
      <c r="ADH18" s="41"/>
      <c r="ADI18" s="41"/>
      <c r="ADJ18" s="41"/>
      <c r="ADK18" s="41"/>
      <c r="ADL18" s="41"/>
      <c r="ADM18" s="41"/>
      <c r="ADN18" s="41"/>
      <c r="ADO18" s="41"/>
      <c r="ADP18" s="41"/>
      <c r="ADQ18" s="41"/>
      <c r="ADR18" s="41"/>
      <c r="ADS18" s="41"/>
      <c r="ADT18" s="41"/>
      <c r="ADU18" s="41"/>
      <c r="ADV18" s="41"/>
      <c r="ADW18" s="41"/>
      <c r="ADX18" s="41"/>
      <c r="ADY18" s="41"/>
      <c r="ADZ18" s="41"/>
      <c r="AEA18" s="41"/>
      <c r="AEB18" s="41"/>
      <c r="AEC18" s="41"/>
      <c r="AED18" s="41"/>
      <c r="AEE18" s="41"/>
      <c r="AEF18" s="41"/>
      <c r="AEG18" s="41"/>
      <c r="AEH18" s="41"/>
      <c r="AEI18" s="41"/>
      <c r="AEJ18" s="41"/>
      <c r="AEK18" s="41"/>
      <c r="AEL18" s="41"/>
      <c r="AEM18" s="41"/>
      <c r="AEN18" s="41"/>
      <c r="AEO18" s="41"/>
      <c r="AEP18" s="41"/>
      <c r="AEQ18" s="41"/>
      <c r="AER18" s="41"/>
      <c r="AES18" s="41"/>
      <c r="AET18" s="41"/>
      <c r="AEU18" s="41"/>
      <c r="AEV18" s="41"/>
      <c r="AEW18" s="41"/>
      <c r="AEX18" s="41"/>
      <c r="AEY18" s="41"/>
      <c r="AEZ18" s="41"/>
      <c r="AFA18" s="41"/>
      <c r="AFB18" s="41"/>
      <c r="AFC18" s="41"/>
      <c r="AFD18" s="41"/>
      <c r="AFE18" s="41"/>
      <c r="AFF18" s="41"/>
      <c r="AFG18" s="41"/>
      <c r="AFH18" s="41"/>
      <c r="AFI18" s="41"/>
      <c r="AFJ18" s="41"/>
      <c r="AFK18" s="41"/>
      <c r="AFL18" s="41"/>
      <c r="AFM18" s="41"/>
      <c r="AFN18" s="41"/>
      <c r="AFO18" s="41"/>
      <c r="AFP18" s="41"/>
      <c r="AFQ18" s="41"/>
      <c r="AFR18" s="41"/>
      <c r="AFS18" s="41"/>
      <c r="AFT18" s="41"/>
      <c r="AFU18" s="41"/>
      <c r="AFV18" s="41"/>
      <c r="AFW18" s="41"/>
      <c r="AFX18" s="41"/>
      <c r="AFY18" s="41"/>
      <c r="AFZ18" s="41"/>
      <c r="AGA18" s="41"/>
      <c r="AGB18" s="41"/>
      <c r="AGC18" s="41"/>
      <c r="AGD18" s="41"/>
      <c r="AGE18" s="41"/>
      <c r="AGF18" s="41"/>
      <c r="AGG18" s="41"/>
      <c r="AGH18" s="41"/>
      <c r="AGI18" s="41"/>
      <c r="AGJ18" s="41"/>
      <c r="AGK18" s="41"/>
      <c r="AGL18" s="41"/>
      <c r="AGM18" s="41"/>
      <c r="AGN18" s="41"/>
      <c r="AGO18" s="41"/>
      <c r="AGP18" s="41"/>
      <c r="AGQ18" s="41"/>
      <c r="AGR18" s="41"/>
      <c r="AGS18" s="41"/>
      <c r="AGT18" s="41"/>
      <c r="AGU18" s="41"/>
      <c r="AGV18" s="41"/>
      <c r="AGW18" s="41"/>
      <c r="AGX18" s="41"/>
      <c r="AGY18" s="41"/>
      <c r="AGZ18" s="41"/>
      <c r="AHA18" s="41"/>
      <c r="AHB18" s="41"/>
      <c r="AHC18" s="41"/>
      <c r="AHD18" s="41"/>
      <c r="AHE18" s="41"/>
      <c r="AHF18" s="41"/>
      <c r="AHG18" s="41"/>
      <c r="AHH18" s="41"/>
      <c r="AHI18" s="41"/>
      <c r="AHJ18" s="41"/>
      <c r="AHK18" s="41"/>
      <c r="AHL18" s="41"/>
      <c r="AHM18" s="41"/>
      <c r="AHN18" s="41"/>
      <c r="AHO18" s="41"/>
      <c r="AHP18" s="41"/>
      <c r="AHQ18" s="41"/>
      <c r="AHR18" s="41"/>
      <c r="AHS18" s="41"/>
      <c r="AHT18" s="41"/>
      <c r="AHU18" s="41"/>
      <c r="AHV18" s="41"/>
      <c r="AHW18" s="41"/>
      <c r="AHX18" s="41"/>
      <c r="AHY18" s="41"/>
      <c r="AHZ18" s="41"/>
      <c r="AIA18" s="41"/>
      <c r="AIB18" s="41"/>
      <c r="AIC18" s="41"/>
      <c r="AID18" s="41"/>
      <c r="AIE18" s="41"/>
      <c r="AIF18" s="41"/>
      <c r="AIG18" s="41"/>
      <c r="AIH18" s="41"/>
      <c r="AII18" s="41"/>
      <c r="AIJ18" s="41"/>
      <c r="AIK18" s="41"/>
      <c r="AIL18" s="41"/>
      <c r="AIM18" s="41"/>
      <c r="AIN18" s="41"/>
      <c r="AIO18" s="41"/>
      <c r="AIP18" s="41"/>
      <c r="AIQ18" s="41"/>
      <c r="AIR18" s="41"/>
      <c r="AIS18" s="41"/>
      <c r="AIT18" s="41"/>
      <c r="AIU18" s="41"/>
      <c r="AIV18" s="41"/>
      <c r="AIW18" s="41"/>
      <c r="AIX18" s="41"/>
      <c r="AIY18" s="41"/>
      <c r="AIZ18" s="41"/>
      <c r="AJA18" s="41"/>
      <c r="AJB18" s="41"/>
      <c r="AJC18" s="41"/>
      <c r="AJD18" s="41"/>
      <c r="AJE18" s="41"/>
      <c r="AJF18" s="41"/>
      <c r="AJG18" s="41"/>
      <c r="AJH18" s="41"/>
      <c r="AJI18" s="41"/>
      <c r="AJJ18" s="41"/>
      <c r="AJK18" s="41"/>
      <c r="AJL18" s="41"/>
      <c r="AJM18" s="41"/>
      <c r="AJN18" s="41"/>
      <c r="AJO18" s="41"/>
      <c r="AJP18" s="41"/>
      <c r="AJQ18" s="41"/>
      <c r="AJR18" s="41"/>
      <c r="AJS18" s="41"/>
      <c r="AJT18" s="41"/>
      <c r="AJU18" s="41"/>
      <c r="AJV18" s="41"/>
      <c r="AJW18" s="41"/>
      <c r="AJX18" s="41"/>
      <c r="AJY18" s="41"/>
      <c r="AJZ18" s="41"/>
      <c r="AKA18" s="41"/>
      <c r="AKB18" s="41"/>
      <c r="AKC18" s="41"/>
      <c r="AKD18" s="41"/>
      <c r="AKE18" s="41"/>
      <c r="AKF18" s="41"/>
      <c r="AKG18" s="41"/>
      <c r="AKH18" s="41"/>
      <c r="AKI18" s="41"/>
      <c r="AKJ18" s="41"/>
      <c r="AKK18" s="41"/>
      <c r="AKL18" s="41"/>
      <c r="AKM18" s="41"/>
      <c r="AKN18" s="41"/>
      <c r="AKO18" s="41"/>
      <c r="AKP18" s="41"/>
      <c r="AKQ18" s="41"/>
      <c r="AKR18" s="41"/>
      <c r="AKS18" s="41"/>
      <c r="AKT18" s="41"/>
      <c r="AKU18" s="41"/>
      <c r="AKV18" s="41"/>
      <c r="AKW18" s="41"/>
      <c r="AKX18" s="41"/>
      <c r="AKY18" s="41"/>
      <c r="AKZ18" s="41"/>
      <c r="ALA18" s="41"/>
      <c r="ALB18" s="41"/>
      <c r="ALC18" s="41"/>
      <c r="ALD18" s="41"/>
      <c r="ALE18" s="41"/>
      <c r="ALF18" s="41"/>
      <c r="ALG18" s="41"/>
      <c r="ALH18" s="41"/>
      <c r="ALI18" s="41"/>
      <c r="ALJ18" s="41"/>
      <c r="ALK18" s="41"/>
      <c r="ALL18" s="41"/>
      <c r="ALM18" s="41"/>
      <c r="ALN18" s="41"/>
      <c r="ALO18" s="41"/>
      <c r="ALP18" s="41"/>
      <c r="ALQ18" s="41"/>
      <c r="ALR18" s="41"/>
      <c r="ALS18" s="41"/>
      <c r="ALT18" s="41"/>
      <c r="ALU18" s="41"/>
      <c r="ALV18" s="41"/>
      <c r="ALW18" s="41"/>
      <c r="ALX18" s="41"/>
      <c r="ALY18" s="41"/>
      <c r="ALZ18" s="41"/>
      <c r="AMA18" s="41"/>
      <c r="AMB18" s="41"/>
      <c r="AMC18" s="41"/>
      <c r="AMD18" s="41"/>
      <c r="AME18" s="41"/>
      <c r="AMF18" s="41"/>
      <c r="AMG18" s="41"/>
      <c r="AMH18" s="41"/>
      <c r="AMI18" s="41"/>
      <c r="AMJ18" s="41"/>
      <c r="AMK18" s="41"/>
      <c r="AML18" s="41"/>
      <c r="AMM18" s="41"/>
      <c r="AMN18" s="41"/>
      <c r="AMO18" s="41"/>
      <c r="AMP18" s="41"/>
      <c r="AMQ18" s="41"/>
      <c r="AMR18" s="41"/>
      <c r="AMS18" s="41"/>
      <c r="AMT18" s="41"/>
      <c r="AMU18" s="41"/>
      <c r="AMV18" s="41"/>
      <c r="AMW18" s="41"/>
      <c r="AMX18" s="41"/>
      <c r="AMY18" s="41"/>
      <c r="AMZ18" s="41"/>
      <c r="ANA18" s="41"/>
      <c r="ANB18" s="41"/>
      <c r="ANC18" s="41"/>
      <c r="AND18" s="41"/>
      <c r="ANE18" s="41"/>
      <c r="ANF18" s="41"/>
      <c r="ANG18" s="41"/>
      <c r="ANH18" s="41"/>
      <c r="ANI18" s="41"/>
      <c r="ANJ18" s="41"/>
      <c r="ANK18" s="41"/>
    </row>
    <row r="19" s="44" customFormat="true" ht="15" hidden="false" customHeight="false" outlineLevel="0" collapsed="false">
      <c r="A19" s="42" t="s">
        <v>41</v>
      </c>
      <c r="B19" s="43" t="n">
        <v>0.053282</v>
      </c>
      <c r="C19" s="44" t="n">
        <v>0.055784</v>
      </c>
      <c r="D19" s="44" t="n">
        <v>0.001012</v>
      </c>
      <c r="E19" s="45" t="n">
        <v>0</v>
      </c>
      <c r="F19" s="43" t="n">
        <v>0</v>
      </c>
      <c r="G19" s="44" t="n">
        <v>0</v>
      </c>
      <c r="H19" s="46" t="n">
        <v>0</v>
      </c>
      <c r="I19" s="47" t="n">
        <v>218</v>
      </c>
      <c r="J19" s="48" t="n">
        <v>0</v>
      </c>
      <c r="K19" s="43"/>
      <c r="M19" s="46" t="n">
        <v>0.005</v>
      </c>
      <c r="N19" s="43" t="n">
        <v>0.0052</v>
      </c>
      <c r="O19" s="46" t="n">
        <v>1</v>
      </c>
      <c r="P19" s="49" t="n">
        <v>10.1109898130647</v>
      </c>
      <c r="Q19" s="50" t="n">
        <v>-434.34489379048</v>
      </c>
      <c r="R19" s="44" t="n">
        <v>35</v>
      </c>
      <c r="S19" s="44" t="n">
        <v>35</v>
      </c>
      <c r="T19" s="44" t="n">
        <v>63</v>
      </c>
      <c r="U19" s="44" t="n">
        <v>54</v>
      </c>
      <c r="V19" s="44" t="n">
        <v>60</v>
      </c>
      <c r="W19" s="44" t="n">
        <v>75</v>
      </c>
      <c r="X19" s="44" t="n">
        <v>100</v>
      </c>
      <c r="Y19" s="44" t="n">
        <v>75</v>
      </c>
      <c r="Z19" s="44" t="n">
        <v>64</v>
      </c>
      <c r="AA19" s="44" t="n">
        <v>69</v>
      </c>
      <c r="AB19" s="44" t="n">
        <v>60</v>
      </c>
      <c r="AC19" s="44" t="n">
        <v>69</v>
      </c>
      <c r="AD19" s="44" t="n">
        <v>80</v>
      </c>
      <c r="AE19" s="44" t="n">
        <v>80</v>
      </c>
      <c r="AF19" s="44" t="n">
        <v>111</v>
      </c>
      <c r="AG19" s="44" t="n">
        <v>69</v>
      </c>
      <c r="AH19" s="44" t="n">
        <v>172</v>
      </c>
      <c r="AI19" s="44" t="n">
        <v>282</v>
      </c>
      <c r="AJ19" s="44" t="n">
        <v>373</v>
      </c>
      <c r="AK19" s="44" t="n">
        <v>340</v>
      </c>
      <c r="AL19" s="44" t="n">
        <v>415</v>
      </c>
      <c r="AM19" s="44" t="n">
        <v>440</v>
      </c>
      <c r="AN19" s="46" t="n">
        <v>345</v>
      </c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  <c r="LO19" s="41"/>
      <c r="LP19" s="41"/>
      <c r="LQ19" s="41"/>
      <c r="LR19" s="41"/>
      <c r="LS19" s="41"/>
      <c r="LT19" s="41"/>
      <c r="LU19" s="41"/>
      <c r="LV19" s="41"/>
      <c r="LW19" s="41"/>
      <c r="LX19" s="41"/>
      <c r="LY19" s="41"/>
      <c r="LZ19" s="41"/>
      <c r="MA19" s="41"/>
      <c r="MB19" s="41"/>
      <c r="MC19" s="41"/>
      <c r="MD19" s="41"/>
      <c r="ME19" s="41"/>
      <c r="MF19" s="41"/>
      <c r="MG19" s="41"/>
      <c r="MH19" s="41"/>
      <c r="MI19" s="41"/>
      <c r="MJ19" s="41"/>
      <c r="MK19" s="41"/>
      <c r="ML19" s="41"/>
      <c r="MM19" s="41"/>
      <c r="MN19" s="41"/>
      <c r="MO19" s="41"/>
      <c r="MP19" s="41"/>
      <c r="MQ19" s="41"/>
      <c r="MR19" s="41"/>
      <c r="MS19" s="41"/>
      <c r="MT19" s="41"/>
      <c r="MU19" s="41"/>
      <c r="MV19" s="41"/>
      <c r="MW19" s="41"/>
      <c r="MX19" s="41"/>
      <c r="MY19" s="41"/>
      <c r="MZ19" s="41"/>
      <c r="NA19" s="41"/>
      <c r="NB19" s="41"/>
      <c r="NC19" s="41"/>
      <c r="ND19" s="41"/>
      <c r="NE19" s="41"/>
      <c r="NF19" s="41"/>
      <c r="NG19" s="41"/>
      <c r="NH19" s="41"/>
      <c r="NI19" s="41"/>
      <c r="NJ19" s="41"/>
      <c r="NK19" s="41"/>
      <c r="NL19" s="41"/>
      <c r="NM19" s="41"/>
      <c r="NN19" s="41"/>
      <c r="NO19" s="41"/>
      <c r="NP19" s="41"/>
      <c r="NQ19" s="41"/>
      <c r="NR19" s="41"/>
      <c r="NS19" s="41"/>
      <c r="NT19" s="41"/>
      <c r="NU19" s="41"/>
      <c r="NV19" s="41"/>
      <c r="NW19" s="41"/>
      <c r="NX19" s="41"/>
      <c r="NY19" s="41"/>
      <c r="NZ19" s="41"/>
      <c r="OA19" s="41"/>
      <c r="OB19" s="41"/>
      <c r="OC19" s="41"/>
      <c r="OD19" s="41"/>
      <c r="OE19" s="41"/>
      <c r="OF19" s="41"/>
      <c r="OG19" s="41"/>
      <c r="OH19" s="41"/>
      <c r="OI19" s="41"/>
      <c r="OJ19" s="41"/>
      <c r="OK19" s="41"/>
      <c r="OL19" s="41"/>
      <c r="OM19" s="41"/>
      <c r="ON19" s="41"/>
      <c r="OO19" s="41"/>
      <c r="OP19" s="41"/>
      <c r="OQ19" s="41"/>
      <c r="OR19" s="41"/>
      <c r="OS19" s="41"/>
      <c r="OT19" s="41"/>
      <c r="OU19" s="41"/>
      <c r="OV19" s="41"/>
      <c r="OW19" s="41"/>
      <c r="OX19" s="41"/>
      <c r="OY19" s="41"/>
      <c r="OZ19" s="41"/>
      <c r="PA19" s="41"/>
      <c r="PB19" s="41"/>
      <c r="PC19" s="41"/>
      <c r="PD19" s="41"/>
      <c r="PE19" s="41"/>
      <c r="PF19" s="41"/>
      <c r="PG19" s="41"/>
      <c r="PH19" s="41"/>
      <c r="PI19" s="41"/>
      <c r="PJ19" s="41"/>
      <c r="PK19" s="41"/>
      <c r="PL19" s="41"/>
      <c r="PM19" s="41"/>
      <c r="PN19" s="41"/>
      <c r="PO19" s="41"/>
      <c r="PP19" s="41"/>
      <c r="PQ19" s="41"/>
      <c r="PR19" s="41"/>
      <c r="PS19" s="41"/>
      <c r="PT19" s="41"/>
      <c r="PU19" s="41"/>
      <c r="PV19" s="41"/>
      <c r="PW19" s="41"/>
      <c r="PX19" s="41"/>
      <c r="PY19" s="41"/>
      <c r="PZ19" s="41"/>
      <c r="QA19" s="41"/>
      <c r="QB19" s="41"/>
      <c r="QC19" s="41"/>
      <c r="QD19" s="41"/>
      <c r="QE19" s="41"/>
      <c r="QF19" s="41"/>
      <c r="QG19" s="41"/>
      <c r="QH19" s="41"/>
      <c r="QI19" s="41"/>
      <c r="QJ19" s="41"/>
      <c r="QK19" s="41"/>
      <c r="QL19" s="41"/>
      <c r="QM19" s="41"/>
      <c r="QN19" s="41"/>
      <c r="QO19" s="41"/>
      <c r="QP19" s="41"/>
      <c r="QQ19" s="41"/>
      <c r="QR19" s="41"/>
      <c r="QS19" s="41"/>
      <c r="QT19" s="41"/>
      <c r="QU19" s="41"/>
      <c r="QV19" s="41"/>
      <c r="QW19" s="41"/>
      <c r="QX19" s="41"/>
      <c r="QY19" s="41"/>
      <c r="QZ19" s="41"/>
      <c r="RA19" s="41"/>
      <c r="RB19" s="41"/>
      <c r="RC19" s="41"/>
      <c r="RD19" s="41"/>
      <c r="RE19" s="41"/>
      <c r="RF19" s="41"/>
      <c r="RG19" s="41"/>
      <c r="RH19" s="41"/>
      <c r="RI19" s="41"/>
      <c r="RJ19" s="41"/>
      <c r="RK19" s="41"/>
      <c r="RL19" s="41"/>
      <c r="RM19" s="41"/>
      <c r="RN19" s="41"/>
      <c r="RO19" s="41"/>
      <c r="RP19" s="41"/>
      <c r="RQ19" s="41"/>
      <c r="RR19" s="41"/>
      <c r="RS19" s="41"/>
      <c r="RT19" s="41"/>
      <c r="RU19" s="41"/>
      <c r="RV19" s="41"/>
      <c r="RW19" s="41"/>
      <c r="RX19" s="41"/>
      <c r="RY19" s="41"/>
      <c r="RZ19" s="41"/>
      <c r="SA19" s="41"/>
      <c r="SB19" s="41"/>
      <c r="SC19" s="41"/>
      <c r="SD19" s="41"/>
      <c r="SE19" s="41"/>
      <c r="SF19" s="41"/>
      <c r="SG19" s="41"/>
      <c r="SH19" s="41"/>
      <c r="SI19" s="41"/>
      <c r="SJ19" s="41"/>
      <c r="SK19" s="41"/>
      <c r="SL19" s="41"/>
      <c r="SM19" s="41"/>
      <c r="SN19" s="41"/>
      <c r="SO19" s="41"/>
      <c r="SP19" s="41"/>
      <c r="SQ19" s="41"/>
      <c r="SR19" s="41"/>
      <c r="SS19" s="41"/>
      <c r="ST19" s="41"/>
      <c r="SU19" s="41"/>
      <c r="SV19" s="41"/>
      <c r="SW19" s="41"/>
      <c r="SX19" s="41"/>
      <c r="SY19" s="41"/>
      <c r="SZ19" s="41"/>
      <c r="TA19" s="41"/>
      <c r="TB19" s="41"/>
      <c r="TC19" s="41"/>
      <c r="TD19" s="41"/>
      <c r="TE19" s="41"/>
      <c r="TF19" s="41"/>
      <c r="TG19" s="41"/>
      <c r="TH19" s="41"/>
      <c r="TI19" s="41"/>
      <c r="TJ19" s="41"/>
      <c r="TK19" s="41"/>
      <c r="TL19" s="41"/>
      <c r="TM19" s="41"/>
      <c r="TN19" s="41"/>
      <c r="TO19" s="41"/>
      <c r="TP19" s="41"/>
      <c r="TQ19" s="41"/>
      <c r="TR19" s="41"/>
      <c r="TS19" s="41"/>
      <c r="TT19" s="41"/>
      <c r="TU19" s="41"/>
      <c r="TV19" s="41"/>
      <c r="TW19" s="41"/>
      <c r="TX19" s="41"/>
      <c r="TY19" s="41"/>
      <c r="TZ19" s="41"/>
      <c r="UA19" s="41"/>
      <c r="UB19" s="41"/>
      <c r="UC19" s="41"/>
      <c r="UD19" s="41"/>
      <c r="UE19" s="41"/>
      <c r="UF19" s="41"/>
      <c r="UG19" s="41"/>
      <c r="UH19" s="41"/>
      <c r="UI19" s="41"/>
      <c r="UJ19" s="41"/>
      <c r="UK19" s="41"/>
      <c r="UL19" s="41"/>
      <c r="UM19" s="41"/>
      <c r="UN19" s="41"/>
      <c r="UO19" s="41"/>
      <c r="UP19" s="41"/>
      <c r="UQ19" s="41"/>
      <c r="UR19" s="41"/>
      <c r="US19" s="41"/>
      <c r="UT19" s="41"/>
      <c r="UU19" s="41"/>
      <c r="UV19" s="41"/>
      <c r="UW19" s="41"/>
      <c r="UX19" s="41"/>
      <c r="UY19" s="41"/>
      <c r="UZ19" s="41"/>
      <c r="VA19" s="41"/>
      <c r="VB19" s="41"/>
      <c r="VC19" s="41"/>
      <c r="VD19" s="41"/>
      <c r="VE19" s="41"/>
      <c r="VF19" s="41"/>
      <c r="VG19" s="41"/>
      <c r="VH19" s="41"/>
      <c r="VI19" s="41"/>
      <c r="VJ19" s="41"/>
      <c r="VK19" s="41"/>
      <c r="VL19" s="41"/>
      <c r="VM19" s="41"/>
      <c r="VN19" s="41"/>
      <c r="VO19" s="41"/>
      <c r="VP19" s="41"/>
      <c r="VQ19" s="41"/>
      <c r="VR19" s="41"/>
      <c r="VS19" s="41"/>
      <c r="VT19" s="41"/>
      <c r="VU19" s="41"/>
      <c r="VV19" s="41"/>
      <c r="VW19" s="41"/>
      <c r="VX19" s="41"/>
      <c r="VY19" s="41"/>
      <c r="VZ19" s="41"/>
      <c r="WA19" s="41"/>
      <c r="WB19" s="41"/>
      <c r="WC19" s="41"/>
      <c r="WD19" s="41"/>
      <c r="WE19" s="41"/>
      <c r="WF19" s="41"/>
      <c r="WG19" s="41"/>
      <c r="WH19" s="41"/>
      <c r="WI19" s="41"/>
      <c r="WJ19" s="41"/>
      <c r="WK19" s="41"/>
      <c r="WL19" s="41"/>
      <c r="WM19" s="41"/>
      <c r="WN19" s="41"/>
      <c r="WO19" s="41"/>
      <c r="WP19" s="41"/>
      <c r="WQ19" s="41"/>
      <c r="WR19" s="41"/>
      <c r="WS19" s="41"/>
      <c r="WT19" s="41"/>
      <c r="WU19" s="41"/>
      <c r="WV19" s="41"/>
      <c r="WW19" s="41"/>
      <c r="WX19" s="41"/>
      <c r="WY19" s="41"/>
      <c r="WZ19" s="41"/>
      <c r="XA19" s="41"/>
      <c r="XB19" s="41"/>
      <c r="XC19" s="41"/>
      <c r="XD19" s="41"/>
      <c r="XE19" s="41"/>
      <c r="XF19" s="41"/>
      <c r="XG19" s="41"/>
      <c r="XH19" s="41"/>
      <c r="XI19" s="41"/>
      <c r="XJ19" s="41"/>
      <c r="XK19" s="41"/>
      <c r="XL19" s="41"/>
      <c r="XM19" s="41"/>
      <c r="XN19" s="41"/>
      <c r="XO19" s="41"/>
      <c r="XP19" s="41"/>
      <c r="XQ19" s="41"/>
      <c r="XR19" s="41"/>
      <c r="XS19" s="41"/>
      <c r="XT19" s="41"/>
      <c r="XU19" s="41"/>
      <c r="XV19" s="41"/>
      <c r="XW19" s="41"/>
      <c r="XX19" s="41"/>
      <c r="XY19" s="41"/>
      <c r="XZ19" s="41"/>
      <c r="YA19" s="41"/>
      <c r="YB19" s="41"/>
      <c r="YC19" s="41"/>
      <c r="YD19" s="41"/>
      <c r="YE19" s="41"/>
      <c r="YF19" s="41"/>
      <c r="YG19" s="41"/>
      <c r="YH19" s="41"/>
      <c r="YI19" s="41"/>
      <c r="YJ19" s="41"/>
      <c r="YK19" s="41"/>
      <c r="YL19" s="41"/>
      <c r="YM19" s="41"/>
      <c r="YN19" s="41"/>
      <c r="YO19" s="41"/>
      <c r="YP19" s="41"/>
      <c r="YQ19" s="41"/>
      <c r="YR19" s="41"/>
      <c r="YS19" s="41"/>
      <c r="YT19" s="41"/>
      <c r="YU19" s="41"/>
      <c r="YV19" s="41"/>
      <c r="YW19" s="41"/>
      <c r="YX19" s="41"/>
      <c r="YY19" s="41"/>
      <c r="YZ19" s="41"/>
      <c r="ZA19" s="41"/>
      <c r="ZB19" s="41"/>
      <c r="ZC19" s="41"/>
      <c r="ZD19" s="41"/>
      <c r="ZE19" s="41"/>
      <c r="ZF19" s="41"/>
      <c r="ZG19" s="41"/>
      <c r="ZH19" s="41"/>
      <c r="ZI19" s="41"/>
      <c r="ZJ19" s="41"/>
      <c r="ZK19" s="41"/>
      <c r="ZL19" s="41"/>
      <c r="ZM19" s="41"/>
      <c r="ZN19" s="41"/>
      <c r="ZO19" s="41"/>
      <c r="ZP19" s="41"/>
      <c r="ZQ19" s="41"/>
      <c r="ZR19" s="41"/>
      <c r="ZS19" s="41"/>
      <c r="ZT19" s="41"/>
      <c r="ZU19" s="41"/>
      <c r="ZV19" s="41"/>
      <c r="ZW19" s="41"/>
      <c r="ZX19" s="41"/>
      <c r="ZY19" s="41"/>
      <c r="ZZ19" s="41"/>
      <c r="AAA19" s="41"/>
      <c r="AAB19" s="41"/>
      <c r="AAC19" s="41"/>
      <c r="AAD19" s="41"/>
      <c r="AAE19" s="41"/>
      <c r="AAF19" s="41"/>
      <c r="AAG19" s="41"/>
      <c r="AAH19" s="41"/>
      <c r="AAI19" s="41"/>
      <c r="AAJ19" s="41"/>
      <c r="AAK19" s="41"/>
      <c r="AAL19" s="41"/>
      <c r="AAM19" s="41"/>
      <c r="AAN19" s="41"/>
      <c r="AAO19" s="41"/>
      <c r="AAP19" s="41"/>
      <c r="AAQ19" s="41"/>
      <c r="AAR19" s="41"/>
      <c r="AAS19" s="41"/>
      <c r="AAT19" s="41"/>
      <c r="AAU19" s="41"/>
      <c r="AAV19" s="41"/>
      <c r="AAW19" s="41"/>
      <c r="AAX19" s="41"/>
      <c r="AAY19" s="41"/>
      <c r="AAZ19" s="41"/>
      <c r="ABA19" s="41"/>
      <c r="ABB19" s="41"/>
      <c r="ABC19" s="41"/>
      <c r="ABD19" s="41"/>
      <c r="ABE19" s="41"/>
      <c r="ABF19" s="41"/>
      <c r="ABG19" s="41"/>
      <c r="ABH19" s="41"/>
      <c r="ABI19" s="41"/>
      <c r="ABJ19" s="41"/>
      <c r="ABK19" s="41"/>
      <c r="ABL19" s="41"/>
      <c r="ABM19" s="41"/>
      <c r="ABN19" s="41"/>
      <c r="ABO19" s="41"/>
      <c r="ABP19" s="41"/>
      <c r="ABQ19" s="41"/>
      <c r="ABR19" s="41"/>
      <c r="ABS19" s="41"/>
      <c r="ABT19" s="41"/>
      <c r="ABU19" s="41"/>
      <c r="ABV19" s="41"/>
      <c r="ABW19" s="41"/>
      <c r="ABX19" s="41"/>
      <c r="ABY19" s="41"/>
      <c r="ABZ19" s="41"/>
      <c r="ACA19" s="41"/>
      <c r="ACB19" s="41"/>
      <c r="ACC19" s="41"/>
      <c r="ACD19" s="41"/>
      <c r="ACE19" s="41"/>
      <c r="ACF19" s="41"/>
      <c r="ACG19" s="41"/>
      <c r="ACH19" s="41"/>
      <c r="ACI19" s="41"/>
      <c r="ACJ19" s="41"/>
      <c r="ACK19" s="41"/>
      <c r="ACL19" s="41"/>
      <c r="ACM19" s="41"/>
      <c r="ACN19" s="41"/>
      <c r="ACO19" s="41"/>
      <c r="ACP19" s="41"/>
      <c r="ACQ19" s="41"/>
      <c r="ACR19" s="41"/>
      <c r="ACS19" s="41"/>
      <c r="ACT19" s="41"/>
      <c r="ACU19" s="41"/>
      <c r="ACV19" s="41"/>
      <c r="ACW19" s="41"/>
      <c r="ACX19" s="41"/>
      <c r="ACY19" s="41"/>
      <c r="ACZ19" s="41"/>
      <c r="ADA19" s="41"/>
      <c r="ADB19" s="41"/>
      <c r="ADC19" s="41"/>
      <c r="ADD19" s="41"/>
      <c r="ADE19" s="41"/>
      <c r="ADF19" s="41"/>
      <c r="ADG19" s="41"/>
      <c r="ADH19" s="41"/>
      <c r="ADI19" s="41"/>
      <c r="ADJ19" s="41"/>
      <c r="ADK19" s="41"/>
      <c r="ADL19" s="41"/>
      <c r="ADM19" s="41"/>
      <c r="ADN19" s="41"/>
      <c r="ADO19" s="41"/>
      <c r="ADP19" s="41"/>
      <c r="ADQ19" s="41"/>
      <c r="ADR19" s="41"/>
      <c r="ADS19" s="41"/>
      <c r="ADT19" s="41"/>
      <c r="ADU19" s="41"/>
      <c r="ADV19" s="41"/>
      <c r="ADW19" s="41"/>
      <c r="ADX19" s="41"/>
      <c r="ADY19" s="41"/>
      <c r="ADZ19" s="41"/>
      <c r="AEA19" s="41"/>
      <c r="AEB19" s="41"/>
      <c r="AEC19" s="41"/>
      <c r="AED19" s="41"/>
      <c r="AEE19" s="41"/>
      <c r="AEF19" s="41"/>
      <c r="AEG19" s="41"/>
      <c r="AEH19" s="41"/>
      <c r="AEI19" s="41"/>
      <c r="AEJ19" s="41"/>
      <c r="AEK19" s="41"/>
      <c r="AEL19" s="41"/>
      <c r="AEM19" s="41"/>
      <c r="AEN19" s="41"/>
      <c r="AEO19" s="41"/>
      <c r="AEP19" s="41"/>
      <c r="AEQ19" s="41"/>
      <c r="AER19" s="41"/>
      <c r="AES19" s="41"/>
      <c r="AET19" s="41"/>
      <c r="AEU19" s="41"/>
      <c r="AEV19" s="41"/>
      <c r="AEW19" s="41"/>
      <c r="AEX19" s="41"/>
      <c r="AEY19" s="41"/>
      <c r="AEZ19" s="41"/>
      <c r="AFA19" s="41"/>
      <c r="AFB19" s="41"/>
      <c r="AFC19" s="41"/>
      <c r="AFD19" s="41"/>
      <c r="AFE19" s="41"/>
      <c r="AFF19" s="41"/>
      <c r="AFG19" s="41"/>
      <c r="AFH19" s="41"/>
      <c r="AFI19" s="41"/>
      <c r="AFJ19" s="41"/>
      <c r="AFK19" s="41"/>
      <c r="AFL19" s="41"/>
      <c r="AFM19" s="41"/>
      <c r="AFN19" s="41"/>
      <c r="AFO19" s="41"/>
      <c r="AFP19" s="41"/>
      <c r="AFQ19" s="41"/>
      <c r="AFR19" s="41"/>
      <c r="AFS19" s="41"/>
      <c r="AFT19" s="41"/>
      <c r="AFU19" s="41"/>
      <c r="AFV19" s="41"/>
      <c r="AFW19" s="41"/>
      <c r="AFX19" s="41"/>
      <c r="AFY19" s="41"/>
      <c r="AFZ19" s="41"/>
      <c r="AGA19" s="41"/>
      <c r="AGB19" s="41"/>
      <c r="AGC19" s="41"/>
      <c r="AGD19" s="41"/>
      <c r="AGE19" s="41"/>
      <c r="AGF19" s="41"/>
      <c r="AGG19" s="41"/>
      <c r="AGH19" s="41"/>
      <c r="AGI19" s="41"/>
      <c r="AGJ19" s="41"/>
      <c r="AGK19" s="41"/>
      <c r="AGL19" s="41"/>
      <c r="AGM19" s="41"/>
      <c r="AGN19" s="41"/>
      <c r="AGO19" s="41"/>
      <c r="AGP19" s="41"/>
      <c r="AGQ19" s="41"/>
      <c r="AGR19" s="41"/>
      <c r="AGS19" s="41"/>
      <c r="AGT19" s="41"/>
      <c r="AGU19" s="41"/>
      <c r="AGV19" s="41"/>
      <c r="AGW19" s="41"/>
      <c r="AGX19" s="41"/>
      <c r="AGY19" s="41"/>
      <c r="AGZ19" s="41"/>
      <c r="AHA19" s="41"/>
      <c r="AHB19" s="41"/>
      <c r="AHC19" s="41"/>
      <c r="AHD19" s="41"/>
      <c r="AHE19" s="41"/>
      <c r="AHF19" s="41"/>
      <c r="AHG19" s="41"/>
      <c r="AHH19" s="41"/>
      <c r="AHI19" s="41"/>
      <c r="AHJ19" s="41"/>
      <c r="AHK19" s="41"/>
      <c r="AHL19" s="41"/>
      <c r="AHM19" s="41"/>
      <c r="AHN19" s="41"/>
      <c r="AHO19" s="41"/>
      <c r="AHP19" s="41"/>
      <c r="AHQ19" s="41"/>
      <c r="AHR19" s="41"/>
      <c r="AHS19" s="41"/>
      <c r="AHT19" s="41"/>
      <c r="AHU19" s="41"/>
      <c r="AHV19" s="41"/>
      <c r="AHW19" s="41"/>
      <c r="AHX19" s="41"/>
      <c r="AHY19" s="41"/>
      <c r="AHZ19" s="41"/>
      <c r="AIA19" s="41"/>
      <c r="AIB19" s="41"/>
      <c r="AIC19" s="41"/>
      <c r="AID19" s="41"/>
      <c r="AIE19" s="41"/>
      <c r="AIF19" s="41"/>
      <c r="AIG19" s="41"/>
      <c r="AIH19" s="41"/>
      <c r="AII19" s="41"/>
      <c r="AIJ19" s="41"/>
      <c r="AIK19" s="41"/>
      <c r="AIL19" s="41"/>
      <c r="AIM19" s="41"/>
      <c r="AIN19" s="41"/>
      <c r="AIO19" s="41"/>
      <c r="AIP19" s="41"/>
      <c r="AIQ19" s="41"/>
      <c r="AIR19" s="41"/>
      <c r="AIS19" s="41"/>
      <c r="AIT19" s="41"/>
      <c r="AIU19" s="41"/>
      <c r="AIV19" s="41"/>
      <c r="AIW19" s="41"/>
      <c r="AIX19" s="41"/>
      <c r="AIY19" s="41"/>
      <c r="AIZ19" s="41"/>
      <c r="AJA19" s="41"/>
      <c r="AJB19" s="41"/>
      <c r="AJC19" s="41"/>
      <c r="AJD19" s="41"/>
      <c r="AJE19" s="41"/>
      <c r="AJF19" s="41"/>
      <c r="AJG19" s="41"/>
      <c r="AJH19" s="41"/>
      <c r="AJI19" s="41"/>
      <c r="AJJ19" s="41"/>
      <c r="AJK19" s="41"/>
      <c r="AJL19" s="41"/>
      <c r="AJM19" s="41"/>
      <c r="AJN19" s="41"/>
      <c r="AJO19" s="41"/>
      <c r="AJP19" s="41"/>
      <c r="AJQ19" s="41"/>
      <c r="AJR19" s="41"/>
      <c r="AJS19" s="41"/>
      <c r="AJT19" s="41"/>
      <c r="AJU19" s="41"/>
      <c r="AJV19" s="41"/>
      <c r="AJW19" s="41"/>
      <c r="AJX19" s="41"/>
      <c r="AJY19" s="41"/>
      <c r="AJZ19" s="41"/>
      <c r="AKA19" s="41"/>
      <c r="AKB19" s="41"/>
      <c r="AKC19" s="41"/>
      <c r="AKD19" s="41"/>
      <c r="AKE19" s="41"/>
      <c r="AKF19" s="41"/>
      <c r="AKG19" s="41"/>
      <c r="AKH19" s="41"/>
      <c r="AKI19" s="41"/>
      <c r="AKJ19" s="41"/>
      <c r="AKK19" s="41"/>
      <c r="AKL19" s="41"/>
      <c r="AKM19" s="41"/>
      <c r="AKN19" s="41"/>
      <c r="AKO19" s="41"/>
      <c r="AKP19" s="41"/>
      <c r="AKQ19" s="41"/>
      <c r="AKR19" s="41"/>
      <c r="AKS19" s="41"/>
      <c r="AKT19" s="41"/>
      <c r="AKU19" s="41"/>
      <c r="AKV19" s="41"/>
      <c r="AKW19" s="41"/>
      <c r="AKX19" s="41"/>
      <c r="AKY19" s="41"/>
      <c r="AKZ19" s="41"/>
      <c r="ALA19" s="41"/>
      <c r="ALB19" s="41"/>
      <c r="ALC19" s="41"/>
      <c r="ALD19" s="41"/>
      <c r="ALE19" s="41"/>
      <c r="ALF19" s="41"/>
      <c r="ALG19" s="41"/>
      <c r="ALH19" s="41"/>
      <c r="ALI19" s="41"/>
      <c r="ALJ19" s="41"/>
      <c r="ALK19" s="41"/>
      <c r="ALL19" s="41"/>
      <c r="ALM19" s="41"/>
      <c r="ALN19" s="41"/>
      <c r="ALO19" s="41"/>
      <c r="ALP19" s="41"/>
      <c r="ALQ19" s="41"/>
      <c r="ALR19" s="41"/>
      <c r="ALS19" s="41"/>
      <c r="ALT19" s="41"/>
      <c r="ALU19" s="41"/>
      <c r="ALV19" s="41"/>
      <c r="ALW19" s="41"/>
      <c r="ALX19" s="41"/>
      <c r="ALY19" s="41"/>
      <c r="ALZ19" s="41"/>
      <c r="AMA19" s="41"/>
      <c r="AMB19" s="41"/>
      <c r="AMC19" s="41"/>
      <c r="AMD19" s="41"/>
      <c r="AME19" s="41"/>
      <c r="AMF19" s="41"/>
      <c r="AMG19" s="41"/>
      <c r="AMH19" s="41"/>
      <c r="AMI19" s="41"/>
      <c r="AMJ19" s="41"/>
      <c r="AMK19" s="41"/>
      <c r="AML19" s="41"/>
      <c r="AMM19" s="41"/>
      <c r="AMN19" s="41"/>
      <c r="AMO19" s="41"/>
      <c r="AMP19" s="41"/>
      <c r="AMQ19" s="41"/>
      <c r="AMR19" s="41"/>
      <c r="AMS19" s="41"/>
      <c r="AMT19" s="41"/>
      <c r="AMU19" s="41"/>
      <c r="AMV19" s="41"/>
      <c r="AMW19" s="41"/>
      <c r="AMX19" s="41"/>
      <c r="AMY19" s="41"/>
      <c r="AMZ19" s="41"/>
      <c r="ANA19" s="41"/>
      <c r="ANB19" s="41"/>
      <c r="ANC19" s="41"/>
      <c r="AND19" s="41"/>
      <c r="ANE19" s="41"/>
      <c r="ANF19" s="41"/>
      <c r="ANG19" s="41"/>
      <c r="ANH19" s="41"/>
      <c r="ANI19" s="41"/>
      <c r="ANJ19" s="41"/>
      <c r="ANK19" s="41"/>
    </row>
    <row r="20" s="44" customFormat="true" ht="15" hidden="false" customHeight="false" outlineLevel="0" collapsed="false">
      <c r="A20" s="42" t="s">
        <v>42</v>
      </c>
      <c r="B20" s="43" t="n">
        <v>0</v>
      </c>
      <c r="C20" s="44" t="n">
        <v>0</v>
      </c>
      <c r="D20" s="44" t="n">
        <v>3.8861705</v>
      </c>
      <c r="E20" s="45" t="n">
        <v>130000</v>
      </c>
      <c r="F20" s="43" t="n">
        <v>0</v>
      </c>
      <c r="G20" s="44" t="n">
        <v>562</v>
      </c>
      <c r="H20" s="46" t="n">
        <v>0</v>
      </c>
      <c r="I20" s="47" t="n">
        <v>23.5</v>
      </c>
      <c r="J20" s="48" t="n">
        <v>0</v>
      </c>
      <c r="K20" s="43"/>
      <c r="M20" s="46" t="n">
        <v>0</v>
      </c>
      <c r="N20" s="43" t="n">
        <v>0</v>
      </c>
      <c r="O20" s="46" t="n">
        <v>0</v>
      </c>
      <c r="P20" s="49" t="n">
        <v>0</v>
      </c>
      <c r="Q20" s="50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6" t="n">
        <v>0</v>
      </c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  <c r="LO20" s="41"/>
      <c r="LP20" s="41"/>
      <c r="LQ20" s="41"/>
      <c r="LR20" s="41"/>
      <c r="LS20" s="41"/>
      <c r="LT20" s="41"/>
      <c r="LU20" s="41"/>
      <c r="LV20" s="41"/>
      <c r="LW20" s="41"/>
      <c r="LX20" s="41"/>
      <c r="LY20" s="41"/>
      <c r="LZ20" s="41"/>
      <c r="MA20" s="41"/>
      <c r="MB20" s="41"/>
      <c r="MC20" s="41"/>
      <c r="MD20" s="41"/>
      <c r="ME20" s="41"/>
      <c r="MF20" s="41"/>
      <c r="MG20" s="41"/>
      <c r="MH20" s="41"/>
      <c r="MI20" s="41"/>
      <c r="MJ20" s="41"/>
      <c r="MK20" s="41"/>
      <c r="ML20" s="41"/>
      <c r="MM20" s="41"/>
      <c r="MN20" s="41"/>
      <c r="MO20" s="41"/>
      <c r="MP20" s="41"/>
      <c r="MQ20" s="41"/>
      <c r="MR20" s="41"/>
      <c r="MS20" s="41"/>
      <c r="MT20" s="41"/>
      <c r="MU20" s="41"/>
      <c r="MV20" s="41"/>
      <c r="MW20" s="41"/>
      <c r="MX20" s="41"/>
      <c r="MY20" s="41"/>
      <c r="MZ20" s="41"/>
      <c r="NA20" s="41"/>
      <c r="NB20" s="41"/>
      <c r="NC20" s="41"/>
      <c r="ND20" s="41"/>
      <c r="NE20" s="41"/>
      <c r="NF20" s="41"/>
      <c r="NG20" s="41"/>
      <c r="NH20" s="41"/>
      <c r="NI20" s="41"/>
      <c r="NJ20" s="41"/>
      <c r="NK20" s="41"/>
      <c r="NL20" s="41"/>
      <c r="NM20" s="41"/>
      <c r="NN20" s="41"/>
      <c r="NO20" s="41"/>
      <c r="NP20" s="41"/>
      <c r="NQ20" s="41"/>
      <c r="NR20" s="41"/>
      <c r="NS20" s="41"/>
      <c r="NT20" s="41"/>
      <c r="NU20" s="41"/>
      <c r="NV20" s="41"/>
      <c r="NW20" s="41"/>
      <c r="NX20" s="41"/>
      <c r="NY20" s="41"/>
      <c r="NZ20" s="41"/>
      <c r="OA20" s="41"/>
      <c r="OB20" s="41"/>
      <c r="OC20" s="41"/>
      <c r="OD20" s="41"/>
      <c r="OE20" s="41"/>
      <c r="OF20" s="41"/>
      <c r="OG20" s="41"/>
      <c r="OH20" s="41"/>
      <c r="OI20" s="41"/>
      <c r="OJ20" s="41"/>
      <c r="OK20" s="41"/>
      <c r="OL20" s="41"/>
      <c r="OM20" s="41"/>
      <c r="ON20" s="41"/>
      <c r="OO20" s="41"/>
      <c r="OP20" s="41"/>
      <c r="OQ20" s="41"/>
      <c r="OR20" s="41"/>
      <c r="OS20" s="41"/>
      <c r="OT20" s="41"/>
      <c r="OU20" s="41"/>
      <c r="OV20" s="41"/>
      <c r="OW20" s="41"/>
      <c r="OX20" s="41"/>
      <c r="OY20" s="41"/>
      <c r="OZ20" s="41"/>
      <c r="PA20" s="41"/>
      <c r="PB20" s="41"/>
      <c r="PC20" s="41"/>
      <c r="PD20" s="41"/>
      <c r="PE20" s="41"/>
      <c r="PF20" s="41"/>
      <c r="PG20" s="41"/>
      <c r="PH20" s="41"/>
      <c r="PI20" s="41"/>
      <c r="PJ20" s="41"/>
      <c r="PK20" s="41"/>
      <c r="PL20" s="41"/>
      <c r="PM20" s="41"/>
      <c r="PN20" s="41"/>
      <c r="PO20" s="41"/>
      <c r="PP20" s="41"/>
      <c r="PQ20" s="41"/>
      <c r="PR20" s="41"/>
      <c r="PS20" s="41"/>
      <c r="PT20" s="41"/>
      <c r="PU20" s="41"/>
      <c r="PV20" s="41"/>
      <c r="PW20" s="41"/>
      <c r="PX20" s="41"/>
      <c r="PY20" s="41"/>
      <c r="PZ20" s="41"/>
      <c r="QA20" s="41"/>
      <c r="QB20" s="41"/>
      <c r="QC20" s="41"/>
      <c r="QD20" s="41"/>
      <c r="QE20" s="41"/>
      <c r="QF20" s="41"/>
      <c r="QG20" s="41"/>
      <c r="QH20" s="41"/>
      <c r="QI20" s="41"/>
      <c r="QJ20" s="41"/>
      <c r="QK20" s="41"/>
      <c r="QL20" s="41"/>
      <c r="QM20" s="41"/>
      <c r="QN20" s="41"/>
      <c r="QO20" s="41"/>
      <c r="QP20" s="41"/>
      <c r="QQ20" s="41"/>
      <c r="QR20" s="41"/>
      <c r="QS20" s="41"/>
      <c r="QT20" s="41"/>
      <c r="QU20" s="41"/>
      <c r="QV20" s="41"/>
      <c r="QW20" s="41"/>
      <c r="QX20" s="41"/>
      <c r="QY20" s="41"/>
      <c r="QZ20" s="41"/>
      <c r="RA20" s="41"/>
      <c r="RB20" s="41"/>
      <c r="RC20" s="41"/>
      <c r="RD20" s="41"/>
      <c r="RE20" s="41"/>
      <c r="RF20" s="41"/>
      <c r="RG20" s="41"/>
      <c r="RH20" s="41"/>
      <c r="RI20" s="41"/>
      <c r="RJ20" s="41"/>
      <c r="RK20" s="41"/>
      <c r="RL20" s="41"/>
      <c r="RM20" s="41"/>
      <c r="RN20" s="41"/>
      <c r="RO20" s="41"/>
      <c r="RP20" s="41"/>
      <c r="RQ20" s="41"/>
      <c r="RR20" s="41"/>
      <c r="RS20" s="41"/>
      <c r="RT20" s="41"/>
      <c r="RU20" s="41"/>
      <c r="RV20" s="41"/>
      <c r="RW20" s="41"/>
      <c r="RX20" s="41"/>
      <c r="RY20" s="41"/>
      <c r="RZ20" s="41"/>
      <c r="SA20" s="41"/>
      <c r="SB20" s="41"/>
      <c r="SC20" s="41"/>
      <c r="SD20" s="41"/>
      <c r="SE20" s="41"/>
      <c r="SF20" s="41"/>
      <c r="SG20" s="41"/>
      <c r="SH20" s="41"/>
      <c r="SI20" s="41"/>
      <c r="SJ20" s="41"/>
      <c r="SK20" s="41"/>
      <c r="SL20" s="41"/>
      <c r="SM20" s="41"/>
      <c r="SN20" s="41"/>
      <c r="SO20" s="41"/>
      <c r="SP20" s="41"/>
      <c r="SQ20" s="41"/>
      <c r="SR20" s="41"/>
      <c r="SS20" s="41"/>
      <c r="ST20" s="41"/>
      <c r="SU20" s="41"/>
      <c r="SV20" s="41"/>
      <c r="SW20" s="41"/>
      <c r="SX20" s="41"/>
      <c r="SY20" s="41"/>
      <c r="SZ20" s="41"/>
      <c r="TA20" s="41"/>
      <c r="TB20" s="41"/>
      <c r="TC20" s="41"/>
      <c r="TD20" s="41"/>
      <c r="TE20" s="41"/>
      <c r="TF20" s="41"/>
      <c r="TG20" s="41"/>
      <c r="TH20" s="41"/>
      <c r="TI20" s="41"/>
      <c r="TJ20" s="41"/>
      <c r="TK20" s="41"/>
      <c r="TL20" s="41"/>
      <c r="TM20" s="41"/>
      <c r="TN20" s="41"/>
      <c r="TO20" s="41"/>
      <c r="TP20" s="41"/>
      <c r="TQ20" s="41"/>
      <c r="TR20" s="41"/>
      <c r="TS20" s="41"/>
      <c r="TT20" s="41"/>
      <c r="TU20" s="41"/>
      <c r="TV20" s="41"/>
      <c r="TW20" s="41"/>
      <c r="TX20" s="41"/>
      <c r="TY20" s="41"/>
      <c r="TZ20" s="41"/>
      <c r="UA20" s="41"/>
      <c r="UB20" s="41"/>
      <c r="UC20" s="41"/>
      <c r="UD20" s="41"/>
      <c r="UE20" s="41"/>
      <c r="UF20" s="41"/>
      <c r="UG20" s="41"/>
      <c r="UH20" s="41"/>
      <c r="UI20" s="41"/>
      <c r="UJ20" s="41"/>
      <c r="UK20" s="41"/>
      <c r="UL20" s="41"/>
      <c r="UM20" s="41"/>
      <c r="UN20" s="41"/>
      <c r="UO20" s="41"/>
      <c r="UP20" s="41"/>
      <c r="UQ20" s="41"/>
      <c r="UR20" s="41"/>
      <c r="US20" s="41"/>
      <c r="UT20" s="41"/>
      <c r="UU20" s="41"/>
      <c r="UV20" s="41"/>
      <c r="UW20" s="41"/>
      <c r="UX20" s="41"/>
      <c r="UY20" s="41"/>
      <c r="UZ20" s="41"/>
      <c r="VA20" s="41"/>
      <c r="VB20" s="41"/>
      <c r="VC20" s="41"/>
      <c r="VD20" s="41"/>
      <c r="VE20" s="41"/>
      <c r="VF20" s="41"/>
      <c r="VG20" s="41"/>
      <c r="VH20" s="41"/>
      <c r="VI20" s="41"/>
      <c r="VJ20" s="41"/>
      <c r="VK20" s="41"/>
      <c r="VL20" s="41"/>
      <c r="VM20" s="41"/>
      <c r="VN20" s="41"/>
      <c r="VO20" s="41"/>
      <c r="VP20" s="41"/>
      <c r="VQ20" s="41"/>
      <c r="VR20" s="41"/>
      <c r="VS20" s="41"/>
      <c r="VT20" s="41"/>
      <c r="VU20" s="41"/>
      <c r="VV20" s="41"/>
      <c r="VW20" s="41"/>
      <c r="VX20" s="41"/>
      <c r="VY20" s="41"/>
      <c r="VZ20" s="41"/>
      <c r="WA20" s="41"/>
      <c r="WB20" s="41"/>
      <c r="WC20" s="41"/>
      <c r="WD20" s="41"/>
      <c r="WE20" s="41"/>
      <c r="WF20" s="41"/>
      <c r="WG20" s="41"/>
      <c r="WH20" s="41"/>
      <c r="WI20" s="41"/>
      <c r="WJ20" s="41"/>
      <c r="WK20" s="41"/>
      <c r="WL20" s="41"/>
      <c r="WM20" s="41"/>
      <c r="WN20" s="41"/>
      <c r="WO20" s="41"/>
      <c r="WP20" s="41"/>
      <c r="WQ20" s="41"/>
      <c r="WR20" s="41"/>
      <c r="WS20" s="41"/>
      <c r="WT20" s="41"/>
      <c r="WU20" s="41"/>
      <c r="WV20" s="41"/>
      <c r="WW20" s="41"/>
      <c r="WX20" s="41"/>
      <c r="WY20" s="41"/>
      <c r="WZ20" s="41"/>
      <c r="XA20" s="41"/>
      <c r="XB20" s="41"/>
      <c r="XC20" s="41"/>
      <c r="XD20" s="41"/>
      <c r="XE20" s="41"/>
      <c r="XF20" s="41"/>
      <c r="XG20" s="41"/>
      <c r="XH20" s="41"/>
      <c r="XI20" s="41"/>
      <c r="XJ20" s="41"/>
      <c r="XK20" s="41"/>
      <c r="XL20" s="41"/>
      <c r="XM20" s="41"/>
      <c r="XN20" s="41"/>
      <c r="XO20" s="41"/>
      <c r="XP20" s="41"/>
      <c r="XQ20" s="41"/>
      <c r="XR20" s="41"/>
      <c r="XS20" s="41"/>
      <c r="XT20" s="41"/>
      <c r="XU20" s="41"/>
      <c r="XV20" s="41"/>
      <c r="XW20" s="41"/>
      <c r="XX20" s="41"/>
      <c r="XY20" s="41"/>
      <c r="XZ20" s="41"/>
      <c r="YA20" s="41"/>
      <c r="YB20" s="41"/>
      <c r="YC20" s="41"/>
      <c r="YD20" s="41"/>
      <c r="YE20" s="41"/>
      <c r="YF20" s="41"/>
      <c r="YG20" s="41"/>
      <c r="YH20" s="41"/>
      <c r="YI20" s="41"/>
      <c r="YJ20" s="41"/>
      <c r="YK20" s="41"/>
      <c r="YL20" s="41"/>
      <c r="YM20" s="41"/>
      <c r="YN20" s="41"/>
      <c r="YO20" s="41"/>
      <c r="YP20" s="41"/>
      <c r="YQ20" s="41"/>
      <c r="YR20" s="41"/>
      <c r="YS20" s="41"/>
      <c r="YT20" s="41"/>
      <c r="YU20" s="41"/>
      <c r="YV20" s="41"/>
      <c r="YW20" s="41"/>
      <c r="YX20" s="41"/>
      <c r="YY20" s="41"/>
      <c r="YZ20" s="41"/>
      <c r="ZA20" s="41"/>
      <c r="ZB20" s="41"/>
      <c r="ZC20" s="41"/>
      <c r="ZD20" s="41"/>
      <c r="ZE20" s="41"/>
      <c r="ZF20" s="41"/>
      <c r="ZG20" s="41"/>
      <c r="ZH20" s="41"/>
      <c r="ZI20" s="41"/>
      <c r="ZJ20" s="41"/>
      <c r="ZK20" s="41"/>
      <c r="ZL20" s="41"/>
      <c r="ZM20" s="41"/>
      <c r="ZN20" s="41"/>
      <c r="ZO20" s="41"/>
      <c r="ZP20" s="41"/>
      <c r="ZQ20" s="41"/>
      <c r="ZR20" s="41"/>
      <c r="ZS20" s="41"/>
      <c r="ZT20" s="41"/>
      <c r="ZU20" s="41"/>
      <c r="ZV20" s="41"/>
      <c r="ZW20" s="41"/>
      <c r="ZX20" s="41"/>
      <c r="ZY20" s="41"/>
      <c r="ZZ20" s="41"/>
      <c r="AAA20" s="41"/>
      <c r="AAB20" s="41"/>
      <c r="AAC20" s="41"/>
      <c r="AAD20" s="41"/>
      <c r="AAE20" s="41"/>
      <c r="AAF20" s="41"/>
      <c r="AAG20" s="41"/>
      <c r="AAH20" s="41"/>
      <c r="AAI20" s="41"/>
      <c r="AAJ20" s="41"/>
      <c r="AAK20" s="41"/>
      <c r="AAL20" s="41"/>
      <c r="AAM20" s="41"/>
      <c r="AAN20" s="41"/>
      <c r="AAO20" s="41"/>
      <c r="AAP20" s="41"/>
      <c r="AAQ20" s="41"/>
      <c r="AAR20" s="41"/>
      <c r="AAS20" s="41"/>
      <c r="AAT20" s="41"/>
      <c r="AAU20" s="41"/>
      <c r="AAV20" s="41"/>
      <c r="AAW20" s="41"/>
      <c r="AAX20" s="41"/>
      <c r="AAY20" s="41"/>
      <c r="AAZ20" s="41"/>
      <c r="ABA20" s="41"/>
      <c r="ABB20" s="41"/>
      <c r="ABC20" s="41"/>
      <c r="ABD20" s="41"/>
      <c r="ABE20" s="41"/>
      <c r="ABF20" s="41"/>
      <c r="ABG20" s="41"/>
      <c r="ABH20" s="41"/>
      <c r="ABI20" s="41"/>
      <c r="ABJ20" s="41"/>
      <c r="ABK20" s="41"/>
      <c r="ABL20" s="41"/>
      <c r="ABM20" s="41"/>
      <c r="ABN20" s="41"/>
      <c r="ABO20" s="41"/>
      <c r="ABP20" s="41"/>
      <c r="ABQ20" s="41"/>
      <c r="ABR20" s="41"/>
      <c r="ABS20" s="41"/>
      <c r="ABT20" s="41"/>
      <c r="ABU20" s="41"/>
      <c r="ABV20" s="41"/>
      <c r="ABW20" s="41"/>
      <c r="ABX20" s="41"/>
      <c r="ABY20" s="41"/>
      <c r="ABZ20" s="41"/>
      <c r="ACA20" s="41"/>
      <c r="ACB20" s="41"/>
      <c r="ACC20" s="41"/>
      <c r="ACD20" s="41"/>
      <c r="ACE20" s="41"/>
      <c r="ACF20" s="41"/>
      <c r="ACG20" s="41"/>
      <c r="ACH20" s="41"/>
      <c r="ACI20" s="41"/>
      <c r="ACJ20" s="41"/>
      <c r="ACK20" s="41"/>
      <c r="ACL20" s="41"/>
      <c r="ACM20" s="41"/>
      <c r="ACN20" s="41"/>
      <c r="ACO20" s="41"/>
      <c r="ACP20" s="41"/>
      <c r="ACQ20" s="41"/>
      <c r="ACR20" s="41"/>
      <c r="ACS20" s="41"/>
      <c r="ACT20" s="41"/>
      <c r="ACU20" s="41"/>
      <c r="ACV20" s="41"/>
      <c r="ACW20" s="41"/>
      <c r="ACX20" s="41"/>
      <c r="ACY20" s="41"/>
      <c r="ACZ20" s="41"/>
      <c r="ADA20" s="41"/>
      <c r="ADB20" s="41"/>
      <c r="ADC20" s="41"/>
      <c r="ADD20" s="41"/>
      <c r="ADE20" s="41"/>
      <c r="ADF20" s="41"/>
      <c r="ADG20" s="41"/>
      <c r="ADH20" s="41"/>
      <c r="ADI20" s="41"/>
      <c r="ADJ20" s="41"/>
      <c r="ADK20" s="41"/>
      <c r="ADL20" s="41"/>
      <c r="ADM20" s="41"/>
      <c r="ADN20" s="41"/>
      <c r="ADO20" s="41"/>
      <c r="ADP20" s="41"/>
      <c r="ADQ20" s="41"/>
      <c r="ADR20" s="41"/>
      <c r="ADS20" s="41"/>
      <c r="ADT20" s="41"/>
      <c r="ADU20" s="41"/>
      <c r="ADV20" s="41"/>
      <c r="ADW20" s="41"/>
      <c r="ADX20" s="41"/>
      <c r="ADY20" s="41"/>
      <c r="ADZ20" s="41"/>
      <c r="AEA20" s="41"/>
      <c r="AEB20" s="41"/>
      <c r="AEC20" s="41"/>
      <c r="AED20" s="41"/>
      <c r="AEE20" s="41"/>
      <c r="AEF20" s="41"/>
      <c r="AEG20" s="41"/>
      <c r="AEH20" s="41"/>
      <c r="AEI20" s="41"/>
      <c r="AEJ20" s="41"/>
      <c r="AEK20" s="41"/>
      <c r="AEL20" s="41"/>
      <c r="AEM20" s="41"/>
      <c r="AEN20" s="41"/>
      <c r="AEO20" s="41"/>
      <c r="AEP20" s="41"/>
      <c r="AEQ20" s="41"/>
      <c r="AER20" s="41"/>
      <c r="AES20" s="41"/>
      <c r="AET20" s="41"/>
      <c r="AEU20" s="41"/>
      <c r="AEV20" s="41"/>
      <c r="AEW20" s="41"/>
      <c r="AEX20" s="41"/>
      <c r="AEY20" s="41"/>
      <c r="AEZ20" s="41"/>
      <c r="AFA20" s="41"/>
      <c r="AFB20" s="41"/>
      <c r="AFC20" s="41"/>
      <c r="AFD20" s="41"/>
      <c r="AFE20" s="41"/>
      <c r="AFF20" s="41"/>
      <c r="AFG20" s="41"/>
      <c r="AFH20" s="41"/>
      <c r="AFI20" s="41"/>
      <c r="AFJ20" s="41"/>
      <c r="AFK20" s="41"/>
      <c r="AFL20" s="41"/>
      <c r="AFM20" s="41"/>
      <c r="AFN20" s="41"/>
      <c r="AFO20" s="41"/>
      <c r="AFP20" s="41"/>
      <c r="AFQ20" s="41"/>
      <c r="AFR20" s="41"/>
      <c r="AFS20" s="41"/>
      <c r="AFT20" s="41"/>
      <c r="AFU20" s="41"/>
      <c r="AFV20" s="41"/>
      <c r="AFW20" s="41"/>
      <c r="AFX20" s="41"/>
      <c r="AFY20" s="41"/>
      <c r="AFZ20" s="41"/>
      <c r="AGA20" s="41"/>
      <c r="AGB20" s="41"/>
      <c r="AGC20" s="41"/>
      <c r="AGD20" s="41"/>
      <c r="AGE20" s="41"/>
      <c r="AGF20" s="41"/>
      <c r="AGG20" s="41"/>
      <c r="AGH20" s="41"/>
      <c r="AGI20" s="41"/>
      <c r="AGJ20" s="41"/>
      <c r="AGK20" s="41"/>
      <c r="AGL20" s="41"/>
      <c r="AGM20" s="41"/>
      <c r="AGN20" s="41"/>
      <c r="AGO20" s="41"/>
      <c r="AGP20" s="41"/>
      <c r="AGQ20" s="41"/>
      <c r="AGR20" s="41"/>
      <c r="AGS20" s="41"/>
      <c r="AGT20" s="41"/>
      <c r="AGU20" s="41"/>
      <c r="AGV20" s="41"/>
      <c r="AGW20" s="41"/>
      <c r="AGX20" s="41"/>
      <c r="AGY20" s="41"/>
      <c r="AGZ20" s="41"/>
      <c r="AHA20" s="41"/>
      <c r="AHB20" s="41"/>
      <c r="AHC20" s="41"/>
      <c r="AHD20" s="41"/>
      <c r="AHE20" s="41"/>
      <c r="AHF20" s="41"/>
      <c r="AHG20" s="41"/>
      <c r="AHH20" s="41"/>
      <c r="AHI20" s="41"/>
      <c r="AHJ20" s="41"/>
      <c r="AHK20" s="41"/>
      <c r="AHL20" s="41"/>
      <c r="AHM20" s="41"/>
      <c r="AHN20" s="41"/>
      <c r="AHO20" s="41"/>
      <c r="AHP20" s="41"/>
      <c r="AHQ20" s="41"/>
      <c r="AHR20" s="41"/>
      <c r="AHS20" s="41"/>
      <c r="AHT20" s="41"/>
      <c r="AHU20" s="41"/>
      <c r="AHV20" s="41"/>
      <c r="AHW20" s="41"/>
      <c r="AHX20" s="41"/>
      <c r="AHY20" s="41"/>
      <c r="AHZ20" s="41"/>
      <c r="AIA20" s="41"/>
      <c r="AIB20" s="41"/>
      <c r="AIC20" s="41"/>
      <c r="AID20" s="41"/>
      <c r="AIE20" s="41"/>
      <c r="AIF20" s="41"/>
      <c r="AIG20" s="41"/>
      <c r="AIH20" s="41"/>
      <c r="AII20" s="41"/>
      <c r="AIJ20" s="41"/>
      <c r="AIK20" s="41"/>
      <c r="AIL20" s="41"/>
      <c r="AIM20" s="41"/>
      <c r="AIN20" s="41"/>
      <c r="AIO20" s="41"/>
      <c r="AIP20" s="41"/>
      <c r="AIQ20" s="41"/>
      <c r="AIR20" s="41"/>
      <c r="AIS20" s="41"/>
      <c r="AIT20" s="41"/>
      <c r="AIU20" s="41"/>
      <c r="AIV20" s="41"/>
      <c r="AIW20" s="41"/>
      <c r="AIX20" s="41"/>
      <c r="AIY20" s="41"/>
      <c r="AIZ20" s="41"/>
      <c r="AJA20" s="41"/>
      <c r="AJB20" s="41"/>
      <c r="AJC20" s="41"/>
      <c r="AJD20" s="41"/>
      <c r="AJE20" s="41"/>
      <c r="AJF20" s="41"/>
      <c r="AJG20" s="41"/>
      <c r="AJH20" s="41"/>
      <c r="AJI20" s="41"/>
      <c r="AJJ20" s="41"/>
      <c r="AJK20" s="41"/>
      <c r="AJL20" s="41"/>
      <c r="AJM20" s="41"/>
      <c r="AJN20" s="41"/>
      <c r="AJO20" s="41"/>
      <c r="AJP20" s="41"/>
      <c r="AJQ20" s="41"/>
      <c r="AJR20" s="41"/>
      <c r="AJS20" s="41"/>
      <c r="AJT20" s="41"/>
      <c r="AJU20" s="41"/>
      <c r="AJV20" s="41"/>
      <c r="AJW20" s="41"/>
      <c r="AJX20" s="41"/>
      <c r="AJY20" s="41"/>
      <c r="AJZ20" s="41"/>
      <c r="AKA20" s="41"/>
      <c r="AKB20" s="41"/>
      <c r="AKC20" s="41"/>
      <c r="AKD20" s="41"/>
      <c r="AKE20" s="41"/>
      <c r="AKF20" s="41"/>
      <c r="AKG20" s="41"/>
      <c r="AKH20" s="41"/>
      <c r="AKI20" s="41"/>
      <c r="AKJ20" s="41"/>
      <c r="AKK20" s="41"/>
      <c r="AKL20" s="41"/>
      <c r="AKM20" s="41"/>
      <c r="AKN20" s="41"/>
      <c r="AKO20" s="41"/>
      <c r="AKP20" s="41"/>
      <c r="AKQ20" s="41"/>
      <c r="AKR20" s="41"/>
      <c r="AKS20" s="41"/>
      <c r="AKT20" s="41"/>
      <c r="AKU20" s="41"/>
      <c r="AKV20" s="41"/>
      <c r="AKW20" s="41"/>
      <c r="AKX20" s="41"/>
      <c r="AKY20" s="41"/>
      <c r="AKZ20" s="41"/>
      <c r="ALA20" s="41"/>
      <c r="ALB20" s="41"/>
      <c r="ALC20" s="41"/>
      <c r="ALD20" s="41"/>
      <c r="ALE20" s="41"/>
      <c r="ALF20" s="41"/>
      <c r="ALG20" s="41"/>
      <c r="ALH20" s="41"/>
      <c r="ALI20" s="41"/>
      <c r="ALJ20" s="41"/>
      <c r="ALK20" s="41"/>
      <c r="ALL20" s="41"/>
      <c r="ALM20" s="41"/>
      <c r="ALN20" s="41"/>
      <c r="ALO20" s="41"/>
      <c r="ALP20" s="41"/>
      <c r="ALQ20" s="41"/>
      <c r="ALR20" s="41"/>
      <c r="ALS20" s="41"/>
      <c r="ALT20" s="41"/>
      <c r="ALU20" s="41"/>
      <c r="ALV20" s="41"/>
      <c r="ALW20" s="41"/>
      <c r="ALX20" s="41"/>
      <c r="ALY20" s="41"/>
      <c r="ALZ20" s="41"/>
      <c r="AMA20" s="41"/>
      <c r="AMB20" s="41"/>
      <c r="AMC20" s="41"/>
      <c r="AMD20" s="41"/>
      <c r="AME20" s="41"/>
      <c r="AMF20" s="41"/>
      <c r="AMG20" s="41"/>
      <c r="AMH20" s="41"/>
      <c r="AMI20" s="41"/>
      <c r="AMJ20" s="41"/>
      <c r="AMK20" s="41"/>
      <c r="AML20" s="41"/>
      <c r="AMM20" s="41"/>
      <c r="AMN20" s="41"/>
      <c r="AMO20" s="41"/>
      <c r="AMP20" s="41"/>
      <c r="AMQ20" s="41"/>
      <c r="AMR20" s="41"/>
      <c r="AMS20" s="41"/>
      <c r="AMT20" s="41"/>
      <c r="AMU20" s="41"/>
      <c r="AMV20" s="41"/>
      <c r="AMW20" s="41"/>
      <c r="AMX20" s="41"/>
      <c r="AMY20" s="41"/>
      <c r="AMZ20" s="41"/>
      <c r="ANA20" s="41"/>
      <c r="ANB20" s="41"/>
      <c r="ANC20" s="41"/>
      <c r="AND20" s="41"/>
      <c r="ANE20" s="41"/>
      <c r="ANF20" s="41"/>
      <c r="ANG20" s="41"/>
      <c r="ANH20" s="41"/>
      <c r="ANI20" s="41"/>
      <c r="ANJ20" s="41"/>
      <c r="ANK20" s="41"/>
    </row>
    <row r="21" s="44" customFormat="true" ht="15" hidden="false" customHeight="false" outlineLevel="0" collapsed="false">
      <c r="A21" s="42" t="s">
        <v>43</v>
      </c>
      <c r="B21" s="43" t="n">
        <v>355.63401</v>
      </c>
      <c r="C21" s="44" t="n">
        <v>213.5225</v>
      </c>
      <c r="D21" s="44" t="n">
        <v>1583.329985</v>
      </c>
      <c r="E21" s="45" t="n">
        <v>0</v>
      </c>
      <c r="F21" s="43" t="n">
        <v>0</v>
      </c>
      <c r="G21" s="44" t="n">
        <v>0</v>
      </c>
      <c r="H21" s="46" t="n">
        <v>0</v>
      </c>
      <c r="I21" s="47" t="n">
        <v>100</v>
      </c>
      <c r="J21" s="48" t="n">
        <v>0</v>
      </c>
      <c r="K21" s="43"/>
      <c r="M21" s="46" t="n">
        <v>0</v>
      </c>
      <c r="N21" s="43" t="n">
        <v>0</v>
      </c>
      <c r="O21" s="46" t="n">
        <v>0</v>
      </c>
      <c r="P21" s="49" t="n">
        <v>0</v>
      </c>
      <c r="Q21" s="50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0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6" t="n">
        <v>0</v>
      </c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41"/>
      <c r="KZ21" s="41"/>
      <c r="LA21" s="41"/>
      <c r="LB21" s="41"/>
      <c r="LC21" s="41"/>
      <c r="LD21" s="41"/>
      <c r="LE21" s="41"/>
      <c r="LF21" s="41"/>
      <c r="LG21" s="41"/>
      <c r="LH21" s="41"/>
      <c r="LI21" s="41"/>
      <c r="LJ21" s="41"/>
      <c r="LK21" s="41"/>
      <c r="LL21" s="41"/>
      <c r="LM21" s="41"/>
      <c r="LN21" s="41"/>
      <c r="LO21" s="41"/>
      <c r="LP21" s="41"/>
      <c r="LQ21" s="41"/>
      <c r="LR21" s="41"/>
      <c r="LS21" s="41"/>
      <c r="LT21" s="41"/>
      <c r="LU21" s="41"/>
      <c r="LV21" s="41"/>
      <c r="LW21" s="41"/>
      <c r="LX21" s="41"/>
      <c r="LY21" s="41"/>
      <c r="LZ21" s="41"/>
      <c r="MA21" s="41"/>
      <c r="MB21" s="41"/>
      <c r="MC21" s="41"/>
      <c r="MD21" s="41"/>
      <c r="ME21" s="41"/>
      <c r="MF21" s="41"/>
      <c r="MG21" s="41"/>
      <c r="MH21" s="41"/>
      <c r="MI21" s="41"/>
      <c r="MJ21" s="41"/>
      <c r="MK21" s="41"/>
      <c r="ML21" s="41"/>
      <c r="MM21" s="41"/>
      <c r="MN21" s="41"/>
      <c r="MO21" s="41"/>
      <c r="MP21" s="41"/>
      <c r="MQ21" s="41"/>
      <c r="MR21" s="41"/>
      <c r="MS21" s="41"/>
      <c r="MT21" s="41"/>
      <c r="MU21" s="41"/>
      <c r="MV21" s="41"/>
      <c r="MW21" s="41"/>
      <c r="MX21" s="41"/>
      <c r="MY21" s="41"/>
      <c r="MZ21" s="41"/>
      <c r="NA21" s="41"/>
      <c r="NB21" s="41"/>
      <c r="NC21" s="41"/>
      <c r="ND21" s="41"/>
      <c r="NE21" s="41"/>
      <c r="NF21" s="41"/>
      <c r="NG21" s="41"/>
      <c r="NH21" s="41"/>
      <c r="NI21" s="41"/>
      <c r="NJ21" s="41"/>
      <c r="NK21" s="41"/>
      <c r="NL21" s="41"/>
      <c r="NM21" s="41"/>
      <c r="NN21" s="41"/>
      <c r="NO21" s="41"/>
      <c r="NP21" s="41"/>
      <c r="NQ21" s="41"/>
      <c r="NR21" s="41"/>
      <c r="NS21" s="41"/>
      <c r="NT21" s="41"/>
      <c r="NU21" s="41"/>
      <c r="NV21" s="41"/>
      <c r="NW21" s="41"/>
      <c r="NX21" s="41"/>
      <c r="NY21" s="41"/>
      <c r="NZ21" s="41"/>
      <c r="OA21" s="41"/>
      <c r="OB21" s="41"/>
      <c r="OC21" s="41"/>
      <c r="OD21" s="41"/>
      <c r="OE21" s="41"/>
      <c r="OF21" s="41"/>
      <c r="OG21" s="41"/>
      <c r="OH21" s="41"/>
      <c r="OI21" s="41"/>
      <c r="OJ21" s="41"/>
      <c r="OK21" s="41"/>
      <c r="OL21" s="41"/>
      <c r="OM21" s="41"/>
      <c r="ON21" s="41"/>
      <c r="OO21" s="41"/>
      <c r="OP21" s="41"/>
      <c r="OQ21" s="41"/>
      <c r="OR21" s="41"/>
      <c r="OS21" s="41"/>
      <c r="OT21" s="41"/>
      <c r="OU21" s="41"/>
      <c r="OV21" s="41"/>
      <c r="OW21" s="41"/>
      <c r="OX21" s="41"/>
      <c r="OY21" s="41"/>
      <c r="OZ21" s="41"/>
      <c r="PA21" s="41"/>
      <c r="PB21" s="41"/>
      <c r="PC21" s="41"/>
      <c r="PD21" s="41"/>
      <c r="PE21" s="41"/>
      <c r="PF21" s="41"/>
      <c r="PG21" s="41"/>
      <c r="PH21" s="41"/>
      <c r="PI21" s="41"/>
      <c r="PJ21" s="41"/>
      <c r="PK21" s="41"/>
      <c r="PL21" s="41"/>
      <c r="PM21" s="41"/>
      <c r="PN21" s="41"/>
      <c r="PO21" s="41"/>
      <c r="PP21" s="41"/>
      <c r="PQ21" s="41"/>
      <c r="PR21" s="41"/>
      <c r="PS21" s="41"/>
      <c r="PT21" s="41"/>
      <c r="PU21" s="41"/>
      <c r="PV21" s="41"/>
      <c r="PW21" s="41"/>
      <c r="PX21" s="41"/>
      <c r="PY21" s="41"/>
      <c r="PZ21" s="41"/>
      <c r="QA21" s="41"/>
      <c r="QB21" s="41"/>
      <c r="QC21" s="41"/>
      <c r="QD21" s="41"/>
      <c r="QE21" s="41"/>
      <c r="QF21" s="41"/>
      <c r="QG21" s="41"/>
      <c r="QH21" s="41"/>
      <c r="QI21" s="41"/>
      <c r="QJ21" s="41"/>
      <c r="QK21" s="41"/>
      <c r="QL21" s="41"/>
      <c r="QM21" s="41"/>
      <c r="QN21" s="41"/>
      <c r="QO21" s="41"/>
      <c r="QP21" s="41"/>
      <c r="QQ21" s="41"/>
      <c r="QR21" s="41"/>
      <c r="QS21" s="41"/>
      <c r="QT21" s="41"/>
      <c r="QU21" s="41"/>
      <c r="QV21" s="41"/>
      <c r="QW21" s="41"/>
      <c r="QX21" s="41"/>
      <c r="QY21" s="41"/>
      <c r="QZ21" s="41"/>
      <c r="RA21" s="41"/>
      <c r="RB21" s="41"/>
      <c r="RC21" s="41"/>
      <c r="RD21" s="41"/>
      <c r="RE21" s="41"/>
      <c r="RF21" s="41"/>
      <c r="RG21" s="41"/>
      <c r="RH21" s="41"/>
      <c r="RI21" s="41"/>
      <c r="RJ21" s="41"/>
      <c r="RK21" s="41"/>
      <c r="RL21" s="41"/>
      <c r="RM21" s="41"/>
      <c r="RN21" s="41"/>
      <c r="RO21" s="41"/>
      <c r="RP21" s="41"/>
      <c r="RQ21" s="41"/>
      <c r="RR21" s="41"/>
      <c r="RS21" s="41"/>
      <c r="RT21" s="41"/>
      <c r="RU21" s="41"/>
      <c r="RV21" s="41"/>
      <c r="RW21" s="41"/>
      <c r="RX21" s="41"/>
      <c r="RY21" s="41"/>
      <c r="RZ21" s="41"/>
      <c r="SA21" s="41"/>
      <c r="SB21" s="41"/>
      <c r="SC21" s="41"/>
      <c r="SD21" s="41"/>
      <c r="SE21" s="41"/>
      <c r="SF21" s="41"/>
      <c r="SG21" s="41"/>
      <c r="SH21" s="41"/>
      <c r="SI21" s="41"/>
      <c r="SJ21" s="41"/>
      <c r="SK21" s="41"/>
      <c r="SL21" s="41"/>
      <c r="SM21" s="41"/>
      <c r="SN21" s="41"/>
      <c r="SO21" s="41"/>
      <c r="SP21" s="41"/>
      <c r="SQ21" s="41"/>
      <c r="SR21" s="41"/>
      <c r="SS21" s="41"/>
      <c r="ST21" s="41"/>
      <c r="SU21" s="41"/>
      <c r="SV21" s="41"/>
      <c r="SW21" s="41"/>
      <c r="SX21" s="41"/>
      <c r="SY21" s="41"/>
      <c r="SZ21" s="41"/>
      <c r="TA21" s="41"/>
      <c r="TB21" s="41"/>
      <c r="TC21" s="41"/>
      <c r="TD21" s="41"/>
      <c r="TE21" s="41"/>
      <c r="TF21" s="41"/>
      <c r="TG21" s="41"/>
      <c r="TH21" s="41"/>
      <c r="TI21" s="41"/>
      <c r="TJ21" s="41"/>
      <c r="TK21" s="41"/>
      <c r="TL21" s="41"/>
      <c r="TM21" s="41"/>
      <c r="TN21" s="41"/>
      <c r="TO21" s="41"/>
      <c r="TP21" s="41"/>
      <c r="TQ21" s="41"/>
      <c r="TR21" s="41"/>
      <c r="TS21" s="41"/>
      <c r="TT21" s="41"/>
      <c r="TU21" s="41"/>
      <c r="TV21" s="41"/>
      <c r="TW21" s="41"/>
      <c r="TX21" s="41"/>
      <c r="TY21" s="41"/>
      <c r="TZ21" s="41"/>
      <c r="UA21" s="41"/>
      <c r="UB21" s="41"/>
      <c r="UC21" s="41"/>
      <c r="UD21" s="41"/>
      <c r="UE21" s="41"/>
      <c r="UF21" s="41"/>
      <c r="UG21" s="41"/>
      <c r="UH21" s="41"/>
      <c r="UI21" s="41"/>
      <c r="UJ21" s="41"/>
      <c r="UK21" s="41"/>
      <c r="UL21" s="41"/>
      <c r="UM21" s="41"/>
      <c r="UN21" s="41"/>
      <c r="UO21" s="41"/>
      <c r="UP21" s="41"/>
      <c r="UQ21" s="41"/>
      <c r="UR21" s="41"/>
      <c r="US21" s="41"/>
      <c r="UT21" s="41"/>
      <c r="UU21" s="41"/>
      <c r="UV21" s="41"/>
      <c r="UW21" s="41"/>
      <c r="UX21" s="41"/>
      <c r="UY21" s="41"/>
      <c r="UZ21" s="41"/>
      <c r="VA21" s="41"/>
      <c r="VB21" s="41"/>
      <c r="VC21" s="41"/>
      <c r="VD21" s="41"/>
      <c r="VE21" s="41"/>
      <c r="VF21" s="41"/>
      <c r="VG21" s="41"/>
      <c r="VH21" s="41"/>
      <c r="VI21" s="41"/>
      <c r="VJ21" s="41"/>
      <c r="VK21" s="41"/>
      <c r="VL21" s="41"/>
      <c r="VM21" s="41"/>
      <c r="VN21" s="41"/>
      <c r="VO21" s="41"/>
      <c r="VP21" s="41"/>
      <c r="VQ21" s="41"/>
      <c r="VR21" s="41"/>
      <c r="VS21" s="41"/>
      <c r="VT21" s="41"/>
      <c r="VU21" s="41"/>
      <c r="VV21" s="41"/>
      <c r="VW21" s="41"/>
      <c r="VX21" s="41"/>
      <c r="VY21" s="41"/>
      <c r="VZ21" s="41"/>
      <c r="WA21" s="41"/>
      <c r="WB21" s="41"/>
      <c r="WC21" s="41"/>
      <c r="WD21" s="41"/>
      <c r="WE21" s="41"/>
      <c r="WF21" s="41"/>
      <c r="WG21" s="41"/>
      <c r="WH21" s="41"/>
      <c r="WI21" s="41"/>
      <c r="WJ21" s="41"/>
      <c r="WK21" s="41"/>
      <c r="WL21" s="41"/>
      <c r="WM21" s="41"/>
      <c r="WN21" s="41"/>
      <c r="WO21" s="41"/>
      <c r="WP21" s="41"/>
      <c r="WQ21" s="41"/>
      <c r="WR21" s="41"/>
      <c r="WS21" s="41"/>
      <c r="WT21" s="41"/>
      <c r="WU21" s="41"/>
      <c r="WV21" s="41"/>
      <c r="WW21" s="41"/>
      <c r="WX21" s="41"/>
      <c r="WY21" s="41"/>
      <c r="WZ21" s="41"/>
      <c r="XA21" s="41"/>
      <c r="XB21" s="41"/>
      <c r="XC21" s="41"/>
      <c r="XD21" s="41"/>
      <c r="XE21" s="41"/>
      <c r="XF21" s="41"/>
      <c r="XG21" s="41"/>
      <c r="XH21" s="41"/>
      <c r="XI21" s="41"/>
      <c r="XJ21" s="41"/>
      <c r="XK21" s="41"/>
      <c r="XL21" s="41"/>
      <c r="XM21" s="41"/>
      <c r="XN21" s="41"/>
      <c r="XO21" s="41"/>
      <c r="XP21" s="41"/>
      <c r="XQ21" s="41"/>
      <c r="XR21" s="41"/>
      <c r="XS21" s="41"/>
      <c r="XT21" s="41"/>
      <c r="XU21" s="41"/>
      <c r="XV21" s="41"/>
      <c r="XW21" s="41"/>
      <c r="XX21" s="41"/>
      <c r="XY21" s="41"/>
      <c r="XZ21" s="41"/>
      <c r="YA21" s="41"/>
      <c r="YB21" s="41"/>
      <c r="YC21" s="41"/>
      <c r="YD21" s="41"/>
      <c r="YE21" s="41"/>
      <c r="YF21" s="41"/>
      <c r="YG21" s="41"/>
      <c r="YH21" s="41"/>
      <c r="YI21" s="41"/>
      <c r="YJ21" s="41"/>
      <c r="YK21" s="41"/>
      <c r="YL21" s="41"/>
      <c r="YM21" s="41"/>
      <c r="YN21" s="41"/>
      <c r="YO21" s="41"/>
      <c r="YP21" s="41"/>
      <c r="YQ21" s="41"/>
      <c r="YR21" s="41"/>
      <c r="YS21" s="41"/>
      <c r="YT21" s="41"/>
      <c r="YU21" s="41"/>
      <c r="YV21" s="41"/>
      <c r="YW21" s="41"/>
      <c r="YX21" s="41"/>
      <c r="YY21" s="41"/>
      <c r="YZ21" s="41"/>
      <c r="ZA21" s="41"/>
      <c r="ZB21" s="41"/>
      <c r="ZC21" s="41"/>
      <c r="ZD21" s="41"/>
      <c r="ZE21" s="41"/>
      <c r="ZF21" s="41"/>
      <c r="ZG21" s="41"/>
      <c r="ZH21" s="41"/>
      <c r="ZI21" s="41"/>
      <c r="ZJ21" s="41"/>
      <c r="ZK21" s="41"/>
      <c r="ZL21" s="41"/>
      <c r="ZM21" s="41"/>
      <c r="ZN21" s="41"/>
      <c r="ZO21" s="41"/>
      <c r="ZP21" s="41"/>
      <c r="ZQ21" s="41"/>
      <c r="ZR21" s="41"/>
      <c r="ZS21" s="41"/>
      <c r="ZT21" s="41"/>
      <c r="ZU21" s="41"/>
      <c r="ZV21" s="41"/>
      <c r="ZW21" s="41"/>
      <c r="ZX21" s="41"/>
      <c r="ZY21" s="41"/>
      <c r="ZZ21" s="41"/>
      <c r="AAA21" s="41"/>
      <c r="AAB21" s="41"/>
      <c r="AAC21" s="41"/>
      <c r="AAD21" s="41"/>
      <c r="AAE21" s="41"/>
      <c r="AAF21" s="41"/>
      <c r="AAG21" s="41"/>
      <c r="AAH21" s="41"/>
      <c r="AAI21" s="41"/>
      <c r="AAJ21" s="41"/>
      <c r="AAK21" s="41"/>
      <c r="AAL21" s="41"/>
      <c r="AAM21" s="41"/>
      <c r="AAN21" s="41"/>
      <c r="AAO21" s="41"/>
      <c r="AAP21" s="41"/>
      <c r="AAQ21" s="41"/>
      <c r="AAR21" s="41"/>
      <c r="AAS21" s="41"/>
      <c r="AAT21" s="41"/>
      <c r="AAU21" s="41"/>
      <c r="AAV21" s="41"/>
      <c r="AAW21" s="41"/>
      <c r="AAX21" s="41"/>
      <c r="AAY21" s="41"/>
      <c r="AAZ21" s="41"/>
      <c r="ABA21" s="41"/>
      <c r="ABB21" s="41"/>
      <c r="ABC21" s="41"/>
      <c r="ABD21" s="41"/>
      <c r="ABE21" s="41"/>
      <c r="ABF21" s="41"/>
      <c r="ABG21" s="41"/>
      <c r="ABH21" s="41"/>
      <c r="ABI21" s="41"/>
      <c r="ABJ21" s="41"/>
      <c r="ABK21" s="41"/>
      <c r="ABL21" s="41"/>
      <c r="ABM21" s="41"/>
      <c r="ABN21" s="41"/>
      <c r="ABO21" s="41"/>
      <c r="ABP21" s="41"/>
      <c r="ABQ21" s="41"/>
      <c r="ABR21" s="41"/>
      <c r="ABS21" s="41"/>
      <c r="ABT21" s="41"/>
      <c r="ABU21" s="41"/>
      <c r="ABV21" s="41"/>
      <c r="ABW21" s="41"/>
      <c r="ABX21" s="41"/>
      <c r="ABY21" s="41"/>
      <c r="ABZ21" s="41"/>
      <c r="ACA21" s="41"/>
      <c r="ACB21" s="41"/>
      <c r="ACC21" s="41"/>
      <c r="ACD21" s="41"/>
      <c r="ACE21" s="41"/>
      <c r="ACF21" s="41"/>
      <c r="ACG21" s="41"/>
      <c r="ACH21" s="41"/>
      <c r="ACI21" s="41"/>
      <c r="ACJ21" s="41"/>
      <c r="ACK21" s="41"/>
      <c r="ACL21" s="41"/>
      <c r="ACM21" s="41"/>
      <c r="ACN21" s="41"/>
      <c r="ACO21" s="41"/>
      <c r="ACP21" s="41"/>
      <c r="ACQ21" s="41"/>
      <c r="ACR21" s="41"/>
      <c r="ACS21" s="41"/>
      <c r="ACT21" s="41"/>
      <c r="ACU21" s="41"/>
      <c r="ACV21" s="41"/>
      <c r="ACW21" s="41"/>
      <c r="ACX21" s="41"/>
      <c r="ACY21" s="41"/>
      <c r="ACZ21" s="41"/>
      <c r="ADA21" s="41"/>
      <c r="ADB21" s="41"/>
      <c r="ADC21" s="41"/>
      <c r="ADD21" s="41"/>
      <c r="ADE21" s="41"/>
      <c r="ADF21" s="41"/>
      <c r="ADG21" s="41"/>
      <c r="ADH21" s="41"/>
      <c r="ADI21" s="41"/>
      <c r="ADJ21" s="41"/>
      <c r="ADK21" s="41"/>
      <c r="ADL21" s="41"/>
      <c r="ADM21" s="41"/>
      <c r="ADN21" s="41"/>
      <c r="ADO21" s="41"/>
      <c r="ADP21" s="41"/>
      <c r="ADQ21" s="41"/>
      <c r="ADR21" s="41"/>
      <c r="ADS21" s="41"/>
      <c r="ADT21" s="41"/>
      <c r="ADU21" s="41"/>
      <c r="ADV21" s="41"/>
      <c r="ADW21" s="41"/>
      <c r="ADX21" s="41"/>
      <c r="ADY21" s="41"/>
      <c r="ADZ21" s="41"/>
      <c r="AEA21" s="41"/>
      <c r="AEB21" s="41"/>
      <c r="AEC21" s="41"/>
      <c r="AED21" s="41"/>
      <c r="AEE21" s="41"/>
      <c r="AEF21" s="41"/>
      <c r="AEG21" s="41"/>
      <c r="AEH21" s="41"/>
      <c r="AEI21" s="41"/>
      <c r="AEJ21" s="41"/>
      <c r="AEK21" s="41"/>
      <c r="AEL21" s="41"/>
      <c r="AEM21" s="41"/>
      <c r="AEN21" s="41"/>
      <c r="AEO21" s="41"/>
      <c r="AEP21" s="41"/>
      <c r="AEQ21" s="41"/>
      <c r="AER21" s="41"/>
      <c r="AES21" s="41"/>
      <c r="AET21" s="41"/>
      <c r="AEU21" s="41"/>
      <c r="AEV21" s="41"/>
      <c r="AEW21" s="41"/>
      <c r="AEX21" s="41"/>
      <c r="AEY21" s="41"/>
      <c r="AEZ21" s="41"/>
      <c r="AFA21" s="41"/>
      <c r="AFB21" s="41"/>
      <c r="AFC21" s="41"/>
      <c r="AFD21" s="41"/>
      <c r="AFE21" s="41"/>
      <c r="AFF21" s="41"/>
      <c r="AFG21" s="41"/>
      <c r="AFH21" s="41"/>
      <c r="AFI21" s="41"/>
      <c r="AFJ21" s="41"/>
      <c r="AFK21" s="41"/>
      <c r="AFL21" s="41"/>
      <c r="AFM21" s="41"/>
      <c r="AFN21" s="41"/>
      <c r="AFO21" s="41"/>
      <c r="AFP21" s="41"/>
      <c r="AFQ21" s="41"/>
      <c r="AFR21" s="41"/>
      <c r="AFS21" s="41"/>
      <c r="AFT21" s="41"/>
      <c r="AFU21" s="41"/>
      <c r="AFV21" s="41"/>
      <c r="AFW21" s="41"/>
      <c r="AFX21" s="41"/>
      <c r="AFY21" s="41"/>
      <c r="AFZ21" s="41"/>
      <c r="AGA21" s="41"/>
      <c r="AGB21" s="41"/>
      <c r="AGC21" s="41"/>
      <c r="AGD21" s="41"/>
      <c r="AGE21" s="41"/>
      <c r="AGF21" s="41"/>
      <c r="AGG21" s="41"/>
      <c r="AGH21" s="41"/>
      <c r="AGI21" s="41"/>
      <c r="AGJ21" s="41"/>
      <c r="AGK21" s="41"/>
      <c r="AGL21" s="41"/>
      <c r="AGM21" s="41"/>
      <c r="AGN21" s="41"/>
      <c r="AGO21" s="41"/>
      <c r="AGP21" s="41"/>
      <c r="AGQ21" s="41"/>
      <c r="AGR21" s="41"/>
      <c r="AGS21" s="41"/>
      <c r="AGT21" s="41"/>
      <c r="AGU21" s="41"/>
      <c r="AGV21" s="41"/>
      <c r="AGW21" s="41"/>
      <c r="AGX21" s="41"/>
      <c r="AGY21" s="41"/>
      <c r="AGZ21" s="41"/>
      <c r="AHA21" s="41"/>
      <c r="AHB21" s="41"/>
      <c r="AHC21" s="41"/>
      <c r="AHD21" s="41"/>
      <c r="AHE21" s="41"/>
      <c r="AHF21" s="41"/>
      <c r="AHG21" s="41"/>
      <c r="AHH21" s="41"/>
      <c r="AHI21" s="41"/>
      <c r="AHJ21" s="41"/>
      <c r="AHK21" s="41"/>
      <c r="AHL21" s="41"/>
      <c r="AHM21" s="41"/>
      <c r="AHN21" s="41"/>
      <c r="AHO21" s="41"/>
      <c r="AHP21" s="41"/>
      <c r="AHQ21" s="41"/>
      <c r="AHR21" s="41"/>
      <c r="AHS21" s="41"/>
      <c r="AHT21" s="41"/>
      <c r="AHU21" s="41"/>
      <c r="AHV21" s="41"/>
      <c r="AHW21" s="41"/>
      <c r="AHX21" s="41"/>
      <c r="AHY21" s="41"/>
      <c r="AHZ21" s="41"/>
      <c r="AIA21" s="41"/>
      <c r="AIB21" s="41"/>
      <c r="AIC21" s="41"/>
      <c r="AID21" s="41"/>
      <c r="AIE21" s="41"/>
      <c r="AIF21" s="41"/>
      <c r="AIG21" s="41"/>
      <c r="AIH21" s="41"/>
      <c r="AII21" s="41"/>
      <c r="AIJ21" s="41"/>
      <c r="AIK21" s="41"/>
      <c r="AIL21" s="41"/>
      <c r="AIM21" s="41"/>
      <c r="AIN21" s="41"/>
      <c r="AIO21" s="41"/>
      <c r="AIP21" s="41"/>
      <c r="AIQ21" s="41"/>
      <c r="AIR21" s="41"/>
      <c r="AIS21" s="41"/>
      <c r="AIT21" s="41"/>
      <c r="AIU21" s="41"/>
      <c r="AIV21" s="41"/>
      <c r="AIW21" s="41"/>
      <c r="AIX21" s="41"/>
      <c r="AIY21" s="41"/>
      <c r="AIZ21" s="41"/>
      <c r="AJA21" s="41"/>
      <c r="AJB21" s="41"/>
      <c r="AJC21" s="41"/>
      <c r="AJD21" s="41"/>
      <c r="AJE21" s="41"/>
      <c r="AJF21" s="41"/>
      <c r="AJG21" s="41"/>
      <c r="AJH21" s="41"/>
      <c r="AJI21" s="41"/>
      <c r="AJJ21" s="41"/>
      <c r="AJK21" s="41"/>
      <c r="AJL21" s="41"/>
      <c r="AJM21" s="41"/>
      <c r="AJN21" s="41"/>
      <c r="AJO21" s="41"/>
      <c r="AJP21" s="41"/>
      <c r="AJQ21" s="41"/>
      <c r="AJR21" s="41"/>
      <c r="AJS21" s="41"/>
      <c r="AJT21" s="41"/>
      <c r="AJU21" s="41"/>
      <c r="AJV21" s="41"/>
      <c r="AJW21" s="41"/>
      <c r="AJX21" s="41"/>
      <c r="AJY21" s="41"/>
      <c r="AJZ21" s="41"/>
      <c r="AKA21" s="41"/>
      <c r="AKB21" s="41"/>
      <c r="AKC21" s="41"/>
      <c r="AKD21" s="41"/>
      <c r="AKE21" s="41"/>
      <c r="AKF21" s="41"/>
      <c r="AKG21" s="41"/>
      <c r="AKH21" s="41"/>
      <c r="AKI21" s="41"/>
      <c r="AKJ21" s="41"/>
      <c r="AKK21" s="41"/>
      <c r="AKL21" s="41"/>
      <c r="AKM21" s="41"/>
      <c r="AKN21" s="41"/>
      <c r="AKO21" s="41"/>
      <c r="AKP21" s="41"/>
      <c r="AKQ21" s="41"/>
      <c r="AKR21" s="41"/>
      <c r="AKS21" s="41"/>
      <c r="AKT21" s="41"/>
      <c r="AKU21" s="41"/>
      <c r="AKV21" s="41"/>
      <c r="AKW21" s="41"/>
      <c r="AKX21" s="41"/>
      <c r="AKY21" s="41"/>
      <c r="AKZ21" s="41"/>
      <c r="ALA21" s="41"/>
      <c r="ALB21" s="41"/>
      <c r="ALC21" s="41"/>
      <c r="ALD21" s="41"/>
      <c r="ALE21" s="41"/>
      <c r="ALF21" s="41"/>
      <c r="ALG21" s="41"/>
      <c r="ALH21" s="41"/>
      <c r="ALI21" s="41"/>
      <c r="ALJ21" s="41"/>
      <c r="ALK21" s="41"/>
      <c r="ALL21" s="41"/>
      <c r="ALM21" s="41"/>
      <c r="ALN21" s="41"/>
      <c r="ALO21" s="41"/>
      <c r="ALP21" s="41"/>
      <c r="ALQ21" s="41"/>
      <c r="ALR21" s="41"/>
      <c r="ALS21" s="41"/>
      <c r="ALT21" s="41"/>
      <c r="ALU21" s="41"/>
      <c r="ALV21" s="41"/>
      <c r="ALW21" s="41"/>
      <c r="ALX21" s="41"/>
      <c r="ALY21" s="41"/>
      <c r="ALZ21" s="41"/>
      <c r="AMA21" s="41"/>
      <c r="AMB21" s="41"/>
      <c r="AMC21" s="41"/>
      <c r="AMD21" s="41"/>
      <c r="AME21" s="41"/>
      <c r="AMF21" s="41"/>
      <c r="AMG21" s="41"/>
      <c r="AMH21" s="41"/>
      <c r="AMI21" s="41"/>
      <c r="AMJ21" s="41"/>
      <c r="AMK21" s="41"/>
      <c r="AML21" s="41"/>
      <c r="AMM21" s="41"/>
      <c r="AMN21" s="41"/>
      <c r="AMO21" s="41"/>
      <c r="AMP21" s="41"/>
      <c r="AMQ21" s="41"/>
      <c r="AMR21" s="41"/>
      <c r="AMS21" s="41"/>
      <c r="AMT21" s="41"/>
      <c r="AMU21" s="41"/>
      <c r="AMV21" s="41"/>
      <c r="AMW21" s="41"/>
      <c r="AMX21" s="41"/>
      <c r="AMY21" s="41"/>
      <c r="AMZ21" s="41"/>
      <c r="ANA21" s="41"/>
      <c r="ANB21" s="41"/>
      <c r="ANC21" s="41"/>
      <c r="AND21" s="41"/>
      <c r="ANE21" s="41"/>
      <c r="ANF21" s="41"/>
      <c r="ANG21" s="41"/>
      <c r="ANH21" s="41"/>
      <c r="ANI21" s="41"/>
      <c r="ANJ21" s="41"/>
      <c r="ANK21" s="41"/>
    </row>
    <row r="22" s="44" customFormat="true" ht="15" hidden="false" customHeight="false" outlineLevel="0" collapsed="false">
      <c r="A22" s="42" t="s">
        <v>44</v>
      </c>
      <c r="B22" s="43" t="n">
        <v>11900</v>
      </c>
      <c r="C22" s="44" t="n">
        <v>900000</v>
      </c>
      <c r="D22" s="44" t="n">
        <v>500000</v>
      </c>
      <c r="E22" s="45" t="n">
        <v>500000</v>
      </c>
      <c r="F22" s="43" t="n">
        <v>0</v>
      </c>
      <c r="G22" s="44" t="n">
        <v>0</v>
      </c>
      <c r="H22" s="46" t="n">
        <v>0</v>
      </c>
      <c r="I22" s="47" t="n">
        <v>0.083</v>
      </c>
      <c r="J22" s="48" t="n">
        <v>0</v>
      </c>
      <c r="K22" s="43"/>
      <c r="M22" s="46" t="n">
        <v>0</v>
      </c>
      <c r="N22" s="43" t="n">
        <v>0</v>
      </c>
      <c r="O22" s="46" t="n">
        <v>0</v>
      </c>
      <c r="P22" s="49" t="n">
        <v>0</v>
      </c>
      <c r="Q22" s="50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0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6" t="n">
        <v>0</v>
      </c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41"/>
      <c r="KZ22" s="41"/>
      <c r="LA22" s="41"/>
      <c r="LB22" s="41"/>
      <c r="LC22" s="41"/>
      <c r="LD22" s="41"/>
      <c r="LE22" s="41"/>
      <c r="LF22" s="41"/>
      <c r="LG22" s="41"/>
      <c r="LH22" s="41"/>
      <c r="LI22" s="41"/>
      <c r="LJ22" s="41"/>
      <c r="LK22" s="41"/>
      <c r="LL22" s="41"/>
      <c r="LM22" s="41"/>
      <c r="LN22" s="41"/>
      <c r="LO22" s="41"/>
      <c r="LP22" s="41"/>
      <c r="LQ22" s="41"/>
      <c r="LR22" s="41"/>
      <c r="LS22" s="41"/>
      <c r="LT22" s="41"/>
      <c r="LU22" s="41"/>
      <c r="LV22" s="41"/>
      <c r="LW22" s="41"/>
      <c r="LX22" s="41"/>
      <c r="LY22" s="41"/>
      <c r="LZ22" s="41"/>
      <c r="MA22" s="41"/>
      <c r="MB22" s="41"/>
      <c r="MC22" s="41"/>
      <c r="MD22" s="41"/>
      <c r="ME22" s="41"/>
      <c r="MF22" s="41"/>
      <c r="MG22" s="41"/>
      <c r="MH22" s="41"/>
      <c r="MI22" s="41"/>
      <c r="MJ22" s="41"/>
      <c r="MK22" s="41"/>
      <c r="ML22" s="41"/>
      <c r="MM22" s="41"/>
      <c r="MN22" s="41"/>
      <c r="MO22" s="41"/>
      <c r="MP22" s="41"/>
      <c r="MQ22" s="41"/>
      <c r="MR22" s="41"/>
      <c r="MS22" s="41"/>
      <c r="MT22" s="41"/>
      <c r="MU22" s="41"/>
      <c r="MV22" s="41"/>
      <c r="MW22" s="41"/>
      <c r="MX22" s="41"/>
      <c r="MY22" s="41"/>
      <c r="MZ22" s="41"/>
      <c r="NA22" s="41"/>
      <c r="NB22" s="41"/>
      <c r="NC22" s="41"/>
      <c r="ND22" s="41"/>
      <c r="NE22" s="41"/>
      <c r="NF22" s="41"/>
      <c r="NG22" s="41"/>
      <c r="NH22" s="41"/>
      <c r="NI22" s="41"/>
      <c r="NJ22" s="41"/>
      <c r="NK22" s="41"/>
      <c r="NL22" s="41"/>
      <c r="NM22" s="41"/>
      <c r="NN22" s="41"/>
      <c r="NO22" s="41"/>
      <c r="NP22" s="41"/>
      <c r="NQ22" s="41"/>
      <c r="NR22" s="41"/>
      <c r="NS22" s="41"/>
      <c r="NT22" s="41"/>
      <c r="NU22" s="41"/>
      <c r="NV22" s="41"/>
      <c r="NW22" s="41"/>
      <c r="NX22" s="41"/>
      <c r="NY22" s="41"/>
      <c r="NZ22" s="41"/>
      <c r="OA22" s="41"/>
      <c r="OB22" s="41"/>
      <c r="OC22" s="41"/>
      <c r="OD22" s="41"/>
      <c r="OE22" s="41"/>
      <c r="OF22" s="41"/>
      <c r="OG22" s="41"/>
      <c r="OH22" s="41"/>
      <c r="OI22" s="41"/>
      <c r="OJ22" s="41"/>
      <c r="OK22" s="41"/>
      <c r="OL22" s="41"/>
      <c r="OM22" s="41"/>
      <c r="ON22" s="41"/>
      <c r="OO22" s="41"/>
      <c r="OP22" s="41"/>
      <c r="OQ22" s="41"/>
      <c r="OR22" s="41"/>
      <c r="OS22" s="41"/>
      <c r="OT22" s="41"/>
      <c r="OU22" s="41"/>
      <c r="OV22" s="41"/>
      <c r="OW22" s="41"/>
      <c r="OX22" s="41"/>
      <c r="OY22" s="41"/>
      <c r="OZ22" s="41"/>
      <c r="PA22" s="41"/>
      <c r="PB22" s="41"/>
      <c r="PC22" s="41"/>
      <c r="PD22" s="41"/>
      <c r="PE22" s="41"/>
      <c r="PF22" s="41"/>
      <c r="PG22" s="41"/>
      <c r="PH22" s="41"/>
      <c r="PI22" s="41"/>
      <c r="PJ22" s="41"/>
      <c r="PK22" s="41"/>
      <c r="PL22" s="41"/>
      <c r="PM22" s="41"/>
      <c r="PN22" s="41"/>
      <c r="PO22" s="41"/>
      <c r="PP22" s="41"/>
      <c r="PQ22" s="41"/>
      <c r="PR22" s="41"/>
      <c r="PS22" s="41"/>
      <c r="PT22" s="41"/>
      <c r="PU22" s="41"/>
      <c r="PV22" s="41"/>
      <c r="PW22" s="41"/>
      <c r="PX22" s="41"/>
      <c r="PY22" s="41"/>
      <c r="PZ22" s="41"/>
      <c r="QA22" s="41"/>
      <c r="QB22" s="41"/>
      <c r="QC22" s="41"/>
      <c r="QD22" s="41"/>
      <c r="QE22" s="41"/>
      <c r="QF22" s="41"/>
      <c r="QG22" s="41"/>
      <c r="QH22" s="41"/>
      <c r="QI22" s="41"/>
      <c r="QJ22" s="41"/>
      <c r="QK22" s="41"/>
      <c r="QL22" s="41"/>
      <c r="QM22" s="41"/>
      <c r="QN22" s="41"/>
      <c r="QO22" s="41"/>
      <c r="QP22" s="41"/>
      <c r="QQ22" s="41"/>
      <c r="QR22" s="41"/>
      <c r="QS22" s="41"/>
      <c r="QT22" s="41"/>
      <c r="QU22" s="41"/>
      <c r="QV22" s="41"/>
      <c r="QW22" s="41"/>
      <c r="QX22" s="41"/>
      <c r="QY22" s="41"/>
      <c r="QZ22" s="41"/>
      <c r="RA22" s="41"/>
      <c r="RB22" s="41"/>
      <c r="RC22" s="41"/>
      <c r="RD22" s="41"/>
      <c r="RE22" s="41"/>
      <c r="RF22" s="41"/>
      <c r="RG22" s="41"/>
      <c r="RH22" s="41"/>
      <c r="RI22" s="41"/>
      <c r="RJ22" s="41"/>
      <c r="RK22" s="41"/>
      <c r="RL22" s="41"/>
      <c r="RM22" s="41"/>
      <c r="RN22" s="41"/>
      <c r="RO22" s="41"/>
      <c r="RP22" s="41"/>
      <c r="RQ22" s="41"/>
      <c r="RR22" s="41"/>
      <c r="RS22" s="41"/>
      <c r="RT22" s="41"/>
      <c r="RU22" s="41"/>
      <c r="RV22" s="41"/>
      <c r="RW22" s="41"/>
      <c r="RX22" s="41"/>
      <c r="RY22" s="41"/>
      <c r="RZ22" s="41"/>
      <c r="SA22" s="41"/>
      <c r="SB22" s="41"/>
      <c r="SC22" s="41"/>
      <c r="SD22" s="41"/>
      <c r="SE22" s="41"/>
      <c r="SF22" s="41"/>
      <c r="SG22" s="41"/>
      <c r="SH22" s="41"/>
      <c r="SI22" s="41"/>
      <c r="SJ22" s="41"/>
      <c r="SK22" s="41"/>
      <c r="SL22" s="41"/>
      <c r="SM22" s="41"/>
      <c r="SN22" s="41"/>
      <c r="SO22" s="41"/>
      <c r="SP22" s="41"/>
      <c r="SQ22" s="41"/>
      <c r="SR22" s="41"/>
      <c r="SS22" s="41"/>
      <c r="ST22" s="41"/>
      <c r="SU22" s="41"/>
      <c r="SV22" s="41"/>
      <c r="SW22" s="41"/>
      <c r="SX22" s="41"/>
      <c r="SY22" s="41"/>
      <c r="SZ22" s="41"/>
      <c r="TA22" s="41"/>
      <c r="TB22" s="41"/>
      <c r="TC22" s="41"/>
      <c r="TD22" s="41"/>
      <c r="TE22" s="41"/>
      <c r="TF22" s="41"/>
      <c r="TG22" s="41"/>
      <c r="TH22" s="41"/>
      <c r="TI22" s="41"/>
      <c r="TJ22" s="41"/>
      <c r="TK22" s="41"/>
      <c r="TL22" s="41"/>
      <c r="TM22" s="41"/>
      <c r="TN22" s="41"/>
      <c r="TO22" s="41"/>
      <c r="TP22" s="41"/>
      <c r="TQ22" s="41"/>
      <c r="TR22" s="41"/>
      <c r="TS22" s="41"/>
      <c r="TT22" s="41"/>
      <c r="TU22" s="41"/>
      <c r="TV22" s="41"/>
      <c r="TW22" s="41"/>
      <c r="TX22" s="41"/>
      <c r="TY22" s="41"/>
      <c r="TZ22" s="41"/>
      <c r="UA22" s="41"/>
      <c r="UB22" s="41"/>
      <c r="UC22" s="41"/>
      <c r="UD22" s="41"/>
      <c r="UE22" s="41"/>
      <c r="UF22" s="41"/>
      <c r="UG22" s="41"/>
      <c r="UH22" s="41"/>
      <c r="UI22" s="41"/>
      <c r="UJ22" s="41"/>
      <c r="UK22" s="41"/>
      <c r="UL22" s="41"/>
      <c r="UM22" s="41"/>
      <c r="UN22" s="41"/>
      <c r="UO22" s="41"/>
      <c r="UP22" s="41"/>
      <c r="UQ22" s="41"/>
      <c r="UR22" s="41"/>
      <c r="US22" s="41"/>
      <c r="UT22" s="41"/>
      <c r="UU22" s="41"/>
      <c r="UV22" s="41"/>
      <c r="UW22" s="41"/>
      <c r="UX22" s="41"/>
      <c r="UY22" s="41"/>
      <c r="UZ22" s="41"/>
      <c r="VA22" s="41"/>
      <c r="VB22" s="41"/>
      <c r="VC22" s="41"/>
      <c r="VD22" s="41"/>
      <c r="VE22" s="41"/>
      <c r="VF22" s="41"/>
      <c r="VG22" s="41"/>
      <c r="VH22" s="41"/>
      <c r="VI22" s="41"/>
      <c r="VJ22" s="41"/>
      <c r="VK22" s="41"/>
      <c r="VL22" s="41"/>
      <c r="VM22" s="41"/>
      <c r="VN22" s="41"/>
      <c r="VO22" s="41"/>
      <c r="VP22" s="41"/>
      <c r="VQ22" s="41"/>
      <c r="VR22" s="41"/>
      <c r="VS22" s="41"/>
      <c r="VT22" s="41"/>
      <c r="VU22" s="41"/>
      <c r="VV22" s="41"/>
      <c r="VW22" s="41"/>
      <c r="VX22" s="41"/>
      <c r="VY22" s="41"/>
      <c r="VZ22" s="41"/>
      <c r="WA22" s="41"/>
      <c r="WB22" s="41"/>
      <c r="WC22" s="41"/>
      <c r="WD22" s="41"/>
      <c r="WE22" s="41"/>
      <c r="WF22" s="41"/>
      <c r="WG22" s="41"/>
      <c r="WH22" s="41"/>
      <c r="WI22" s="41"/>
      <c r="WJ22" s="41"/>
      <c r="WK22" s="41"/>
      <c r="WL22" s="41"/>
      <c r="WM22" s="41"/>
      <c r="WN22" s="41"/>
      <c r="WO22" s="41"/>
      <c r="WP22" s="41"/>
      <c r="WQ22" s="41"/>
      <c r="WR22" s="41"/>
      <c r="WS22" s="41"/>
      <c r="WT22" s="41"/>
      <c r="WU22" s="41"/>
      <c r="WV22" s="41"/>
      <c r="WW22" s="41"/>
      <c r="WX22" s="41"/>
      <c r="WY22" s="41"/>
      <c r="WZ22" s="41"/>
      <c r="XA22" s="41"/>
      <c r="XB22" s="41"/>
      <c r="XC22" s="41"/>
      <c r="XD22" s="41"/>
      <c r="XE22" s="41"/>
      <c r="XF22" s="41"/>
      <c r="XG22" s="41"/>
      <c r="XH22" s="41"/>
      <c r="XI22" s="41"/>
      <c r="XJ22" s="41"/>
      <c r="XK22" s="41"/>
      <c r="XL22" s="41"/>
      <c r="XM22" s="41"/>
      <c r="XN22" s="41"/>
      <c r="XO22" s="41"/>
      <c r="XP22" s="41"/>
      <c r="XQ22" s="41"/>
      <c r="XR22" s="41"/>
      <c r="XS22" s="41"/>
      <c r="XT22" s="41"/>
      <c r="XU22" s="41"/>
      <c r="XV22" s="41"/>
      <c r="XW22" s="41"/>
      <c r="XX22" s="41"/>
      <c r="XY22" s="41"/>
      <c r="XZ22" s="41"/>
      <c r="YA22" s="41"/>
      <c r="YB22" s="41"/>
      <c r="YC22" s="41"/>
      <c r="YD22" s="41"/>
      <c r="YE22" s="41"/>
      <c r="YF22" s="41"/>
      <c r="YG22" s="41"/>
      <c r="YH22" s="41"/>
      <c r="YI22" s="41"/>
      <c r="YJ22" s="41"/>
      <c r="YK22" s="41"/>
      <c r="YL22" s="41"/>
      <c r="YM22" s="41"/>
      <c r="YN22" s="41"/>
      <c r="YO22" s="41"/>
      <c r="YP22" s="41"/>
      <c r="YQ22" s="41"/>
      <c r="YR22" s="41"/>
      <c r="YS22" s="41"/>
      <c r="YT22" s="41"/>
      <c r="YU22" s="41"/>
      <c r="YV22" s="41"/>
      <c r="YW22" s="41"/>
      <c r="YX22" s="41"/>
      <c r="YY22" s="41"/>
      <c r="YZ22" s="41"/>
      <c r="ZA22" s="41"/>
      <c r="ZB22" s="41"/>
      <c r="ZC22" s="41"/>
      <c r="ZD22" s="41"/>
      <c r="ZE22" s="41"/>
      <c r="ZF22" s="41"/>
      <c r="ZG22" s="41"/>
      <c r="ZH22" s="41"/>
      <c r="ZI22" s="41"/>
      <c r="ZJ22" s="41"/>
      <c r="ZK22" s="41"/>
      <c r="ZL22" s="41"/>
      <c r="ZM22" s="41"/>
      <c r="ZN22" s="41"/>
      <c r="ZO22" s="41"/>
      <c r="ZP22" s="41"/>
      <c r="ZQ22" s="41"/>
      <c r="ZR22" s="41"/>
      <c r="ZS22" s="41"/>
      <c r="ZT22" s="41"/>
      <c r="ZU22" s="41"/>
      <c r="ZV22" s="41"/>
      <c r="ZW22" s="41"/>
      <c r="ZX22" s="41"/>
      <c r="ZY22" s="41"/>
      <c r="ZZ22" s="41"/>
      <c r="AAA22" s="41"/>
      <c r="AAB22" s="41"/>
      <c r="AAC22" s="41"/>
      <c r="AAD22" s="41"/>
      <c r="AAE22" s="41"/>
      <c r="AAF22" s="41"/>
      <c r="AAG22" s="41"/>
      <c r="AAH22" s="41"/>
      <c r="AAI22" s="41"/>
      <c r="AAJ22" s="41"/>
      <c r="AAK22" s="41"/>
      <c r="AAL22" s="41"/>
      <c r="AAM22" s="41"/>
      <c r="AAN22" s="41"/>
      <c r="AAO22" s="41"/>
      <c r="AAP22" s="41"/>
      <c r="AAQ22" s="41"/>
      <c r="AAR22" s="41"/>
      <c r="AAS22" s="41"/>
      <c r="AAT22" s="41"/>
      <c r="AAU22" s="41"/>
      <c r="AAV22" s="41"/>
      <c r="AAW22" s="41"/>
      <c r="AAX22" s="41"/>
      <c r="AAY22" s="41"/>
      <c r="AAZ22" s="41"/>
      <c r="ABA22" s="41"/>
      <c r="ABB22" s="41"/>
      <c r="ABC22" s="41"/>
      <c r="ABD22" s="41"/>
      <c r="ABE22" s="41"/>
      <c r="ABF22" s="41"/>
      <c r="ABG22" s="41"/>
      <c r="ABH22" s="41"/>
      <c r="ABI22" s="41"/>
      <c r="ABJ22" s="41"/>
      <c r="ABK22" s="41"/>
      <c r="ABL22" s="41"/>
      <c r="ABM22" s="41"/>
      <c r="ABN22" s="41"/>
      <c r="ABO22" s="41"/>
      <c r="ABP22" s="41"/>
      <c r="ABQ22" s="41"/>
      <c r="ABR22" s="41"/>
      <c r="ABS22" s="41"/>
      <c r="ABT22" s="41"/>
      <c r="ABU22" s="41"/>
      <c r="ABV22" s="41"/>
      <c r="ABW22" s="41"/>
      <c r="ABX22" s="41"/>
      <c r="ABY22" s="41"/>
      <c r="ABZ22" s="41"/>
      <c r="ACA22" s="41"/>
      <c r="ACB22" s="41"/>
      <c r="ACC22" s="41"/>
      <c r="ACD22" s="41"/>
      <c r="ACE22" s="41"/>
      <c r="ACF22" s="41"/>
      <c r="ACG22" s="41"/>
      <c r="ACH22" s="41"/>
      <c r="ACI22" s="41"/>
      <c r="ACJ22" s="41"/>
      <c r="ACK22" s="41"/>
      <c r="ACL22" s="41"/>
      <c r="ACM22" s="41"/>
      <c r="ACN22" s="41"/>
      <c r="ACO22" s="41"/>
      <c r="ACP22" s="41"/>
      <c r="ACQ22" s="41"/>
      <c r="ACR22" s="41"/>
      <c r="ACS22" s="41"/>
      <c r="ACT22" s="41"/>
      <c r="ACU22" s="41"/>
      <c r="ACV22" s="41"/>
      <c r="ACW22" s="41"/>
      <c r="ACX22" s="41"/>
      <c r="ACY22" s="41"/>
      <c r="ACZ22" s="41"/>
      <c r="ADA22" s="41"/>
      <c r="ADB22" s="41"/>
      <c r="ADC22" s="41"/>
      <c r="ADD22" s="41"/>
      <c r="ADE22" s="41"/>
      <c r="ADF22" s="41"/>
      <c r="ADG22" s="41"/>
      <c r="ADH22" s="41"/>
      <c r="ADI22" s="41"/>
      <c r="ADJ22" s="41"/>
      <c r="ADK22" s="41"/>
      <c r="ADL22" s="41"/>
      <c r="ADM22" s="41"/>
      <c r="ADN22" s="41"/>
      <c r="ADO22" s="41"/>
      <c r="ADP22" s="41"/>
      <c r="ADQ22" s="41"/>
      <c r="ADR22" s="41"/>
      <c r="ADS22" s="41"/>
      <c r="ADT22" s="41"/>
      <c r="ADU22" s="41"/>
      <c r="ADV22" s="41"/>
      <c r="ADW22" s="41"/>
      <c r="ADX22" s="41"/>
      <c r="ADY22" s="41"/>
      <c r="ADZ22" s="41"/>
      <c r="AEA22" s="41"/>
      <c r="AEB22" s="41"/>
      <c r="AEC22" s="41"/>
      <c r="AED22" s="41"/>
      <c r="AEE22" s="41"/>
      <c r="AEF22" s="41"/>
      <c r="AEG22" s="41"/>
      <c r="AEH22" s="41"/>
      <c r="AEI22" s="41"/>
      <c r="AEJ22" s="41"/>
      <c r="AEK22" s="41"/>
      <c r="AEL22" s="41"/>
      <c r="AEM22" s="41"/>
      <c r="AEN22" s="41"/>
      <c r="AEO22" s="41"/>
      <c r="AEP22" s="41"/>
      <c r="AEQ22" s="41"/>
      <c r="AER22" s="41"/>
      <c r="AES22" s="41"/>
      <c r="AET22" s="41"/>
      <c r="AEU22" s="41"/>
      <c r="AEV22" s="41"/>
      <c r="AEW22" s="41"/>
      <c r="AEX22" s="41"/>
      <c r="AEY22" s="41"/>
      <c r="AEZ22" s="41"/>
      <c r="AFA22" s="41"/>
      <c r="AFB22" s="41"/>
      <c r="AFC22" s="41"/>
      <c r="AFD22" s="41"/>
      <c r="AFE22" s="41"/>
      <c r="AFF22" s="41"/>
      <c r="AFG22" s="41"/>
      <c r="AFH22" s="41"/>
      <c r="AFI22" s="41"/>
      <c r="AFJ22" s="41"/>
      <c r="AFK22" s="41"/>
      <c r="AFL22" s="41"/>
      <c r="AFM22" s="41"/>
      <c r="AFN22" s="41"/>
      <c r="AFO22" s="41"/>
      <c r="AFP22" s="41"/>
      <c r="AFQ22" s="41"/>
      <c r="AFR22" s="41"/>
      <c r="AFS22" s="41"/>
      <c r="AFT22" s="41"/>
      <c r="AFU22" s="41"/>
      <c r="AFV22" s="41"/>
      <c r="AFW22" s="41"/>
      <c r="AFX22" s="41"/>
      <c r="AFY22" s="41"/>
      <c r="AFZ22" s="41"/>
      <c r="AGA22" s="41"/>
      <c r="AGB22" s="41"/>
      <c r="AGC22" s="41"/>
      <c r="AGD22" s="41"/>
      <c r="AGE22" s="41"/>
      <c r="AGF22" s="41"/>
      <c r="AGG22" s="41"/>
      <c r="AGH22" s="41"/>
      <c r="AGI22" s="41"/>
      <c r="AGJ22" s="41"/>
      <c r="AGK22" s="41"/>
      <c r="AGL22" s="41"/>
      <c r="AGM22" s="41"/>
      <c r="AGN22" s="41"/>
      <c r="AGO22" s="41"/>
      <c r="AGP22" s="41"/>
      <c r="AGQ22" s="41"/>
      <c r="AGR22" s="41"/>
      <c r="AGS22" s="41"/>
      <c r="AGT22" s="41"/>
      <c r="AGU22" s="41"/>
      <c r="AGV22" s="41"/>
      <c r="AGW22" s="41"/>
      <c r="AGX22" s="41"/>
      <c r="AGY22" s="41"/>
      <c r="AGZ22" s="41"/>
      <c r="AHA22" s="41"/>
      <c r="AHB22" s="41"/>
      <c r="AHC22" s="41"/>
      <c r="AHD22" s="41"/>
      <c r="AHE22" s="41"/>
      <c r="AHF22" s="41"/>
      <c r="AHG22" s="41"/>
      <c r="AHH22" s="41"/>
      <c r="AHI22" s="41"/>
      <c r="AHJ22" s="41"/>
      <c r="AHK22" s="41"/>
      <c r="AHL22" s="41"/>
      <c r="AHM22" s="41"/>
      <c r="AHN22" s="41"/>
      <c r="AHO22" s="41"/>
      <c r="AHP22" s="41"/>
      <c r="AHQ22" s="41"/>
      <c r="AHR22" s="41"/>
      <c r="AHS22" s="41"/>
      <c r="AHT22" s="41"/>
      <c r="AHU22" s="41"/>
      <c r="AHV22" s="41"/>
      <c r="AHW22" s="41"/>
      <c r="AHX22" s="41"/>
      <c r="AHY22" s="41"/>
      <c r="AHZ22" s="41"/>
      <c r="AIA22" s="41"/>
      <c r="AIB22" s="41"/>
      <c r="AIC22" s="41"/>
      <c r="AID22" s="41"/>
      <c r="AIE22" s="41"/>
      <c r="AIF22" s="41"/>
      <c r="AIG22" s="41"/>
      <c r="AIH22" s="41"/>
      <c r="AII22" s="41"/>
      <c r="AIJ22" s="41"/>
      <c r="AIK22" s="41"/>
      <c r="AIL22" s="41"/>
      <c r="AIM22" s="41"/>
      <c r="AIN22" s="41"/>
      <c r="AIO22" s="41"/>
      <c r="AIP22" s="41"/>
      <c r="AIQ22" s="41"/>
      <c r="AIR22" s="41"/>
      <c r="AIS22" s="41"/>
      <c r="AIT22" s="41"/>
      <c r="AIU22" s="41"/>
      <c r="AIV22" s="41"/>
      <c r="AIW22" s="41"/>
      <c r="AIX22" s="41"/>
      <c r="AIY22" s="41"/>
      <c r="AIZ22" s="41"/>
      <c r="AJA22" s="41"/>
      <c r="AJB22" s="41"/>
      <c r="AJC22" s="41"/>
      <c r="AJD22" s="41"/>
      <c r="AJE22" s="41"/>
      <c r="AJF22" s="41"/>
      <c r="AJG22" s="41"/>
      <c r="AJH22" s="41"/>
      <c r="AJI22" s="41"/>
      <c r="AJJ22" s="41"/>
      <c r="AJK22" s="41"/>
      <c r="AJL22" s="41"/>
      <c r="AJM22" s="41"/>
      <c r="AJN22" s="41"/>
      <c r="AJO22" s="41"/>
      <c r="AJP22" s="41"/>
      <c r="AJQ22" s="41"/>
      <c r="AJR22" s="41"/>
      <c r="AJS22" s="41"/>
      <c r="AJT22" s="41"/>
      <c r="AJU22" s="41"/>
      <c r="AJV22" s="41"/>
      <c r="AJW22" s="41"/>
      <c r="AJX22" s="41"/>
      <c r="AJY22" s="41"/>
      <c r="AJZ22" s="41"/>
      <c r="AKA22" s="41"/>
      <c r="AKB22" s="41"/>
      <c r="AKC22" s="41"/>
      <c r="AKD22" s="41"/>
      <c r="AKE22" s="41"/>
      <c r="AKF22" s="41"/>
      <c r="AKG22" s="41"/>
      <c r="AKH22" s="41"/>
      <c r="AKI22" s="41"/>
      <c r="AKJ22" s="41"/>
      <c r="AKK22" s="41"/>
      <c r="AKL22" s="41"/>
      <c r="AKM22" s="41"/>
      <c r="AKN22" s="41"/>
      <c r="AKO22" s="41"/>
      <c r="AKP22" s="41"/>
      <c r="AKQ22" s="41"/>
      <c r="AKR22" s="41"/>
      <c r="AKS22" s="41"/>
      <c r="AKT22" s="41"/>
      <c r="AKU22" s="41"/>
      <c r="AKV22" s="41"/>
      <c r="AKW22" s="41"/>
      <c r="AKX22" s="41"/>
      <c r="AKY22" s="41"/>
      <c r="AKZ22" s="41"/>
      <c r="ALA22" s="41"/>
      <c r="ALB22" s="41"/>
      <c r="ALC22" s="41"/>
      <c r="ALD22" s="41"/>
      <c r="ALE22" s="41"/>
      <c r="ALF22" s="41"/>
      <c r="ALG22" s="41"/>
      <c r="ALH22" s="41"/>
      <c r="ALI22" s="41"/>
      <c r="ALJ22" s="41"/>
      <c r="ALK22" s="41"/>
      <c r="ALL22" s="41"/>
      <c r="ALM22" s="41"/>
      <c r="ALN22" s="41"/>
      <c r="ALO22" s="41"/>
      <c r="ALP22" s="41"/>
      <c r="ALQ22" s="41"/>
      <c r="ALR22" s="41"/>
      <c r="ALS22" s="41"/>
      <c r="ALT22" s="41"/>
      <c r="ALU22" s="41"/>
      <c r="ALV22" s="41"/>
      <c r="ALW22" s="41"/>
      <c r="ALX22" s="41"/>
      <c r="ALY22" s="41"/>
      <c r="ALZ22" s="41"/>
      <c r="AMA22" s="41"/>
      <c r="AMB22" s="41"/>
      <c r="AMC22" s="41"/>
      <c r="AMD22" s="41"/>
      <c r="AME22" s="41"/>
      <c r="AMF22" s="41"/>
      <c r="AMG22" s="41"/>
      <c r="AMH22" s="41"/>
      <c r="AMI22" s="41"/>
      <c r="AMJ22" s="41"/>
      <c r="AMK22" s="41"/>
      <c r="AML22" s="41"/>
      <c r="AMM22" s="41"/>
      <c r="AMN22" s="41"/>
      <c r="AMO22" s="41"/>
      <c r="AMP22" s="41"/>
      <c r="AMQ22" s="41"/>
      <c r="AMR22" s="41"/>
      <c r="AMS22" s="41"/>
      <c r="AMT22" s="41"/>
      <c r="AMU22" s="41"/>
      <c r="AMV22" s="41"/>
      <c r="AMW22" s="41"/>
      <c r="AMX22" s="41"/>
      <c r="AMY22" s="41"/>
      <c r="AMZ22" s="41"/>
      <c r="ANA22" s="41"/>
      <c r="ANB22" s="41"/>
      <c r="ANC22" s="41"/>
      <c r="AND22" s="41"/>
      <c r="ANE22" s="41"/>
      <c r="ANF22" s="41"/>
      <c r="ANG22" s="41"/>
      <c r="ANH22" s="41"/>
      <c r="ANI22" s="41"/>
      <c r="ANJ22" s="41"/>
      <c r="ANK22" s="41"/>
    </row>
    <row r="23" s="44" customFormat="true" ht="15" hidden="false" customHeight="false" outlineLevel="0" collapsed="false">
      <c r="A23" s="42" t="s">
        <v>45</v>
      </c>
      <c r="B23" s="43" t="n">
        <v>0</v>
      </c>
      <c r="C23" s="44" t="n">
        <v>0</v>
      </c>
      <c r="D23" s="44" t="n">
        <v>4.5</v>
      </c>
      <c r="E23" s="45" t="n">
        <v>0</v>
      </c>
      <c r="F23" s="43" t="n">
        <v>0</v>
      </c>
      <c r="G23" s="44" t="n">
        <v>0</v>
      </c>
      <c r="H23" s="46" t="n">
        <v>0</v>
      </c>
      <c r="I23" s="47" t="n">
        <v>3320</v>
      </c>
      <c r="J23" s="48" t="n">
        <v>0</v>
      </c>
      <c r="K23" s="43"/>
      <c r="M23" s="46" t="n">
        <v>0.005</v>
      </c>
      <c r="N23" s="43" t="n">
        <v>0.011</v>
      </c>
      <c r="O23" s="46" t="n">
        <v>0.0471</v>
      </c>
      <c r="P23" s="49" t="n">
        <v>12.0529021132057</v>
      </c>
      <c r="Q23" s="50" t="n">
        <v>-286.283980424645</v>
      </c>
      <c r="R23" s="44" t="n">
        <v>145</v>
      </c>
      <c r="S23" s="44" t="n">
        <v>239</v>
      </c>
      <c r="T23" s="44" t="n">
        <v>200</v>
      </c>
      <c r="U23" s="44" t="n">
        <v>230</v>
      </c>
      <c r="V23" s="44" t="n">
        <v>230</v>
      </c>
      <c r="W23" s="44" t="n">
        <v>215</v>
      </c>
      <c r="X23" s="44" t="n">
        <v>335</v>
      </c>
      <c r="Y23" s="44" t="n">
        <v>345</v>
      </c>
      <c r="Z23" s="44" t="n">
        <v>335</v>
      </c>
      <c r="AA23" s="44" t="n">
        <v>370</v>
      </c>
      <c r="AB23" s="44" t="n">
        <v>395</v>
      </c>
      <c r="AC23" s="44" t="n">
        <v>490</v>
      </c>
      <c r="AD23" s="44" t="n">
        <v>570</v>
      </c>
      <c r="AE23" s="44" t="n">
        <v>533</v>
      </c>
      <c r="AF23" s="44" t="n">
        <v>530</v>
      </c>
      <c r="AG23" s="44" t="n">
        <v>466</v>
      </c>
      <c r="AH23" s="44" t="n">
        <v>479</v>
      </c>
      <c r="AI23" s="44" t="n">
        <v>522</v>
      </c>
      <c r="AJ23" s="44" t="n">
        <v>622</v>
      </c>
      <c r="AK23" s="44" t="n">
        <v>629</v>
      </c>
      <c r="AL23" s="44" t="n">
        <v>564</v>
      </c>
      <c r="AM23" s="44" t="n">
        <v>369</v>
      </c>
      <c r="AN23" s="46" t="n">
        <v>155</v>
      </c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LE23" s="41"/>
      <c r="LF23" s="41"/>
      <c r="LG23" s="41"/>
      <c r="LH23" s="41"/>
      <c r="LI23" s="41"/>
      <c r="LJ23" s="41"/>
      <c r="LK23" s="41"/>
      <c r="LL23" s="41"/>
      <c r="LM23" s="41"/>
      <c r="LN23" s="41"/>
      <c r="LO23" s="41"/>
      <c r="LP23" s="41"/>
      <c r="LQ23" s="41"/>
      <c r="LR23" s="41"/>
      <c r="LS23" s="41"/>
      <c r="LT23" s="41"/>
      <c r="LU23" s="41"/>
      <c r="LV23" s="41"/>
      <c r="LW23" s="41"/>
      <c r="LX23" s="41"/>
      <c r="LY23" s="41"/>
      <c r="LZ23" s="41"/>
      <c r="MA23" s="41"/>
      <c r="MB23" s="41"/>
      <c r="MC23" s="41"/>
      <c r="MD23" s="41"/>
      <c r="ME23" s="41"/>
      <c r="MF23" s="41"/>
      <c r="MG23" s="41"/>
      <c r="MH23" s="41"/>
      <c r="MI23" s="41"/>
      <c r="MJ23" s="41"/>
      <c r="MK23" s="41"/>
      <c r="ML23" s="41"/>
      <c r="MM23" s="41"/>
      <c r="MN23" s="41"/>
      <c r="MO23" s="41"/>
      <c r="MP23" s="41"/>
      <c r="MQ23" s="41"/>
      <c r="MR23" s="41"/>
      <c r="MS23" s="41"/>
      <c r="MT23" s="41"/>
      <c r="MU23" s="41"/>
      <c r="MV23" s="41"/>
      <c r="MW23" s="41"/>
      <c r="MX23" s="41"/>
      <c r="MY23" s="41"/>
      <c r="MZ23" s="41"/>
      <c r="NA23" s="41"/>
      <c r="NB23" s="41"/>
      <c r="NC23" s="41"/>
      <c r="ND23" s="41"/>
      <c r="NE23" s="41"/>
      <c r="NF23" s="41"/>
      <c r="NG23" s="41"/>
      <c r="NH23" s="41"/>
      <c r="NI23" s="41"/>
      <c r="NJ23" s="41"/>
      <c r="NK23" s="41"/>
      <c r="NL23" s="41"/>
      <c r="NM23" s="41"/>
      <c r="NN23" s="41"/>
      <c r="NO23" s="41"/>
      <c r="NP23" s="41"/>
      <c r="NQ23" s="41"/>
      <c r="NR23" s="41"/>
      <c r="NS23" s="41"/>
      <c r="NT23" s="41"/>
      <c r="NU23" s="41"/>
      <c r="NV23" s="41"/>
      <c r="NW23" s="41"/>
      <c r="NX23" s="41"/>
      <c r="NY23" s="41"/>
      <c r="NZ23" s="41"/>
      <c r="OA23" s="41"/>
      <c r="OB23" s="41"/>
      <c r="OC23" s="41"/>
      <c r="OD23" s="41"/>
      <c r="OE23" s="41"/>
      <c r="OF23" s="41"/>
      <c r="OG23" s="41"/>
      <c r="OH23" s="41"/>
      <c r="OI23" s="41"/>
      <c r="OJ23" s="41"/>
      <c r="OK23" s="41"/>
      <c r="OL23" s="41"/>
      <c r="OM23" s="41"/>
      <c r="ON23" s="41"/>
      <c r="OO23" s="41"/>
      <c r="OP23" s="41"/>
      <c r="OQ23" s="41"/>
      <c r="OR23" s="41"/>
      <c r="OS23" s="41"/>
      <c r="OT23" s="41"/>
      <c r="OU23" s="41"/>
      <c r="OV23" s="41"/>
      <c r="OW23" s="41"/>
      <c r="OX23" s="41"/>
      <c r="OY23" s="41"/>
      <c r="OZ23" s="41"/>
      <c r="PA23" s="41"/>
      <c r="PB23" s="41"/>
      <c r="PC23" s="41"/>
      <c r="PD23" s="41"/>
      <c r="PE23" s="41"/>
      <c r="PF23" s="41"/>
      <c r="PG23" s="41"/>
      <c r="PH23" s="41"/>
      <c r="PI23" s="41"/>
      <c r="PJ23" s="41"/>
      <c r="PK23" s="41"/>
      <c r="PL23" s="41"/>
      <c r="PM23" s="41"/>
      <c r="PN23" s="41"/>
      <c r="PO23" s="41"/>
      <c r="PP23" s="41"/>
      <c r="PQ23" s="41"/>
      <c r="PR23" s="41"/>
      <c r="PS23" s="41"/>
      <c r="PT23" s="41"/>
      <c r="PU23" s="41"/>
      <c r="PV23" s="41"/>
      <c r="PW23" s="41"/>
      <c r="PX23" s="41"/>
      <c r="PY23" s="41"/>
      <c r="PZ23" s="41"/>
      <c r="QA23" s="41"/>
      <c r="QB23" s="41"/>
      <c r="QC23" s="41"/>
      <c r="QD23" s="41"/>
      <c r="QE23" s="41"/>
      <c r="QF23" s="41"/>
      <c r="QG23" s="41"/>
      <c r="QH23" s="41"/>
      <c r="QI23" s="41"/>
      <c r="QJ23" s="41"/>
      <c r="QK23" s="41"/>
      <c r="QL23" s="41"/>
      <c r="QM23" s="41"/>
      <c r="QN23" s="41"/>
      <c r="QO23" s="41"/>
      <c r="QP23" s="41"/>
      <c r="QQ23" s="41"/>
      <c r="QR23" s="41"/>
      <c r="QS23" s="41"/>
      <c r="QT23" s="41"/>
      <c r="QU23" s="41"/>
      <c r="QV23" s="41"/>
      <c r="QW23" s="41"/>
      <c r="QX23" s="41"/>
      <c r="QY23" s="41"/>
      <c r="QZ23" s="41"/>
      <c r="RA23" s="41"/>
      <c r="RB23" s="41"/>
      <c r="RC23" s="41"/>
      <c r="RD23" s="41"/>
      <c r="RE23" s="41"/>
      <c r="RF23" s="41"/>
      <c r="RG23" s="41"/>
      <c r="RH23" s="41"/>
      <c r="RI23" s="41"/>
      <c r="RJ23" s="41"/>
      <c r="RK23" s="41"/>
      <c r="RL23" s="41"/>
      <c r="RM23" s="41"/>
      <c r="RN23" s="41"/>
      <c r="RO23" s="41"/>
      <c r="RP23" s="41"/>
      <c r="RQ23" s="41"/>
      <c r="RR23" s="41"/>
      <c r="RS23" s="41"/>
      <c r="RT23" s="41"/>
      <c r="RU23" s="41"/>
      <c r="RV23" s="41"/>
      <c r="RW23" s="41"/>
      <c r="RX23" s="41"/>
      <c r="RY23" s="41"/>
      <c r="RZ23" s="41"/>
      <c r="SA23" s="41"/>
      <c r="SB23" s="41"/>
      <c r="SC23" s="41"/>
      <c r="SD23" s="41"/>
      <c r="SE23" s="41"/>
      <c r="SF23" s="41"/>
      <c r="SG23" s="41"/>
      <c r="SH23" s="41"/>
      <c r="SI23" s="41"/>
      <c r="SJ23" s="41"/>
      <c r="SK23" s="41"/>
      <c r="SL23" s="41"/>
      <c r="SM23" s="41"/>
      <c r="SN23" s="41"/>
      <c r="SO23" s="41"/>
      <c r="SP23" s="41"/>
      <c r="SQ23" s="41"/>
      <c r="SR23" s="41"/>
      <c r="SS23" s="41"/>
      <c r="ST23" s="41"/>
      <c r="SU23" s="41"/>
      <c r="SV23" s="41"/>
      <c r="SW23" s="41"/>
      <c r="SX23" s="41"/>
      <c r="SY23" s="41"/>
      <c r="SZ23" s="41"/>
      <c r="TA23" s="41"/>
      <c r="TB23" s="41"/>
      <c r="TC23" s="41"/>
      <c r="TD23" s="41"/>
      <c r="TE23" s="41"/>
      <c r="TF23" s="41"/>
      <c r="TG23" s="41"/>
      <c r="TH23" s="41"/>
      <c r="TI23" s="41"/>
      <c r="TJ23" s="41"/>
      <c r="TK23" s="41"/>
      <c r="TL23" s="41"/>
      <c r="TM23" s="41"/>
      <c r="TN23" s="41"/>
      <c r="TO23" s="41"/>
      <c r="TP23" s="41"/>
      <c r="TQ23" s="41"/>
      <c r="TR23" s="41"/>
      <c r="TS23" s="41"/>
      <c r="TT23" s="41"/>
      <c r="TU23" s="41"/>
      <c r="TV23" s="41"/>
      <c r="TW23" s="41"/>
      <c r="TX23" s="41"/>
      <c r="TY23" s="41"/>
      <c r="TZ23" s="41"/>
      <c r="UA23" s="41"/>
      <c r="UB23" s="41"/>
      <c r="UC23" s="41"/>
      <c r="UD23" s="41"/>
      <c r="UE23" s="41"/>
      <c r="UF23" s="41"/>
      <c r="UG23" s="41"/>
      <c r="UH23" s="41"/>
      <c r="UI23" s="41"/>
      <c r="UJ23" s="41"/>
      <c r="UK23" s="41"/>
      <c r="UL23" s="41"/>
      <c r="UM23" s="41"/>
      <c r="UN23" s="41"/>
      <c r="UO23" s="41"/>
      <c r="UP23" s="41"/>
      <c r="UQ23" s="41"/>
      <c r="UR23" s="41"/>
      <c r="US23" s="41"/>
      <c r="UT23" s="41"/>
      <c r="UU23" s="41"/>
      <c r="UV23" s="41"/>
      <c r="UW23" s="41"/>
      <c r="UX23" s="41"/>
      <c r="UY23" s="41"/>
      <c r="UZ23" s="41"/>
      <c r="VA23" s="41"/>
      <c r="VB23" s="41"/>
      <c r="VC23" s="41"/>
      <c r="VD23" s="41"/>
      <c r="VE23" s="41"/>
      <c r="VF23" s="41"/>
      <c r="VG23" s="41"/>
      <c r="VH23" s="41"/>
      <c r="VI23" s="41"/>
      <c r="VJ23" s="41"/>
      <c r="VK23" s="41"/>
      <c r="VL23" s="41"/>
      <c r="VM23" s="41"/>
      <c r="VN23" s="41"/>
      <c r="VO23" s="41"/>
      <c r="VP23" s="41"/>
      <c r="VQ23" s="41"/>
      <c r="VR23" s="41"/>
      <c r="VS23" s="41"/>
      <c r="VT23" s="41"/>
      <c r="VU23" s="41"/>
      <c r="VV23" s="41"/>
      <c r="VW23" s="41"/>
      <c r="VX23" s="41"/>
      <c r="VY23" s="41"/>
      <c r="VZ23" s="41"/>
      <c r="WA23" s="41"/>
      <c r="WB23" s="41"/>
      <c r="WC23" s="41"/>
      <c r="WD23" s="41"/>
      <c r="WE23" s="41"/>
      <c r="WF23" s="41"/>
      <c r="WG23" s="41"/>
      <c r="WH23" s="41"/>
      <c r="WI23" s="41"/>
      <c r="WJ23" s="41"/>
      <c r="WK23" s="41"/>
      <c r="WL23" s="41"/>
      <c r="WM23" s="41"/>
      <c r="WN23" s="41"/>
      <c r="WO23" s="41"/>
      <c r="WP23" s="41"/>
      <c r="WQ23" s="41"/>
      <c r="WR23" s="41"/>
      <c r="WS23" s="41"/>
      <c r="WT23" s="41"/>
      <c r="WU23" s="41"/>
      <c r="WV23" s="41"/>
      <c r="WW23" s="41"/>
      <c r="WX23" s="41"/>
      <c r="WY23" s="41"/>
      <c r="WZ23" s="41"/>
      <c r="XA23" s="41"/>
      <c r="XB23" s="41"/>
      <c r="XC23" s="41"/>
      <c r="XD23" s="41"/>
      <c r="XE23" s="41"/>
      <c r="XF23" s="41"/>
      <c r="XG23" s="41"/>
      <c r="XH23" s="41"/>
      <c r="XI23" s="41"/>
      <c r="XJ23" s="41"/>
      <c r="XK23" s="41"/>
      <c r="XL23" s="41"/>
      <c r="XM23" s="41"/>
      <c r="XN23" s="41"/>
      <c r="XO23" s="41"/>
      <c r="XP23" s="41"/>
      <c r="XQ23" s="41"/>
      <c r="XR23" s="41"/>
      <c r="XS23" s="41"/>
      <c r="XT23" s="41"/>
      <c r="XU23" s="41"/>
      <c r="XV23" s="41"/>
      <c r="XW23" s="41"/>
      <c r="XX23" s="41"/>
      <c r="XY23" s="41"/>
      <c r="XZ23" s="41"/>
      <c r="YA23" s="41"/>
      <c r="YB23" s="41"/>
      <c r="YC23" s="41"/>
      <c r="YD23" s="41"/>
      <c r="YE23" s="41"/>
      <c r="YF23" s="41"/>
      <c r="YG23" s="41"/>
      <c r="YH23" s="41"/>
      <c r="YI23" s="41"/>
      <c r="YJ23" s="41"/>
      <c r="YK23" s="41"/>
      <c r="YL23" s="41"/>
      <c r="YM23" s="41"/>
      <c r="YN23" s="41"/>
      <c r="YO23" s="41"/>
      <c r="YP23" s="41"/>
      <c r="YQ23" s="41"/>
      <c r="YR23" s="41"/>
      <c r="YS23" s="41"/>
      <c r="YT23" s="41"/>
      <c r="YU23" s="41"/>
      <c r="YV23" s="41"/>
      <c r="YW23" s="41"/>
      <c r="YX23" s="41"/>
      <c r="YY23" s="41"/>
      <c r="YZ23" s="41"/>
      <c r="ZA23" s="41"/>
      <c r="ZB23" s="41"/>
      <c r="ZC23" s="41"/>
      <c r="ZD23" s="41"/>
      <c r="ZE23" s="41"/>
      <c r="ZF23" s="41"/>
      <c r="ZG23" s="41"/>
      <c r="ZH23" s="41"/>
      <c r="ZI23" s="41"/>
      <c r="ZJ23" s="41"/>
      <c r="ZK23" s="41"/>
      <c r="ZL23" s="41"/>
      <c r="ZM23" s="41"/>
      <c r="ZN23" s="41"/>
      <c r="ZO23" s="41"/>
      <c r="ZP23" s="41"/>
      <c r="ZQ23" s="41"/>
      <c r="ZR23" s="41"/>
      <c r="ZS23" s="41"/>
      <c r="ZT23" s="41"/>
      <c r="ZU23" s="41"/>
      <c r="ZV23" s="41"/>
      <c r="ZW23" s="41"/>
      <c r="ZX23" s="41"/>
      <c r="ZY23" s="41"/>
      <c r="ZZ23" s="41"/>
      <c r="AAA23" s="41"/>
      <c r="AAB23" s="41"/>
      <c r="AAC23" s="41"/>
      <c r="AAD23" s="41"/>
      <c r="AAE23" s="41"/>
      <c r="AAF23" s="41"/>
      <c r="AAG23" s="41"/>
      <c r="AAH23" s="41"/>
      <c r="AAI23" s="41"/>
      <c r="AAJ23" s="41"/>
      <c r="AAK23" s="41"/>
      <c r="AAL23" s="41"/>
      <c r="AAM23" s="41"/>
      <c r="AAN23" s="41"/>
      <c r="AAO23" s="41"/>
      <c r="AAP23" s="41"/>
      <c r="AAQ23" s="41"/>
      <c r="AAR23" s="41"/>
      <c r="AAS23" s="41"/>
      <c r="AAT23" s="41"/>
      <c r="AAU23" s="41"/>
      <c r="AAV23" s="41"/>
      <c r="AAW23" s="41"/>
      <c r="AAX23" s="41"/>
      <c r="AAY23" s="41"/>
      <c r="AAZ23" s="41"/>
      <c r="ABA23" s="41"/>
      <c r="ABB23" s="41"/>
      <c r="ABC23" s="41"/>
      <c r="ABD23" s="41"/>
      <c r="ABE23" s="41"/>
      <c r="ABF23" s="41"/>
      <c r="ABG23" s="41"/>
      <c r="ABH23" s="41"/>
      <c r="ABI23" s="41"/>
      <c r="ABJ23" s="41"/>
      <c r="ABK23" s="41"/>
      <c r="ABL23" s="41"/>
      <c r="ABM23" s="41"/>
      <c r="ABN23" s="41"/>
      <c r="ABO23" s="41"/>
      <c r="ABP23" s="41"/>
      <c r="ABQ23" s="41"/>
      <c r="ABR23" s="41"/>
      <c r="ABS23" s="41"/>
      <c r="ABT23" s="41"/>
      <c r="ABU23" s="41"/>
      <c r="ABV23" s="41"/>
      <c r="ABW23" s="41"/>
      <c r="ABX23" s="41"/>
      <c r="ABY23" s="41"/>
      <c r="ABZ23" s="41"/>
      <c r="ACA23" s="41"/>
      <c r="ACB23" s="41"/>
      <c r="ACC23" s="41"/>
      <c r="ACD23" s="41"/>
      <c r="ACE23" s="41"/>
      <c r="ACF23" s="41"/>
      <c r="ACG23" s="41"/>
      <c r="ACH23" s="41"/>
      <c r="ACI23" s="41"/>
      <c r="ACJ23" s="41"/>
      <c r="ACK23" s="41"/>
      <c r="ACL23" s="41"/>
      <c r="ACM23" s="41"/>
      <c r="ACN23" s="41"/>
      <c r="ACO23" s="41"/>
      <c r="ACP23" s="41"/>
      <c r="ACQ23" s="41"/>
      <c r="ACR23" s="41"/>
      <c r="ACS23" s="41"/>
      <c r="ACT23" s="41"/>
      <c r="ACU23" s="41"/>
      <c r="ACV23" s="41"/>
      <c r="ACW23" s="41"/>
      <c r="ACX23" s="41"/>
      <c r="ACY23" s="41"/>
      <c r="ACZ23" s="41"/>
      <c r="ADA23" s="41"/>
      <c r="ADB23" s="41"/>
      <c r="ADC23" s="41"/>
      <c r="ADD23" s="41"/>
      <c r="ADE23" s="41"/>
      <c r="ADF23" s="41"/>
      <c r="ADG23" s="41"/>
      <c r="ADH23" s="41"/>
      <c r="ADI23" s="41"/>
      <c r="ADJ23" s="41"/>
      <c r="ADK23" s="41"/>
      <c r="ADL23" s="41"/>
      <c r="ADM23" s="41"/>
      <c r="ADN23" s="41"/>
      <c r="ADO23" s="41"/>
      <c r="ADP23" s="41"/>
      <c r="ADQ23" s="41"/>
      <c r="ADR23" s="41"/>
      <c r="ADS23" s="41"/>
      <c r="ADT23" s="41"/>
      <c r="ADU23" s="41"/>
      <c r="ADV23" s="41"/>
      <c r="ADW23" s="41"/>
      <c r="ADX23" s="41"/>
      <c r="ADY23" s="41"/>
      <c r="ADZ23" s="41"/>
      <c r="AEA23" s="41"/>
      <c r="AEB23" s="41"/>
      <c r="AEC23" s="41"/>
      <c r="AED23" s="41"/>
      <c r="AEE23" s="41"/>
      <c r="AEF23" s="41"/>
      <c r="AEG23" s="41"/>
      <c r="AEH23" s="41"/>
      <c r="AEI23" s="41"/>
      <c r="AEJ23" s="41"/>
      <c r="AEK23" s="41"/>
      <c r="AEL23" s="41"/>
      <c r="AEM23" s="41"/>
      <c r="AEN23" s="41"/>
      <c r="AEO23" s="41"/>
      <c r="AEP23" s="41"/>
      <c r="AEQ23" s="41"/>
      <c r="AER23" s="41"/>
      <c r="AES23" s="41"/>
      <c r="AET23" s="41"/>
      <c r="AEU23" s="41"/>
      <c r="AEV23" s="41"/>
      <c r="AEW23" s="41"/>
      <c r="AEX23" s="41"/>
      <c r="AEY23" s="41"/>
      <c r="AEZ23" s="41"/>
      <c r="AFA23" s="41"/>
      <c r="AFB23" s="41"/>
      <c r="AFC23" s="41"/>
      <c r="AFD23" s="41"/>
      <c r="AFE23" s="41"/>
      <c r="AFF23" s="41"/>
      <c r="AFG23" s="41"/>
      <c r="AFH23" s="41"/>
      <c r="AFI23" s="41"/>
      <c r="AFJ23" s="41"/>
      <c r="AFK23" s="41"/>
      <c r="AFL23" s="41"/>
      <c r="AFM23" s="41"/>
      <c r="AFN23" s="41"/>
      <c r="AFO23" s="41"/>
      <c r="AFP23" s="41"/>
      <c r="AFQ23" s="41"/>
      <c r="AFR23" s="41"/>
      <c r="AFS23" s="41"/>
      <c r="AFT23" s="41"/>
      <c r="AFU23" s="41"/>
      <c r="AFV23" s="41"/>
      <c r="AFW23" s="41"/>
      <c r="AFX23" s="41"/>
      <c r="AFY23" s="41"/>
      <c r="AFZ23" s="41"/>
      <c r="AGA23" s="41"/>
      <c r="AGB23" s="41"/>
      <c r="AGC23" s="41"/>
      <c r="AGD23" s="41"/>
      <c r="AGE23" s="41"/>
      <c r="AGF23" s="41"/>
      <c r="AGG23" s="41"/>
      <c r="AGH23" s="41"/>
      <c r="AGI23" s="41"/>
      <c r="AGJ23" s="41"/>
      <c r="AGK23" s="41"/>
      <c r="AGL23" s="41"/>
      <c r="AGM23" s="41"/>
      <c r="AGN23" s="41"/>
      <c r="AGO23" s="41"/>
      <c r="AGP23" s="41"/>
      <c r="AGQ23" s="41"/>
      <c r="AGR23" s="41"/>
      <c r="AGS23" s="41"/>
      <c r="AGT23" s="41"/>
      <c r="AGU23" s="41"/>
      <c r="AGV23" s="41"/>
      <c r="AGW23" s="41"/>
      <c r="AGX23" s="41"/>
      <c r="AGY23" s="41"/>
      <c r="AGZ23" s="41"/>
      <c r="AHA23" s="41"/>
      <c r="AHB23" s="41"/>
      <c r="AHC23" s="41"/>
      <c r="AHD23" s="41"/>
      <c r="AHE23" s="41"/>
      <c r="AHF23" s="41"/>
      <c r="AHG23" s="41"/>
      <c r="AHH23" s="41"/>
      <c r="AHI23" s="41"/>
      <c r="AHJ23" s="41"/>
      <c r="AHK23" s="41"/>
      <c r="AHL23" s="41"/>
      <c r="AHM23" s="41"/>
      <c r="AHN23" s="41"/>
      <c r="AHO23" s="41"/>
      <c r="AHP23" s="41"/>
      <c r="AHQ23" s="41"/>
      <c r="AHR23" s="41"/>
      <c r="AHS23" s="41"/>
      <c r="AHT23" s="41"/>
      <c r="AHU23" s="41"/>
      <c r="AHV23" s="41"/>
      <c r="AHW23" s="41"/>
      <c r="AHX23" s="41"/>
      <c r="AHY23" s="41"/>
      <c r="AHZ23" s="41"/>
      <c r="AIA23" s="41"/>
      <c r="AIB23" s="41"/>
      <c r="AIC23" s="41"/>
      <c r="AID23" s="41"/>
      <c r="AIE23" s="41"/>
      <c r="AIF23" s="41"/>
      <c r="AIG23" s="41"/>
      <c r="AIH23" s="41"/>
      <c r="AII23" s="41"/>
      <c r="AIJ23" s="41"/>
      <c r="AIK23" s="41"/>
      <c r="AIL23" s="41"/>
      <c r="AIM23" s="41"/>
      <c r="AIN23" s="41"/>
      <c r="AIO23" s="41"/>
      <c r="AIP23" s="41"/>
      <c r="AIQ23" s="41"/>
      <c r="AIR23" s="41"/>
      <c r="AIS23" s="41"/>
      <c r="AIT23" s="41"/>
      <c r="AIU23" s="41"/>
      <c r="AIV23" s="41"/>
      <c r="AIW23" s="41"/>
      <c r="AIX23" s="41"/>
      <c r="AIY23" s="41"/>
      <c r="AIZ23" s="41"/>
      <c r="AJA23" s="41"/>
      <c r="AJB23" s="41"/>
      <c r="AJC23" s="41"/>
      <c r="AJD23" s="41"/>
      <c r="AJE23" s="41"/>
      <c r="AJF23" s="41"/>
      <c r="AJG23" s="41"/>
      <c r="AJH23" s="41"/>
      <c r="AJI23" s="41"/>
      <c r="AJJ23" s="41"/>
      <c r="AJK23" s="41"/>
      <c r="AJL23" s="41"/>
      <c r="AJM23" s="41"/>
      <c r="AJN23" s="41"/>
      <c r="AJO23" s="41"/>
      <c r="AJP23" s="41"/>
      <c r="AJQ23" s="41"/>
      <c r="AJR23" s="41"/>
      <c r="AJS23" s="41"/>
      <c r="AJT23" s="41"/>
      <c r="AJU23" s="41"/>
      <c r="AJV23" s="41"/>
      <c r="AJW23" s="41"/>
      <c r="AJX23" s="41"/>
      <c r="AJY23" s="41"/>
      <c r="AJZ23" s="41"/>
      <c r="AKA23" s="41"/>
      <c r="AKB23" s="41"/>
      <c r="AKC23" s="41"/>
      <c r="AKD23" s="41"/>
      <c r="AKE23" s="41"/>
      <c r="AKF23" s="41"/>
      <c r="AKG23" s="41"/>
      <c r="AKH23" s="41"/>
      <c r="AKI23" s="41"/>
      <c r="AKJ23" s="41"/>
      <c r="AKK23" s="41"/>
      <c r="AKL23" s="41"/>
      <c r="AKM23" s="41"/>
      <c r="AKN23" s="41"/>
      <c r="AKO23" s="41"/>
      <c r="AKP23" s="41"/>
      <c r="AKQ23" s="41"/>
      <c r="AKR23" s="41"/>
      <c r="AKS23" s="41"/>
      <c r="AKT23" s="41"/>
      <c r="AKU23" s="41"/>
      <c r="AKV23" s="41"/>
      <c r="AKW23" s="41"/>
      <c r="AKX23" s="41"/>
      <c r="AKY23" s="41"/>
      <c r="AKZ23" s="41"/>
      <c r="ALA23" s="41"/>
      <c r="ALB23" s="41"/>
      <c r="ALC23" s="41"/>
      <c r="ALD23" s="41"/>
      <c r="ALE23" s="41"/>
      <c r="ALF23" s="41"/>
      <c r="ALG23" s="41"/>
      <c r="ALH23" s="41"/>
      <c r="ALI23" s="41"/>
      <c r="ALJ23" s="41"/>
      <c r="ALK23" s="41"/>
      <c r="ALL23" s="41"/>
      <c r="ALM23" s="41"/>
      <c r="ALN23" s="41"/>
      <c r="ALO23" s="41"/>
      <c r="ALP23" s="41"/>
      <c r="ALQ23" s="41"/>
      <c r="ALR23" s="41"/>
      <c r="ALS23" s="41"/>
      <c r="ALT23" s="41"/>
      <c r="ALU23" s="41"/>
      <c r="ALV23" s="41"/>
      <c r="ALW23" s="41"/>
      <c r="ALX23" s="41"/>
      <c r="ALY23" s="41"/>
      <c r="ALZ23" s="41"/>
      <c r="AMA23" s="41"/>
      <c r="AMB23" s="41"/>
      <c r="AMC23" s="41"/>
      <c r="AMD23" s="41"/>
      <c r="AME23" s="41"/>
      <c r="AMF23" s="41"/>
      <c r="AMG23" s="41"/>
      <c r="AMH23" s="41"/>
      <c r="AMI23" s="41"/>
      <c r="AMJ23" s="41"/>
      <c r="AMK23" s="41"/>
      <c r="AML23" s="41"/>
      <c r="AMM23" s="41"/>
      <c r="AMN23" s="41"/>
      <c r="AMO23" s="41"/>
      <c r="AMP23" s="41"/>
      <c r="AMQ23" s="41"/>
      <c r="AMR23" s="41"/>
      <c r="AMS23" s="41"/>
      <c r="AMT23" s="41"/>
      <c r="AMU23" s="41"/>
      <c r="AMV23" s="41"/>
      <c r="AMW23" s="41"/>
      <c r="AMX23" s="41"/>
      <c r="AMY23" s="41"/>
      <c r="AMZ23" s="41"/>
      <c r="ANA23" s="41"/>
      <c r="ANB23" s="41"/>
      <c r="ANC23" s="41"/>
      <c r="AND23" s="41"/>
      <c r="ANE23" s="41"/>
      <c r="ANF23" s="41"/>
      <c r="ANG23" s="41"/>
      <c r="ANH23" s="41"/>
      <c r="ANI23" s="41"/>
      <c r="ANJ23" s="41"/>
      <c r="ANK23" s="41"/>
    </row>
    <row r="24" s="44" customFormat="true" ht="15" hidden="false" customHeight="false" outlineLevel="0" collapsed="false">
      <c r="A24" s="42" t="s">
        <v>46</v>
      </c>
      <c r="B24" s="43" t="n">
        <v>612.845138</v>
      </c>
      <c r="C24" s="44" t="n">
        <v>1089.954445</v>
      </c>
      <c r="D24" s="44" t="n">
        <v>54.1849565</v>
      </c>
      <c r="E24" s="45" t="n">
        <v>650000</v>
      </c>
      <c r="F24" s="43" t="n">
        <v>0</v>
      </c>
      <c r="G24" s="44" t="n">
        <v>29683</v>
      </c>
      <c r="H24" s="46" t="n">
        <v>435</v>
      </c>
      <c r="I24" s="47" t="n">
        <v>25</v>
      </c>
      <c r="J24" s="48" t="n">
        <v>9.4</v>
      </c>
      <c r="K24" s="43" t="n">
        <v>0.52</v>
      </c>
      <c r="L24" s="44" t="n">
        <v>0.9</v>
      </c>
      <c r="M24" s="46" t="n">
        <f aca="false">(K24+L24)/2</f>
        <v>0.71</v>
      </c>
      <c r="N24" s="43" t="n">
        <v>160000</v>
      </c>
      <c r="O24" s="46" t="n">
        <v>800000</v>
      </c>
      <c r="P24" s="49" t="n">
        <v>80787194.1649799</v>
      </c>
      <c r="Q24" s="50" t="n">
        <v>-2777690174.63939</v>
      </c>
      <c r="R24" s="44" t="n">
        <v>1000000000</v>
      </c>
      <c r="S24" s="44" t="n">
        <v>999928230</v>
      </c>
      <c r="T24" s="44" t="n">
        <v>1019944840</v>
      </c>
      <c r="U24" s="44" t="n">
        <v>1039927180</v>
      </c>
      <c r="V24" s="44" t="n">
        <v>1019893920</v>
      </c>
      <c r="W24" s="44" t="n">
        <v>993844440</v>
      </c>
      <c r="X24" s="44" t="n">
        <v>1059821110</v>
      </c>
      <c r="Y24" s="44" t="n">
        <v>1059791350</v>
      </c>
      <c r="Z24" s="44" t="n">
        <v>1079735210</v>
      </c>
      <c r="AA24" s="44" t="n">
        <v>1159623830</v>
      </c>
      <c r="AB24" s="44" t="n">
        <v>1339511300</v>
      </c>
      <c r="AC24" s="44" t="n">
        <v>1539358150</v>
      </c>
      <c r="AD24" s="44" t="n">
        <v>1799023770</v>
      </c>
      <c r="AE24" s="44" t="n">
        <v>1998410780</v>
      </c>
      <c r="AF24" s="44" t="n">
        <v>2217726110</v>
      </c>
      <c r="AG24" s="44" t="n">
        <v>2236160950</v>
      </c>
      <c r="AH24" s="44" t="n">
        <v>2584196110</v>
      </c>
      <c r="AI24" s="44" t="n">
        <v>2933714900</v>
      </c>
      <c r="AJ24" s="44" t="n">
        <v>2922833710</v>
      </c>
      <c r="AK24" s="44" t="n">
        <v>3102160850</v>
      </c>
      <c r="AL24" s="44" t="n">
        <v>3408008320</v>
      </c>
      <c r="AM24" s="44" t="n">
        <v>3663619920</v>
      </c>
      <c r="AN24" s="46" t="n">
        <v>3568372660</v>
      </c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41"/>
      <c r="JB24" s="41"/>
      <c r="JC24" s="41"/>
      <c r="JD24" s="41"/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41"/>
      <c r="JQ24" s="4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41"/>
      <c r="KZ24" s="41"/>
      <c r="LA24" s="41"/>
      <c r="LB24" s="41"/>
      <c r="LC24" s="41"/>
      <c r="LD24" s="41"/>
      <c r="LE24" s="41"/>
      <c r="LF24" s="41"/>
      <c r="LG24" s="41"/>
      <c r="LH24" s="41"/>
      <c r="LI24" s="41"/>
      <c r="LJ24" s="41"/>
      <c r="LK24" s="41"/>
      <c r="LL24" s="41"/>
      <c r="LM24" s="41"/>
      <c r="LN24" s="41"/>
      <c r="LO24" s="41"/>
      <c r="LP24" s="41"/>
      <c r="LQ24" s="41"/>
      <c r="LR24" s="41"/>
      <c r="LS24" s="41"/>
      <c r="LT24" s="41"/>
      <c r="LU24" s="41"/>
      <c r="LV24" s="41"/>
      <c r="LW24" s="41"/>
      <c r="LX24" s="41"/>
      <c r="LY24" s="41"/>
      <c r="LZ24" s="41"/>
      <c r="MA24" s="41"/>
      <c r="MB24" s="41"/>
      <c r="MC24" s="41"/>
      <c r="MD24" s="41"/>
      <c r="ME24" s="41"/>
      <c r="MF24" s="41"/>
      <c r="MG24" s="41"/>
      <c r="MH24" s="41"/>
      <c r="MI24" s="41"/>
      <c r="MJ24" s="41"/>
      <c r="MK24" s="41"/>
      <c r="ML24" s="41"/>
      <c r="MM24" s="41"/>
      <c r="MN24" s="41"/>
      <c r="MO24" s="41"/>
      <c r="MP24" s="41"/>
      <c r="MQ24" s="41"/>
      <c r="MR24" s="41"/>
      <c r="MS24" s="41"/>
      <c r="MT24" s="41"/>
      <c r="MU24" s="41"/>
      <c r="MV24" s="41"/>
      <c r="MW24" s="41"/>
      <c r="MX24" s="41"/>
      <c r="MY24" s="41"/>
      <c r="MZ24" s="41"/>
      <c r="NA24" s="41"/>
      <c r="NB24" s="41"/>
      <c r="NC24" s="41"/>
      <c r="ND24" s="41"/>
      <c r="NE24" s="41"/>
      <c r="NF24" s="41"/>
      <c r="NG24" s="41"/>
      <c r="NH24" s="41"/>
      <c r="NI24" s="41"/>
      <c r="NJ24" s="41"/>
      <c r="NK24" s="41"/>
      <c r="NL24" s="41"/>
      <c r="NM24" s="41"/>
      <c r="NN24" s="41"/>
      <c r="NO24" s="41"/>
      <c r="NP24" s="41"/>
      <c r="NQ24" s="41"/>
      <c r="NR24" s="41"/>
      <c r="NS24" s="41"/>
      <c r="NT24" s="41"/>
      <c r="NU24" s="41"/>
      <c r="NV24" s="41"/>
      <c r="NW24" s="41"/>
      <c r="NX24" s="41"/>
      <c r="NY24" s="41"/>
      <c r="NZ24" s="41"/>
      <c r="OA24" s="41"/>
      <c r="OB24" s="41"/>
      <c r="OC24" s="41"/>
      <c r="OD24" s="41"/>
      <c r="OE24" s="41"/>
      <c r="OF24" s="41"/>
      <c r="OG24" s="41"/>
      <c r="OH24" s="41"/>
      <c r="OI24" s="41"/>
      <c r="OJ24" s="41"/>
      <c r="OK24" s="41"/>
      <c r="OL24" s="41"/>
      <c r="OM24" s="41"/>
      <c r="ON24" s="41"/>
      <c r="OO24" s="41"/>
      <c r="OP24" s="41"/>
      <c r="OQ24" s="41"/>
      <c r="OR24" s="41"/>
      <c r="OS24" s="41"/>
      <c r="OT24" s="41"/>
      <c r="OU24" s="41"/>
      <c r="OV24" s="41"/>
      <c r="OW24" s="41"/>
      <c r="OX24" s="41"/>
      <c r="OY24" s="41"/>
      <c r="OZ24" s="41"/>
      <c r="PA24" s="41"/>
      <c r="PB24" s="41"/>
      <c r="PC24" s="41"/>
      <c r="PD24" s="41"/>
      <c r="PE24" s="41"/>
      <c r="PF24" s="41"/>
      <c r="PG24" s="41"/>
      <c r="PH24" s="41"/>
      <c r="PI24" s="41"/>
      <c r="PJ24" s="41"/>
      <c r="PK24" s="41"/>
      <c r="PL24" s="41"/>
      <c r="PM24" s="41"/>
      <c r="PN24" s="41"/>
      <c r="PO24" s="41"/>
      <c r="PP24" s="41"/>
      <c r="PQ24" s="41"/>
      <c r="PR24" s="41"/>
      <c r="PS24" s="41"/>
      <c r="PT24" s="41"/>
      <c r="PU24" s="41"/>
      <c r="PV24" s="41"/>
      <c r="PW24" s="41"/>
      <c r="PX24" s="41"/>
      <c r="PY24" s="41"/>
      <c r="PZ24" s="41"/>
      <c r="QA24" s="41"/>
      <c r="QB24" s="41"/>
      <c r="QC24" s="41"/>
      <c r="QD24" s="41"/>
      <c r="QE24" s="41"/>
      <c r="QF24" s="41"/>
      <c r="QG24" s="41"/>
      <c r="QH24" s="41"/>
      <c r="QI24" s="41"/>
      <c r="QJ24" s="41"/>
      <c r="QK24" s="41"/>
      <c r="QL24" s="41"/>
      <c r="QM24" s="41"/>
      <c r="QN24" s="41"/>
      <c r="QO24" s="41"/>
      <c r="QP24" s="41"/>
      <c r="QQ24" s="41"/>
      <c r="QR24" s="41"/>
      <c r="QS24" s="41"/>
      <c r="QT24" s="41"/>
      <c r="QU24" s="41"/>
      <c r="QV24" s="41"/>
      <c r="QW24" s="41"/>
      <c r="QX24" s="41"/>
      <c r="QY24" s="41"/>
      <c r="QZ24" s="41"/>
      <c r="RA24" s="41"/>
      <c r="RB24" s="41"/>
      <c r="RC24" s="41"/>
      <c r="RD24" s="41"/>
      <c r="RE24" s="41"/>
      <c r="RF24" s="41"/>
      <c r="RG24" s="41"/>
      <c r="RH24" s="41"/>
      <c r="RI24" s="41"/>
      <c r="RJ24" s="41"/>
      <c r="RK24" s="41"/>
      <c r="RL24" s="41"/>
      <c r="RM24" s="41"/>
      <c r="RN24" s="41"/>
      <c r="RO24" s="41"/>
      <c r="RP24" s="41"/>
      <c r="RQ24" s="41"/>
      <c r="RR24" s="41"/>
      <c r="RS24" s="41"/>
      <c r="RT24" s="41"/>
      <c r="RU24" s="41"/>
      <c r="RV24" s="41"/>
      <c r="RW24" s="41"/>
      <c r="RX24" s="41"/>
      <c r="RY24" s="41"/>
      <c r="RZ24" s="41"/>
      <c r="SA24" s="41"/>
      <c r="SB24" s="41"/>
      <c r="SC24" s="41"/>
      <c r="SD24" s="41"/>
      <c r="SE24" s="41"/>
      <c r="SF24" s="41"/>
      <c r="SG24" s="41"/>
      <c r="SH24" s="41"/>
      <c r="SI24" s="41"/>
      <c r="SJ24" s="41"/>
      <c r="SK24" s="41"/>
      <c r="SL24" s="41"/>
      <c r="SM24" s="41"/>
      <c r="SN24" s="41"/>
      <c r="SO24" s="41"/>
      <c r="SP24" s="41"/>
      <c r="SQ24" s="41"/>
      <c r="SR24" s="41"/>
      <c r="SS24" s="41"/>
      <c r="ST24" s="41"/>
      <c r="SU24" s="41"/>
      <c r="SV24" s="41"/>
      <c r="SW24" s="41"/>
      <c r="SX24" s="41"/>
      <c r="SY24" s="41"/>
      <c r="SZ24" s="41"/>
      <c r="TA24" s="41"/>
      <c r="TB24" s="41"/>
      <c r="TC24" s="41"/>
      <c r="TD24" s="41"/>
      <c r="TE24" s="41"/>
      <c r="TF24" s="41"/>
      <c r="TG24" s="41"/>
      <c r="TH24" s="41"/>
      <c r="TI24" s="41"/>
      <c r="TJ24" s="41"/>
      <c r="TK24" s="41"/>
      <c r="TL24" s="41"/>
      <c r="TM24" s="41"/>
      <c r="TN24" s="41"/>
      <c r="TO24" s="41"/>
      <c r="TP24" s="41"/>
      <c r="TQ24" s="41"/>
      <c r="TR24" s="41"/>
      <c r="TS24" s="41"/>
      <c r="TT24" s="41"/>
      <c r="TU24" s="41"/>
      <c r="TV24" s="41"/>
      <c r="TW24" s="41"/>
      <c r="TX24" s="41"/>
      <c r="TY24" s="41"/>
      <c r="TZ24" s="41"/>
      <c r="UA24" s="41"/>
      <c r="UB24" s="41"/>
      <c r="UC24" s="41"/>
      <c r="UD24" s="41"/>
      <c r="UE24" s="41"/>
      <c r="UF24" s="41"/>
      <c r="UG24" s="41"/>
      <c r="UH24" s="41"/>
      <c r="UI24" s="41"/>
      <c r="UJ24" s="41"/>
      <c r="UK24" s="41"/>
      <c r="UL24" s="41"/>
      <c r="UM24" s="41"/>
      <c r="UN24" s="41"/>
      <c r="UO24" s="41"/>
      <c r="UP24" s="41"/>
      <c r="UQ24" s="41"/>
      <c r="UR24" s="41"/>
      <c r="US24" s="41"/>
      <c r="UT24" s="41"/>
      <c r="UU24" s="41"/>
      <c r="UV24" s="41"/>
      <c r="UW24" s="41"/>
      <c r="UX24" s="41"/>
      <c r="UY24" s="41"/>
      <c r="UZ24" s="41"/>
      <c r="VA24" s="41"/>
      <c r="VB24" s="41"/>
      <c r="VC24" s="41"/>
      <c r="VD24" s="41"/>
      <c r="VE24" s="41"/>
      <c r="VF24" s="41"/>
      <c r="VG24" s="41"/>
      <c r="VH24" s="41"/>
      <c r="VI24" s="41"/>
      <c r="VJ24" s="41"/>
      <c r="VK24" s="41"/>
      <c r="VL24" s="41"/>
      <c r="VM24" s="41"/>
      <c r="VN24" s="41"/>
      <c r="VO24" s="41"/>
      <c r="VP24" s="41"/>
      <c r="VQ24" s="41"/>
      <c r="VR24" s="41"/>
      <c r="VS24" s="41"/>
      <c r="VT24" s="41"/>
      <c r="VU24" s="41"/>
      <c r="VV24" s="41"/>
      <c r="VW24" s="41"/>
      <c r="VX24" s="41"/>
      <c r="VY24" s="41"/>
      <c r="VZ24" s="41"/>
      <c r="WA24" s="41"/>
      <c r="WB24" s="41"/>
      <c r="WC24" s="41"/>
      <c r="WD24" s="41"/>
      <c r="WE24" s="41"/>
      <c r="WF24" s="41"/>
      <c r="WG24" s="41"/>
      <c r="WH24" s="41"/>
      <c r="WI24" s="41"/>
      <c r="WJ24" s="41"/>
      <c r="WK24" s="41"/>
      <c r="WL24" s="41"/>
      <c r="WM24" s="41"/>
      <c r="WN24" s="41"/>
      <c r="WO24" s="41"/>
      <c r="WP24" s="41"/>
      <c r="WQ24" s="41"/>
      <c r="WR24" s="41"/>
      <c r="WS24" s="41"/>
      <c r="WT24" s="41"/>
      <c r="WU24" s="41"/>
      <c r="WV24" s="41"/>
      <c r="WW24" s="41"/>
      <c r="WX24" s="41"/>
      <c r="WY24" s="41"/>
      <c r="WZ24" s="41"/>
      <c r="XA24" s="41"/>
      <c r="XB24" s="41"/>
      <c r="XC24" s="41"/>
      <c r="XD24" s="41"/>
      <c r="XE24" s="41"/>
      <c r="XF24" s="41"/>
      <c r="XG24" s="41"/>
      <c r="XH24" s="41"/>
      <c r="XI24" s="41"/>
      <c r="XJ24" s="41"/>
      <c r="XK24" s="41"/>
      <c r="XL24" s="41"/>
      <c r="XM24" s="41"/>
      <c r="XN24" s="41"/>
      <c r="XO24" s="41"/>
      <c r="XP24" s="41"/>
      <c r="XQ24" s="41"/>
      <c r="XR24" s="41"/>
      <c r="XS24" s="41"/>
      <c r="XT24" s="41"/>
      <c r="XU24" s="41"/>
      <c r="XV24" s="41"/>
      <c r="XW24" s="41"/>
      <c r="XX24" s="41"/>
      <c r="XY24" s="41"/>
      <c r="XZ24" s="41"/>
      <c r="YA24" s="41"/>
      <c r="YB24" s="41"/>
      <c r="YC24" s="41"/>
      <c r="YD24" s="41"/>
      <c r="YE24" s="41"/>
      <c r="YF24" s="41"/>
      <c r="YG24" s="41"/>
      <c r="YH24" s="41"/>
      <c r="YI24" s="41"/>
      <c r="YJ24" s="41"/>
      <c r="YK24" s="41"/>
      <c r="YL24" s="41"/>
      <c r="YM24" s="41"/>
      <c r="YN24" s="41"/>
      <c r="YO24" s="41"/>
      <c r="YP24" s="41"/>
      <c r="YQ24" s="41"/>
      <c r="YR24" s="41"/>
      <c r="YS24" s="41"/>
      <c r="YT24" s="41"/>
      <c r="YU24" s="41"/>
      <c r="YV24" s="41"/>
      <c r="YW24" s="41"/>
      <c r="YX24" s="41"/>
      <c r="YY24" s="41"/>
      <c r="YZ24" s="41"/>
      <c r="ZA24" s="41"/>
      <c r="ZB24" s="41"/>
      <c r="ZC24" s="41"/>
      <c r="ZD24" s="41"/>
      <c r="ZE24" s="41"/>
      <c r="ZF24" s="41"/>
      <c r="ZG24" s="41"/>
      <c r="ZH24" s="41"/>
      <c r="ZI24" s="41"/>
      <c r="ZJ24" s="41"/>
      <c r="ZK24" s="41"/>
      <c r="ZL24" s="41"/>
      <c r="ZM24" s="41"/>
      <c r="ZN24" s="41"/>
      <c r="ZO24" s="41"/>
      <c r="ZP24" s="41"/>
      <c r="ZQ24" s="41"/>
      <c r="ZR24" s="41"/>
      <c r="ZS24" s="41"/>
      <c r="ZT24" s="41"/>
      <c r="ZU24" s="41"/>
      <c r="ZV24" s="41"/>
      <c r="ZW24" s="41"/>
      <c r="ZX24" s="41"/>
      <c r="ZY24" s="41"/>
      <c r="ZZ24" s="41"/>
      <c r="AAA24" s="41"/>
      <c r="AAB24" s="41"/>
      <c r="AAC24" s="41"/>
      <c r="AAD24" s="41"/>
      <c r="AAE24" s="41"/>
      <c r="AAF24" s="41"/>
      <c r="AAG24" s="41"/>
      <c r="AAH24" s="41"/>
      <c r="AAI24" s="41"/>
      <c r="AAJ24" s="41"/>
      <c r="AAK24" s="41"/>
      <c r="AAL24" s="41"/>
      <c r="AAM24" s="41"/>
      <c r="AAN24" s="41"/>
      <c r="AAO24" s="41"/>
      <c r="AAP24" s="41"/>
      <c r="AAQ24" s="41"/>
      <c r="AAR24" s="41"/>
      <c r="AAS24" s="41"/>
      <c r="AAT24" s="41"/>
      <c r="AAU24" s="41"/>
      <c r="AAV24" s="41"/>
      <c r="AAW24" s="41"/>
      <c r="AAX24" s="41"/>
      <c r="AAY24" s="41"/>
      <c r="AAZ24" s="41"/>
      <c r="ABA24" s="41"/>
      <c r="ABB24" s="41"/>
      <c r="ABC24" s="41"/>
      <c r="ABD24" s="41"/>
      <c r="ABE24" s="41"/>
      <c r="ABF24" s="41"/>
      <c r="ABG24" s="41"/>
      <c r="ABH24" s="41"/>
      <c r="ABI24" s="41"/>
      <c r="ABJ24" s="41"/>
      <c r="ABK24" s="41"/>
      <c r="ABL24" s="41"/>
      <c r="ABM24" s="41"/>
      <c r="ABN24" s="41"/>
      <c r="ABO24" s="41"/>
      <c r="ABP24" s="41"/>
      <c r="ABQ24" s="41"/>
      <c r="ABR24" s="41"/>
      <c r="ABS24" s="41"/>
      <c r="ABT24" s="41"/>
      <c r="ABU24" s="41"/>
      <c r="ABV24" s="41"/>
      <c r="ABW24" s="41"/>
      <c r="ABX24" s="41"/>
      <c r="ABY24" s="41"/>
      <c r="ABZ24" s="41"/>
      <c r="ACA24" s="41"/>
      <c r="ACB24" s="41"/>
      <c r="ACC24" s="41"/>
      <c r="ACD24" s="41"/>
      <c r="ACE24" s="41"/>
      <c r="ACF24" s="41"/>
      <c r="ACG24" s="41"/>
      <c r="ACH24" s="41"/>
      <c r="ACI24" s="41"/>
      <c r="ACJ24" s="41"/>
      <c r="ACK24" s="41"/>
      <c r="ACL24" s="41"/>
      <c r="ACM24" s="41"/>
      <c r="ACN24" s="41"/>
      <c r="ACO24" s="41"/>
      <c r="ACP24" s="41"/>
      <c r="ACQ24" s="41"/>
      <c r="ACR24" s="41"/>
      <c r="ACS24" s="41"/>
      <c r="ACT24" s="41"/>
      <c r="ACU24" s="41"/>
      <c r="ACV24" s="41"/>
      <c r="ACW24" s="41"/>
      <c r="ACX24" s="41"/>
      <c r="ACY24" s="41"/>
      <c r="ACZ24" s="41"/>
      <c r="ADA24" s="41"/>
      <c r="ADB24" s="41"/>
      <c r="ADC24" s="41"/>
      <c r="ADD24" s="41"/>
      <c r="ADE24" s="41"/>
      <c r="ADF24" s="41"/>
      <c r="ADG24" s="41"/>
      <c r="ADH24" s="41"/>
      <c r="ADI24" s="41"/>
      <c r="ADJ24" s="41"/>
      <c r="ADK24" s="41"/>
      <c r="ADL24" s="41"/>
      <c r="ADM24" s="41"/>
      <c r="ADN24" s="41"/>
      <c r="ADO24" s="41"/>
      <c r="ADP24" s="41"/>
      <c r="ADQ24" s="41"/>
      <c r="ADR24" s="41"/>
      <c r="ADS24" s="41"/>
      <c r="ADT24" s="41"/>
      <c r="ADU24" s="41"/>
      <c r="ADV24" s="41"/>
      <c r="ADW24" s="41"/>
      <c r="ADX24" s="41"/>
      <c r="ADY24" s="41"/>
      <c r="ADZ24" s="41"/>
      <c r="AEA24" s="41"/>
      <c r="AEB24" s="41"/>
      <c r="AEC24" s="41"/>
      <c r="AED24" s="41"/>
      <c r="AEE24" s="41"/>
      <c r="AEF24" s="41"/>
      <c r="AEG24" s="41"/>
      <c r="AEH24" s="41"/>
      <c r="AEI24" s="41"/>
      <c r="AEJ24" s="41"/>
      <c r="AEK24" s="41"/>
      <c r="AEL24" s="41"/>
      <c r="AEM24" s="41"/>
      <c r="AEN24" s="41"/>
      <c r="AEO24" s="41"/>
      <c r="AEP24" s="41"/>
      <c r="AEQ24" s="41"/>
      <c r="AER24" s="41"/>
      <c r="AES24" s="41"/>
      <c r="AET24" s="41"/>
      <c r="AEU24" s="41"/>
      <c r="AEV24" s="41"/>
      <c r="AEW24" s="41"/>
      <c r="AEX24" s="41"/>
      <c r="AEY24" s="41"/>
      <c r="AEZ24" s="41"/>
      <c r="AFA24" s="41"/>
      <c r="AFB24" s="41"/>
      <c r="AFC24" s="41"/>
      <c r="AFD24" s="41"/>
      <c r="AFE24" s="41"/>
      <c r="AFF24" s="41"/>
      <c r="AFG24" s="41"/>
      <c r="AFH24" s="41"/>
      <c r="AFI24" s="41"/>
      <c r="AFJ24" s="41"/>
      <c r="AFK24" s="41"/>
      <c r="AFL24" s="41"/>
      <c r="AFM24" s="41"/>
      <c r="AFN24" s="41"/>
      <c r="AFO24" s="41"/>
      <c r="AFP24" s="41"/>
      <c r="AFQ24" s="41"/>
      <c r="AFR24" s="41"/>
      <c r="AFS24" s="41"/>
      <c r="AFT24" s="41"/>
      <c r="AFU24" s="41"/>
      <c r="AFV24" s="41"/>
      <c r="AFW24" s="41"/>
      <c r="AFX24" s="41"/>
      <c r="AFY24" s="41"/>
      <c r="AFZ24" s="41"/>
      <c r="AGA24" s="41"/>
      <c r="AGB24" s="41"/>
      <c r="AGC24" s="41"/>
      <c r="AGD24" s="41"/>
      <c r="AGE24" s="41"/>
      <c r="AGF24" s="41"/>
      <c r="AGG24" s="41"/>
      <c r="AGH24" s="41"/>
      <c r="AGI24" s="41"/>
      <c r="AGJ24" s="41"/>
      <c r="AGK24" s="41"/>
      <c r="AGL24" s="41"/>
      <c r="AGM24" s="41"/>
      <c r="AGN24" s="41"/>
      <c r="AGO24" s="41"/>
      <c r="AGP24" s="41"/>
      <c r="AGQ24" s="41"/>
      <c r="AGR24" s="41"/>
      <c r="AGS24" s="41"/>
      <c r="AGT24" s="41"/>
      <c r="AGU24" s="41"/>
      <c r="AGV24" s="41"/>
      <c r="AGW24" s="41"/>
      <c r="AGX24" s="41"/>
      <c r="AGY24" s="41"/>
      <c r="AGZ24" s="41"/>
      <c r="AHA24" s="41"/>
      <c r="AHB24" s="41"/>
      <c r="AHC24" s="41"/>
      <c r="AHD24" s="41"/>
      <c r="AHE24" s="41"/>
      <c r="AHF24" s="41"/>
      <c r="AHG24" s="41"/>
      <c r="AHH24" s="41"/>
      <c r="AHI24" s="41"/>
      <c r="AHJ24" s="41"/>
      <c r="AHK24" s="41"/>
      <c r="AHL24" s="41"/>
      <c r="AHM24" s="41"/>
      <c r="AHN24" s="41"/>
      <c r="AHO24" s="41"/>
      <c r="AHP24" s="41"/>
      <c r="AHQ24" s="41"/>
      <c r="AHR24" s="41"/>
      <c r="AHS24" s="41"/>
      <c r="AHT24" s="41"/>
      <c r="AHU24" s="41"/>
      <c r="AHV24" s="41"/>
      <c r="AHW24" s="41"/>
      <c r="AHX24" s="41"/>
      <c r="AHY24" s="41"/>
      <c r="AHZ24" s="41"/>
      <c r="AIA24" s="41"/>
      <c r="AIB24" s="41"/>
      <c r="AIC24" s="41"/>
      <c r="AID24" s="41"/>
      <c r="AIE24" s="41"/>
      <c r="AIF24" s="41"/>
      <c r="AIG24" s="41"/>
      <c r="AIH24" s="41"/>
      <c r="AII24" s="41"/>
      <c r="AIJ24" s="41"/>
      <c r="AIK24" s="41"/>
      <c r="AIL24" s="41"/>
      <c r="AIM24" s="41"/>
      <c r="AIN24" s="41"/>
      <c r="AIO24" s="41"/>
      <c r="AIP24" s="41"/>
      <c r="AIQ24" s="41"/>
      <c r="AIR24" s="41"/>
      <c r="AIS24" s="41"/>
      <c r="AIT24" s="41"/>
      <c r="AIU24" s="41"/>
      <c r="AIV24" s="41"/>
      <c r="AIW24" s="41"/>
      <c r="AIX24" s="41"/>
      <c r="AIY24" s="41"/>
      <c r="AIZ24" s="41"/>
      <c r="AJA24" s="41"/>
      <c r="AJB24" s="41"/>
      <c r="AJC24" s="41"/>
      <c r="AJD24" s="41"/>
      <c r="AJE24" s="41"/>
      <c r="AJF24" s="41"/>
      <c r="AJG24" s="41"/>
      <c r="AJH24" s="41"/>
      <c r="AJI24" s="41"/>
      <c r="AJJ24" s="41"/>
      <c r="AJK24" s="41"/>
      <c r="AJL24" s="41"/>
      <c r="AJM24" s="41"/>
      <c r="AJN24" s="41"/>
      <c r="AJO24" s="41"/>
      <c r="AJP24" s="41"/>
      <c r="AJQ24" s="41"/>
      <c r="AJR24" s="41"/>
      <c r="AJS24" s="41"/>
      <c r="AJT24" s="41"/>
      <c r="AJU24" s="41"/>
      <c r="AJV24" s="41"/>
      <c r="AJW24" s="41"/>
      <c r="AJX24" s="41"/>
      <c r="AJY24" s="41"/>
      <c r="AJZ24" s="41"/>
      <c r="AKA24" s="41"/>
      <c r="AKB24" s="41"/>
      <c r="AKC24" s="41"/>
      <c r="AKD24" s="41"/>
      <c r="AKE24" s="41"/>
      <c r="AKF24" s="41"/>
      <c r="AKG24" s="41"/>
      <c r="AKH24" s="41"/>
      <c r="AKI24" s="41"/>
      <c r="AKJ24" s="41"/>
      <c r="AKK24" s="41"/>
      <c r="AKL24" s="41"/>
      <c r="AKM24" s="41"/>
      <c r="AKN24" s="41"/>
      <c r="AKO24" s="41"/>
      <c r="AKP24" s="41"/>
      <c r="AKQ24" s="41"/>
      <c r="AKR24" s="41"/>
      <c r="AKS24" s="41"/>
      <c r="AKT24" s="41"/>
      <c r="AKU24" s="41"/>
      <c r="AKV24" s="41"/>
      <c r="AKW24" s="41"/>
      <c r="AKX24" s="41"/>
      <c r="AKY24" s="41"/>
      <c r="AKZ24" s="41"/>
      <c r="ALA24" s="41"/>
      <c r="ALB24" s="41"/>
      <c r="ALC24" s="41"/>
      <c r="ALD24" s="41"/>
      <c r="ALE24" s="41"/>
      <c r="ALF24" s="41"/>
      <c r="ALG24" s="41"/>
      <c r="ALH24" s="41"/>
      <c r="ALI24" s="41"/>
      <c r="ALJ24" s="41"/>
      <c r="ALK24" s="41"/>
      <c r="ALL24" s="41"/>
      <c r="ALM24" s="41"/>
      <c r="ALN24" s="41"/>
      <c r="ALO24" s="41"/>
      <c r="ALP24" s="41"/>
      <c r="ALQ24" s="41"/>
      <c r="ALR24" s="41"/>
      <c r="ALS24" s="41"/>
      <c r="ALT24" s="41"/>
      <c r="ALU24" s="41"/>
      <c r="ALV24" s="41"/>
      <c r="ALW24" s="41"/>
      <c r="ALX24" s="41"/>
      <c r="ALY24" s="41"/>
      <c r="ALZ24" s="41"/>
      <c r="AMA24" s="41"/>
      <c r="AMB24" s="41"/>
      <c r="AMC24" s="41"/>
      <c r="AMD24" s="41"/>
      <c r="AME24" s="41"/>
      <c r="AMF24" s="41"/>
      <c r="AMG24" s="41"/>
      <c r="AMH24" s="41"/>
      <c r="AMI24" s="41"/>
      <c r="AMJ24" s="41"/>
      <c r="AMK24" s="41"/>
      <c r="AML24" s="41"/>
      <c r="AMM24" s="41"/>
      <c r="AMN24" s="41"/>
      <c r="AMO24" s="41"/>
      <c r="AMP24" s="41"/>
      <c r="AMQ24" s="41"/>
      <c r="AMR24" s="41"/>
      <c r="AMS24" s="41"/>
      <c r="AMT24" s="41"/>
      <c r="AMU24" s="41"/>
      <c r="AMV24" s="41"/>
      <c r="AMW24" s="41"/>
      <c r="AMX24" s="41"/>
      <c r="AMY24" s="41"/>
      <c r="AMZ24" s="41"/>
      <c r="ANA24" s="41"/>
      <c r="ANB24" s="41"/>
      <c r="ANC24" s="41"/>
      <c r="AND24" s="41"/>
      <c r="ANE24" s="41"/>
      <c r="ANF24" s="41"/>
      <c r="ANG24" s="41"/>
      <c r="ANH24" s="41"/>
      <c r="ANI24" s="41"/>
      <c r="ANJ24" s="41"/>
      <c r="ANK24" s="41"/>
    </row>
    <row r="25" s="44" customFormat="true" ht="15" hidden="false" customHeight="false" outlineLevel="0" collapsed="false">
      <c r="A25" s="42" t="s">
        <v>47</v>
      </c>
      <c r="B25" s="43" t="n">
        <v>0</v>
      </c>
      <c r="C25" s="44" t="n">
        <v>0</v>
      </c>
      <c r="D25" s="44" t="n">
        <v>0</v>
      </c>
      <c r="E25" s="45" t="n">
        <v>220000</v>
      </c>
      <c r="F25" s="43" t="n">
        <v>0</v>
      </c>
      <c r="G25" s="44" t="n">
        <v>0</v>
      </c>
      <c r="H25" s="46" t="n">
        <v>0</v>
      </c>
      <c r="I25" s="47" t="n">
        <v>21.5</v>
      </c>
      <c r="J25" s="48" t="n">
        <v>0</v>
      </c>
      <c r="K25" s="43"/>
      <c r="M25" s="46" t="n">
        <v>0</v>
      </c>
      <c r="N25" s="43" t="n">
        <v>0</v>
      </c>
      <c r="O25" s="46" t="n">
        <v>0</v>
      </c>
      <c r="P25" s="49" t="n">
        <v>0</v>
      </c>
      <c r="Q25" s="50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0</v>
      </c>
      <c r="Y25" s="44" t="n">
        <v>0</v>
      </c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6" t="n">
        <v>0</v>
      </c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41"/>
      <c r="KZ25" s="41"/>
      <c r="LA25" s="41"/>
      <c r="LB25" s="41"/>
      <c r="LC25" s="41"/>
      <c r="LD25" s="41"/>
      <c r="LE25" s="41"/>
      <c r="LF25" s="41"/>
      <c r="LG25" s="41"/>
      <c r="LH25" s="41"/>
      <c r="LI25" s="41"/>
      <c r="LJ25" s="41"/>
      <c r="LK25" s="41"/>
      <c r="LL25" s="41"/>
      <c r="LM25" s="41"/>
      <c r="LN25" s="41"/>
      <c r="LO25" s="41"/>
      <c r="LP25" s="41"/>
      <c r="LQ25" s="41"/>
      <c r="LR25" s="41"/>
      <c r="LS25" s="41"/>
      <c r="LT25" s="41"/>
      <c r="LU25" s="41"/>
      <c r="LV25" s="41"/>
      <c r="LW25" s="41"/>
      <c r="LX25" s="41"/>
      <c r="LY25" s="41"/>
      <c r="LZ25" s="41"/>
      <c r="MA25" s="41"/>
      <c r="MB25" s="41"/>
      <c r="MC25" s="41"/>
      <c r="MD25" s="41"/>
      <c r="ME25" s="41"/>
      <c r="MF25" s="41"/>
      <c r="MG25" s="41"/>
      <c r="MH25" s="41"/>
      <c r="MI25" s="41"/>
      <c r="MJ25" s="41"/>
      <c r="MK25" s="41"/>
      <c r="ML25" s="41"/>
      <c r="MM25" s="41"/>
      <c r="MN25" s="41"/>
      <c r="MO25" s="41"/>
      <c r="MP25" s="41"/>
      <c r="MQ25" s="41"/>
      <c r="MR25" s="41"/>
      <c r="MS25" s="41"/>
      <c r="MT25" s="41"/>
      <c r="MU25" s="41"/>
      <c r="MV25" s="41"/>
      <c r="MW25" s="41"/>
      <c r="MX25" s="41"/>
      <c r="MY25" s="41"/>
      <c r="MZ25" s="41"/>
      <c r="NA25" s="41"/>
      <c r="NB25" s="41"/>
      <c r="NC25" s="41"/>
      <c r="ND25" s="41"/>
      <c r="NE25" s="41"/>
      <c r="NF25" s="41"/>
      <c r="NG25" s="41"/>
      <c r="NH25" s="41"/>
      <c r="NI25" s="41"/>
      <c r="NJ25" s="41"/>
      <c r="NK25" s="41"/>
      <c r="NL25" s="41"/>
      <c r="NM25" s="41"/>
      <c r="NN25" s="41"/>
      <c r="NO25" s="41"/>
      <c r="NP25" s="41"/>
      <c r="NQ25" s="41"/>
      <c r="NR25" s="41"/>
      <c r="NS25" s="41"/>
      <c r="NT25" s="41"/>
      <c r="NU25" s="41"/>
      <c r="NV25" s="41"/>
      <c r="NW25" s="41"/>
      <c r="NX25" s="41"/>
      <c r="NY25" s="41"/>
      <c r="NZ25" s="41"/>
      <c r="OA25" s="41"/>
      <c r="OB25" s="41"/>
      <c r="OC25" s="41"/>
      <c r="OD25" s="41"/>
      <c r="OE25" s="41"/>
      <c r="OF25" s="41"/>
      <c r="OG25" s="41"/>
      <c r="OH25" s="41"/>
      <c r="OI25" s="41"/>
      <c r="OJ25" s="41"/>
      <c r="OK25" s="41"/>
      <c r="OL25" s="41"/>
      <c r="OM25" s="41"/>
      <c r="ON25" s="41"/>
      <c r="OO25" s="41"/>
      <c r="OP25" s="41"/>
      <c r="OQ25" s="41"/>
      <c r="OR25" s="41"/>
      <c r="OS25" s="41"/>
      <c r="OT25" s="41"/>
      <c r="OU25" s="41"/>
      <c r="OV25" s="41"/>
      <c r="OW25" s="41"/>
      <c r="OX25" s="41"/>
      <c r="OY25" s="41"/>
      <c r="OZ25" s="41"/>
      <c r="PA25" s="41"/>
      <c r="PB25" s="41"/>
      <c r="PC25" s="41"/>
      <c r="PD25" s="41"/>
      <c r="PE25" s="41"/>
      <c r="PF25" s="41"/>
      <c r="PG25" s="41"/>
      <c r="PH25" s="41"/>
      <c r="PI25" s="41"/>
      <c r="PJ25" s="41"/>
      <c r="PK25" s="41"/>
      <c r="PL25" s="41"/>
      <c r="PM25" s="41"/>
      <c r="PN25" s="41"/>
      <c r="PO25" s="41"/>
      <c r="PP25" s="41"/>
      <c r="PQ25" s="41"/>
      <c r="PR25" s="41"/>
      <c r="PS25" s="41"/>
      <c r="PT25" s="41"/>
      <c r="PU25" s="41"/>
      <c r="PV25" s="41"/>
      <c r="PW25" s="41"/>
      <c r="PX25" s="41"/>
      <c r="PY25" s="41"/>
      <c r="PZ25" s="41"/>
      <c r="QA25" s="41"/>
      <c r="QB25" s="41"/>
      <c r="QC25" s="41"/>
      <c r="QD25" s="41"/>
      <c r="QE25" s="41"/>
      <c r="QF25" s="41"/>
      <c r="QG25" s="41"/>
      <c r="QH25" s="41"/>
      <c r="QI25" s="41"/>
      <c r="QJ25" s="41"/>
      <c r="QK25" s="41"/>
      <c r="QL25" s="41"/>
      <c r="QM25" s="41"/>
      <c r="QN25" s="41"/>
      <c r="QO25" s="41"/>
      <c r="QP25" s="41"/>
      <c r="QQ25" s="41"/>
      <c r="QR25" s="41"/>
      <c r="QS25" s="41"/>
      <c r="QT25" s="41"/>
      <c r="QU25" s="41"/>
      <c r="QV25" s="41"/>
      <c r="QW25" s="41"/>
      <c r="QX25" s="41"/>
      <c r="QY25" s="41"/>
      <c r="QZ25" s="41"/>
      <c r="RA25" s="41"/>
      <c r="RB25" s="41"/>
      <c r="RC25" s="41"/>
      <c r="RD25" s="41"/>
      <c r="RE25" s="41"/>
      <c r="RF25" s="41"/>
      <c r="RG25" s="41"/>
      <c r="RH25" s="41"/>
      <c r="RI25" s="41"/>
      <c r="RJ25" s="41"/>
      <c r="RK25" s="41"/>
      <c r="RL25" s="41"/>
      <c r="RM25" s="41"/>
      <c r="RN25" s="41"/>
      <c r="RO25" s="41"/>
      <c r="RP25" s="41"/>
      <c r="RQ25" s="41"/>
      <c r="RR25" s="41"/>
      <c r="RS25" s="41"/>
      <c r="RT25" s="41"/>
      <c r="RU25" s="41"/>
      <c r="RV25" s="41"/>
      <c r="RW25" s="41"/>
      <c r="RX25" s="41"/>
      <c r="RY25" s="41"/>
      <c r="RZ25" s="41"/>
      <c r="SA25" s="41"/>
      <c r="SB25" s="41"/>
      <c r="SC25" s="41"/>
      <c r="SD25" s="41"/>
      <c r="SE25" s="41"/>
      <c r="SF25" s="41"/>
      <c r="SG25" s="41"/>
      <c r="SH25" s="41"/>
      <c r="SI25" s="41"/>
      <c r="SJ25" s="41"/>
      <c r="SK25" s="41"/>
      <c r="SL25" s="41"/>
      <c r="SM25" s="41"/>
      <c r="SN25" s="41"/>
      <c r="SO25" s="41"/>
      <c r="SP25" s="41"/>
      <c r="SQ25" s="41"/>
      <c r="SR25" s="41"/>
      <c r="SS25" s="41"/>
      <c r="ST25" s="41"/>
      <c r="SU25" s="41"/>
      <c r="SV25" s="41"/>
      <c r="SW25" s="41"/>
      <c r="SX25" s="41"/>
      <c r="SY25" s="41"/>
      <c r="SZ25" s="41"/>
      <c r="TA25" s="41"/>
      <c r="TB25" s="41"/>
      <c r="TC25" s="41"/>
      <c r="TD25" s="41"/>
      <c r="TE25" s="41"/>
      <c r="TF25" s="41"/>
      <c r="TG25" s="41"/>
      <c r="TH25" s="41"/>
      <c r="TI25" s="41"/>
      <c r="TJ25" s="41"/>
      <c r="TK25" s="41"/>
      <c r="TL25" s="41"/>
      <c r="TM25" s="41"/>
      <c r="TN25" s="41"/>
      <c r="TO25" s="41"/>
      <c r="TP25" s="41"/>
      <c r="TQ25" s="41"/>
      <c r="TR25" s="41"/>
      <c r="TS25" s="41"/>
      <c r="TT25" s="41"/>
      <c r="TU25" s="41"/>
      <c r="TV25" s="41"/>
      <c r="TW25" s="41"/>
      <c r="TX25" s="41"/>
      <c r="TY25" s="41"/>
      <c r="TZ25" s="41"/>
      <c r="UA25" s="41"/>
      <c r="UB25" s="41"/>
      <c r="UC25" s="41"/>
      <c r="UD25" s="41"/>
      <c r="UE25" s="41"/>
      <c r="UF25" s="41"/>
      <c r="UG25" s="41"/>
      <c r="UH25" s="41"/>
      <c r="UI25" s="41"/>
      <c r="UJ25" s="41"/>
      <c r="UK25" s="41"/>
      <c r="UL25" s="41"/>
      <c r="UM25" s="41"/>
      <c r="UN25" s="41"/>
      <c r="UO25" s="41"/>
      <c r="UP25" s="41"/>
      <c r="UQ25" s="41"/>
      <c r="UR25" s="41"/>
      <c r="US25" s="41"/>
      <c r="UT25" s="41"/>
      <c r="UU25" s="41"/>
      <c r="UV25" s="41"/>
      <c r="UW25" s="41"/>
      <c r="UX25" s="41"/>
      <c r="UY25" s="41"/>
      <c r="UZ25" s="41"/>
      <c r="VA25" s="41"/>
      <c r="VB25" s="41"/>
      <c r="VC25" s="41"/>
      <c r="VD25" s="41"/>
      <c r="VE25" s="41"/>
      <c r="VF25" s="41"/>
      <c r="VG25" s="41"/>
      <c r="VH25" s="41"/>
      <c r="VI25" s="41"/>
      <c r="VJ25" s="41"/>
      <c r="VK25" s="41"/>
      <c r="VL25" s="41"/>
      <c r="VM25" s="41"/>
      <c r="VN25" s="41"/>
      <c r="VO25" s="41"/>
      <c r="VP25" s="41"/>
      <c r="VQ25" s="41"/>
      <c r="VR25" s="41"/>
      <c r="VS25" s="41"/>
      <c r="VT25" s="41"/>
      <c r="VU25" s="41"/>
      <c r="VV25" s="41"/>
      <c r="VW25" s="41"/>
      <c r="VX25" s="41"/>
      <c r="VY25" s="41"/>
      <c r="VZ25" s="41"/>
      <c r="WA25" s="41"/>
      <c r="WB25" s="41"/>
      <c r="WC25" s="41"/>
      <c r="WD25" s="41"/>
      <c r="WE25" s="41"/>
      <c r="WF25" s="41"/>
      <c r="WG25" s="41"/>
      <c r="WH25" s="41"/>
      <c r="WI25" s="41"/>
      <c r="WJ25" s="41"/>
      <c r="WK25" s="41"/>
      <c r="WL25" s="41"/>
      <c r="WM25" s="41"/>
      <c r="WN25" s="41"/>
      <c r="WO25" s="41"/>
      <c r="WP25" s="41"/>
      <c r="WQ25" s="41"/>
      <c r="WR25" s="41"/>
      <c r="WS25" s="41"/>
      <c r="WT25" s="41"/>
      <c r="WU25" s="41"/>
      <c r="WV25" s="41"/>
      <c r="WW25" s="41"/>
      <c r="WX25" s="41"/>
      <c r="WY25" s="41"/>
      <c r="WZ25" s="41"/>
      <c r="XA25" s="41"/>
      <c r="XB25" s="41"/>
      <c r="XC25" s="41"/>
      <c r="XD25" s="41"/>
      <c r="XE25" s="41"/>
      <c r="XF25" s="41"/>
      <c r="XG25" s="41"/>
      <c r="XH25" s="41"/>
      <c r="XI25" s="41"/>
      <c r="XJ25" s="41"/>
      <c r="XK25" s="41"/>
      <c r="XL25" s="41"/>
      <c r="XM25" s="41"/>
      <c r="XN25" s="41"/>
      <c r="XO25" s="41"/>
      <c r="XP25" s="41"/>
      <c r="XQ25" s="41"/>
      <c r="XR25" s="41"/>
      <c r="XS25" s="41"/>
      <c r="XT25" s="41"/>
      <c r="XU25" s="41"/>
      <c r="XV25" s="41"/>
      <c r="XW25" s="41"/>
      <c r="XX25" s="41"/>
      <c r="XY25" s="41"/>
      <c r="XZ25" s="41"/>
      <c r="YA25" s="41"/>
      <c r="YB25" s="41"/>
      <c r="YC25" s="41"/>
      <c r="YD25" s="41"/>
      <c r="YE25" s="41"/>
      <c r="YF25" s="41"/>
      <c r="YG25" s="41"/>
      <c r="YH25" s="41"/>
      <c r="YI25" s="41"/>
      <c r="YJ25" s="41"/>
      <c r="YK25" s="41"/>
      <c r="YL25" s="41"/>
      <c r="YM25" s="41"/>
      <c r="YN25" s="41"/>
      <c r="YO25" s="41"/>
      <c r="YP25" s="41"/>
      <c r="YQ25" s="41"/>
      <c r="YR25" s="41"/>
      <c r="YS25" s="41"/>
      <c r="YT25" s="41"/>
      <c r="YU25" s="41"/>
      <c r="YV25" s="41"/>
      <c r="YW25" s="41"/>
      <c r="YX25" s="41"/>
      <c r="YY25" s="41"/>
      <c r="YZ25" s="41"/>
      <c r="ZA25" s="41"/>
      <c r="ZB25" s="41"/>
      <c r="ZC25" s="41"/>
      <c r="ZD25" s="41"/>
      <c r="ZE25" s="41"/>
      <c r="ZF25" s="41"/>
      <c r="ZG25" s="41"/>
      <c r="ZH25" s="41"/>
      <c r="ZI25" s="41"/>
      <c r="ZJ25" s="41"/>
      <c r="ZK25" s="41"/>
      <c r="ZL25" s="41"/>
      <c r="ZM25" s="41"/>
      <c r="ZN25" s="41"/>
      <c r="ZO25" s="41"/>
      <c r="ZP25" s="41"/>
      <c r="ZQ25" s="41"/>
      <c r="ZR25" s="41"/>
      <c r="ZS25" s="41"/>
      <c r="ZT25" s="41"/>
      <c r="ZU25" s="41"/>
      <c r="ZV25" s="41"/>
      <c r="ZW25" s="41"/>
      <c r="ZX25" s="41"/>
      <c r="ZY25" s="41"/>
      <c r="ZZ25" s="41"/>
      <c r="AAA25" s="41"/>
      <c r="AAB25" s="41"/>
      <c r="AAC25" s="41"/>
      <c r="AAD25" s="41"/>
      <c r="AAE25" s="41"/>
      <c r="AAF25" s="41"/>
      <c r="AAG25" s="41"/>
      <c r="AAH25" s="41"/>
      <c r="AAI25" s="41"/>
      <c r="AAJ25" s="41"/>
      <c r="AAK25" s="41"/>
      <c r="AAL25" s="41"/>
      <c r="AAM25" s="41"/>
      <c r="AAN25" s="41"/>
      <c r="AAO25" s="41"/>
      <c r="AAP25" s="41"/>
      <c r="AAQ25" s="41"/>
      <c r="AAR25" s="41"/>
      <c r="AAS25" s="41"/>
      <c r="AAT25" s="41"/>
      <c r="AAU25" s="41"/>
      <c r="AAV25" s="41"/>
      <c r="AAW25" s="41"/>
      <c r="AAX25" s="41"/>
      <c r="AAY25" s="41"/>
      <c r="AAZ25" s="41"/>
      <c r="ABA25" s="41"/>
      <c r="ABB25" s="41"/>
      <c r="ABC25" s="41"/>
      <c r="ABD25" s="41"/>
      <c r="ABE25" s="41"/>
      <c r="ABF25" s="41"/>
      <c r="ABG25" s="41"/>
      <c r="ABH25" s="41"/>
      <c r="ABI25" s="41"/>
      <c r="ABJ25" s="41"/>
      <c r="ABK25" s="41"/>
      <c r="ABL25" s="41"/>
      <c r="ABM25" s="41"/>
      <c r="ABN25" s="41"/>
      <c r="ABO25" s="41"/>
      <c r="ABP25" s="41"/>
      <c r="ABQ25" s="41"/>
      <c r="ABR25" s="41"/>
      <c r="ABS25" s="41"/>
      <c r="ABT25" s="41"/>
      <c r="ABU25" s="41"/>
      <c r="ABV25" s="41"/>
      <c r="ABW25" s="41"/>
      <c r="ABX25" s="41"/>
      <c r="ABY25" s="41"/>
      <c r="ABZ25" s="41"/>
      <c r="ACA25" s="41"/>
      <c r="ACB25" s="41"/>
      <c r="ACC25" s="41"/>
      <c r="ACD25" s="41"/>
      <c r="ACE25" s="41"/>
      <c r="ACF25" s="41"/>
      <c r="ACG25" s="41"/>
      <c r="ACH25" s="41"/>
      <c r="ACI25" s="41"/>
      <c r="ACJ25" s="41"/>
      <c r="ACK25" s="41"/>
      <c r="ACL25" s="41"/>
      <c r="ACM25" s="41"/>
      <c r="ACN25" s="41"/>
      <c r="ACO25" s="41"/>
      <c r="ACP25" s="41"/>
      <c r="ACQ25" s="41"/>
      <c r="ACR25" s="41"/>
      <c r="ACS25" s="41"/>
      <c r="ACT25" s="41"/>
      <c r="ACU25" s="41"/>
      <c r="ACV25" s="41"/>
      <c r="ACW25" s="41"/>
      <c r="ACX25" s="41"/>
      <c r="ACY25" s="41"/>
      <c r="ACZ25" s="41"/>
      <c r="ADA25" s="41"/>
      <c r="ADB25" s="41"/>
      <c r="ADC25" s="41"/>
      <c r="ADD25" s="41"/>
      <c r="ADE25" s="41"/>
      <c r="ADF25" s="41"/>
      <c r="ADG25" s="41"/>
      <c r="ADH25" s="41"/>
      <c r="ADI25" s="41"/>
      <c r="ADJ25" s="41"/>
      <c r="ADK25" s="41"/>
      <c r="ADL25" s="41"/>
      <c r="ADM25" s="41"/>
      <c r="ADN25" s="41"/>
      <c r="ADO25" s="41"/>
      <c r="ADP25" s="41"/>
      <c r="ADQ25" s="41"/>
      <c r="ADR25" s="41"/>
      <c r="ADS25" s="41"/>
      <c r="ADT25" s="41"/>
      <c r="ADU25" s="41"/>
      <c r="ADV25" s="41"/>
      <c r="ADW25" s="41"/>
      <c r="ADX25" s="41"/>
      <c r="ADY25" s="41"/>
      <c r="ADZ25" s="41"/>
      <c r="AEA25" s="41"/>
      <c r="AEB25" s="41"/>
      <c r="AEC25" s="41"/>
      <c r="AED25" s="41"/>
      <c r="AEE25" s="41"/>
      <c r="AEF25" s="41"/>
      <c r="AEG25" s="41"/>
      <c r="AEH25" s="41"/>
      <c r="AEI25" s="41"/>
      <c r="AEJ25" s="41"/>
      <c r="AEK25" s="41"/>
      <c r="AEL25" s="41"/>
      <c r="AEM25" s="41"/>
      <c r="AEN25" s="41"/>
      <c r="AEO25" s="41"/>
      <c r="AEP25" s="41"/>
      <c r="AEQ25" s="41"/>
      <c r="AER25" s="41"/>
      <c r="AES25" s="41"/>
      <c r="AET25" s="41"/>
      <c r="AEU25" s="41"/>
      <c r="AEV25" s="41"/>
      <c r="AEW25" s="41"/>
      <c r="AEX25" s="41"/>
      <c r="AEY25" s="41"/>
      <c r="AEZ25" s="41"/>
      <c r="AFA25" s="41"/>
      <c r="AFB25" s="41"/>
      <c r="AFC25" s="41"/>
      <c r="AFD25" s="41"/>
      <c r="AFE25" s="41"/>
      <c r="AFF25" s="41"/>
      <c r="AFG25" s="41"/>
      <c r="AFH25" s="41"/>
      <c r="AFI25" s="41"/>
      <c r="AFJ25" s="41"/>
      <c r="AFK25" s="41"/>
      <c r="AFL25" s="41"/>
      <c r="AFM25" s="41"/>
      <c r="AFN25" s="41"/>
      <c r="AFO25" s="41"/>
      <c r="AFP25" s="41"/>
      <c r="AFQ25" s="41"/>
      <c r="AFR25" s="41"/>
      <c r="AFS25" s="41"/>
      <c r="AFT25" s="41"/>
      <c r="AFU25" s="41"/>
      <c r="AFV25" s="41"/>
      <c r="AFW25" s="41"/>
      <c r="AFX25" s="41"/>
      <c r="AFY25" s="41"/>
      <c r="AFZ25" s="41"/>
      <c r="AGA25" s="41"/>
      <c r="AGB25" s="41"/>
      <c r="AGC25" s="41"/>
      <c r="AGD25" s="41"/>
      <c r="AGE25" s="41"/>
      <c r="AGF25" s="41"/>
      <c r="AGG25" s="41"/>
      <c r="AGH25" s="41"/>
      <c r="AGI25" s="41"/>
      <c r="AGJ25" s="41"/>
      <c r="AGK25" s="41"/>
      <c r="AGL25" s="41"/>
      <c r="AGM25" s="41"/>
      <c r="AGN25" s="41"/>
      <c r="AGO25" s="41"/>
      <c r="AGP25" s="41"/>
      <c r="AGQ25" s="41"/>
      <c r="AGR25" s="41"/>
      <c r="AGS25" s="41"/>
      <c r="AGT25" s="41"/>
      <c r="AGU25" s="41"/>
      <c r="AGV25" s="41"/>
      <c r="AGW25" s="41"/>
      <c r="AGX25" s="41"/>
      <c r="AGY25" s="41"/>
      <c r="AGZ25" s="41"/>
      <c r="AHA25" s="41"/>
      <c r="AHB25" s="41"/>
      <c r="AHC25" s="41"/>
      <c r="AHD25" s="41"/>
      <c r="AHE25" s="41"/>
      <c r="AHF25" s="41"/>
      <c r="AHG25" s="41"/>
      <c r="AHH25" s="41"/>
      <c r="AHI25" s="41"/>
      <c r="AHJ25" s="41"/>
      <c r="AHK25" s="41"/>
      <c r="AHL25" s="41"/>
      <c r="AHM25" s="41"/>
      <c r="AHN25" s="41"/>
      <c r="AHO25" s="41"/>
      <c r="AHP25" s="41"/>
      <c r="AHQ25" s="41"/>
      <c r="AHR25" s="41"/>
      <c r="AHS25" s="41"/>
      <c r="AHT25" s="41"/>
      <c r="AHU25" s="41"/>
      <c r="AHV25" s="41"/>
      <c r="AHW25" s="41"/>
      <c r="AHX25" s="41"/>
      <c r="AHY25" s="41"/>
      <c r="AHZ25" s="41"/>
      <c r="AIA25" s="41"/>
      <c r="AIB25" s="41"/>
      <c r="AIC25" s="41"/>
      <c r="AID25" s="41"/>
      <c r="AIE25" s="41"/>
      <c r="AIF25" s="41"/>
      <c r="AIG25" s="41"/>
      <c r="AIH25" s="41"/>
      <c r="AII25" s="41"/>
      <c r="AIJ25" s="41"/>
      <c r="AIK25" s="41"/>
      <c r="AIL25" s="41"/>
      <c r="AIM25" s="41"/>
      <c r="AIN25" s="41"/>
      <c r="AIO25" s="41"/>
      <c r="AIP25" s="41"/>
      <c r="AIQ25" s="41"/>
      <c r="AIR25" s="41"/>
      <c r="AIS25" s="41"/>
      <c r="AIT25" s="41"/>
      <c r="AIU25" s="41"/>
      <c r="AIV25" s="41"/>
      <c r="AIW25" s="41"/>
      <c r="AIX25" s="41"/>
      <c r="AIY25" s="41"/>
      <c r="AIZ25" s="41"/>
      <c r="AJA25" s="41"/>
      <c r="AJB25" s="41"/>
      <c r="AJC25" s="41"/>
      <c r="AJD25" s="41"/>
      <c r="AJE25" s="41"/>
      <c r="AJF25" s="41"/>
      <c r="AJG25" s="41"/>
      <c r="AJH25" s="41"/>
      <c r="AJI25" s="41"/>
      <c r="AJJ25" s="41"/>
      <c r="AJK25" s="41"/>
      <c r="AJL25" s="41"/>
      <c r="AJM25" s="41"/>
      <c r="AJN25" s="41"/>
      <c r="AJO25" s="41"/>
      <c r="AJP25" s="41"/>
      <c r="AJQ25" s="41"/>
      <c r="AJR25" s="41"/>
      <c r="AJS25" s="41"/>
      <c r="AJT25" s="41"/>
      <c r="AJU25" s="41"/>
      <c r="AJV25" s="41"/>
      <c r="AJW25" s="41"/>
      <c r="AJX25" s="41"/>
      <c r="AJY25" s="41"/>
      <c r="AJZ25" s="41"/>
      <c r="AKA25" s="41"/>
      <c r="AKB25" s="41"/>
      <c r="AKC25" s="41"/>
      <c r="AKD25" s="41"/>
      <c r="AKE25" s="41"/>
      <c r="AKF25" s="41"/>
      <c r="AKG25" s="41"/>
      <c r="AKH25" s="41"/>
      <c r="AKI25" s="41"/>
      <c r="AKJ25" s="41"/>
      <c r="AKK25" s="41"/>
      <c r="AKL25" s="41"/>
      <c r="AKM25" s="41"/>
      <c r="AKN25" s="41"/>
      <c r="AKO25" s="41"/>
      <c r="AKP25" s="41"/>
      <c r="AKQ25" s="41"/>
      <c r="AKR25" s="41"/>
      <c r="AKS25" s="41"/>
      <c r="AKT25" s="41"/>
      <c r="AKU25" s="41"/>
      <c r="AKV25" s="41"/>
      <c r="AKW25" s="41"/>
      <c r="AKX25" s="41"/>
      <c r="AKY25" s="41"/>
      <c r="AKZ25" s="41"/>
      <c r="ALA25" s="41"/>
      <c r="ALB25" s="41"/>
      <c r="ALC25" s="41"/>
      <c r="ALD25" s="41"/>
      <c r="ALE25" s="41"/>
      <c r="ALF25" s="41"/>
      <c r="ALG25" s="41"/>
      <c r="ALH25" s="41"/>
      <c r="ALI25" s="41"/>
      <c r="ALJ25" s="41"/>
      <c r="ALK25" s="41"/>
      <c r="ALL25" s="41"/>
      <c r="ALM25" s="41"/>
      <c r="ALN25" s="41"/>
      <c r="ALO25" s="41"/>
      <c r="ALP25" s="41"/>
      <c r="ALQ25" s="41"/>
      <c r="ALR25" s="41"/>
      <c r="ALS25" s="41"/>
      <c r="ALT25" s="41"/>
      <c r="ALU25" s="41"/>
      <c r="ALV25" s="41"/>
      <c r="ALW25" s="41"/>
      <c r="ALX25" s="41"/>
      <c r="ALY25" s="41"/>
      <c r="ALZ25" s="41"/>
      <c r="AMA25" s="41"/>
      <c r="AMB25" s="41"/>
      <c r="AMC25" s="41"/>
      <c r="AMD25" s="41"/>
      <c r="AME25" s="41"/>
      <c r="AMF25" s="41"/>
      <c r="AMG25" s="41"/>
      <c r="AMH25" s="41"/>
      <c r="AMI25" s="41"/>
      <c r="AMJ25" s="41"/>
      <c r="AMK25" s="41"/>
      <c r="AML25" s="41"/>
      <c r="AMM25" s="41"/>
      <c r="AMN25" s="41"/>
      <c r="AMO25" s="41"/>
      <c r="AMP25" s="41"/>
      <c r="AMQ25" s="41"/>
      <c r="AMR25" s="41"/>
      <c r="AMS25" s="41"/>
      <c r="AMT25" s="41"/>
      <c r="AMU25" s="41"/>
      <c r="AMV25" s="41"/>
      <c r="AMW25" s="41"/>
      <c r="AMX25" s="41"/>
      <c r="AMY25" s="41"/>
      <c r="AMZ25" s="41"/>
      <c r="ANA25" s="41"/>
      <c r="ANB25" s="41"/>
      <c r="ANC25" s="41"/>
      <c r="AND25" s="41"/>
      <c r="ANE25" s="41"/>
      <c r="ANF25" s="41"/>
      <c r="ANG25" s="41"/>
      <c r="ANH25" s="41"/>
      <c r="ANI25" s="41"/>
      <c r="ANJ25" s="41"/>
      <c r="ANK25" s="41"/>
    </row>
    <row r="26" s="44" customFormat="true" ht="15" hidden="false" customHeight="false" outlineLevel="0" collapsed="false">
      <c r="A26" s="42" t="s">
        <v>48</v>
      </c>
      <c r="B26" s="43" t="n">
        <v>0</v>
      </c>
      <c r="C26" s="44" t="n">
        <v>0</v>
      </c>
      <c r="D26" s="44" t="n">
        <v>0</v>
      </c>
      <c r="E26" s="45" t="n">
        <v>0</v>
      </c>
      <c r="F26" s="43" t="n">
        <v>0</v>
      </c>
      <c r="G26" s="44" t="n">
        <v>7500</v>
      </c>
      <c r="H26" s="46" t="n">
        <v>0</v>
      </c>
      <c r="I26" s="47" t="n">
        <v>3</v>
      </c>
      <c r="J26" s="48" t="n">
        <v>0</v>
      </c>
      <c r="K26" s="43"/>
      <c r="M26" s="46" t="n">
        <v>0</v>
      </c>
      <c r="N26" s="43" t="n">
        <v>0</v>
      </c>
      <c r="O26" s="46" t="n">
        <v>0</v>
      </c>
      <c r="P26" s="49" t="n">
        <v>0</v>
      </c>
      <c r="Q26" s="50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0</v>
      </c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6" t="n">
        <v>0</v>
      </c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41"/>
      <c r="JB26" s="41"/>
      <c r="JC26" s="41"/>
      <c r="JD26" s="41"/>
      <c r="JE26" s="41"/>
      <c r="JF26" s="41"/>
      <c r="JG26" s="41"/>
      <c r="JH26" s="41"/>
      <c r="JI26" s="41"/>
      <c r="JJ26" s="41"/>
      <c r="JK26" s="41"/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41"/>
      <c r="KZ26" s="41"/>
      <c r="LA26" s="41"/>
      <c r="LB26" s="41"/>
      <c r="LC26" s="41"/>
      <c r="LD26" s="41"/>
      <c r="LE26" s="41"/>
      <c r="LF26" s="41"/>
      <c r="LG26" s="41"/>
      <c r="LH26" s="41"/>
      <c r="LI26" s="41"/>
      <c r="LJ26" s="41"/>
      <c r="LK26" s="41"/>
      <c r="LL26" s="41"/>
      <c r="LM26" s="41"/>
      <c r="LN26" s="41"/>
      <c r="LO26" s="41"/>
      <c r="LP26" s="41"/>
      <c r="LQ26" s="41"/>
      <c r="LR26" s="41"/>
      <c r="LS26" s="41"/>
      <c r="LT26" s="41"/>
      <c r="LU26" s="41"/>
      <c r="LV26" s="41"/>
      <c r="LW26" s="41"/>
      <c r="LX26" s="41"/>
      <c r="LY26" s="41"/>
      <c r="LZ26" s="41"/>
      <c r="MA26" s="41"/>
      <c r="MB26" s="41"/>
      <c r="MC26" s="41"/>
      <c r="MD26" s="41"/>
      <c r="ME26" s="41"/>
      <c r="MF26" s="41"/>
      <c r="MG26" s="41"/>
      <c r="MH26" s="41"/>
      <c r="MI26" s="41"/>
      <c r="MJ26" s="41"/>
      <c r="MK26" s="41"/>
      <c r="ML26" s="41"/>
      <c r="MM26" s="41"/>
      <c r="MN26" s="41"/>
      <c r="MO26" s="41"/>
      <c r="MP26" s="41"/>
      <c r="MQ26" s="41"/>
      <c r="MR26" s="41"/>
      <c r="MS26" s="41"/>
      <c r="MT26" s="41"/>
      <c r="MU26" s="41"/>
      <c r="MV26" s="41"/>
      <c r="MW26" s="41"/>
      <c r="MX26" s="41"/>
      <c r="MY26" s="41"/>
      <c r="MZ26" s="41"/>
      <c r="NA26" s="41"/>
      <c r="NB26" s="41"/>
      <c r="NC26" s="41"/>
      <c r="ND26" s="41"/>
      <c r="NE26" s="41"/>
      <c r="NF26" s="41"/>
      <c r="NG26" s="41"/>
      <c r="NH26" s="41"/>
      <c r="NI26" s="41"/>
      <c r="NJ26" s="41"/>
      <c r="NK26" s="41"/>
      <c r="NL26" s="41"/>
      <c r="NM26" s="41"/>
      <c r="NN26" s="41"/>
      <c r="NO26" s="41"/>
      <c r="NP26" s="41"/>
      <c r="NQ26" s="41"/>
      <c r="NR26" s="41"/>
      <c r="NS26" s="41"/>
      <c r="NT26" s="41"/>
      <c r="NU26" s="41"/>
      <c r="NV26" s="41"/>
      <c r="NW26" s="41"/>
      <c r="NX26" s="41"/>
      <c r="NY26" s="41"/>
      <c r="NZ26" s="41"/>
      <c r="OA26" s="41"/>
      <c r="OB26" s="41"/>
      <c r="OC26" s="41"/>
      <c r="OD26" s="41"/>
      <c r="OE26" s="41"/>
      <c r="OF26" s="41"/>
      <c r="OG26" s="41"/>
      <c r="OH26" s="41"/>
      <c r="OI26" s="41"/>
      <c r="OJ26" s="41"/>
      <c r="OK26" s="41"/>
      <c r="OL26" s="41"/>
      <c r="OM26" s="41"/>
      <c r="ON26" s="41"/>
      <c r="OO26" s="41"/>
      <c r="OP26" s="41"/>
      <c r="OQ26" s="41"/>
      <c r="OR26" s="41"/>
      <c r="OS26" s="41"/>
      <c r="OT26" s="41"/>
      <c r="OU26" s="41"/>
      <c r="OV26" s="41"/>
      <c r="OW26" s="41"/>
      <c r="OX26" s="41"/>
      <c r="OY26" s="41"/>
      <c r="OZ26" s="41"/>
      <c r="PA26" s="41"/>
      <c r="PB26" s="41"/>
      <c r="PC26" s="41"/>
      <c r="PD26" s="41"/>
      <c r="PE26" s="41"/>
      <c r="PF26" s="41"/>
      <c r="PG26" s="41"/>
      <c r="PH26" s="41"/>
      <c r="PI26" s="41"/>
      <c r="PJ26" s="41"/>
      <c r="PK26" s="41"/>
      <c r="PL26" s="41"/>
      <c r="PM26" s="41"/>
      <c r="PN26" s="41"/>
      <c r="PO26" s="41"/>
      <c r="PP26" s="41"/>
      <c r="PQ26" s="41"/>
      <c r="PR26" s="41"/>
      <c r="PS26" s="41"/>
      <c r="PT26" s="41"/>
      <c r="PU26" s="41"/>
      <c r="PV26" s="41"/>
      <c r="PW26" s="41"/>
      <c r="PX26" s="41"/>
      <c r="PY26" s="41"/>
      <c r="PZ26" s="41"/>
      <c r="QA26" s="41"/>
      <c r="QB26" s="41"/>
      <c r="QC26" s="41"/>
      <c r="QD26" s="41"/>
      <c r="QE26" s="41"/>
      <c r="QF26" s="41"/>
      <c r="QG26" s="41"/>
      <c r="QH26" s="41"/>
      <c r="QI26" s="41"/>
      <c r="QJ26" s="41"/>
      <c r="QK26" s="41"/>
      <c r="QL26" s="41"/>
      <c r="QM26" s="41"/>
      <c r="QN26" s="41"/>
      <c r="QO26" s="41"/>
      <c r="QP26" s="41"/>
      <c r="QQ26" s="41"/>
      <c r="QR26" s="41"/>
      <c r="QS26" s="41"/>
      <c r="QT26" s="41"/>
      <c r="QU26" s="41"/>
      <c r="QV26" s="41"/>
      <c r="QW26" s="41"/>
      <c r="QX26" s="41"/>
      <c r="QY26" s="41"/>
      <c r="QZ26" s="41"/>
      <c r="RA26" s="41"/>
      <c r="RB26" s="41"/>
      <c r="RC26" s="41"/>
      <c r="RD26" s="41"/>
      <c r="RE26" s="41"/>
      <c r="RF26" s="41"/>
      <c r="RG26" s="41"/>
      <c r="RH26" s="41"/>
      <c r="RI26" s="41"/>
      <c r="RJ26" s="41"/>
      <c r="RK26" s="41"/>
      <c r="RL26" s="41"/>
      <c r="RM26" s="41"/>
      <c r="RN26" s="41"/>
      <c r="RO26" s="41"/>
      <c r="RP26" s="41"/>
      <c r="RQ26" s="41"/>
      <c r="RR26" s="41"/>
      <c r="RS26" s="41"/>
      <c r="RT26" s="41"/>
      <c r="RU26" s="41"/>
      <c r="RV26" s="41"/>
      <c r="RW26" s="41"/>
      <c r="RX26" s="41"/>
      <c r="RY26" s="41"/>
      <c r="RZ26" s="41"/>
      <c r="SA26" s="41"/>
      <c r="SB26" s="41"/>
      <c r="SC26" s="41"/>
      <c r="SD26" s="41"/>
      <c r="SE26" s="41"/>
      <c r="SF26" s="41"/>
      <c r="SG26" s="41"/>
      <c r="SH26" s="41"/>
      <c r="SI26" s="41"/>
      <c r="SJ26" s="41"/>
      <c r="SK26" s="41"/>
      <c r="SL26" s="41"/>
      <c r="SM26" s="41"/>
      <c r="SN26" s="41"/>
      <c r="SO26" s="41"/>
      <c r="SP26" s="41"/>
      <c r="SQ26" s="41"/>
      <c r="SR26" s="41"/>
      <c r="SS26" s="41"/>
      <c r="ST26" s="41"/>
      <c r="SU26" s="41"/>
      <c r="SV26" s="41"/>
      <c r="SW26" s="41"/>
      <c r="SX26" s="41"/>
      <c r="SY26" s="41"/>
      <c r="SZ26" s="41"/>
      <c r="TA26" s="41"/>
      <c r="TB26" s="41"/>
      <c r="TC26" s="41"/>
      <c r="TD26" s="41"/>
      <c r="TE26" s="41"/>
      <c r="TF26" s="41"/>
      <c r="TG26" s="41"/>
      <c r="TH26" s="41"/>
      <c r="TI26" s="41"/>
      <c r="TJ26" s="41"/>
      <c r="TK26" s="41"/>
      <c r="TL26" s="41"/>
      <c r="TM26" s="41"/>
      <c r="TN26" s="41"/>
      <c r="TO26" s="41"/>
      <c r="TP26" s="41"/>
      <c r="TQ26" s="41"/>
      <c r="TR26" s="41"/>
      <c r="TS26" s="41"/>
      <c r="TT26" s="41"/>
      <c r="TU26" s="41"/>
      <c r="TV26" s="41"/>
      <c r="TW26" s="41"/>
      <c r="TX26" s="41"/>
      <c r="TY26" s="41"/>
      <c r="TZ26" s="41"/>
      <c r="UA26" s="41"/>
      <c r="UB26" s="41"/>
      <c r="UC26" s="41"/>
      <c r="UD26" s="41"/>
      <c r="UE26" s="41"/>
      <c r="UF26" s="41"/>
      <c r="UG26" s="41"/>
      <c r="UH26" s="41"/>
      <c r="UI26" s="41"/>
      <c r="UJ26" s="41"/>
      <c r="UK26" s="41"/>
      <c r="UL26" s="41"/>
      <c r="UM26" s="41"/>
      <c r="UN26" s="41"/>
      <c r="UO26" s="41"/>
      <c r="UP26" s="41"/>
      <c r="UQ26" s="41"/>
      <c r="UR26" s="41"/>
      <c r="US26" s="41"/>
      <c r="UT26" s="41"/>
      <c r="UU26" s="41"/>
      <c r="UV26" s="41"/>
      <c r="UW26" s="41"/>
      <c r="UX26" s="41"/>
      <c r="UY26" s="41"/>
      <c r="UZ26" s="41"/>
      <c r="VA26" s="41"/>
      <c r="VB26" s="41"/>
      <c r="VC26" s="41"/>
      <c r="VD26" s="41"/>
      <c r="VE26" s="41"/>
      <c r="VF26" s="41"/>
      <c r="VG26" s="41"/>
      <c r="VH26" s="41"/>
      <c r="VI26" s="41"/>
      <c r="VJ26" s="41"/>
      <c r="VK26" s="41"/>
      <c r="VL26" s="41"/>
      <c r="VM26" s="41"/>
      <c r="VN26" s="41"/>
      <c r="VO26" s="41"/>
      <c r="VP26" s="41"/>
      <c r="VQ26" s="41"/>
      <c r="VR26" s="41"/>
      <c r="VS26" s="41"/>
      <c r="VT26" s="41"/>
      <c r="VU26" s="41"/>
      <c r="VV26" s="41"/>
      <c r="VW26" s="41"/>
      <c r="VX26" s="41"/>
      <c r="VY26" s="41"/>
      <c r="VZ26" s="41"/>
      <c r="WA26" s="41"/>
      <c r="WB26" s="41"/>
      <c r="WC26" s="41"/>
      <c r="WD26" s="41"/>
      <c r="WE26" s="41"/>
      <c r="WF26" s="41"/>
      <c r="WG26" s="41"/>
      <c r="WH26" s="41"/>
      <c r="WI26" s="41"/>
      <c r="WJ26" s="41"/>
      <c r="WK26" s="41"/>
      <c r="WL26" s="41"/>
      <c r="WM26" s="41"/>
      <c r="WN26" s="41"/>
      <c r="WO26" s="41"/>
      <c r="WP26" s="41"/>
      <c r="WQ26" s="41"/>
      <c r="WR26" s="41"/>
      <c r="WS26" s="41"/>
      <c r="WT26" s="41"/>
      <c r="WU26" s="41"/>
      <c r="WV26" s="41"/>
      <c r="WW26" s="41"/>
      <c r="WX26" s="41"/>
      <c r="WY26" s="41"/>
      <c r="WZ26" s="41"/>
      <c r="XA26" s="41"/>
      <c r="XB26" s="41"/>
      <c r="XC26" s="41"/>
      <c r="XD26" s="41"/>
      <c r="XE26" s="41"/>
      <c r="XF26" s="41"/>
      <c r="XG26" s="41"/>
      <c r="XH26" s="41"/>
      <c r="XI26" s="41"/>
      <c r="XJ26" s="41"/>
      <c r="XK26" s="41"/>
      <c r="XL26" s="41"/>
      <c r="XM26" s="41"/>
      <c r="XN26" s="41"/>
      <c r="XO26" s="41"/>
      <c r="XP26" s="41"/>
      <c r="XQ26" s="41"/>
      <c r="XR26" s="41"/>
      <c r="XS26" s="41"/>
      <c r="XT26" s="41"/>
      <c r="XU26" s="41"/>
      <c r="XV26" s="41"/>
      <c r="XW26" s="41"/>
      <c r="XX26" s="41"/>
      <c r="XY26" s="41"/>
      <c r="XZ26" s="41"/>
      <c r="YA26" s="41"/>
      <c r="YB26" s="41"/>
      <c r="YC26" s="41"/>
      <c r="YD26" s="41"/>
      <c r="YE26" s="41"/>
      <c r="YF26" s="41"/>
      <c r="YG26" s="41"/>
      <c r="YH26" s="41"/>
      <c r="YI26" s="41"/>
      <c r="YJ26" s="41"/>
      <c r="YK26" s="41"/>
      <c r="YL26" s="41"/>
      <c r="YM26" s="41"/>
      <c r="YN26" s="41"/>
      <c r="YO26" s="41"/>
      <c r="YP26" s="41"/>
      <c r="YQ26" s="41"/>
      <c r="YR26" s="41"/>
      <c r="YS26" s="41"/>
      <c r="YT26" s="41"/>
      <c r="YU26" s="41"/>
      <c r="YV26" s="41"/>
      <c r="YW26" s="41"/>
      <c r="YX26" s="41"/>
      <c r="YY26" s="41"/>
      <c r="YZ26" s="41"/>
      <c r="ZA26" s="41"/>
      <c r="ZB26" s="41"/>
      <c r="ZC26" s="41"/>
      <c r="ZD26" s="41"/>
      <c r="ZE26" s="41"/>
      <c r="ZF26" s="41"/>
      <c r="ZG26" s="41"/>
      <c r="ZH26" s="41"/>
      <c r="ZI26" s="41"/>
      <c r="ZJ26" s="41"/>
      <c r="ZK26" s="41"/>
      <c r="ZL26" s="41"/>
      <c r="ZM26" s="41"/>
      <c r="ZN26" s="41"/>
      <c r="ZO26" s="41"/>
      <c r="ZP26" s="41"/>
      <c r="ZQ26" s="41"/>
      <c r="ZR26" s="41"/>
      <c r="ZS26" s="41"/>
      <c r="ZT26" s="41"/>
      <c r="ZU26" s="41"/>
      <c r="ZV26" s="41"/>
      <c r="ZW26" s="41"/>
      <c r="ZX26" s="41"/>
      <c r="ZY26" s="41"/>
      <c r="ZZ26" s="41"/>
      <c r="AAA26" s="41"/>
      <c r="AAB26" s="41"/>
      <c r="AAC26" s="41"/>
      <c r="AAD26" s="41"/>
      <c r="AAE26" s="41"/>
      <c r="AAF26" s="41"/>
      <c r="AAG26" s="41"/>
      <c r="AAH26" s="41"/>
      <c r="AAI26" s="41"/>
      <c r="AAJ26" s="41"/>
      <c r="AAK26" s="41"/>
      <c r="AAL26" s="41"/>
      <c r="AAM26" s="41"/>
      <c r="AAN26" s="41"/>
      <c r="AAO26" s="41"/>
      <c r="AAP26" s="41"/>
      <c r="AAQ26" s="41"/>
      <c r="AAR26" s="41"/>
      <c r="AAS26" s="41"/>
      <c r="AAT26" s="41"/>
      <c r="AAU26" s="41"/>
      <c r="AAV26" s="41"/>
      <c r="AAW26" s="41"/>
      <c r="AAX26" s="41"/>
      <c r="AAY26" s="41"/>
      <c r="AAZ26" s="41"/>
      <c r="ABA26" s="41"/>
      <c r="ABB26" s="41"/>
      <c r="ABC26" s="41"/>
      <c r="ABD26" s="41"/>
      <c r="ABE26" s="41"/>
      <c r="ABF26" s="41"/>
      <c r="ABG26" s="41"/>
      <c r="ABH26" s="41"/>
      <c r="ABI26" s="41"/>
      <c r="ABJ26" s="41"/>
      <c r="ABK26" s="41"/>
      <c r="ABL26" s="41"/>
      <c r="ABM26" s="41"/>
      <c r="ABN26" s="41"/>
      <c r="ABO26" s="41"/>
      <c r="ABP26" s="41"/>
      <c r="ABQ26" s="41"/>
      <c r="ABR26" s="41"/>
      <c r="ABS26" s="41"/>
      <c r="ABT26" s="41"/>
      <c r="ABU26" s="41"/>
      <c r="ABV26" s="41"/>
      <c r="ABW26" s="41"/>
      <c r="ABX26" s="41"/>
      <c r="ABY26" s="41"/>
      <c r="ABZ26" s="41"/>
      <c r="ACA26" s="41"/>
      <c r="ACB26" s="41"/>
      <c r="ACC26" s="41"/>
      <c r="ACD26" s="41"/>
      <c r="ACE26" s="41"/>
      <c r="ACF26" s="41"/>
      <c r="ACG26" s="41"/>
      <c r="ACH26" s="41"/>
      <c r="ACI26" s="41"/>
      <c r="ACJ26" s="41"/>
      <c r="ACK26" s="41"/>
      <c r="ACL26" s="41"/>
      <c r="ACM26" s="41"/>
      <c r="ACN26" s="41"/>
      <c r="ACO26" s="41"/>
      <c r="ACP26" s="41"/>
      <c r="ACQ26" s="41"/>
      <c r="ACR26" s="41"/>
      <c r="ACS26" s="41"/>
      <c r="ACT26" s="41"/>
      <c r="ACU26" s="41"/>
      <c r="ACV26" s="41"/>
      <c r="ACW26" s="41"/>
      <c r="ACX26" s="41"/>
      <c r="ACY26" s="41"/>
      <c r="ACZ26" s="41"/>
      <c r="ADA26" s="41"/>
      <c r="ADB26" s="41"/>
      <c r="ADC26" s="41"/>
      <c r="ADD26" s="41"/>
      <c r="ADE26" s="41"/>
      <c r="ADF26" s="41"/>
      <c r="ADG26" s="41"/>
      <c r="ADH26" s="41"/>
      <c r="ADI26" s="41"/>
      <c r="ADJ26" s="41"/>
      <c r="ADK26" s="41"/>
      <c r="ADL26" s="41"/>
      <c r="ADM26" s="41"/>
      <c r="ADN26" s="41"/>
      <c r="ADO26" s="41"/>
      <c r="ADP26" s="41"/>
      <c r="ADQ26" s="41"/>
      <c r="ADR26" s="41"/>
      <c r="ADS26" s="41"/>
      <c r="ADT26" s="41"/>
      <c r="ADU26" s="41"/>
      <c r="ADV26" s="41"/>
      <c r="ADW26" s="41"/>
      <c r="ADX26" s="41"/>
      <c r="ADY26" s="41"/>
      <c r="ADZ26" s="41"/>
      <c r="AEA26" s="41"/>
      <c r="AEB26" s="41"/>
      <c r="AEC26" s="41"/>
      <c r="AED26" s="41"/>
      <c r="AEE26" s="41"/>
      <c r="AEF26" s="41"/>
      <c r="AEG26" s="41"/>
      <c r="AEH26" s="41"/>
      <c r="AEI26" s="41"/>
      <c r="AEJ26" s="41"/>
      <c r="AEK26" s="41"/>
      <c r="AEL26" s="41"/>
      <c r="AEM26" s="41"/>
      <c r="AEN26" s="41"/>
      <c r="AEO26" s="41"/>
      <c r="AEP26" s="41"/>
      <c r="AEQ26" s="41"/>
      <c r="AER26" s="41"/>
      <c r="AES26" s="41"/>
      <c r="AET26" s="41"/>
      <c r="AEU26" s="41"/>
      <c r="AEV26" s="41"/>
      <c r="AEW26" s="41"/>
      <c r="AEX26" s="41"/>
      <c r="AEY26" s="41"/>
      <c r="AEZ26" s="41"/>
      <c r="AFA26" s="41"/>
      <c r="AFB26" s="41"/>
      <c r="AFC26" s="41"/>
      <c r="AFD26" s="41"/>
      <c r="AFE26" s="41"/>
      <c r="AFF26" s="41"/>
      <c r="AFG26" s="41"/>
      <c r="AFH26" s="41"/>
      <c r="AFI26" s="41"/>
      <c r="AFJ26" s="41"/>
      <c r="AFK26" s="41"/>
      <c r="AFL26" s="41"/>
      <c r="AFM26" s="41"/>
      <c r="AFN26" s="41"/>
      <c r="AFO26" s="41"/>
      <c r="AFP26" s="41"/>
      <c r="AFQ26" s="41"/>
      <c r="AFR26" s="41"/>
      <c r="AFS26" s="41"/>
      <c r="AFT26" s="41"/>
      <c r="AFU26" s="41"/>
      <c r="AFV26" s="41"/>
      <c r="AFW26" s="41"/>
      <c r="AFX26" s="41"/>
      <c r="AFY26" s="41"/>
      <c r="AFZ26" s="41"/>
      <c r="AGA26" s="41"/>
      <c r="AGB26" s="41"/>
      <c r="AGC26" s="41"/>
      <c r="AGD26" s="41"/>
      <c r="AGE26" s="41"/>
      <c r="AGF26" s="41"/>
      <c r="AGG26" s="41"/>
      <c r="AGH26" s="41"/>
      <c r="AGI26" s="41"/>
      <c r="AGJ26" s="41"/>
      <c r="AGK26" s="41"/>
      <c r="AGL26" s="41"/>
      <c r="AGM26" s="41"/>
      <c r="AGN26" s="41"/>
      <c r="AGO26" s="41"/>
      <c r="AGP26" s="41"/>
      <c r="AGQ26" s="41"/>
      <c r="AGR26" s="41"/>
      <c r="AGS26" s="41"/>
      <c r="AGT26" s="41"/>
      <c r="AGU26" s="41"/>
      <c r="AGV26" s="41"/>
      <c r="AGW26" s="41"/>
      <c r="AGX26" s="41"/>
      <c r="AGY26" s="41"/>
      <c r="AGZ26" s="41"/>
      <c r="AHA26" s="41"/>
      <c r="AHB26" s="41"/>
      <c r="AHC26" s="41"/>
      <c r="AHD26" s="41"/>
      <c r="AHE26" s="41"/>
      <c r="AHF26" s="41"/>
      <c r="AHG26" s="41"/>
      <c r="AHH26" s="41"/>
      <c r="AHI26" s="41"/>
      <c r="AHJ26" s="41"/>
      <c r="AHK26" s="41"/>
      <c r="AHL26" s="41"/>
      <c r="AHM26" s="41"/>
      <c r="AHN26" s="41"/>
      <c r="AHO26" s="41"/>
      <c r="AHP26" s="41"/>
      <c r="AHQ26" s="41"/>
      <c r="AHR26" s="41"/>
      <c r="AHS26" s="41"/>
      <c r="AHT26" s="41"/>
      <c r="AHU26" s="41"/>
      <c r="AHV26" s="41"/>
      <c r="AHW26" s="41"/>
      <c r="AHX26" s="41"/>
      <c r="AHY26" s="41"/>
      <c r="AHZ26" s="41"/>
      <c r="AIA26" s="41"/>
      <c r="AIB26" s="41"/>
      <c r="AIC26" s="41"/>
      <c r="AID26" s="41"/>
      <c r="AIE26" s="41"/>
      <c r="AIF26" s="41"/>
      <c r="AIG26" s="41"/>
      <c r="AIH26" s="41"/>
      <c r="AII26" s="41"/>
      <c r="AIJ26" s="41"/>
      <c r="AIK26" s="41"/>
      <c r="AIL26" s="41"/>
      <c r="AIM26" s="41"/>
      <c r="AIN26" s="41"/>
      <c r="AIO26" s="41"/>
      <c r="AIP26" s="41"/>
      <c r="AIQ26" s="41"/>
      <c r="AIR26" s="41"/>
      <c r="AIS26" s="41"/>
      <c r="AIT26" s="41"/>
      <c r="AIU26" s="41"/>
      <c r="AIV26" s="41"/>
      <c r="AIW26" s="41"/>
      <c r="AIX26" s="41"/>
      <c r="AIY26" s="41"/>
      <c r="AIZ26" s="41"/>
      <c r="AJA26" s="41"/>
      <c r="AJB26" s="41"/>
      <c r="AJC26" s="41"/>
      <c r="AJD26" s="41"/>
      <c r="AJE26" s="41"/>
      <c r="AJF26" s="41"/>
      <c r="AJG26" s="41"/>
      <c r="AJH26" s="41"/>
      <c r="AJI26" s="41"/>
      <c r="AJJ26" s="41"/>
      <c r="AJK26" s="41"/>
      <c r="AJL26" s="41"/>
      <c r="AJM26" s="41"/>
      <c r="AJN26" s="41"/>
      <c r="AJO26" s="41"/>
      <c r="AJP26" s="41"/>
      <c r="AJQ26" s="41"/>
      <c r="AJR26" s="41"/>
      <c r="AJS26" s="41"/>
      <c r="AJT26" s="41"/>
      <c r="AJU26" s="41"/>
      <c r="AJV26" s="41"/>
      <c r="AJW26" s="41"/>
      <c r="AJX26" s="41"/>
      <c r="AJY26" s="41"/>
      <c r="AJZ26" s="41"/>
      <c r="AKA26" s="41"/>
      <c r="AKB26" s="41"/>
      <c r="AKC26" s="41"/>
      <c r="AKD26" s="41"/>
      <c r="AKE26" s="41"/>
      <c r="AKF26" s="41"/>
      <c r="AKG26" s="41"/>
      <c r="AKH26" s="41"/>
      <c r="AKI26" s="41"/>
      <c r="AKJ26" s="41"/>
      <c r="AKK26" s="41"/>
      <c r="AKL26" s="41"/>
      <c r="AKM26" s="41"/>
      <c r="AKN26" s="41"/>
      <c r="AKO26" s="41"/>
      <c r="AKP26" s="41"/>
      <c r="AKQ26" s="41"/>
      <c r="AKR26" s="41"/>
      <c r="AKS26" s="41"/>
      <c r="AKT26" s="41"/>
      <c r="AKU26" s="41"/>
      <c r="AKV26" s="41"/>
      <c r="AKW26" s="41"/>
      <c r="AKX26" s="41"/>
      <c r="AKY26" s="41"/>
      <c r="AKZ26" s="41"/>
      <c r="ALA26" s="41"/>
      <c r="ALB26" s="41"/>
      <c r="ALC26" s="41"/>
      <c r="ALD26" s="41"/>
      <c r="ALE26" s="41"/>
      <c r="ALF26" s="41"/>
      <c r="ALG26" s="41"/>
      <c r="ALH26" s="41"/>
      <c r="ALI26" s="41"/>
      <c r="ALJ26" s="41"/>
      <c r="ALK26" s="41"/>
      <c r="ALL26" s="41"/>
      <c r="ALM26" s="41"/>
      <c r="ALN26" s="41"/>
      <c r="ALO26" s="41"/>
      <c r="ALP26" s="41"/>
      <c r="ALQ26" s="41"/>
      <c r="ALR26" s="41"/>
      <c r="ALS26" s="41"/>
      <c r="ALT26" s="41"/>
      <c r="ALU26" s="41"/>
      <c r="ALV26" s="41"/>
      <c r="ALW26" s="41"/>
      <c r="ALX26" s="41"/>
      <c r="ALY26" s="41"/>
      <c r="ALZ26" s="41"/>
      <c r="AMA26" s="41"/>
      <c r="AMB26" s="41"/>
      <c r="AMC26" s="41"/>
      <c r="AMD26" s="41"/>
      <c r="AME26" s="41"/>
      <c r="AMF26" s="41"/>
      <c r="AMG26" s="41"/>
      <c r="AMH26" s="41"/>
      <c r="AMI26" s="41"/>
      <c r="AMJ26" s="41"/>
      <c r="AMK26" s="41"/>
      <c r="AML26" s="41"/>
      <c r="AMM26" s="41"/>
      <c r="AMN26" s="41"/>
      <c r="AMO26" s="41"/>
      <c r="AMP26" s="41"/>
      <c r="AMQ26" s="41"/>
      <c r="AMR26" s="41"/>
      <c r="AMS26" s="41"/>
      <c r="AMT26" s="41"/>
      <c r="AMU26" s="41"/>
      <c r="AMV26" s="41"/>
      <c r="AMW26" s="41"/>
      <c r="AMX26" s="41"/>
      <c r="AMY26" s="41"/>
      <c r="AMZ26" s="41"/>
      <c r="ANA26" s="41"/>
      <c r="ANB26" s="41"/>
      <c r="ANC26" s="41"/>
      <c r="AND26" s="41"/>
      <c r="ANE26" s="41"/>
      <c r="ANF26" s="41"/>
      <c r="ANG26" s="41"/>
      <c r="ANH26" s="41"/>
      <c r="ANI26" s="41"/>
      <c r="ANJ26" s="41"/>
      <c r="ANK26" s="41"/>
    </row>
    <row r="27" s="44" customFormat="true" ht="15" hidden="false" customHeight="false" outlineLevel="0" collapsed="false">
      <c r="A27" s="42" t="s">
        <v>49</v>
      </c>
      <c r="B27" s="43" t="n">
        <v>0</v>
      </c>
      <c r="C27" s="44" t="n">
        <v>0</v>
      </c>
      <c r="D27" s="44" t="n">
        <v>164.223706</v>
      </c>
      <c r="E27" s="45" t="n">
        <v>11000</v>
      </c>
      <c r="F27" s="43" t="n">
        <v>0</v>
      </c>
      <c r="G27" s="44" t="n">
        <v>0</v>
      </c>
      <c r="H27" s="46" t="n">
        <v>0</v>
      </c>
      <c r="I27" s="47" t="n">
        <v>5.3</v>
      </c>
      <c r="J27" s="48" t="n">
        <v>0</v>
      </c>
      <c r="K27" s="43"/>
      <c r="M27" s="46" t="n">
        <v>0</v>
      </c>
      <c r="N27" s="43" t="n">
        <v>0</v>
      </c>
      <c r="O27" s="46" t="n">
        <v>0</v>
      </c>
      <c r="P27" s="49" t="n">
        <v>0</v>
      </c>
      <c r="Q27" s="50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0</v>
      </c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6" t="n">
        <v>0</v>
      </c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41"/>
      <c r="KZ27" s="41"/>
      <c r="LA27" s="41"/>
      <c r="LB27" s="41"/>
      <c r="LC27" s="41"/>
      <c r="LD27" s="41"/>
      <c r="LE27" s="41"/>
      <c r="LF27" s="41"/>
      <c r="LG27" s="41"/>
      <c r="LH27" s="41"/>
      <c r="LI27" s="41"/>
      <c r="LJ27" s="41"/>
      <c r="LK27" s="41"/>
      <c r="LL27" s="41"/>
      <c r="LM27" s="41"/>
      <c r="LN27" s="41"/>
      <c r="LO27" s="41"/>
      <c r="LP27" s="41"/>
      <c r="LQ27" s="41"/>
      <c r="LR27" s="41"/>
      <c r="LS27" s="41"/>
      <c r="LT27" s="41"/>
      <c r="LU27" s="41"/>
      <c r="LV27" s="41"/>
      <c r="LW27" s="41"/>
      <c r="LX27" s="41"/>
      <c r="LY27" s="41"/>
      <c r="LZ27" s="41"/>
      <c r="MA27" s="41"/>
      <c r="MB27" s="41"/>
      <c r="MC27" s="41"/>
      <c r="MD27" s="41"/>
      <c r="ME27" s="41"/>
      <c r="MF27" s="41"/>
      <c r="MG27" s="41"/>
      <c r="MH27" s="41"/>
      <c r="MI27" s="41"/>
      <c r="MJ27" s="41"/>
      <c r="MK27" s="41"/>
      <c r="ML27" s="41"/>
      <c r="MM27" s="41"/>
      <c r="MN27" s="41"/>
      <c r="MO27" s="41"/>
      <c r="MP27" s="41"/>
      <c r="MQ27" s="41"/>
      <c r="MR27" s="41"/>
      <c r="MS27" s="41"/>
      <c r="MT27" s="41"/>
      <c r="MU27" s="41"/>
      <c r="MV27" s="41"/>
      <c r="MW27" s="41"/>
      <c r="MX27" s="41"/>
      <c r="MY27" s="41"/>
      <c r="MZ27" s="41"/>
      <c r="NA27" s="41"/>
      <c r="NB27" s="41"/>
      <c r="NC27" s="41"/>
      <c r="ND27" s="41"/>
      <c r="NE27" s="41"/>
      <c r="NF27" s="41"/>
      <c r="NG27" s="41"/>
      <c r="NH27" s="41"/>
      <c r="NI27" s="41"/>
      <c r="NJ27" s="41"/>
      <c r="NK27" s="41"/>
      <c r="NL27" s="41"/>
      <c r="NM27" s="41"/>
      <c r="NN27" s="41"/>
      <c r="NO27" s="41"/>
      <c r="NP27" s="41"/>
      <c r="NQ27" s="41"/>
      <c r="NR27" s="41"/>
      <c r="NS27" s="41"/>
      <c r="NT27" s="41"/>
      <c r="NU27" s="41"/>
      <c r="NV27" s="41"/>
      <c r="NW27" s="41"/>
      <c r="NX27" s="41"/>
      <c r="NY27" s="41"/>
      <c r="NZ27" s="41"/>
      <c r="OA27" s="41"/>
      <c r="OB27" s="41"/>
      <c r="OC27" s="41"/>
      <c r="OD27" s="41"/>
      <c r="OE27" s="41"/>
      <c r="OF27" s="41"/>
      <c r="OG27" s="41"/>
      <c r="OH27" s="41"/>
      <c r="OI27" s="41"/>
      <c r="OJ27" s="41"/>
      <c r="OK27" s="41"/>
      <c r="OL27" s="41"/>
      <c r="OM27" s="41"/>
      <c r="ON27" s="41"/>
      <c r="OO27" s="41"/>
      <c r="OP27" s="41"/>
      <c r="OQ27" s="41"/>
      <c r="OR27" s="41"/>
      <c r="OS27" s="41"/>
      <c r="OT27" s="41"/>
      <c r="OU27" s="41"/>
      <c r="OV27" s="41"/>
      <c r="OW27" s="41"/>
      <c r="OX27" s="41"/>
      <c r="OY27" s="41"/>
      <c r="OZ27" s="41"/>
      <c r="PA27" s="41"/>
      <c r="PB27" s="41"/>
      <c r="PC27" s="41"/>
      <c r="PD27" s="41"/>
      <c r="PE27" s="41"/>
      <c r="PF27" s="41"/>
      <c r="PG27" s="41"/>
      <c r="PH27" s="41"/>
      <c r="PI27" s="41"/>
      <c r="PJ27" s="41"/>
      <c r="PK27" s="41"/>
      <c r="PL27" s="41"/>
      <c r="PM27" s="41"/>
      <c r="PN27" s="41"/>
      <c r="PO27" s="41"/>
      <c r="PP27" s="41"/>
      <c r="PQ27" s="41"/>
      <c r="PR27" s="41"/>
      <c r="PS27" s="41"/>
      <c r="PT27" s="41"/>
      <c r="PU27" s="41"/>
      <c r="PV27" s="41"/>
      <c r="PW27" s="41"/>
      <c r="PX27" s="41"/>
      <c r="PY27" s="41"/>
      <c r="PZ27" s="41"/>
      <c r="QA27" s="41"/>
      <c r="QB27" s="41"/>
      <c r="QC27" s="41"/>
      <c r="QD27" s="41"/>
      <c r="QE27" s="41"/>
      <c r="QF27" s="41"/>
      <c r="QG27" s="41"/>
      <c r="QH27" s="41"/>
      <c r="QI27" s="41"/>
      <c r="QJ27" s="41"/>
      <c r="QK27" s="41"/>
      <c r="QL27" s="41"/>
      <c r="QM27" s="41"/>
      <c r="QN27" s="41"/>
      <c r="QO27" s="41"/>
      <c r="QP27" s="41"/>
      <c r="QQ27" s="41"/>
      <c r="QR27" s="41"/>
      <c r="QS27" s="41"/>
      <c r="QT27" s="41"/>
      <c r="QU27" s="41"/>
      <c r="QV27" s="41"/>
      <c r="QW27" s="41"/>
      <c r="QX27" s="41"/>
      <c r="QY27" s="41"/>
      <c r="QZ27" s="41"/>
      <c r="RA27" s="41"/>
      <c r="RB27" s="41"/>
      <c r="RC27" s="41"/>
      <c r="RD27" s="41"/>
      <c r="RE27" s="41"/>
      <c r="RF27" s="41"/>
      <c r="RG27" s="41"/>
      <c r="RH27" s="41"/>
      <c r="RI27" s="41"/>
      <c r="RJ27" s="41"/>
      <c r="RK27" s="41"/>
      <c r="RL27" s="41"/>
      <c r="RM27" s="41"/>
      <c r="RN27" s="41"/>
      <c r="RO27" s="41"/>
      <c r="RP27" s="41"/>
      <c r="RQ27" s="41"/>
      <c r="RR27" s="41"/>
      <c r="RS27" s="41"/>
      <c r="RT27" s="41"/>
      <c r="RU27" s="41"/>
      <c r="RV27" s="41"/>
      <c r="RW27" s="41"/>
      <c r="RX27" s="41"/>
      <c r="RY27" s="41"/>
      <c r="RZ27" s="41"/>
      <c r="SA27" s="41"/>
      <c r="SB27" s="41"/>
      <c r="SC27" s="41"/>
      <c r="SD27" s="41"/>
      <c r="SE27" s="41"/>
      <c r="SF27" s="41"/>
      <c r="SG27" s="41"/>
      <c r="SH27" s="41"/>
      <c r="SI27" s="41"/>
      <c r="SJ27" s="41"/>
      <c r="SK27" s="41"/>
      <c r="SL27" s="41"/>
      <c r="SM27" s="41"/>
      <c r="SN27" s="41"/>
      <c r="SO27" s="41"/>
      <c r="SP27" s="41"/>
      <c r="SQ27" s="41"/>
      <c r="SR27" s="41"/>
      <c r="SS27" s="41"/>
      <c r="ST27" s="41"/>
      <c r="SU27" s="41"/>
      <c r="SV27" s="41"/>
      <c r="SW27" s="41"/>
      <c r="SX27" s="41"/>
      <c r="SY27" s="41"/>
      <c r="SZ27" s="41"/>
      <c r="TA27" s="41"/>
      <c r="TB27" s="41"/>
      <c r="TC27" s="41"/>
      <c r="TD27" s="41"/>
      <c r="TE27" s="41"/>
      <c r="TF27" s="41"/>
      <c r="TG27" s="41"/>
      <c r="TH27" s="41"/>
      <c r="TI27" s="41"/>
      <c r="TJ27" s="41"/>
      <c r="TK27" s="41"/>
      <c r="TL27" s="41"/>
      <c r="TM27" s="41"/>
      <c r="TN27" s="41"/>
      <c r="TO27" s="41"/>
      <c r="TP27" s="41"/>
      <c r="TQ27" s="41"/>
      <c r="TR27" s="41"/>
      <c r="TS27" s="41"/>
      <c r="TT27" s="41"/>
      <c r="TU27" s="41"/>
      <c r="TV27" s="41"/>
      <c r="TW27" s="41"/>
      <c r="TX27" s="41"/>
      <c r="TY27" s="41"/>
      <c r="TZ27" s="41"/>
      <c r="UA27" s="41"/>
      <c r="UB27" s="41"/>
      <c r="UC27" s="41"/>
      <c r="UD27" s="41"/>
      <c r="UE27" s="41"/>
      <c r="UF27" s="41"/>
      <c r="UG27" s="41"/>
      <c r="UH27" s="41"/>
      <c r="UI27" s="41"/>
      <c r="UJ27" s="41"/>
      <c r="UK27" s="41"/>
      <c r="UL27" s="41"/>
      <c r="UM27" s="41"/>
      <c r="UN27" s="41"/>
      <c r="UO27" s="41"/>
      <c r="UP27" s="41"/>
      <c r="UQ27" s="41"/>
      <c r="UR27" s="41"/>
      <c r="US27" s="41"/>
      <c r="UT27" s="41"/>
      <c r="UU27" s="41"/>
      <c r="UV27" s="41"/>
      <c r="UW27" s="41"/>
      <c r="UX27" s="41"/>
      <c r="UY27" s="41"/>
      <c r="UZ27" s="41"/>
      <c r="VA27" s="41"/>
      <c r="VB27" s="41"/>
      <c r="VC27" s="41"/>
      <c r="VD27" s="41"/>
      <c r="VE27" s="41"/>
      <c r="VF27" s="41"/>
      <c r="VG27" s="41"/>
      <c r="VH27" s="41"/>
      <c r="VI27" s="41"/>
      <c r="VJ27" s="41"/>
      <c r="VK27" s="41"/>
      <c r="VL27" s="41"/>
      <c r="VM27" s="41"/>
      <c r="VN27" s="41"/>
      <c r="VO27" s="41"/>
      <c r="VP27" s="41"/>
      <c r="VQ27" s="41"/>
      <c r="VR27" s="41"/>
      <c r="VS27" s="41"/>
      <c r="VT27" s="41"/>
      <c r="VU27" s="41"/>
      <c r="VV27" s="41"/>
      <c r="VW27" s="41"/>
      <c r="VX27" s="41"/>
      <c r="VY27" s="41"/>
      <c r="VZ27" s="41"/>
      <c r="WA27" s="41"/>
      <c r="WB27" s="41"/>
      <c r="WC27" s="41"/>
      <c r="WD27" s="41"/>
      <c r="WE27" s="41"/>
      <c r="WF27" s="41"/>
      <c r="WG27" s="41"/>
      <c r="WH27" s="41"/>
      <c r="WI27" s="41"/>
      <c r="WJ27" s="41"/>
      <c r="WK27" s="41"/>
      <c r="WL27" s="41"/>
      <c r="WM27" s="41"/>
      <c r="WN27" s="41"/>
      <c r="WO27" s="41"/>
      <c r="WP27" s="41"/>
      <c r="WQ27" s="41"/>
      <c r="WR27" s="41"/>
      <c r="WS27" s="41"/>
      <c r="WT27" s="41"/>
      <c r="WU27" s="41"/>
      <c r="WV27" s="41"/>
      <c r="WW27" s="41"/>
      <c r="WX27" s="41"/>
      <c r="WY27" s="41"/>
      <c r="WZ27" s="41"/>
      <c r="XA27" s="41"/>
      <c r="XB27" s="41"/>
      <c r="XC27" s="41"/>
      <c r="XD27" s="41"/>
      <c r="XE27" s="41"/>
      <c r="XF27" s="41"/>
      <c r="XG27" s="41"/>
      <c r="XH27" s="41"/>
      <c r="XI27" s="41"/>
      <c r="XJ27" s="41"/>
      <c r="XK27" s="41"/>
      <c r="XL27" s="41"/>
      <c r="XM27" s="41"/>
      <c r="XN27" s="41"/>
      <c r="XO27" s="41"/>
      <c r="XP27" s="41"/>
      <c r="XQ27" s="41"/>
      <c r="XR27" s="41"/>
      <c r="XS27" s="41"/>
      <c r="XT27" s="41"/>
      <c r="XU27" s="41"/>
      <c r="XV27" s="41"/>
      <c r="XW27" s="41"/>
      <c r="XX27" s="41"/>
      <c r="XY27" s="41"/>
      <c r="XZ27" s="41"/>
      <c r="YA27" s="41"/>
      <c r="YB27" s="41"/>
      <c r="YC27" s="41"/>
      <c r="YD27" s="41"/>
      <c r="YE27" s="41"/>
      <c r="YF27" s="41"/>
      <c r="YG27" s="41"/>
      <c r="YH27" s="41"/>
      <c r="YI27" s="41"/>
      <c r="YJ27" s="41"/>
      <c r="YK27" s="41"/>
      <c r="YL27" s="41"/>
      <c r="YM27" s="41"/>
      <c r="YN27" s="41"/>
      <c r="YO27" s="41"/>
      <c r="YP27" s="41"/>
      <c r="YQ27" s="41"/>
      <c r="YR27" s="41"/>
      <c r="YS27" s="41"/>
      <c r="YT27" s="41"/>
      <c r="YU27" s="41"/>
      <c r="YV27" s="41"/>
      <c r="YW27" s="41"/>
      <c r="YX27" s="41"/>
      <c r="YY27" s="41"/>
      <c r="YZ27" s="41"/>
      <c r="ZA27" s="41"/>
      <c r="ZB27" s="41"/>
      <c r="ZC27" s="41"/>
      <c r="ZD27" s="41"/>
      <c r="ZE27" s="41"/>
      <c r="ZF27" s="41"/>
      <c r="ZG27" s="41"/>
      <c r="ZH27" s="41"/>
      <c r="ZI27" s="41"/>
      <c r="ZJ27" s="41"/>
      <c r="ZK27" s="41"/>
      <c r="ZL27" s="41"/>
      <c r="ZM27" s="41"/>
      <c r="ZN27" s="41"/>
      <c r="ZO27" s="41"/>
      <c r="ZP27" s="41"/>
      <c r="ZQ27" s="41"/>
      <c r="ZR27" s="41"/>
      <c r="ZS27" s="41"/>
      <c r="ZT27" s="41"/>
      <c r="ZU27" s="41"/>
      <c r="ZV27" s="41"/>
      <c r="ZW27" s="41"/>
      <c r="ZX27" s="41"/>
      <c r="ZY27" s="41"/>
      <c r="ZZ27" s="41"/>
      <c r="AAA27" s="41"/>
      <c r="AAB27" s="41"/>
      <c r="AAC27" s="41"/>
      <c r="AAD27" s="41"/>
      <c r="AAE27" s="41"/>
      <c r="AAF27" s="41"/>
      <c r="AAG27" s="41"/>
      <c r="AAH27" s="41"/>
      <c r="AAI27" s="41"/>
      <c r="AAJ27" s="41"/>
      <c r="AAK27" s="41"/>
      <c r="AAL27" s="41"/>
      <c r="AAM27" s="41"/>
      <c r="AAN27" s="41"/>
      <c r="AAO27" s="41"/>
      <c r="AAP27" s="41"/>
      <c r="AAQ27" s="41"/>
      <c r="AAR27" s="41"/>
      <c r="AAS27" s="41"/>
      <c r="AAT27" s="41"/>
      <c r="AAU27" s="41"/>
      <c r="AAV27" s="41"/>
      <c r="AAW27" s="41"/>
      <c r="AAX27" s="41"/>
      <c r="AAY27" s="41"/>
      <c r="AAZ27" s="41"/>
      <c r="ABA27" s="41"/>
      <c r="ABB27" s="41"/>
      <c r="ABC27" s="41"/>
      <c r="ABD27" s="41"/>
      <c r="ABE27" s="41"/>
      <c r="ABF27" s="41"/>
      <c r="ABG27" s="41"/>
      <c r="ABH27" s="41"/>
      <c r="ABI27" s="41"/>
      <c r="ABJ27" s="41"/>
      <c r="ABK27" s="41"/>
      <c r="ABL27" s="41"/>
      <c r="ABM27" s="41"/>
      <c r="ABN27" s="41"/>
      <c r="ABO27" s="41"/>
      <c r="ABP27" s="41"/>
      <c r="ABQ27" s="41"/>
      <c r="ABR27" s="41"/>
      <c r="ABS27" s="41"/>
      <c r="ABT27" s="41"/>
      <c r="ABU27" s="41"/>
      <c r="ABV27" s="41"/>
      <c r="ABW27" s="41"/>
      <c r="ABX27" s="41"/>
      <c r="ABY27" s="41"/>
      <c r="ABZ27" s="41"/>
      <c r="ACA27" s="41"/>
      <c r="ACB27" s="41"/>
      <c r="ACC27" s="41"/>
      <c r="ACD27" s="41"/>
      <c r="ACE27" s="41"/>
      <c r="ACF27" s="41"/>
      <c r="ACG27" s="41"/>
      <c r="ACH27" s="41"/>
      <c r="ACI27" s="41"/>
      <c r="ACJ27" s="41"/>
      <c r="ACK27" s="41"/>
      <c r="ACL27" s="41"/>
      <c r="ACM27" s="41"/>
      <c r="ACN27" s="41"/>
      <c r="ACO27" s="41"/>
      <c r="ACP27" s="41"/>
      <c r="ACQ27" s="41"/>
      <c r="ACR27" s="41"/>
      <c r="ACS27" s="41"/>
      <c r="ACT27" s="41"/>
      <c r="ACU27" s="41"/>
      <c r="ACV27" s="41"/>
      <c r="ACW27" s="41"/>
      <c r="ACX27" s="41"/>
      <c r="ACY27" s="41"/>
      <c r="ACZ27" s="41"/>
      <c r="ADA27" s="41"/>
      <c r="ADB27" s="41"/>
      <c r="ADC27" s="41"/>
      <c r="ADD27" s="41"/>
      <c r="ADE27" s="41"/>
      <c r="ADF27" s="41"/>
      <c r="ADG27" s="41"/>
      <c r="ADH27" s="41"/>
      <c r="ADI27" s="41"/>
      <c r="ADJ27" s="41"/>
      <c r="ADK27" s="41"/>
      <c r="ADL27" s="41"/>
      <c r="ADM27" s="41"/>
      <c r="ADN27" s="41"/>
      <c r="ADO27" s="41"/>
      <c r="ADP27" s="41"/>
      <c r="ADQ27" s="41"/>
      <c r="ADR27" s="41"/>
      <c r="ADS27" s="41"/>
      <c r="ADT27" s="41"/>
      <c r="ADU27" s="41"/>
      <c r="ADV27" s="41"/>
      <c r="ADW27" s="41"/>
      <c r="ADX27" s="41"/>
      <c r="ADY27" s="41"/>
      <c r="ADZ27" s="41"/>
      <c r="AEA27" s="41"/>
      <c r="AEB27" s="41"/>
      <c r="AEC27" s="41"/>
      <c r="AED27" s="41"/>
      <c r="AEE27" s="41"/>
      <c r="AEF27" s="41"/>
      <c r="AEG27" s="41"/>
      <c r="AEH27" s="41"/>
      <c r="AEI27" s="41"/>
      <c r="AEJ27" s="41"/>
      <c r="AEK27" s="41"/>
      <c r="AEL27" s="41"/>
      <c r="AEM27" s="41"/>
      <c r="AEN27" s="41"/>
      <c r="AEO27" s="41"/>
      <c r="AEP27" s="41"/>
      <c r="AEQ27" s="41"/>
      <c r="AER27" s="41"/>
      <c r="AES27" s="41"/>
      <c r="AET27" s="41"/>
      <c r="AEU27" s="41"/>
      <c r="AEV27" s="41"/>
      <c r="AEW27" s="41"/>
      <c r="AEX27" s="41"/>
      <c r="AEY27" s="41"/>
      <c r="AEZ27" s="41"/>
      <c r="AFA27" s="41"/>
      <c r="AFB27" s="41"/>
      <c r="AFC27" s="41"/>
      <c r="AFD27" s="41"/>
      <c r="AFE27" s="41"/>
      <c r="AFF27" s="41"/>
      <c r="AFG27" s="41"/>
      <c r="AFH27" s="41"/>
      <c r="AFI27" s="41"/>
      <c r="AFJ27" s="41"/>
      <c r="AFK27" s="41"/>
      <c r="AFL27" s="41"/>
      <c r="AFM27" s="41"/>
      <c r="AFN27" s="41"/>
      <c r="AFO27" s="41"/>
      <c r="AFP27" s="41"/>
      <c r="AFQ27" s="41"/>
      <c r="AFR27" s="41"/>
      <c r="AFS27" s="41"/>
      <c r="AFT27" s="41"/>
      <c r="AFU27" s="41"/>
      <c r="AFV27" s="41"/>
      <c r="AFW27" s="41"/>
      <c r="AFX27" s="41"/>
      <c r="AFY27" s="41"/>
      <c r="AFZ27" s="41"/>
      <c r="AGA27" s="41"/>
      <c r="AGB27" s="41"/>
      <c r="AGC27" s="41"/>
      <c r="AGD27" s="41"/>
      <c r="AGE27" s="41"/>
      <c r="AGF27" s="41"/>
      <c r="AGG27" s="41"/>
      <c r="AGH27" s="41"/>
      <c r="AGI27" s="41"/>
      <c r="AGJ27" s="41"/>
      <c r="AGK27" s="41"/>
      <c r="AGL27" s="41"/>
      <c r="AGM27" s="41"/>
      <c r="AGN27" s="41"/>
      <c r="AGO27" s="41"/>
      <c r="AGP27" s="41"/>
      <c r="AGQ27" s="41"/>
      <c r="AGR27" s="41"/>
      <c r="AGS27" s="41"/>
      <c r="AGT27" s="41"/>
      <c r="AGU27" s="41"/>
      <c r="AGV27" s="41"/>
      <c r="AGW27" s="41"/>
      <c r="AGX27" s="41"/>
      <c r="AGY27" s="41"/>
      <c r="AGZ27" s="41"/>
      <c r="AHA27" s="41"/>
      <c r="AHB27" s="41"/>
      <c r="AHC27" s="41"/>
      <c r="AHD27" s="41"/>
      <c r="AHE27" s="41"/>
      <c r="AHF27" s="41"/>
      <c r="AHG27" s="41"/>
      <c r="AHH27" s="41"/>
      <c r="AHI27" s="41"/>
      <c r="AHJ27" s="41"/>
      <c r="AHK27" s="41"/>
      <c r="AHL27" s="41"/>
      <c r="AHM27" s="41"/>
      <c r="AHN27" s="41"/>
      <c r="AHO27" s="41"/>
      <c r="AHP27" s="41"/>
      <c r="AHQ27" s="41"/>
      <c r="AHR27" s="41"/>
      <c r="AHS27" s="41"/>
      <c r="AHT27" s="41"/>
      <c r="AHU27" s="41"/>
      <c r="AHV27" s="41"/>
      <c r="AHW27" s="41"/>
      <c r="AHX27" s="41"/>
      <c r="AHY27" s="41"/>
      <c r="AHZ27" s="41"/>
      <c r="AIA27" s="41"/>
      <c r="AIB27" s="41"/>
      <c r="AIC27" s="41"/>
      <c r="AID27" s="41"/>
      <c r="AIE27" s="41"/>
      <c r="AIF27" s="41"/>
      <c r="AIG27" s="41"/>
      <c r="AIH27" s="41"/>
      <c r="AII27" s="41"/>
      <c r="AIJ27" s="41"/>
      <c r="AIK27" s="41"/>
      <c r="AIL27" s="41"/>
      <c r="AIM27" s="41"/>
      <c r="AIN27" s="41"/>
      <c r="AIO27" s="41"/>
      <c r="AIP27" s="41"/>
      <c r="AIQ27" s="41"/>
      <c r="AIR27" s="41"/>
      <c r="AIS27" s="41"/>
      <c r="AIT27" s="41"/>
      <c r="AIU27" s="41"/>
      <c r="AIV27" s="41"/>
      <c r="AIW27" s="41"/>
      <c r="AIX27" s="41"/>
      <c r="AIY27" s="41"/>
      <c r="AIZ27" s="41"/>
      <c r="AJA27" s="41"/>
      <c r="AJB27" s="41"/>
      <c r="AJC27" s="41"/>
      <c r="AJD27" s="41"/>
      <c r="AJE27" s="41"/>
      <c r="AJF27" s="41"/>
      <c r="AJG27" s="41"/>
      <c r="AJH27" s="41"/>
      <c r="AJI27" s="41"/>
      <c r="AJJ27" s="41"/>
      <c r="AJK27" s="41"/>
      <c r="AJL27" s="41"/>
      <c r="AJM27" s="41"/>
      <c r="AJN27" s="41"/>
      <c r="AJO27" s="41"/>
      <c r="AJP27" s="41"/>
      <c r="AJQ27" s="41"/>
      <c r="AJR27" s="41"/>
      <c r="AJS27" s="41"/>
      <c r="AJT27" s="41"/>
      <c r="AJU27" s="41"/>
      <c r="AJV27" s="41"/>
      <c r="AJW27" s="41"/>
      <c r="AJX27" s="41"/>
      <c r="AJY27" s="41"/>
      <c r="AJZ27" s="41"/>
      <c r="AKA27" s="41"/>
      <c r="AKB27" s="41"/>
      <c r="AKC27" s="41"/>
      <c r="AKD27" s="41"/>
      <c r="AKE27" s="41"/>
      <c r="AKF27" s="41"/>
      <c r="AKG27" s="41"/>
      <c r="AKH27" s="41"/>
      <c r="AKI27" s="41"/>
      <c r="AKJ27" s="41"/>
      <c r="AKK27" s="41"/>
      <c r="AKL27" s="41"/>
      <c r="AKM27" s="41"/>
      <c r="AKN27" s="41"/>
      <c r="AKO27" s="41"/>
      <c r="AKP27" s="41"/>
      <c r="AKQ27" s="41"/>
      <c r="AKR27" s="41"/>
      <c r="AKS27" s="41"/>
      <c r="AKT27" s="41"/>
      <c r="AKU27" s="41"/>
      <c r="AKV27" s="41"/>
      <c r="AKW27" s="41"/>
      <c r="AKX27" s="41"/>
      <c r="AKY27" s="41"/>
      <c r="AKZ27" s="41"/>
      <c r="ALA27" s="41"/>
      <c r="ALB27" s="41"/>
      <c r="ALC27" s="41"/>
      <c r="ALD27" s="41"/>
      <c r="ALE27" s="41"/>
      <c r="ALF27" s="41"/>
      <c r="ALG27" s="41"/>
      <c r="ALH27" s="41"/>
      <c r="ALI27" s="41"/>
      <c r="ALJ27" s="41"/>
      <c r="ALK27" s="41"/>
      <c r="ALL27" s="41"/>
      <c r="ALM27" s="41"/>
      <c r="ALN27" s="41"/>
      <c r="ALO27" s="41"/>
      <c r="ALP27" s="41"/>
      <c r="ALQ27" s="41"/>
      <c r="ALR27" s="41"/>
      <c r="ALS27" s="41"/>
      <c r="ALT27" s="41"/>
      <c r="ALU27" s="41"/>
      <c r="ALV27" s="41"/>
      <c r="ALW27" s="41"/>
      <c r="ALX27" s="41"/>
      <c r="ALY27" s="41"/>
      <c r="ALZ27" s="41"/>
      <c r="AMA27" s="41"/>
      <c r="AMB27" s="41"/>
      <c r="AMC27" s="41"/>
      <c r="AMD27" s="41"/>
      <c r="AME27" s="41"/>
      <c r="AMF27" s="41"/>
      <c r="AMG27" s="41"/>
      <c r="AMH27" s="41"/>
      <c r="AMI27" s="41"/>
      <c r="AMJ27" s="41"/>
      <c r="AMK27" s="41"/>
      <c r="AML27" s="41"/>
      <c r="AMM27" s="41"/>
      <c r="AMN27" s="41"/>
      <c r="AMO27" s="41"/>
      <c r="AMP27" s="41"/>
      <c r="AMQ27" s="41"/>
      <c r="AMR27" s="41"/>
      <c r="AMS27" s="41"/>
      <c r="AMT27" s="41"/>
      <c r="AMU27" s="41"/>
      <c r="AMV27" s="41"/>
      <c r="AMW27" s="41"/>
      <c r="AMX27" s="41"/>
      <c r="AMY27" s="41"/>
      <c r="AMZ27" s="41"/>
      <c r="ANA27" s="41"/>
      <c r="ANB27" s="41"/>
      <c r="ANC27" s="41"/>
      <c r="AND27" s="41"/>
      <c r="ANE27" s="41"/>
      <c r="ANF27" s="41"/>
      <c r="ANG27" s="41"/>
      <c r="ANH27" s="41"/>
      <c r="ANI27" s="41"/>
      <c r="ANJ27" s="41"/>
      <c r="ANK27" s="41"/>
    </row>
    <row r="28" s="44" customFormat="true" ht="15" hidden="false" customHeight="false" outlineLevel="0" collapsed="false">
      <c r="A28" s="42" t="s">
        <v>50</v>
      </c>
      <c r="B28" s="43" t="n">
        <v>0</v>
      </c>
      <c r="C28" s="44" t="n">
        <v>0</v>
      </c>
      <c r="D28" s="44" t="n">
        <v>0</v>
      </c>
      <c r="E28" s="45" t="n">
        <v>170000</v>
      </c>
      <c r="F28" s="43" t="n">
        <v>0</v>
      </c>
      <c r="G28" s="44" t="n">
        <v>0</v>
      </c>
      <c r="H28" s="46" t="n">
        <v>0</v>
      </c>
      <c r="I28" s="47" t="n">
        <v>0.85</v>
      </c>
      <c r="J28" s="48" t="n">
        <v>0</v>
      </c>
      <c r="K28" s="43"/>
      <c r="M28" s="46" t="n">
        <v>0</v>
      </c>
      <c r="N28" s="43" t="n">
        <v>0</v>
      </c>
      <c r="O28" s="46" t="n">
        <v>0</v>
      </c>
      <c r="P28" s="49" t="n">
        <v>0</v>
      </c>
      <c r="Q28" s="50" t="n">
        <v>0</v>
      </c>
      <c r="R28" s="44" t="n">
        <v>0</v>
      </c>
      <c r="S28" s="44" t="n">
        <v>0</v>
      </c>
      <c r="T28" s="44" t="n">
        <v>0</v>
      </c>
      <c r="U28" s="44" t="n">
        <v>0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6" t="n">
        <v>0</v>
      </c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41"/>
      <c r="KZ28" s="41"/>
      <c r="LA28" s="41"/>
      <c r="LB28" s="41"/>
      <c r="LC28" s="41"/>
      <c r="LD28" s="41"/>
      <c r="LE28" s="41"/>
      <c r="LF28" s="41"/>
      <c r="LG28" s="41"/>
      <c r="LH28" s="41"/>
      <c r="LI28" s="41"/>
      <c r="LJ28" s="41"/>
      <c r="LK28" s="41"/>
      <c r="LL28" s="41"/>
      <c r="LM28" s="41"/>
      <c r="LN28" s="41"/>
      <c r="LO28" s="41"/>
      <c r="LP28" s="41"/>
      <c r="LQ28" s="41"/>
      <c r="LR28" s="41"/>
      <c r="LS28" s="41"/>
      <c r="LT28" s="41"/>
      <c r="LU28" s="41"/>
      <c r="LV28" s="41"/>
      <c r="LW28" s="41"/>
      <c r="LX28" s="41"/>
      <c r="LY28" s="41"/>
      <c r="LZ28" s="41"/>
      <c r="MA28" s="41"/>
      <c r="MB28" s="41"/>
      <c r="MC28" s="41"/>
      <c r="MD28" s="41"/>
      <c r="ME28" s="41"/>
      <c r="MF28" s="41"/>
      <c r="MG28" s="41"/>
      <c r="MH28" s="41"/>
      <c r="MI28" s="41"/>
      <c r="MJ28" s="41"/>
      <c r="MK28" s="41"/>
      <c r="ML28" s="41"/>
      <c r="MM28" s="41"/>
      <c r="MN28" s="41"/>
      <c r="MO28" s="41"/>
      <c r="MP28" s="41"/>
      <c r="MQ28" s="41"/>
      <c r="MR28" s="41"/>
      <c r="MS28" s="41"/>
      <c r="MT28" s="41"/>
      <c r="MU28" s="41"/>
      <c r="MV28" s="41"/>
      <c r="MW28" s="41"/>
      <c r="MX28" s="41"/>
      <c r="MY28" s="41"/>
      <c r="MZ28" s="41"/>
      <c r="NA28" s="41"/>
      <c r="NB28" s="41"/>
      <c r="NC28" s="41"/>
      <c r="ND28" s="41"/>
      <c r="NE28" s="41"/>
      <c r="NF28" s="41"/>
      <c r="NG28" s="41"/>
      <c r="NH28" s="41"/>
      <c r="NI28" s="41"/>
      <c r="NJ28" s="41"/>
      <c r="NK28" s="41"/>
      <c r="NL28" s="41"/>
      <c r="NM28" s="41"/>
      <c r="NN28" s="41"/>
      <c r="NO28" s="41"/>
      <c r="NP28" s="41"/>
      <c r="NQ28" s="41"/>
      <c r="NR28" s="41"/>
      <c r="NS28" s="41"/>
      <c r="NT28" s="41"/>
      <c r="NU28" s="41"/>
      <c r="NV28" s="41"/>
      <c r="NW28" s="41"/>
      <c r="NX28" s="41"/>
      <c r="NY28" s="41"/>
      <c r="NZ28" s="41"/>
      <c r="OA28" s="41"/>
      <c r="OB28" s="41"/>
      <c r="OC28" s="41"/>
      <c r="OD28" s="41"/>
      <c r="OE28" s="41"/>
      <c r="OF28" s="41"/>
      <c r="OG28" s="41"/>
      <c r="OH28" s="41"/>
      <c r="OI28" s="41"/>
      <c r="OJ28" s="41"/>
      <c r="OK28" s="41"/>
      <c r="OL28" s="41"/>
      <c r="OM28" s="41"/>
      <c r="ON28" s="41"/>
      <c r="OO28" s="41"/>
      <c r="OP28" s="41"/>
      <c r="OQ28" s="41"/>
      <c r="OR28" s="41"/>
      <c r="OS28" s="41"/>
      <c r="OT28" s="41"/>
      <c r="OU28" s="41"/>
      <c r="OV28" s="41"/>
      <c r="OW28" s="41"/>
      <c r="OX28" s="41"/>
      <c r="OY28" s="41"/>
      <c r="OZ28" s="41"/>
      <c r="PA28" s="41"/>
      <c r="PB28" s="41"/>
      <c r="PC28" s="41"/>
      <c r="PD28" s="41"/>
      <c r="PE28" s="41"/>
      <c r="PF28" s="41"/>
      <c r="PG28" s="41"/>
      <c r="PH28" s="41"/>
      <c r="PI28" s="41"/>
      <c r="PJ28" s="41"/>
      <c r="PK28" s="41"/>
      <c r="PL28" s="41"/>
      <c r="PM28" s="41"/>
      <c r="PN28" s="41"/>
      <c r="PO28" s="41"/>
      <c r="PP28" s="41"/>
      <c r="PQ28" s="41"/>
      <c r="PR28" s="41"/>
      <c r="PS28" s="41"/>
      <c r="PT28" s="41"/>
      <c r="PU28" s="41"/>
      <c r="PV28" s="41"/>
      <c r="PW28" s="41"/>
      <c r="PX28" s="41"/>
      <c r="PY28" s="41"/>
      <c r="PZ28" s="41"/>
      <c r="QA28" s="41"/>
      <c r="QB28" s="41"/>
      <c r="QC28" s="41"/>
      <c r="QD28" s="41"/>
      <c r="QE28" s="41"/>
      <c r="QF28" s="41"/>
      <c r="QG28" s="41"/>
      <c r="QH28" s="41"/>
      <c r="QI28" s="41"/>
      <c r="QJ28" s="41"/>
      <c r="QK28" s="41"/>
      <c r="QL28" s="41"/>
      <c r="QM28" s="41"/>
      <c r="QN28" s="41"/>
      <c r="QO28" s="41"/>
      <c r="QP28" s="41"/>
      <c r="QQ28" s="41"/>
      <c r="QR28" s="41"/>
      <c r="QS28" s="41"/>
      <c r="QT28" s="41"/>
      <c r="QU28" s="41"/>
      <c r="QV28" s="41"/>
      <c r="QW28" s="41"/>
      <c r="QX28" s="41"/>
      <c r="QY28" s="41"/>
      <c r="QZ28" s="41"/>
      <c r="RA28" s="41"/>
      <c r="RB28" s="41"/>
      <c r="RC28" s="41"/>
      <c r="RD28" s="41"/>
      <c r="RE28" s="41"/>
      <c r="RF28" s="41"/>
      <c r="RG28" s="41"/>
      <c r="RH28" s="41"/>
      <c r="RI28" s="41"/>
      <c r="RJ28" s="41"/>
      <c r="RK28" s="41"/>
      <c r="RL28" s="41"/>
      <c r="RM28" s="41"/>
      <c r="RN28" s="41"/>
      <c r="RO28" s="41"/>
      <c r="RP28" s="41"/>
      <c r="RQ28" s="41"/>
      <c r="RR28" s="41"/>
      <c r="RS28" s="41"/>
      <c r="RT28" s="41"/>
      <c r="RU28" s="41"/>
      <c r="RV28" s="41"/>
      <c r="RW28" s="41"/>
      <c r="RX28" s="41"/>
      <c r="RY28" s="41"/>
      <c r="RZ28" s="41"/>
      <c r="SA28" s="41"/>
      <c r="SB28" s="41"/>
      <c r="SC28" s="41"/>
      <c r="SD28" s="41"/>
      <c r="SE28" s="41"/>
      <c r="SF28" s="41"/>
      <c r="SG28" s="41"/>
      <c r="SH28" s="41"/>
      <c r="SI28" s="41"/>
      <c r="SJ28" s="41"/>
      <c r="SK28" s="41"/>
      <c r="SL28" s="41"/>
      <c r="SM28" s="41"/>
      <c r="SN28" s="41"/>
      <c r="SO28" s="41"/>
      <c r="SP28" s="41"/>
      <c r="SQ28" s="41"/>
      <c r="SR28" s="41"/>
      <c r="SS28" s="41"/>
      <c r="ST28" s="41"/>
      <c r="SU28" s="41"/>
      <c r="SV28" s="41"/>
      <c r="SW28" s="41"/>
      <c r="SX28" s="41"/>
      <c r="SY28" s="41"/>
      <c r="SZ28" s="41"/>
      <c r="TA28" s="41"/>
      <c r="TB28" s="41"/>
      <c r="TC28" s="41"/>
      <c r="TD28" s="41"/>
      <c r="TE28" s="41"/>
      <c r="TF28" s="41"/>
      <c r="TG28" s="41"/>
      <c r="TH28" s="41"/>
      <c r="TI28" s="41"/>
      <c r="TJ28" s="41"/>
      <c r="TK28" s="41"/>
      <c r="TL28" s="41"/>
      <c r="TM28" s="41"/>
      <c r="TN28" s="41"/>
      <c r="TO28" s="41"/>
      <c r="TP28" s="41"/>
      <c r="TQ28" s="41"/>
      <c r="TR28" s="41"/>
      <c r="TS28" s="41"/>
      <c r="TT28" s="41"/>
      <c r="TU28" s="41"/>
      <c r="TV28" s="41"/>
      <c r="TW28" s="41"/>
      <c r="TX28" s="41"/>
      <c r="TY28" s="41"/>
      <c r="TZ28" s="41"/>
      <c r="UA28" s="41"/>
      <c r="UB28" s="41"/>
      <c r="UC28" s="41"/>
      <c r="UD28" s="41"/>
      <c r="UE28" s="41"/>
      <c r="UF28" s="41"/>
      <c r="UG28" s="41"/>
      <c r="UH28" s="41"/>
      <c r="UI28" s="41"/>
      <c r="UJ28" s="41"/>
      <c r="UK28" s="41"/>
      <c r="UL28" s="41"/>
      <c r="UM28" s="41"/>
      <c r="UN28" s="41"/>
      <c r="UO28" s="41"/>
      <c r="UP28" s="41"/>
      <c r="UQ28" s="41"/>
      <c r="UR28" s="41"/>
      <c r="US28" s="41"/>
      <c r="UT28" s="41"/>
      <c r="UU28" s="41"/>
      <c r="UV28" s="41"/>
      <c r="UW28" s="41"/>
      <c r="UX28" s="41"/>
      <c r="UY28" s="41"/>
      <c r="UZ28" s="41"/>
      <c r="VA28" s="41"/>
      <c r="VB28" s="41"/>
      <c r="VC28" s="41"/>
      <c r="VD28" s="41"/>
      <c r="VE28" s="41"/>
      <c r="VF28" s="41"/>
      <c r="VG28" s="41"/>
      <c r="VH28" s="41"/>
      <c r="VI28" s="41"/>
      <c r="VJ28" s="41"/>
      <c r="VK28" s="41"/>
      <c r="VL28" s="41"/>
      <c r="VM28" s="41"/>
      <c r="VN28" s="41"/>
      <c r="VO28" s="41"/>
      <c r="VP28" s="41"/>
      <c r="VQ28" s="41"/>
      <c r="VR28" s="41"/>
      <c r="VS28" s="41"/>
      <c r="VT28" s="41"/>
      <c r="VU28" s="41"/>
      <c r="VV28" s="41"/>
      <c r="VW28" s="41"/>
      <c r="VX28" s="41"/>
      <c r="VY28" s="41"/>
      <c r="VZ28" s="41"/>
      <c r="WA28" s="41"/>
      <c r="WB28" s="41"/>
      <c r="WC28" s="41"/>
      <c r="WD28" s="41"/>
      <c r="WE28" s="41"/>
      <c r="WF28" s="41"/>
      <c r="WG28" s="41"/>
      <c r="WH28" s="41"/>
      <c r="WI28" s="41"/>
      <c r="WJ28" s="41"/>
      <c r="WK28" s="41"/>
      <c r="WL28" s="41"/>
      <c r="WM28" s="41"/>
      <c r="WN28" s="41"/>
      <c r="WO28" s="41"/>
      <c r="WP28" s="41"/>
      <c r="WQ28" s="41"/>
      <c r="WR28" s="41"/>
      <c r="WS28" s="41"/>
      <c r="WT28" s="41"/>
      <c r="WU28" s="41"/>
      <c r="WV28" s="41"/>
      <c r="WW28" s="41"/>
      <c r="WX28" s="41"/>
      <c r="WY28" s="41"/>
      <c r="WZ28" s="41"/>
      <c r="XA28" s="41"/>
      <c r="XB28" s="41"/>
      <c r="XC28" s="41"/>
      <c r="XD28" s="41"/>
      <c r="XE28" s="41"/>
      <c r="XF28" s="41"/>
      <c r="XG28" s="41"/>
      <c r="XH28" s="41"/>
      <c r="XI28" s="41"/>
      <c r="XJ28" s="41"/>
      <c r="XK28" s="41"/>
      <c r="XL28" s="41"/>
      <c r="XM28" s="41"/>
      <c r="XN28" s="41"/>
      <c r="XO28" s="41"/>
      <c r="XP28" s="41"/>
      <c r="XQ28" s="41"/>
      <c r="XR28" s="41"/>
      <c r="XS28" s="41"/>
      <c r="XT28" s="41"/>
      <c r="XU28" s="41"/>
      <c r="XV28" s="41"/>
      <c r="XW28" s="41"/>
      <c r="XX28" s="41"/>
      <c r="XY28" s="41"/>
      <c r="XZ28" s="41"/>
      <c r="YA28" s="41"/>
      <c r="YB28" s="41"/>
      <c r="YC28" s="41"/>
      <c r="YD28" s="41"/>
      <c r="YE28" s="41"/>
      <c r="YF28" s="41"/>
      <c r="YG28" s="41"/>
      <c r="YH28" s="41"/>
      <c r="YI28" s="41"/>
      <c r="YJ28" s="41"/>
      <c r="YK28" s="41"/>
      <c r="YL28" s="41"/>
      <c r="YM28" s="41"/>
      <c r="YN28" s="41"/>
      <c r="YO28" s="41"/>
      <c r="YP28" s="41"/>
      <c r="YQ28" s="41"/>
      <c r="YR28" s="41"/>
      <c r="YS28" s="41"/>
      <c r="YT28" s="41"/>
      <c r="YU28" s="41"/>
      <c r="YV28" s="41"/>
      <c r="YW28" s="41"/>
      <c r="YX28" s="41"/>
      <c r="YY28" s="41"/>
      <c r="YZ28" s="41"/>
      <c r="ZA28" s="41"/>
      <c r="ZB28" s="41"/>
      <c r="ZC28" s="41"/>
      <c r="ZD28" s="41"/>
      <c r="ZE28" s="41"/>
      <c r="ZF28" s="41"/>
      <c r="ZG28" s="41"/>
      <c r="ZH28" s="41"/>
      <c r="ZI28" s="41"/>
      <c r="ZJ28" s="41"/>
      <c r="ZK28" s="41"/>
      <c r="ZL28" s="41"/>
      <c r="ZM28" s="41"/>
      <c r="ZN28" s="41"/>
      <c r="ZO28" s="41"/>
      <c r="ZP28" s="41"/>
      <c r="ZQ28" s="41"/>
      <c r="ZR28" s="41"/>
      <c r="ZS28" s="41"/>
      <c r="ZT28" s="41"/>
      <c r="ZU28" s="41"/>
      <c r="ZV28" s="41"/>
      <c r="ZW28" s="41"/>
      <c r="ZX28" s="41"/>
      <c r="ZY28" s="41"/>
      <c r="ZZ28" s="41"/>
      <c r="AAA28" s="41"/>
      <c r="AAB28" s="41"/>
      <c r="AAC28" s="41"/>
      <c r="AAD28" s="41"/>
      <c r="AAE28" s="41"/>
      <c r="AAF28" s="41"/>
      <c r="AAG28" s="41"/>
      <c r="AAH28" s="41"/>
      <c r="AAI28" s="41"/>
      <c r="AAJ28" s="41"/>
      <c r="AAK28" s="41"/>
      <c r="AAL28" s="41"/>
      <c r="AAM28" s="41"/>
      <c r="AAN28" s="41"/>
      <c r="AAO28" s="41"/>
      <c r="AAP28" s="41"/>
      <c r="AAQ28" s="41"/>
      <c r="AAR28" s="41"/>
      <c r="AAS28" s="41"/>
      <c r="AAT28" s="41"/>
      <c r="AAU28" s="41"/>
      <c r="AAV28" s="41"/>
      <c r="AAW28" s="41"/>
      <c r="AAX28" s="41"/>
      <c r="AAY28" s="41"/>
      <c r="AAZ28" s="41"/>
      <c r="ABA28" s="41"/>
      <c r="ABB28" s="41"/>
      <c r="ABC28" s="41"/>
      <c r="ABD28" s="41"/>
      <c r="ABE28" s="41"/>
      <c r="ABF28" s="41"/>
      <c r="ABG28" s="41"/>
      <c r="ABH28" s="41"/>
      <c r="ABI28" s="41"/>
      <c r="ABJ28" s="41"/>
      <c r="ABK28" s="41"/>
      <c r="ABL28" s="41"/>
      <c r="ABM28" s="41"/>
      <c r="ABN28" s="41"/>
      <c r="ABO28" s="41"/>
      <c r="ABP28" s="41"/>
      <c r="ABQ28" s="41"/>
      <c r="ABR28" s="41"/>
      <c r="ABS28" s="41"/>
      <c r="ABT28" s="41"/>
      <c r="ABU28" s="41"/>
      <c r="ABV28" s="41"/>
      <c r="ABW28" s="41"/>
      <c r="ABX28" s="41"/>
      <c r="ABY28" s="41"/>
      <c r="ABZ28" s="41"/>
      <c r="ACA28" s="41"/>
      <c r="ACB28" s="41"/>
      <c r="ACC28" s="41"/>
      <c r="ACD28" s="41"/>
      <c r="ACE28" s="41"/>
      <c r="ACF28" s="41"/>
      <c r="ACG28" s="41"/>
      <c r="ACH28" s="41"/>
      <c r="ACI28" s="41"/>
      <c r="ACJ28" s="41"/>
      <c r="ACK28" s="41"/>
      <c r="ACL28" s="41"/>
      <c r="ACM28" s="41"/>
      <c r="ACN28" s="41"/>
      <c r="ACO28" s="41"/>
      <c r="ACP28" s="41"/>
      <c r="ACQ28" s="41"/>
      <c r="ACR28" s="41"/>
      <c r="ACS28" s="41"/>
      <c r="ACT28" s="41"/>
      <c r="ACU28" s="41"/>
      <c r="ACV28" s="41"/>
      <c r="ACW28" s="41"/>
      <c r="ACX28" s="41"/>
      <c r="ACY28" s="41"/>
      <c r="ACZ28" s="41"/>
      <c r="ADA28" s="41"/>
      <c r="ADB28" s="41"/>
      <c r="ADC28" s="41"/>
      <c r="ADD28" s="41"/>
      <c r="ADE28" s="41"/>
      <c r="ADF28" s="41"/>
      <c r="ADG28" s="41"/>
      <c r="ADH28" s="41"/>
      <c r="ADI28" s="41"/>
      <c r="ADJ28" s="41"/>
      <c r="ADK28" s="41"/>
      <c r="ADL28" s="41"/>
      <c r="ADM28" s="41"/>
      <c r="ADN28" s="41"/>
      <c r="ADO28" s="41"/>
      <c r="ADP28" s="41"/>
      <c r="ADQ28" s="41"/>
      <c r="ADR28" s="41"/>
      <c r="ADS28" s="41"/>
      <c r="ADT28" s="41"/>
      <c r="ADU28" s="41"/>
      <c r="ADV28" s="41"/>
      <c r="ADW28" s="41"/>
      <c r="ADX28" s="41"/>
      <c r="ADY28" s="41"/>
      <c r="ADZ28" s="41"/>
      <c r="AEA28" s="41"/>
      <c r="AEB28" s="41"/>
      <c r="AEC28" s="41"/>
      <c r="AED28" s="41"/>
      <c r="AEE28" s="41"/>
      <c r="AEF28" s="41"/>
      <c r="AEG28" s="41"/>
      <c r="AEH28" s="41"/>
      <c r="AEI28" s="41"/>
      <c r="AEJ28" s="41"/>
      <c r="AEK28" s="41"/>
      <c r="AEL28" s="41"/>
      <c r="AEM28" s="41"/>
      <c r="AEN28" s="41"/>
      <c r="AEO28" s="41"/>
      <c r="AEP28" s="41"/>
      <c r="AEQ28" s="41"/>
      <c r="AER28" s="41"/>
      <c r="AES28" s="41"/>
      <c r="AET28" s="41"/>
      <c r="AEU28" s="41"/>
      <c r="AEV28" s="41"/>
      <c r="AEW28" s="41"/>
      <c r="AEX28" s="41"/>
      <c r="AEY28" s="41"/>
      <c r="AEZ28" s="41"/>
      <c r="AFA28" s="41"/>
      <c r="AFB28" s="41"/>
      <c r="AFC28" s="41"/>
      <c r="AFD28" s="41"/>
      <c r="AFE28" s="41"/>
      <c r="AFF28" s="41"/>
      <c r="AFG28" s="41"/>
      <c r="AFH28" s="41"/>
      <c r="AFI28" s="41"/>
      <c r="AFJ28" s="41"/>
      <c r="AFK28" s="41"/>
      <c r="AFL28" s="41"/>
      <c r="AFM28" s="41"/>
      <c r="AFN28" s="41"/>
      <c r="AFO28" s="41"/>
      <c r="AFP28" s="41"/>
      <c r="AFQ28" s="41"/>
      <c r="AFR28" s="41"/>
      <c r="AFS28" s="41"/>
      <c r="AFT28" s="41"/>
      <c r="AFU28" s="41"/>
      <c r="AFV28" s="41"/>
      <c r="AFW28" s="41"/>
      <c r="AFX28" s="41"/>
      <c r="AFY28" s="41"/>
      <c r="AFZ28" s="41"/>
      <c r="AGA28" s="41"/>
      <c r="AGB28" s="41"/>
      <c r="AGC28" s="41"/>
      <c r="AGD28" s="41"/>
      <c r="AGE28" s="41"/>
      <c r="AGF28" s="41"/>
      <c r="AGG28" s="41"/>
      <c r="AGH28" s="41"/>
      <c r="AGI28" s="41"/>
      <c r="AGJ28" s="41"/>
      <c r="AGK28" s="41"/>
      <c r="AGL28" s="41"/>
      <c r="AGM28" s="41"/>
      <c r="AGN28" s="41"/>
      <c r="AGO28" s="41"/>
      <c r="AGP28" s="41"/>
      <c r="AGQ28" s="41"/>
      <c r="AGR28" s="41"/>
      <c r="AGS28" s="41"/>
      <c r="AGT28" s="41"/>
      <c r="AGU28" s="41"/>
      <c r="AGV28" s="41"/>
      <c r="AGW28" s="41"/>
      <c r="AGX28" s="41"/>
      <c r="AGY28" s="41"/>
      <c r="AGZ28" s="41"/>
      <c r="AHA28" s="41"/>
      <c r="AHB28" s="41"/>
      <c r="AHC28" s="41"/>
      <c r="AHD28" s="41"/>
      <c r="AHE28" s="41"/>
      <c r="AHF28" s="41"/>
      <c r="AHG28" s="41"/>
      <c r="AHH28" s="41"/>
      <c r="AHI28" s="41"/>
      <c r="AHJ28" s="41"/>
      <c r="AHK28" s="41"/>
      <c r="AHL28" s="41"/>
      <c r="AHM28" s="41"/>
      <c r="AHN28" s="41"/>
      <c r="AHO28" s="41"/>
      <c r="AHP28" s="41"/>
      <c r="AHQ28" s="41"/>
      <c r="AHR28" s="41"/>
      <c r="AHS28" s="41"/>
      <c r="AHT28" s="41"/>
      <c r="AHU28" s="41"/>
      <c r="AHV28" s="41"/>
      <c r="AHW28" s="41"/>
      <c r="AHX28" s="41"/>
      <c r="AHY28" s="41"/>
      <c r="AHZ28" s="41"/>
      <c r="AIA28" s="41"/>
      <c r="AIB28" s="41"/>
      <c r="AIC28" s="41"/>
      <c r="AID28" s="41"/>
      <c r="AIE28" s="41"/>
      <c r="AIF28" s="41"/>
      <c r="AIG28" s="41"/>
      <c r="AIH28" s="41"/>
      <c r="AII28" s="41"/>
      <c r="AIJ28" s="41"/>
      <c r="AIK28" s="41"/>
      <c r="AIL28" s="41"/>
      <c r="AIM28" s="41"/>
      <c r="AIN28" s="41"/>
      <c r="AIO28" s="41"/>
      <c r="AIP28" s="41"/>
      <c r="AIQ28" s="41"/>
      <c r="AIR28" s="41"/>
      <c r="AIS28" s="41"/>
      <c r="AIT28" s="41"/>
      <c r="AIU28" s="41"/>
      <c r="AIV28" s="41"/>
      <c r="AIW28" s="41"/>
      <c r="AIX28" s="41"/>
      <c r="AIY28" s="41"/>
      <c r="AIZ28" s="41"/>
      <c r="AJA28" s="41"/>
      <c r="AJB28" s="41"/>
      <c r="AJC28" s="41"/>
      <c r="AJD28" s="41"/>
      <c r="AJE28" s="41"/>
      <c r="AJF28" s="41"/>
      <c r="AJG28" s="41"/>
      <c r="AJH28" s="41"/>
      <c r="AJI28" s="41"/>
      <c r="AJJ28" s="41"/>
      <c r="AJK28" s="41"/>
      <c r="AJL28" s="41"/>
      <c r="AJM28" s="41"/>
      <c r="AJN28" s="41"/>
      <c r="AJO28" s="41"/>
      <c r="AJP28" s="41"/>
      <c r="AJQ28" s="41"/>
      <c r="AJR28" s="41"/>
      <c r="AJS28" s="41"/>
      <c r="AJT28" s="41"/>
      <c r="AJU28" s="41"/>
      <c r="AJV28" s="41"/>
      <c r="AJW28" s="41"/>
      <c r="AJX28" s="41"/>
      <c r="AJY28" s="41"/>
      <c r="AJZ28" s="41"/>
      <c r="AKA28" s="41"/>
      <c r="AKB28" s="41"/>
      <c r="AKC28" s="41"/>
      <c r="AKD28" s="41"/>
      <c r="AKE28" s="41"/>
      <c r="AKF28" s="41"/>
      <c r="AKG28" s="41"/>
      <c r="AKH28" s="41"/>
      <c r="AKI28" s="41"/>
      <c r="AKJ28" s="41"/>
      <c r="AKK28" s="41"/>
      <c r="AKL28" s="41"/>
      <c r="AKM28" s="41"/>
      <c r="AKN28" s="41"/>
      <c r="AKO28" s="41"/>
      <c r="AKP28" s="41"/>
      <c r="AKQ28" s="41"/>
      <c r="AKR28" s="41"/>
      <c r="AKS28" s="41"/>
      <c r="AKT28" s="41"/>
      <c r="AKU28" s="41"/>
      <c r="AKV28" s="41"/>
      <c r="AKW28" s="41"/>
      <c r="AKX28" s="41"/>
      <c r="AKY28" s="41"/>
      <c r="AKZ28" s="41"/>
      <c r="ALA28" s="41"/>
      <c r="ALB28" s="41"/>
      <c r="ALC28" s="41"/>
      <c r="ALD28" s="41"/>
      <c r="ALE28" s="41"/>
      <c r="ALF28" s="41"/>
      <c r="ALG28" s="41"/>
      <c r="ALH28" s="41"/>
      <c r="ALI28" s="41"/>
      <c r="ALJ28" s="41"/>
      <c r="ALK28" s="41"/>
      <c r="ALL28" s="41"/>
      <c r="ALM28" s="41"/>
      <c r="ALN28" s="41"/>
      <c r="ALO28" s="41"/>
      <c r="ALP28" s="41"/>
      <c r="ALQ28" s="41"/>
      <c r="ALR28" s="41"/>
      <c r="ALS28" s="41"/>
      <c r="ALT28" s="41"/>
      <c r="ALU28" s="41"/>
      <c r="ALV28" s="41"/>
      <c r="ALW28" s="41"/>
      <c r="ALX28" s="41"/>
      <c r="ALY28" s="41"/>
      <c r="ALZ28" s="41"/>
      <c r="AMA28" s="41"/>
      <c r="AMB28" s="41"/>
      <c r="AMC28" s="41"/>
      <c r="AMD28" s="41"/>
      <c r="AME28" s="41"/>
      <c r="AMF28" s="41"/>
      <c r="AMG28" s="41"/>
      <c r="AMH28" s="41"/>
      <c r="AMI28" s="41"/>
      <c r="AMJ28" s="41"/>
      <c r="AMK28" s="41"/>
      <c r="AML28" s="41"/>
      <c r="AMM28" s="41"/>
      <c r="AMN28" s="41"/>
      <c r="AMO28" s="41"/>
      <c r="AMP28" s="41"/>
      <c r="AMQ28" s="41"/>
      <c r="AMR28" s="41"/>
      <c r="AMS28" s="41"/>
      <c r="AMT28" s="41"/>
      <c r="AMU28" s="41"/>
      <c r="AMV28" s="41"/>
      <c r="AMW28" s="41"/>
      <c r="AMX28" s="41"/>
      <c r="AMY28" s="41"/>
      <c r="AMZ28" s="41"/>
      <c r="ANA28" s="41"/>
      <c r="ANB28" s="41"/>
      <c r="ANC28" s="41"/>
      <c r="AND28" s="41"/>
      <c r="ANE28" s="41"/>
      <c r="ANF28" s="41"/>
      <c r="ANG28" s="41"/>
      <c r="ANH28" s="41"/>
      <c r="ANI28" s="41"/>
      <c r="ANJ28" s="41"/>
      <c r="ANK28" s="41"/>
    </row>
    <row r="29" s="44" customFormat="true" ht="15" hidden="false" customHeight="false" outlineLevel="0" collapsed="false">
      <c r="A29" s="42" t="s">
        <v>51</v>
      </c>
      <c r="B29" s="43" t="n">
        <v>0.908402</v>
      </c>
      <c r="C29" s="44" t="n">
        <v>1.265738</v>
      </c>
      <c r="D29" s="44" t="n">
        <v>5E-006</v>
      </c>
      <c r="E29" s="45" t="n">
        <v>0</v>
      </c>
      <c r="F29" s="43" t="n">
        <v>34.4</v>
      </c>
      <c r="G29" s="44" t="n">
        <v>0</v>
      </c>
      <c r="H29" s="46" t="n">
        <v>0</v>
      </c>
      <c r="I29" s="47" t="n">
        <v>853</v>
      </c>
      <c r="J29" s="48" t="n">
        <v>0</v>
      </c>
      <c r="K29" s="43"/>
      <c r="M29" s="46" t="n">
        <v>0.005</v>
      </c>
      <c r="N29" s="43" t="n">
        <v>13.5</v>
      </c>
      <c r="O29" s="46" t="n">
        <v>39.5</v>
      </c>
      <c r="P29" s="49" t="n">
        <v>804.077483788764</v>
      </c>
      <c r="Q29" s="50" t="n">
        <v>-25209.405062563</v>
      </c>
      <c r="R29" s="44" t="n">
        <v>6100</v>
      </c>
      <c r="S29" s="44" t="n">
        <v>6300</v>
      </c>
      <c r="T29" s="44" t="n">
        <v>11000</v>
      </c>
      <c r="U29" s="44" t="n">
        <v>14000</v>
      </c>
      <c r="V29" s="44" t="n">
        <v>15000</v>
      </c>
      <c r="W29" s="44" t="n">
        <v>14000</v>
      </c>
      <c r="X29" s="44" t="n">
        <v>14000</v>
      </c>
      <c r="Y29" s="44" t="n">
        <v>15100</v>
      </c>
      <c r="Z29" s="44" t="n">
        <v>14200</v>
      </c>
      <c r="AA29" s="44" t="n">
        <v>15100</v>
      </c>
      <c r="AB29" s="44" t="n">
        <v>20200</v>
      </c>
      <c r="AC29" s="44" t="n">
        <v>20600</v>
      </c>
      <c r="AD29" s="44" t="n">
        <v>23500</v>
      </c>
      <c r="AE29" s="44" t="n">
        <v>25800</v>
      </c>
      <c r="AF29" s="44" t="n">
        <v>25400</v>
      </c>
      <c r="AG29" s="44" t="n">
        <v>18800</v>
      </c>
      <c r="AH29" s="44" t="n">
        <v>28100</v>
      </c>
      <c r="AI29" s="44" t="n">
        <v>34100</v>
      </c>
      <c r="AJ29" s="44" t="n">
        <v>35000</v>
      </c>
      <c r="AK29" s="44" t="n">
        <v>34000</v>
      </c>
      <c r="AL29" s="44" t="n">
        <v>31700</v>
      </c>
      <c r="AM29" s="44" t="n">
        <v>31500</v>
      </c>
      <c r="AN29" s="46" t="n">
        <v>35000</v>
      </c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41"/>
      <c r="KZ29" s="41"/>
      <c r="LA29" s="41"/>
      <c r="LB29" s="41"/>
      <c r="LC29" s="41"/>
      <c r="LD29" s="41"/>
      <c r="LE29" s="41"/>
      <c r="LF29" s="41"/>
      <c r="LG29" s="41"/>
      <c r="LH29" s="41"/>
      <c r="LI29" s="41"/>
      <c r="LJ29" s="41"/>
      <c r="LK29" s="41"/>
      <c r="LL29" s="41"/>
      <c r="LM29" s="41"/>
      <c r="LN29" s="41"/>
      <c r="LO29" s="41"/>
      <c r="LP29" s="41"/>
      <c r="LQ29" s="41"/>
      <c r="LR29" s="41"/>
      <c r="LS29" s="41"/>
      <c r="LT29" s="41"/>
      <c r="LU29" s="41"/>
      <c r="LV29" s="41"/>
      <c r="LW29" s="41"/>
      <c r="LX29" s="41"/>
      <c r="LY29" s="41"/>
      <c r="LZ29" s="41"/>
      <c r="MA29" s="41"/>
      <c r="MB29" s="41"/>
      <c r="MC29" s="41"/>
      <c r="MD29" s="41"/>
      <c r="ME29" s="41"/>
      <c r="MF29" s="41"/>
      <c r="MG29" s="41"/>
      <c r="MH29" s="41"/>
      <c r="MI29" s="41"/>
      <c r="MJ29" s="41"/>
      <c r="MK29" s="41"/>
      <c r="ML29" s="41"/>
      <c r="MM29" s="41"/>
      <c r="MN29" s="41"/>
      <c r="MO29" s="41"/>
      <c r="MP29" s="41"/>
      <c r="MQ29" s="41"/>
      <c r="MR29" s="41"/>
      <c r="MS29" s="41"/>
      <c r="MT29" s="41"/>
      <c r="MU29" s="41"/>
      <c r="MV29" s="41"/>
      <c r="MW29" s="41"/>
      <c r="MX29" s="41"/>
      <c r="MY29" s="41"/>
      <c r="MZ29" s="41"/>
      <c r="NA29" s="41"/>
      <c r="NB29" s="41"/>
      <c r="NC29" s="41"/>
      <c r="ND29" s="41"/>
      <c r="NE29" s="41"/>
      <c r="NF29" s="41"/>
      <c r="NG29" s="41"/>
      <c r="NH29" s="41"/>
      <c r="NI29" s="41"/>
      <c r="NJ29" s="41"/>
      <c r="NK29" s="41"/>
      <c r="NL29" s="41"/>
      <c r="NM29" s="41"/>
      <c r="NN29" s="41"/>
      <c r="NO29" s="41"/>
      <c r="NP29" s="41"/>
      <c r="NQ29" s="41"/>
      <c r="NR29" s="41"/>
      <c r="NS29" s="41"/>
      <c r="NT29" s="41"/>
      <c r="NU29" s="41"/>
      <c r="NV29" s="41"/>
      <c r="NW29" s="41"/>
      <c r="NX29" s="41"/>
      <c r="NY29" s="41"/>
      <c r="NZ29" s="41"/>
      <c r="OA29" s="41"/>
      <c r="OB29" s="41"/>
      <c r="OC29" s="41"/>
      <c r="OD29" s="41"/>
      <c r="OE29" s="41"/>
      <c r="OF29" s="41"/>
      <c r="OG29" s="41"/>
      <c r="OH29" s="41"/>
      <c r="OI29" s="41"/>
      <c r="OJ29" s="41"/>
      <c r="OK29" s="41"/>
      <c r="OL29" s="41"/>
      <c r="OM29" s="41"/>
      <c r="ON29" s="41"/>
      <c r="OO29" s="41"/>
      <c r="OP29" s="41"/>
      <c r="OQ29" s="41"/>
      <c r="OR29" s="41"/>
      <c r="OS29" s="41"/>
      <c r="OT29" s="41"/>
      <c r="OU29" s="41"/>
      <c r="OV29" s="41"/>
      <c r="OW29" s="41"/>
      <c r="OX29" s="41"/>
      <c r="OY29" s="41"/>
      <c r="OZ29" s="41"/>
      <c r="PA29" s="41"/>
      <c r="PB29" s="41"/>
      <c r="PC29" s="41"/>
      <c r="PD29" s="41"/>
      <c r="PE29" s="41"/>
      <c r="PF29" s="41"/>
      <c r="PG29" s="41"/>
      <c r="PH29" s="41"/>
      <c r="PI29" s="41"/>
      <c r="PJ29" s="41"/>
      <c r="PK29" s="41"/>
      <c r="PL29" s="41"/>
      <c r="PM29" s="41"/>
      <c r="PN29" s="41"/>
      <c r="PO29" s="41"/>
      <c r="PP29" s="41"/>
      <c r="PQ29" s="41"/>
      <c r="PR29" s="41"/>
      <c r="PS29" s="41"/>
      <c r="PT29" s="41"/>
      <c r="PU29" s="41"/>
      <c r="PV29" s="41"/>
      <c r="PW29" s="41"/>
      <c r="PX29" s="41"/>
      <c r="PY29" s="41"/>
      <c r="PZ29" s="41"/>
      <c r="QA29" s="41"/>
      <c r="QB29" s="41"/>
      <c r="QC29" s="41"/>
      <c r="QD29" s="41"/>
      <c r="QE29" s="41"/>
      <c r="QF29" s="41"/>
      <c r="QG29" s="41"/>
      <c r="QH29" s="41"/>
      <c r="QI29" s="41"/>
      <c r="QJ29" s="41"/>
      <c r="QK29" s="41"/>
      <c r="QL29" s="41"/>
      <c r="QM29" s="41"/>
      <c r="QN29" s="41"/>
      <c r="QO29" s="41"/>
      <c r="QP29" s="41"/>
      <c r="QQ29" s="41"/>
      <c r="QR29" s="41"/>
      <c r="QS29" s="41"/>
      <c r="QT29" s="41"/>
      <c r="QU29" s="41"/>
      <c r="QV29" s="41"/>
      <c r="QW29" s="41"/>
      <c r="QX29" s="41"/>
      <c r="QY29" s="41"/>
      <c r="QZ29" s="41"/>
      <c r="RA29" s="41"/>
      <c r="RB29" s="41"/>
      <c r="RC29" s="41"/>
      <c r="RD29" s="41"/>
      <c r="RE29" s="41"/>
      <c r="RF29" s="41"/>
      <c r="RG29" s="41"/>
      <c r="RH29" s="41"/>
      <c r="RI29" s="41"/>
      <c r="RJ29" s="41"/>
      <c r="RK29" s="41"/>
      <c r="RL29" s="41"/>
      <c r="RM29" s="41"/>
      <c r="RN29" s="41"/>
      <c r="RO29" s="41"/>
      <c r="RP29" s="41"/>
      <c r="RQ29" s="41"/>
      <c r="RR29" s="41"/>
      <c r="RS29" s="41"/>
      <c r="RT29" s="41"/>
      <c r="RU29" s="41"/>
      <c r="RV29" s="41"/>
      <c r="RW29" s="41"/>
      <c r="RX29" s="41"/>
      <c r="RY29" s="41"/>
      <c r="RZ29" s="41"/>
      <c r="SA29" s="41"/>
      <c r="SB29" s="41"/>
      <c r="SC29" s="41"/>
      <c r="SD29" s="41"/>
      <c r="SE29" s="41"/>
      <c r="SF29" s="41"/>
      <c r="SG29" s="41"/>
      <c r="SH29" s="41"/>
      <c r="SI29" s="41"/>
      <c r="SJ29" s="41"/>
      <c r="SK29" s="41"/>
      <c r="SL29" s="41"/>
      <c r="SM29" s="41"/>
      <c r="SN29" s="41"/>
      <c r="SO29" s="41"/>
      <c r="SP29" s="41"/>
      <c r="SQ29" s="41"/>
      <c r="SR29" s="41"/>
      <c r="SS29" s="41"/>
      <c r="ST29" s="41"/>
      <c r="SU29" s="41"/>
      <c r="SV29" s="41"/>
      <c r="SW29" s="41"/>
      <c r="SX29" s="41"/>
      <c r="SY29" s="41"/>
      <c r="SZ29" s="41"/>
      <c r="TA29" s="41"/>
      <c r="TB29" s="41"/>
      <c r="TC29" s="41"/>
      <c r="TD29" s="41"/>
      <c r="TE29" s="41"/>
      <c r="TF29" s="41"/>
      <c r="TG29" s="41"/>
      <c r="TH29" s="41"/>
      <c r="TI29" s="41"/>
      <c r="TJ29" s="41"/>
      <c r="TK29" s="41"/>
      <c r="TL29" s="41"/>
      <c r="TM29" s="41"/>
      <c r="TN29" s="41"/>
      <c r="TO29" s="41"/>
      <c r="TP29" s="41"/>
      <c r="TQ29" s="41"/>
      <c r="TR29" s="41"/>
      <c r="TS29" s="41"/>
      <c r="TT29" s="41"/>
      <c r="TU29" s="41"/>
      <c r="TV29" s="41"/>
      <c r="TW29" s="41"/>
      <c r="TX29" s="41"/>
      <c r="TY29" s="41"/>
      <c r="TZ29" s="41"/>
      <c r="UA29" s="41"/>
      <c r="UB29" s="41"/>
      <c r="UC29" s="41"/>
      <c r="UD29" s="41"/>
      <c r="UE29" s="41"/>
      <c r="UF29" s="41"/>
      <c r="UG29" s="41"/>
      <c r="UH29" s="41"/>
      <c r="UI29" s="41"/>
      <c r="UJ29" s="41"/>
      <c r="UK29" s="41"/>
      <c r="UL29" s="41"/>
      <c r="UM29" s="41"/>
      <c r="UN29" s="41"/>
      <c r="UO29" s="41"/>
      <c r="UP29" s="41"/>
      <c r="UQ29" s="41"/>
      <c r="UR29" s="41"/>
      <c r="US29" s="41"/>
      <c r="UT29" s="41"/>
      <c r="UU29" s="41"/>
      <c r="UV29" s="41"/>
      <c r="UW29" s="41"/>
      <c r="UX29" s="41"/>
      <c r="UY29" s="41"/>
      <c r="UZ29" s="41"/>
      <c r="VA29" s="41"/>
      <c r="VB29" s="41"/>
      <c r="VC29" s="41"/>
      <c r="VD29" s="41"/>
      <c r="VE29" s="41"/>
      <c r="VF29" s="41"/>
      <c r="VG29" s="41"/>
      <c r="VH29" s="41"/>
      <c r="VI29" s="41"/>
      <c r="VJ29" s="41"/>
      <c r="VK29" s="41"/>
      <c r="VL29" s="41"/>
      <c r="VM29" s="41"/>
      <c r="VN29" s="41"/>
      <c r="VO29" s="41"/>
      <c r="VP29" s="41"/>
      <c r="VQ29" s="41"/>
      <c r="VR29" s="41"/>
      <c r="VS29" s="41"/>
      <c r="VT29" s="41"/>
      <c r="VU29" s="41"/>
      <c r="VV29" s="41"/>
      <c r="VW29" s="41"/>
      <c r="VX29" s="41"/>
      <c r="VY29" s="41"/>
      <c r="VZ29" s="41"/>
      <c r="WA29" s="41"/>
      <c r="WB29" s="41"/>
      <c r="WC29" s="41"/>
      <c r="WD29" s="41"/>
      <c r="WE29" s="41"/>
      <c r="WF29" s="41"/>
      <c r="WG29" s="41"/>
      <c r="WH29" s="41"/>
      <c r="WI29" s="41"/>
      <c r="WJ29" s="41"/>
      <c r="WK29" s="41"/>
      <c r="WL29" s="41"/>
      <c r="WM29" s="41"/>
      <c r="WN29" s="41"/>
      <c r="WO29" s="41"/>
      <c r="WP29" s="41"/>
      <c r="WQ29" s="41"/>
      <c r="WR29" s="41"/>
      <c r="WS29" s="41"/>
      <c r="WT29" s="41"/>
      <c r="WU29" s="41"/>
      <c r="WV29" s="41"/>
      <c r="WW29" s="41"/>
      <c r="WX29" s="41"/>
      <c r="WY29" s="41"/>
      <c r="WZ29" s="41"/>
      <c r="XA29" s="41"/>
      <c r="XB29" s="41"/>
      <c r="XC29" s="41"/>
      <c r="XD29" s="41"/>
      <c r="XE29" s="41"/>
      <c r="XF29" s="41"/>
      <c r="XG29" s="41"/>
      <c r="XH29" s="41"/>
      <c r="XI29" s="41"/>
      <c r="XJ29" s="41"/>
      <c r="XK29" s="41"/>
      <c r="XL29" s="41"/>
      <c r="XM29" s="41"/>
      <c r="XN29" s="41"/>
      <c r="XO29" s="41"/>
      <c r="XP29" s="41"/>
      <c r="XQ29" s="41"/>
      <c r="XR29" s="41"/>
      <c r="XS29" s="41"/>
      <c r="XT29" s="41"/>
      <c r="XU29" s="41"/>
      <c r="XV29" s="41"/>
      <c r="XW29" s="41"/>
      <c r="XX29" s="41"/>
      <c r="XY29" s="41"/>
      <c r="XZ29" s="41"/>
      <c r="YA29" s="41"/>
      <c r="YB29" s="41"/>
      <c r="YC29" s="41"/>
      <c r="YD29" s="41"/>
      <c r="YE29" s="41"/>
      <c r="YF29" s="41"/>
      <c r="YG29" s="41"/>
      <c r="YH29" s="41"/>
      <c r="YI29" s="41"/>
      <c r="YJ29" s="41"/>
      <c r="YK29" s="41"/>
      <c r="YL29" s="41"/>
      <c r="YM29" s="41"/>
      <c r="YN29" s="41"/>
      <c r="YO29" s="41"/>
      <c r="YP29" s="41"/>
      <c r="YQ29" s="41"/>
      <c r="YR29" s="41"/>
      <c r="YS29" s="41"/>
      <c r="YT29" s="41"/>
      <c r="YU29" s="41"/>
      <c r="YV29" s="41"/>
      <c r="YW29" s="41"/>
      <c r="YX29" s="41"/>
      <c r="YY29" s="41"/>
      <c r="YZ29" s="41"/>
      <c r="ZA29" s="41"/>
      <c r="ZB29" s="41"/>
      <c r="ZC29" s="41"/>
      <c r="ZD29" s="41"/>
      <c r="ZE29" s="41"/>
      <c r="ZF29" s="41"/>
      <c r="ZG29" s="41"/>
      <c r="ZH29" s="41"/>
      <c r="ZI29" s="41"/>
      <c r="ZJ29" s="41"/>
      <c r="ZK29" s="41"/>
      <c r="ZL29" s="41"/>
      <c r="ZM29" s="41"/>
      <c r="ZN29" s="41"/>
      <c r="ZO29" s="41"/>
      <c r="ZP29" s="41"/>
      <c r="ZQ29" s="41"/>
      <c r="ZR29" s="41"/>
      <c r="ZS29" s="41"/>
      <c r="ZT29" s="41"/>
      <c r="ZU29" s="41"/>
      <c r="ZV29" s="41"/>
      <c r="ZW29" s="41"/>
      <c r="ZX29" s="41"/>
      <c r="ZY29" s="41"/>
      <c r="ZZ29" s="41"/>
      <c r="AAA29" s="41"/>
      <c r="AAB29" s="41"/>
      <c r="AAC29" s="41"/>
      <c r="AAD29" s="41"/>
      <c r="AAE29" s="41"/>
      <c r="AAF29" s="41"/>
      <c r="AAG29" s="41"/>
      <c r="AAH29" s="41"/>
      <c r="AAI29" s="41"/>
      <c r="AAJ29" s="41"/>
      <c r="AAK29" s="41"/>
      <c r="AAL29" s="41"/>
      <c r="AAM29" s="41"/>
      <c r="AAN29" s="41"/>
      <c r="AAO29" s="41"/>
      <c r="AAP29" s="41"/>
      <c r="AAQ29" s="41"/>
      <c r="AAR29" s="41"/>
      <c r="AAS29" s="41"/>
      <c r="AAT29" s="41"/>
      <c r="AAU29" s="41"/>
      <c r="AAV29" s="41"/>
      <c r="AAW29" s="41"/>
      <c r="AAX29" s="41"/>
      <c r="AAY29" s="41"/>
      <c r="AAZ29" s="41"/>
      <c r="ABA29" s="41"/>
      <c r="ABB29" s="41"/>
      <c r="ABC29" s="41"/>
      <c r="ABD29" s="41"/>
      <c r="ABE29" s="41"/>
      <c r="ABF29" s="41"/>
      <c r="ABG29" s="41"/>
      <c r="ABH29" s="41"/>
      <c r="ABI29" s="41"/>
      <c r="ABJ29" s="41"/>
      <c r="ABK29" s="41"/>
      <c r="ABL29" s="41"/>
      <c r="ABM29" s="41"/>
      <c r="ABN29" s="41"/>
      <c r="ABO29" s="41"/>
      <c r="ABP29" s="41"/>
      <c r="ABQ29" s="41"/>
      <c r="ABR29" s="41"/>
      <c r="ABS29" s="41"/>
      <c r="ABT29" s="41"/>
      <c r="ABU29" s="41"/>
      <c r="ABV29" s="41"/>
      <c r="ABW29" s="41"/>
      <c r="ABX29" s="41"/>
      <c r="ABY29" s="41"/>
      <c r="ABZ29" s="41"/>
      <c r="ACA29" s="41"/>
      <c r="ACB29" s="41"/>
      <c r="ACC29" s="41"/>
      <c r="ACD29" s="41"/>
      <c r="ACE29" s="41"/>
      <c r="ACF29" s="41"/>
      <c r="ACG29" s="41"/>
      <c r="ACH29" s="41"/>
      <c r="ACI29" s="41"/>
      <c r="ACJ29" s="41"/>
      <c r="ACK29" s="41"/>
      <c r="ACL29" s="41"/>
      <c r="ACM29" s="41"/>
      <c r="ACN29" s="41"/>
      <c r="ACO29" s="41"/>
      <c r="ACP29" s="41"/>
      <c r="ACQ29" s="41"/>
      <c r="ACR29" s="41"/>
      <c r="ACS29" s="41"/>
      <c r="ACT29" s="41"/>
      <c r="ACU29" s="41"/>
      <c r="ACV29" s="41"/>
      <c r="ACW29" s="41"/>
      <c r="ACX29" s="41"/>
      <c r="ACY29" s="41"/>
      <c r="ACZ29" s="41"/>
      <c r="ADA29" s="41"/>
      <c r="ADB29" s="41"/>
      <c r="ADC29" s="41"/>
      <c r="ADD29" s="41"/>
      <c r="ADE29" s="41"/>
      <c r="ADF29" s="41"/>
      <c r="ADG29" s="41"/>
      <c r="ADH29" s="41"/>
      <c r="ADI29" s="41"/>
      <c r="ADJ29" s="41"/>
      <c r="ADK29" s="41"/>
      <c r="ADL29" s="41"/>
      <c r="ADM29" s="41"/>
      <c r="ADN29" s="41"/>
      <c r="ADO29" s="41"/>
      <c r="ADP29" s="41"/>
      <c r="ADQ29" s="41"/>
      <c r="ADR29" s="41"/>
      <c r="ADS29" s="41"/>
      <c r="ADT29" s="41"/>
      <c r="ADU29" s="41"/>
      <c r="ADV29" s="41"/>
      <c r="ADW29" s="41"/>
      <c r="ADX29" s="41"/>
      <c r="ADY29" s="41"/>
      <c r="ADZ29" s="41"/>
      <c r="AEA29" s="41"/>
      <c r="AEB29" s="41"/>
      <c r="AEC29" s="41"/>
      <c r="AED29" s="41"/>
      <c r="AEE29" s="41"/>
      <c r="AEF29" s="41"/>
      <c r="AEG29" s="41"/>
      <c r="AEH29" s="41"/>
      <c r="AEI29" s="41"/>
      <c r="AEJ29" s="41"/>
      <c r="AEK29" s="41"/>
      <c r="AEL29" s="41"/>
      <c r="AEM29" s="41"/>
      <c r="AEN29" s="41"/>
      <c r="AEO29" s="41"/>
      <c r="AEP29" s="41"/>
      <c r="AEQ29" s="41"/>
      <c r="AER29" s="41"/>
      <c r="AES29" s="41"/>
      <c r="AET29" s="41"/>
      <c r="AEU29" s="41"/>
      <c r="AEV29" s="41"/>
      <c r="AEW29" s="41"/>
      <c r="AEX29" s="41"/>
      <c r="AEY29" s="41"/>
      <c r="AEZ29" s="41"/>
      <c r="AFA29" s="41"/>
      <c r="AFB29" s="41"/>
      <c r="AFC29" s="41"/>
      <c r="AFD29" s="41"/>
      <c r="AFE29" s="41"/>
      <c r="AFF29" s="41"/>
      <c r="AFG29" s="41"/>
      <c r="AFH29" s="41"/>
      <c r="AFI29" s="41"/>
      <c r="AFJ29" s="41"/>
      <c r="AFK29" s="41"/>
      <c r="AFL29" s="41"/>
      <c r="AFM29" s="41"/>
      <c r="AFN29" s="41"/>
      <c r="AFO29" s="41"/>
      <c r="AFP29" s="41"/>
      <c r="AFQ29" s="41"/>
      <c r="AFR29" s="41"/>
      <c r="AFS29" s="41"/>
      <c r="AFT29" s="41"/>
      <c r="AFU29" s="41"/>
      <c r="AFV29" s="41"/>
      <c r="AFW29" s="41"/>
      <c r="AFX29" s="41"/>
      <c r="AFY29" s="41"/>
      <c r="AFZ29" s="41"/>
      <c r="AGA29" s="41"/>
      <c r="AGB29" s="41"/>
      <c r="AGC29" s="41"/>
      <c r="AGD29" s="41"/>
      <c r="AGE29" s="41"/>
      <c r="AGF29" s="41"/>
      <c r="AGG29" s="41"/>
      <c r="AGH29" s="41"/>
      <c r="AGI29" s="41"/>
      <c r="AGJ29" s="41"/>
      <c r="AGK29" s="41"/>
      <c r="AGL29" s="41"/>
      <c r="AGM29" s="41"/>
      <c r="AGN29" s="41"/>
      <c r="AGO29" s="41"/>
      <c r="AGP29" s="41"/>
      <c r="AGQ29" s="41"/>
      <c r="AGR29" s="41"/>
      <c r="AGS29" s="41"/>
      <c r="AGT29" s="41"/>
      <c r="AGU29" s="41"/>
      <c r="AGV29" s="41"/>
      <c r="AGW29" s="41"/>
      <c r="AGX29" s="41"/>
      <c r="AGY29" s="41"/>
      <c r="AGZ29" s="41"/>
      <c r="AHA29" s="41"/>
      <c r="AHB29" s="41"/>
      <c r="AHC29" s="41"/>
      <c r="AHD29" s="41"/>
      <c r="AHE29" s="41"/>
      <c r="AHF29" s="41"/>
      <c r="AHG29" s="41"/>
      <c r="AHH29" s="41"/>
      <c r="AHI29" s="41"/>
      <c r="AHJ29" s="41"/>
      <c r="AHK29" s="41"/>
      <c r="AHL29" s="41"/>
      <c r="AHM29" s="41"/>
      <c r="AHN29" s="41"/>
      <c r="AHO29" s="41"/>
      <c r="AHP29" s="41"/>
      <c r="AHQ29" s="41"/>
      <c r="AHR29" s="41"/>
      <c r="AHS29" s="41"/>
      <c r="AHT29" s="41"/>
      <c r="AHU29" s="41"/>
      <c r="AHV29" s="41"/>
      <c r="AHW29" s="41"/>
      <c r="AHX29" s="41"/>
      <c r="AHY29" s="41"/>
      <c r="AHZ29" s="41"/>
      <c r="AIA29" s="41"/>
      <c r="AIB29" s="41"/>
      <c r="AIC29" s="41"/>
      <c r="AID29" s="41"/>
      <c r="AIE29" s="41"/>
      <c r="AIF29" s="41"/>
      <c r="AIG29" s="41"/>
      <c r="AIH29" s="41"/>
      <c r="AII29" s="41"/>
      <c r="AIJ29" s="41"/>
      <c r="AIK29" s="41"/>
      <c r="AIL29" s="41"/>
      <c r="AIM29" s="41"/>
      <c r="AIN29" s="41"/>
      <c r="AIO29" s="41"/>
      <c r="AIP29" s="41"/>
      <c r="AIQ29" s="41"/>
      <c r="AIR29" s="41"/>
      <c r="AIS29" s="41"/>
      <c r="AIT29" s="41"/>
      <c r="AIU29" s="41"/>
      <c r="AIV29" s="41"/>
      <c r="AIW29" s="41"/>
      <c r="AIX29" s="41"/>
      <c r="AIY29" s="41"/>
      <c r="AIZ29" s="41"/>
      <c r="AJA29" s="41"/>
      <c r="AJB29" s="41"/>
      <c r="AJC29" s="41"/>
      <c r="AJD29" s="41"/>
      <c r="AJE29" s="41"/>
      <c r="AJF29" s="41"/>
      <c r="AJG29" s="41"/>
      <c r="AJH29" s="41"/>
      <c r="AJI29" s="41"/>
      <c r="AJJ29" s="41"/>
      <c r="AJK29" s="41"/>
      <c r="AJL29" s="41"/>
      <c r="AJM29" s="41"/>
      <c r="AJN29" s="41"/>
      <c r="AJO29" s="41"/>
      <c r="AJP29" s="41"/>
      <c r="AJQ29" s="41"/>
      <c r="AJR29" s="41"/>
      <c r="AJS29" s="41"/>
      <c r="AJT29" s="41"/>
      <c r="AJU29" s="41"/>
      <c r="AJV29" s="41"/>
      <c r="AJW29" s="41"/>
      <c r="AJX29" s="41"/>
      <c r="AJY29" s="41"/>
      <c r="AJZ29" s="41"/>
      <c r="AKA29" s="41"/>
      <c r="AKB29" s="41"/>
      <c r="AKC29" s="41"/>
      <c r="AKD29" s="41"/>
      <c r="AKE29" s="41"/>
      <c r="AKF29" s="41"/>
      <c r="AKG29" s="41"/>
      <c r="AKH29" s="41"/>
      <c r="AKI29" s="41"/>
      <c r="AKJ29" s="41"/>
      <c r="AKK29" s="41"/>
      <c r="AKL29" s="41"/>
      <c r="AKM29" s="41"/>
      <c r="AKN29" s="41"/>
      <c r="AKO29" s="41"/>
      <c r="AKP29" s="41"/>
      <c r="AKQ29" s="41"/>
      <c r="AKR29" s="41"/>
      <c r="AKS29" s="41"/>
      <c r="AKT29" s="41"/>
      <c r="AKU29" s="41"/>
      <c r="AKV29" s="41"/>
      <c r="AKW29" s="41"/>
      <c r="AKX29" s="41"/>
      <c r="AKY29" s="41"/>
      <c r="AKZ29" s="41"/>
      <c r="ALA29" s="41"/>
      <c r="ALB29" s="41"/>
      <c r="ALC29" s="41"/>
      <c r="ALD29" s="41"/>
      <c r="ALE29" s="41"/>
      <c r="ALF29" s="41"/>
      <c r="ALG29" s="41"/>
      <c r="ALH29" s="41"/>
      <c r="ALI29" s="41"/>
      <c r="ALJ29" s="41"/>
      <c r="ALK29" s="41"/>
      <c r="ALL29" s="41"/>
      <c r="ALM29" s="41"/>
      <c r="ALN29" s="41"/>
      <c r="ALO29" s="41"/>
      <c r="ALP29" s="41"/>
      <c r="ALQ29" s="41"/>
      <c r="ALR29" s="41"/>
      <c r="ALS29" s="41"/>
      <c r="ALT29" s="41"/>
      <c r="ALU29" s="41"/>
      <c r="ALV29" s="41"/>
      <c r="ALW29" s="41"/>
      <c r="ALX29" s="41"/>
      <c r="ALY29" s="41"/>
      <c r="ALZ29" s="41"/>
      <c r="AMA29" s="41"/>
      <c r="AMB29" s="41"/>
      <c r="AMC29" s="41"/>
      <c r="AMD29" s="41"/>
      <c r="AME29" s="41"/>
      <c r="AMF29" s="41"/>
      <c r="AMG29" s="41"/>
      <c r="AMH29" s="41"/>
      <c r="AMI29" s="41"/>
      <c r="AMJ29" s="41"/>
      <c r="AMK29" s="41"/>
      <c r="AML29" s="41"/>
      <c r="AMM29" s="41"/>
      <c r="AMN29" s="41"/>
      <c r="AMO29" s="41"/>
      <c r="AMP29" s="41"/>
      <c r="AMQ29" s="41"/>
      <c r="AMR29" s="41"/>
      <c r="AMS29" s="41"/>
      <c r="AMT29" s="41"/>
      <c r="AMU29" s="41"/>
      <c r="AMV29" s="41"/>
      <c r="AMW29" s="41"/>
      <c r="AMX29" s="41"/>
      <c r="AMY29" s="41"/>
      <c r="AMZ29" s="41"/>
      <c r="ANA29" s="41"/>
      <c r="ANB29" s="41"/>
      <c r="ANC29" s="41"/>
      <c r="AND29" s="41"/>
      <c r="ANE29" s="41"/>
      <c r="ANF29" s="41"/>
      <c r="ANG29" s="41"/>
      <c r="ANH29" s="41"/>
      <c r="ANI29" s="41"/>
      <c r="ANJ29" s="41"/>
      <c r="ANK29" s="41"/>
    </row>
    <row r="30" s="44" customFormat="true" ht="15" hidden="false" customHeight="false" outlineLevel="0" collapsed="false">
      <c r="A30" s="42" t="s">
        <v>52</v>
      </c>
      <c r="B30" s="43" t="n">
        <v>640</v>
      </c>
      <c r="C30" s="44" t="n">
        <v>640</v>
      </c>
      <c r="D30" s="44" t="n">
        <v>0</v>
      </c>
      <c r="E30" s="45" t="n">
        <v>0</v>
      </c>
      <c r="F30" s="43" t="n">
        <v>0</v>
      </c>
      <c r="G30" s="44" t="n">
        <v>0</v>
      </c>
      <c r="H30" s="46" t="n">
        <v>0</v>
      </c>
      <c r="I30" s="47" t="n">
        <v>100</v>
      </c>
      <c r="J30" s="48" t="n">
        <v>0</v>
      </c>
      <c r="K30" s="43"/>
      <c r="M30" s="46" t="n">
        <v>0</v>
      </c>
      <c r="N30" s="43" t="n">
        <v>0</v>
      </c>
      <c r="O30" s="46" t="n">
        <v>0</v>
      </c>
      <c r="P30" s="49" t="n">
        <v>0</v>
      </c>
      <c r="Q30" s="50" t="n">
        <v>0</v>
      </c>
      <c r="R30" s="44" t="n">
        <v>0</v>
      </c>
      <c r="S30" s="44" t="n">
        <v>0</v>
      </c>
      <c r="T30" s="44" t="n">
        <v>0</v>
      </c>
      <c r="U30" s="44" t="n">
        <v>0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6" t="n">
        <v>0</v>
      </c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41"/>
      <c r="KZ30" s="41"/>
      <c r="LA30" s="41"/>
      <c r="LB30" s="41"/>
      <c r="LC30" s="41"/>
      <c r="LD30" s="41"/>
      <c r="LE30" s="41"/>
      <c r="LF30" s="41"/>
      <c r="LG30" s="41"/>
      <c r="LH30" s="41"/>
      <c r="LI30" s="41"/>
      <c r="LJ30" s="41"/>
      <c r="LK30" s="41"/>
      <c r="LL30" s="41"/>
      <c r="LM30" s="41"/>
      <c r="LN30" s="41"/>
      <c r="LO30" s="41"/>
      <c r="LP30" s="41"/>
      <c r="LQ30" s="41"/>
      <c r="LR30" s="41"/>
      <c r="LS30" s="41"/>
      <c r="LT30" s="41"/>
      <c r="LU30" s="41"/>
      <c r="LV30" s="41"/>
      <c r="LW30" s="41"/>
      <c r="LX30" s="41"/>
      <c r="LY30" s="41"/>
      <c r="LZ30" s="41"/>
      <c r="MA30" s="41"/>
      <c r="MB30" s="41"/>
      <c r="MC30" s="41"/>
      <c r="MD30" s="41"/>
      <c r="ME30" s="41"/>
      <c r="MF30" s="41"/>
      <c r="MG30" s="41"/>
      <c r="MH30" s="41"/>
      <c r="MI30" s="41"/>
      <c r="MJ30" s="41"/>
      <c r="MK30" s="41"/>
      <c r="ML30" s="41"/>
      <c r="MM30" s="41"/>
      <c r="MN30" s="41"/>
      <c r="MO30" s="41"/>
      <c r="MP30" s="41"/>
      <c r="MQ30" s="41"/>
      <c r="MR30" s="41"/>
      <c r="MS30" s="41"/>
      <c r="MT30" s="41"/>
      <c r="MU30" s="41"/>
      <c r="MV30" s="41"/>
      <c r="MW30" s="41"/>
      <c r="MX30" s="41"/>
      <c r="MY30" s="41"/>
      <c r="MZ30" s="41"/>
      <c r="NA30" s="41"/>
      <c r="NB30" s="41"/>
      <c r="NC30" s="41"/>
      <c r="ND30" s="41"/>
      <c r="NE30" s="41"/>
      <c r="NF30" s="41"/>
      <c r="NG30" s="41"/>
      <c r="NH30" s="41"/>
      <c r="NI30" s="41"/>
      <c r="NJ30" s="41"/>
      <c r="NK30" s="41"/>
      <c r="NL30" s="41"/>
      <c r="NM30" s="41"/>
      <c r="NN30" s="41"/>
      <c r="NO30" s="41"/>
      <c r="NP30" s="41"/>
      <c r="NQ30" s="41"/>
      <c r="NR30" s="41"/>
      <c r="NS30" s="41"/>
      <c r="NT30" s="41"/>
      <c r="NU30" s="41"/>
      <c r="NV30" s="41"/>
      <c r="NW30" s="41"/>
      <c r="NX30" s="41"/>
      <c r="NY30" s="41"/>
      <c r="NZ30" s="41"/>
      <c r="OA30" s="41"/>
      <c r="OB30" s="41"/>
      <c r="OC30" s="41"/>
      <c r="OD30" s="41"/>
      <c r="OE30" s="41"/>
      <c r="OF30" s="41"/>
      <c r="OG30" s="41"/>
      <c r="OH30" s="41"/>
      <c r="OI30" s="41"/>
      <c r="OJ30" s="41"/>
      <c r="OK30" s="41"/>
      <c r="OL30" s="41"/>
      <c r="OM30" s="41"/>
      <c r="ON30" s="41"/>
      <c r="OO30" s="41"/>
      <c r="OP30" s="41"/>
      <c r="OQ30" s="41"/>
      <c r="OR30" s="41"/>
      <c r="OS30" s="41"/>
      <c r="OT30" s="41"/>
      <c r="OU30" s="41"/>
      <c r="OV30" s="41"/>
      <c r="OW30" s="41"/>
      <c r="OX30" s="41"/>
      <c r="OY30" s="41"/>
      <c r="OZ30" s="41"/>
      <c r="PA30" s="41"/>
      <c r="PB30" s="41"/>
      <c r="PC30" s="41"/>
      <c r="PD30" s="41"/>
      <c r="PE30" s="41"/>
      <c r="PF30" s="41"/>
      <c r="PG30" s="41"/>
      <c r="PH30" s="41"/>
      <c r="PI30" s="41"/>
      <c r="PJ30" s="41"/>
      <c r="PK30" s="41"/>
      <c r="PL30" s="41"/>
      <c r="PM30" s="41"/>
      <c r="PN30" s="41"/>
      <c r="PO30" s="41"/>
      <c r="PP30" s="41"/>
      <c r="PQ30" s="41"/>
      <c r="PR30" s="41"/>
      <c r="PS30" s="41"/>
      <c r="PT30" s="41"/>
      <c r="PU30" s="41"/>
      <c r="PV30" s="41"/>
      <c r="PW30" s="41"/>
      <c r="PX30" s="41"/>
      <c r="PY30" s="41"/>
      <c r="PZ30" s="41"/>
      <c r="QA30" s="41"/>
      <c r="QB30" s="41"/>
      <c r="QC30" s="41"/>
      <c r="QD30" s="41"/>
      <c r="QE30" s="41"/>
      <c r="QF30" s="41"/>
      <c r="QG30" s="41"/>
      <c r="QH30" s="41"/>
      <c r="QI30" s="41"/>
      <c r="QJ30" s="41"/>
      <c r="QK30" s="41"/>
      <c r="QL30" s="41"/>
      <c r="QM30" s="41"/>
      <c r="QN30" s="41"/>
      <c r="QO30" s="41"/>
      <c r="QP30" s="41"/>
      <c r="QQ30" s="41"/>
      <c r="QR30" s="41"/>
      <c r="QS30" s="41"/>
      <c r="QT30" s="41"/>
      <c r="QU30" s="41"/>
      <c r="QV30" s="41"/>
      <c r="QW30" s="41"/>
      <c r="QX30" s="41"/>
      <c r="QY30" s="41"/>
      <c r="QZ30" s="41"/>
      <c r="RA30" s="41"/>
      <c r="RB30" s="41"/>
      <c r="RC30" s="41"/>
      <c r="RD30" s="41"/>
      <c r="RE30" s="41"/>
      <c r="RF30" s="41"/>
      <c r="RG30" s="41"/>
      <c r="RH30" s="41"/>
      <c r="RI30" s="41"/>
      <c r="RJ30" s="41"/>
      <c r="RK30" s="41"/>
      <c r="RL30" s="41"/>
      <c r="RM30" s="41"/>
      <c r="RN30" s="41"/>
      <c r="RO30" s="41"/>
      <c r="RP30" s="41"/>
      <c r="RQ30" s="41"/>
      <c r="RR30" s="41"/>
      <c r="RS30" s="41"/>
      <c r="RT30" s="41"/>
      <c r="RU30" s="41"/>
      <c r="RV30" s="41"/>
      <c r="RW30" s="41"/>
      <c r="RX30" s="41"/>
      <c r="RY30" s="41"/>
      <c r="RZ30" s="41"/>
      <c r="SA30" s="41"/>
      <c r="SB30" s="41"/>
      <c r="SC30" s="41"/>
      <c r="SD30" s="41"/>
      <c r="SE30" s="41"/>
      <c r="SF30" s="41"/>
      <c r="SG30" s="41"/>
      <c r="SH30" s="41"/>
      <c r="SI30" s="41"/>
      <c r="SJ30" s="41"/>
      <c r="SK30" s="41"/>
      <c r="SL30" s="41"/>
      <c r="SM30" s="41"/>
      <c r="SN30" s="41"/>
      <c r="SO30" s="41"/>
      <c r="SP30" s="41"/>
      <c r="SQ30" s="41"/>
      <c r="SR30" s="41"/>
      <c r="SS30" s="41"/>
      <c r="ST30" s="41"/>
      <c r="SU30" s="41"/>
      <c r="SV30" s="41"/>
      <c r="SW30" s="41"/>
      <c r="SX30" s="41"/>
      <c r="SY30" s="41"/>
      <c r="SZ30" s="41"/>
      <c r="TA30" s="41"/>
      <c r="TB30" s="41"/>
      <c r="TC30" s="41"/>
      <c r="TD30" s="41"/>
      <c r="TE30" s="41"/>
      <c r="TF30" s="41"/>
      <c r="TG30" s="41"/>
      <c r="TH30" s="41"/>
      <c r="TI30" s="41"/>
      <c r="TJ30" s="41"/>
      <c r="TK30" s="41"/>
      <c r="TL30" s="41"/>
      <c r="TM30" s="41"/>
      <c r="TN30" s="41"/>
      <c r="TO30" s="41"/>
      <c r="TP30" s="41"/>
      <c r="TQ30" s="41"/>
      <c r="TR30" s="41"/>
      <c r="TS30" s="41"/>
      <c r="TT30" s="41"/>
      <c r="TU30" s="41"/>
      <c r="TV30" s="41"/>
      <c r="TW30" s="41"/>
      <c r="TX30" s="41"/>
      <c r="TY30" s="41"/>
      <c r="TZ30" s="41"/>
      <c r="UA30" s="41"/>
      <c r="UB30" s="41"/>
      <c r="UC30" s="41"/>
      <c r="UD30" s="41"/>
      <c r="UE30" s="41"/>
      <c r="UF30" s="41"/>
      <c r="UG30" s="41"/>
      <c r="UH30" s="41"/>
      <c r="UI30" s="41"/>
      <c r="UJ30" s="41"/>
      <c r="UK30" s="41"/>
      <c r="UL30" s="41"/>
      <c r="UM30" s="41"/>
      <c r="UN30" s="41"/>
      <c r="UO30" s="41"/>
      <c r="UP30" s="41"/>
      <c r="UQ30" s="41"/>
      <c r="UR30" s="41"/>
      <c r="US30" s="41"/>
      <c r="UT30" s="41"/>
      <c r="UU30" s="41"/>
      <c r="UV30" s="41"/>
      <c r="UW30" s="41"/>
      <c r="UX30" s="41"/>
      <c r="UY30" s="41"/>
      <c r="UZ30" s="41"/>
      <c r="VA30" s="41"/>
      <c r="VB30" s="41"/>
      <c r="VC30" s="41"/>
      <c r="VD30" s="41"/>
      <c r="VE30" s="41"/>
      <c r="VF30" s="41"/>
      <c r="VG30" s="41"/>
      <c r="VH30" s="41"/>
      <c r="VI30" s="41"/>
      <c r="VJ30" s="41"/>
      <c r="VK30" s="41"/>
      <c r="VL30" s="41"/>
      <c r="VM30" s="41"/>
      <c r="VN30" s="41"/>
      <c r="VO30" s="41"/>
      <c r="VP30" s="41"/>
      <c r="VQ30" s="41"/>
      <c r="VR30" s="41"/>
      <c r="VS30" s="41"/>
      <c r="VT30" s="41"/>
      <c r="VU30" s="41"/>
      <c r="VV30" s="41"/>
      <c r="VW30" s="41"/>
      <c r="VX30" s="41"/>
      <c r="VY30" s="41"/>
      <c r="VZ30" s="41"/>
      <c r="WA30" s="41"/>
      <c r="WB30" s="41"/>
      <c r="WC30" s="41"/>
      <c r="WD30" s="41"/>
      <c r="WE30" s="41"/>
      <c r="WF30" s="41"/>
      <c r="WG30" s="41"/>
      <c r="WH30" s="41"/>
      <c r="WI30" s="41"/>
      <c r="WJ30" s="41"/>
      <c r="WK30" s="41"/>
      <c r="WL30" s="41"/>
      <c r="WM30" s="41"/>
      <c r="WN30" s="41"/>
      <c r="WO30" s="41"/>
      <c r="WP30" s="41"/>
      <c r="WQ30" s="41"/>
      <c r="WR30" s="41"/>
      <c r="WS30" s="41"/>
      <c r="WT30" s="41"/>
      <c r="WU30" s="41"/>
      <c r="WV30" s="41"/>
      <c r="WW30" s="41"/>
      <c r="WX30" s="41"/>
      <c r="WY30" s="41"/>
      <c r="WZ30" s="41"/>
      <c r="XA30" s="41"/>
      <c r="XB30" s="41"/>
      <c r="XC30" s="41"/>
      <c r="XD30" s="41"/>
      <c r="XE30" s="41"/>
      <c r="XF30" s="41"/>
      <c r="XG30" s="41"/>
      <c r="XH30" s="41"/>
      <c r="XI30" s="41"/>
      <c r="XJ30" s="41"/>
      <c r="XK30" s="41"/>
      <c r="XL30" s="41"/>
      <c r="XM30" s="41"/>
      <c r="XN30" s="41"/>
      <c r="XO30" s="41"/>
      <c r="XP30" s="41"/>
      <c r="XQ30" s="41"/>
      <c r="XR30" s="41"/>
      <c r="XS30" s="41"/>
      <c r="XT30" s="41"/>
      <c r="XU30" s="41"/>
      <c r="XV30" s="41"/>
      <c r="XW30" s="41"/>
      <c r="XX30" s="41"/>
      <c r="XY30" s="41"/>
      <c r="XZ30" s="41"/>
      <c r="YA30" s="41"/>
      <c r="YB30" s="41"/>
      <c r="YC30" s="41"/>
      <c r="YD30" s="41"/>
      <c r="YE30" s="41"/>
      <c r="YF30" s="41"/>
      <c r="YG30" s="41"/>
      <c r="YH30" s="41"/>
      <c r="YI30" s="41"/>
      <c r="YJ30" s="41"/>
      <c r="YK30" s="41"/>
      <c r="YL30" s="41"/>
      <c r="YM30" s="41"/>
      <c r="YN30" s="41"/>
      <c r="YO30" s="41"/>
      <c r="YP30" s="41"/>
      <c r="YQ30" s="41"/>
      <c r="YR30" s="41"/>
      <c r="YS30" s="41"/>
      <c r="YT30" s="41"/>
      <c r="YU30" s="41"/>
      <c r="YV30" s="41"/>
      <c r="YW30" s="41"/>
      <c r="YX30" s="41"/>
      <c r="YY30" s="41"/>
      <c r="YZ30" s="41"/>
      <c r="ZA30" s="41"/>
      <c r="ZB30" s="41"/>
      <c r="ZC30" s="41"/>
      <c r="ZD30" s="41"/>
      <c r="ZE30" s="41"/>
      <c r="ZF30" s="41"/>
      <c r="ZG30" s="41"/>
      <c r="ZH30" s="41"/>
      <c r="ZI30" s="41"/>
      <c r="ZJ30" s="41"/>
      <c r="ZK30" s="41"/>
      <c r="ZL30" s="41"/>
      <c r="ZM30" s="41"/>
      <c r="ZN30" s="41"/>
      <c r="ZO30" s="41"/>
      <c r="ZP30" s="41"/>
      <c r="ZQ30" s="41"/>
      <c r="ZR30" s="41"/>
      <c r="ZS30" s="41"/>
      <c r="ZT30" s="41"/>
      <c r="ZU30" s="41"/>
      <c r="ZV30" s="41"/>
      <c r="ZW30" s="41"/>
      <c r="ZX30" s="41"/>
      <c r="ZY30" s="41"/>
      <c r="ZZ30" s="41"/>
      <c r="AAA30" s="41"/>
      <c r="AAB30" s="41"/>
      <c r="AAC30" s="41"/>
      <c r="AAD30" s="41"/>
      <c r="AAE30" s="41"/>
      <c r="AAF30" s="41"/>
      <c r="AAG30" s="41"/>
      <c r="AAH30" s="41"/>
      <c r="AAI30" s="41"/>
      <c r="AAJ30" s="41"/>
      <c r="AAK30" s="41"/>
      <c r="AAL30" s="41"/>
      <c r="AAM30" s="41"/>
      <c r="AAN30" s="41"/>
      <c r="AAO30" s="41"/>
      <c r="AAP30" s="41"/>
      <c r="AAQ30" s="41"/>
      <c r="AAR30" s="41"/>
      <c r="AAS30" s="41"/>
      <c r="AAT30" s="41"/>
      <c r="AAU30" s="41"/>
      <c r="AAV30" s="41"/>
      <c r="AAW30" s="41"/>
      <c r="AAX30" s="41"/>
      <c r="AAY30" s="41"/>
      <c r="AAZ30" s="41"/>
      <c r="ABA30" s="41"/>
      <c r="ABB30" s="41"/>
      <c r="ABC30" s="41"/>
      <c r="ABD30" s="41"/>
      <c r="ABE30" s="41"/>
      <c r="ABF30" s="41"/>
      <c r="ABG30" s="41"/>
      <c r="ABH30" s="41"/>
      <c r="ABI30" s="41"/>
      <c r="ABJ30" s="41"/>
      <c r="ABK30" s="41"/>
      <c r="ABL30" s="41"/>
      <c r="ABM30" s="41"/>
      <c r="ABN30" s="41"/>
      <c r="ABO30" s="41"/>
      <c r="ABP30" s="41"/>
      <c r="ABQ30" s="41"/>
      <c r="ABR30" s="41"/>
      <c r="ABS30" s="41"/>
      <c r="ABT30" s="41"/>
      <c r="ABU30" s="41"/>
      <c r="ABV30" s="41"/>
      <c r="ABW30" s="41"/>
      <c r="ABX30" s="41"/>
      <c r="ABY30" s="41"/>
      <c r="ABZ30" s="41"/>
      <c r="ACA30" s="41"/>
      <c r="ACB30" s="41"/>
      <c r="ACC30" s="41"/>
      <c r="ACD30" s="41"/>
      <c r="ACE30" s="41"/>
      <c r="ACF30" s="41"/>
      <c r="ACG30" s="41"/>
      <c r="ACH30" s="41"/>
      <c r="ACI30" s="41"/>
      <c r="ACJ30" s="41"/>
      <c r="ACK30" s="41"/>
      <c r="ACL30" s="41"/>
      <c r="ACM30" s="41"/>
      <c r="ACN30" s="41"/>
      <c r="ACO30" s="41"/>
      <c r="ACP30" s="41"/>
      <c r="ACQ30" s="41"/>
      <c r="ACR30" s="41"/>
      <c r="ACS30" s="41"/>
      <c r="ACT30" s="41"/>
      <c r="ACU30" s="41"/>
      <c r="ACV30" s="41"/>
      <c r="ACW30" s="41"/>
      <c r="ACX30" s="41"/>
      <c r="ACY30" s="41"/>
      <c r="ACZ30" s="41"/>
      <c r="ADA30" s="41"/>
      <c r="ADB30" s="41"/>
      <c r="ADC30" s="41"/>
      <c r="ADD30" s="41"/>
      <c r="ADE30" s="41"/>
      <c r="ADF30" s="41"/>
      <c r="ADG30" s="41"/>
      <c r="ADH30" s="41"/>
      <c r="ADI30" s="41"/>
      <c r="ADJ30" s="41"/>
      <c r="ADK30" s="41"/>
      <c r="ADL30" s="41"/>
      <c r="ADM30" s="41"/>
      <c r="ADN30" s="41"/>
      <c r="ADO30" s="41"/>
      <c r="ADP30" s="41"/>
      <c r="ADQ30" s="41"/>
      <c r="ADR30" s="41"/>
      <c r="ADS30" s="41"/>
      <c r="ADT30" s="41"/>
      <c r="ADU30" s="41"/>
      <c r="ADV30" s="41"/>
      <c r="ADW30" s="41"/>
      <c r="ADX30" s="41"/>
      <c r="ADY30" s="41"/>
      <c r="ADZ30" s="41"/>
      <c r="AEA30" s="41"/>
      <c r="AEB30" s="41"/>
      <c r="AEC30" s="41"/>
      <c r="AED30" s="41"/>
      <c r="AEE30" s="41"/>
      <c r="AEF30" s="41"/>
      <c r="AEG30" s="41"/>
      <c r="AEH30" s="41"/>
      <c r="AEI30" s="41"/>
      <c r="AEJ30" s="41"/>
      <c r="AEK30" s="41"/>
      <c r="AEL30" s="41"/>
      <c r="AEM30" s="41"/>
      <c r="AEN30" s="41"/>
      <c r="AEO30" s="41"/>
      <c r="AEP30" s="41"/>
      <c r="AEQ30" s="41"/>
      <c r="AER30" s="41"/>
      <c r="AES30" s="41"/>
      <c r="AET30" s="41"/>
      <c r="AEU30" s="41"/>
      <c r="AEV30" s="41"/>
      <c r="AEW30" s="41"/>
      <c r="AEX30" s="41"/>
      <c r="AEY30" s="41"/>
      <c r="AEZ30" s="41"/>
      <c r="AFA30" s="41"/>
      <c r="AFB30" s="41"/>
      <c r="AFC30" s="41"/>
      <c r="AFD30" s="41"/>
      <c r="AFE30" s="41"/>
      <c r="AFF30" s="41"/>
      <c r="AFG30" s="41"/>
      <c r="AFH30" s="41"/>
      <c r="AFI30" s="41"/>
      <c r="AFJ30" s="41"/>
      <c r="AFK30" s="41"/>
      <c r="AFL30" s="41"/>
      <c r="AFM30" s="41"/>
      <c r="AFN30" s="41"/>
      <c r="AFO30" s="41"/>
      <c r="AFP30" s="41"/>
      <c r="AFQ30" s="41"/>
      <c r="AFR30" s="41"/>
      <c r="AFS30" s="41"/>
      <c r="AFT30" s="41"/>
      <c r="AFU30" s="41"/>
      <c r="AFV30" s="41"/>
      <c r="AFW30" s="41"/>
      <c r="AFX30" s="41"/>
      <c r="AFY30" s="41"/>
      <c r="AFZ30" s="41"/>
      <c r="AGA30" s="41"/>
      <c r="AGB30" s="41"/>
      <c r="AGC30" s="41"/>
      <c r="AGD30" s="41"/>
      <c r="AGE30" s="41"/>
      <c r="AGF30" s="41"/>
      <c r="AGG30" s="41"/>
      <c r="AGH30" s="41"/>
      <c r="AGI30" s="41"/>
      <c r="AGJ30" s="41"/>
      <c r="AGK30" s="41"/>
      <c r="AGL30" s="41"/>
      <c r="AGM30" s="41"/>
      <c r="AGN30" s="41"/>
      <c r="AGO30" s="41"/>
      <c r="AGP30" s="41"/>
      <c r="AGQ30" s="41"/>
      <c r="AGR30" s="41"/>
      <c r="AGS30" s="41"/>
      <c r="AGT30" s="41"/>
      <c r="AGU30" s="41"/>
      <c r="AGV30" s="41"/>
      <c r="AGW30" s="41"/>
      <c r="AGX30" s="41"/>
      <c r="AGY30" s="41"/>
      <c r="AGZ30" s="41"/>
      <c r="AHA30" s="41"/>
      <c r="AHB30" s="41"/>
      <c r="AHC30" s="41"/>
      <c r="AHD30" s="41"/>
      <c r="AHE30" s="41"/>
      <c r="AHF30" s="41"/>
      <c r="AHG30" s="41"/>
      <c r="AHH30" s="41"/>
      <c r="AHI30" s="41"/>
      <c r="AHJ30" s="41"/>
      <c r="AHK30" s="41"/>
      <c r="AHL30" s="41"/>
      <c r="AHM30" s="41"/>
      <c r="AHN30" s="41"/>
      <c r="AHO30" s="41"/>
      <c r="AHP30" s="41"/>
      <c r="AHQ30" s="41"/>
      <c r="AHR30" s="41"/>
      <c r="AHS30" s="41"/>
      <c r="AHT30" s="41"/>
      <c r="AHU30" s="41"/>
      <c r="AHV30" s="41"/>
      <c r="AHW30" s="41"/>
      <c r="AHX30" s="41"/>
      <c r="AHY30" s="41"/>
      <c r="AHZ30" s="41"/>
      <c r="AIA30" s="41"/>
      <c r="AIB30" s="41"/>
      <c r="AIC30" s="41"/>
      <c r="AID30" s="41"/>
      <c r="AIE30" s="41"/>
      <c r="AIF30" s="41"/>
      <c r="AIG30" s="41"/>
      <c r="AIH30" s="41"/>
      <c r="AII30" s="41"/>
      <c r="AIJ30" s="41"/>
      <c r="AIK30" s="41"/>
      <c r="AIL30" s="41"/>
      <c r="AIM30" s="41"/>
      <c r="AIN30" s="41"/>
      <c r="AIO30" s="41"/>
      <c r="AIP30" s="41"/>
      <c r="AIQ30" s="41"/>
      <c r="AIR30" s="41"/>
      <c r="AIS30" s="41"/>
      <c r="AIT30" s="41"/>
      <c r="AIU30" s="41"/>
      <c r="AIV30" s="41"/>
      <c r="AIW30" s="41"/>
      <c r="AIX30" s="41"/>
      <c r="AIY30" s="41"/>
      <c r="AIZ30" s="41"/>
      <c r="AJA30" s="41"/>
      <c r="AJB30" s="41"/>
      <c r="AJC30" s="41"/>
      <c r="AJD30" s="41"/>
      <c r="AJE30" s="41"/>
      <c r="AJF30" s="41"/>
      <c r="AJG30" s="41"/>
      <c r="AJH30" s="41"/>
      <c r="AJI30" s="41"/>
      <c r="AJJ30" s="41"/>
      <c r="AJK30" s="41"/>
      <c r="AJL30" s="41"/>
      <c r="AJM30" s="41"/>
      <c r="AJN30" s="41"/>
      <c r="AJO30" s="41"/>
      <c r="AJP30" s="41"/>
      <c r="AJQ30" s="41"/>
      <c r="AJR30" s="41"/>
      <c r="AJS30" s="41"/>
      <c r="AJT30" s="41"/>
      <c r="AJU30" s="41"/>
      <c r="AJV30" s="41"/>
      <c r="AJW30" s="41"/>
      <c r="AJX30" s="41"/>
      <c r="AJY30" s="41"/>
      <c r="AJZ30" s="41"/>
      <c r="AKA30" s="41"/>
      <c r="AKB30" s="41"/>
      <c r="AKC30" s="41"/>
      <c r="AKD30" s="41"/>
      <c r="AKE30" s="41"/>
      <c r="AKF30" s="41"/>
      <c r="AKG30" s="41"/>
      <c r="AKH30" s="41"/>
      <c r="AKI30" s="41"/>
      <c r="AKJ30" s="41"/>
      <c r="AKK30" s="41"/>
      <c r="AKL30" s="41"/>
      <c r="AKM30" s="41"/>
      <c r="AKN30" s="41"/>
      <c r="AKO30" s="41"/>
      <c r="AKP30" s="41"/>
      <c r="AKQ30" s="41"/>
      <c r="AKR30" s="41"/>
      <c r="AKS30" s="41"/>
      <c r="AKT30" s="41"/>
      <c r="AKU30" s="41"/>
      <c r="AKV30" s="41"/>
      <c r="AKW30" s="41"/>
      <c r="AKX30" s="41"/>
      <c r="AKY30" s="41"/>
      <c r="AKZ30" s="41"/>
      <c r="ALA30" s="41"/>
      <c r="ALB30" s="41"/>
      <c r="ALC30" s="41"/>
      <c r="ALD30" s="41"/>
      <c r="ALE30" s="41"/>
      <c r="ALF30" s="41"/>
      <c r="ALG30" s="41"/>
      <c r="ALH30" s="41"/>
      <c r="ALI30" s="41"/>
      <c r="ALJ30" s="41"/>
      <c r="ALK30" s="41"/>
      <c r="ALL30" s="41"/>
      <c r="ALM30" s="41"/>
      <c r="ALN30" s="41"/>
      <c r="ALO30" s="41"/>
      <c r="ALP30" s="41"/>
      <c r="ALQ30" s="41"/>
      <c r="ALR30" s="41"/>
      <c r="ALS30" s="41"/>
      <c r="ALT30" s="41"/>
      <c r="ALU30" s="41"/>
      <c r="ALV30" s="41"/>
      <c r="ALW30" s="41"/>
      <c r="ALX30" s="41"/>
      <c r="ALY30" s="41"/>
      <c r="ALZ30" s="41"/>
      <c r="AMA30" s="41"/>
      <c r="AMB30" s="41"/>
      <c r="AMC30" s="41"/>
      <c r="AMD30" s="41"/>
      <c r="AME30" s="41"/>
      <c r="AMF30" s="41"/>
      <c r="AMG30" s="41"/>
      <c r="AMH30" s="41"/>
      <c r="AMI30" s="41"/>
      <c r="AMJ30" s="41"/>
      <c r="AMK30" s="41"/>
      <c r="AML30" s="41"/>
      <c r="AMM30" s="41"/>
      <c r="AMN30" s="41"/>
      <c r="AMO30" s="41"/>
      <c r="AMP30" s="41"/>
      <c r="AMQ30" s="41"/>
      <c r="AMR30" s="41"/>
      <c r="AMS30" s="41"/>
      <c r="AMT30" s="41"/>
      <c r="AMU30" s="41"/>
      <c r="AMV30" s="41"/>
      <c r="AMW30" s="41"/>
      <c r="AMX30" s="41"/>
      <c r="AMY30" s="41"/>
      <c r="AMZ30" s="41"/>
      <c r="ANA30" s="41"/>
      <c r="ANB30" s="41"/>
      <c r="ANC30" s="41"/>
      <c r="AND30" s="41"/>
      <c r="ANE30" s="41"/>
      <c r="ANF30" s="41"/>
      <c r="ANG30" s="41"/>
      <c r="ANH30" s="41"/>
      <c r="ANI30" s="41"/>
      <c r="ANJ30" s="41"/>
      <c r="ANK30" s="41"/>
    </row>
    <row r="31" s="44" customFormat="true" ht="15" hidden="false" customHeight="false" outlineLevel="0" collapsed="false">
      <c r="A31" s="42" t="s">
        <v>53</v>
      </c>
      <c r="B31" s="43" t="n">
        <v>0</v>
      </c>
      <c r="C31" s="44" t="n">
        <v>0</v>
      </c>
      <c r="D31" s="44" t="n">
        <v>336.1191235</v>
      </c>
      <c r="E31" s="45" t="n">
        <v>3000</v>
      </c>
      <c r="F31" s="43" t="n">
        <v>0</v>
      </c>
      <c r="G31" s="44" t="n">
        <v>0</v>
      </c>
      <c r="H31" s="46" t="n">
        <v>0</v>
      </c>
      <c r="I31" s="47" t="n">
        <v>220</v>
      </c>
      <c r="J31" s="48" t="n">
        <v>0</v>
      </c>
      <c r="K31" s="43"/>
      <c r="M31" s="46" t="n">
        <v>0.39</v>
      </c>
      <c r="N31" s="43" t="n">
        <v>2400</v>
      </c>
      <c r="O31" s="46" t="n">
        <v>12000</v>
      </c>
      <c r="P31" s="49" t="n">
        <v>302664.460642363</v>
      </c>
      <c r="Q31" s="50" t="n">
        <v>-11844018.973561</v>
      </c>
      <c r="R31" s="44" t="n">
        <v>2460000</v>
      </c>
      <c r="S31" s="44" t="n">
        <v>2640000</v>
      </c>
      <c r="T31" s="44" t="n">
        <v>2639990</v>
      </c>
      <c r="U31" s="44" t="n">
        <v>3029990</v>
      </c>
      <c r="V31" s="44" t="n">
        <v>3089990</v>
      </c>
      <c r="W31" s="44" t="n">
        <v>3089980</v>
      </c>
      <c r="X31" s="44" t="n">
        <v>3089980</v>
      </c>
      <c r="Y31" s="44" t="n">
        <v>3169980</v>
      </c>
      <c r="Z31" s="44" t="n">
        <v>3319970</v>
      </c>
      <c r="AA31" s="44" t="n">
        <v>3459940</v>
      </c>
      <c r="AB31" s="44" t="n">
        <v>4269920</v>
      </c>
      <c r="AC31" s="44" t="n">
        <v>4209830</v>
      </c>
      <c r="AD31" s="44" t="n">
        <v>4059670</v>
      </c>
      <c r="AE31" s="44" t="n">
        <v>4389210</v>
      </c>
      <c r="AF31" s="44" t="n">
        <v>5428700</v>
      </c>
      <c r="AG31" s="44" t="n">
        <v>5507890</v>
      </c>
      <c r="AH31" s="44" t="n">
        <v>5756730</v>
      </c>
      <c r="AI31" s="44" t="n">
        <v>5926210</v>
      </c>
      <c r="AJ31" s="44" t="n">
        <v>6345590</v>
      </c>
      <c r="AK31" s="44" t="n">
        <v>6905580</v>
      </c>
      <c r="AL31" s="44" t="n">
        <v>8413980</v>
      </c>
      <c r="AM31" s="44" t="n">
        <v>27692050</v>
      </c>
      <c r="AN31" s="46" t="n">
        <v>27689810</v>
      </c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41"/>
      <c r="KZ31" s="41"/>
      <c r="LA31" s="41"/>
      <c r="LB31" s="41"/>
      <c r="LC31" s="41"/>
      <c r="LD31" s="41"/>
      <c r="LE31" s="41"/>
      <c r="LF31" s="41"/>
      <c r="LG31" s="41"/>
      <c r="LH31" s="41"/>
      <c r="LI31" s="41"/>
      <c r="LJ31" s="41"/>
      <c r="LK31" s="41"/>
      <c r="LL31" s="41"/>
      <c r="LM31" s="41"/>
      <c r="LN31" s="41"/>
      <c r="LO31" s="41"/>
      <c r="LP31" s="41"/>
      <c r="LQ31" s="41"/>
      <c r="LR31" s="41"/>
      <c r="LS31" s="41"/>
      <c r="LT31" s="41"/>
      <c r="LU31" s="41"/>
      <c r="LV31" s="41"/>
      <c r="LW31" s="41"/>
      <c r="LX31" s="41"/>
      <c r="LY31" s="41"/>
      <c r="LZ31" s="41"/>
      <c r="MA31" s="41"/>
      <c r="MB31" s="41"/>
      <c r="MC31" s="41"/>
      <c r="MD31" s="41"/>
      <c r="ME31" s="41"/>
      <c r="MF31" s="41"/>
      <c r="MG31" s="41"/>
      <c r="MH31" s="41"/>
      <c r="MI31" s="41"/>
      <c r="MJ31" s="41"/>
      <c r="MK31" s="41"/>
      <c r="ML31" s="41"/>
      <c r="MM31" s="41"/>
      <c r="MN31" s="41"/>
      <c r="MO31" s="41"/>
      <c r="MP31" s="41"/>
      <c r="MQ31" s="41"/>
      <c r="MR31" s="41"/>
      <c r="MS31" s="41"/>
      <c r="MT31" s="41"/>
      <c r="MU31" s="41"/>
      <c r="MV31" s="41"/>
      <c r="MW31" s="41"/>
      <c r="MX31" s="41"/>
      <c r="MY31" s="41"/>
      <c r="MZ31" s="41"/>
      <c r="NA31" s="41"/>
      <c r="NB31" s="41"/>
      <c r="NC31" s="41"/>
      <c r="ND31" s="41"/>
      <c r="NE31" s="41"/>
      <c r="NF31" s="41"/>
      <c r="NG31" s="41"/>
      <c r="NH31" s="41"/>
      <c r="NI31" s="41"/>
      <c r="NJ31" s="41"/>
      <c r="NK31" s="41"/>
      <c r="NL31" s="41"/>
      <c r="NM31" s="41"/>
      <c r="NN31" s="41"/>
      <c r="NO31" s="41"/>
      <c r="NP31" s="41"/>
      <c r="NQ31" s="41"/>
      <c r="NR31" s="41"/>
      <c r="NS31" s="41"/>
      <c r="NT31" s="41"/>
      <c r="NU31" s="41"/>
      <c r="NV31" s="41"/>
      <c r="NW31" s="41"/>
      <c r="NX31" s="41"/>
      <c r="NY31" s="41"/>
      <c r="NZ31" s="41"/>
      <c r="OA31" s="41"/>
      <c r="OB31" s="41"/>
      <c r="OC31" s="41"/>
      <c r="OD31" s="41"/>
      <c r="OE31" s="41"/>
      <c r="OF31" s="41"/>
      <c r="OG31" s="41"/>
      <c r="OH31" s="41"/>
      <c r="OI31" s="41"/>
      <c r="OJ31" s="41"/>
      <c r="OK31" s="41"/>
      <c r="OL31" s="41"/>
      <c r="OM31" s="41"/>
      <c r="ON31" s="41"/>
      <c r="OO31" s="41"/>
      <c r="OP31" s="41"/>
      <c r="OQ31" s="41"/>
      <c r="OR31" s="41"/>
      <c r="OS31" s="41"/>
      <c r="OT31" s="41"/>
      <c r="OU31" s="41"/>
      <c r="OV31" s="41"/>
      <c r="OW31" s="41"/>
      <c r="OX31" s="41"/>
      <c r="OY31" s="41"/>
      <c r="OZ31" s="41"/>
      <c r="PA31" s="41"/>
      <c r="PB31" s="41"/>
      <c r="PC31" s="41"/>
      <c r="PD31" s="41"/>
      <c r="PE31" s="41"/>
      <c r="PF31" s="41"/>
      <c r="PG31" s="41"/>
      <c r="PH31" s="41"/>
      <c r="PI31" s="41"/>
      <c r="PJ31" s="41"/>
      <c r="PK31" s="41"/>
      <c r="PL31" s="41"/>
      <c r="PM31" s="41"/>
      <c r="PN31" s="41"/>
      <c r="PO31" s="41"/>
      <c r="PP31" s="41"/>
      <c r="PQ31" s="41"/>
      <c r="PR31" s="41"/>
      <c r="PS31" s="41"/>
      <c r="PT31" s="41"/>
      <c r="PU31" s="41"/>
      <c r="PV31" s="41"/>
      <c r="PW31" s="41"/>
      <c r="PX31" s="41"/>
      <c r="PY31" s="41"/>
      <c r="PZ31" s="41"/>
      <c r="QA31" s="41"/>
      <c r="QB31" s="41"/>
      <c r="QC31" s="41"/>
      <c r="QD31" s="41"/>
      <c r="QE31" s="41"/>
      <c r="QF31" s="41"/>
      <c r="QG31" s="41"/>
      <c r="QH31" s="41"/>
      <c r="QI31" s="41"/>
      <c r="QJ31" s="41"/>
      <c r="QK31" s="41"/>
      <c r="QL31" s="41"/>
      <c r="QM31" s="41"/>
      <c r="QN31" s="41"/>
      <c r="QO31" s="41"/>
      <c r="QP31" s="41"/>
      <c r="QQ31" s="41"/>
      <c r="QR31" s="41"/>
      <c r="QS31" s="41"/>
      <c r="QT31" s="41"/>
      <c r="QU31" s="41"/>
      <c r="QV31" s="41"/>
      <c r="QW31" s="41"/>
      <c r="QX31" s="41"/>
      <c r="QY31" s="41"/>
      <c r="QZ31" s="41"/>
      <c r="RA31" s="41"/>
      <c r="RB31" s="41"/>
      <c r="RC31" s="41"/>
      <c r="RD31" s="41"/>
      <c r="RE31" s="41"/>
      <c r="RF31" s="41"/>
      <c r="RG31" s="41"/>
      <c r="RH31" s="41"/>
      <c r="RI31" s="41"/>
      <c r="RJ31" s="41"/>
      <c r="RK31" s="41"/>
      <c r="RL31" s="41"/>
      <c r="RM31" s="41"/>
      <c r="RN31" s="41"/>
      <c r="RO31" s="41"/>
      <c r="RP31" s="41"/>
      <c r="RQ31" s="41"/>
      <c r="RR31" s="41"/>
      <c r="RS31" s="41"/>
      <c r="RT31" s="41"/>
      <c r="RU31" s="41"/>
      <c r="RV31" s="41"/>
      <c r="RW31" s="41"/>
      <c r="RX31" s="41"/>
      <c r="RY31" s="41"/>
      <c r="RZ31" s="41"/>
      <c r="SA31" s="41"/>
      <c r="SB31" s="41"/>
      <c r="SC31" s="41"/>
      <c r="SD31" s="41"/>
      <c r="SE31" s="41"/>
      <c r="SF31" s="41"/>
      <c r="SG31" s="41"/>
      <c r="SH31" s="41"/>
      <c r="SI31" s="41"/>
      <c r="SJ31" s="41"/>
      <c r="SK31" s="41"/>
      <c r="SL31" s="41"/>
      <c r="SM31" s="41"/>
      <c r="SN31" s="41"/>
      <c r="SO31" s="41"/>
      <c r="SP31" s="41"/>
      <c r="SQ31" s="41"/>
      <c r="SR31" s="41"/>
      <c r="SS31" s="41"/>
      <c r="ST31" s="41"/>
      <c r="SU31" s="41"/>
      <c r="SV31" s="41"/>
      <c r="SW31" s="41"/>
      <c r="SX31" s="41"/>
      <c r="SY31" s="41"/>
      <c r="SZ31" s="41"/>
      <c r="TA31" s="41"/>
      <c r="TB31" s="41"/>
      <c r="TC31" s="41"/>
      <c r="TD31" s="41"/>
      <c r="TE31" s="41"/>
      <c r="TF31" s="41"/>
      <c r="TG31" s="41"/>
      <c r="TH31" s="41"/>
      <c r="TI31" s="41"/>
      <c r="TJ31" s="41"/>
      <c r="TK31" s="41"/>
      <c r="TL31" s="41"/>
      <c r="TM31" s="41"/>
      <c r="TN31" s="41"/>
      <c r="TO31" s="41"/>
      <c r="TP31" s="41"/>
      <c r="TQ31" s="41"/>
      <c r="TR31" s="41"/>
      <c r="TS31" s="41"/>
      <c r="TT31" s="41"/>
      <c r="TU31" s="41"/>
      <c r="TV31" s="41"/>
      <c r="TW31" s="41"/>
      <c r="TX31" s="41"/>
      <c r="TY31" s="41"/>
      <c r="TZ31" s="41"/>
      <c r="UA31" s="41"/>
      <c r="UB31" s="41"/>
      <c r="UC31" s="41"/>
      <c r="UD31" s="41"/>
      <c r="UE31" s="41"/>
      <c r="UF31" s="41"/>
      <c r="UG31" s="41"/>
      <c r="UH31" s="41"/>
      <c r="UI31" s="41"/>
      <c r="UJ31" s="41"/>
      <c r="UK31" s="41"/>
      <c r="UL31" s="41"/>
      <c r="UM31" s="41"/>
      <c r="UN31" s="41"/>
      <c r="UO31" s="41"/>
      <c r="UP31" s="41"/>
      <c r="UQ31" s="41"/>
      <c r="UR31" s="41"/>
      <c r="US31" s="41"/>
      <c r="UT31" s="41"/>
      <c r="UU31" s="41"/>
      <c r="UV31" s="41"/>
      <c r="UW31" s="41"/>
      <c r="UX31" s="41"/>
      <c r="UY31" s="41"/>
      <c r="UZ31" s="41"/>
      <c r="VA31" s="41"/>
      <c r="VB31" s="41"/>
      <c r="VC31" s="41"/>
      <c r="VD31" s="41"/>
      <c r="VE31" s="41"/>
      <c r="VF31" s="41"/>
      <c r="VG31" s="41"/>
      <c r="VH31" s="41"/>
      <c r="VI31" s="41"/>
      <c r="VJ31" s="41"/>
      <c r="VK31" s="41"/>
      <c r="VL31" s="41"/>
      <c r="VM31" s="41"/>
      <c r="VN31" s="41"/>
      <c r="VO31" s="41"/>
      <c r="VP31" s="41"/>
      <c r="VQ31" s="41"/>
      <c r="VR31" s="41"/>
      <c r="VS31" s="41"/>
      <c r="VT31" s="41"/>
      <c r="VU31" s="41"/>
      <c r="VV31" s="41"/>
      <c r="VW31" s="41"/>
      <c r="VX31" s="41"/>
      <c r="VY31" s="41"/>
      <c r="VZ31" s="41"/>
      <c r="WA31" s="41"/>
      <c r="WB31" s="41"/>
      <c r="WC31" s="41"/>
      <c r="WD31" s="41"/>
      <c r="WE31" s="41"/>
      <c r="WF31" s="41"/>
      <c r="WG31" s="41"/>
      <c r="WH31" s="41"/>
      <c r="WI31" s="41"/>
      <c r="WJ31" s="41"/>
      <c r="WK31" s="41"/>
      <c r="WL31" s="41"/>
      <c r="WM31" s="41"/>
      <c r="WN31" s="41"/>
      <c r="WO31" s="41"/>
      <c r="WP31" s="41"/>
      <c r="WQ31" s="41"/>
      <c r="WR31" s="41"/>
      <c r="WS31" s="41"/>
      <c r="WT31" s="41"/>
      <c r="WU31" s="41"/>
      <c r="WV31" s="41"/>
      <c r="WW31" s="41"/>
      <c r="WX31" s="41"/>
      <c r="WY31" s="41"/>
      <c r="WZ31" s="41"/>
      <c r="XA31" s="41"/>
      <c r="XB31" s="41"/>
      <c r="XC31" s="41"/>
      <c r="XD31" s="41"/>
      <c r="XE31" s="41"/>
      <c r="XF31" s="41"/>
      <c r="XG31" s="41"/>
      <c r="XH31" s="41"/>
      <c r="XI31" s="41"/>
      <c r="XJ31" s="41"/>
      <c r="XK31" s="41"/>
      <c r="XL31" s="41"/>
      <c r="XM31" s="41"/>
      <c r="XN31" s="41"/>
      <c r="XO31" s="41"/>
      <c r="XP31" s="41"/>
      <c r="XQ31" s="41"/>
      <c r="XR31" s="41"/>
      <c r="XS31" s="41"/>
      <c r="XT31" s="41"/>
      <c r="XU31" s="41"/>
      <c r="XV31" s="41"/>
      <c r="XW31" s="41"/>
      <c r="XX31" s="41"/>
      <c r="XY31" s="41"/>
      <c r="XZ31" s="41"/>
      <c r="YA31" s="41"/>
      <c r="YB31" s="41"/>
      <c r="YC31" s="41"/>
      <c r="YD31" s="41"/>
      <c r="YE31" s="41"/>
      <c r="YF31" s="41"/>
      <c r="YG31" s="41"/>
      <c r="YH31" s="41"/>
      <c r="YI31" s="41"/>
      <c r="YJ31" s="41"/>
      <c r="YK31" s="41"/>
      <c r="YL31" s="41"/>
      <c r="YM31" s="41"/>
      <c r="YN31" s="41"/>
      <c r="YO31" s="41"/>
      <c r="YP31" s="41"/>
      <c r="YQ31" s="41"/>
      <c r="YR31" s="41"/>
      <c r="YS31" s="41"/>
      <c r="YT31" s="41"/>
      <c r="YU31" s="41"/>
      <c r="YV31" s="41"/>
      <c r="YW31" s="41"/>
      <c r="YX31" s="41"/>
      <c r="YY31" s="41"/>
      <c r="YZ31" s="41"/>
      <c r="ZA31" s="41"/>
      <c r="ZB31" s="41"/>
      <c r="ZC31" s="41"/>
      <c r="ZD31" s="41"/>
      <c r="ZE31" s="41"/>
      <c r="ZF31" s="41"/>
      <c r="ZG31" s="41"/>
      <c r="ZH31" s="41"/>
      <c r="ZI31" s="41"/>
      <c r="ZJ31" s="41"/>
      <c r="ZK31" s="41"/>
      <c r="ZL31" s="41"/>
      <c r="ZM31" s="41"/>
      <c r="ZN31" s="41"/>
      <c r="ZO31" s="41"/>
      <c r="ZP31" s="41"/>
      <c r="ZQ31" s="41"/>
      <c r="ZR31" s="41"/>
      <c r="ZS31" s="41"/>
      <c r="ZT31" s="41"/>
      <c r="ZU31" s="41"/>
      <c r="ZV31" s="41"/>
      <c r="ZW31" s="41"/>
      <c r="ZX31" s="41"/>
      <c r="ZY31" s="41"/>
      <c r="ZZ31" s="41"/>
      <c r="AAA31" s="41"/>
      <c r="AAB31" s="41"/>
      <c r="AAC31" s="41"/>
      <c r="AAD31" s="41"/>
      <c r="AAE31" s="41"/>
      <c r="AAF31" s="41"/>
      <c r="AAG31" s="41"/>
      <c r="AAH31" s="41"/>
      <c r="AAI31" s="41"/>
      <c r="AAJ31" s="41"/>
      <c r="AAK31" s="41"/>
      <c r="AAL31" s="41"/>
      <c r="AAM31" s="41"/>
      <c r="AAN31" s="41"/>
      <c r="AAO31" s="41"/>
      <c r="AAP31" s="41"/>
      <c r="AAQ31" s="41"/>
      <c r="AAR31" s="41"/>
      <c r="AAS31" s="41"/>
      <c r="AAT31" s="41"/>
      <c r="AAU31" s="41"/>
      <c r="AAV31" s="41"/>
      <c r="AAW31" s="41"/>
      <c r="AAX31" s="41"/>
      <c r="AAY31" s="41"/>
      <c r="AAZ31" s="41"/>
      <c r="ABA31" s="41"/>
      <c r="ABB31" s="41"/>
      <c r="ABC31" s="41"/>
      <c r="ABD31" s="41"/>
      <c r="ABE31" s="41"/>
      <c r="ABF31" s="41"/>
      <c r="ABG31" s="41"/>
      <c r="ABH31" s="41"/>
      <c r="ABI31" s="41"/>
      <c r="ABJ31" s="41"/>
      <c r="ABK31" s="41"/>
      <c r="ABL31" s="41"/>
      <c r="ABM31" s="41"/>
      <c r="ABN31" s="41"/>
      <c r="ABO31" s="41"/>
      <c r="ABP31" s="41"/>
      <c r="ABQ31" s="41"/>
      <c r="ABR31" s="41"/>
      <c r="ABS31" s="41"/>
      <c r="ABT31" s="41"/>
      <c r="ABU31" s="41"/>
      <c r="ABV31" s="41"/>
      <c r="ABW31" s="41"/>
      <c r="ABX31" s="41"/>
      <c r="ABY31" s="41"/>
      <c r="ABZ31" s="41"/>
      <c r="ACA31" s="41"/>
      <c r="ACB31" s="41"/>
      <c r="ACC31" s="41"/>
      <c r="ACD31" s="41"/>
      <c r="ACE31" s="41"/>
      <c r="ACF31" s="41"/>
      <c r="ACG31" s="41"/>
      <c r="ACH31" s="41"/>
      <c r="ACI31" s="41"/>
      <c r="ACJ31" s="41"/>
      <c r="ACK31" s="41"/>
      <c r="ACL31" s="41"/>
      <c r="ACM31" s="41"/>
      <c r="ACN31" s="41"/>
      <c r="ACO31" s="41"/>
      <c r="ACP31" s="41"/>
      <c r="ACQ31" s="41"/>
      <c r="ACR31" s="41"/>
      <c r="ACS31" s="41"/>
      <c r="ACT31" s="41"/>
      <c r="ACU31" s="41"/>
      <c r="ACV31" s="41"/>
      <c r="ACW31" s="41"/>
      <c r="ACX31" s="41"/>
      <c r="ACY31" s="41"/>
      <c r="ACZ31" s="41"/>
      <c r="ADA31" s="41"/>
      <c r="ADB31" s="41"/>
      <c r="ADC31" s="41"/>
      <c r="ADD31" s="41"/>
      <c r="ADE31" s="41"/>
      <c r="ADF31" s="41"/>
      <c r="ADG31" s="41"/>
      <c r="ADH31" s="41"/>
      <c r="ADI31" s="41"/>
      <c r="ADJ31" s="41"/>
      <c r="ADK31" s="41"/>
      <c r="ADL31" s="41"/>
      <c r="ADM31" s="41"/>
      <c r="ADN31" s="41"/>
      <c r="ADO31" s="41"/>
      <c r="ADP31" s="41"/>
      <c r="ADQ31" s="41"/>
      <c r="ADR31" s="41"/>
      <c r="ADS31" s="41"/>
      <c r="ADT31" s="41"/>
      <c r="ADU31" s="41"/>
      <c r="ADV31" s="41"/>
      <c r="ADW31" s="41"/>
      <c r="ADX31" s="41"/>
      <c r="ADY31" s="41"/>
      <c r="ADZ31" s="41"/>
      <c r="AEA31" s="41"/>
      <c r="AEB31" s="41"/>
      <c r="AEC31" s="41"/>
      <c r="AED31" s="41"/>
      <c r="AEE31" s="41"/>
      <c r="AEF31" s="41"/>
      <c r="AEG31" s="41"/>
      <c r="AEH31" s="41"/>
      <c r="AEI31" s="41"/>
      <c r="AEJ31" s="41"/>
      <c r="AEK31" s="41"/>
      <c r="AEL31" s="41"/>
      <c r="AEM31" s="41"/>
      <c r="AEN31" s="41"/>
      <c r="AEO31" s="41"/>
      <c r="AEP31" s="41"/>
      <c r="AEQ31" s="41"/>
      <c r="AER31" s="41"/>
      <c r="AES31" s="41"/>
      <c r="AET31" s="41"/>
      <c r="AEU31" s="41"/>
      <c r="AEV31" s="41"/>
      <c r="AEW31" s="41"/>
      <c r="AEX31" s="41"/>
      <c r="AEY31" s="41"/>
      <c r="AEZ31" s="41"/>
      <c r="AFA31" s="41"/>
      <c r="AFB31" s="41"/>
      <c r="AFC31" s="41"/>
      <c r="AFD31" s="41"/>
      <c r="AFE31" s="41"/>
      <c r="AFF31" s="41"/>
      <c r="AFG31" s="41"/>
      <c r="AFH31" s="41"/>
      <c r="AFI31" s="41"/>
      <c r="AFJ31" s="41"/>
      <c r="AFK31" s="41"/>
      <c r="AFL31" s="41"/>
      <c r="AFM31" s="41"/>
      <c r="AFN31" s="41"/>
      <c r="AFO31" s="41"/>
      <c r="AFP31" s="41"/>
      <c r="AFQ31" s="41"/>
      <c r="AFR31" s="41"/>
      <c r="AFS31" s="41"/>
      <c r="AFT31" s="41"/>
      <c r="AFU31" s="41"/>
      <c r="AFV31" s="41"/>
      <c r="AFW31" s="41"/>
      <c r="AFX31" s="41"/>
      <c r="AFY31" s="41"/>
      <c r="AFZ31" s="41"/>
      <c r="AGA31" s="41"/>
      <c r="AGB31" s="41"/>
      <c r="AGC31" s="41"/>
      <c r="AGD31" s="41"/>
      <c r="AGE31" s="41"/>
      <c r="AGF31" s="41"/>
      <c r="AGG31" s="41"/>
      <c r="AGH31" s="41"/>
      <c r="AGI31" s="41"/>
      <c r="AGJ31" s="41"/>
      <c r="AGK31" s="41"/>
      <c r="AGL31" s="41"/>
      <c r="AGM31" s="41"/>
      <c r="AGN31" s="41"/>
      <c r="AGO31" s="41"/>
      <c r="AGP31" s="41"/>
      <c r="AGQ31" s="41"/>
      <c r="AGR31" s="41"/>
      <c r="AGS31" s="41"/>
      <c r="AGT31" s="41"/>
      <c r="AGU31" s="41"/>
      <c r="AGV31" s="41"/>
      <c r="AGW31" s="41"/>
      <c r="AGX31" s="41"/>
      <c r="AGY31" s="41"/>
      <c r="AGZ31" s="41"/>
      <c r="AHA31" s="41"/>
      <c r="AHB31" s="41"/>
      <c r="AHC31" s="41"/>
      <c r="AHD31" s="41"/>
      <c r="AHE31" s="41"/>
      <c r="AHF31" s="41"/>
      <c r="AHG31" s="41"/>
      <c r="AHH31" s="41"/>
      <c r="AHI31" s="41"/>
      <c r="AHJ31" s="41"/>
      <c r="AHK31" s="41"/>
      <c r="AHL31" s="41"/>
      <c r="AHM31" s="41"/>
      <c r="AHN31" s="41"/>
      <c r="AHO31" s="41"/>
      <c r="AHP31" s="41"/>
      <c r="AHQ31" s="41"/>
      <c r="AHR31" s="41"/>
      <c r="AHS31" s="41"/>
      <c r="AHT31" s="41"/>
      <c r="AHU31" s="41"/>
      <c r="AHV31" s="41"/>
      <c r="AHW31" s="41"/>
      <c r="AHX31" s="41"/>
      <c r="AHY31" s="41"/>
      <c r="AHZ31" s="41"/>
      <c r="AIA31" s="41"/>
      <c r="AIB31" s="41"/>
      <c r="AIC31" s="41"/>
      <c r="AID31" s="41"/>
      <c r="AIE31" s="41"/>
      <c r="AIF31" s="41"/>
      <c r="AIG31" s="41"/>
      <c r="AIH31" s="41"/>
      <c r="AII31" s="41"/>
      <c r="AIJ31" s="41"/>
      <c r="AIK31" s="41"/>
      <c r="AIL31" s="41"/>
      <c r="AIM31" s="41"/>
      <c r="AIN31" s="41"/>
      <c r="AIO31" s="41"/>
      <c r="AIP31" s="41"/>
      <c r="AIQ31" s="41"/>
      <c r="AIR31" s="41"/>
      <c r="AIS31" s="41"/>
      <c r="AIT31" s="41"/>
      <c r="AIU31" s="41"/>
      <c r="AIV31" s="41"/>
      <c r="AIW31" s="41"/>
      <c r="AIX31" s="41"/>
      <c r="AIY31" s="41"/>
      <c r="AIZ31" s="41"/>
      <c r="AJA31" s="41"/>
      <c r="AJB31" s="41"/>
      <c r="AJC31" s="41"/>
      <c r="AJD31" s="41"/>
      <c r="AJE31" s="41"/>
      <c r="AJF31" s="41"/>
      <c r="AJG31" s="41"/>
      <c r="AJH31" s="41"/>
      <c r="AJI31" s="41"/>
      <c r="AJJ31" s="41"/>
      <c r="AJK31" s="41"/>
      <c r="AJL31" s="41"/>
      <c r="AJM31" s="41"/>
      <c r="AJN31" s="41"/>
      <c r="AJO31" s="41"/>
      <c r="AJP31" s="41"/>
      <c r="AJQ31" s="41"/>
      <c r="AJR31" s="41"/>
      <c r="AJS31" s="41"/>
      <c r="AJT31" s="41"/>
      <c r="AJU31" s="41"/>
      <c r="AJV31" s="41"/>
      <c r="AJW31" s="41"/>
      <c r="AJX31" s="41"/>
      <c r="AJY31" s="41"/>
      <c r="AJZ31" s="41"/>
      <c r="AKA31" s="41"/>
      <c r="AKB31" s="41"/>
      <c r="AKC31" s="41"/>
      <c r="AKD31" s="41"/>
      <c r="AKE31" s="41"/>
      <c r="AKF31" s="41"/>
      <c r="AKG31" s="41"/>
      <c r="AKH31" s="41"/>
      <c r="AKI31" s="41"/>
      <c r="AKJ31" s="41"/>
      <c r="AKK31" s="41"/>
      <c r="AKL31" s="41"/>
      <c r="AKM31" s="41"/>
      <c r="AKN31" s="41"/>
      <c r="AKO31" s="41"/>
      <c r="AKP31" s="41"/>
      <c r="AKQ31" s="41"/>
      <c r="AKR31" s="41"/>
      <c r="AKS31" s="41"/>
      <c r="AKT31" s="41"/>
      <c r="AKU31" s="41"/>
      <c r="AKV31" s="41"/>
      <c r="AKW31" s="41"/>
      <c r="AKX31" s="41"/>
      <c r="AKY31" s="41"/>
      <c r="AKZ31" s="41"/>
      <c r="ALA31" s="41"/>
      <c r="ALB31" s="41"/>
      <c r="ALC31" s="41"/>
      <c r="ALD31" s="41"/>
      <c r="ALE31" s="41"/>
      <c r="ALF31" s="41"/>
      <c r="ALG31" s="41"/>
      <c r="ALH31" s="41"/>
      <c r="ALI31" s="41"/>
      <c r="ALJ31" s="41"/>
      <c r="ALK31" s="41"/>
      <c r="ALL31" s="41"/>
      <c r="ALM31" s="41"/>
      <c r="ALN31" s="41"/>
      <c r="ALO31" s="41"/>
      <c r="ALP31" s="41"/>
      <c r="ALQ31" s="41"/>
      <c r="ALR31" s="41"/>
      <c r="ALS31" s="41"/>
      <c r="ALT31" s="41"/>
      <c r="ALU31" s="41"/>
      <c r="ALV31" s="41"/>
      <c r="ALW31" s="41"/>
      <c r="ALX31" s="41"/>
      <c r="ALY31" s="41"/>
      <c r="ALZ31" s="41"/>
      <c r="AMA31" s="41"/>
      <c r="AMB31" s="41"/>
      <c r="AMC31" s="41"/>
      <c r="AMD31" s="41"/>
      <c r="AME31" s="41"/>
      <c r="AMF31" s="41"/>
      <c r="AMG31" s="41"/>
      <c r="AMH31" s="41"/>
      <c r="AMI31" s="41"/>
      <c r="AMJ31" s="41"/>
      <c r="AMK31" s="41"/>
      <c r="AML31" s="41"/>
      <c r="AMM31" s="41"/>
      <c r="AMN31" s="41"/>
      <c r="AMO31" s="41"/>
      <c r="AMP31" s="41"/>
      <c r="AMQ31" s="41"/>
      <c r="AMR31" s="41"/>
      <c r="AMS31" s="41"/>
      <c r="AMT31" s="41"/>
      <c r="AMU31" s="41"/>
      <c r="AMV31" s="41"/>
      <c r="AMW31" s="41"/>
      <c r="AMX31" s="41"/>
      <c r="AMY31" s="41"/>
      <c r="AMZ31" s="41"/>
      <c r="ANA31" s="41"/>
      <c r="ANB31" s="41"/>
      <c r="ANC31" s="41"/>
      <c r="AND31" s="41"/>
      <c r="ANE31" s="41"/>
      <c r="ANF31" s="41"/>
      <c r="ANG31" s="41"/>
      <c r="ANH31" s="41"/>
      <c r="ANI31" s="41"/>
      <c r="ANJ31" s="41"/>
      <c r="ANK31" s="41"/>
    </row>
    <row r="32" s="44" customFormat="true" ht="15" hidden="false" customHeight="false" outlineLevel="0" collapsed="false">
      <c r="A32" s="42" t="s">
        <v>54</v>
      </c>
      <c r="B32" s="43" t="n">
        <v>2366.327638</v>
      </c>
      <c r="C32" s="44" t="n">
        <v>4900.743114</v>
      </c>
      <c r="D32" s="44" t="n">
        <v>152.657824</v>
      </c>
      <c r="E32" s="45" t="n">
        <v>2000</v>
      </c>
      <c r="F32" s="43" t="n">
        <v>1631</v>
      </c>
      <c r="G32" s="44" t="n">
        <v>0</v>
      </c>
      <c r="H32" s="46" t="n">
        <v>0</v>
      </c>
      <c r="I32" s="47" t="n">
        <v>57.6</v>
      </c>
      <c r="J32" s="48" t="n">
        <v>0</v>
      </c>
      <c r="K32" s="43"/>
      <c r="M32" s="46" t="n">
        <v>0.53</v>
      </c>
      <c r="N32" s="43" t="n">
        <v>570</v>
      </c>
      <c r="O32" s="46" t="n">
        <v>1030</v>
      </c>
      <c r="P32" s="49" t="n">
        <v>343350.035301507</v>
      </c>
      <c r="Q32" s="50" t="n">
        <v>-8586601.90070709</v>
      </c>
      <c r="R32" s="44" t="n">
        <v>7190000</v>
      </c>
      <c r="S32" s="44" t="n">
        <v>7579970</v>
      </c>
      <c r="T32" s="44" t="n">
        <v>7729960</v>
      </c>
      <c r="U32" s="44" t="n">
        <v>7679940</v>
      </c>
      <c r="V32" s="44" t="n">
        <v>7039890</v>
      </c>
      <c r="W32" s="44" t="n">
        <v>6989840</v>
      </c>
      <c r="X32" s="44" t="n">
        <v>7279850</v>
      </c>
      <c r="Y32" s="44" t="n">
        <v>7599810</v>
      </c>
      <c r="Z32" s="44" t="n">
        <v>8099700</v>
      </c>
      <c r="AA32" s="44" t="n">
        <v>8199470</v>
      </c>
      <c r="AB32" s="44" t="n">
        <v>9349300</v>
      </c>
      <c r="AC32" s="44" t="n">
        <v>10499090</v>
      </c>
      <c r="AD32" s="44" t="n">
        <v>11898380</v>
      </c>
      <c r="AE32" s="44" t="n">
        <v>12596810</v>
      </c>
      <c r="AF32" s="44" t="n">
        <v>13294950</v>
      </c>
      <c r="AG32" s="44" t="n">
        <v>10790450</v>
      </c>
      <c r="AH32" s="44" t="n">
        <v>13884820</v>
      </c>
      <c r="AI32" s="44" t="n">
        <v>15983240</v>
      </c>
      <c r="AJ32" s="44" t="n">
        <v>15780650</v>
      </c>
      <c r="AK32" s="44" t="n">
        <v>16879270</v>
      </c>
      <c r="AL32" s="44" t="n">
        <v>17767420</v>
      </c>
      <c r="AM32" s="44" t="n">
        <v>17454820</v>
      </c>
      <c r="AN32" s="46" t="n">
        <v>15941730</v>
      </c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LE32" s="41"/>
      <c r="LF32" s="41"/>
      <c r="LG32" s="41"/>
      <c r="LH32" s="41"/>
      <c r="LI32" s="41"/>
      <c r="LJ32" s="41"/>
      <c r="LK32" s="41"/>
      <c r="LL32" s="41"/>
      <c r="LM32" s="41"/>
      <c r="LN32" s="41"/>
      <c r="LO32" s="41"/>
      <c r="LP32" s="41"/>
      <c r="LQ32" s="41"/>
      <c r="LR32" s="41"/>
      <c r="LS32" s="41"/>
      <c r="LT32" s="41"/>
      <c r="LU32" s="41"/>
      <c r="LV32" s="41"/>
      <c r="LW32" s="41"/>
      <c r="LX32" s="41"/>
      <c r="LY32" s="41"/>
      <c r="LZ32" s="41"/>
      <c r="MA32" s="41"/>
      <c r="MB32" s="41"/>
      <c r="MC32" s="41"/>
      <c r="MD32" s="41"/>
      <c r="ME32" s="41"/>
      <c r="MF32" s="41"/>
      <c r="MG32" s="41"/>
      <c r="MH32" s="41"/>
      <c r="MI32" s="41"/>
      <c r="MJ32" s="41"/>
      <c r="MK32" s="41"/>
      <c r="ML32" s="41"/>
      <c r="MM32" s="41"/>
      <c r="MN32" s="41"/>
      <c r="MO32" s="41"/>
      <c r="MP32" s="41"/>
      <c r="MQ32" s="41"/>
      <c r="MR32" s="41"/>
      <c r="MS32" s="41"/>
      <c r="MT32" s="41"/>
      <c r="MU32" s="41"/>
      <c r="MV32" s="41"/>
      <c r="MW32" s="41"/>
      <c r="MX32" s="41"/>
      <c r="MY32" s="41"/>
      <c r="MZ32" s="41"/>
      <c r="NA32" s="41"/>
      <c r="NB32" s="41"/>
      <c r="NC32" s="41"/>
      <c r="ND32" s="41"/>
      <c r="NE32" s="41"/>
      <c r="NF32" s="41"/>
      <c r="NG32" s="41"/>
      <c r="NH32" s="41"/>
      <c r="NI32" s="41"/>
      <c r="NJ32" s="41"/>
      <c r="NK32" s="41"/>
      <c r="NL32" s="41"/>
      <c r="NM32" s="41"/>
      <c r="NN32" s="41"/>
      <c r="NO32" s="41"/>
      <c r="NP32" s="41"/>
      <c r="NQ32" s="41"/>
      <c r="NR32" s="41"/>
      <c r="NS32" s="41"/>
      <c r="NT32" s="41"/>
      <c r="NU32" s="41"/>
      <c r="NV32" s="41"/>
      <c r="NW32" s="41"/>
      <c r="NX32" s="41"/>
      <c r="NY32" s="41"/>
      <c r="NZ32" s="41"/>
      <c r="OA32" s="41"/>
      <c r="OB32" s="41"/>
      <c r="OC32" s="41"/>
      <c r="OD32" s="41"/>
      <c r="OE32" s="41"/>
      <c r="OF32" s="41"/>
      <c r="OG32" s="41"/>
      <c r="OH32" s="41"/>
      <c r="OI32" s="41"/>
      <c r="OJ32" s="41"/>
      <c r="OK32" s="41"/>
      <c r="OL32" s="41"/>
      <c r="OM32" s="41"/>
      <c r="ON32" s="41"/>
      <c r="OO32" s="41"/>
      <c r="OP32" s="41"/>
      <c r="OQ32" s="41"/>
      <c r="OR32" s="41"/>
      <c r="OS32" s="41"/>
      <c r="OT32" s="41"/>
      <c r="OU32" s="41"/>
      <c r="OV32" s="41"/>
      <c r="OW32" s="41"/>
      <c r="OX32" s="41"/>
      <c r="OY32" s="41"/>
      <c r="OZ32" s="41"/>
      <c r="PA32" s="41"/>
      <c r="PB32" s="41"/>
      <c r="PC32" s="41"/>
      <c r="PD32" s="41"/>
      <c r="PE32" s="41"/>
      <c r="PF32" s="41"/>
      <c r="PG32" s="41"/>
      <c r="PH32" s="41"/>
      <c r="PI32" s="41"/>
      <c r="PJ32" s="41"/>
      <c r="PK32" s="41"/>
      <c r="PL32" s="41"/>
      <c r="PM32" s="41"/>
      <c r="PN32" s="41"/>
      <c r="PO32" s="41"/>
      <c r="PP32" s="41"/>
      <c r="PQ32" s="41"/>
      <c r="PR32" s="41"/>
      <c r="PS32" s="41"/>
      <c r="PT32" s="41"/>
      <c r="PU32" s="41"/>
      <c r="PV32" s="41"/>
      <c r="PW32" s="41"/>
      <c r="PX32" s="41"/>
      <c r="PY32" s="41"/>
      <c r="PZ32" s="41"/>
      <c r="QA32" s="41"/>
      <c r="QB32" s="41"/>
      <c r="QC32" s="41"/>
      <c r="QD32" s="41"/>
      <c r="QE32" s="41"/>
      <c r="QF32" s="41"/>
      <c r="QG32" s="41"/>
      <c r="QH32" s="41"/>
      <c r="QI32" s="41"/>
      <c r="QJ32" s="41"/>
      <c r="QK32" s="41"/>
      <c r="QL32" s="41"/>
      <c r="QM32" s="41"/>
      <c r="QN32" s="41"/>
      <c r="QO32" s="41"/>
      <c r="QP32" s="41"/>
      <c r="QQ32" s="41"/>
      <c r="QR32" s="41"/>
      <c r="QS32" s="41"/>
      <c r="QT32" s="41"/>
      <c r="QU32" s="41"/>
      <c r="QV32" s="41"/>
      <c r="QW32" s="41"/>
      <c r="QX32" s="41"/>
      <c r="QY32" s="41"/>
      <c r="QZ32" s="41"/>
      <c r="RA32" s="41"/>
      <c r="RB32" s="41"/>
      <c r="RC32" s="41"/>
      <c r="RD32" s="41"/>
      <c r="RE32" s="41"/>
      <c r="RF32" s="41"/>
      <c r="RG32" s="41"/>
      <c r="RH32" s="41"/>
      <c r="RI32" s="41"/>
      <c r="RJ32" s="41"/>
      <c r="RK32" s="41"/>
      <c r="RL32" s="41"/>
      <c r="RM32" s="41"/>
      <c r="RN32" s="41"/>
      <c r="RO32" s="41"/>
      <c r="RP32" s="41"/>
      <c r="RQ32" s="41"/>
      <c r="RR32" s="41"/>
      <c r="RS32" s="41"/>
      <c r="RT32" s="41"/>
      <c r="RU32" s="41"/>
      <c r="RV32" s="41"/>
      <c r="RW32" s="41"/>
      <c r="RX32" s="41"/>
      <c r="RY32" s="41"/>
      <c r="RZ32" s="41"/>
      <c r="SA32" s="41"/>
      <c r="SB32" s="41"/>
      <c r="SC32" s="41"/>
      <c r="SD32" s="41"/>
      <c r="SE32" s="41"/>
      <c r="SF32" s="41"/>
      <c r="SG32" s="41"/>
      <c r="SH32" s="41"/>
      <c r="SI32" s="41"/>
      <c r="SJ32" s="41"/>
      <c r="SK32" s="41"/>
      <c r="SL32" s="41"/>
      <c r="SM32" s="41"/>
      <c r="SN32" s="41"/>
      <c r="SO32" s="41"/>
      <c r="SP32" s="41"/>
      <c r="SQ32" s="41"/>
      <c r="SR32" s="41"/>
      <c r="SS32" s="41"/>
      <c r="ST32" s="41"/>
      <c r="SU32" s="41"/>
      <c r="SV32" s="41"/>
      <c r="SW32" s="41"/>
      <c r="SX32" s="41"/>
      <c r="SY32" s="41"/>
      <c r="SZ32" s="41"/>
      <c r="TA32" s="41"/>
      <c r="TB32" s="41"/>
      <c r="TC32" s="41"/>
      <c r="TD32" s="41"/>
      <c r="TE32" s="41"/>
      <c r="TF32" s="41"/>
      <c r="TG32" s="41"/>
      <c r="TH32" s="41"/>
      <c r="TI32" s="41"/>
      <c r="TJ32" s="41"/>
      <c r="TK32" s="41"/>
      <c r="TL32" s="41"/>
      <c r="TM32" s="41"/>
      <c r="TN32" s="41"/>
      <c r="TO32" s="41"/>
      <c r="TP32" s="41"/>
      <c r="TQ32" s="41"/>
      <c r="TR32" s="41"/>
      <c r="TS32" s="41"/>
      <c r="TT32" s="41"/>
      <c r="TU32" s="41"/>
      <c r="TV32" s="41"/>
      <c r="TW32" s="41"/>
      <c r="TX32" s="41"/>
      <c r="TY32" s="41"/>
      <c r="TZ32" s="41"/>
      <c r="UA32" s="41"/>
      <c r="UB32" s="41"/>
      <c r="UC32" s="41"/>
      <c r="UD32" s="41"/>
      <c r="UE32" s="41"/>
      <c r="UF32" s="41"/>
      <c r="UG32" s="41"/>
      <c r="UH32" s="41"/>
      <c r="UI32" s="41"/>
      <c r="UJ32" s="41"/>
      <c r="UK32" s="41"/>
      <c r="UL32" s="41"/>
      <c r="UM32" s="41"/>
      <c r="UN32" s="41"/>
      <c r="UO32" s="41"/>
      <c r="UP32" s="41"/>
      <c r="UQ32" s="41"/>
      <c r="UR32" s="41"/>
      <c r="US32" s="41"/>
      <c r="UT32" s="41"/>
      <c r="UU32" s="41"/>
      <c r="UV32" s="41"/>
      <c r="UW32" s="41"/>
      <c r="UX32" s="41"/>
      <c r="UY32" s="41"/>
      <c r="UZ32" s="41"/>
      <c r="VA32" s="41"/>
      <c r="VB32" s="41"/>
      <c r="VC32" s="41"/>
      <c r="VD32" s="41"/>
      <c r="VE32" s="41"/>
      <c r="VF32" s="41"/>
      <c r="VG32" s="41"/>
      <c r="VH32" s="41"/>
      <c r="VI32" s="41"/>
      <c r="VJ32" s="41"/>
      <c r="VK32" s="41"/>
      <c r="VL32" s="41"/>
      <c r="VM32" s="41"/>
      <c r="VN32" s="41"/>
      <c r="VO32" s="41"/>
      <c r="VP32" s="41"/>
      <c r="VQ32" s="41"/>
      <c r="VR32" s="41"/>
      <c r="VS32" s="41"/>
      <c r="VT32" s="41"/>
      <c r="VU32" s="41"/>
      <c r="VV32" s="41"/>
      <c r="VW32" s="41"/>
      <c r="VX32" s="41"/>
      <c r="VY32" s="41"/>
      <c r="VZ32" s="41"/>
      <c r="WA32" s="41"/>
      <c r="WB32" s="41"/>
      <c r="WC32" s="41"/>
      <c r="WD32" s="41"/>
      <c r="WE32" s="41"/>
      <c r="WF32" s="41"/>
      <c r="WG32" s="41"/>
      <c r="WH32" s="41"/>
      <c r="WI32" s="41"/>
      <c r="WJ32" s="41"/>
      <c r="WK32" s="41"/>
      <c r="WL32" s="41"/>
      <c r="WM32" s="41"/>
      <c r="WN32" s="41"/>
      <c r="WO32" s="41"/>
      <c r="WP32" s="41"/>
      <c r="WQ32" s="41"/>
      <c r="WR32" s="41"/>
      <c r="WS32" s="41"/>
      <c r="WT32" s="41"/>
      <c r="WU32" s="41"/>
      <c r="WV32" s="41"/>
      <c r="WW32" s="41"/>
      <c r="WX32" s="41"/>
      <c r="WY32" s="41"/>
      <c r="WZ32" s="41"/>
      <c r="XA32" s="41"/>
      <c r="XB32" s="41"/>
      <c r="XC32" s="41"/>
      <c r="XD32" s="41"/>
      <c r="XE32" s="41"/>
      <c r="XF32" s="41"/>
      <c r="XG32" s="41"/>
      <c r="XH32" s="41"/>
      <c r="XI32" s="41"/>
      <c r="XJ32" s="41"/>
      <c r="XK32" s="41"/>
      <c r="XL32" s="41"/>
      <c r="XM32" s="41"/>
      <c r="XN32" s="41"/>
      <c r="XO32" s="41"/>
      <c r="XP32" s="41"/>
      <c r="XQ32" s="41"/>
      <c r="XR32" s="41"/>
      <c r="XS32" s="41"/>
      <c r="XT32" s="41"/>
      <c r="XU32" s="41"/>
      <c r="XV32" s="41"/>
      <c r="XW32" s="41"/>
      <c r="XX32" s="41"/>
      <c r="XY32" s="41"/>
      <c r="XZ32" s="41"/>
      <c r="YA32" s="41"/>
      <c r="YB32" s="41"/>
      <c r="YC32" s="41"/>
      <c r="YD32" s="41"/>
      <c r="YE32" s="41"/>
      <c r="YF32" s="41"/>
      <c r="YG32" s="41"/>
      <c r="YH32" s="41"/>
      <c r="YI32" s="41"/>
      <c r="YJ32" s="41"/>
      <c r="YK32" s="41"/>
      <c r="YL32" s="41"/>
      <c r="YM32" s="41"/>
      <c r="YN32" s="41"/>
      <c r="YO32" s="41"/>
      <c r="YP32" s="41"/>
      <c r="YQ32" s="41"/>
      <c r="YR32" s="41"/>
      <c r="YS32" s="41"/>
      <c r="YT32" s="41"/>
      <c r="YU32" s="41"/>
      <c r="YV32" s="41"/>
      <c r="YW32" s="41"/>
      <c r="YX32" s="41"/>
      <c r="YY32" s="41"/>
      <c r="YZ32" s="41"/>
      <c r="ZA32" s="41"/>
      <c r="ZB32" s="41"/>
      <c r="ZC32" s="41"/>
      <c r="ZD32" s="41"/>
      <c r="ZE32" s="41"/>
      <c r="ZF32" s="41"/>
      <c r="ZG32" s="41"/>
      <c r="ZH32" s="41"/>
      <c r="ZI32" s="41"/>
      <c r="ZJ32" s="41"/>
      <c r="ZK32" s="41"/>
      <c r="ZL32" s="41"/>
      <c r="ZM32" s="41"/>
      <c r="ZN32" s="41"/>
      <c r="ZO32" s="41"/>
      <c r="ZP32" s="41"/>
      <c r="ZQ32" s="41"/>
      <c r="ZR32" s="41"/>
      <c r="ZS32" s="41"/>
      <c r="ZT32" s="41"/>
      <c r="ZU32" s="41"/>
      <c r="ZV32" s="41"/>
      <c r="ZW32" s="41"/>
      <c r="ZX32" s="41"/>
      <c r="ZY32" s="41"/>
      <c r="ZZ32" s="41"/>
      <c r="AAA32" s="41"/>
      <c r="AAB32" s="41"/>
      <c r="AAC32" s="41"/>
      <c r="AAD32" s="41"/>
      <c r="AAE32" s="41"/>
      <c r="AAF32" s="41"/>
      <c r="AAG32" s="41"/>
      <c r="AAH32" s="41"/>
      <c r="AAI32" s="41"/>
      <c r="AAJ32" s="41"/>
      <c r="AAK32" s="41"/>
      <c r="AAL32" s="41"/>
      <c r="AAM32" s="41"/>
      <c r="AAN32" s="41"/>
      <c r="AAO32" s="41"/>
      <c r="AAP32" s="41"/>
      <c r="AAQ32" s="41"/>
      <c r="AAR32" s="41"/>
      <c r="AAS32" s="41"/>
      <c r="AAT32" s="41"/>
      <c r="AAU32" s="41"/>
      <c r="AAV32" s="41"/>
      <c r="AAW32" s="41"/>
      <c r="AAX32" s="41"/>
      <c r="AAY32" s="41"/>
      <c r="AAZ32" s="41"/>
      <c r="ABA32" s="41"/>
      <c r="ABB32" s="41"/>
      <c r="ABC32" s="41"/>
      <c r="ABD32" s="41"/>
      <c r="ABE32" s="41"/>
      <c r="ABF32" s="41"/>
      <c r="ABG32" s="41"/>
      <c r="ABH32" s="41"/>
      <c r="ABI32" s="41"/>
      <c r="ABJ32" s="41"/>
      <c r="ABK32" s="41"/>
      <c r="ABL32" s="41"/>
      <c r="ABM32" s="41"/>
      <c r="ABN32" s="41"/>
      <c r="ABO32" s="41"/>
      <c r="ABP32" s="41"/>
      <c r="ABQ32" s="41"/>
      <c r="ABR32" s="41"/>
      <c r="ABS32" s="41"/>
      <c r="ABT32" s="41"/>
      <c r="ABU32" s="41"/>
      <c r="ABV32" s="41"/>
      <c r="ABW32" s="41"/>
      <c r="ABX32" s="41"/>
      <c r="ABY32" s="41"/>
      <c r="ABZ32" s="41"/>
      <c r="ACA32" s="41"/>
      <c r="ACB32" s="41"/>
      <c r="ACC32" s="41"/>
      <c r="ACD32" s="41"/>
      <c r="ACE32" s="41"/>
      <c r="ACF32" s="41"/>
      <c r="ACG32" s="41"/>
      <c r="ACH32" s="41"/>
      <c r="ACI32" s="41"/>
      <c r="ACJ32" s="41"/>
      <c r="ACK32" s="41"/>
      <c r="ACL32" s="41"/>
      <c r="ACM32" s="41"/>
      <c r="ACN32" s="41"/>
      <c r="ACO32" s="41"/>
      <c r="ACP32" s="41"/>
      <c r="ACQ32" s="41"/>
      <c r="ACR32" s="41"/>
      <c r="ACS32" s="41"/>
      <c r="ACT32" s="41"/>
      <c r="ACU32" s="41"/>
      <c r="ACV32" s="41"/>
      <c r="ACW32" s="41"/>
      <c r="ACX32" s="41"/>
      <c r="ACY32" s="41"/>
      <c r="ACZ32" s="41"/>
      <c r="ADA32" s="41"/>
      <c r="ADB32" s="41"/>
      <c r="ADC32" s="41"/>
      <c r="ADD32" s="41"/>
      <c r="ADE32" s="41"/>
      <c r="ADF32" s="41"/>
      <c r="ADG32" s="41"/>
      <c r="ADH32" s="41"/>
      <c r="ADI32" s="41"/>
      <c r="ADJ32" s="41"/>
      <c r="ADK32" s="41"/>
      <c r="ADL32" s="41"/>
      <c r="ADM32" s="41"/>
      <c r="ADN32" s="41"/>
      <c r="ADO32" s="41"/>
      <c r="ADP32" s="41"/>
      <c r="ADQ32" s="41"/>
      <c r="ADR32" s="41"/>
      <c r="ADS32" s="41"/>
      <c r="ADT32" s="41"/>
      <c r="ADU32" s="41"/>
      <c r="ADV32" s="41"/>
      <c r="ADW32" s="41"/>
      <c r="ADX32" s="41"/>
      <c r="ADY32" s="41"/>
      <c r="ADZ32" s="41"/>
      <c r="AEA32" s="41"/>
      <c r="AEB32" s="41"/>
      <c r="AEC32" s="41"/>
      <c r="AED32" s="41"/>
      <c r="AEE32" s="41"/>
      <c r="AEF32" s="41"/>
      <c r="AEG32" s="41"/>
      <c r="AEH32" s="41"/>
      <c r="AEI32" s="41"/>
      <c r="AEJ32" s="41"/>
      <c r="AEK32" s="41"/>
      <c r="AEL32" s="41"/>
      <c r="AEM32" s="41"/>
      <c r="AEN32" s="41"/>
      <c r="AEO32" s="41"/>
      <c r="AEP32" s="41"/>
      <c r="AEQ32" s="41"/>
      <c r="AER32" s="41"/>
      <c r="AES32" s="41"/>
      <c r="AET32" s="41"/>
      <c r="AEU32" s="41"/>
      <c r="AEV32" s="41"/>
      <c r="AEW32" s="41"/>
      <c r="AEX32" s="41"/>
      <c r="AEY32" s="41"/>
      <c r="AEZ32" s="41"/>
      <c r="AFA32" s="41"/>
      <c r="AFB32" s="41"/>
      <c r="AFC32" s="41"/>
      <c r="AFD32" s="41"/>
      <c r="AFE32" s="41"/>
      <c r="AFF32" s="41"/>
      <c r="AFG32" s="41"/>
      <c r="AFH32" s="41"/>
      <c r="AFI32" s="41"/>
      <c r="AFJ32" s="41"/>
      <c r="AFK32" s="41"/>
      <c r="AFL32" s="41"/>
      <c r="AFM32" s="41"/>
      <c r="AFN32" s="41"/>
      <c r="AFO32" s="41"/>
      <c r="AFP32" s="41"/>
      <c r="AFQ32" s="41"/>
      <c r="AFR32" s="41"/>
      <c r="AFS32" s="41"/>
      <c r="AFT32" s="41"/>
      <c r="AFU32" s="41"/>
      <c r="AFV32" s="41"/>
      <c r="AFW32" s="41"/>
      <c r="AFX32" s="41"/>
      <c r="AFY32" s="41"/>
      <c r="AFZ32" s="41"/>
      <c r="AGA32" s="41"/>
      <c r="AGB32" s="41"/>
      <c r="AGC32" s="41"/>
      <c r="AGD32" s="41"/>
      <c r="AGE32" s="41"/>
      <c r="AGF32" s="41"/>
      <c r="AGG32" s="41"/>
      <c r="AGH32" s="41"/>
      <c r="AGI32" s="41"/>
      <c r="AGJ32" s="41"/>
      <c r="AGK32" s="41"/>
      <c r="AGL32" s="41"/>
      <c r="AGM32" s="41"/>
      <c r="AGN32" s="41"/>
      <c r="AGO32" s="41"/>
      <c r="AGP32" s="41"/>
      <c r="AGQ32" s="41"/>
      <c r="AGR32" s="41"/>
      <c r="AGS32" s="41"/>
      <c r="AGT32" s="41"/>
      <c r="AGU32" s="41"/>
      <c r="AGV32" s="41"/>
      <c r="AGW32" s="41"/>
      <c r="AGX32" s="41"/>
      <c r="AGY32" s="41"/>
      <c r="AGZ32" s="41"/>
      <c r="AHA32" s="41"/>
      <c r="AHB32" s="41"/>
      <c r="AHC32" s="41"/>
      <c r="AHD32" s="41"/>
      <c r="AHE32" s="41"/>
      <c r="AHF32" s="41"/>
      <c r="AHG32" s="41"/>
      <c r="AHH32" s="41"/>
      <c r="AHI32" s="41"/>
      <c r="AHJ32" s="41"/>
      <c r="AHK32" s="41"/>
      <c r="AHL32" s="41"/>
      <c r="AHM32" s="41"/>
      <c r="AHN32" s="41"/>
      <c r="AHO32" s="41"/>
      <c r="AHP32" s="41"/>
      <c r="AHQ32" s="41"/>
      <c r="AHR32" s="41"/>
      <c r="AHS32" s="41"/>
      <c r="AHT32" s="41"/>
      <c r="AHU32" s="41"/>
      <c r="AHV32" s="41"/>
      <c r="AHW32" s="41"/>
      <c r="AHX32" s="41"/>
      <c r="AHY32" s="41"/>
      <c r="AHZ32" s="41"/>
      <c r="AIA32" s="41"/>
      <c r="AIB32" s="41"/>
      <c r="AIC32" s="41"/>
      <c r="AID32" s="41"/>
      <c r="AIE32" s="41"/>
      <c r="AIF32" s="41"/>
      <c r="AIG32" s="41"/>
      <c r="AIH32" s="41"/>
      <c r="AII32" s="41"/>
      <c r="AIJ32" s="41"/>
      <c r="AIK32" s="41"/>
      <c r="AIL32" s="41"/>
      <c r="AIM32" s="41"/>
      <c r="AIN32" s="41"/>
      <c r="AIO32" s="41"/>
      <c r="AIP32" s="41"/>
      <c r="AIQ32" s="41"/>
      <c r="AIR32" s="41"/>
      <c r="AIS32" s="41"/>
      <c r="AIT32" s="41"/>
      <c r="AIU32" s="41"/>
      <c r="AIV32" s="41"/>
      <c r="AIW32" s="41"/>
      <c r="AIX32" s="41"/>
      <c r="AIY32" s="41"/>
      <c r="AIZ32" s="41"/>
      <c r="AJA32" s="41"/>
      <c r="AJB32" s="41"/>
      <c r="AJC32" s="41"/>
      <c r="AJD32" s="41"/>
      <c r="AJE32" s="41"/>
      <c r="AJF32" s="41"/>
      <c r="AJG32" s="41"/>
      <c r="AJH32" s="41"/>
      <c r="AJI32" s="41"/>
      <c r="AJJ32" s="41"/>
      <c r="AJK32" s="41"/>
      <c r="AJL32" s="41"/>
      <c r="AJM32" s="41"/>
      <c r="AJN32" s="41"/>
      <c r="AJO32" s="41"/>
      <c r="AJP32" s="41"/>
      <c r="AJQ32" s="41"/>
      <c r="AJR32" s="41"/>
      <c r="AJS32" s="41"/>
      <c r="AJT32" s="41"/>
      <c r="AJU32" s="41"/>
      <c r="AJV32" s="41"/>
      <c r="AJW32" s="41"/>
      <c r="AJX32" s="41"/>
      <c r="AJY32" s="41"/>
      <c r="AJZ32" s="41"/>
      <c r="AKA32" s="41"/>
      <c r="AKB32" s="41"/>
      <c r="AKC32" s="41"/>
      <c r="AKD32" s="41"/>
      <c r="AKE32" s="41"/>
      <c r="AKF32" s="41"/>
      <c r="AKG32" s="41"/>
      <c r="AKH32" s="41"/>
      <c r="AKI32" s="41"/>
      <c r="AKJ32" s="41"/>
      <c r="AKK32" s="41"/>
      <c r="AKL32" s="41"/>
      <c r="AKM32" s="41"/>
      <c r="AKN32" s="41"/>
      <c r="AKO32" s="41"/>
      <c r="AKP32" s="41"/>
      <c r="AKQ32" s="41"/>
      <c r="AKR32" s="41"/>
      <c r="AKS32" s="41"/>
      <c r="AKT32" s="41"/>
      <c r="AKU32" s="41"/>
      <c r="AKV32" s="41"/>
      <c r="AKW32" s="41"/>
      <c r="AKX32" s="41"/>
      <c r="AKY32" s="41"/>
      <c r="AKZ32" s="41"/>
      <c r="ALA32" s="41"/>
      <c r="ALB32" s="41"/>
      <c r="ALC32" s="41"/>
      <c r="ALD32" s="41"/>
      <c r="ALE32" s="41"/>
      <c r="ALF32" s="41"/>
      <c r="ALG32" s="41"/>
      <c r="ALH32" s="41"/>
      <c r="ALI32" s="41"/>
      <c r="ALJ32" s="41"/>
      <c r="ALK32" s="41"/>
      <c r="ALL32" s="41"/>
      <c r="ALM32" s="41"/>
      <c r="ALN32" s="41"/>
      <c r="ALO32" s="41"/>
      <c r="ALP32" s="41"/>
      <c r="ALQ32" s="41"/>
      <c r="ALR32" s="41"/>
      <c r="ALS32" s="41"/>
      <c r="ALT32" s="41"/>
      <c r="ALU32" s="41"/>
      <c r="ALV32" s="41"/>
      <c r="ALW32" s="41"/>
      <c r="ALX32" s="41"/>
      <c r="ALY32" s="41"/>
      <c r="ALZ32" s="41"/>
      <c r="AMA32" s="41"/>
      <c r="AMB32" s="41"/>
      <c r="AMC32" s="41"/>
      <c r="AMD32" s="41"/>
      <c r="AME32" s="41"/>
      <c r="AMF32" s="41"/>
      <c r="AMG32" s="41"/>
      <c r="AMH32" s="41"/>
      <c r="AMI32" s="41"/>
      <c r="AMJ32" s="41"/>
      <c r="AMK32" s="41"/>
      <c r="AML32" s="41"/>
      <c r="AMM32" s="41"/>
      <c r="AMN32" s="41"/>
      <c r="AMO32" s="41"/>
      <c r="AMP32" s="41"/>
      <c r="AMQ32" s="41"/>
      <c r="AMR32" s="41"/>
      <c r="AMS32" s="41"/>
      <c r="AMT32" s="41"/>
      <c r="AMU32" s="41"/>
      <c r="AMV32" s="41"/>
      <c r="AMW32" s="41"/>
      <c r="AMX32" s="41"/>
      <c r="AMY32" s="41"/>
      <c r="AMZ32" s="41"/>
      <c r="ANA32" s="41"/>
      <c r="ANB32" s="41"/>
      <c r="ANC32" s="41"/>
      <c r="AND32" s="41"/>
      <c r="ANE32" s="41"/>
      <c r="ANF32" s="41"/>
      <c r="ANG32" s="41"/>
      <c r="ANH32" s="41"/>
      <c r="ANI32" s="41"/>
      <c r="ANJ32" s="41"/>
      <c r="ANK32" s="41"/>
    </row>
    <row r="33" s="44" customFormat="true" ht="15" hidden="false" customHeight="false" outlineLevel="0" collapsed="false">
      <c r="A33" s="42" t="s">
        <v>55</v>
      </c>
      <c r="B33" s="51" t="n">
        <v>36.5384615384615</v>
      </c>
      <c r="C33" s="52" t="n">
        <v>72.6990567390872</v>
      </c>
      <c r="D33" s="44" t="n">
        <v>100</v>
      </c>
      <c r="E33" s="45" t="n">
        <v>100</v>
      </c>
      <c r="F33" s="43" t="n">
        <v>0</v>
      </c>
      <c r="G33" s="44" t="n">
        <v>40</v>
      </c>
      <c r="H33" s="46" t="n">
        <v>0</v>
      </c>
      <c r="I33" s="47" t="n">
        <v>2000</v>
      </c>
      <c r="J33" s="48" t="n">
        <v>0</v>
      </c>
      <c r="K33" s="43"/>
      <c r="M33" s="46" t="n">
        <v>0</v>
      </c>
      <c r="N33" s="43" t="n">
        <v>0</v>
      </c>
      <c r="O33" s="46" t="n">
        <v>0</v>
      </c>
      <c r="P33" s="49" t="n">
        <v>0</v>
      </c>
      <c r="Q33" s="50" t="n">
        <v>0</v>
      </c>
      <c r="R33" s="44" t="n">
        <v>0</v>
      </c>
      <c r="S33" s="44" t="n">
        <v>0</v>
      </c>
      <c r="T33" s="44" t="n">
        <v>0</v>
      </c>
      <c r="U33" s="44" t="n">
        <v>0</v>
      </c>
      <c r="V33" s="44" t="n">
        <v>0</v>
      </c>
      <c r="W33" s="44" t="n">
        <v>0</v>
      </c>
      <c r="X33" s="44" t="n">
        <v>0</v>
      </c>
      <c r="Y33" s="44" t="n">
        <v>0</v>
      </c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0</v>
      </c>
      <c r="AL33" s="44" t="n">
        <v>0</v>
      </c>
      <c r="AM33" s="44" t="n">
        <v>0</v>
      </c>
      <c r="AN33" s="46" t="n">
        <v>0</v>
      </c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41"/>
      <c r="KZ33" s="41"/>
      <c r="LA33" s="41"/>
      <c r="LB33" s="41"/>
      <c r="LC33" s="41"/>
      <c r="LD33" s="41"/>
      <c r="LE33" s="41"/>
      <c r="LF33" s="41"/>
      <c r="LG33" s="41"/>
      <c r="LH33" s="41"/>
      <c r="LI33" s="41"/>
      <c r="LJ33" s="41"/>
      <c r="LK33" s="41"/>
      <c r="LL33" s="41"/>
      <c r="LM33" s="41"/>
      <c r="LN33" s="41"/>
      <c r="LO33" s="41"/>
      <c r="LP33" s="41"/>
      <c r="LQ33" s="41"/>
      <c r="LR33" s="41"/>
      <c r="LS33" s="41"/>
      <c r="LT33" s="41"/>
      <c r="LU33" s="41"/>
      <c r="LV33" s="41"/>
      <c r="LW33" s="41"/>
      <c r="LX33" s="41"/>
      <c r="LY33" s="41"/>
      <c r="LZ33" s="41"/>
      <c r="MA33" s="41"/>
      <c r="MB33" s="41"/>
      <c r="MC33" s="41"/>
      <c r="MD33" s="41"/>
      <c r="ME33" s="41"/>
      <c r="MF33" s="41"/>
      <c r="MG33" s="41"/>
      <c r="MH33" s="41"/>
      <c r="MI33" s="41"/>
      <c r="MJ33" s="41"/>
      <c r="MK33" s="41"/>
      <c r="ML33" s="41"/>
      <c r="MM33" s="41"/>
      <c r="MN33" s="41"/>
      <c r="MO33" s="41"/>
      <c r="MP33" s="41"/>
      <c r="MQ33" s="41"/>
      <c r="MR33" s="41"/>
      <c r="MS33" s="41"/>
      <c r="MT33" s="41"/>
      <c r="MU33" s="41"/>
      <c r="MV33" s="41"/>
      <c r="MW33" s="41"/>
      <c r="MX33" s="41"/>
      <c r="MY33" s="41"/>
      <c r="MZ33" s="41"/>
      <c r="NA33" s="41"/>
      <c r="NB33" s="41"/>
      <c r="NC33" s="41"/>
      <c r="ND33" s="41"/>
      <c r="NE33" s="41"/>
      <c r="NF33" s="41"/>
      <c r="NG33" s="41"/>
      <c r="NH33" s="41"/>
      <c r="NI33" s="41"/>
      <c r="NJ33" s="41"/>
      <c r="NK33" s="41"/>
      <c r="NL33" s="41"/>
      <c r="NM33" s="41"/>
      <c r="NN33" s="41"/>
      <c r="NO33" s="41"/>
      <c r="NP33" s="41"/>
      <c r="NQ33" s="41"/>
      <c r="NR33" s="41"/>
      <c r="NS33" s="41"/>
      <c r="NT33" s="41"/>
      <c r="NU33" s="41"/>
      <c r="NV33" s="41"/>
      <c r="NW33" s="41"/>
      <c r="NX33" s="41"/>
      <c r="NY33" s="41"/>
      <c r="NZ33" s="41"/>
      <c r="OA33" s="41"/>
      <c r="OB33" s="41"/>
      <c r="OC33" s="41"/>
      <c r="OD33" s="41"/>
      <c r="OE33" s="41"/>
      <c r="OF33" s="41"/>
      <c r="OG33" s="41"/>
      <c r="OH33" s="41"/>
      <c r="OI33" s="41"/>
      <c r="OJ33" s="41"/>
      <c r="OK33" s="41"/>
      <c r="OL33" s="41"/>
      <c r="OM33" s="41"/>
      <c r="ON33" s="41"/>
      <c r="OO33" s="41"/>
      <c r="OP33" s="41"/>
      <c r="OQ33" s="41"/>
      <c r="OR33" s="41"/>
      <c r="OS33" s="41"/>
      <c r="OT33" s="41"/>
      <c r="OU33" s="41"/>
      <c r="OV33" s="41"/>
      <c r="OW33" s="41"/>
      <c r="OX33" s="41"/>
      <c r="OY33" s="41"/>
      <c r="OZ33" s="41"/>
      <c r="PA33" s="41"/>
      <c r="PB33" s="41"/>
      <c r="PC33" s="41"/>
      <c r="PD33" s="41"/>
      <c r="PE33" s="41"/>
      <c r="PF33" s="41"/>
      <c r="PG33" s="41"/>
      <c r="PH33" s="41"/>
      <c r="PI33" s="41"/>
      <c r="PJ33" s="41"/>
      <c r="PK33" s="41"/>
      <c r="PL33" s="41"/>
      <c r="PM33" s="41"/>
      <c r="PN33" s="41"/>
      <c r="PO33" s="41"/>
      <c r="PP33" s="41"/>
      <c r="PQ33" s="41"/>
      <c r="PR33" s="41"/>
      <c r="PS33" s="41"/>
      <c r="PT33" s="41"/>
      <c r="PU33" s="41"/>
      <c r="PV33" s="41"/>
      <c r="PW33" s="41"/>
      <c r="PX33" s="41"/>
      <c r="PY33" s="41"/>
      <c r="PZ33" s="41"/>
      <c r="QA33" s="41"/>
      <c r="QB33" s="41"/>
      <c r="QC33" s="41"/>
      <c r="QD33" s="41"/>
      <c r="QE33" s="41"/>
      <c r="QF33" s="41"/>
      <c r="QG33" s="41"/>
      <c r="QH33" s="41"/>
      <c r="QI33" s="41"/>
      <c r="QJ33" s="41"/>
      <c r="QK33" s="41"/>
      <c r="QL33" s="41"/>
      <c r="QM33" s="41"/>
      <c r="QN33" s="41"/>
      <c r="QO33" s="41"/>
      <c r="QP33" s="41"/>
      <c r="QQ33" s="41"/>
      <c r="QR33" s="41"/>
      <c r="QS33" s="41"/>
      <c r="QT33" s="41"/>
      <c r="QU33" s="41"/>
      <c r="QV33" s="41"/>
      <c r="QW33" s="41"/>
      <c r="QX33" s="41"/>
      <c r="QY33" s="41"/>
      <c r="QZ33" s="41"/>
      <c r="RA33" s="41"/>
      <c r="RB33" s="41"/>
      <c r="RC33" s="41"/>
      <c r="RD33" s="41"/>
      <c r="RE33" s="41"/>
      <c r="RF33" s="41"/>
      <c r="RG33" s="41"/>
      <c r="RH33" s="41"/>
      <c r="RI33" s="41"/>
      <c r="RJ33" s="41"/>
      <c r="RK33" s="41"/>
      <c r="RL33" s="41"/>
      <c r="RM33" s="41"/>
      <c r="RN33" s="41"/>
      <c r="RO33" s="41"/>
      <c r="RP33" s="41"/>
      <c r="RQ33" s="41"/>
      <c r="RR33" s="41"/>
      <c r="RS33" s="41"/>
      <c r="RT33" s="41"/>
      <c r="RU33" s="41"/>
      <c r="RV33" s="41"/>
      <c r="RW33" s="41"/>
      <c r="RX33" s="41"/>
      <c r="RY33" s="41"/>
      <c r="RZ33" s="41"/>
      <c r="SA33" s="41"/>
      <c r="SB33" s="41"/>
      <c r="SC33" s="41"/>
      <c r="SD33" s="41"/>
      <c r="SE33" s="41"/>
      <c r="SF33" s="41"/>
      <c r="SG33" s="41"/>
      <c r="SH33" s="41"/>
      <c r="SI33" s="41"/>
      <c r="SJ33" s="41"/>
      <c r="SK33" s="41"/>
      <c r="SL33" s="41"/>
      <c r="SM33" s="41"/>
      <c r="SN33" s="41"/>
      <c r="SO33" s="41"/>
      <c r="SP33" s="41"/>
      <c r="SQ33" s="41"/>
      <c r="SR33" s="41"/>
      <c r="SS33" s="41"/>
      <c r="ST33" s="41"/>
      <c r="SU33" s="41"/>
      <c r="SV33" s="41"/>
      <c r="SW33" s="41"/>
      <c r="SX33" s="41"/>
      <c r="SY33" s="41"/>
      <c r="SZ33" s="41"/>
      <c r="TA33" s="41"/>
      <c r="TB33" s="41"/>
      <c r="TC33" s="41"/>
      <c r="TD33" s="41"/>
      <c r="TE33" s="41"/>
      <c r="TF33" s="41"/>
      <c r="TG33" s="41"/>
      <c r="TH33" s="41"/>
      <c r="TI33" s="41"/>
      <c r="TJ33" s="41"/>
      <c r="TK33" s="41"/>
      <c r="TL33" s="41"/>
      <c r="TM33" s="41"/>
      <c r="TN33" s="41"/>
      <c r="TO33" s="41"/>
      <c r="TP33" s="41"/>
      <c r="TQ33" s="41"/>
      <c r="TR33" s="41"/>
      <c r="TS33" s="41"/>
      <c r="TT33" s="41"/>
      <c r="TU33" s="41"/>
      <c r="TV33" s="41"/>
      <c r="TW33" s="41"/>
      <c r="TX33" s="41"/>
      <c r="TY33" s="41"/>
      <c r="TZ33" s="41"/>
      <c r="UA33" s="41"/>
      <c r="UB33" s="41"/>
      <c r="UC33" s="41"/>
      <c r="UD33" s="41"/>
      <c r="UE33" s="41"/>
      <c r="UF33" s="41"/>
      <c r="UG33" s="41"/>
      <c r="UH33" s="41"/>
      <c r="UI33" s="41"/>
      <c r="UJ33" s="41"/>
      <c r="UK33" s="41"/>
      <c r="UL33" s="41"/>
      <c r="UM33" s="41"/>
      <c r="UN33" s="41"/>
      <c r="UO33" s="41"/>
      <c r="UP33" s="41"/>
      <c r="UQ33" s="41"/>
      <c r="UR33" s="41"/>
      <c r="US33" s="41"/>
      <c r="UT33" s="41"/>
      <c r="UU33" s="41"/>
      <c r="UV33" s="41"/>
      <c r="UW33" s="41"/>
      <c r="UX33" s="41"/>
      <c r="UY33" s="41"/>
      <c r="UZ33" s="41"/>
      <c r="VA33" s="41"/>
      <c r="VB33" s="41"/>
      <c r="VC33" s="41"/>
      <c r="VD33" s="41"/>
      <c r="VE33" s="41"/>
      <c r="VF33" s="41"/>
      <c r="VG33" s="41"/>
      <c r="VH33" s="41"/>
      <c r="VI33" s="41"/>
      <c r="VJ33" s="41"/>
      <c r="VK33" s="41"/>
      <c r="VL33" s="41"/>
      <c r="VM33" s="41"/>
      <c r="VN33" s="41"/>
      <c r="VO33" s="41"/>
      <c r="VP33" s="41"/>
      <c r="VQ33" s="41"/>
      <c r="VR33" s="41"/>
      <c r="VS33" s="41"/>
      <c r="VT33" s="41"/>
      <c r="VU33" s="41"/>
      <c r="VV33" s="41"/>
      <c r="VW33" s="41"/>
      <c r="VX33" s="41"/>
      <c r="VY33" s="41"/>
      <c r="VZ33" s="41"/>
      <c r="WA33" s="41"/>
      <c r="WB33" s="41"/>
      <c r="WC33" s="41"/>
      <c r="WD33" s="41"/>
      <c r="WE33" s="41"/>
      <c r="WF33" s="41"/>
      <c r="WG33" s="41"/>
      <c r="WH33" s="41"/>
      <c r="WI33" s="41"/>
      <c r="WJ33" s="41"/>
      <c r="WK33" s="41"/>
      <c r="WL33" s="41"/>
      <c r="WM33" s="41"/>
      <c r="WN33" s="41"/>
      <c r="WO33" s="41"/>
      <c r="WP33" s="41"/>
      <c r="WQ33" s="41"/>
      <c r="WR33" s="41"/>
      <c r="WS33" s="41"/>
      <c r="WT33" s="41"/>
      <c r="WU33" s="41"/>
      <c r="WV33" s="41"/>
      <c r="WW33" s="41"/>
      <c r="WX33" s="41"/>
      <c r="WY33" s="41"/>
      <c r="WZ33" s="41"/>
      <c r="XA33" s="41"/>
      <c r="XB33" s="41"/>
      <c r="XC33" s="41"/>
      <c r="XD33" s="41"/>
      <c r="XE33" s="41"/>
      <c r="XF33" s="41"/>
      <c r="XG33" s="41"/>
      <c r="XH33" s="41"/>
      <c r="XI33" s="41"/>
      <c r="XJ33" s="41"/>
      <c r="XK33" s="41"/>
      <c r="XL33" s="41"/>
      <c r="XM33" s="41"/>
      <c r="XN33" s="41"/>
      <c r="XO33" s="41"/>
      <c r="XP33" s="41"/>
      <c r="XQ33" s="41"/>
      <c r="XR33" s="41"/>
      <c r="XS33" s="41"/>
      <c r="XT33" s="41"/>
      <c r="XU33" s="41"/>
      <c r="XV33" s="41"/>
      <c r="XW33" s="41"/>
      <c r="XX33" s="41"/>
      <c r="XY33" s="41"/>
      <c r="XZ33" s="41"/>
      <c r="YA33" s="41"/>
      <c r="YB33" s="41"/>
      <c r="YC33" s="41"/>
      <c r="YD33" s="41"/>
      <c r="YE33" s="41"/>
      <c r="YF33" s="41"/>
      <c r="YG33" s="41"/>
      <c r="YH33" s="41"/>
      <c r="YI33" s="41"/>
      <c r="YJ33" s="41"/>
      <c r="YK33" s="41"/>
      <c r="YL33" s="41"/>
      <c r="YM33" s="41"/>
      <c r="YN33" s="41"/>
      <c r="YO33" s="41"/>
      <c r="YP33" s="41"/>
      <c r="YQ33" s="41"/>
      <c r="YR33" s="41"/>
      <c r="YS33" s="41"/>
      <c r="YT33" s="41"/>
      <c r="YU33" s="41"/>
      <c r="YV33" s="41"/>
      <c r="YW33" s="41"/>
      <c r="YX33" s="41"/>
      <c r="YY33" s="41"/>
      <c r="YZ33" s="41"/>
      <c r="ZA33" s="41"/>
      <c r="ZB33" s="41"/>
      <c r="ZC33" s="41"/>
      <c r="ZD33" s="41"/>
      <c r="ZE33" s="41"/>
      <c r="ZF33" s="41"/>
      <c r="ZG33" s="41"/>
      <c r="ZH33" s="41"/>
      <c r="ZI33" s="41"/>
      <c r="ZJ33" s="41"/>
      <c r="ZK33" s="41"/>
      <c r="ZL33" s="41"/>
      <c r="ZM33" s="41"/>
      <c r="ZN33" s="41"/>
      <c r="ZO33" s="41"/>
      <c r="ZP33" s="41"/>
      <c r="ZQ33" s="41"/>
      <c r="ZR33" s="41"/>
      <c r="ZS33" s="41"/>
      <c r="ZT33" s="41"/>
      <c r="ZU33" s="41"/>
      <c r="ZV33" s="41"/>
      <c r="ZW33" s="41"/>
      <c r="ZX33" s="41"/>
      <c r="ZY33" s="41"/>
      <c r="ZZ33" s="41"/>
      <c r="AAA33" s="41"/>
      <c r="AAB33" s="41"/>
      <c r="AAC33" s="41"/>
      <c r="AAD33" s="41"/>
      <c r="AAE33" s="41"/>
      <c r="AAF33" s="41"/>
      <c r="AAG33" s="41"/>
      <c r="AAH33" s="41"/>
      <c r="AAI33" s="41"/>
      <c r="AAJ33" s="41"/>
      <c r="AAK33" s="41"/>
      <c r="AAL33" s="41"/>
      <c r="AAM33" s="41"/>
      <c r="AAN33" s="41"/>
      <c r="AAO33" s="41"/>
      <c r="AAP33" s="41"/>
      <c r="AAQ33" s="41"/>
      <c r="AAR33" s="41"/>
      <c r="AAS33" s="41"/>
      <c r="AAT33" s="41"/>
      <c r="AAU33" s="41"/>
      <c r="AAV33" s="41"/>
      <c r="AAW33" s="41"/>
      <c r="AAX33" s="41"/>
      <c r="AAY33" s="41"/>
      <c r="AAZ33" s="41"/>
      <c r="ABA33" s="41"/>
      <c r="ABB33" s="41"/>
      <c r="ABC33" s="41"/>
      <c r="ABD33" s="41"/>
      <c r="ABE33" s="41"/>
      <c r="ABF33" s="41"/>
      <c r="ABG33" s="41"/>
      <c r="ABH33" s="41"/>
      <c r="ABI33" s="41"/>
      <c r="ABJ33" s="41"/>
      <c r="ABK33" s="41"/>
      <c r="ABL33" s="41"/>
      <c r="ABM33" s="41"/>
      <c r="ABN33" s="41"/>
      <c r="ABO33" s="41"/>
      <c r="ABP33" s="41"/>
      <c r="ABQ33" s="41"/>
      <c r="ABR33" s="41"/>
      <c r="ABS33" s="41"/>
      <c r="ABT33" s="41"/>
      <c r="ABU33" s="41"/>
      <c r="ABV33" s="41"/>
      <c r="ABW33" s="41"/>
      <c r="ABX33" s="41"/>
      <c r="ABY33" s="41"/>
      <c r="ABZ33" s="41"/>
      <c r="ACA33" s="41"/>
      <c r="ACB33" s="41"/>
      <c r="ACC33" s="41"/>
      <c r="ACD33" s="41"/>
      <c r="ACE33" s="41"/>
      <c r="ACF33" s="41"/>
      <c r="ACG33" s="41"/>
      <c r="ACH33" s="41"/>
      <c r="ACI33" s="41"/>
      <c r="ACJ33" s="41"/>
      <c r="ACK33" s="41"/>
      <c r="ACL33" s="41"/>
      <c r="ACM33" s="41"/>
      <c r="ACN33" s="41"/>
      <c r="ACO33" s="41"/>
      <c r="ACP33" s="41"/>
      <c r="ACQ33" s="41"/>
      <c r="ACR33" s="41"/>
      <c r="ACS33" s="41"/>
      <c r="ACT33" s="41"/>
      <c r="ACU33" s="41"/>
      <c r="ACV33" s="41"/>
      <c r="ACW33" s="41"/>
      <c r="ACX33" s="41"/>
      <c r="ACY33" s="41"/>
      <c r="ACZ33" s="41"/>
      <c r="ADA33" s="41"/>
      <c r="ADB33" s="41"/>
      <c r="ADC33" s="41"/>
      <c r="ADD33" s="41"/>
      <c r="ADE33" s="41"/>
      <c r="ADF33" s="41"/>
      <c r="ADG33" s="41"/>
      <c r="ADH33" s="41"/>
      <c r="ADI33" s="41"/>
      <c r="ADJ33" s="41"/>
      <c r="ADK33" s="41"/>
      <c r="ADL33" s="41"/>
      <c r="ADM33" s="41"/>
      <c r="ADN33" s="41"/>
      <c r="ADO33" s="41"/>
      <c r="ADP33" s="41"/>
      <c r="ADQ33" s="41"/>
      <c r="ADR33" s="41"/>
      <c r="ADS33" s="41"/>
      <c r="ADT33" s="41"/>
      <c r="ADU33" s="41"/>
      <c r="ADV33" s="41"/>
      <c r="ADW33" s="41"/>
      <c r="ADX33" s="41"/>
      <c r="ADY33" s="41"/>
      <c r="ADZ33" s="41"/>
      <c r="AEA33" s="41"/>
      <c r="AEB33" s="41"/>
      <c r="AEC33" s="41"/>
      <c r="AED33" s="41"/>
      <c r="AEE33" s="41"/>
      <c r="AEF33" s="41"/>
      <c r="AEG33" s="41"/>
      <c r="AEH33" s="41"/>
      <c r="AEI33" s="41"/>
      <c r="AEJ33" s="41"/>
      <c r="AEK33" s="41"/>
      <c r="AEL33" s="41"/>
      <c r="AEM33" s="41"/>
      <c r="AEN33" s="41"/>
      <c r="AEO33" s="41"/>
      <c r="AEP33" s="41"/>
      <c r="AEQ33" s="41"/>
      <c r="AER33" s="41"/>
      <c r="AES33" s="41"/>
      <c r="AET33" s="41"/>
      <c r="AEU33" s="41"/>
      <c r="AEV33" s="41"/>
      <c r="AEW33" s="41"/>
      <c r="AEX33" s="41"/>
      <c r="AEY33" s="41"/>
      <c r="AEZ33" s="41"/>
      <c r="AFA33" s="41"/>
      <c r="AFB33" s="41"/>
      <c r="AFC33" s="41"/>
      <c r="AFD33" s="41"/>
      <c r="AFE33" s="41"/>
      <c r="AFF33" s="41"/>
      <c r="AFG33" s="41"/>
      <c r="AFH33" s="41"/>
      <c r="AFI33" s="41"/>
      <c r="AFJ33" s="41"/>
      <c r="AFK33" s="41"/>
      <c r="AFL33" s="41"/>
      <c r="AFM33" s="41"/>
      <c r="AFN33" s="41"/>
      <c r="AFO33" s="41"/>
      <c r="AFP33" s="41"/>
      <c r="AFQ33" s="41"/>
      <c r="AFR33" s="41"/>
      <c r="AFS33" s="41"/>
      <c r="AFT33" s="41"/>
      <c r="AFU33" s="41"/>
      <c r="AFV33" s="41"/>
      <c r="AFW33" s="41"/>
      <c r="AFX33" s="41"/>
      <c r="AFY33" s="41"/>
      <c r="AFZ33" s="41"/>
      <c r="AGA33" s="41"/>
      <c r="AGB33" s="41"/>
      <c r="AGC33" s="41"/>
      <c r="AGD33" s="41"/>
      <c r="AGE33" s="41"/>
      <c r="AGF33" s="41"/>
      <c r="AGG33" s="41"/>
      <c r="AGH33" s="41"/>
      <c r="AGI33" s="41"/>
      <c r="AGJ33" s="41"/>
      <c r="AGK33" s="41"/>
      <c r="AGL33" s="41"/>
      <c r="AGM33" s="41"/>
      <c r="AGN33" s="41"/>
      <c r="AGO33" s="41"/>
      <c r="AGP33" s="41"/>
      <c r="AGQ33" s="41"/>
      <c r="AGR33" s="41"/>
      <c r="AGS33" s="41"/>
      <c r="AGT33" s="41"/>
      <c r="AGU33" s="41"/>
      <c r="AGV33" s="41"/>
      <c r="AGW33" s="41"/>
      <c r="AGX33" s="41"/>
      <c r="AGY33" s="41"/>
      <c r="AGZ33" s="41"/>
      <c r="AHA33" s="41"/>
      <c r="AHB33" s="41"/>
      <c r="AHC33" s="41"/>
      <c r="AHD33" s="41"/>
      <c r="AHE33" s="41"/>
      <c r="AHF33" s="41"/>
      <c r="AHG33" s="41"/>
      <c r="AHH33" s="41"/>
      <c r="AHI33" s="41"/>
      <c r="AHJ33" s="41"/>
      <c r="AHK33" s="41"/>
      <c r="AHL33" s="41"/>
      <c r="AHM33" s="41"/>
      <c r="AHN33" s="41"/>
      <c r="AHO33" s="41"/>
      <c r="AHP33" s="41"/>
      <c r="AHQ33" s="41"/>
      <c r="AHR33" s="41"/>
      <c r="AHS33" s="41"/>
      <c r="AHT33" s="41"/>
      <c r="AHU33" s="41"/>
      <c r="AHV33" s="41"/>
      <c r="AHW33" s="41"/>
      <c r="AHX33" s="41"/>
      <c r="AHY33" s="41"/>
      <c r="AHZ33" s="41"/>
      <c r="AIA33" s="41"/>
      <c r="AIB33" s="41"/>
      <c r="AIC33" s="41"/>
      <c r="AID33" s="41"/>
      <c r="AIE33" s="41"/>
      <c r="AIF33" s="41"/>
      <c r="AIG33" s="41"/>
      <c r="AIH33" s="41"/>
      <c r="AII33" s="41"/>
      <c r="AIJ33" s="41"/>
      <c r="AIK33" s="41"/>
      <c r="AIL33" s="41"/>
      <c r="AIM33" s="41"/>
      <c r="AIN33" s="41"/>
      <c r="AIO33" s="41"/>
      <c r="AIP33" s="41"/>
      <c r="AIQ33" s="41"/>
      <c r="AIR33" s="41"/>
      <c r="AIS33" s="41"/>
      <c r="AIT33" s="41"/>
      <c r="AIU33" s="41"/>
      <c r="AIV33" s="41"/>
      <c r="AIW33" s="41"/>
      <c r="AIX33" s="41"/>
      <c r="AIY33" s="41"/>
      <c r="AIZ33" s="41"/>
      <c r="AJA33" s="41"/>
      <c r="AJB33" s="41"/>
      <c r="AJC33" s="41"/>
      <c r="AJD33" s="41"/>
      <c r="AJE33" s="41"/>
      <c r="AJF33" s="41"/>
      <c r="AJG33" s="41"/>
      <c r="AJH33" s="41"/>
      <c r="AJI33" s="41"/>
      <c r="AJJ33" s="41"/>
      <c r="AJK33" s="41"/>
      <c r="AJL33" s="41"/>
      <c r="AJM33" s="41"/>
      <c r="AJN33" s="41"/>
      <c r="AJO33" s="41"/>
      <c r="AJP33" s="41"/>
      <c r="AJQ33" s="41"/>
      <c r="AJR33" s="41"/>
      <c r="AJS33" s="41"/>
      <c r="AJT33" s="41"/>
      <c r="AJU33" s="41"/>
      <c r="AJV33" s="41"/>
      <c r="AJW33" s="41"/>
      <c r="AJX33" s="41"/>
      <c r="AJY33" s="41"/>
      <c r="AJZ33" s="41"/>
      <c r="AKA33" s="41"/>
      <c r="AKB33" s="41"/>
      <c r="AKC33" s="41"/>
      <c r="AKD33" s="41"/>
      <c r="AKE33" s="41"/>
      <c r="AKF33" s="41"/>
      <c r="AKG33" s="41"/>
      <c r="AKH33" s="41"/>
      <c r="AKI33" s="41"/>
      <c r="AKJ33" s="41"/>
      <c r="AKK33" s="41"/>
      <c r="AKL33" s="41"/>
      <c r="AKM33" s="41"/>
      <c r="AKN33" s="41"/>
      <c r="AKO33" s="41"/>
      <c r="AKP33" s="41"/>
      <c r="AKQ33" s="41"/>
      <c r="AKR33" s="41"/>
      <c r="AKS33" s="41"/>
      <c r="AKT33" s="41"/>
      <c r="AKU33" s="41"/>
      <c r="AKV33" s="41"/>
      <c r="AKW33" s="41"/>
      <c r="AKX33" s="41"/>
      <c r="AKY33" s="41"/>
      <c r="AKZ33" s="41"/>
      <c r="ALA33" s="41"/>
      <c r="ALB33" s="41"/>
      <c r="ALC33" s="41"/>
      <c r="ALD33" s="41"/>
      <c r="ALE33" s="41"/>
      <c r="ALF33" s="41"/>
      <c r="ALG33" s="41"/>
      <c r="ALH33" s="41"/>
      <c r="ALI33" s="41"/>
      <c r="ALJ33" s="41"/>
      <c r="ALK33" s="41"/>
      <c r="ALL33" s="41"/>
      <c r="ALM33" s="41"/>
      <c r="ALN33" s="41"/>
      <c r="ALO33" s="41"/>
      <c r="ALP33" s="41"/>
      <c r="ALQ33" s="41"/>
      <c r="ALR33" s="41"/>
      <c r="ALS33" s="41"/>
      <c r="ALT33" s="41"/>
      <c r="ALU33" s="41"/>
      <c r="ALV33" s="41"/>
      <c r="ALW33" s="41"/>
      <c r="ALX33" s="41"/>
      <c r="ALY33" s="41"/>
      <c r="ALZ33" s="41"/>
      <c r="AMA33" s="41"/>
      <c r="AMB33" s="41"/>
      <c r="AMC33" s="41"/>
      <c r="AMD33" s="41"/>
      <c r="AME33" s="41"/>
      <c r="AMF33" s="41"/>
      <c r="AMG33" s="41"/>
      <c r="AMH33" s="41"/>
      <c r="AMI33" s="41"/>
      <c r="AMJ33" s="41"/>
      <c r="AMK33" s="41"/>
      <c r="AML33" s="41"/>
      <c r="AMM33" s="41"/>
      <c r="AMN33" s="41"/>
      <c r="AMO33" s="41"/>
      <c r="AMP33" s="41"/>
      <c r="AMQ33" s="41"/>
      <c r="AMR33" s="41"/>
      <c r="AMS33" s="41"/>
      <c r="AMT33" s="41"/>
      <c r="AMU33" s="41"/>
      <c r="AMV33" s="41"/>
      <c r="AMW33" s="41"/>
      <c r="AMX33" s="41"/>
      <c r="AMY33" s="41"/>
      <c r="AMZ33" s="41"/>
      <c r="ANA33" s="41"/>
      <c r="ANB33" s="41"/>
      <c r="ANC33" s="41"/>
      <c r="AND33" s="41"/>
      <c r="ANE33" s="41"/>
      <c r="ANF33" s="41"/>
      <c r="ANG33" s="41"/>
      <c r="ANH33" s="41"/>
      <c r="ANI33" s="41"/>
      <c r="ANJ33" s="41"/>
      <c r="ANK33" s="41"/>
    </row>
    <row r="34" s="44" customFormat="true" ht="15" hidden="false" customHeight="false" outlineLevel="0" collapsed="false">
      <c r="A34" s="42" t="s">
        <v>56</v>
      </c>
      <c r="B34" s="43" t="n">
        <v>394302.831879</v>
      </c>
      <c r="C34" s="44" t="n">
        <v>0</v>
      </c>
      <c r="D34" s="44" t="n">
        <v>0</v>
      </c>
      <c r="E34" s="45" t="n">
        <v>0</v>
      </c>
      <c r="F34" s="43" t="n">
        <v>0</v>
      </c>
      <c r="G34" s="44" t="n">
        <v>130000</v>
      </c>
      <c r="H34" s="46" t="n">
        <v>1160</v>
      </c>
      <c r="I34" s="47" t="n">
        <v>0.95</v>
      </c>
      <c r="J34" s="48" t="n">
        <v>0</v>
      </c>
      <c r="K34" s="43"/>
      <c r="M34" s="46" t="n">
        <v>0</v>
      </c>
      <c r="N34" s="43" t="n">
        <v>0</v>
      </c>
      <c r="O34" s="46" t="n">
        <v>0</v>
      </c>
      <c r="P34" s="49" t="n">
        <v>0</v>
      </c>
      <c r="Q34" s="50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6" t="n">
        <v>0</v>
      </c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41"/>
      <c r="KQ34" s="41"/>
      <c r="KR34" s="41"/>
      <c r="KS34" s="41"/>
      <c r="KT34" s="41"/>
      <c r="KU34" s="41"/>
      <c r="KV34" s="41"/>
      <c r="KW34" s="41"/>
      <c r="KX34" s="41"/>
      <c r="KY34" s="41"/>
      <c r="KZ34" s="41"/>
      <c r="LA34" s="41"/>
      <c r="LB34" s="41"/>
      <c r="LC34" s="41"/>
      <c r="LD34" s="41"/>
      <c r="LE34" s="41"/>
      <c r="LF34" s="41"/>
      <c r="LG34" s="41"/>
      <c r="LH34" s="41"/>
      <c r="LI34" s="41"/>
      <c r="LJ34" s="41"/>
      <c r="LK34" s="41"/>
      <c r="LL34" s="41"/>
      <c r="LM34" s="41"/>
      <c r="LN34" s="41"/>
      <c r="LO34" s="41"/>
      <c r="LP34" s="41"/>
      <c r="LQ34" s="41"/>
      <c r="LR34" s="41"/>
      <c r="LS34" s="41"/>
      <c r="LT34" s="41"/>
      <c r="LU34" s="41"/>
      <c r="LV34" s="41"/>
      <c r="LW34" s="41"/>
      <c r="LX34" s="41"/>
      <c r="LY34" s="41"/>
      <c r="LZ34" s="41"/>
      <c r="MA34" s="41"/>
      <c r="MB34" s="41"/>
      <c r="MC34" s="41"/>
      <c r="MD34" s="41"/>
      <c r="ME34" s="41"/>
      <c r="MF34" s="41"/>
      <c r="MG34" s="41"/>
      <c r="MH34" s="41"/>
      <c r="MI34" s="41"/>
      <c r="MJ34" s="41"/>
      <c r="MK34" s="41"/>
      <c r="ML34" s="41"/>
      <c r="MM34" s="41"/>
      <c r="MN34" s="41"/>
      <c r="MO34" s="41"/>
      <c r="MP34" s="41"/>
      <c r="MQ34" s="41"/>
      <c r="MR34" s="41"/>
      <c r="MS34" s="41"/>
      <c r="MT34" s="41"/>
      <c r="MU34" s="41"/>
      <c r="MV34" s="41"/>
      <c r="MW34" s="41"/>
      <c r="MX34" s="41"/>
      <c r="MY34" s="41"/>
      <c r="MZ34" s="41"/>
      <c r="NA34" s="41"/>
      <c r="NB34" s="41"/>
      <c r="NC34" s="41"/>
      <c r="ND34" s="41"/>
      <c r="NE34" s="41"/>
      <c r="NF34" s="41"/>
      <c r="NG34" s="41"/>
      <c r="NH34" s="41"/>
      <c r="NI34" s="41"/>
      <c r="NJ34" s="41"/>
      <c r="NK34" s="41"/>
      <c r="NL34" s="41"/>
      <c r="NM34" s="41"/>
      <c r="NN34" s="41"/>
      <c r="NO34" s="41"/>
      <c r="NP34" s="41"/>
      <c r="NQ34" s="41"/>
      <c r="NR34" s="41"/>
      <c r="NS34" s="41"/>
      <c r="NT34" s="41"/>
      <c r="NU34" s="41"/>
      <c r="NV34" s="41"/>
      <c r="NW34" s="41"/>
      <c r="NX34" s="41"/>
      <c r="NY34" s="41"/>
      <c r="NZ34" s="41"/>
      <c r="OA34" s="41"/>
      <c r="OB34" s="41"/>
      <c r="OC34" s="41"/>
      <c r="OD34" s="41"/>
      <c r="OE34" s="41"/>
      <c r="OF34" s="41"/>
      <c r="OG34" s="41"/>
      <c r="OH34" s="41"/>
      <c r="OI34" s="41"/>
      <c r="OJ34" s="41"/>
      <c r="OK34" s="41"/>
      <c r="OL34" s="41"/>
      <c r="OM34" s="41"/>
      <c r="ON34" s="41"/>
      <c r="OO34" s="41"/>
      <c r="OP34" s="41"/>
      <c r="OQ34" s="41"/>
      <c r="OR34" s="41"/>
      <c r="OS34" s="41"/>
      <c r="OT34" s="41"/>
      <c r="OU34" s="41"/>
      <c r="OV34" s="41"/>
      <c r="OW34" s="41"/>
      <c r="OX34" s="41"/>
      <c r="OY34" s="41"/>
      <c r="OZ34" s="41"/>
      <c r="PA34" s="41"/>
      <c r="PB34" s="41"/>
      <c r="PC34" s="41"/>
      <c r="PD34" s="41"/>
      <c r="PE34" s="41"/>
      <c r="PF34" s="41"/>
      <c r="PG34" s="41"/>
      <c r="PH34" s="41"/>
      <c r="PI34" s="41"/>
      <c r="PJ34" s="41"/>
      <c r="PK34" s="41"/>
      <c r="PL34" s="41"/>
      <c r="PM34" s="41"/>
      <c r="PN34" s="41"/>
      <c r="PO34" s="41"/>
      <c r="PP34" s="41"/>
      <c r="PQ34" s="41"/>
      <c r="PR34" s="41"/>
      <c r="PS34" s="41"/>
      <c r="PT34" s="41"/>
      <c r="PU34" s="41"/>
      <c r="PV34" s="41"/>
      <c r="PW34" s="41"/>
      <c r="PX34" s="41"/>
      <c r="PY34" s="41"/>
      <c r="PZ34" s="41"/>
      <c r="QA34" s="41"/>
      <c r="QB34" s="41"/>
      <c r="QC34" s="41"/>
      <c r="QD34" s="41"/>
      <c r="QE34" s="41"/>
      <c r="QF34" s="41"/>
      <c r="QG34" s="41"/>
      <c r="QH34" s="41"/>
      <c r="QI34" s="41"/>
      <c r="QJ34" s="41"/>
      <c r="QK34" s="41"/>
      <c r="QL34" s="41"/>
      <c r="QM34" s="41"/>
      <c r="QN34" s="41"/>
      <c r="QO34" s="41"/>
      <c r="QP34" s="41"/>
      <c r="QQ34" s="41"/>
      <c r="QR34" s="41"/>
      <c r="QS34" s="41"/>
      <c r="QT34" s="41"/>
      <c r="QU34" s="41"/>
      <c r="QV34" s="41"/>
      <c r="QW34" s="41"/>
      <c r="QX34" s="41"/>
      <c r="QY34" s="41"/>
      <c r="QZ34" s="41"/>
      <c r="RA34" s="41"/>
      <c r="RB34" s="41"/>
      <c r="RC34" s="41"/>
      <c r="RD34" s="41"/>
      <c r="RE34" s="41"/>
      <c r="RF34" s="41"/>
      <c r="RG34" s="41"/>
      <c r="RH34" s="41"/>
      <c r="RI34" s="41"/>
      <c r="RJ34" s="41"/>
      <c r="RK34" s="41"/>
      <c r="RL34" s="41"/>
      <c r="RM34" s="41"/>
      <c r="RN34" s="41"/>
      <c r="RO34" s="41"/>
      <c r="RP34" s="41"/>
      <c r="RQ34" s="41"/>
      <c r="RR34" s="41"/>
      <c r="RS34" s="41"/>
      <c r="RT34" s="41"/>
      <c r="RU34" s="41"/>
      <c r="RV34" s="41"/>
      <c r="RW34" s="41"/>
      <c r="RX34" s="41"/>
      <c r="RY34" s="41"/>
      <c r="RZ34" s="41"/>
      <c r="SA34" s="41"/>
      <c r="SB34" s="41"/>
      <c r="SC34" s="41"/>
      <c r="SD34" s="41"/>
      <c r="SE34" s="41"/>
      <c r="SF34" s="41"/>
      <c r="SG34" s="41"/>
      <c r="SH34" s="41"/>
      <c r="SI34" s="41"/>
      <c r="SJ34" s="41"/>
      <c r="SK34" s="41"/>
      <c r="SL34" s="41"/>
      <c r="SM34" s="41"/>
      <c r="SN34" s="41"/>
      <c r="SO34" s="41"/>
      <c r="SP34" s="41"/>
      <c r="SQ34" s="41"/>
      <c r="SR34" s="41"/>
      <c r="SS34" s="41"/>
      <c r="ST34" s="41"/>
      <c r="SU34" s="41"/>
      <c r="SV34" s="41"/>
      <c r="SW34" s="41"/>
      <c r="SX34" s="41"/>
      <c r="SY34" s="41"/>
      <c r="SZ34" s="41"/>
      <c r="TA34" s="41"/>
      <c r="TB34" s="41"/>
      <c r="TC34" s="41"/>
      <c r="TD34" s="41"/>
      <c r="TE34" s="41"/>
      <c r="TF34" s="41"/>
      <c r="TG34" s="41"/>
      <c r="TH34" s="41"/>
      <c r="TI34" s="41"/>
      <c r="TJ34" s="41"/>
      <c r="TK34" s="41"/>
      <c r="TL34" s="41"/>
      <c r="TM34" s="41"/>
      <c r="TN34" s="41"/>
      <c r="TO34" s="41"/>
      <c r="TP34" s="41"/>
      <c r="TQ34" s="41"/>
      <c r="TR34" s="41"/>
      <c r="TS34" s="41"/>
      <c r="TT34" s="41"/>
      <c r="TU34" s="41"/>
      <c r="TV34" s="41"/>
      <c r="TW34" s="41"/>
      <c r="TX34" s="41"/>
      <c r="TY34" s="41"/>
      <c r="TZ34" s="41"/>
      <c r="UA34" s="41"/>
      <c r="UB34" s="41"/>
      <c r="UC34" s="41"/>
      <c r="UD34" s="41"/>
      <c r="UE34" s="41"/>
      <c r="UF34" s="41"/>
      <c r="UG34" s="41"/>
      <c r="UH34" s="41"/>
      <c r="UI34" s="41"/>
      <c r="UJ34" s="41"/>
      <c r="UK34" s="41"/>
      <c r="UL34" s="41"/>
      <c r="UM34" s="41"/>
      <c r="UN34" s="41"/>
      <c r="UO34" s="41"/>
      <c r="UP34" s="41"/>
      <c r="UQ34" s="41"/>
      <c r="UR34" s="41"/>
      <c r="US34" s="41"/>
      <c r="UT34" s="41"/>
      <c r="UU34" s="41"/>
      <c r="UV34" s="41"/>
      <c r="UW34" s="41"/>
      <c r="UX34" s="41"/>
      <c r="UY34" s="41"/>
      <c r="UZ34" s="41"/>
      <c r="VA34" s="41"/>
      <c r="VB34" s="41"/>
      <c r="VC34" s="41"/>
      <c r="VD34" s="41"/>
      <c r="VE34" s="41"/>
      <c r="VF34" s="41"/>
      <c r="VG34" s="41"/>
      <c r="VH34" s="41"/>
      <c r="VI34" s="41"/>
      <c r="VJ34" s="41"/>
      <c r="VK34" s="41"/>
      <c r="VL34" s="41"/>
      <c r="VM34" s="41"/>
      <c r="VN34" s="41"/>
      <c r="VO34" s="41"/>
      <c r="VP34" s="41"/>
      <c r="VQ34" s="41"/>
      <c r="VR34" s="41"/>
      <c r="VS34" s="41"/>
      <c r="VT34" s="41"/>
      <c r="VU34" s="41"/>
      <c r="VV34" s="41"/>
      <c r="VW34" s="41"/>
      <c r="VX34" s="41"/>
      <c r="VY34" s="41"/>
      <c r="VZ34" s="41"/>
      <c r="WA34" s="41"/>
      <c r="WB34" s="41"/>
      <c r="WC34" s="41"/>
      <c r="WD34" s="41"/>
      <c r="WE34" s="41"/>
      <c r="WF34" s="41"/>
      <c r="WG34" s="41"/>
      <c r="WH34" s="41"/>
      <c r="WI34" s="41"/>
      <c r="WJ34" s="41"/>
      <c r="WK34" s="41"/>
      <c r="WL34" s="41"/>
      <c r="WM34" s="41"/>
      <c r="WN34" s="41"/>
      <c r="WO34" s="41"/>
      <c r="WP34" s="41"/>
      <c r="WQ34" s="41"/>
      <c r="WR34" s="41"/>
      <c r="WS34" s="41"/>
      <c r="WT34" s="41"/>
      <c r="WU34" s="41"/>
      <c r="WV34" s="41"/>
      <c r="WW34" s="41"/>
      <c r="WX34" s="41"/>
      <c r="WY34" s="41"/>
      <c r="WZ34" s="41"/>
      <c r="XA34" s="41"/>
      <c r="XB34" s="41"/>
      <c r="XC34" s="41"/>
      <c r="XD34" s="41"/>
      <c r="XE34" s="41"/>
      <c r="XF34" s="41"/>
      <c r="XG34" s="41"/>
      <c r="XH34" s="41"/>
      <c r="XI34" s="41"/>
      <c r="XJ34" s="41"/>
      <c r="XK34" s="41"/>
      <c r="XL34" s="41"/>
      <c r="XM34" s="41"/>
      <c r="XN34" s="41"/>
      <c r="XO34" s="41"/>
      <c r="XP34" s="41"/>
      <c r="XQ34" s="41"/>
      <c r="XR34" s="41"/>
      <c r="XS34" s="41"/>
      <c r="XT34" s="41"/>
      <c r="XU34" s="41"/>
      <c r="XV34" s="41"/>
      <c r="XW34" s="41"/>
      <c r="XX34" s="41"/>
      <c r="XY34" s="41"/>
      <c r="XZ34" s="41"/>
      <c r="YA34" s="41"/>
      <c r="YB34" s="41"/>
      <c r="YC34" s="41"/>
      <c r="YD34" s="41"/>
      <c r="YE34" s="41"/>
      <c r="YF34" s="41"/>
      <c r="YG34" s="41"/>
      <c r="YH34" s="41"/>
      <c r="YI34" s="41"/>
      <c r="YJ34" s="41"/>
      <c r="YK34" s="41"/>
      <c r="YL34" s="41"/>
      <c r="YM34" s="41"/>
      <c r="YN34" s="41"/>
      <c r="YO34" s="41"/>
      <c r="YP34" s="41"/>
      <c r="YQ34" s="41"/>
      <c r="YR34" s="41"/>
      <c r="YS34" s="41"/>
      <c r="YT34" s="41"/>
      <c r="YU34" s="41"/>
      <c r="YV34" s="41"/>
      <c r="YW34" s="41"/>
      <c r="YX34" s="41"/>
      <c r="YY34" s="41"/>
      <c r="YZ34" s="41"/>
      <c r="ZA34" s="41"/>
      <c r="ZB34" s="41"/>
      <c r="ZC34" s="41"/>
      <c r="ZD34" s="41"/>
      <c r="ZE34" s="41"/>
      <c r="ZF34" s="41"/>
      <c r="ZG34" s="41"/>
      <c r="ZH34" s="41"/>
      <c r="ZI34" s="41"/>
      <c r="ZJ34" s="41"/>
      <c r="ZK34" s="41"/>
      <c r="ZL34" s="41"/>
      <c r="ZM34" s="41"/>
      <c r="ZN34" s="41"/>
      <c r="ZO34" s="41"/>
      <c r="ZP34" s="41"/>
      <c r="ZQ34" s="41"/>
      <c r="ZR34" s="41"/>
      <c r="ZS34" s="41"/>
      <c r="ZT34" s="41"/>
      <c r="ZU34" s="41"/>
      <c r="ZV34" s="41"/>
      <c r="ZW34" s="41"/>
      <c r="ZX34" s="41"/>
      <c r="ZY34" s="41"/>
      <c r="ZZ34" s="41"/>
      <c r="AAA34" s="41"/>
      <c r="AAB34" s="41"/>
      <c r="AAC34" s="41"/>
      <c r="AAD34" s="41"/>
      <c r="AAE34" s="41"/>
      <c r="AAF34" s="41"/>
      <c r="AAG34" s="41"/>
      <c r="AAH34" s="41"/>
      <c r="AAI34" s="41"/>
      <c r="AAJ34" s="41"/>
      <c r="AAK34" s="41"/>
      <c r="AAL34" s="41"/>
      <c r="AAM34" s="41"/>
      <c r="AAN34" s="41"/>
      <c r="AAO34" s="41"/>
      <c r="AAP34" s="41"/>
      <c r="AAQ34" s="41"/>
      <c r="AAR34" s="41"/>
      <c r="AAS34" s="41"/>
      <c r="AAT34" s="41"/>
      <c r="AAU34" s="41"/>
      <c r="AAV34" s="41"/>
      <c r="AAW34" s="41"/>
      <c r="AAX34" s="41"/>
      <c r="AAY34" s="41"/>
      <c r="AAZ34" s="41"/>
      <c r="ABA34" s="41"/>
      <c r="ABB34" s="41"/>
      <c r="ABC34" s="41"/>
      <c r="ABD34" s="41"/>
      <c r="ABE34" s="41"/>
      <c r="ABF34" s="41"/>
      <c r="ABG34" s="41"/>
      <c r="ABH34" s="41"/>
      <c r="ABI34" s="41"/>
      <c r="ABJ34" s="41"/>
      <c r="ABK34" s="41"/>
      <c r="ABL34" s="41"/>
      <c r="ABM34" s="41"/>
      <c r="ABN34" s="41"/>
      <c r="ABO34" s="41"/>
      <c r="ABP34" s="41"/>
      <c r="ABQ34" s="41"/>
      <c r="ABR34" s="41"/>
      <c r="ABS34" s="41"/>
      <c r="ABT34" s="41"/>
      <c r="ABU34" s="41"/>
      <c r="ABV34" s="41"/>
      <c r="ABW34" s="41"/>
      <c r="ABX34" s="41"/>
      <c r="ABY34" s="41"/>
      <c r="ABZ34" s="41"/>
      <c r="ACA34" s="41"/>
      <c r="ACB34" s="41"/>
      <c r="ACC34" s="41"/>
      <c r="ACD34" s="41"/>
      <c r="ACE34" s="41"/>
      <c r="ACF34" s="41"/>
      <c r="ACG34" s="41"/>
      <c r="ACH34" s="41"/>
      <c r="ACI34" s="41"/>
      <c r="ACJ34" s="41"/>
      <c r="ACK34" s="41"/>
      <c r="ACL34" s="41"/>
      <c r="ACM34" s="41"/>
      <c r="ACN34" s="41"/>
      <c r="ACO34" s="41"/>
      <c r="ACP34" s="41"/>
      <c r="ACQ34" s="41"/>
      <c r="ACR34" s="41"/>
      <c r="ACS34" s="41"/>
      <c r="ACT34" s="41"/>
      <c r="ACU34" s="41"/>
      <c r="ACV34" s="41"/>
      <c r="ACW34" s="41"/>
      <c r="ACX34" s="41"/>
      <c r="ACY34" s="41"/>
      <c r="ACZ34" s="41"/>
      <c r="ADA34" s="41"/>
      <c r="ADB34" s="41"/>
      <c r="ADC34" s="41"/>
      <c r="ADD34" s="41"/>
      <c r="ADE34" s="41"/>
      <c r="ADF34" s="41"/>
      <c r="ADG34" s="41"/>
      <c r="ADH34" s="41"/>
      <c r="ADI34" s="41"/>
      <c r="ADJ34" s="41"/>
      <c r="ADK34" s="41"/>
      <c r="ADL34" s="41"/>
      <c r="ADM34" s="41"/>
      <c r="ADN34" s="41"/>
      <c r="ADO34" s="41"/>
      <c r="ADP34" s="41"/>
      <c r="ADQ34" s="41"/>
      <c r="ADR34" s="41"/>
      <c r="ADS34" s="41"/>
      <c r="ADT34" s="41"/>
      <c r="ADU34" s="41"/>
      <c r="ADV34" s="41"/>
      <c r="ADW34" s="41"/>
      <c r="ADX34" s="41"/>
      <c r="ADY34" s="41"/>
      <c r="ADZ34" s="41"/>
      <c r="AEA34" s="41"/>
      <c r="AEB34" s="41"/>
      <c r="AEC34" s="41"/>
      <c r="AED34" s="41"/>
      <c r="AEE34" s="41"/>
      <c r="AEF34" s="41"/>
      <c r="AEG34" s="41"/>
      <c r="AEH34" s="41"/>
      <c r="AEI34" s="41"/>
      <c r="AEJ34" s="41"/>
      <c r="AEK34" s="41"/>
      <c r="AEL34" s="41"/>
      <c r="AEM34" s="41"/>
      <c r="AEN34" s="41"/>
      <c r="AEO34" s="41"/>
      <c r="AEP34" s="41"/>
      <c r="AEQ34" s="41"/>
      <c r="AER34" s="41"/>
      <c r="AES34" s="41"/>
      <c r="AET34" s="41"/>
      <c r="AEU34" s="41"/>
      <c r="AEV34" s="41"/>
      <c r="AEW34" s="41"/>
      <c r="AEX34" s="41"/>
      <c r="AEY34" s="41"/>
      <c r="AEZ34" s="41"/>
      <c r="AFA34" s="41"/>
      <c r="AFB34" s="41"/>
      <c r="AFC34" s="41"/>
      <c r="AFD34" s="41"/>
      <c r="AFE34" s="41"/>
      <c r="AFF34" s="41"/>
      <c r="AFG34" s="41"/>
      <c r="AFH34" s="41"/>
      <c r="AFI34" s="41"/>
      <c r="AFJ34" s="41"/>
      <c r="AFK34" s="41"/>
      <c r="AFL34" s="41"/>
      <c r="AFM34" s="41"/>
      <c r="AFN34" s="41"/>
      <c r="AFO34" s="41"/>
      <c r="AFP34" s="41"/>
      <c r="AFQ34" s="41"/>
      <c r="AFR34" s="41"/>
      <c r="AFS34" s="41"/>
      <c r="AFT34" s="41"/>
      <c r="AFU34" s="41"/>
      <c r="AFV34" s="41"/>
      <c r="AFW34" s="41"/>
      <c r="AFX34" s="41"/>
      <c r="AFY34" s="41"/>
      <c r="AFZ34" s="41"/>
      <c r="AGA34" s="41"/>
      <c r="AGB34" s="41"/>
      <c r="AGC34" s="41"/>
      <c r="AGD34" s="41"/>
      <c r="AGE34" s="41"/>
      <c r="AGF34" s="41"/>
      <c r="AGG34" s="41"/>
      <c r="AGH34" s="41"/>
      <c r="AGI34" s="41"/>
      <c r="AGJ34" s="41"/>
      <c r="AGK34" s="41"/>
      <c r="AGL34" s="41"/>
      <c r="AGM34" s="41"/>
      <c r="AGN34" s="41"/>
      <c r="AGO34" s="41"/>
      <c r="AGP34" s="41"/>
      <c r="AGQ34" s="41"/>
      <c r="AGR34" s="41"/>
      <c r="AGS34" s="41"/>
      <c r="AGT34" s="41"/>
      <c r="AGU34" s="41"/>
      <c r="AGV34" s="41"/>
      <c r="AGW34" s="41"/>
      <c r="AGX34" s="41"/>
      <c r="AGY34" s="41"/>
      <c r="AGZ34" s="41"/>
      <c r="AHA34" s="41"/>
      <c r="AHB34" s="41"/>
      <c r="AHC34" s="41"/>
      <c r="AHD34" s="41"/>
      <c r="AHE34" s="41"/>
      <c r="AHF34" s="41"/>
      <c r="AHG34" s="41"/>
      <c r="AHH34" s="41"/>
      <c r="AHI34" s="41"/>
      <c r="AHJ34" s="41"/>
      <c r="AHK34" s="41"/>
      <c r="AHL34" s="41"/>
      <c r="AHM34" s="41"/>
      <c r="AHN34" s="41"/>
      <c r="AHO34" s="41"/>
      <c r="AHP34" s="41"/>
      <c r="AHQ34" s="41"/>
      <c r="AHR34" s="41"/>
      <c r="AHS34" s="41"/>
      <c r="AHT34" s="41"/>
      <c r="AHU34" s="41"/>
      <c r="AHV34" s="41"/>
      <c r="AHW34" s="41"/>
      <c r="AHX34" s="41"/>
      <c r="AHY34" s="41"/>
      <c r="AHZ34" s="41"/>
      <c r="AIA34" s="41"/>
      <c r="AIB34" s="41"/>
      <c r="AIC34" s="41"/>
      <c r="AID34" s="41"/>
      <c r="AIE34" s="41"/>
      <c r="AIF34" s="41"/>
      <c r="AIG34" s="41"/>
      <c r="AIH34" s="41"/>
      <c r="AII34" s="41"/>
      <c r="AIJ34" s="41"/>
      <c r="AIK34" s="41"/>
      <c r="AIL34" s="41"/>
      <c r="AIM34" s="41"/>
      <c r="AIN34" s="41"/>
      <c r="AIO34" s="41"/>
      <c r="AIP34" s="41"/>
      <c r="AIQ34" s="41"/>
      <c r="AIR34" s="41"/>
      <c r="AIS34" s="41"/>
      <c r="AIT34" s="41"/>
      <c r="AIU34" s="41"/>
      <c r="AIV34" s="41"/>
      <c r="AIW34" s="41"/>
      <c r="AIX34" s="41"/>
      <c r="AIY34" s="41"/>
      <c r="AIZ34" s="41"/>
      <c r="AJA34" s="41"/>
      <c r="AJB34" s="41"/>
      <c r="AJC34" s="41"/>
      <c r="AJD34" s="41"/>
      <c r="AJE34" s="41"/>
      <c r="AJF34" s="41"/>
      <c r="AJG34" s="41"/>
      <c r="AJH34" s="41"/>
      <c r="AJI34" s="41"/>
      <c r="AJJ34" s="41"/>
      <c r="AJK34" s="41"/>
      <c r="AJL34" s="41"/>
      <c r="AJM34" s="41"/>
      <c r="AJN34" s="41"/>
      <c r="AJO34" s="41"/>
      <c r="AJP34" s="41"/>
      <c r="AJQ34" s="41"/>
      <c r="AJR34" s="41"/>
      <c r="AJS34" s="41"/>
      <c r="AJT34" s="41"/>
      <c r="AJU34" s="41"/>
      <c r="AJV34" s="41"/>
      <c r="AJW34" s="41"/>
      <c r="AJX34" s="41"/>
      <c r="AJY34" s="41"/>
      <c r="AJZ34" s="41"/>
      <c r="AKA34" s="41"/>
      <c r="AKB34" s="41"/>
      <c r="AKC34" s="41"/>
      <c r="AKD34" s="41"/>
      <c r="AKE34" s="41"/>
      <c r="AKF34" s="41"/>
      <c r="AKG34" s="41"/>
      <c r="AKH34" s="41"/>
      <c r="AKI34" s="41"/>
      <c r="AKJ34" s="41"/>
      <c r="AKK34" s="41"/>
      <c r="AKL34" s="41"/>
      <c r="AKM34" s="41"/>
      <c r="AKN34" s="41"/>
      <c r="AKO34" s="41"/>
      <c r="AKP34" s="41"/>
      <c r="AKQ34" s="41"/>
      <c r="AKR34" s="41"/>
      <c r="AKS34" s="41"/>
      <c r="AKT34" s="41"/>
      <c r="AKU34" s="41"/>
      <c r="AKV34" s="41"/>
      <c r="AKW34" s="41"/>
      <c r="AKX34" s="41"/>
      <c r="AKY34" s="41"/>
      <c r="AKZ34" s="41"/>
      <c r="ALA34" s="41"/>
      <c r="ALB34" s="41"/>
      <c r="ALC34" s="41"/>
      <c r="ALD34" s="41"/>
      <c r="ALE34" s="41"/>
      <c r="ALF34" s="41"/>
      <c r="ALG34" s="41"/>
      <c r="ALH34" s="41"/>
      <c r="ALI34" s="41"/>
      <c r="ALJ34" s="41"/>
      <c r="ALK34" s="41"/>
      <c r="ALL34" s="41"/>
      <c r="ALM34" s="41"/>
      <c r="ALN34" s="41"/>
      <c r="ALO34" s="41"/>
      <c r="ALP34" s="41"/>
      <c r="ALQ34" s="41"/>
      <c r="ALR34" s="41"/>
      <c r="ALS34" s="41"/>
      <c r="ALT34" s="41"/>
      <c r="ALU34" s="41"/>
      <c r="ALV34" s="41"/>
      <c r="ALW34" s="41"/>
      <c r="ALX34" s="41"/>
      <c r="ALY34" s="41"/>
      <c r="ALZ34" s="41"/>
      <c r="AMA34" s="41"/>
      <c r="AMB34" s="41"/>
      <c r="AMC34" s="41"/>
      <c r="AMD34" s="41"/>
      <c r="AME34" s="41"/>
      <c r="AMF34" s="41"/>
      <c r="AMG34" s="41"/>
      <c r="AMH34" s="41"/>
      <c r="AMI34" s="41"/>
      <c r="AMJ34" s="41"/>
      <c r="AMK34" s="41"/>
      <c r="AML34" s="41"/>
      <c r="AMM34" s="41"/>
      <c r="AMN34" s="41"/>
      <c r="AMO34" s="41"/>
      <c r="AMP34" s="41"/>
      <c r="AMQ34" s="41"/>
      <c r="AMR34" s="41"/>
      <c r="AMS34" s="41"/>
      <c r="AMT34" s="41"/>
      <c r="AMU34" s="41"/>
      <c r="AMV34" s="41"/>
      <c r="AMW34" s="41"/>
      <c r="AMX34" s="41"/>
      <c r="AMY34" s="41"/>
      <c r="AMZ34" s="41"/>
      <c r="ANA34" s="41"/>
      <c r="ANB34" s="41"/>
      <c r="ANC34" s="41"/>
      <c r="AND34" s="41"/>
      <c r="ANE34" s="41"/>
      <c r="ANF34" s="41"/>
      <c r="ANG34" s="41"/>
      <c r="ANH34" s="41"/>
      <c r="ANI34" s="41"/>
      <c r="ANJ34" s="41"/>
      <c r="ANK34" s="41"/>
    </row>
    <row r="35" s="44" customFormat="true" ht="15" hidden="false" customHeight="false" outlineLevel="0" collapsed="false">
      <c r="A35" s="42" t="s">
        <v>57</v>
      </c>
      <c r="B35" s="43" t="n">
        <v>0</v>
      </c>
      <c r="C35" s="44" t="n">
        <v>0.373499</v>
      </c>
      <c r="D35" s="44" t="n">
        <v>2.390491</v>
      </c>
      <c r="E35" s="45" t="n">
        <v>200</v>
      </c>
      <c r="F35" s="43" t="n">
        <v>0</v>
      </c>
      <c r="G35" s="44" t="n">
        <v>0</v>
      </c>
      <c r="H35" s="46" t="n">
        <v>0</v>
      </c>
      <c r="I35" s="47" t="n">
        <v>378</v>
      </c>
      <c r="J35" s="48" t="n">
        <v>0</v>
      </c>
      <c r="K35" s="43"/>
      <c r="M35" s="46" t="n">
        <v>0.3</v>
      </c>
      <c r="N35" s="43" t="n">
        <v>11</v>
      </c>
      <c r="O35" s="46" t="n">
        <v>14</v>
      </c>
      <c r="P35" s="49" t="n">
        <v>5023.51086970148</v>
      </c>
      <c r="Q35" s="50" t="n">
        <v>-107292.911532271</v>
      </c>
      <c r="R35" s="44" t="n">
        <v>104000</v>
      </c>
      <c r="S35" s="44" t="n">
        <v>126000</v>
      </c>
      <c r="T35" s="44" t="n">
        <v>128000</v>
      </c>
      <c r="U35" s="44" t="n">
        <v>139990</v>
      </c>
      <c r="V35" s="44" t="n">
        <v>134990</v>
      </c>
      <c r="W35" s="44" t="n">
        <v>121980</v>
      </c>
      <c r="X35" s="44" t="n">
        <v>128980</v>
      </c>
      <c r="Y35" s="44" t="n">
        <v>129980</v>
      </c>
      <c r="Z35" s="44" t="n">
        <v>122970</v>
      </c>
      <c r="AA35" s="44" t="n">
        <v>124950</v>
      </c>
      <c r="AB35" s="44" t="n">
        <v>140930</v>
      </c>
      <c r="AC35" s="44" t="n">
        <v>184910</v>
      </c>
      <c r="AD35" s="44" t="n">
        <v>183840</v>
      </c>
      <c r="AE35" s="44" t="n">
        <v>204680</v>
      </c>
      <c r="AF35" s="44" t="n">
        <v>217500</v>
      </c>
      <c r="AG35" s="44" t="n">
        <v>220040</v>
      </c>
      <c r="AH35" s="44" t="n">
        <v>240480</v>
      </c>
      <c r="AI35" s="44" t="n">
        <v>262320</v>
      </c>
      <c r="AJ35" s="44" t="n">
        <v>257060</v>
      </c>
      <c r="AK35" s="44" t="n">
        <v>255930</v>
      </c>
      <c r="AL35" s="44" t="n">
        <v>277740</v>
      </c>
      <c r="AM35" s="44" t="n">
        <v>230480</v>
      </c>
      <c r="AN35" s="46" t="n">
        <v>221170</v>
      </c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41"/>
      <c r="KZ35" s="41"/>
      <c r="LA35" s="41"/>
      <c r="LB35" s="41"/>
      <c r="LC35" s="41"/>
      <c r="LD35" s="41"/>
      <c r="LE35" s="41"/>
      <c r="LF35" s="41"/>
      <c r="LG35" s="41"/>
      <c r="LH35" s="41"/>
      <c r="LI35" s="41"/>
      <c r="LJ35" s="41"/>
      <c r="LK35" s="41"/>
      <c r="LL35" s="41"/>
      <c r="LM35" s="41"/>
      <c r="LN35" s="41"/>
      <c r="LO35" s="41"/>
      <c r="LP35" s="41"/>
      <c r="LQ35" s="41"/>
      <c r="LR35" s="41"/>
      <c r="LS35" s="41"/>
      <c r="LT35" s="41"/>
      <c r="LU35" s="41"/>
      <c r="LV35" s="41"/>
      <c r="LW35" s="41"/>
      <c r="LX35" s="41"/>
      <c r="LY35" s="41"/>
      <c r="LZ35" s="41"/>
      <c r="MA35" s="41"/>
      <c r="MB35" s="41"/>
      <c r="MC35" s="41"/>
      <c r="MD35" s="41"/>
      <c r="ME35" s="41"/>
      <c r="MF35" s="41"/>
      <c r="MG35" s="41"/>
      <c r="MH35" s="41"/>
      <c r="MI35" s="41"/>
      <c r="MJ35" s="41"/>
      <c r="MK35" s="41"/>
      <c r="ML35" s="41"/>
      <c r="MM35" s="41"/>
      <c r="MN35" s="41"/>
      <c r="MO35" s="41"/>
      <c r="MP35" s="41"/>
      <c r="MQ35" s="41"/>
      <c r="MR35" s="41"/>
      <c r="MS35" s="41"/>
      <c r="MT35" s="41"/>
      <c r="MU35" s="41"/>
      <c r="MV35" s="41"/>
      <c r="MW35" s="41"/>
      <c r="MX35" s="41"/>
      <c r="MY35" s="41"/>
      <c r="MZ35" s="41"/>
      <c r="NA35" s="41"/>
      <c r="NB35" s="41"/>
      <c r="NC35" s="41"/>
      <c r="ND35" s="41"/>
      <c r="NE35" s="41"/>
      <c r="NF35" s="41"/>
      <c r="NG35" s="41"/>
      <c r="NH35" s="41"/>
      <c r="NI35" s="41"/>
      <c r="NJ35" s="41"/>
      <c r="NK35" s="41"/>
      <c r="NL35" s="41"/>
      <c r="NM35" s="41"/>
      <c r="NN35" s="41"/>
      <c r="NO35" s="41"/>
      <c r="NP35" s="41"/>
      <c r="NQ35" s="41"/>
      <c r="NR35" s="41"/>
      <c r="NS35" s="41"/>
      <c r="NT35" s="41"/>
      <c r="NU35" s="41"/>
      <c r="NV35" s="41"/>
      <c r="NW35" s="41"/>
      <c r="NX35" s="41"/>
      <c r="NY35" s="41"/>
      <c r="NZ35" s="41"/>
      <c r="OA35" s="41"/>
      <c r="OB35" s="41"/>
      <c r="OC35" s="41"/>
      <c r="OD35" s="41"/>
      <c r="OE35" s="41"/>
      <c r="OF35" s="41"/>
      <c r="OG35" s="41"/>
      <c r="OH35" s="41"/>
      <c r="OI35" s="41"/>
      <c r="OJ35" s="41"/>
      <c r="OK35" s="41"/>
      <c r="OL35" s="41"/>
      <c r="OM35" s="41"/>
      <c r="ON35" s="41"/>
      <c r="OO35" s="41"/>
      <c r="OP35" s="41"/>
      <c r="OQ35" s="41"/>
      <c r="OR35" s="41"/>
      <c r="OS35" s="41"/>
      <c r="OT35" s="41"/>
      <c r="OU35" s="41"/>
      <c r="OV35" s="41"/>
      <c r="OW35" s="41"/>
      <c r="OX35" s="41"/>
      <c r="OY35" s="41"/>
      <c r="OZ35" s="41"/>
      <c r="PA35" s="41"/>
      <c r="PB35" s="41"/>
      <c r="PC35" s="41"/>
      <c r="PD35" s="41"/>
      <c r="PE35" s="41"/>
      <c r="PF35" s="41"/>
      <c r="PG35" s="41"/>
      <c r="PH35" s="41"/>
      <c r="PI35" s="41"/>
      <c r="PJ35" s="41"/>
      <c r="PK35" s="41"/>
      <c r="PL35" s="41"/>
      <c r="PM35" s="41"/>
      <c r="PN35" s="41"/>
      <c r="PO35" s="41"/>
      <c r="PP35" s="41"/>
      <c r="PQ35" s="41"/>
      <c r="PR35" s="41"/>
      <c r="PS35" s="41"/>
      <c r="PT35" s="41"/>
      <c r="PU35" s="41"/>
      <c r="PV35" s="41"/>
      <c r="PW35" s="41"/>
      <c r="PX35" s="41"/>
      <c r="PY35" s="41"/>
      <c r="PZ35" s="41"/>
      <c r="QA35" s="41"/>
      <c r="QB35" s="41"/>
      <c r="QC35" s="41"/>
      <c r="QD35" s="41"/>
      <c r="QE35" s="41"/>
      <c r="QF35" s="41"/>
      <c r="QG35" s="41"/>
      <c r="QH35" s="41"/>
      <c r="QI35" s="41"/>
      <c r="QJ35" s="41"/>
      <c r="QK35" s="41"/>
      <c r="QL35" s="41"/>
      <c r="QM35" s="41"/>
      <c r="QN35" s="41"/>
      <c r="QO35" s="41"/>
      <c r="QP35" s="41"/>
      <c r="QQ35" s="41"/>
      <c r="QR35" s="41"/>
      <c r="QS35" s="41"/>
      <c r="QT35" s="41"/>
      <c r="QU35" s="41"/>
      <c r="QV35" s="41"/>
      <c r="QW35" s="41"/>
      <c r="QX35" s="41"/>
      <c r="QY35" s="41"/>
      <c r="QZ35" s="41"/>
      <c r="RA35" s="41"/>
      <c r="RB35" s="41"/>
      <c r="RC35" s="41"/>
      <c r="RD35" s="41"/>
      <c r="RE35" s="41"/>
      <c r="RF35" s="41"/>
      <c r="RG35" s="41"/>
      <c r="RH35" s="41"/>
      <c r="RI35" s="41"/>
      <c r="RJ35" s="41"/>
      <c r="RK35" s="41"/>
      <c r="RL35" s="41"/>
      <c r="RM35" s="41"/>
      <c r="RN35" s="41"/>
      <c r="RO35" s="41"/>
      <c r="RP35" s="41"/>
      <c r="RQ35" s="41"/>
      <c r="RR35" s="41"/>
      <c r="RS35" s="41"/>
      <c r="RT35" s="41"/>
      <c r="RU35" s="41"/>
      <c r="RV35" s="41"/>
      <c r="RW35" s="41"/>
      <c r="RX35" s="41"/>
      <c r="RY35" s="41"/>
      <c r="RZ35" s="41"/>
      <c r="SA35" s="41"/>
      <c r="SB35" s="41"/>
      <c r="SC35" s="41"/>
      <c r="SD35" s="41"/>
      <c r="SE35" s="41"/>
      <c r="SF35" s="41"/>
      <c r="SG35" s="41"/>
      <c r="SH35" s="41"/>
      <c r="SI35" s="41"/>
      <c r="SJ35" s="41"/>
      <c r="SK35" s="41"/>
      <c r="SL35" s="41"/>
      <c r="SM35" s="41"/>
      <c r="SN35" s="41"/>
      <c r="SO35" s="41"/>
      <c r="SP35" s="41"/>
      <c r="SQ35" s="41"/>
      <c r="SR35" s="41"/>
      <c r="SS35" s="41"/>
      <c r="ST35" s="41"/>
      <c r="SU35" s="41"/>
      <c r="SV35" s="41"/>
      <c r="SW35" s="41"/>
      <c r="SX35" s="41"/>
      <c r="SY35" s="41"/>
      <c r="SZ35" s="41"/>
      <c r="TA35" s="41"/>
      <c r="TB35" s="41"/>
      <c r="TC35" s="41"/>
      <c r="TD35" s="41"/>
      <c r="TE35" s="41"/>
      <c r="TF35" s="41"/>
      <c r="TG35" s="41"/>
      <c r="TH35" s="41"/>
      <c r="TI35" s="41"/>
      <c r="TJ35" s="41"/>
      <c r="TK35" s="41"/>
      <c r="TL35" s="41"/>
      <c r="TM35" s="41"/>
      <c r="TN35" s="41"/>
      <c r="TO35" s="41"/>
      <c r="TP35" s="41"/>
      <c r="TQ35" s="41"/>
      <c r="TR35" s="41"/>
      <c r="TS35" s="41"/>
      <c r="TT35" s="41"/>
      <c r="TU35" s="41"/>
      <c r="TV35" s="41"/>
      <c r="TW35" s="41"/>
      <c r="TX35" s="41"/>
      <c r="TY35" s="41"/>
      <c r="TZ35" s="41"/>
      <c r="UA35" s="41"/>
      <c r="UB35" s="41"/>
      <c r="UC35" s="41"/>
      <c r="UD35" s="41"/>
      <c r="UE35" s="41"/>
      <c r="UF35" s="41"/>
      <c r="UG35" s="41"/>
      <c r="UH35" s="41"/>
      <c r="UI35" s="41"/>
      <c r="UJ35" s="41"/>
      <c r="UK35" s="41"/>
      <c r="UL35" s="41"/>
      <c r="UM35" s="41"/>
      <c r="UN35" s="41"/>
      <c r="UO35" s="41"/>
      <c r="UP35" s="41"/>
      <c r="UQ35" s="41"/>
      <c r="UR35" s="41"/>
      <c r="US35" s="41"/>
      <c r="UT35" s="41"/>
      <c r="UU35" s="41"/>
      <c r="UV35" s="41"/>
      <c r="UW35" s="41"/>
      <c r="UX35" s="41"/>
      <c r="UY35" s="41"/>
      <c r="UZ35" s="41"/>
      <c r="VA35" s="41"/>
      <c r="VB35" s="41"/>
      <c r="VC35" s="41"/>
      <c r="VD35" s="41"/>
      <c r="VE35" s="41"/>
      <c r="VF35" s="41"/>
      <c r="VG35" s="41"/>
      <c r="VH35" s="41"/>
      <c r="VI35" s="41"/>
      <c r="VJ35" s="41"/>
      <c r="VK35" s="41"/>
      <c r="VL35" s="41"/>
      <c r="VM35" s="41"/>
      <c r="VN35" s="41"/>
      <c r="VO35" s="41"/>
      <c r="VP35" s="41"/>
      <c r="VQ35" s="41"/>
      <c r="VR35" s="41"/>
      <c r="VS35" s="41"/>
      <c r="VT35" s="41"/>
      <c r="VU35" s="41"/>
      <c r="VV35" s="41"/>
      <c r="VW35" s="41"/>
      <c r="VX35" s="41"/>
      <c r="VY35" s="41"/>
      <c r="VZ35" s="41"/>
      <c r="WA35" s="41"/>
      <c r="WB35" s="41"/>
      <c r="WC35" s="41"/>
      <c r="WD35" s="41"/>
      <c r="WE35" s="41"/>
      <c r="WF35" s="41"/>
      <c r="WG35" s="41"/>
      <c r="WH35" s="41"/>
      <c r="WI35" s="41"/>
      <c r="WJ35" s="41"/>
      <c r="WK35" s="41"/>
      <c r="WL35" s="41"/>
      <c r="WM35" s="41"/>
      <c r="WN35" s="41"/>
      <c r="WO35" s="41"/>
      <c r="WP35" s="41"/>
      <c r="WQ35" s="41"/>
      <c r="WR35" s="41"/>
      <c r="WS35" s="41"/>
      <c r="WT35" s="41"/>
      <c r="WU35" s="41"/>
      <c r="WV35" s="41"/>
      <c r="WW35" s="41"/>
      <c r="WX35" s="41"/>
      <c r="WY35" s="41"/>
      <c r="WZ35" s="41"/>
      <c r="XA35" s="41"/>
      <c r="XB35" s="41"/>
      <c r="XC35" s="41"/>
      <c r="XD35" s="41"/>
      <c r="XE35" s="41"/>
      <c r="XF35" s="41"/>
      <c r="XG35" s="41"/>
      <c r="XH35" s="41"/>
      <c r="XI35" s="41"/>
      <c r="XJ35" s="41"/>
      <c r="XK35" s="41"/>
      <c r="XL35" s="41"/>
      <c r="XM35" s="41"/>
      <c r="XN35" s="41"/>
      <c r="XO35" s="41"/>
      <c r="XP35" s="41"/>
      <c r="XQ35" s="41"/>
      <c r="XR35" s="41"/>
      <c r="XS35" s="41"/>
      <c r="XT35" s="41"/>
      <c r="XU35" s="41"/>
      <c r="XV35" s="41"/>
      <c r="XW35" s="41"/>
      <c r="XX35" s="41"/>
      <c r="XY35" s="41"/>
      <c r="XZ35" s="41"/>
      <c r="YA35" s="41"/>
      <c r="YB35" s="41"/>
      <c r="YC35" s="41"/>
      <c r="YD35" s="41"/>
      <c r="YE35" s="41"/>
      <c r="YF35" s="41"/>
      <c r="YG35" s="41"/>
      <c r="YH35" s="41"/>
      <c r="YI35" s="41"/>
      <c r="YJ35" s="41"/>
      <c r="YK35" s="41"/>
      <c r="YL35" s="41"/>
      <c r="YM35" s="41"/>
      <c r="YN35" s="41"/>
      <c r="YO35" s="41"/>
      <c r="YP35" s="41"/>
      <c r="YQ35" s="41"/>
      <c r="YR35" s="41"/>
      <c r="YS35" s="41"/>
      <c r="YT35" s="41"/>
      <c r="YU35" s="41"/>
      <c r="YV35" s="41"/>
      <c r="YW35" s="41"/>
      <c r="YX35" s="41"/>
      <c r="YY35" s="41"/>
      <c r="YZ35" s="41"/>
      <c r="ZA35" s="41"/>
      <c r="ZB35" s="41"/>
      <c r="ZC35" s="41"/>
      <c r="ZD35" s="41"/>
      <c r="ZE35" s="41"/>
      <c r="ZF35" s="41"/>
      <c r="ZG35" s="41"/>
      <c r="ZH35" s="41"/>
      <c r="ZI35" s="41"/>
      <c r="ZJ35" s="41"/>
      <c r="ZK35" s="41"/>
      <c r="ZL35" s="41"/>
      <c r="ZM35" s="41"/>
      <c r="ZN35" s="41"/>
      <c r="ZO35" s="41"/>
      <c r="ZP35" s="41"/>
      <c r="ZQ35" s="41"/>
      <c r="ZR35" s="41"/>
      <c r="ZS35" s="41"/>
      <c r="ZT35" s="41"/>
      <c r="ZU35" s="41"/>
      <c r="ZV35" s="41"/>
      <c r="ZW35" s="41"/>
      <c r="ZX35" s="41"/>
      <c r="ZY35" s="41"/>
      <c r="ZZ35" s="41"/>
      <c r="AAA35" s="41"/>
      <c r="AAB35" s="41"/>
      <c r="AAC35" s="41"/>
      <c r="AAD35" s="41"/>
      <c r="AAE35" s="41"/>
      <c r="AAF35" s="41"/>
      <c r="AAG35" s="41"/>
      <c r="AAH35" s="41"/>
      <c r="AAI35" s="41"/>
      <c r="AAJ35" s="41"/>
      <c r="AAK35" s="41"/>
      <c r="AAL35" s="41"/>
      <c r="AAM35" s="41"/>
      <c r="AAN35" s="41"/>
      <c r="AAO35" s="41"/>
      <c r="AAP35" s="41"/>
      <c r="AAQ35" s="41"/>
      <c r="AAR35" s="41"/>
      <c r="AAS35" s="41"/>
      <c r="AAT35" s="41"/>
      <c r="AAU35" s="41"/>
      <c r="AAV35" s="41"/>
      <c r="AAW35" s="41"/>
      <c r="AAX35" s="41"/>
      <c r="AAY35" s="41"/>
      <c r="AAZ35" s="41"/>
      <c r="ABA35" s="41"/>
      <c r="ABB35" s="41"/>
      <c r="ABC35" s="41"/>
      <c r="ABD35" s="41"/>
      <c r="ABE35" s="41"/>
      <c r="ABF35" s="41"/>
      <c r="ABG35" s="41"/>
      <c r="ABH35" s="41"/>
      <c r="ABI35" s="41"/>
      <c r="ABJ35" s="41"/>
      <c r="ABK35" s="41"/>
      <c r="ABL35" s="41"/>
      <c r="ABM35" s="41"/>
      <c r="ABN35" s="41"/>
      <c r="ABO35" s="41"/>
      <c r="ABP35" s="41"/>
      <c r="ABQ35" s="41"/>
      <c r="ABR35" s="41"/>
      <c r="ABS35" s="41"/>
      <c r="ABT35" s="41"/>
      <c r="ABU35" s="41"/>
      <c r="ABV35" s="41"/>
      <c r="ABW35" s="41"/>
      <c r="ABX35" s="41"/>
      <c r="ABY35" s="41"/>
      <c r="ABZ35" s="41"/>
      <c r="ACA35" s="41"/>
      <c r="ACB35" s="41"/>
      <c r="ACC35" s="41"/>
      <c r="ACD35" s="41"/>
      <c r="ACE35" s="41"/>
      <c r="ACF35" s="41"/>
      <c r="ACG35" s="41"/>
      <c r="ACH35" s="41"/>
      <c r="ACI35" s="41"/>
      <c r="ACJ35" s="41"/>
      <c r="ACK35" s="41"/>
      <c r="ACL35" s="41"/>
      <c r="ACM35" s="41"/>
      <c r="ACN35" s="41"/>
      <c r="ACO35" s="41"/>
      <c r="ACP35" s="41"/>
      <c r="ACQ35" s="41"/>
      <c r="ACR35" s="41"/>
      <c r="ACS35" s="41"/>
      <c r="ACT35" s="41"/>
      <c r="ACU35" s="41"/>
      <c r="ACV35" s="41"/>
      <c r="ACW35" s="41"/>
      <c r="ACX35" s="41"/>
      <c r="ACY35" s="41"/>
      <c r="ACZ35" s="41"/>
      <c r="ADA35" s="41"/>
      <c r="ADB35" s="41"/>
      <c r="ADC35" s="41"/>
      <c r="ADD35" s="41"/>
      <c r="ADE35" s="41"/>
      <c r="ADF35" s="41"/>
      <c r="ADG35" s="41"/>
      <c r="ADH35" s="41"/>
      <c r="ADI35" s="41"/>
      <c r="ADJ35" s="41"/>
      <c r="ADK35" s="41"/>
      <c r="ADL35" s="41"/>
      <c r="ADM35" s="41"/>
      <c r="ADN35" s="41"/>
      <c r="ADO35" s="41"/>
      <c r="ADP35" s="41"/>
      <c r="ADQ35" s="41"/>
      <c r="ADR35" s="41"/>
      <c r="ADS35" s="41"/>
      <c r="ADT35" s="41"/>
      <c r="ADU35" s="41"/>
      <c r="ADV35" s="41"/>
      <c r="ADW35" s="41"/>
      <c r="ADX35" s="41"/>
      <c r="ADY35" s="41"/>
      <c r="ADZ35" s="41"/>
      <c r="AEA35" s="41"/>
      <c r="AEB35" s="41"/>
      <c r="AEC35" s="41"/>
      <c r="AED35" s="41"/>
      <c r="AEE35" s="41"/>
      <c r="AEF35" s="41"/>
      <c r="AEG35" s="41"/>
      <c r="AEH35" s="41"/>
      <c r="AEI35" s="41"/>
      <c r="AEJ35" s="41"/>
      <c r="AEK35" s="41"/>
      <c r="AEL35" s="41"/>
      <c r="AEM35" s="41"/>
      <c r="AEN35" s="41"/>
      <c r="AEO35" s="41"/>
      <c r="AEP35" s="41"/>
      <c r="AEQ35" s="41"/>
      <c r="AER35" s="41"/>
      <c r="AES35" s="41"/>
      <c r="AET35" s="41"/>
      <c r="AEU35" s="41"/>
      <c r="AEV35" s="41"/>
      <c r="AEW35" s="41"/>
      <c r="AEX35" s="41"/>
      <c r="AEY35" s="41"/>
      <c r="AEZ35" s="41"/>
      <c r="AFA35" s="41"/>
      <c r="AFB35" s="41"/>
      <c r="AFC35" s="41"/>
      <c r="AFD35" s="41"/>
      <c r="AFE35" s="41"/>
      <c r="AFF35" s="41"/>
      <c r="AFG35" s="41"/>
      <c r="AFH35" s="41"/>
      <c r="AFI35" s="41"/>
      <c r="AFJ35" s="41"/>
      <c r="AFK35" s="41"/>
      <c r="AFL35" s="41"/>
      <c r="AFM35" s="41"/>
      <c r="AFN35" s="41"/>
      <c r="AFO35" s="41"/>
      <c r="AFP35" s="41"/>
      <c r="AFQ35" s="41"/>
      <c r="AFR35" s="41"/>
      <c r="AFS35" s="41"/>
      <c r="AFT35" s="41"/>
      <c r="AFU35" s="41"/>
      <c r="AFV35" s="41"/>
      <c r="AFW35" s="41"/>
      <c r="AFX35" s="41"/>
      <c r="AFY35" s="41"/>
      <c r="AFZ35" s="41"/>
      <c r="AGA35" s="41"/>
      <c r="AGB35" s="41"/>
      <c r="AGC35" s="41"/>
      <c r="AGD35" s="41"/>
      <c r="AGE35" s="41"/>
      <c r="AGF35" s="41"/>
      <c r="AGG35" s="41"/>
      <c r="AGH35" s="41"/>
      <c r="AGI35" s="41"/>
      <c r="AGJ35" s="41"/>
      <c r="AGK35" s="41"/>
      <c r="AGL35" s="41"/>
      <c r="AGM35" s="41"/>
      <c r="AGN35" s="41"/>
      <c r="AGO35" s="41"/>
      <c r="AGP35" s="41"/>
      <c r="AGQ35" s="41"/>
      <c r="AGR35" s="41"/>
      <c r="AGS35" s="41"/>
      <c r="AGT35" s="41"/>
      <c r="AGU35" s="41"/>
      <c r="AGV35" s="41"/>
      <c r="AGW35" s="41"/>
      <c r="AGX35" s="41"/>
      <c r="AGY35" s="41"/>
      <c r="AGZ35" s="41"/>
      <c r="AHA35" s="41"/>
      <c r="AHB35" s="41"/>
      <c r="AHC35" s="41"/>
      <c r="AHD35" s="41"/>
      <c r="AHE35" s="41"/>
      <c r="AHF35" s="41"/>
      <c r="AHG35" s="41"/>
      <c r="AHH35" s="41"/>
      <c r="AHI35" s="41"/>
      <c r="AHJ35" s="41"/>
      <c r="AHK35" s="41"/>
      <c r="AHL35" s="41"/>
      <c r="AHM35" s="41"/>
      <c r="AHN35" s="41"/>
      <c r="AHO35" s="41"/>
      <c r="AHP35" s="41"/>
      <c r="AHQ35" s="41"/>
      <c r="AHR35" s="41"/>
      <c r="AHS35" s="41"/>
      <c r="AHT35" s="41"/>
      <c r="AHU35" s="41"/>
      <c r="AHV35" s="41"/>
      <c r="AHW35" s="41"/>
      <c r="AHX35" s="41"/>
      <c r="AHY35" s="41"/>
      <c r="AHZ35" s="41"/>
      <c r="AIA35" s="41"/>
      <c r="AIB35" s="41"/>
      <c r="AIC35" s="41"/>
      <c r="AID35" s="41"/>
      <c r="AIE35" s="41"/>
      <c r="AIF35" s="41"/>
      <c r="AIG35" s="41"/>
      <c r="AIH35" s="41"/>
      <c r="AII35" s="41"/>
      <c r="AIJ35" s="41"/>
      <c r="AIK35" s="41"/>
      <c r="AIL35" s="41"/>
      <c r="AIM35" s="41"/>
      <c r="AIN35" s="41"/>
      <c r="AIO35" s="41"/>
      <c r="AIP35" s="41"/>
      <c r="AIQ35" s="41"/>
      <c r="AIR35" s="41"/>
      <c r="AIS35" s="41"/>
      <c r="AIT35" s="41"/>
      <c r="AIU35" s="41"/>
      <c r="AIV35" s="41"/>
      <c r="AIW35" s="41"/>
      <c r="AIX35" s="41"/>
      <c r="AIY35" s="41"/>
      <c r="AIZ35" s="41"/>
      <c r="AJA35" s="41"/>
      <c r="AJB35" s="41"/>
      <c r="AJC35" s="41"/>
      <c r="AJD35" s="41"/>
      <c r="AJE35" s="41"/>
      <c r="AJF35" s="41"/>
      <c r="AJG35" s="41"/>
      <c r="AJH35" s="41"/>
      <c r="AJI35" s="41"/>
      <c r="AJJ35" s="41"/>
      <c r="AJK35" s="41"/>
      <c r="AJL35" s="41"/>
      <c r="AJM35" s="41"/>
      <c r="AJN35" s="41"/>
      <c r="AJO35" s="41"/>
      <c r="AJP35" s="41"/>
      <c r="AJQ35" s="41"/>
      <c r="AJR35" s="41"/>
      <c r="AJS35" s="41"/>
      <c r="AJT35" s="41"/>
      <c r="AJU35" s="41"/>
      <c r="AJV35" s="41"/>
      <c r="AJW35" s="41"/>
      <c r="AJX35" s="41"/>
      <c r="AJY35" s="41"/>
      <c r="AJZ35" s="41"/>
      <c r="AKA35" s="41"/>
      <c r="AKB35" s="41"/>
      <c r="AKC35" s="41"/>
      <c r="AKD35" s="41"/>
      <c r="AKE35" s="41"/>
      <c r="AKF35" s="41"/>
      <c r="AKG35" s="41"/>
      <c r="AKH35" s="41"/>
      <c r="AKI35" s="41"/>
      <c r="AKJ35" s="41"/>
      <c r="AKK35" s="41"/>
      <c r="AKL35" s="41"/>
      <c r="AKM35" s="41"/>
      <c r="AKN35" s="41"/>
      <c r="AKO35" s="41"/>
      <c r="AKP35" s="41"/>
      <c r="AKQ35" s="41"/>
      <c r="AKR35" s="41"/>
      <c r="AKS35" s="41"/>
      <c r="AKT35" s="41"/>
      <c r="AKU35" s="41"/>
      <c r="AKV35" s="41"/>
      <c r="AKW35" s="41"/>
      <c r="AKX35" s="41"/>
      <c r="AKY35" s="41"/>
      <c r="AKZ35" s="41"/>
      <c r="ALA35" s="41"/>
      <c r="ALB35" s="41"/>
      <c r="ALC35" s="41"/>
      <c r="ALD35" s="41"/>
      <c r="ALE35" s="41"/>
      <c r="ALF35" s="41"/>
      <c r="ALG35" s="41"/>
      <c r="ALH35" s="41"/>
      <c r="ALI35" s="41"/>
      <c r="ALJ35" s="41"/>
      <c r="ALK35" s="41"/>
      <c r="ALL35" s="41"/>
      <c r="ALM35" s="41"/>
      <c r="ALN35" s="41"/>
      <c r="ALO35" s="41"/>
      <c r="ALP35" s="41"/>
      <c r="ALQ35" s="41"/>
      <c r="ALR35" s="41"/>
      <c r="ALS35" s="41"/>
      <c r="ALT35" s="41"/>
      <c r="ALU35" s="41"/>
      <c r="ALV35" s="41"/>
      <c r="ALW35" s="41"/>
      <c r="ALX35" s="41"/>
      <c r="ALY35" s="41"/>
      <c r="ALZ35" s="41"/>
      <c r="AMA35" s="41"/>
      <c r="AMB35" s="41"/>
      <c r="AMC35" s="41"/>
      <c r="AMD35" s="41"/>
      <c r="AME35" s="41"/>
      <c r="AMF35" s="41"/>
      <c r="AMG35" s="41"/>
      <c r="AMH35" s="41"/>
      <c r="AMI35" s="41"/>
      <c r="AMJ35" s="41"/>
      <c r="AMK35" s="41"/>
      <c r="AML35" s="41"/>
      <c r="AMM35" s="41"/>
      <c r="AMN35" s="41"/>
      <c r="AMO35" s="41"/>
      <c r="AMP35" s="41"/>
      <c r="AMQ35" s="41"/>
      <c r="AMR35" s="41"/>
      <c r="AMS35" s="41"/>
      <c r="AMT35" s="41"/>
      <c r="AMU35" s="41"/>
      <c r="AMV35" s="41"/>
      <c r="AMW35" s="41"/>
      <c r="AMX35" s="41"/>
      <c r="AMY35" s="41"/>
      <c r="AMZ35" s="41"/>
      <c r="ANA35" s="41"/>
      <c r="ANB35" s="41"/>
      <c r="ANC35" s="41"/>
      <c r="AND35" s="41"/>
      <c r="ANE35" s="41"/>
      <c r="ANF35" s="41"/>
      <c r="ANG35" s="41"/>
      <c r="ANH35" s="41"/>
      <c r="ANI35" s="41"/>
      <c r="ANJ35" s="41"/>
      <c r="ANK35" s="41"/>
    </row>
    <row r="36" s="44" customFormat="true" ht="15" hidden="false" customHeight="false" outlineLevel="0" collapsed="false">
      <c r="A36" s="42" t="s">
        <v>58</v>
      </c>
      <c r="B36" s="43" t="n">
        <v>0</v>
      </c>
      <c r="C36" s="44" t="n">
        <v>0</v>
      </c>
      <c r="D36" s="44" t="n">
        <v>0</v>
      </c>
      <c r="E36" s="45" t="n">
        <v>340000</v>
      </c>
      <c r="F36" s="43" t="n">
        <v>0</v>
      </c>
      <c r="G36" s="44" t="n">
        <v>0</v>
      </c>
      <c r="H36" s="46" t="n">
        <v>0</v>
      </c>
      <c r="I36" s="47" t="n">
        <v>21.5</v>
      </c>
      <c r="J36" s="48" t="n">
        <v>0</v>
      </c>
      <c r="K36" s="43"/>
      <c r="M36" s="46" t="n">
        <v>0</v>
      </c>
      <c r="N36" s="43" t="n">
        <v>0</v>
      </c>
      <c r="O36" s="46" t="n">
        <v>0</v>
      </c>
      <c r="P36" s="49" t="n">
        <v>0</v>
      </c>
      <c r="Q36" s="50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6" t="n">
        <v>0</v>
      </c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41"/>
      <c r="KZ36" s="41"/>
      <c r="LA36" s="41"/>
      <c r="LB36" s="41"/>
      <c r="LC36" s="41"/>
      <c r="LD36" s="41"/>
      <c r="LE36" s="41"/>
      <c r="LF36" s="41"/>
      <c r="LG36" s="41"/>
      <c r="LH36" s="41"/>
      <c r="LI36" s="41"/>
      <c r="LJ36" s="41"/>
      <c r="LK36" s="41"/>
      <c r="LL36" s="41"/>
      <c r="LM36" s="41"/>
      <c r="LN36" s="41"/>
      <c r="LO36" s="41"/>
      <c r="LP36" s="41"/>
      <c r="LQ36" s="41"/>
      <c r="LR36" s="41"/>
      <c r="LS36" s="41"/>
      <c r="LT36" s="41"/>
      <c r="LU36" s="41"/>
      <c r="LV36" s="41"/>
      <c r="LW36" s="41"/>
      <c r="LX36" s="41"/>
      <c r="LY36" s="41"/>
      <c r="LZ36" s="41"/>
      <c r="MA36" s="41"/>
      <c r="MB36" s="41"/>
      <c r="MC36" s="41"/>
      <c r="MD36" s="41"/>
      <c r="ME36" s="4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  <c r="NC36" s="41"/>
      <c r="ND36" s="41"/>
      <c r="NE36" s="41"/>
      <c r="NF36" s="41"/>
      <c r="NG36" s="41"/>
      <c r="NH36" s="41"/>
      <c r="NI36" s="41"/>
      <c r="NJ36" s="41"/>
      <c r="NK36" s="41"/>
      <c r="NL36" s="41"/>
      <c r="NM36" s="41"/>
      <c r="NN36" s="41"/>
      <c r="NO36" s="41"/>
      <c r="NP36" s="41"/>
      <c r="NQ36" s="41"/>
      <c r="NR36" s="41"/>
      <c r="NS36" s="41"/>
      <c r="NT36" s="41"/>
      <c r="NU36" s="41"/>
      <c r="NV36" s="41"/>
      <c r="NW36" s="41"/>
      <c r="NX36" s="41"/>
      <c r="NY36" s="41"/>
      <c r="NZ36" s="41"/>
      <c r="OA36" s="41"/>
      <c r="OB36" s="41"/>
      <c r="OC36" s="41"/>
      <c r="OD36" s="41"/>
      <c r="OE36" s="41"/>
      <c r="OF36" s="41"/>
      <c r="OG36" s="41"/>
      <c r="OH36" s="41"/>
      <c r="OI36" s="41"/>
      <c r="OJ36" s="41"/>
      <c r="OK36" s="41"/>
      <c r="OL36" s="41"/>
      <c r="OM36" s="41"/>
      <c r="ON36" s="41"/>
      <c r="OO36" s="41"/>
      <c r="OP36" s="41"/>
      <c r="OQ36" s="41"/>
      <c r="OR36" s="41"/>
      <c r="OS36" s="41"/>
      <c r="OT36" s="41"/>
      <c r="OU36" s="41"/>
      <c r="OV36" s="41"/>
      <c r="OW36" s="41"/>
      <c r="OX36" s="41"/>
      <c r="OY36" s="41"/>
      <c r="OZ36" s="41"/>
      <c r="PA36" s="41"/>
      <c r="PB36" s="41"/>
      <c r="PC36" s="41"/>
      <c r="PD36" s="41"/>
      <c r="PE36" s="41"/>
      <c r="PF36" s="41"/>
      <c r="PG36" s="41"/>
      <c r="PH36" s="41"/>
      <c r="PI36" s="41"/>
      <c r="PJ36" s="41"/>
      <c r="PK36" s="41"/>
      <c r="PL36" s="41"/>
      <c r="PM36" s="41"/>
      <c r="PN36" s="41"/>
      <c r="PO36" s="41"/>
      <c r="PP36" s="41"/>
      <c r="PQ36" s="41"/>
      <c r="PR36" s="41"/>
      <c r="PS36" s="41"/>
      <c r="PT36" s="41"/>
      <c r="PU36" s="41"/>
      <c r="PV36" s="41"/>
      <c r="PW36" s="41"/>
      <c r="PX36" s="41"/>
      <c r="PY36" s="41"/>
      <c r="PZ36" s="41"/>
      <c r="QA36" s="41"/>
      <c r="QB36" s="41"/>
      <c r="QC36" s="41"/>
      <c r="QD36" s="41"/>
      <c r="QE36" s="41"/>
      <c r="QF36" s="41"/>
      <c r="QG36" s="41"/>
      <c r="QH36" s="41"/>
      <c r="QI36" s="41"/>
      <c r="QJ36" s="41"/>
      <c r="QK36" s="41"/>
      <c r="QL36" s="41"/>
      <c r="QM36" s="41"/>
      <c r="QN36" s="41"/>
      <c r="QO36" s="41"/>
      <c r="QP36" s="41"/>
      <c r="QQ36" s="41"/>
      <c r="QR36" s="41"/>
      <c r="QS36" s="41"/>
      <c r="QT36" s="41"/>
      <c r="QU36" s="41"/>
      <c r="QV36" s="41"/>
      <c r="QW36" s="41"/>
      <c r="QX36" s="41"/>
      <c r="QY36" s="41"/>
      <c r="QZ36" s="41"/>
      <c r="RA36" s="41"/>
      <c r="RB36" s="41"/>
      <c r="RC36" s="41"/>
      <c r="RD36" s="41"/>
      <c r="RE36" s="41"/>
      <c r="RF36" s="41"/>
      <c r="RG36" s="41"/>
      <c r="RH36" s="41"/>
      <c r="RI36" s="41"/>
      <c r="RJ36" s="41"/>
      <c r="RK36" s="41"/>
      <c r="RL36" s="41"/>
      <c r="RM36" s="41"/>
      <c r="RN36" s="41"/>
      <c r="RO36" s="41"/>
      <c r="RP36" s="41"/>
      <c r="RQ36" s="41"/>
      <c r="RR36" s="41"/>
      <c r="RS36" s="41"/>
      <c r="RT36" s="41"/>
      <c r="RU36" s="41"/>
      <c r="RV36" s="41"/>
      <c r="RW36" s="41"/>
      <c r="RX36" s="41"/>
      <c r="RY36" s="41"/>
      <c r="RZ36" s="41"/>
      <c r="SA36" s="41"/>
      <c r="SB36" s="41"/>
      <c r="SC36" s="41"/>
      <c r="SD36" s="41"/>
      <c r="SE36" s="41"/>
      <c r="SF36" s="41"/>
      <c r="SG36" s="41"/>
      <c r="SH36" s="41"/>
      <c r="SI36" s="41"/>
      <c r="SJ36" s="41"/>
      <c r="SK36" s="41"/>
      <c r="SL36" s="41"/>
      <c r="SM36" s="41"/>
      <c r="SN36" s="41"/>
      <c r="SO36" s="41"/>
      <c r="SP36" s="41"/>
      <c r="SQ36" s="41"/>
      <c r="SR36" s="41"/>
      <c r="SS36" s="41"/>
      <c r="ST36" s="41"/>
      <c r="SU36" s="41"/>
      <c r="SV36" s="41"/>
      <c r="SW36" s="41"/>
      <c r="SX36" s="41"/>
      <c r="SY36" s="41"/>
      <c r="SZ36" s="41"/>
      <c r="TA36" s="41"/>
      <c r="TB36" s="41"/>
      <c r="TC36" s="41"/>
      <c r="TD36" s="41"/>
      <c r="TE36" s="41"/>
      <c r="TF36" s="41"/>
      <c r="TG36" s="41"/>
      <c r="TH36" s="41"/>
      <c r="TI36" s="41"/>
      <c r="TJ36" s="41"/>
      <c r="TK36" s="41"/>
      <c r="TL36" s="41"/>
      <c r="TM36" s="41"/>
      <c r="TN36" s="41"/>
      <c r="TO36" s="41"/>
      <c r="TP36" s="41"/>
      <c r="TQ36" s="41"/>
      <c r="TR36" s="41"/>
      <c r="TS36" s="41"/>
      <c r="TT36" s="41"/>
      <c r="TU36" s="41"/>
      <c r="TV36" s="41"/>
      <c r="TW36" s="41"/>
      <c r="TX36" s="41"/>
      <c r="TY36" s="41"/>
      <c r="TZ36" s="41"/>
      <c r="UA36" s="41"/>
      <c r="UB36" s="41"/>
      <c r="UC36" s="41"/>
      <c r="UD36" s="41"/>
      <c r="UE36" s="41"/>
      <c r="UF36" s="41"/>
      <c r="UG36" s="41"/>
      <c r="UH36" s="41"/>
      <c r="UI36" s="41"/>
      <c r="UJ36" s="41"/>
      <c r="UK36" s="41"/>
      <c r="UL36" s="41"/>
      <c r="UM36" s="41"/>
      <c r="UN36" s="41"/>
      <c r="UO36" s="41"/>
      <c r="UP36" s="41"/>
      <c r="UQ36" s="41"/>
      <c r="UR36" s="41"/>
      <c r="US36" s="41"/>
      <c r="UT36" s="41"/>
      <c r="UU36" s="41"/>
      <c r="UV36" s="41"/>
      <c r="UW36" s="41"/>
      <c r="UX36" s="41"/>
      <c r="UY36" s="41"/>
      <c r="UZ36" s="41"/>
      <c r="VA36" s="41"/>
      <c r="VB36" s="41"/>
      <c r="VC36" s="41"/>
      <c r="VD36" s="41"/>
      <c r="VE36" s="41"/>
      <c r="VF36" s="41"/>
      <c r="VG36" s="41"/>
      <c r="VH36" s="41"/>
      <c r="VI36" s="41"/>
      <c r="VJ36" s="41"/>
      <c r="VK36" s="41"/>
      <c r="VL36" s="41"/>
      <c r="VM36" s="41"/>
      <c r="VN36" s="41"/>
      <c r="VO36" s="41"/>
      <c r="VP36" s="41"/>
      <c r="VQ36" s="41"/>
      <c r="VR36" s="41"/>
      <c r="VS36" s="41"/>
      <c r="VT36" s="41"/>
      <c r="VU36" s="41"/>
      <c r="VV36" s="41"/>
      <c r="VW36" s="41"/>
      <c r="VX36" s="41"/>
      <c r="VY36" s="41"/>
      <c r="VZ36" s="41"/>
      <c r="WA36" s="41"/>
      <c r="WB36" s="41"/>
      <c r="WC36" s="41"/>
      <c r="WD36" s="41"/>
      <c r="WE36" s="41"/>
      <c r="WF36" s="41"/>
      <c r="WG36" s="41"/>
      <c r="WH36" s="41"/>
      <c r="WI36" s="41"/>
      <c r="WJ36" s="41"/>
      <c r="WK36" s="41"/>
      <c r="WL36" s="41"/>
      <c r="WM36" s="41"/>
      <c r="WN36" s="41"/>
      <c r="WO36" s="41"/>
      <c r="WP36" s="41"/>
      <c r="WQ36" s="41"/>
      <c r="WR36" s="41"/>
      <c r="WS36" s="41"/>
      <c r="WT36" s="41"/>
      <c r="WU36" s="41"/>
      <c r="WV36" s="41"/>
      <c r="WW36" s="41"/>
      <c r="WX36" s="41"/>
      <c r="WY36" s="41"/>
      <c r="WZ36" s="41"/>
      <c r="XA36" s="41"/>
      <c r="XB36" s="41"/>
      <c r="XC36" s="41"/>
      <c r="XD36" s="41"/>
      <c r="XE36" s="41"/>
      <c r="XF36" s="41"/>
      <c r="XG36" s="41"/>
      <c r="XH36" s="41"/>
      <c r="XI36" s="41"/>
      <c r="XJ36" s="41"/>
      <c r="XK36" s="41"/>
      <c r="XL36" s="41"/>
      <c r="XM36" s="41"/>
      <c r="XN36" s="41"/>
      <c r="XO36" s="41"/>
      <c r="XP36" s="41"/>
      <c r="XQ36" s="41"/>
      <c r="XR36" s="41"/>
      <c r="XS36" s="41"/>
      <c r="XT36" s="41"/>
      <c r="XU36" s="41"/>
      <c r="XV36" s="41"/>
      <c r="XW36" s="41"/>
      <c r="XX36" s="41"/>
      <c r="XY36" s="41"/>
      <c r="XZ36" s="41"/>
      <c r="YA36" s="41"/>
      <c r="YB36" s="41"/>
      <c r="YC36" s="41"/>
      <c r="YD36" s="41"/>
      <c r="YE36" s="41"/>
      <c r="YF36" s="41"/>
      <c r="YG36" s="41"/>
      <c r="YH36" s="41"/>
      <c r="YI36" s="41"/>
      <c r="YJ36" s="41"/>
      <c r="YK36" s="41"/>
      <c r="YL36" s="41"/>
      <c r="YM36" s="41"/>
      <c r="YN36" s="41"/>
      <c r="YO36" s="41"/>
      <c r="YP36" s="41"/>
      <c r="YQ36" s="41"/>
      <c r="YR36" s="41"/>
      <c r="YS36" s="41"/>
      <c r="YT36" s="41"/>
      <c r="YU36" s="41"/>
      <c r="YV36" s="41"/>
      <c r="YW36" s="41"/>
      <c r="YX36" s="41"/>
      <c r="YY36" s="41"/>
      <c r="YZ36" s="41"/>
      <c r="ZA36" s="41"/>
      <c r="ZB36" s="41"/>
      <c r="ZC36" s="41"/>
      <c r="ZD36" s="41"/>
      <c r="ZE36" s="41"/>
      <c r="ZF36" s="41"/>
      <c r="ZG36" s="41"/>
      <c r="ZH36" s="41"/>
      <c r="ZI36" s="41"/>
      <c r="ZJ36" s="41"/>
      <c r="ZK36" s="41"/>
      <c r="ZL36" s="41"/>
      <c r="ZM36" s="41"/>
      <c r="ZN36" s="41"/>
      <c r="ZO36" s="41"/>
      <c r="ZP36" s="41"/>
      <c r="ZQ36" s="41"/>
      <c r="ZR36" s="41"/>
      <c r="ZS36" s="41"/>
      <c r="ZT36" s="41"/>
      <c r="ZU36" s="41"/>
      <c r="ZV36" s="41"/>
      <c r="ZW36" s="41"/>
      <c r="ZX36" s="41"/>
      <c r="ZY36" s="41"/>
      <c r="ZZ36" s="41"/>
      <c r="AAA36" s="41"/>
      <c r="AAB36" s="41"/>
      <c r="AAC36" s="41"/>
      <c r="AAD36" s="41"/>
      <c r="AAE36" s="41"/>
      <c r="AAF36" s="41"/>
      <c r="AAG36" s="41"/>
      <c r="AAH36" s="41"/>
      <c r="AAI36" s="41"/>
      <c r="AAJ36" s="41"/>
      <c r="AAK36" s="41"/>
      <c r="AAL36" s="41"/>
      <c r="AAM36" s="41"/>
      <c r="AAN36" s="41"/>
      <c r="AAO36" s="41"/>
      <c r="AAP36" s="41"/>
      <c r="AAQ36" s="41"/>
      <c r="AAR36" s="41"/>
      <c r="AAS36" s="41"/>
      <c r="AAT36" s="41"/>
      <c r="AAU36" s="41"/>
      <c r="AAV36" s="41"/>
      <c r="AAW36" s="41"/>
      <c r="AAX36" s="41"/>
      <c r="AAY36" s="41"/>
      <c r="AAZ36" s="41"/>
      <c r="ABA36" s="41"/>
      <c r="ABB36" s="41"/>
      <c r="ABC36" s="41"/>
      <c r="ABD36" s="41"/>
      <c r="ABE36" s="41"/>
      <c r="ABF36" s="41"/>
      <c r="ABG36" s="41"/>
      <c r="ABH36" s="41"/>
      <c r="ABI36" s="41"/>
      <c r="ABJ36" s="41"/>
      <c r="ABK36" s="41"/>
      <c r="ABL36" s="41"/>
      <c r="ABM36" s="41"/>
      <c r="ABN36" s="41"/>
      <c r="ABO36" s="41"/>
      <c r="ABP36" s="41"/>
      <c r="ABQ36" s="41"/>
      <c r="ABR36" s="41"/>
      <c r="ABS36" s="41"/>
      <c r="ABT36" s="41"/>
      <c r="ABU36" s="41"/>
      <c r="ABV36" s="41"/>
      <c r="ABW36" s="41"/>
      <c r="ABX36" s="41"/>
      <c r="ABY36" s="41"/>
      <c r="ABZ36" s="41"/>
      <c r="ACA36" s="41"/>
      <c r="ACB36" s="41"/>
      <c r="ACC36" s="41"/>
      <c r="ACD36" s="41"/>
      <c r="ACE36" s="41"/>
      <c r="ACF36" s="41"/>
      <c r="ACG36" s="41"/>
      <c r="ACH36" s="41"/>
      <c r="ACI36" s="41"/>
      <c r="ACJ36" s="41"/>
      <c r="ACK36" s="41"/>
      <c r="ACL36" s="41"/>
      <c r="ACM36" s="41"/>
      <c r="ACN36" s="41"/>
      <c r="ACO36" s="41"/>
      <c r="ACP36" s="41"/>
      <c r="ACQ36" s="41"/>
      <c r="ACR36" s="41"/>
      <c r="ACS36" s="41"/>
      <c r="ACT36" s="41"/>
      <c r="ACU36" s="41"/>
      <c r="ACV36" s="41"/>
      <c r="ACW36" s="41"/>
      <c r="ACX36" s="41"/>
      <c r="ACY36" s="41"/>
      <c r="ACZ36" s="41"/>
      <c r="ADA36" s="41"/>
      <c r="ADB36" s="41"/>
      <c r="ADC36" s="41"/>
      <c r="ADD36" s="41"/>
      <c r="ADE36" s="41"/>
      <c r="ADF36" s="41"/>
      <c r="ADG36" s="41"/>
      <c r="ADH36" s="41"/>
      <c r="ADI36" s="41"/>
      <c r="ADJ36" s="41"/>
      <c r="ADK36" s="41"/>
      <c r="ADL36" s="41"/>
      <c r="ADM36" s="41"/>
      <c r="ADN36" s="41"/>
      <c r="ADO36" s="41"/>
      <c r="ADP36" s="41"/>
      <c r="ADQ36" s="41"/>
      <c r="ADR36" s="41"/>
      <c r="ADS36" s="41"/>
      <c r="ADT36" s="41"/>
      <c r="ADU36" s="41"/>
      <c r="ADV36" s="41"/>
      <c r="ADW36" s="41"/>
      <c r="ADX36" s="41"/>
      <c r="ADY36" s="41"/>
      <c r="ADZ36" s="41"/>
      <c r="AEA36" s="41"/>
      <c r="AEB36" s="41"/>
      <c r="AEC36" s="41"/>
      <c r="AED36" s="41"/>
      <c r="AEE36" s="41"/>
      <c r="AEF36" s="41"/>
      <c r="AEG36" s="41"/>
      <c r="AEH36" s="41"/>
      <c r="AEI36" s="41"/>
      <c r="AEJ36" s="41"/>
      <c r="AEK36" s="41"/>
      <c r="AEL36" s="41"/>
      <c r="AEM36" s="41"/>
      <c r="AEN36" s="41"/>
      <c r="AEO36" s="41"/>
      <c r="AEP36" s="41"/>
      <c r="AEQ36" s="41"/>
      <c r="AER36" s="41"/>
      <c r="AES36" s="41"/>
      <c r="AET36" s="41"/>
      <c r="AEU36" s="41"/>
      <c r="AEV36" s="41"/>
      <c r="AEW36" s="41"/>
      <c r="AEX36" s="41"/>
      <c r="AEY36" s="41"/>
      <c r="AEZ36" s="41"/>
      <c r="AFA36" s="41"/>
      <c r="AFB36" s="41"/>
      <c r="AFC36" s="41"/>
      <c r="AFD36" s="41"/>
      <c r="AFE36" s="41"/>
      <c r="AFF36" s="41"/>
      <c r="AFG36" s="41"/>
      <c r="AFH36" s="41"/>
      <c r="AFI36" s="41"/>
      <c r="AFJ36" s="41"/>
      <c r="AFK36" s="41"/>
      <c r="AFL36" s="41"/>
      <c r="AFM36" s="41"/>
      <c r="AFN36" s="41"/>
      <c r="AFO36" s="41"/>
      <c r="AFP36" s="41"/>
      <c r="AFQ36" s="41"/>
      <c r="AFR36" s="41"/>
      <c r="AFS36" s="41"/>
      <c r="AFT36" s="41"/>
      <c r="AFU36" s="41"/>
      <c r="AFV36" s="41"/>
      <c r="AFW36" s="41"/>
      <c r="AFX36" s="41"/>
      <c r="AFY36" s="41"/>
      <c r="AFZ36" s="41"/>
      <c r="AGA36" s="41"/>
      <c r="AGB36" s="41"/>
      <c r="AGC36" s="41"/>
      <c r="AGD36" s="41"/>
      <c r="AGE36" s="41"/>
      <c r="AGF36" s="41"/>
      <c r="AGG36" s="41"/>
      <c r="AGH36" s="41"/>
      <c r="AGI36" s="41"/>
      <c r="AGJ36" s="41"/>
      <c r="AGK36" s="41"/>
      <c r="AGL36" s="41"/>
      <c r="AGM36" s="41"/>
      <c r="AGN36" s="41"/>
      <c r="AGO36" s="41"/>
      <c r="AGP36" s="41"/>
      <c r="AGQ36" s="41"/>
      <c r="AGR36" s="41"/>
      <c r="AGS36" s="41"/>
      <c r="AGT36" s="41"/>
      <c r="AGU36" s="41"/>
      <c r="AGV36" s="41"/>
      <c r="AGW36" s="41"/>
      <c r="AGX36" s="41"/>
      <c r="AGY36" s="41"/>
      <c r="AGZ36" s="41"/>
      <c r="AHA36" s="41"/>
      <c r="AHB36" s="41"/>
      <c r="AHC36" s="41"/>
      <c r="AHD36" s="41"/>
      <c r="AHE36" s="41"/>
      <c r="AHF36" s="41"/>
      <c r="AHG36" s="41"/>
      <c r="AHH36" s="41"/>
      <c r="AHI36" s="41"/>
      <c r="AHJ36" s="41"/>
      <c r="AHK36" s="41"/>
      <c r="AHL36" s="41"/>
      <c r="AHM36" s="41"/>
      <c r="AHN36" s="41"/>
      <c r="AHO36" s="41"/>
      <c r="AHP36" s="41"/>
      <c r="AHQ36" s="41"/>
      <c r="AHR36" s="41"/>
      <c r="AHS36" s="41"/>
      <c r="AHT36" s="41"/>
      <c r="AHU36" s="41"/>
      <c r="AHV36" s="41"/>
      <c r="AHW36" s="41"/>
      <c r="AHX36" s="41"/>
      <c r="AHY36" s="41"/>
      <c r="AHZ36" s="41"/>
      <c r="AIA36" s="41"/>
      <c r="AIB36" s="41"/>
      <c r="AIC36" s="41"/>
      <c r="AID36" s="41"/>
      <c r="AIE36" s="41"/>
      <c r="AIF36" s="41"/>
      <c r="AIG36" s="41"/>
      <c r="AIH36" s="41"/>
      <c r="AII36" s="41"/>
      <c r="AIJ36" s="41"/>
      <c r="AIK36" s="41"/>
      <c r="AIL36" s="41"/>
      <c r="AIM36" s="41"/>
      <c r="AIN36" s="41"/>
      <c r="AIO36" s="41"/>
      <c r="AIP36" s="41"/>
      <c r="AIQ36" s="41"/>
      <c r="AIR36" s="41"/>
      <c r="AIS36" s="41"/>
      <c r="AIT36" s="41"/>
      <c r="AIU36" s="41"/>
      <c r="AIV36" s="41"/>
      <c r="AIW36" s="41"/>
      <c r="AIX36" s="41"/>
      <c r="AIY36" s="41"/>
      <c r="AIZ36" s="41"/>
      <c r="AJA36" s="41"/>
      <c r="AJB36" s="41"/>
      <c r="AJC36" s="41"/>
      <c r="AJD36" s="41"/>
      <c r="AJE36" s="41"/>
      <c r="AJF36" s="41"/>
      <c r="AJG36" s="41"/>
      <c r="AJH36" s="41"/>
      <c r="AJI36" s="41"/>
      <c r="AJJ36" s="41"/>
      <c r="AJK36" s="41"/>
      <c r="AJL36" s="41"/>
      <c r="AJM36" s="41"/>
      <c r="AJN36" s="41"/>
      <c r="AJO36" s="41"/>
      <c r="AJP36" s="41"/>
      <c r="AJQ36" s="41"/>
      <c r="AJR36" s="41"/>
      <c r="AJS36" s="41"/>
      <c r="AJT36" s="41"/>
      <c r="AJU36" s="41"/>
      <c r="AJV36" s="41"/>
      <c r="AJW36" s="41"/>
      <c r="AJX36" s="41"/>
      <c r="AJY36" s="41"/>
      <c r="AJZ36" s="41"/>
      <c r="AKA36" s="41"/>
      <c r="AKB36" s="41"/>
      <c r="AKC36" s="41"/>
      <c r="AKD36" s="41"/>
      <c r="AKE36" s="41"/>
      <c r="AKF36" s="41"/>
      <c r="AKG36" s="41"/>
      <c r="AKH36" s="41"/>
      <c r="AKI36" s="41"/>
      <c r="AKJ36" s="41"/>
      <c r="AKK36" s="41"/>
      <c r="AKL36" s="41"/>
      <c r="AKM36" s="41"/>
      <c r="AKN36" s="41"/>
      <c r="AKO36" s="41"/>
      <c r="AKP36" s="41"/>
      <c r="AKQ36" s="41"/>
      <c r="AKR36" s="41"/>
      <c r="AKS36" s="41"/>
      <c r="AKT36" s="41"/>
      <c r="AKU36" s="41"/>
      <c r="AKV36" s="41"/>
      <c r="AKW36" s="41"/>
      <c r="AKX36" s="41"/>
      <c r="AKY36" s="41"/>
      <c r="AKZ36" s="41"/>
      <c r="ALA36" s="41"/>
      <c r="ALB36" s="41"/>
      <c r="ALC36" s="41"/>
      <c r="ALD36" s="41"/>
      <c r="ALE36" s="41"/>
      <c r="ALF36" s="41"/>
      <c r="ALG36" s="41"/>
      <c r="ALH36" s="41"/>
      <c r="ALI36" s="41"/>
      <c r="ALJ36" s="41"/>
      <c r="ALK36" s="41"/>
      <c r="ALL36" s="41"/>
      <c r="ALM36" s="41"/>
      <c r="ALN36" s="41"/>
      <c r="ALO36" s="41"/>
      <c r="ALP36" s="41"/>
      <c r="ALQ36" s="41"/>
      <c r="ALR36" s="41"/>
      <c r="ALS36" s="41"/>
      <c r="ALT36" s="41"/>
      <c r="ALU36" s="41"/>
      <c r="ALV36" s="41"/>
      <c r="ALW36" s="41"/>
      <c r="ALX36" s="41"/>
      <c r="ALY36" s="41"/>
      <c r="ALZ36" s="41"/>
      <c r="AMA36" s="41"/>
      <c r="AMB36" s="41"/>
      <c r="AMC36" s="41"/>
      <c r="AMD36" s="41"/>
      <c r="AME36" s="41"/>
      <c r="AMF36" s="41"/>
      <c r="AMG36" s="41"/>
      <c r="AMH36" s="41"/>
      <c r="AMI36" s="41"/>
      <c r="AMJ36" s="41"/>
      <c r="AMK36" s="41"/>
      <c r="AML36" s="41"/>
      <c r="AMM36" s="41"/>
      <c r="AMN36" s="41"/>
      <c r="AMO36" s="41"/>
      <c r="AMP36" s="41"/>
      <c r="AMQ36" s="41"/>
      <c r="AMR36" s="41"/>
      <c r="AMS36" s="41"/>
      <c r="AMT36" s="41"/>
      <c r="AMU36" s="41"/>
      <c r="AMV36" s="41"/>
      <c r="AMW36" s="41"/>
      <c r="AMX36" s="41"/>
      <c r="AMY36" s="41"/>
      <c r="AMZ36" s="41"/>
      <c r="ANA36" s="41"/>
      <c r="ANB36" s="41"/>
      <c r="ANC36" s="41"/>
      <c r="AND36" s="41"/>
      <c r="ANE36" s="41"/>
      <c r="ANF36" s="41"/>
      <c r="ANG36" s="41"/>
      <c r="ANH36" s="41"/>
      <c r="ANI36" s="41"/>
      <c r="ANJ36" s="41"/>
      <c r="ANK36" s="41"/>
    </row>
    <row r="37" s="44" customFormat="true" ht="15" hidden="false" customHeight="false" outlineLevel="0" collapsed="false">
      <c r="A37" s="42" t="s">
        <v>59</v>
      </c>
      <c r="B37" s="43" t="n">
        <v>0</v>
      </c>
      <c r="C37" s="44" t="n">
        <v>0</v>
      </c>
      <c r="D37" s="44" t="n">
        <v>0</v>
      </c>
      <c r="E37" s="45" t="n">
        <v>340000</v>
      </c>
      <c r="F37" s="43" t="n">
        <v>0</v>
      </c>
      <c r="G37" s="44" t="n">
        <v>0</v>
      </c>
      <c r="H37" s="46" t="n">
        <v>0</v>
      </c>
      <c r="I37" s="47" t="n">
        <v>0</v>
      </c>
      <c r="J37" s="48" t="n">
        <v>0</v>
      </c>
      <c r="K37" s="43"/>
      <c r="M37" s="46" t="n">
        <v>0</v>
      </c>
      <c r="N37" s="43" t="n">
        <v>0</v>
      </c>
      <c r="O37" s="46" t="n">
        <v>0</v>
      </c>
      <c r="P37" s="49" t="n">
        <v>0</v>
      </c>
      <c r="Q37" s="50" t="n">
        <v>0</v>
      </c>
      <c r="R37" s="44" t="n">
        <v>0</v>
      </c>
      <c r="S37" s="44" t="n">
        <v>0</v>
      </c>
      <c r="T37" s="44" t="n">
        <v>0</v>
      </c>
      <c r="U37" s="44" t="n">
        <v>0</v>
      </c>
      <c r="V37" s="44" t="n">
        <v>0</v>
      </c>
      <c r="W37" s="44" t="n">
        <v>0</v>
      </c>
      <c r="X37" s="44" t="n">
        <v>0</v>
      </c>
      <c r="Y37" s="44" t="n">
        <v>0</v>
      </c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44" t="n">
        <v>0</v>
      </c>
      <c r="AI37" s="44" t="n">
        <v>0</v>
      </c>
      <c r="AJ37" s="44" t="n">
        <v>0</v>
      </c>
      <c r="AK37" s="44" t="n">
        <v>0</v>
      </c>
      <c r="AL37" s="44" t="n">
        <v>0</v>
      </c>
      <c r="AM37" s="44" t="n">
        <v>0</v>
      </c>
      <c r="AN37" s="46" t="n">
        <v>0</v>
      </c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41"/>
      <c r="JB37" s="41"/>
      <c r="JC37" s="41"/>
      <c r="JD37" s="41"/>
      <c r="JE37" s="41"/>
      <c r="JF37" s="41"/>
      <c r="JG37" s="41"/>
      <c r="JH37" s="41"/>
      <c r="JI37" s="41"/>
      <c r="JJ37" s="41"/>
      <c r="JK37" s="41"/>
      <c r="JL37" s="41"/>
      <c r="JM37" s="41"/>
      <c r="JN37" s="41"/>
      <c r="JO37" s="41"/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1"/>
      <c r="KU37" s="41"/>
      <c r="KV37" s="41"/>
      <c r="KW37" s="41"/>
      <c r="KX37" s="41"/>
      <c r="KY37" s="41"/>
      <c r="KZ37" s="41"/>
      <c r="LA37" s="41"/>
      <c r="LB37" s="41"/>
      <c r="LC37" s="41"/>
      <c r="LD37" s="41"/>
      <c r="LE37" s="41"/>
      <c r="LF37" s="41"/>
      <c r="LG37" s="41"/>
      <c r="LH37" s="41"/>
      <c r="LI37" s="41"/>
      <c r="LJ37" s="41"/>
      <c r="LK37" s="41"/>
      <c r="LL37" s="41"/>
      <c r="LM37" s="41"/>
      <c r="LN37" s="41"/>
      <c r="LO37" s="41"/>
      <c r="LP37" s="41"/>
      <c r="LQ37" s="41"/>
      <c r="LR37" s="41"/>
      <c r="LS37" s="41"/>
      <c r="LT37" s="41"/>
      <c r="LU37" s="41"/>
      <c r="LV37" s="41"/>
      <c r="LW37" s="41"/>
      <c r="LX37" s="41"/>
      <c r="LY37" s="41"/>
      <c r="LZ37" s="41"/>
      <c r="MA37" s="41"/>
      <c r="MB37" s="41"/>
      <c r="MC37" s="41"/>
      <c r="MD37" s="41"/>
      <c r="ME37" s="41"/>
      <c r="MF37" s="41"/>
      <c r="MG37" s="41"/>
      <c r="MH37" s="41"/>
      <c r="MI37" s="41"/>
      <c r="MJ37" s="41"/>
      <c r="MK37" s="41"/>
      <c r="ML37" s="41"/>
      <c r="MM37" s="41"/>
      <c r="MN37" s="41"/>
      <c r="MO37" s="41"/>
      <c r="MP37" s="41"/>
      <c r="MQ37" s="41"/>
      <c r="MR37" s="41"/>
      <c r="MS37" s="41"/>
      <c r="MT37" s="41"/>
      <c r="MU37" s="41"/>
      <c r="MV37" s="41"/>
      <c r="MW37" s="41"/>
      <c r="MX37" s="41"/>
      <c r="MY37" s="41"/>
      <c r="MZ37" s="41"/>
      <c r="NA37" s="41"/>
      <c r="NB37" s="41"/>
      <c r="NC37" s="41"/>
      <c r="ND37" s="41"/>
      <c r="NE37" s="41"/>
      <c r="NF37" s="41"/>
      <c r="NG37" s="41"/>
      <c r="NH37" s="41"/>
      <c r="NI37" s="41"/>
      <c r="NJ37" s="41"/>
      <c r="NK37" s="41"/>
      <c r="NL37" s="41"/>
      <c r="NM37" s="41"/>
      <c r="NN37" s="41"/>
      <c r="NO37" s="41"/>
      <c r="NP37" s="41"/>
      <c r="NQ37" s="41"/>
      <c r="NR37" s="41"/>
      <c r="NS37" s="41"/>
      <c r="NT37" s="41"/>
      <c r="NU37" s="41"/>
      <c r="NV37" s="41"/>
      <c r="NW37" s="41"/>
      <c r="NX37" s="41"/>
      <c r="NY37" s="41"/>
      <c r="NZ37" s="41"/>
      <c r="OA37" s="41"/>
      <c r="OB37" s="41"/>
      <c r="OC37" s="41"/>
      <c r="OD37" s="41"/>
      <c r="OE37" s="41"/>
      <c r="OF37" s="41"/>
      <c r="OG37" s="41"/>
      <c r="OH37" s="41"/>
      <c r="OI37" s="41"/>
      <c r="OJ37" s="41"/>
      <c r="OK37" s="41"/>
      <c r="OL37" s="41"/>
      <c r="OM37" s="41"/>
      <c r="ON37" s="41"/>
      <c r="OO37" s="41"/>
      <c r="OP37" s="41"/>
      <c r="OQ37" s="41"/>
      <c r="OR37" s="41"/>
      <c r="OS37" s="41"/>
      <c r="OT37" s="41"/>
      <c r="OU37" s="41"/>
      <c r="OV37" s="41"/>
      <c r="OW37" s="41"/>
      <c r="OX37" s="41"/>
      <c r="OY37" s="41"/>
      <c r="OZ37" s="41"/>
      <c r="PA37" s="41"/>
      <c r="PB37" s="41"/>
      <c r="PC37" s="41"/>
      <c r="PD37" s="41"/>
      <c r="PE37" s="41"/>
      <c r="PF37" s="41"/>
      <c r="PG37" s="41"/>
      <c r="PH37" s="41"/>
      <c r="PI37" s="41"/>
      <c r="PJ37" s="41"/>
      <c r="PK37" s="41"/>
      <c r="PL37" s="41"/>
      <c r="PM37" s="41"/>
      <c r="PN37" s="41"/>
      <c r="PO37" s="41"/>
      <c r="PP37" s="41"/>
      <c r="PQ37" s="41"/>
      <c r="PR37" s="41"/>
      <c r="PS37" s="41"/>
      <c r="PT37" s="41"/>
      <c r="PU37" s="41"/>
      <c r="PV37" s="41"/>
      <c r="PW37" s="41"/>
      <c r="PX37" s="41"/>
      <c r="PY37" s="41"/>
      <c r="PZ37" s="41"/>
      <c r="QA37" s="41"/>
      <c r="QB37" s="41"/>
      <c r="QC37" s="41"/>
      <c r="QD37" s="41"/>
      <c r="QE37" s="41"/>
      <c r="QF37" s="41"/>
      <c r="QG37" s="41"/>
      <c r="QH37" s="41"/>
      <c r="QI37" s="41"/>
      <c r="QJ37" s="41"/>
      <c r="QK37" s="41"/>
      <c r="QL37" s="41"/>
      <c r="QM37" s="41"/>
      <c r="QN37" s="41"/>
      <c r="QO37" s="41"/>
      <c r="QP37" s="41"/>
      <c r="QQ37" s="41"/>
      <c r="QR37" s="41"/>
      <c r="QS37" s="41"/>
      <c r="QT37" s="41"/>
      <c r="QU37" s="41"/>
      <c r="QV37" s="41"/>
      <c r="QW37" s="41"/>
      <c r="QX37" s="41"/>
      <c r="QY37" s="41"/>
      <c r="QZ37" s="41"/>
      <c r="RA37" s="41"/>
      <c r="RB37" s="41"/>
      <c r="RC37" s="41"/>
      <c r="RD37" s="41"/>
      <c r="RE37" s="41"/>
      <c r="RF37" s="41"/>
      <c r="RG37" s="41"/>
      <c r="RH37" s="41"/>
      <c r="RI37" s="41"/>
      <c r="RJ37" s="41"/>
      <c r="RK37" s="41"/>
      <c r="RL37" s="41"/>
      <c r="RM37" s="41"/>
      <c r="RN37" s="41"/>
      <c r="RO37" s="41"/>
      <c r="RP37" s="41"/>
      <c r="RQ37" s="41"/>
      <c r="RR37" s="41"/>
      <c r="RS37" s="41"/>
      <c r="RT37" s="41"/>
      <c r="RU37" s="41"/>
      <c r="RV37" s="41"/>
      <c r="RW37" s="41"/>
      <c r="RX37" s="41"/>
      <c r="RY37" s="41"/>
      <c r="RZ37" s="41"/>
      <c r="SA37" s="41"/>
      <c r="SB37" s="41"/>
      <c r="SC37" s="41"/>
      <c r="SD37" s="41"/>
      <c r="SE37" s="41"/>
      <c r="SF37" s="41"/>
      <c r="SG37" s="41"/>
      <c r="SH37" s="41"/>
      <c r="SI37" s="41"/>
      <c r="SJ37" s="41"/>
      <c r="SK37" s="41"/>
      <c r="SL37" s="41"/>
      <c r="SM37" s="41"/>
      <c r="SN37" s="41"/>
      <c r="SO37" s="41"/>
      <c r="SP37" s="41"/>
      <c r="SQ37" s="41"/>
      <c r="SR37" s="41"/>
      <c r="SS37" s="41"/>
      <c r="ST37" s="41"/>
      <c r="SU37" s="41"/>
      <c r="SV37" s="41"/>
      <c r="SW37" s="41"/>
      <c r="SX37" s="41"/>
      <c r="SY37" s="41"/>
      <c r="SZ37" s="41"/>
      <c r="TA37" s="41"/>
      <c r="TB37" s="41"/>
      <c r="TC37" s="41"/>
      <c r="TD37" s="41"/>
      <c r="TE37" s="41"/>
      <c r="TF37" s="41"/>
      <c r="TG37" s="41"/>
      <c r="TH37" s="41"/>
      <c r="TI37" s="41"/>
      <c r="TJ37" s="41"/>
      <c r="TK37" s="41"/>
      <c r="TL37" s="41"/>
      <c r="TM37" s="41"/>
      <c r="TN37" s="41"/>
      <c r="TO37" s="41"/>
      <c r="TP37" s="41"/>
      <c r="TQ37" s="41"/>
      <c r="TR37" s="41"/>
      <c r="TS37" s="41"/>
      <c r="TT37" s="41"/>
      <c r="TU37" s="41"/>
      <c r="TV37" s="41"/>
      <c r="TW37" s="41"/>
      <c r="TX37" s="41"/>
      <c r="TY37" s="41"/>
      <c r="TZ37" s="41"/>
      <c r="UA37" s="41"/>
      <c r="UB37" s="41"/>
      <c r="UC37" s="41"/>
      <c r="UD37" s="41"/>
      <c r="UE37" s="41"/>
      <c r="UF37" s="41"/>
      <c r="UG37" s="41"/>
      <c r="UH37" s="41"/>
      <c r="UI37" s="41"/>
      <c r="UJ37" s="41"/>
      <c r="UK37" s="41"/>
      <c r="UL37" s="41"/>
      <c r="UM37" s="41"/>
      <c r="UN37" s="41"/>
      <c r="UO37" s="41"/>
      <c r="UP37" s="41"/>
      <c r="UQ37" s="41"/>
      <c r="UR37" s="41"/>
      <c r="US37" s="41"/>
      <c r="UT37" s="41"/>
      <c r="UU37" s="41"/>
      <c r="UV37" s="41"/>
      <c r="UW37" s="41"/>
      <c r="UX37" s="41"/>
      <c r="UY37" s="41"/>
      <c r="UZ37" s="41"/>
      <c r="VA37" s="41"/>
      <c r="VB37" s="41"/>
      <c r="VC37" s="41"/>
      <c r="VD37" s="41"/>
      <c r="VE37" s="41"/>
      <c r="VF37" s="41"/>
      <c r="VG37" s="41"/>
      <c r="VH37" s="41"/>
      <c r="VI37" s="41"/>
      <c r="VJ37" s="41"/>
      <c r="VK37" s="41"/>
      <c r="VL37" s="41"/>
      <c r="VM37" s="41"/>
      <c r="VN37" s="41"/>
      <c r="VO37" s="41"/>
      <c r="VP37" s="41"/>
      <c r="VQ37" s="41"/>
      <c r="VR37" s="41"/>
      <c r="VS37" s="41"/>
      <c r="VT37" s="41"/>
      <c r="VU37" s="41"/>
      <c r="VV37" s="41"/>
      <c r="VW37" s="41"/>
      <c r="VX37" s="41"/>
      <c r="VY37" s="41"/>
      <c r="VZ37" s="41"/>
      <c r="WA37" s="41"/>
      <c r="WB37" s="41"/>
      <c r="WC37" s="41"/>
      <c r="WD37" s="41"/>
      <c r="WE37" s="41"/>
      <c r="WF37" s="41"/>
      <c r="WG37" s="41"/>
      <c r="WH37" s="41"/>
      <c r="WI37" s="41"/>
      <c r="WJ37" s="41"/>
      <c r="WK37" s="41"/>
      <c r="WL37" s="41"/>
      <c r="WM37" s="41"/>
      <c r="WN37" s="41"/>
      <c r="WO37" s="41"/>
      <c r="WP37" s="41"/>
      <c r="WQ37" s="41"/>
      <c r="WR37" s="41"/>
      <c r="WS37" s="41"/>
      <c r="WT37" s="41"/>
      <c r="WU37" s="41"/>
      <c r="WV37" s="41"/>
      <c r="WW37" s="41"/>
      <c r="WX37" s="41"/>
      <c r="WY37" s="41"/>
      <c r="WZ37" s="41"/>
      <c r="XA37" s="41"/>
      <c r="XB37" s="41"/>
      <c r="XC37" s="41"/>
      <c r="XD37" s="41"/>
      <c r="XE37" s="41"/>
      <c r="XF37" s="41"/>
      <c r="XG37" s="41"/>
      <c r="XH37" s="41"/>
      <c r="XI37" s="41"/>
      <c r="XJ37" s="41"/>
      <c r="XK37" s="41"/>
      <c r="XL37" s="41"/>
      <c r="XM37" s="41"/>
      <c r="XN37" s="41"/>
      <c r="XO37" s="41"/>
      <c r="XP37" s="41"/>
      <c r="XQ37" s="41"/>
      <c r="XR37" s="41"/>
      <c r="XS37" s="41"/>
      <c r="XT37" s="41"/>
      <c r="XU37" s="41"/>
      <c r="XV37" s="41"/>
      <c r="XW37" s="41"/>
      <c r="XX37" s="41"/>
      <c r="XY37" s="41"/>
      <c r="XZ37" s="41"/>
      <c r="YA37" s="41"/>
      <c r="YB37" s="41"/>
      <c r="YC37" s="41"/>
      <c r="YD37" s="41"/>
      <c r="YE37" s="41"/>
      <c r="YF37" s="41"/>
      <c r="YG37" s="41"/>
      <c r="YH37" s="41"/>
      <c r="YI37" s="41"/>
      <c r="YJ37" s="41"/>
      <c r="YK37" s="41"/>
      <c r="YL37" s="41"/>
      <c r="YM37" s="41"/>
      <c r="YN37" s="41"/>
      <c r="YO37" s="41"/>
      <c r="YP37" s="41"/>
      <c r="YQ37" s="41"/>
      <c r="YR37" s="41"/>
      <c r="YS37" s="41"/>
      <c r="YT37" s="41"/>
      <c r="YU37" s="41"/>
      <c r="YV37" s="41"/>
      <c r="YW37" s="41"/>
      <c r="YX37" s="41"/>
      <c r="YY37" s="41"/>
      <c r="YZ37" s="41"/>
      <c r="ZA37" s="41"/>
      <c r="ZB37" s="41"/>
      <c r="ZC37" s="41"/>
      <c r="ZD37" s="41"/>
      <c r="ZE37" s="41"/>
      <c r="ZF37" s="41"/>
      <c r="ZG37" s="41"/>
      <c r="ZH37" s="41"/>
      <c r="ZI37" s="41"/>
      <c r="ZJ37" s="41"/>
      <c r="ZK37" s="41"/>
      <c r="ZL37" s="41"/>
      <c r="ZM37" s="41"/>
      <c r="ZN37" s="41"/>
      <c r="ZO37" s="41"/>
      <c r="ZP37" s="41"/>
      <c r="ZQ37" s="41"/>
      <c r="ZR37" s="41"/>
      <c r="ZS37" s="41"/>
      <c r="ZT37" s="41"/>
      <c r="ZU37" s="41"/>
      <c r="ZV37" s="41"/>
      <c r="ZW37" s="41"/>
      <c r="ZX37" s="41"/>
      <c r="ZY37" s="41"/>
      <c r="ZZ37" s="41"/>
      <c r="AAA37" s="41"/>
      <c r="AAB37" s="41"/>
      <c r="AAC37" s="41"/>
      <c r="AAD37" s="41"/>
      <c r="AAE37" s="41"/>
      <c r="AAF37" s="41"/>
      <c r="AAG37" s="41"/>
      <c r="AAH37" s="41"/>
      <c r="AAI37" s="41"/>
      <c r="AAJ37" s="41"/>
      <c r="AAK37" s="41"/>
      <c r="AAL37" s="41"/>
      <c r="AAM37" s="41"/>
      <c r="AAN37" s="41"/>
      <c r="AAO37" s="41"/>
      <c r="AAP37" s="41"/>
      <c r="AAQ37" s="41"/>
      <c r="AAR37" s="41"/>
      <c r="AAS37" s="41"/>
      <c r="AAT37" s="41"/>
      <c r="AAU37" s="41"/>
      <c r="AAV37" s="41"/>
      <c r="AAW37" s="41"/>
      <c r="AAX37" s="41"/>
      <c r="AAY37" s="41"/>
      <c r="AAZ37" s="41"/>
      <c r="ABA37" s="41"/>
      <c r="ABB37" s="41"/>
      <c r="ABC37" s="41"/>
      <c r="ABD37" s="41"/>
      <c r="ABE37" s="41"/>
      <c r="ABF37" s="41"/>
      <c r="ABG37" s="41"/>
      <c r="ABH37" s="41"/>
      <c r="ABI37" s="41"/>
      <c r="ABJ37" s="41"/>
      <c r="ABK37" s="41"/>
      <c r="ABL37" s="41"/>
      <c r="ABM37" s="41"/>
      <c r="ABN37" s="41"/>
      <c r="ABO37" s="41"/>
      <c r="ABP37" s="41"/>
      <c r="ABQ37" s="41"/>
      <c r="ABR37" s="41"/>
      <c r="ABS37" s="41"/>
      <c r="ABT37" s="41"/>
      <c r="ABU37" s="41"/>
      <c r="ABV37" s="41"/>
      <c r="ABW37" s="41"/>
      <c r="ABX37" s="41"/>
      <c r="ABY37" s="41"/>
      <c r="ABZ37" s="41"/>
      <c r="ACA37" s="41"/>
      <c r="ACB37" s="41"/>
      <c r="ACC37" s="41"/>
      <c r="ACD37" s="41"/>
      <c r="ACE37" s="41"/>
      <c r="ACF37" s="41"/>
      <c r="ACG37" s="41"/>
      <c r="ACH37" s="41"/>
      <c r="ACI37" s="41"/>
      <c r="ACJ37" s="41"/>
      <c r="ACK37" s="41"/>
      <c r="ACL37" s="41"/>
      <c r="ACM37" s="41"/>
      <c r="ACN37" s="41"/>
      <c r="ACO37" s="41"/>
      <c r="ACP37" s="41"/>
      <c r="ACQ37" s="41"/>
      <c r="ACR37" s="41"/>
      <c r="ACS37" s="41"/>
      <c r="ACT37" s="41"/>
      <c r="ACU37" s="41"/>
      <c r="ACV37" s="41"/>
      <c r="ACW37" s="41"/>
      <c r="ACX37" s="41"/>
      <c r="ACY37" s="41"/>
      <c r="ACZ37" s="41"/>
      <c r="ADA37" s="41"/>
      <c r="ADB37" s="41"/>
      <c r="ADC37" s="41"/>
      <c r="ADD37" s="41"/>
      <c r="ADE37" s="41"/>
      <c r="ADF37" s="41"/>
      <c r="ADG37" s="41"/>
      <c r="ADH37" s="41"/>
      <c r="ADI37" s="41"/>
      <c r="ADJ37" s="41"/>
      <c r="ADK37" s="41"/>
      <c r="ADL37" s="41"/>
      <c r="ADM37" s="41"/>
      <c r="ADN37" s="41"/>
      <c r="ADO37" s="41"/>
      <c r="ADP37" s="41"/>
      <c r="ADQ37" s="41"/>
      <c r="ADR37" s="41"/>
      <c r="ADS37" s="41"/>
      <c r="ADT37" s="41"/>
      <c r="ADU37" s="41"/>
      <c r="ADV37" s="41"/>
      <c r="ADW37" s="41"/>
      <c r="ADX37" s="41"/>
      <c r="ADY37" s="41"/>
      <c r="ADZ37" s="41"/>
      <c r="AEA37" s="41"/>
      <c r="AEB37" s="41"/>
      <c r="AEC37" s="41"/>
      <c r="AED37" s="41"/>
      <c r="AEE37" s="41"/>
      <c r="AEF37" s="41"/>
      <c r="AEG37" s="41"/>
      <c r="AEH37" s="41"/>
      <c r="AEI37" s="41"/>
      <c r="AEJ37" s="41"/>
      <c r="AEK37" s="41"/>
      <c r="AEL37" s="41"/>
      <c r="AEM37" s="41"/>
      <c r="AEN37" s="41"/>
      <c r="AEO37" s="41"/>
      <c r="AEP37" s="41"/>
      <c r="AEQ37" s="41"/>
      <c r="AER37" s="41"/>
      <c r="AES37" s="41"/>
      <c r="AET37" s="41"/>
      <c r="AEU37" s="41"/>
      <c r="AEV37" s="41"/>
      <c r="AEW37" s="41"/>
      <c r="AEX37" s="41"/>
      <c r="AEY37" s="41"/>
      <c r="AEZ37" s="41"/>
      <c r="AFA37" s="41"/>
      <c r="AFB37" s="41"/>
      <c r="AFC37" s="41"/>
      <c r="AFD37" s="41"/>
      <c r="AFE37" s="41"/>
      <c r="AFF37" s="41"/>
      <c r="AFG37" s="41"/>
      <c r="AFH37" s="41"/>
      <c r="AFI37" s="41"/>
      <c r="AFJ37" s="41"/>
      <c r="AFK37" s="41"/>
      <c r="AFL37" s="41"/>
      <c r="AFM37" s="41"/>
      <c r="AFN37" s="41"/>
      <c r="AFO37" s="41"/>
      <c r="AFP37" s="41"/>
      <c r="AFQ37" s="41"/>
      <c r="AFR37" s="41"/>
      <c r="AFS37" s="41"/>
      <c r="AFT37" s="41"/>
      <c r="AFU37" s="41"/>
      <c r="AFV37" s="41"/>
      <c r="AFW37" s="41"/>
      <c r="AFX37" s="41"/>
      <c r="AFY37" s="41"/>
      <c r="AFZ37" s="41"/>
      <c r="AGA37" s="41"/>
      <c r="AGB37" s="41"/>
      <c r="AGC37" s="41"/>
      <c r="AGD37" s="41"/>
      <c r="AGE37" s="41"/>
      <c r="AGF37" s="41"/>
      <c r="AGG37" s="41"/>
      <c r="AGH37" s="41"/>
      <c r="AGI37" s="41"/>
      <c r="AGJ37" s="41"/>
      <c r="AGK37" s="41"/>
      <c r="AGL37" s="41"/>
      <c r="AGM37" s="41"/>
      <c r="AGN37" s="41"/>
      <c r="AGO37" s="41"/>
      <c r="AGP37" s="41"/>
      <c r="AGQ37" s="41"/>
      <c r="AGR37" s="41"/>
      <c r="AGS37" s="41"/>
      <c r="AGT37" s="41"/>
      <c r="AGU37" s="41"/>
      <c r="AGV37" s="41"/>
      <c r="AGW37" s="41"/>
      <c r="AGX37" s="41"/>
      <c r="AGY37" s="41"/>
      <c r="AGZ37" s="41"/>
      <c r="AHA37" s="41"/>
      <c r="AHB37" s="41"/>
      <c r="AHC37" s="41"/>
      <c r="AHD37" s="41"/>
      <c r="AHE37" s="41"/>
      <c r="AHF37" s="41"/>
      <c r="AHG37" s="41"/>
      <c r="AHH37" s="41"/>
      <c r="AHI37" s="41"/>
      <c r="AHJ37" s="41"/>
      <c r="AHK37" s="41"/>
      <c r="AHL37" s="41"/>
      <c r="AHM37" s="41"/>
      <c r="AHN37" s="41"/>
      <c r="AHO37" s="41"/>
      <c r="AHP37" s="41"/>
      <c r="AHQ37" s="41"/>
      <c r="AHR37" s="41"/>
      <c r="AHS37" s="41"/>
      <c r="AHT37" s="41"/>
      <c r="AHU37" s="41"/>
      <c r="AHV37" s="41"/>
      <c r="AHW37" s="41"/>
      <c r="AHX37" s="41"/>
      <c r="AHY37" s="41"/>
      <c r="AHZ37" s="41"/>
      <c r="AIA37" s="41"/>
      <c r="AIB37" s="41"/>
      <c r="AIC37" s="41"/>
      <c r="AID37" s="41"/>
      <c r="AIE37" s="41"/>
      <c r="AIF37" s="41"/>
      <c r="AIG37" s="41"/>
      <c r="AIH37" s="41"/>
      <c r="AII37" s="41"/>
      <c r="AIJ37" s="41"/>
      <c r="AIK37" s="41"/>
      <c r="AIL37" s="41"/>
      <c r="AIM37" s="41"/>
      <c r="AIN37" s="41"/>
      <c r="AIO37" s="41"/>
      <c r="AIP37" s="41"/>
      <c r="AIQ37" s="41"/>
      <c r="AIR37" s="41"/>
      <c r="AIS37" s="41"/>
      <c r="AIT37" s="41"/>
      <c r="AIU37" s="41"/>
      <c r="AIV37" s="41"/>
      <c r="AIW37" s="41"/>
      <c r="AIX37" s="41"/>
      <c r="AIY37" s="41"/>
      <c r="AIZ37" s="41"/>
      <c r="AJA37" s="41"/>
      <c r="AJB37" s="41"/>
      <c r="AJC37" s="41"/>
      <c r="AJD37" s="41"/>
      <c r="AJE37" s="41"/>
      <c r="AJF37" s="41"/>
      <c r="AJG37" s="41"/>
      <c r="AJH37" s="41"/>
      <c r="AJI37" s="41"/>
      <c r="AJJ37" s="41"/>
      <c r="AJK37" s="41"/>
      <c r="AJL37" s="41"/>
      <c r="AJM37" s="41"/>
      <c r="AJN37" s="41"/>
      <c r="AJO37" s="41"/>
      <c r="AJP37" s="41"/>
      <c r="AJQ37" s="41"/>
      <c r="AJR37" s="41"/>
      <c r="AJS37" s="41"/>
      <c r="AJT37" s="41"/>
      <c r="AJU37" s="41"/>
      <c r="AJV37" s="41"/>
      <c r="AJW37" s="41"/>
      <c r="AJX37" s="41"/>
      <c r="AJY37" s="41"/>
      <c r="AJZ37" s="41"/>
      <c r="AKA37" s="41"/>
      <c r="AKB37" s="41"/>
      <c r="AKC37" s="41"/>
      <c r="AKD37" s="41"/>
      <c r="AKE37" s="41"/>
      <c r="AKF37" s="41"/>
      <c r="AKG37" s="41"/>
      <c r="AKH37" s="41"/>
      <c r="AKI37" s="41"/>
      <c r="AKJ37" s="41"/>
      <c r="AKK37" s="41"/>
      <c r="AKL37" s="41"/>
      <c r="AKM37" s="41"/>
      <c r="AKN37" s="41"/>
      <c r="AKO37" s="41"/>
      <c r="AKP37" s="41"/>
      <c r="AKQ37" s="41"/>
      <c r="AKR37" s="41"/>
      <c r="AKS37" s="41"/>
      <c r="AKT37" s="41"/>
      <c r="AKU37" s="41"/>
      <c r="AKV37" s="41"/>
      <c r="AKW37" s="41"/>
      <c r="AKX37" s="41"/>
      <c r="AKY37" s="41"/>
      <c r="AKZ37" s="41"/>
      <c r="ALA37" s="41"/>
      <c r="ALB37" s="41"/>
      <c r="ALC37" s="41"/>
      <c r="ALD37" s="41"/>
      <c r="ALE37" s="41"/>
      <c r="ALF37" s="41"/>
      <c r="ALG37" s="41"/>
      <c r="ALH37" s="41"/>
      <c r="ALI37" s="41"/>
      <c r="ALJ37" s="41"/>
      <c r="ALK37" s="41"/>
      <c r="ALL37" s="41"/>
      <c r="ALM37" s="41"/>
      <c r="ALN37" s="41"/>
      <c r="ALO37" s="41"/>
      <c r="ALP37" s="41"/>
      <c r="ALQ37" s="41"/>
      <c r="ALR37" s="41"/>
      <c r="ALS37" s="41"/>
      <c r="ALT37" s="41"/>
      <c r="ALU37" s="41"/>
      <c r="ALV37" s="41"/>
      <c r="ALW37" s="41"/>
      <c r="ALX37" s="41"/>
      <c r="ALY37" s="41"/>
      <c r="ALZ37" s="41"/>
      <c r="AMA37" s="41"/>
      <c r="AMB37" s="41"/>
      <c r="AMC37" s="41"/>
      <c r="AMD37" s="41"/>
      <c r="AME37" s="41"/>
      <c r="AMF37" s="41"/>
      <c r="AMG37" s="41"/>
      <c r="AMH37" s="41"/>
      <c r="AMI37" s="41"/>
      <c r="AMJ37" s="41"/>
      <c r="AMK37" s="41"/>
      <c r="AML37" s="41"/>
      <c r="AMM37" s="41"/>
      <c r="AMN37" s="41"/>
      <c r="AMO37" s="41"/>
      <c r="AMP37" s="41"/>
      <c r="AMQ37" s="41"/>
      <c r="AMR37" s="41"/>
      <c r="AMS37" s="41"/>
      <c r="AMT37" s="41"/>
      <c r="AMU37" s="41"/>
      <c r="AMV37" s="41"/>
      <c r="AMW37" s="41"/>
      <c r="AMX37" s="41"/>
      <c r="AMY37" s="41"/>
      <c r="AMZ37" s="41"/>
      <c r="ANA37" s="41"/>
      <c r="ANB37" s="41"/>
      <c r="ANC37" s="41"/>
      <c r="AND37" s="41"/>
      <c r="ANE37" s="41"/>
      <c r="ANF37" s="41"/>
      <c r="ANG37" s="41"/>
      <c r="ANH37" s="41"/>
      <c r="ANI37" s="41"/>
      <c r="ANJ37" s="41"/>
      <c r="ANK37" s="41"/>
    </row>
    <row r="38" s="44" customFormat="true" ht="15" hidden="false" customHeight="false" outlineLevel="0" collapsed="false">
      <c r="A38" s="42" t="s">
        <v>60</v>
      </c>
      <c r="B38" s="43" t="n">
        <v>39.663748</v>
      </c>
      <c r="C38" s="44" t="n">
        <v>105.609187</v>
      </c>
      <c r="D38" s="44" t="n">
        <v>0</v>
      </c>
      <c r="E38" s="45" t="n">
        <v>0</v>
      </c>
      <c r="F38" s="43" t="n">
        <v>0</v>
      </c>
      <c r="G38" s="44" t="n">
        <v>0</v>
      </c>
      <c r="H38" s="46" t="n">
        <v>0</v>
      </c>
      <c r="I38" s="47" t="n">
        <v>384.2</v>
      </c>
      <c r="J38" s="48" t="n">
        <v>0</v>
      </c>
      <c r="K38" s="43"/>
      <c r="M38" s="46" t="n">
        <v>0</v>
      </c>
      <c r="N38" s="53" t="n">
        <v>0</v>
      </c>
      <c r="O38" s="54" t="n">
        <v>0</v>
      </c>
      <c r="P38" s="49" t="n">
        <v>0</v>
      </c>
      <c r="Q38" s="50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0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6" t="n">
        <v>0</v>
      </c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  <c r="IW38" s="41"/>
      <c r="IX38" s="41"/>
      <c r="IY38" s="41"/>
      <c r="IZ38" s="41"/>
      <c r="JA38" s="41"/>
      <c r="JB38" s="41"/>
      <c r="JC38" s="41"/>
      <c r="JD38" s="41"/>
      <c r="JE38" s="41"/>
      <c r="JF38" s="41"/>
      <c r="JG38" s="41"/>
      <c r="JH38" s="41"/>
      <c r="JI38" s="41"/>
      <c r="JJ38" s="41"/>
      <c r="JK38" s="41"/>
      <c r="JL38" s="41"/>
      <c r="JM38" s="41"/>
      <c r="JN38" s="41"/>
      <c r="JO38" s="41"/>
      <c r="JP38" s="41"/>
      <c r="JQ38" s="41"/>
      <c r="JR38" s="41"/>
      <c r="JS38" s="41"/>
      <c r="JT38" s="41"/>
      <c r="JU38" s="41"/>
      <c r="JV38" s="41"/>
      <c r="JW38" s="41"/>
      <c r="JX38" s="41"/>
      <c r="JY38" s="41"/>
      <c r="JZ38" s="41"/>
      <c r="KA38" s="41"/>
      <c r="KB38" s="41"/>
      <c r="KC38" s="41"/>
      <c r="KD38" s="41"/>
      <c r="KE38" s="41"/>
      <c r="KF38" s="41"/>
      <c r="KG38" s="41"/>
      <c r="KH38" s="41"/>
      <c r="KI38" s="41"/>
      <c r="KJ38" s="41"/>
      <c r="KK38" s="41"/>
      <c r="KL38" s="41"/>
      <c r="KM38" s="41"/>
      <c r="KN38" s="41"/>
      <c r="KO38" s="41"/>
      <c r="KP38" s="41"/>
      <c r="KQ38" s="41"/>
      <c r="KR38" s="41"/>
      <c r="KS38" s="41"/>
      <c r="KT38" s="41"/>
      <c r="KU38" s="41"/>
      <c r="KV38" s="41"/>
      <c r="KW38" s="41"/>
      <c r="KX38" s="41"/>
      <c r="KY38" s="41"/>
      <c r="KZ38" s="41"/>
      <c r="LA38" s="41"/>
      <c r="LB38" s="41"/>
      <c r="LC38" s="41"/>
      <c r="LD38" s="41"/>
      <c r="LE38" s="41"/>
      <c r="LF38" s="41"/>
      <c r="LG38" s="41"/>
      <c r="LH38" s="41"/>
      <c r="LI38" s="41"/>
      <c r="LJ38" s="41"/>
      <c r="LK38" s="41"/>
      <c r="LL38" s="41"/>
      <c r="LM38" s="41"/>
      <c r="LN38" s="41"/>
      <c r="LO38" s="41"/>
      <c r="LP38" s="41"/>
      <c r="LQ38" s="41"/>
      <c r="LR38" s="41"/>
      <c r="LS38" s="41"/>
      <c r="LT38" s="41"/>
      <c r="LU38" s="41"/>
      <c r="LV38" s="41"/>
      <c r="LW38" s="41"/>
      <c r="LX38" s="41"/>
      <c r="LY38" s="41"/>
      <c r="LZ38" s="41"/>
      <c r="MA38" s="41"/>
      <c r="MB38" s="41"/>
      <c r="MC38" s="41"/>
      <c r="MD38" s="41"/>
      <c r="ME38" s="41"/>
      <c r="MF38" s="41"/>
      <c r="MG38" s="41"/>
      <c r="MH38" s="41"/>
      <c r="MI38" s="41"/>
      <c r="MJ38" s="41"/>
      <c r="MK38" s="41"/>
      <c r="ML38" s="41"/>
      <c r="MM38" s="41"/>
      <c r="MN38" s="41"/>
      <c r="MO38" s="41"/>
      <c r="MP38" s="41"/>
      <c r="MQ38" s="41"/>
      <c r="MR38" s="41"/>
      <c r="MS38" s="41"/>
      <c r="MT38" s="41"/>
      <c r="MU38" s="41"/>
      <c r="MV38" s="41"/>
      <c r="MW38" s="41"/>
      <c r="MX38" s="41"/>
      <c r="MY38" s="41"/>
      <c r="MZ38" s="41"/>
      <c r="NA38" s="41"/>
      <c r="NB38" s="41"/>
      <c r="NC38" s="41"/>
      <c r="ND38" s="41"/>
      <c r="NE38" s="41"/>
      <c r="NF38" s="41"/>
      <c r="NG38" s="41"/>
      <c r="NH38" s="41"/>
      <c r="NI38" s="41"/>
      <c r="NJ38" s="41"/>
      <c r="NK38" s="41"/>
      <c r="NL38" s="41"/>
      <c r="NM38" s="41"/>
      <c r="NN38" s="41"/>
      <c r="NO38" s="41"/>
      <c r="NP38" s="41"/>
      <c r="NQ38" s="41"/>
      <c r="NR38" s="41"/>
      <c r="NS38" s="41"/>
      <c r="NT38" s="41"/>
      <c r="NU38" s="41"/>
      <c r="NV38" s="41"/>
      <c r="NW38" s="41"/>
      <c r="NX38" s="41"/>
      <c r="NY38" s="41"/>
      <c r="NZ38" s="41"/>
      <c r="OA38" s="41"/>
      <c r="OB38" s="41"/>
      <c r="OC38" s="41"/>
      <c r="OD38" s="41"/>
      <c r="OE38" s="41"/>
      <c r="OF38" s="41"/>
      <c r="OG38" s="41"/>
      <c r="OH38" s="41"/>
      <c r="OI38" s="41"/>
      <c r="OJ38" s="41"/>
      <c r="OK38" s="41"/>
      <c r="OL38" s="41"/>
      <c r="OM38" s="41"/>
      <c r="ON38" s="41"/>
      <c r="OO38" s="41"/>
      <c r="OP38" s="41"/>
      <c r="OQ38" s="41"/>
      <c r="OR38" s="41"/>
      <c r="OS38" s="41"/>
      <c r="OT38" s="41"/>
      <c r="OU38" s="41"/>
      <c r="OV38" s="41"/>
      <c r="OW38" s="41"/>
      <c r="OX38" s="41"/>
      <c r="OY38" s="41"/>
      <c r="OZ38" s="41"/>
      <c r="PA38" s="41"/>
      <c r="PB38" s="41"/>
      <c r="PC38" s="41"/>
      <c r="PD38" s="41"/>
      <c r="PE38" s="41"/>
      <c r="PF38" s="41"/>
      <c r="PG38" s="41"/>
      <c r="PH38" s="41"/>
      <c r="PI38" s="41"/>
      <c r="PJ38" s="41"/>
      <c r="PK38" s="41"/>
      <c r="PL38" s="41"/>
      <c r="PM38" s="41"/>
      <c r="PN38" s="41"/>
      <c r="PO38" s="41"/>
      <c r="PP38" s="41"/>
      <c r="PQ38" s="41"/>
      <c r="PR38" s="41"/>
      <c r="PS38" s="41"/>
      <c r="PT38" s="41"/>
      <c r="PU38" s="41"/>
      <c r="PV38" s="41"/>
      <c r="PW38" s="41"/>
      <c r="PX38" s="41"/>
      <c r="PY38" s="41"/>
      <c r="PZ38" s="41"/>
      <c r="QA38" s="41"/>
      <c r="QB38" s="41"/>
      <c r="QC38" s="41"/>
      <c r="QD38" s="41"/>
      <c r="QE38" s="41"/>
      <c r="QF38" s="41"/>
      <c r="QG38" s="41"/>
      <c r="QH38" s="41"/>
      <c r="QI38" s="41"/>
      <c r="QJ38" s="41"/>
      <c r="QK38" s="41"/>
      <c r="QL38" s="41"/>
      <c r="QM38" s="41"/>
      <c r="QN38" s="41"/>
      <c r="QO38" s="41"/>
      <c r="QP38" s="41"/>
      <c r="QQ38" s="41"/>
      <c r="QR38" s="41"/>
      <c r="QS38" s="41"/>
      <c r="QT38" s="41"/>
      <c r="QU38" s="41"/>
      <c r="QV38" s="41"/>
      <c r="QW38" s="41"/>
      <c r="QX38" s="41"/>
      <c r="QY38" s="41"/>
      <c r="QZ38" s="41"/>
      <c r="RA38" s="41"/>
      <c r="RB38" s="41"/>
      <c r="RC38" s="41"/>
      <c r="RD38" s="41"/>
      <c r="RE38" s="41"/>
      <c r="RF38" s="41"/>
      <c r="RG38" s="41"/>
      <c r="RH38" s="41"/>
      <c r="RI38" s="41"/>
      <c r="RJ38" s="41"/>
      <c r="RK38" s="41"/>
      <c r="RL38" s="41"/>
      <c r="RM38" s="41"/>
      <c r="RN38" s="41"/>
      <c r="RO38" s="41"/>
      <c r="RP38" s="41"/>
      <c r="RQ38" s="41"/>
      <c r="RR38" s="41"/>
      <c r="RS38" s="41"/>
      <c r="RT38" s="41"/>
      <c r="RU38" s="41"/>
      <c r="RV38" s="41"/>
      <c r="RW38" s="41"/>
      <c r="RX38" s="41"/>
      <c r="RY38" s="41"/>
      <c r="RZ38" s="41"/>
      <c r="SA38" s="41"/>
      <c r="SB38" s="41"/>
      <c r="SC38" s="41"/>
      <c r="SD38" s="41"/>
      <c r="SE38" s="41"/>
      <c r="SF38" s="41"/>
      <c r="SG38" s="41"/>
      <c r="SH38" s="41"/>
      <c r="SI38" s="41"/>
      <c r="SJ38" s="41"/>
      <c r="SK38" s="41"/>
      <c r="SL38" s="41"/>
      <c r="SM38" s="41"/>
      <c r="SN38" s="41"/>
      <c r="SO38" s="41"/>
      <c r="SP38" s="41"/>
      <c r="SQ38" s="41"/>
      <c r="SR38" s="41"/>
      <c r="SS38" s="41"/>
      <c r="ST38" s="41"/>
      <c r="SU38" s="41"/>
      <c r="SV38" s="41"/>
      <c r="SW38" s="41"/>
      <c r="SX38" s="41"/>
      <c r="SY38" s="41"/>
      <c r="SZ38" s="41"/>
      <c r="TA38" s="41"/>
      <c r="TB38" s="41"/>
      <c r="TC38" s="41"/>
      <c r="TD38" s="41"/>
      <c r="TE38" s="41"/>
      <c r="TF38" s="41"/>
      <c r="TG38" s="41"/>
      <c r="TH38" s="41"/>
      <c r="TI38" s="41"/>
      <c r="TJ38" s="41"/>
      <c r="TK38" s="41"/>
      <c r="TL38" s="41"/>
      <c r="TM38" s="41"/>
      <c r="TN38" s="41"/>
      <c r="TO38" s="41"/>
      <c r="TP38" s="41"/>
      <c r="TQ38" s="41"/>
      <c r="TR38" s="41"/>
      <c r="TS38" s="41"/>
      <c r="TT38" s="41"/>
      <c r="TU38" s="41"/>
      <c r="TV38" s="41"/>
      <c r="TW38" s="41"/>
      <c r="TX38" s="41"/>
      <c r="TY38" s="41"/>
      <c r="TZ38" s="41"/>
      <c r="UA38" s="41"/>
      <c r="UB38" s="41"/>
      <c r="UC38" s="41"/>
      <c r="UD38" s="41"/>
      <c r="UE38" s="41"/>
      <c r="UF38" s="41"/>
      <c r="UG38" s="41"/>
      <c r="UH38" s="41"/>
      <c r="UI38" s="41"/>
      <c r="UJ38" s="41"/>
      <c r="UK38" s="41"/>
      <c r="UL38" s="41"/>
      <c r="UM38" s="41"/>
      <c r="UN38" s="41"/>
      <c r="UO38" s="41"/>
      <c r="UP38" s="41"/>
      <c r="UQ38" s="41"/>
      <c r="UR38" s="41"/>
      <c r="US38" s="41"/>
      <c r="UT38" s="41"/>
      <c r="UU38" s="41"/>
      <c r="UV38" s="41"/>
      <c r="UW38" s="41"/>
      <c r="UX38" s="41"/>
      <c r="UY38" s="41"/>
      <c r="UZ38" s="41"/>
      <c r="VA38" s="41"/>
      <c r="VB38" s="41"/>
      <c r="VC38" s="41"/>
      <c r="VD38" s="41"/>
      <c r="VE38" s="41"/>
      <c r="VF38" s="41"/>
      <c r="VG38" s="41"/>
      <c r="VH38" s="41"/>
      <c r="VI38" s="41"/>
      <c r="VJ38" s="41"/>
      <c r="VK38" s="41"/>
      <c r="VL38" s="41"/>
      <c r="VM38" s="41"/>
      <c r="VN38" s="41"/>
      <c r="VO38" s="41"/>
      <c r="VP38" s="41"/>
      <c r="VQ38" s="41"/>
      <c r="VR38" s="41"/>
      <c r="VS38" s="41"/>
      <c r="VT38" s="41"/>
      <c r="VU38" s="41"/>
      <c r="VV38" s="41"/>
      <c r="VW38" s="41"/>
      <c r="VX38" s="41"/>
      <c r="VY38" s="41"/>
      <c r="VZ38" s="41"/>
      <c r="WA38" s="41"/>
      <c r="WB38" s="41"/>
      <c r="WC38" s="41"/>
      <c r="WD38" s="41"/>
      <c r="WE38" s="41"/>
      <c r="WF38" s="41"/>
      <c r="WG38" s="41"/>
      <c r="WH38" s="41"/>
      <c r="WI38" s="41"/>
      <c r="WJ38" s="41"/>
      <c r="WK38" s="41"/>
      <c r="WL38" s="41"/>
      <c r="WM38" s="41"/>
      <c r="WN38" s="41"/>
      <c r="WO38" s="41"/>
      <c r="WP38" s="41"/>
      <c r="WQ38" s="41"/>
      <c r="WR38" s="41"/>
      <c r="WS38" s="41"/>
      <c r="WT38" s="41"/>
      <c r="WU38" s="41"/>
      <c r="WV38" s="41"/>
      <c r="WW38" s="41"/>
      <c r="WX38" s="41"/>
      <c r="WY38" s="41"/>
      <c r="WZ38" s="41"/>
      <c r="XA38" s="41"/>
      <c r="XB38" s="41"/>
      <c r="XC38" s="41"/>
      <c r="XD38" s="41"/>
      <c r="XE38" s="41"/>
      <c r="XF38" s="41"/>
      <c r="XG38" s="41"/>
      <c r="XH38" s="41"/>
      <c r="XI38" s="41"/>
      <c r="XJ38" s="41"/>
      <c r="XK38" s="41"/>
      <c r="XL38" s="41"/>
      <c r="XM38" s="41"/>
      <c r="XN38" s="41"/>
      <c r="XO38" s="41"/>
      <c r="XP38" s="41"/>
      <c r="XQ38" s="41"/>
      <c r="XR38" s="41"/>
      <c r="XS38" s="41"/>
      <c r="XT38" s="41"/>
      <c r="XU38" s="41"/>
      <c r="XV38" s="41"/>
      <c r="XW38" s="41"/>
      <c r="XX38" s="41"/>
      <c r="XY38" s="41"/>
      <c r="XZ38" s="41"/>
      <c r="YA38" s="41"/>
      <c r="YB38" s="41"/>
      <c r="YC38" s="41"/>
      <c r="YD38" s="41"/>
      <c r="YE38" s="41"/>
      <c r="YF38" s="41"/>
      <c r="YG38" s="41"/>
      <c r="YH38" s="41"/>
      <c r="YI38" s="41"/>
      <c r="YJ38" s="41"/>
      <c r="YK38" s="41"/>
      <c r="YL38" s="41"/>
      <c r="YM38" s="41"/>
      <c r="YN38" s="41"/>
      <c r="YO38" s="41"/>
      <c r="YP38" s="41"/>
      <c r="YQ38" s="41"/>
      <c r="YR38" s="41"/>
      <c r="YS38" s="41"/>
      <c r="YT38" s="41"/>
      <c r="YU38" s="41"/>
      <c r="YV38" s="41"/>
      <c r="YW38" s="41"/>
      <c r="YX38" s="41"/>
      <c r="YY38" s="41"/>
      <c r="YZ38" s="41"/>
      <c r="ZA38" s="41"/>
      <c r="ZB38" s="41"/>
      <c r="ZC38" s="41"/>
      <c r="ZD38" s="41"/>
      <c r="ZE38" s="41"/>
      <c r="ZF38" s="41"/>
      <c r="ZG38" s="41"/>
      <c r="ZH38" s="41"/>
      <c r="ZI38" s="41"/>
      <c r="ZJ38" s="41"/>
      <c r="ZK38" s="41"/>
      <c r="ZL38" s="41"/>
      <c r="ZM38" s="41"/>
      <c r="ZN38" s="41"/>
      <c r="ZO38" s="41"/>
      <c r="ZP38" s="41"/>
      <c r="ZQ38" s="41"/>
      <c r="ZR38" s="41"/>
      <c r="ZS38" s="41"/>
      <c r="ZT38" s="41"/>
      <c r="ZU38" s="41"/>
      <c r="ZV38" s="41"/>
      <c r="ZW38" s="41"/>
      <c r="ZX38" s="41"/>
      <c r="ZY38" s="41"/>
      <c r="ZZ38" s="41"/>
      <c r="AAA38" s="41"/>
      <c r="AAB38" s="41"/>
      <c r="AAC38" s="41"/>
      <c r="AAD38" s="41"/>
      <c r="AAE38" s="41"/>
      <c r="AAF38" s="41"/>
      <c r="AAG38" s="41"/>
      <c r="AAH38" s="41"/>
      <c r="AAI38" s="41"/>
      <c r="AAJ38" s="41"/>
      <c r="AAK38" s="41"/>
      <c r="AAL38" s="41"/>
      <c r="AAM38" s="41"/>
      <c r="AAN38" s="41"/>
      <c r="AAO38" s="41"/>
      <c r="AAP38" s="41"/>
      <c r="AAQ38" s="41"/>
      <c r="AAR38" s="41"/>
      <c r="AAS38" s="41"/>
      <c r="AAT38" s="41"/>
      <c r="AAU38" s="41"/>
      <c r="AAV38" s="41"/>
      <c r="AAW38" s="41"/>
      <c r="AAX38" s="41"/>
      <c r="AAY38" s="41"/>
      <c r="AAZ38" s="41"/>
      <c r="ABA38" s="41"/>
      <c r="ABB38" s="41"/>
      <c r="ABC38" s="41"/>
      <c r="ABD38" s="41"/>
      <c r="ABE38" s="41"/>
      <c r="ABF38" s="41"/>
      <c r="ABG38" s="41"/>
      <c r="ABH38" s="41"/>
      <c r="ABI38" s="41"/>
      <c r="ABJ38" s="41"/>
      <c r="ABK38" s="41"/>
      <c r="ABL38" s="41"/>
      <c r="ABM38" s="41"/>
      <c r="ABN38" s="41"/>
      <c r="ABO38" s="41"/>
      <c r="ABP38" s="41"/>
      <c r="ABQ38" s="41"/>
      <c r="ABR38" s="41"/>
      <c r="ABS38" s="41"/>
      <c r="ABT38" s="41"/>
      <c r="ABU38" s="41"/>
      <c r="ABV38" s="41"/>
      <c r="ABW38" s="41"/>
      <c r="ABX38" s="41"/>
      <c r="ABY38" s="41"/>
      <c r="ABZ38" s="41"/>
      <c r="ACA38" s="41"/>
      <c r="ACB38" s="41"/>
      <c r="ACC38" s="41"/>
      <c r="ACD38" s="41"/>
      <c r="ACE38" s="41"/>
      <c r="ACF38" s="41"/>
      <c r="ACG38" s="41"/>
      <c r="ACH38" s="41"/>
      <c r="ACI38" s="41"/>
      <c r="ACJ38" s="41"/>
      <c r="ACK38" s="41"/>
      <c r="ACL38" s="41"/>
      <c r="ACM38" s="41"/>
      <c r="ACN38" s="41"/>
      <c r="ACO38" s="41"/>
      <c r="ACP38" s="41"/>
      <c r="ACQ38" s="41"/>
      <c r="ACR38" s="41"/>
      <c r="ACS38" s="41"/>
      <c r="ACT38" s="41"/>
      <c r="ACU38" s="41"/>
      <c r="ACV38" s="41"/>
      <c r="ACW38" s="41"/>
      <c r="ACX38" s="41"/>
      <c r="ACY38" s="41"/>
      <c r="ACZ38" s="41"/>
      <c r="ADA38" s="41"/>
      <c r="ADB38" s="41"/>
      <c r="ADC38" s="41"/>
      <c r="ADD38" s="41"/>
      <c r="ADE38" s="41"/>
      <c r="ADF38" s="41"/>
      <c r="ADG38" s="41"/>
      <c r="ADH38" s="41"/>
      <c r="ADI38" s="41"/>
      <c r="ADJ38" s="41"/>
      <c r="ADK38" s="41"/>
      <c r="ADL38" s="41"/>
      <c r="ADM38" s="41"/>
      <c r="ADN38" s="41"/>
      <c r="ADO38" s="41"/>
      <c r="ADP38" s="41"/>
      <c r="ADQ38" s="41"/>
      <c r="ADR38" s="41"/>
      <c r="ADS38" s="41"/>
      <c r="ADT38" s="41"/>
      <c r="ADU38" s="41"/>
      <c r="ADV38" s="41"/>
      <c r="ADW38" s="41"/>
      <c r="ADX38" s="41"/>
      <c r="ADY38" s="41"/>
      <c r="ADZ38" s="41"/>
      <c r="AEA38" s="41"/>
      <c r="AEB38" s="41"/>
      <c r="AEC38" s="41"/>
      <c r="AED38" s="41"/>
      <c r="AEE38" s="41"/>
      <c r="AEF38" s="41"/>
      <c r="AEG38" s="41"/>
      <c r="AEH38" s="41"/>
      <c r="AEI38" s="41"/>
      <c r="AEJ38" s="41"/>
      <c r="AEK38" s="41"/>
      <c r="AEL38" s="41"/>
      <c r="AEM38" s="41"/>
      <c r="AEN38" s="41"/>
      <c r="AEO38" s="41"/>
      <c r="AEP38" s="41"/>
      <c r="AEQ38" s="41"/>
      <c r="AER38" s="41"/>
      <c r="AES38" s="41"/>
      <c r="AET38" s="41"/>
      <c r="AEU38" s="41"/>
      <c r="AEV38" s="41"/>
      <c r="AEW38" s="41"/>
      <c r="AEX38" s="41"/>
      <c r="AEY38" s="41"/>
      <c r="AEZ38" s="41"/>
      <c r="AFA38" s="41"/>
      <c r="AFB38" s="41"/>
      <c r="AFC38" s="41"/>
      <c r="AFD38" s="41"/>
      <c r="AFE38" s="41"/>
      <c r="AFF38" s="41"/>
      <c r="AFG38" s="41"/>
      <c r="AFH38" s="41"/>
      <c r="AFI38" s="41"/>
      <c r="AFJ38" s="41"/>
      <c r="AFK38" s="41"/>
      <c r="AFL38" s="41"/>
      <c r="AFM38" s="41"/>
      <c r="AFN38" s="41"/>
      <c r="AFO38" s="41"/>
      <c r="AFP38" s="41"/>
      <c r="AFQ38" s="41"/>
      <c r="AFR38" s="41"/>
      <c r="AFS38" s="41"/>
      <c r="AFT38" s="41"/>
      <c r="AFU38" s="41"/>
      <c r="AFV38" s="41"/>
      <c r="AFW38" s="41"/>
      <c r="AFX38" s="41"/>
      <c r="AFY38" s="41"/>
      <c r="AFZ38" s="41"/>
      <c r="AGA38" s="41"/>
      <c r="AGB38" s="41"/>
      <c r="AGC38" s="41"/>
      <c r="AGD38" s="41"/>
      <c r="AGE38" s="41"/>
      <c r="AGF38" s="41"/>
      <c r="AGG38" s="41"/>
      <c r="AGH38" s="41"/>
      <c r="AGI38" s="41"/>
      <c r="AGJ38" s="41"/>
      <c r="AGK38" s="41"/>
      <c r="AGL38" s="41"/>
      <c r="AGM38" s="41"/>
      <c r="AGN38" s="41"/>
      <c r="AGO38" s="41"/>
      <c r="AGP38" s="41"/>
      <c r="AGQ38" s="41"/>
      <c r="AGR38" s="41"/>
      <c r="AGS38" s="41"/>
      <c r="AGT38" s="41"/>
      <c r="AGU38" s="41"/>
      <c r="AGV38" s="41"/>
      <c r="AGW38" s="41"/>
      <c r="AGX38" s="41"/>
      <c r="AGY38" s="41"/>
      <c r="AGZ38" s="41"/>
      <c r="AHA38" s="41"/>
      <c r="AHB38" s="41"/>
      <c r="AHC38" s="41"/>
      <c r="AHD38" s="41"/>
      <c r="AHE38" s="41"/>
      <c r="AHF38" s="41"/>
      <c r="AHG38" s="41"/>
      <c r="AHH38" s="41"/>
      <c r="AHI38" s="41"/>
      <c r="AHJ38" s="41"/>
      <c r="AHK38" s="41"/>
      <c r="AHL38" s="41"/>
      <c r="AHM38" s="41"/>
      <c r="AHN38" s="41"/>
      <c r="AHO38" s="41"/>
      <c r="AHP38" s="41"/>
      <c r="AHQ38" s="41"/>
      <c r="AHR38" s="41"/>
      <c r="AHS38" s="41"/>
      <c r="AHT38" s="41"/>
      <c r="AHU38" s="41"/>
      <c r="AHV38" s="41"/>
      <c r="AHW38" s="41"/>
      <c r="AHX38" s="41"/>
      <c r="AHY38" s="41"/>
      <c r="AHZ38" s="41"/>
      <c r="AIA38" s="41"/>
      <c r="AIB38" s="41"/>
      <c r="AIC38" s="41"/>
      <c r="AID38" s="41"/>
      <c r="AIE38" s="41"/>
      <c r="AIF38" s="41"/>
      <c r="AIG38" s="41"/>
      <c r="AIH38" s="41"/>
      <c r="AII38" s="41"/>
      <c r="AIJ38" s="41"/>
      <c r="AIK38" s="41"/>
      <c r="AIL38" s="41"/>
      <c r="AIM38" s="41"/>
      <c r="AIN38" s="41"/>
      <c r="AIO38" s="41"/>
      <c r="AIP38" s="41"/>
      <c r="AIQ38" s="41"/>
      <c r="AIR38" s="41"/>
      <c r="AIS38" s="41"/>
      <c r="AIT38" s="41"/>
      <c r="AIU38" s="41"/>
      <c r="AIV38" s="41"/>
      <c r="AIW38" s="41"/>
      <c r="AIX38" s="41"/>
      <c r="AIY38" s="41"/>
      <c r="AIZ38" s="41"/>
      <c r="AJA38" s="41"/>
      <c r="AJB38" s="41"/>
      <c r="AJC38" s="41"/>
      <c r="AJD38" s="41"/>
      <c r="AJE38" s="41"/>
      <c r="AJF38" s="41"/>
      <c r="AJG38" s="41"/>
      <c r="AJH38" s="41"/>
      <c r="AJI38" s="41"/>
      <c r="AJJ38" s="41"/>
      <c r="AJK38" s="41"/>
      <c r="AJL38" s="41"/>
      <c r="AJM38" s="41"/>
      <c r="AJN38" s="41"/>
      <c r="AJO38" s="41"/>
      <c r="AJP38" s="41"/>
      <c r="AJQ38" s="41"/>
      <c r="AJR38" s="41"/>
      <c r="AJS38" s="41"/>
      <c r="AJT38" s="41"/>
      <c r="AJU38" s="41"/>
      <c r="AJV38" s="41"/>
      <c r="AJW38" s="41"/>
      <c r="AJX38" s="41"/>
      <c r="AJY38" s="41"/>
      <c r="AJZ38" s="41"/>
      <c r="AKA38" s="41"/>
      <c r="AKB38" s="41"/>
      <c r="AKC38" s="41"/>
      <c r="AKD38" s="41"/>
      <c r="AKE38" s="41"/>
      <c r="AKF38" s="41"/>
      <c r="AKG38" s="41"/>
      <c r="AKH38" s="41"/>
      <c r="AKI38" s="41"/>
      <c r="AKJ38" s="41"/>
      <c r="AKK38" s="41"/>
      <c r="AKL38" s="41"/>
      <c r="AKM38" s="41"/>
      <c r="AKN38" s="41"/>
      <c r="AKO38" s="41"/>
      <c r="AKP38" s="41"/>
      <c r="AKQ38" s="41"/>
      <c r="AKR38" s="41"/>
      <c r="AKS38" s="41"/>
      <c r="AKT38" s="41"/>
      <c r="AKU38" s="41"/>
      <c r="AKV38" s="41"/>
      <c r="AKW38" s="41"/>
      <c r="AKX38" s="41"/>
      <c r="AKY38" s="41"/>
      <c r="AKZ38" s="41"/>
      <c r="ALA38" s="41"/>
      <c r="ALB38" s="41"/>
      <c r="ALC38" s="41"/>
      <c r="ALD38" s="41"/>
      <c r="ALE38" s="41"/>
      <c r="ALF38" s="41"/>
      <c r="ALG38" s="41"/>
      <c r="ALH38" s="41"/>
      <c r="ALI38" s="41"/>
      <c r="ALJ38" s="41"/>
      <c r="ALK38" s="41"/>
      <c r="ALL38" s="41"/>
      <c r="ALM38" s="41"/>
      <c r="ALN38" s="41"/>
      <c r="ALO38" s="41"/>
      <c r="ALP38" s="41"/>
      <c r="ALQ38" s="41"/>
      <c r="ALR38" s="41"/>
      <c r="ALS38" s="41"/>
      <c r="ALT38" s="41"/>
      <c r="ALU38" s="41"/>
      <c r="ALV38" s="41"/>
      <c r="ALW38" s="41"/>
      <c r="ALX38" s="41"/>
      <c r="ALY38" s="41"/>
      <c r="ALZ38" s="41"/>
      <c r="AMA38" s="41"/>
      <c r="AMB38" s="41"/>
      <c r="AMC38" s="41"/>
      <c r="AMD38" s="41"/>
      <c r="AME38" s="41"/>
      <c r="AMF38" s="41"/>
      <c r="AMG38" s="41"/>
      <c r="AMH38" s="41"/>
      <c r="AMI38" s="41"/>
      <c r="AMJ38" s="41"/>
      <c r="AMK38" s="41"/>
      <c r="AML38" s="41"/>
      <c r="AMM38" s="41"/>
      <c r="AMN38" s="41"/>
      <c r="AMO38" s="41"/>
      <c r="AMP38" s="41"/>
      <c r="AMQ38" s="41"/>
      <c r="AMR38" s="41"/>
      <c r="AMS38" s="41"/>
      <c r="AMT38" s="41"/>
      <c r="AMU38" s="41"/>
      <c r="AMV38" s="41"/>
      <c r="AMW38" s="41"/>
      <c r="AMX38" s="41"/>
      <c r="AMY38" s="41"/>
      <c r="AMZ38" s="41"/>
      <c r="ANA38" s="41"/>
      <c r="ANB38" s="41"/>
      <c r="ANC38" s="41"/>
      <c r="AND38" s="41"/>
      <c r="ANE38" s="41"/>
      <c r="ANF38" s="41"/>
      <c r="ANG38" s="41"/>
      <c r="ANH38" s="41"/>
      <c r="ANI38" s="41"/>
      <c r="ANJ38" s="41"/>
      <c r="ANK38" s="41"/>
    </row>
    <row r="39" s="44" customFormat="true" ht="15" hidden="false" customHeight="false" outlineLevel="0" collapsed="false">
      <c r="A39" s="42" t="s">
        <v>61</v>
      </c>
      <c r="B39" s="43" t="n">
        <v>2521.298507</v>
      </c>
      <c r="C39" s="44" t="n">
        <v>3747.262129</v>
      </c>
      <c r="D39" s="44" t="n">
        <v>68.3230035</v>
      </c>
      <c r="E39" s="45" t="n">
        <v>940</v>
      </c>
      <c r="F39" s="43" t="n">
        <v>0</v>
      </c>
      <c r="G39" s="44" t="n">
        <v>0</v>
      </c>
      <c r="H39" s="46" t="n">
        <v>0</v>
      </c>
      <c r="I39" s="47" t="n">
        <v>164</v>
      </c>
      <c r="J39" s="48" t="n">
        <v>0</v>
      </c>
      <c r="K39" s="43" t="n">
        <v>0.57</v>
      </c>
      <c r="L39" s="44" t="n">
        <v>0.63</v>
      </c>
      <c r="M39" s="46" t="n">
        <f aca="false">(K39+L39)/2</f>
        <v>0.6</v>
      </c>
      <c r="N39" s="43" t="n">
        <v>81</v>
      </c>
      <c r="O39" s="46" t="n">
        <v>130</v>
      </c>
      <c r="P39" s="49" t="n">
        <v>40510.9580421735</v>
      </c>
      <c r="Q39" s="50" t="n">
        <v>-772331.361377606</v>
      </c>
      <c r="R39" s="44" t="n">
        <v>906000</v>
      </c>
      <c r="S39" s="44" t="n">
        <v>1039680</v>
      </c>
      <c r="T39" s="44" t="n">
        <v>1079770</v>
      </c>
      <c r="U39" s="44" t="n">
        <v>1119700</v>
      </c>
      <c r="V39" s="44" t="n">
        <v>1139590</v>
      </c>
      <c r="W39" s="44" t="n">
        <v>1119400</v>
      </c>
      <c r="X39" s="44" t="n">
        <v>1249270</v>
      </c>
      <c r="Y39" s="44" t="n">
        <v>1329150</v>
      </c>
      <c r="Z39" s="44" t="n">
        <v>1338990</v>
      </c>
      <c r="AA39" s="44" t="n">
        <v>1398710</v>
      </c>
      <c r="AB39" s="44" t="n">
        <v>1398340</v>
      </c>
      <c r="AC39" s="44" t="n">
        <v>1487810</v>
      </c>
      <c r="AD39" s="44" t="n">
        <v>1576940</v>
      </c>
      <c r="AE39" s="44" t="n">
        <v>1655660</v>
      </c>
      <c r="AF39" s="44" t="n">
        <v>1564350</v>
      </c>
      <c r="AG39" s="44" t="n">
        <v>1391710</v>
      </c>
      <c r="AH39" s="44" t="n">
        <v>1578370</v>
      </c>
      <c r="AI39" s="44" t="n">
        <v>1927720</v>
      </c>
      <c r="AJ39" s="44" t="n">
        <v>2206300</v>
      </c>
      <c r="AK39" s="44" t="n">
        <v>2614500</v>
      </c>
      <c r="AL39" s="44" t="n">
        <v>2427300</v>
      </c>
      <c r="AM39" s="44" t="n">
        <v>2249800</v>
      </c>
      <c r="AN39" s="46" t="n">
        <v>2208450</v>
      </c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41"/>
      <c r="JB39" s="41"/>
      <c r="JC39" s="41"/>
      <c r="JD39" s="41"/>
      <c r="JE39" s="41"/>
      <c r="JF39" s="41"/>
      <c r="JG39" s="41"/>
      <c r="JH39" s="41"/>
      <c r="JI39" s="41"/>
      <c r="JJ39" s="41"/>
      <c r="JK39" s="41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41"/>
      <c r="KZ39" s="41"/>
      <c r="LA39" s="41"/>
      <c r="LB39" s="41"/>
      <c r="LC39" s="41"/>
      <c r="LD39" s="41"/>
      <c r="LE39" s="41"/>
      <c r="LF39" s="41"/>
      <c r="LG39" s="41"/>
      <c r="LH39" s="41"/>
      <c r="LI39" s="41"/>
      <c r="LJ39" s="41"/>
      <c r="LK39" s="41"/>
      <c r="LL39" s="41"/>
      <c r="LM39" s="41"/>
      <c r="LN39" s="41"/>
      <c r="LO39" s="41"/>
      <c r="LP39" s="41"/>
      <c r="LQ39" s="41"/>
      <c r="LR39" s="41"/>
      <c r="LS39" s="41"/>
      <c r="LT39" s="41"/>
      <c r="LU39" s="41"/>
      <c r="LV39" s="41"/>
      <c r="LW39" s="41"/>
      <c r="LX39" s="41"/>
      <c r="LY39" s="41"/>
      <c r="LZ39" s="41"/>
      <c r="MA39" s="41"/>
      <c r="MB39" s="41"/>
      <c r="MC39" s="41"/>
      <c r="MD39" s="41"/>
      <c r="ME39" s="41"/>
      <c r="MF39" s="41"/>
      <c r="MG39" s="41"/>
      <c r="MH39" s="41"/>
      <c r="MI39" s="41"/>
      <c r="MJ39" s="41"/>
      <c r="MK39" s="41"/>
      <c r="ML39" s="41"/>
      <c r="MM39" s="41"/>
      <c r="MN39" s="41"/>
      <c r="MO39" s="41"/>
      <c r="MP39" s="41"/>
      <c r="MQ39" s="41"/>
      <c r="MR39" s="41"/>
      <c r="MS39" s="41"/>
      <c r="MT39" s="41"/>
      <c r="MU39" s="41"/>
      <c r="MV39" s="41"/>
      <c r="MW39" s="41"/>
      <c r="MX39" s="41"/>
      <c r="MY39" s="41"/>
      <c r="MZ39" s="41"/>
      <c r="NA39" s="41"/>
      <c r="NB39" s="41"/>
      <c r="NC39" s="41"/>
      <c r="ND39" s="41"/>
      <c r="NE39" s="41"/>
      <c r="NF39" s="41"/>
      <c r="NG39" s="41"/>
      <c r="NH39" s="41"/>
      <c r="NI39" s="41"/>
      <c r="NJ39" s="41"/>
      <c r="NK39" s="41"/>
      <c r="NL39" s="41"/>
      <c r="NM39" s="41"/>
      <c r="NN39" s="41"/>
      <c r="NO39" s="41"/>
      <c r="NP39" s="41"/>
      <c r="NQ39" s="41"/>
      <c r="NR39" s="41"/>
      <c r="NS39" s="41"/>
      <c r="NT39" s="41"/>
      <c r="NU39" s="41"/>
      <c r="NV39" s="41"/>
      <c r="NW39" s="41"/>
      <c r="NX39" s="41"/>
      <c r="NY39" s="41"/>
      <c r="NZ39" s="41"/>
      <c r="OA39" s="41"/>
      <c r="OB39" s="41"/>
      <c r="OC39" s="41"/>
      <c r="OD39" s="41"/>
      <c r="OE39" s="41"/>
      <c r="OF39" s="41"/>
      <c r="OG39" s="41"/>
      <c r="OH39" s="41"/>
      <c r="OI39" s="41"/>
      <c r="OJ39" s="41"/>
      <c r="OK39" s="41"/>
      <c r="OL39" s="41"/>
      <c r="OM39" s="41"/>
      <c r="ON39" s="41"/>
      <c r="OO39" s="41"/>
      <c r="OP39" s="41"/>
      <c r="OQ39" s="41"/>
      <c r="OR39" s="41"/>
      <c r="OS39" s="41"/>
      <c r="OT39" s="41"/>
      <c r="OU39" s="41"/>
      <c r="OV39" s="41"/>
      <c r="OW39" s="41"/>
      <c r="OX39" s="41"/>
      <c r="OY39" s="41"/>
      <c r="OZ39" s="41"/>
      <c r="PA39" s="41"/>
      <c r="PB39" s="41"/>
      <c r="PC39" s="41"/>
      <c r="PD39" s="41"/>
      <c r="PE39" s="41"/>
      <c r="PF39" s="41"/>
      <c r="PG39" s="41"/>
      <c r="PH39" s="41"/>
      <c r="PI39" s="41"/>
      <c r="PJ39" s="41"/>
      <c r="PK39" s="41"/>
      <c r="PL39" s="41"/>
      <c r="PM39" s="41"/>
      <c r="PN39" s="41"/>
      <c r="PO39" s="41"/>
      <c r="PP39" s="41"/>
      <c r="PQ39" s="41"/>
      <c r="PR39" s="41"/>
      <c r="PS39" s="41"/>
      <c r="PT39" s="41"/>
      <c r="PU39" s="41"/>
      <c r="PV39" s="41"/>
      <c r="PW39" s="41"/>
      <c r="PX39" s="41"/>
      <c r="PY39" s="41"/>
      <c r="PZ39" s="41"/>
      <c r="QA39" s="41"/>
      <c r="QB39" s="41"/>
      <c r="QC39" s="41"/>
      <c r="QD39" s="41"/>
      <c r="QE39" s="41"/>
      <c r="QF39" s="41"/>
      <c r="QG39" s="41"/>
      <c r="QH39" s="41"/>
      <c r="QI39" s="41"/>
      <c r="QJ39" s="41"/>
      <c r="QK39" s="41"/>
      <c r="QL39" s="41"/>
      <c r="QM39" s="41"/>
      <c r="QN39" s="41"/>
      <c r="QO39" s="41"/>
      <c r="QP39" s="41"/>
      <c r="QQ39" s="41"/>
      <c r="QR39" s="41"/>
      <c r="QS39" s="41"/>
      <c r="QT39" s="41"/>
      <c r="QU39" s="41"/>
      <c r="QV39" s="41"/>
      <c r="QW39" s="41"/>
      <c r="QX39" s="41"/>
      <c r="QY39" s="41"/>
      <c r="QZ39" s="41"/>
      <c r="RA39" s="41"/>
      <c r="RB39" s="41"/>
      <c r="RC39" s="41"/>
      <c r="RD39" s="41"/>
      <c r="RE39" s="41"/>
      <c r="RF39" s="41"/>
      <c r="RG39" s="41"/>
      <c r="RH39" s="41"/>
      <c r="RI39" s="41"/>
      <c r="RJ39" s="41"/>
      <c r="RK39" s="41"/>
      <c r="RL39" s="41"/>
      <c r="RM39" s="41"/>
      <c r="RN39" s="41"/>
      <c r="RO39" s="41"/>
      <c r="RP39" s="41"/>
      <c r="RQ39" s="41"/>
      <c r="RR39" s="41"/>
      <c r="RS39" s="41"/>
      <c r="RT39" s="41"/>
      <c r="RU39" s="41"/>
      <c r="RV39" s="41"/>
      <c r="RW39" s="41"/>
      <c r="RX39" s="41"/>
      <c r="RY39" s="41"/>
      <c r="RZ39" s="41"/>
      <c r="SA39" s="41"/>
      <c r="SB39" s="41"/>
      <c r="SC39" s="41"/>
      <c r="SD39" s="41"/>
      <c r="SE39" s="41"/>
      <c r="SF39" s="41"/>
      <c r="SG39" s="41"/>
      <c r="SH39" s="41"/>
      <c r="SI39" s="41"/>
      <c r="SJ39" s="41"/>
      <c r="SK39" s="41"/>
      <c r="SL39" s="41"/>
      <c r="SM39" s="41"/>
      <c r="SN39" s="41"/>
      <c r="SO39" s="41"/>
      <c r="SP39" s="41"/>
      <c r="SQ39" s="41"/>
      <c r="SR39" s="41"/>
      <c r="SS39" s="41"/>
      <c r="ST39" s="41"/>
      <c r="SU39" s="41"/>
      <c r="SV39" s="41"/>
      <c r="SW39" s="41"/>
      <c r="SX39" s="41"/>
      <c r="SY39" s="41"/>
      <c r="SZ39" s="41"/>
      <c r="TA39" s="41"/>
      <c r="TB39" s="41"/>
      <c r="TC39" s="41"/>
      <c r="TD39" s="41"/>
      <c r="TE39" s="41"/>
      <c r="TF39" s="41"/>
      <c r="TG39" s="41"/>
      <c r="TH39" s="41"/>
      <c r="TI39" s="41"/>
      <c r="TJ39" s="41"/>
      <c r="TK39" s="41"/>
      <c r="TL39" s="41"/>
      <c r="TM39" s="41"/>
      <c r="TN39" s="41"/>
      <c r="TO39" s="41"/>
      <c r="TP39" s="41"/>
      <c r="TQ39" s="41"/>
      <c r="TR39" s="41"/>
      <c r="TS39" s="41"/>
      <c r="TT39" s="41"/>
      <c r="TU39" s="41"/>
      <c r="TV39" s="41"/>
      <c r="TW39" s="41"/>
      <c r="TX39" s="41"/>
      <c r="TY39" s="41"/>
      <c r="TZ39" s="41"/>
      <c r="UA39" s="41"/>
      <c r="UB39" s="41"/>
      <c r="UC39" s="41"/>
      <c r="UD39" s="41"/>
      <c r="UE39" s="41"/>
      <c r="UF39" s="41"/>
      <c r="UG39" s="41"/>
      <c r="UH39" s="41"/>
      <c r="UI39" s="41"/>
      <c r="UJ39" s="41"/>
      <c r="UK39" s="41"/>
      <c r="UL39" s="41"/>
      <c r="UM39" s="41"/>
      <c r="UN39" s="41"/>
      <c r="UO39" s="41"/>
      <c r="UP39" s="41"/>
      <c r="UQ39" s="41"/>
      <c r="UR39" s="41"/>
      <c r="US39" s="41"/>
      <c r="UT39" s="41"/>
      <c r="UU39" s="41"/>
      <c r="UV39" s="41"/>
      <c r="UW39" s="41"/>
      <c r="UX39" s="41"/>
      <c r="UY39" s="41"/>
      <c r="UZ39" s="41"/>
      <c r="VA39" s="41"/>
      <c r="VB39" s="41"/>
      <c r="VC39" s="41"/>
      <c r="VD39" s="41"/>
      <c r="VE39" s="41"/>
      <c r="VF39" s="41"/>
      <c r="VG39" s="41"/>
      <c r="VH39" s="41"/>
      <c r="VI39" s="41"/>
      <c r="VJ39" s="41"/>
      <c r="VK39" s="41"/>
      <c r="VL39" s="41"/>
      <c r="VM39" s="41"/>
      <c r="VN39" s="41"/>
      <c r="VO39" s="41"/>
      <c r="VP39" s="41"/>
      <c r="VQ39" s="41"/>
      <c r="VR39" s="41"/>
      <c r="VS39" s="41"/>
      <c r="VT39" s="41"/>
      <c r="VU39" s="41"/>
      <c r="VV39" s="41"/>
      <c r="VW39" s="41"/>
      <c r="VX39" s="41"/>
      <c r="VY39" s="41"/>
      <c r="VZ39" s="41"/>
      <c r="WA39" s="41"/>
      <c r="WB39" s="41"/>
      <c r="WC39" s="41"/>
      <c r="WD39" s="41"/>
      <c r="WE39" s="41"/>
      <c r="WF39" s="41"/>
      <c r="WG39" s="41"/>
      <c r="WH39" s="41"/>
      <c r="WI39" s="41"/>
      <c r="WJ39" s="41"/>
      <c r="WK39" s="41"/>
      <c r="WL39" s="41"/>
      <c r="WM39" s="41"/>
      <c r="WN39" s="41"/>
      <c r="WO39" s="41"/>
      <c r="WP39" s="41"/>
      <c r="WQ39" s="41"/>
      <c r="WR39" s="41"/>
      <c r="WS39" s="41"/>
      <c r="WT39" s="41"/>
      <c r="WU39" s="41"/>
      <c r="WV39" s="41"/>
      <c r="WW39" s="41"/>
      <c r="WX39" s="41"/>
      <c r="WY39" s="41"/>
      <c r="WZ39" s="41"/>
      <c r="XA39" s="41"/>
      <c r="XB39" s="41"/>
      <c r="XC39" s="41"/>
      <c r="XD39" s="41"/>
      <c r="XE39" s="41"/>
      <c r="XF39" s="41"/>
      <c r="XG39" s="41"/>
      <c r="XH39" s="41"/>
      <c r="XI39" s="41"/>
      <c r="XJ39" s="41"/>
      <c r="XK39" s="41"/>
      <c r="XL39" s="41"/>
      <c r="XM39" s="41"/>
      <c r="XN39" s="41"/>
      <c r="XO39" s="41"/>
      <c r="XP39" s="41"/>
      <c r="XQ39" s="41"/>
      <c r="XR39" s="41"/>
      <c r="XS39" s="41"/>
      <c r="XT39" s="41"/>
      <c r="XU39" s="41"/>
      <c r="XV39" s="41"/>
      <c r="XW39" s="41"/>
      <c r="XX39" s="41"/>
      <c r="XY39" s="41"/>
      <c r="XZ39" s="41"/>
      <c r="YA39" s="41"/>
      <c r="YB39" s="41"/>
      <c r="YC39" s="41"/>
      <c r="YD39" s="41"/>
      <c r="YE39" s="41"/>
      <c r="YF39" s="41"/>
      <c r="YG39" s="41"/>
      <c r="YH39" s="41"/>
      <c r="YI39" s="41"/>
      <c r="YJ39" s="41"/>
      <c r="YK39" s="41"/>
      <c r="YL39" s="41"/>
      <c r="YM39" s="41"/>
      <c r="YN39" s="41"/>
      <c r="YO39" s="41"/>
      <c r="YP39" s="41"/>
      <c r="YQ39" s="41"/>
      <c r="YR39" s="41"/>
      <c r="YS39" s="41"/>
      <c r="YT39" s="41"/>
      <c r="YU39" s="41"/>
      <c r="YV39" s="41"/>
      <c r="YW39" s="41"/>
      <c r="YX39" s="41"/>
      <c r="YY39" s="41"/>
      <c r="YZ39" s="41"/>
      <c r="ZA39" s="41"/>
      <c r="ZB39" s="41"/>
      <c r="ZC39" s="41"/>
      <c r="ZD39" s="41"/>
      <c r="ZE39" s="41"/>
      <c r="ZF39" s="41"/>
      <c r="ZG39" s="41"/>
      <c r="ZH39" s="41"/>
      <c r="ZI39" s="41"/>
      <c r="ZJ39" s="41"/>
      <c r="ZK39" s="41"/>
      <c r="ZL39" s="41"/>
      <c r="ZM39" s="41"/>
      <c r="ZN39" s="41"/>
      <c r="ZO39" s="41"/>
      <c r="ZP39" s="41"/>
      <c r="ZQ39" s="41"/>
      <c r="ZR39" s="41"/>
      <c r="ZS39" s="41"/>
      <c r="ZT39" s="41"/>
      <c r="ZU39" s="41"/>
      <c r="ZV39" s="41"/>
      <c r="ZW39" s="41"/>
      <c r="ZX39" s="41"/>
      <c r="ZY39" s="41"/>
      <c r="ZZ39" s="41"/>
      <c r="AAA39" s="41"/>
      <c r="AAB39" s="41"/>
      <c r="AAC39" s="41"/>
      <c r="AAD39" s="41"/>
      <c r="AAE39" s="41"/>
      <c r="AAF39" s="41"/>
      <c r="AAG39" s="41"/>
      <c r="AAH39" s="41"/>
      <c r="AAI39" s="41"/>
      <c r="AAJ39" s="41"/>
      <c r="AAK39" s="41"/>
      <c r="AAL39" s="41"/>
      <c r="AAM39" s="41"/>
      <c r="AAN39" s="41"/>
      <c r="AAO39" s="41"/>
      <c r="AAP39" s="41"/>
      <c r="AAQ39" s="41"/>
      <c r="AAR39" s="41"/>
      <c r="AAS39" s="41"/>
      <c r="AAT39" s="41"/>
      <c r="AAU39" s="41"/>
      <c r="AAV39" s="41"/>
      <c r="AAW39" s="41"/>
      <c r="AAX39" s="41"/>
      <c r="AAY39" s="41"/>
      <c r="AAZ39" s="41"/>
      <c r="ABA39" s="41"/>
      <c r="ABB39" s="41"/>
      <c r="ABC39" s="41"/>
      <c r="ABD39" s="41"/>
      <c r="ABE39" s="41"/>
      <c r="ABF39" s="41"/>
      <c r="ABG39" s="41"/>
      <c r="ABH39" s="41"/>
      <c r="ABI39" s="41"/>
      <c r="ABJ39" s="41"/>
      <c r="ABK39" s="41"/>
      <c r="ABL39" s="41"/>
      <c r="ABM39" s="41"/>
      <c r="ABN39" s="41"/>
      <c r="ABO39" s="41"/>
      <c r="ABP39" s="41"/>
      <c r="ABQ39" s="41"/>
      <c r="ABR39" s="41"/>
      <c r="ABS39" s="41"/>
      <c r="ABT39" s="41"/>
      <c r="ABU39" s="41"/>
      <c r="ABV39" s="41"/>
      <c r="ABW39" s="41"/>
      <c r="ABX39" s="41"/>
      <c r="ABY39" s="41"/>
      <c r="ABZ39" s="41"/>
      <c r="ACA39" s="41"/>
      <c r="ACB39" s="41"/>
      <c r="ACC39" s="41"/>
      <c r="ACD39" s="41"/>
      <c r="ACE39" s="41"/>
      <c r="ACF39" s="41"/>
      <c r="ACG39" s="41"/>
      <c r="ACH39" s="41"/>
      <c r="ACI39" s="41"/>
      <c r="ACJ39" s="41"/>
      <c r="ACK39" s="41"/>
      <c r="ACL39" s="41"/>
      <c r="ACM39" s="41"/>
      <c r="ACN39" s="41"/>
      <c r="ACO39" s="41"/>
      <c r="ACP39" s="41"/>
      <c r="ACQ39" s="41"/>
      <c r="ACR39" s="41"/>
      <c r="ACS39" s="41"/>
      <c r="ACT39" s="41"/>
      <c r="ACU39" s="41"/>
      <c r="ACV39" s="41"/>
      <c r="ACW39" s="41"/>
      <c r="ACX39" s="41"/>
      <c r="ACY39" s="41"/>
      <c r="ACZ39" s="41"/>
      <c r="ADA39" s="41"/>
      <c r="ADB39" s="41"/>
      <c r="ADC39" s="41"/>
      <c r="ADD39" s="41"/>
      <c r="ADE39" s="41"/>
      <c r="ADF39" s="41"/>
      <c r="ADG39" s="41"/>
      <c r="ADH39" s="41"/>
      <c r="ADI39" s="41"/>
      <c r="ADJ39" s="41"/>
      <c r="ADK39" s="41"/>
      <c r="ADL39" s="41"/>
      <c r="ADM39" s="41"/>
      <c r="ADN39" s="41"/>
      <c r="ADO39" s="41"/>
      <c r="ADP39" s="41"/>
      <c r="ADQ39" s="41"/>
      <c r="ADR39" s="41"/>
      <c r="ADS39" s="41"/>
      <c r="ADT39" s="41"/>
      <c r="ADU39" s="41"/>
      <c r="ADV39" s="41"/>
      <c r="ADW39" s="41"/>
      <c r="ADX39" s="41"/>
      <c r="ADY39" s="41"/>
      <c r="ADZ39" s="41"/>
      <c r="AEA39" s="41"/>
      <c r="AEB39" s="41"/>
      <c r="AEC39" s="41"/>
      <c r="AED39" s="41"/>
      <c r="AEE39" s="41"/>
      <c r="AEF39" s="41"/>
      <c r="AEG39" s="41"/>
      <c r="AEH39" s="41"/>
      <c r="AEI39" s="41"/>
      <c r="AEJ39" s="41"/>
      <c r="AEK39" s="41"/>
      <c r="AEL39" s="41"/>
      <c r="AEM39" s="41"/>
      <c r="AEN39" s="41"/>
      <c r="AEO39" s="41"/>
      <c r="AEP39" s="41"/>
      <c r="AEQ39" s="41"/>
      <c r="AER39" s="41"/>
      <c r="AES39" s="41"/>
      <c r="AET39" s="41"/>
      <c r="AEU39" s="41"/>
      <c r="AEV39" s="41"/>
      <c r="AEW39" s="41"/>
      <c r="AEX39" s="41"/>
      <c r="AEY39" s="41"/>
      <c r="AEZ39" s="41"/>
      <c r="AFA39" s="41"/>
      <c r="AFB39" s="41"/>
      <c r="AFC39" s="41"/>
      <c r="AFD39" s="41"/>
      <c r="AFE39" s="41"/>
      <c r="AFF39" s="41"/>
      <c r="AFG39" s="41"/>
      <c r="AFH39" s="41"/>
      <c r="AFI39" s="41"/>
      <c r="AFJ39" s="41"/>
      <c r="AFK39" s="41"/>
      <c r="AFL39" s="41"/>
      <c r="AFM39" s="41"/>
      <c r="AFN39" s="41"/>
      <c r="AFO39" s="41"/>
      <c r="AFP39" s="41"/>
      <c r="AFQ39" s="41"/>
      <c r="AFR39" s="41"/>
      <c r="AFS39" s="41"/>
      <c r="AFT39" s="41"/>
      <c r="AFU39" s="41"/>
      <c r="AFV39" s="41"/>
      <c r="AFW39" s="41"/>
      <c r="AFX39" s="41"/>
      <c r="AFY39" s="41"/>
      <c r="AFZ39" s="41"/>
      <c r="AGA39" s="41"/>
      <c r="AGB39" s="41"/>
      <c r="AGC39" s="41"/>
      <c r="AGD39" s="41"/>
      <c r="AGE39" s="41"/>
      <c r="AGF39" s="41"/>
      <c r="AGG39" s="41"/>
      <c r="AGH39" s="41"/>
      <c r="AGI39" s="41"/>
      <c r="AGJ39" s="41"/>
      <c r="AGK39" s="41"/>
      <c r="AGL39" s="41"/>
      <c r="AGM39" s="41"/>
      <c r="AGN39" s="41"/>
      <c r="AGO39" s="41"/>
      <c r="AGP39" s="41"/>
      <c r="AGQ39" s="41"/>
      <c r="AGR39" s="41"/>
      <c r="AGS39" s="41"/>
      <c r="AGT39" s="41"/>
      <c r="AGU39" s="41"/>
      <c r="AGV39" s="41"/>
      <c r="AGW39" s="41"/>
      <c r="AGX39" s="41"/>
      <c r="AGY39" s="41"/>
      <c r="AGZ39" s="41"/>
      <c r="AHA39" s="41"/>
      <c r="AHB39" s="41"/>
      <c r="AHC39" s="41"/>
      <c r="AHD39" s="41"/>
      <c r="AHE39" s="41"/>
      <c r="AHF39" s="41"/>
      <c r="AHG39" s="41"/>
      <c r="AHH39" s="41"/>
      <c r="AHI39" s="41"/>
      <c r="AHJ39" s="41"/>
      <c r="AHK39" s="41"/>
      <c r="AHL39" s="41"/>
      <c r="AHM39" s="41"/>
      <c r="AHN39" s="41"/>
      <c r="AHO39" s="41"/>
      <c r="AHP39" s="41"/>
      <c r="AHQ39" s="41"/>
      <c r="AHR39" s="41"/>
      <c r="AHS39" s="41"/>
      <c r="AHT39" s="41"/>
      <c r="AHU39" s="41"/>
      <c r="AHV39" s="41"/>
      <c r="AHW39" s="41"/>
      <c r="AHX39" s="41"/>
      <c r="AHY39" s="41"/>
      <c r="AHZ39" s="41"/>
      <c r="AIA39" s="41"/>
      <c r="AIB39" s="41"/>
      <c r="AIC39" s="41"/>
      <c r="AID39" s="41"/>
      <c r="AIE39" s="41"/>
      <c r="AIF39" s="41"/>
      <c r="AIG39" s="41"/>
      <c r="AIH39" s="41"/>
      <c r="AII39" s="41"/>
      <c r="AIJ39" s="41"/>
      <c r="AIK39" s="41"/>
      <c r="AIL39" s="41"/>
      <c r="AIM39" s="41"/>
      <c r="AIN39" s="41"/>
      <c r="AIO39" s="41"/>
      <c r="AIP39" s="41"/>
      <c r="AIQ39" s="41"/>
      <c r="AIR39" s="41"/>
      <c r="AIS39" s="41"/>
      <c r="AIT39" s="41"/>
      <c r="AIU39" s="41"/>
      <c r="AIV39" s="41"/>
      <c r="AIW39" s="41"/>
      <c r="AIX39" s="41"/>
      <c r="AIY39" s="41"/>
      <c r="AIZ39" s="41"/>
      <c r="AJA39" s="41"/>
      <c r="AJB39" s="41"/>
      <c r="AJC39" s="41"/>
      <c r="AJD39" s="41"/>
      <c r="AJE39" s="41"/>
      <c r="AJF39" s="41"/>
      <c r="AJG39" s="41"/>
      <c r="AJH39" s="41"/>
      <c r="AJI39" s="41"/>
      <c r="AJJ39" s="41"/>
      <c r="AJK39" s="41"/>
      <c r="AJL39" s="41"/>
      <c r="AJM39" s="41"/>
      <c r="AJN39" s="41"/>
      <c r="AJO39" s="41"/>
      <c r="AJP39" s="41"/>
      <c r="AJQ39" s="41"/>
      <c r="AJR39" s="41"/>
      <c r="AJS39" s="41"/>
      <c r="AJT39" s="41"/>
      <c r="AJU39" s="41"/>
      <c r="AJV39" s="41"/>
      <c r="AJW39" s="41"/>
      <c r="AJX39" s="41"/>
      <c r="AJY39" s="41"/>
      <c r="AJZ39" s="41"/>
      <c r="AKA39" s="41"/>
      <c r="AKB39" s="41"/>
      <c r="AKC39" s="41"/>
      <c r="AKD39" s="41"/>
      <c r="AKE39" s="41"/>
      <c r="AKF39" s="41"/>
      <c r="AKG39" s="41"/>
      <c r="AKH39" s="41"/>
      <c r="AKI39" s="41"/>
      <c r="AKJ39" s="41"/>
      <c r="AKK39" s="41"/>
      <c r="AKL39" s="41"/>
      <c r="AKM39" s="41"/>
      <c r="AKN39" s="41"/>
      <c r="AKO39" s="41"/>
      <c r="AKP39" s="41"/>
      <c r="AKQ39" s="41"/>
      <c r="AKR39" s="41"/>
      <c r="AKS39" s="41"/>
      <c r="AKT39" s="41"/>
      <c r="AKU39" s="41"/>
      <c r="AKV39" s="41"/>
      <c r="AKW39" s="41"/>
      <c r="AKX39" s="41"/>
      <c r="AKY39" s="41"/>
      <c r="AKZ39" s="41"/>
      <c r="ALA39" s="41"/>
      <c r="ALB39" s="41"/>
      <c r="ALC39" s="41"/>
      <c r="ALD39" s="41"/>
      <c r="ALE39" s="41"/>
      <c r="ALF39" s="41"/>
      <c r="ALG39" s="41"/>
      <c r="ALH39" s="41"/>
      <c r="ALI39" s="41"/>
      <c r="ALJ39" s="41"/>
      <c r="ALK39" s="41"/>
      <c r="ALL39" s="41"/>
      <c r="ALM39" s="41"/>
      <c r="ALN39" s="41"/>
      <c r="ALO39" s="41"/>
      <c r="ALP39" s="41"/>
      <c r="ALQ39" s="41"/>
      <c r="ALR39" s="41"/>
      <c r="ALS39" s="41"/>
      <c r="ALT39" s="41"/>
      <c r="ALU39" s="41"/>
      <c r="ALV39" s="41"/>
      <c r="ALW39" s="41"/>
      <c r="ALX39" s="41"/>
      <c r="ALY39" s="41"/>
      <c r="ALZ39" s="41"/>
      <c r="AMA39" s="41"/>
      <c r="AMB39" s="41"/>
      <c r="AMC39" s="41"/>
      <c r="AMD39" s="41"/>
      <c r="AME39" s="41"/>
      <c r="AMF39" s="41"/>
      <c r="AMG39" s="41"/>
      <c r="AMH39" s="41"/>
      <c r="AMI39" s="41"/>
      <c r="AMJ39" s="41"/>
      <c r="AMK39" s="41"/>
      <c r="AML39" s="41"/>
      <c r="AMM39" s="41"/>
      <c r="AMN39" s="41"/>
      <c r="AMO39" s="41"/>
      <c r="AMP39" s="41"/>
      <c r="AMQ39" s="41"/>
      <c r="AMR39" s="41"/>
      <c r="AMS39" s="41"/>
      <c r="AMT39" s="41"/>
      <c r="AMU39" s="41"/>
      <c r="AMV39" s="41"/>
      <c r="AMW39" s="41"/>
      <c r="AMX39" s="41"/>
      <c r="AMY39" s="41"/>
      <c r="AMZ39" s="41"/>
      <c r="ANA39" s="41"/>
      <c r="ANB39" s="41"/>
      <c r="ANC39" s="41"/>
      <c r="AND39" s="41"/>
      <c r="ANE39" s="41"/>
      <c r="ANF39" s="41"/>
      <c r="ANG39" s="41"/>
      <c r="ANH39" s="41"/>
      <c r="ANI39" s="41"/>
      <c r="ANJ39" s="41"/>
      <c r="ANK39" s="41"/>
    </row>
    <row r="40" s="44" customFormat="true" ht="15" hidden="false" customHeight="false" outlineLevel="0" collapsed="false">
      <c r="A40" s="42" t="s">
        <v>62</v>
      </c>
      <c r="B40" s="43" t="n">
        <v>0</v>
      </c>
      <c r="C40" s="44" t="n">
        <v>0</v>
      </c>
      <c r="D40" s="44" t="n">
        <v>0</v>
      </c>
      <c r="E40" s="45" t="n">
        <v>0</v>
      </c>
      <c r="F40" s="43" t="n">
        <v>0</v>
      </c>
      <c r="G40" s="44" t="n">
        <v>0</v>
      </c>
      <c r="H40" s="46" t="n">
        <v>0</v>
      </c>
      <c r="I40" s="47" t="n">
        <v>0</v>
      </c>
      <c r="J40" s="48" t="n">
        <v>0</v>
      </c>
      <c r="K40" s="43"/>
      <c r="M40" s="46" t="n">
        <v>0</v>
      </c>
      <c r="N40" s="43" t="n">
        <v>0</v>
      </c>
      <c r="O40" s="46" t="n">
        <v>0</v>
      </c>
      <c r="P40" s="49" t="n">
        <v>0</v>
      </c>
      <c r="Q40" s="50" t="n">
        <v>0</v>
      </c>
      <c r="R40" s="44" t="n">
        <v>0</v>
      </c>
      <c r="S40" s="44" t="n">
        <v>0</v>
      </c>
      <c r="T40" s="44" t="n">
        <v>0</v>
      </c>
      <c r="U40" s="44" t="n">
        <v>0</v>
      </c>
      <c r="V40" s="44" t="n">
        <v>0</v>
      </c>
      <c r="W40" s="44" t="n">
        <v>0</v>
      </c>
      <c r="X40" s="44" t="n">
        <v>0</v>
      </c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44" t="n">
        <v>0</v>
      </c>
      <c r="AH40" s="44" t="n">
        <v>0</v>
      </c>
      <c r="AI40" s="44" t="n">
        <v>0</v>
      </c>
      <c r="AJ40" s="44" t="n">
        <v>0</v>
      </c>
      <c r="AK40" s="44" t="n">
        <v>0</v>
      </c>
      <c r="AL40" s="44" t="n">
        <v>0</v>
      </c>
      <c r="AM40" s="44" t="n">
        <v>0</v>
      </c>
      <c r="AN40" s="46" t="n">
        <v>0</v>
      </c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41"/>
      <c r="KZ40" s="41"/>
      <c r="LA40" s="41"/>
      <c r="LB40" s="41"/>
      <c r="LC40" s="41"/>
      <c r="LD40" s="41"/>
      <c r="LE40" s="41"/>
      <c r="LF40" s="41"/>
      <c r="LG40" s="41"/>
      <c r="LH40" s="41"/>
      <c r="LI40" s="41"/>
      <c r="LJ40" s="41"/>
      <c r="LK40" s="41"/>
      <c r="LL40" s="41"/>
      <c r="LM40" s="41"/>
      <c r="LN40" s="41"/>
      <c r="LO40" s="41"/>
      <c r="LP40" s="41"/>
      <c r="LQ40" s="41"/>
      <c r="LR40" s="41"/>
      <c r="LS40" s="41"/>
      <c r="LT40" s="41"/>
      <c r="LU40" s="41"/>
      <c r="LV40" s="41"/>
      <c r="LW40" s="41"/>
      <c r="LX40" s="41"/>
      <c r="LY40" s="41"/>
      <c r="LZ40" s="41"/>
      <c r="MA40" s="41"/>
      <c r="MB40" s="41"/>
      <c r="MC40" s="41"/>
      <c r="MD40" s="41"/>
      <c r="ME40" s="41"/>
      <c r="MF40" s="41"/>
      <c r="MG40" s="41"/>
      <c r="MH40" s="41"/>
      <c r="MI40" s="41"/>
      <c r="MJ40" s="41"/>
      <c r="MK40" s="41"/>
      <c r="ML40" s="41"/>
      <c r="MM40" s="41"/>
      <c r="MN40" s="41"/>
      <c r="MO40" s="41"/>
      <c r="MP40" s="41"/>
      <c r="MQ40" s="41"/>
      <c r="MR40" s="41"/>
      <c r="MS40" s="41"/>
      <c r="MT40" s="41"/>
      <c r="MU40" s="41"/>
      <c r="MV40" s="41"/>
      <c r="MW40" s="41"/>
      <c r="MX40" s="41"/>
      <c r="MY40" s="41"/>
      <c r="MZ40" s="41"/>
      <c r="NA40" s="41"/>
      <c r="NB40" s="41"/>
      <c r="NC40" s="41"/>
      <c r="ND40" s="41"/>
      <c r="NE40" s="41"/>
      <c r="NF40" s="41"/>
      <c r="NG40" s="41"/>
      <c r="NH40" s="41"/>
      <c r="NI40" s="41"/>
      <c r="NJ40" s="41"/>
      <c r="NK40" s="41"/>
      <c r="NL40" s="41"/>
      <c r="NM40" s="41"/>
      <c r="NN40" s="41"/>
      <c r="NO40" s="41"/>
      <c r="NP40" s="41"/>
      <c r="NQ40" s="41"/>
      <c r="NR40" s="41"/>
      <c r="NS40" s="41"/>
      <c r="NT40" s="41"/>
      <c r="NU40" s="41"/>
      <c r="NV40" s="41"/>
      <c r="NW40" s="41"/>
      <c r="NX40" s="41"/>
      <c r="NY40" s="41"/>
      <c r="NZ40" s="41"/>
      <c r="OA40" s="41"/>
      <c r="OB40" s="41"/>
      <c r="OC40" s="41"/>
      <c r="OD40" s="41"/>
      <c r="OE40" s="41"/>
      <c r="OF40" s="41"/>
      <c r="OG40" s="41"/>
      <c r="OH40" s="41"/>
      <c r="OI40" s="41"/>
      <c r="OJ40" s="41"/>
      <c r="OK40" s="41"/>
      <c r="OL40" s="41"/>
      <c r="OM40" s="41"/>
      <c r="ON40" s="41"/>
      <c r="OO40" s="41"/>
      <c r="OP40" s="41"/>
      <c r="OQ40" s="41"/>
      <c r="OR40" s="41"/>
      <c r="OS40" s="41"/>
      <c r="OT40" s="41"/>
      <c r="OU40" s="41"/>
      <c r="OV40" s="41"/>
      <c r="OW40" s="41"/>
      <c r="OX40" s="41"/>
      <c r="OY40" s="41"/>
      <c r="OZ40" s="41"/>
      <c r="PA40" s="41"/>
      <c r="PB40" s="41"/>
      <c r="PC40" s="41"/>
      <c r="PD40" s="41"/>
      <c r="PE40" s="41"/>
      <c r="PF40" s="41"/>
      <c r="PG40" s="41"/>
      <c r="PH40" s="41"/>
      <c r="PI40" s="41"/>
      <c r="PJ40" s="41"/>
      <c r="PK40" s="41"/>
      <c r="PL40" s="41"/>
      <c r="PM40" s="41"/>
      <c r="PN40" s="41"/>
      <c r="PO40" s="41"/>
      <c r="PP40" s="41"/>
      <c r="PQ40" s="41"/>
      <c r="PR40" s="41"/>
      <c r="PS40" s="41"/>
      <c r="PT40" s="41"/>
      <c r="PU40" s="41"/>
      <c r="PV40" s="41"/>
      <c r="PW40" s="41"/>
      <c r="PX40" s="41"/>
      <c r="PY40" s="41"/>
      <c r="PZ40" s="41"/>
      <c r="QA40" s="41"/>
      <c r="QB40" s="41"/>
      <c r="QC40" s="41"/>
      <c r="QD40" s="41"/>
      <c r="QE40" s="41"/>
      <c r="QF40" s="41"/>
      <c r="QG40" s="41"/>
      <c r="QH40" s="41"/>
      <c r="QI40" s="41"/>
      <c r="QJ40" s="41"/>
      <c r="QK40" s="41"/>
      <c r="QL40" s="41"/>
      <c r="QM40" s="41"/>
      <c r="QN40" s="41"/>
      <c r="QO40" s="41"/>
      <c r="QP40" s="41"/>
      <c r="QQ40" s="41"/>
      <c r="QR40" s="41"/>
      <c r="QS40" s="41"/>
      <c r="QT40" s="41"/>
      <c r="QU40" s="41"/>
      <c r="QV40" s="41"/>
      <c r="QW40" s="41"/>
      <c r="QX40" s="41"/>
      <c r="QY40" s="41"/>
      <c r="QZ40" s="41"/>
      <c r="RA40" s="41"/>
      <c r="RB40" s="41"/>
      <c r="RC40" s="41"/>
      <c r="RD40" s="41"/>
      <c r="RE40" s="41"/>
      <c r="RF40" s="41"/>
      <c r="RG40" s="41"/>
      <c r="RH40" s="41"/>
      <c r="RI40" s="41"/>
      <c r="RJ40" s="41"/>
      <c r="RK40" s="41"/>
      <c r="RL40" s="41"/>
      <c r="RM40" s="41"/>
      <c r="RN40" s="41"/>
      <c r="RO40" s="41"/>
      <c r="RP40" s="41"/>
      <c r="RQ40" s="41"/>
      <c r="RR40" s="41"/>
      <c r="RS40" s="41"/>
      <c r="RT40" s="41"/>
      <c r="RU40" s="41"/>
      <c r="RV40" s="41"/>
      <c r="RW40" s="41"/>
      <c r="RX40" s="41"/>
      <c r="RY40" s="41"/>
      <c r="RZ40" s="41"/>
      <c r="SA40" s="41"/>
      <c r="SB40" s="41"/>
      <c r="SC40" s="41"/>
      <c r="SD40" s="41"/>
      <c r="SE40" s="41"/>
      <c r="SF40" s="41"/>
      <c r="SG40" s="41"/>
      <c r="SH40" s="41"/>
      <c r="SI40" s="41"/>
      <c r="SJ40" s="41"/>
      <c r="SK40" s="41"/>
      <c r="SL40" s="41"/>
      <c r="SM40" s="41"/>
      <c r="SN40" s="41"/>
      <c r="SO40" s="41"/>
      <c r="SP40" s="41"/>
      <c r="SQ40" s="41"/>
      <c r="SR40" s="41"/>
      <c r="SS40" s="41"/>
      <c r="ST40" s="41"/>
      <c r="SU40" s="41"/>
      <c r="SV40" s="41"/>
      <c r="SW40" s="41"/>
      <c r="SX40" s="41"/>
      <c r="SY40" s="41"/>
      <c r="SZ40" s="41"/>
      <c r="TA40" s="41"/>
      <c r="TB40" s="41"/>
      <c r="TC40" s="41"/>
      <c r="TD40" s="41"/>
      <c r="TE40" s="41"/>
      <c r="TF40" s="41"/>
      <c r="TG40" s="41"/>
      <c r="TH40" s="41"/>
      <c r="TI40" s="41"/>
      <c r="TJ40" s="41"/>
      <c r="TK40" s="41"/>
      <c r="TL40" s="41"/>
      <c r="TM40" s="41"/>
      <c r="TN40" s="41"/>
      <c r="TO40" s="41"/>
      <c r="TP40" s="41"/>
      <c r="TQ40" s="41"/>
      <c r="TR40" s="41"/>
      <c r="TS40" s="41"/>
      <c r="TT40" s="41"/>
      <c r="TU40" s="41"/>
      <c r="TV40" s="41"/>
      <c r="TW40" s="41"/>
      <c r="TX40" s="41"/>
      <c r="TY40" s="41"/>
      <c r="TZ40" s="41"/>
      <c r="UA40" s="41"/>
      <c r="UB40" s="41"/>
      <c r="UC40" s="41"/>
      <c r="UD40" s="41"/>
      <c r="UE40" s="41"/>
      <c r="UF40" s="41"/>
      <c r="UG40" s="41"/>
      <c r="UH40" s="41"/>
      <c r="UI40" s="41"/>
      <c r="UJ40" s="41"/>
      <c r="UK40" s="41"/>
      <c r="UL40" s="41"/>
      <c r="UM40" s="41"/>
      <c r="UN40" s="41"/>
      <c r="UO40" s="41"/>
      <c r="UP40" s="41"/>
      <c r="UQ40" s="41"/>
      <c r="UR40" s="41"/>
      <c r="US40" s="41"/>
      <c r="UT40" s="41"/>
      <c r="UU40" s="41"/>
      <c r="UV40" s="41"/>
      <c r="UW40" s="41"/>
      <c r="UX40" s="41"/>
      <c r="UY40" s="41"/>
      <c r="UZ40" s="41"/>
      <c r="VA40" s="41"/>
      <c r="VB40" s="41"/>
      <c r="VC40" s="41"/>
      <c r="VD40" s="41"/>
      <c r="VE40" s="41"/>
      <c r="VF40" s="41"/>
      <c r="VG40" s="41"/>
      <c r="VH40" s="41"/>
      <c r="VI40" s="41"/>
      <c r="VJ40" s="41"/>
      <c r="VK40" s="41"/>
      <c r="VL40" s="41"/>
      <c r="VM40" s="41"/>
      <c r="VN40" s="41"/>
      <c r="VO40" s="41"/>
      <c r="VP40" s="41"/>
      <c r="VQ40" s="41"/>
      <c r="VR40" s="41"/>
      <c r="VS40" s="41"/>
      <c r="VT40" s="41"/>
      <c r="VU40" s="41"/>
      <c r="VV40" s="41"/>
      <c r="VW40" s="41"/>
      <c r="VX40" s="41"/>
      <c r="VY40" s="41"/>
      <c r="VZ40" s="41"/>
      <c r="WA40" s="41"/>
      <c r="WB40" s="41"/>
      <c r="WC40" s="41"/>
      <c r="WD40" s="41"/>
      <c r="WE40" s="41"/>
      <c r="WF40" s="41"/>
      <c r="WG40" s="41"/>
      <c r="WH40" s="41"/>
      <c r="WI40" s="41"/>
      <c r="WJ40" s="41"/>
      <c r="WK40" s="41"/>
      <c r="WL40" s="41"/>
      <c r="WM40" s="41"/>
      <c r="WN40" s="41"/>
      <c r="WO40" s="41"/>
      <c r="WP40" s="41"/>
      <c r="WQ40" s="41"/>
      <c r="WR40" s="41"/>
      <c r="WS40" s="41"/>
      <c r="WT40" s="41"/>
      <c r="WU40" s="41"/>
      <c r="WV40" s="41"/>
      <c r="WW40" s="41"/>
      <c r="WX40" s="41"/>
      <c r="WY40" s="41"/>
      <c r="WZ40" s="41"/>
      <c r="XA40" s="41"/>
      <c r="XB40" s="41"/>
      <c r="XC40" s="41"/>
      <c r="XD40" s="41"/>
      <c r="XE40" s="41"/>
      <c r="XF40" s="41"/>
      <c r="XG40" s="41"/>
      <c r="XH40" s="41"/>
      <c r="XI40" s="41"/>
      <c r="XJ40" s="41"/>
      <c r="XK40" s="41"/>
      <c r="XL40" s="41"/>
      <c r="XM40" s="41"/>
      <c r="XN40" s="41"/>
      <c r="XO40" s="41"/>
      <c r="XP40" s="41"/>
      <c r="XQ40" s="41"/>
      <c r="XR40" s="41"/>
      <c r="XS40" s="41"/>
      <c r="XT40" s="41"/>
      <c r="XU40" s="41"/>
      <c r="XV40" s="41"/>
      <c r="XW40" s="41"/>
      <c r="XX40" s="41"/>
      <c r="XY40" s="41"/>
      <c r="XZ40" s="41"/>
      <c r="YA40" s="41"/>
      <c r="YB40" s="41"/>
      <c r="YC40" s="41"/>
      <c r="YD40" s="41"/>
      <c r="YE40" s="41"/>
      <c r="YF40" s="41"/>
      <c r="YG40" s="41"/>
      <c r="YH40" s="41"/>
      <c r="YI40" s="41"/>
      <c r="YJ40" s="41"/>
      <c r="YK40" s="41"/>
      <c r="YL40" s="41"/>
      <c r="YM40" s="41"/>
      <c r="YN40" s="41"/>
      <c r="YO40" s="41"/>
      <c r="YP40" s="41"/>
      <c r="YQ40" s="41"/>
      <c r="YR40" s="41"/>
      <c r="YS40" s="41"/>
      <c r="YT40" s="41"/>
      <c r="YU40" s="41"/>
      <c r="YV40" s="41"/>
      <c r="YW40" s="41"/>
      <c r="YX40" s="41"/>
      <c r="YY40" s="41"/>
      <c r="YZ40" s="41"/>
      <c r="ZA40" s="41"/>
      <c r="ZB40" s="41"/>
      <c r="ZC40" s="41"/>
      <c r="ZD40" s="41"/>
      <c r="ZE40" s="41"/>
      <c r="ZF40" s="41"/>
      <c r="ZG40" s="41"/>
      <c r="ZH40" s="41"/>
      <c r="ZI40" s="41"/>
      <c r="ZJ40" s="41"/>
      <c r="ZK40" s="41"/>
      <c r="ZL40" s="41"/>
      <c r="ZM40" s="41"/>
      <c r="ZN40" s="41"/>
      <c r="ZO40" s="41"/>
      <c r="ZP40" s="41"/>
      <c r="ZQ40" s="41"/>
      <c r="ZR40" s="41"/>
      <c r="ZS40" s="41"/>
      <c r="ZT40" s="41"/>
      <c r="ZU40" s="41"/>
      <c r="ZV40" s="41"/>
      <c r="ZW40" s="41"/>
      <c r="ZX40" s="41"/>
      <c r="ZY40" s="41"/>
      <c r="ZZ40" s="41"/>
      <c r="AAA40" s="41"/>
      <c r="AAB40" s="41"/>
      <c r="AAC40" s="41"/>
      <c r="AAD40" s="41"/>
      <c r="AAE40" s="41"/>
      <c r="AAF40" s="41"/>
      <c r="AAG40" s="41"/>
      <c r="AAH40" s="41"/>
      <c r="AAI40" s="41"/>
      <c r="AAJ40" s="41"/>
      <c r="AAK40" s="41"/>
      <c r="AAL40" s="41"/>
      <c r="AAM40" s="41"/>
      <c r="AAN40" s="41"/>
      <c r="AAO40" s="41"/>
      <c r="AAP40" s="41"/>
      <c r="AAQ40" s="41"/>
      <c r="AAR40" s="41"/>
      <c r="AAS40" s="41"/>
      <c r="AAT40" s="41"/>
      <c r="AAU40" s="41"/>
      <c r="AAV40" s="41"/>
      <c r="AAW40" s="41"/>
      <c r="AAX40" s="41"/>
      <c r="AAY40" s="41"/>
      <c r="AAZ40" s="41"/>
      <c r="ABA40" s="41"/>
      <c r="ABB40" s="41"/>
      <c r="ABC40" s="41"/>
      <c r="ABD40" s="41"/>
      <c r="ABE40" s="41"/>
      <c r="ABF40" s="41"/>
      <c r="ABG40" s="41"/>
      <c r="ABH40" s="41"/>
      <c r="ABI40" s="41"/>
      <c r="ABJ40" s="41"/>
      <c r="ABK40" s="41"/>
      <c r="ABL40" s="41"/>
      <c r="ABM40" s="41"/>
      <c r="ABN40" s="41"/>
      <c r="ABO40" s="41"/>
      <c r="ABP40" s="41"/>
      <c r="ABQ40" s="41"/>
      <c r="ABR40" s="41"/>
      <c r="ABS40" s="41"/>
      <c r="ABT40" s="41"/>
      <c r="ABU40" s="41"/>
      <c r="ABV40" s="41"/>
      <c r="ABW40" s="41"/>
      <c r="ABX40" s="41"/>
      <c r="ABY40" s="41"/>
      <c r="ABZ40" s="41"/>
      <c r="ACA40" s="41"/>
      <c r="ACB40" s="41"/>
      <c r="ACC40" s="41"/>
      <c r="ACD40" s="41"/>
      <c r="ACE40" s="41"/>
      <c r="ACF40" s="41"/>
      <c r="ACG40" s="41"/>
      <c r="ACH40" s="41"/>
      <c r="ACI40" s="41"/>
      <c r="ACJ40" s="41"/>
      <c r="ACK40" s="41"/>
      <c r="ACL40" s="41"/>
      <c r="ACM40" s="41"/>
      <c r="ACN40" s="41"/>
      <c r="ACO40" s="41"/>
      <c r="ACP40" s="41"/>
      <c r="ACQ40" s="41"/>
      <c r="ACR40" s="41"/>
      <c r="ACS40" s="41"/>
      <c r="ACT40" s="41"/>
      <c r="ACU40" s="41"/>
      <c r="ACV40" s="41"/>
      <c r="ACW40" s="41"/>
      <c r="ACX40" s="41"/>
      <c r="ACY40" s="41"/>
      <c r="ACZ40" s="41"/>
      <c r="ADA40" s="41"/>
      <c r="ADB40" s="41"/>
      <c r="ADC40" s="41"/>
      <c r="ADD40" s="41"/>
      <c r="ADE40" s="41"/>
      <c r="ADF40" s="41"/>
      <c r="ADG40" s="41"/>
      <c r="ADH40" s="41"/>
      <c r="ADI40" s="41"/>
      <c r="ADJ40" s="41"/>
      <c r="ADK40" s="41"/>
      <c r="ADL40" s="41"/>
      <c r="ADM40" s="41"/>
      <c r="ADN40" s="41"/>
      <c r="ADO40" s="41"/>
      <c r="ADP40" s="41"/>
      <c r="ADQ40" s="41"/>
      <c r="ADR40" s="41"/>
      <c r="ADS40" s="41"/>
      <c r="ADT40" s="41"/>
      <c r="ADU40" s="41"/>
      <c r="ADV40" s="41"/>
      <c r="ADW40" s="41"/>
      <c r="ADX40" s="41"/>
      <c r="ADY40" s="41"/>
      <c r="ADZ40" s="41"/>
      <c r="AEA40" s="41"/>
      <c r="AEB40" s="41"/>
      <c r="AEC40" s="41"/>
      <c r="AED40" s="41"/>
      <c r="AEE40" s="41"/>
      <c r="AEF40" s="41"/>
      <c r="AEG40" s="41"/>
      <c r="AEH40" s="41"/>
      <c r="AEI40" s="41"/>
      <c r="AEJ40" s="41"/>
      <c r="AEK40" s="41"/>
      <c r="AEL40" s="41"/>
      <c r="AEM40" s="41"/>
      <c r="AEN40" s="41"/>
      <c r="AEO40" s="41"/>
      <c r="AEP40" s="41"/>
      <c r="AEQ40" s="41"/>
      <c r="AER40" s="41"/>
      <c r="AES40" s="41"/>
      <c r="AET40" s="41"/>
      <c r="AEU40" s="41"/>
      <c r="AEV40" s="41"/>
      <c r="AEW40" s="41"/>
      <c r="AEX40" s="41"/>
      <c r="AEY40" s="41"/>
      <c r="AEZ40" s="41"/>
      <c r="AFA40" s="41"/>
      <c r="AFB40" s="41"/>
      <c r="AFC40" s="41"/>
      <c r="AFD40" s="41"/>
      <c r="AFE40" s="41"/>
      <c r="AFF40" s="41"/>
      <c r="AFG40" s="41"/>
      <c r="AFH40" s="41"/>
      <c r="AFI40" s="41"/>
      <c r="AFJ40" s="41"/>
      <c r="AFK40" s="41"/>
      <c r="AFL40" s="41"/>
      <c r="AFM40" s="41"/>
      <c r="AFN40" s="41"/>
      <c r="AFO40" s="41"/>
      <c r="AFP40" s="41"/>
      <c r="AFQ40" s="41"/>
      <c r="AFR40" s="41"/>
      <c r="AFS40" s="41"/>
      <c r="AFT40" s="41"/>
      <c r="AFU40" s="41"/>
      <c r="AFV40" s="41"/>
      <c r="AFW40" s="41"/>
      <c r="AFX40" s="41"/>
      <c r="AFY40" s="41"/>
      <c r="AFZ40" s="41"/>
      <c r="AGA40" s="41"/>
      <c r="AGB40" s="41"/>
      <c r="AGC40" s="41"/>
      <c r="AGD40" s="41"/>
      <c r="AGE40" s="41"/>
      <c r="AGF40" s="41"/>
      <c r="AGG40" s="41"/>
      <c r="AGH40" s="41"/>
      <c r="AGI40" s="41"/>
      <c r="AGJ40" s="41"/>
      <c r="AGK40" s="41"/>
      <c r="AGL40" s="41"/>
      <c r="AGM40" s="41"/>
      <c r="AGN40" s="41"/>
      <c r="AGO40" s="41"/>
      <c r="AGP40" s="41"/>
      <c r="AGQ40" s="41"/>
      <c r="AGR40" s="41"/>
      <c r="AGS40" s="41"/>
      <c r="AGT40" s="41"/>
      <c r="AGU40" s="41"/>
      <c r="AGV40" s="41"/>
      <c r="AGW40" s="41"/>
      <c r="AGX40" s="41"/>
      <c r="AGY40" s="41"/>
      <c r="AGZ40" s="41"/>
      <c r="AHA40" s="41"/>
      <c r="AHB40" s="41"/>
      <c r="AHC40" s="41"/>
      <c r="AHD40" s="41"/>
      <c r="AHE40" s="41"/>
      <c r="AHF40" s="41"/>
      <c r="AHG40" s="41"/>
      <c r="AHH40" s="41"/>
      <c r="AHI40" s="41"/>
      <c r="AHJ40" s="41"/>
      <c r="AHK40" s="41"/>
      <c r="AHL40" s="41"/>
      <c r="AHM40" s="41"/>
      <c r="AHN40" s="41"/>
      <c r="AHO40" s="41"/>
      <c r="AHP40" s="41"/>
      <c r="AHQ40" s="41"/>
      <c r="AHR40" s="41"/>
      <c r="AHS40" s="41"/>
      <c r="AHT40" s="41"/>
      <c r="AHU40" s="41"/>
      <c r="AHV40" s="41"/>
      <c r="AHW40" s="41"/>
      <c r="AHX40" s="41"/>
      <c r="AHY40" s="41"/>
      <c r="AHZ40" s="41"/>
      <c r="AIA40" s="41"/>
      <c r="AIB40" s="41"/>
      <c r="AIC40" s="41"/>
      <c r="AID40" s="41"/>
      <c r="AIE40" s="41"/>
      <c r="AIF40" s="41"/>
      <c r="AIG40" s="41"/>
      <c r="AIH40" s="41"/>
      <c r="AII40" s="41"/>
      <c r="AIJ40" s="41"/>
      <c r="AIK40" s="41"/>
      <c r="AIL40" s="41"/>
      <c r="AIM40" s="41"/>
      <c r="AIN40" s="41"/>
      <c r="AIO40" s="41"/>
      <c r="AIP40" s="41"/>
      <c r="AIQ40" s="41"/>
      <c r="AIR40" s="41"/>
      <c r="AIS40" s="41"/>
      <c r="AIT40" s="41"/>
      <c r="AIU40" s="41"/>
      <c r="AIV40" s="41"/>
      <c r="AIW40" s="41"/>
      <c r="AIX40" s="41"/>
      <c r="AIY40" s="41"/>
      <c r="AIZ40" s="41"/>
      <c r="AJA40" s="41"/>
      <c r="AJB40" s="41"/>
      <c r="AJC40" s="41"/>
      <c r="AJD40" s="41"/>
      <c r="AJE40" s="41"/>
      <c r="AJF40" s="41"/>
      <c r="AJG40" s="41"/>
      <c r="AJH40" s="41"/>
      <c r="AJI40" s="41"/>
      <c r="AJJ40" s="41"/>
      <c r="AJK40" s="41"/>
      <c r="AJL40" s="41"/>
      <c r="AJM40" s="41"/>
      <c r="AJN40" s="41"/>
      <c r="AJO40" s="41"/>
      <c r="AJP40" s="41"/>
      <c r="AJQ40" s="41"/>
      <c r="AJR40" s="41"/>
      <c r="AJS40" s="41"/>
      <c r="AJT40" s="41"/>
      <c r="AJU40" s="41"/>
      <c r="AJV40" s="41"/>
      <c r="AJW40" s="41"/>
      <c r="AJX40" s="41"/>
      <c r="AJY40" s="41"/>
      <c r="AJZ40" s="41"/>
      <c r="AKA40" s="41"/>
      <c r="AKB40" s="41"/>
      <c r="AKC40" s="41"/>
      <c r="AKD40" s="41"/>
      <c r="AKE40" s="41"/>
      <c r="AKF40" s="41"/>
      <c r="AKG40" s="41"/>
      <c r="AKH40" s="41"/>
      <c r="AKI40" s="41"/>
      <c r="AKJ40" s="41"/>
      <c r="AKK40" s="41"/>
      <c r="AKL40" s="41"/>
      <c r="AKM40" s="41"/>
      <c r="AKN40" s="41"/>
      <c r="AKO40" s="41"/>
      <c r="AKP40" s="41"/>
      <c r="AKQ40" s="41"/>
      <c r="AKR40" s="41"/>
      <c r="AKS40" s="41"/>
      <c r="AKT40" s="41"/>
      <c r="AKU40" s="41"/>
      <c r="AKV40" s="41"/>
      <c r="AKW40" s="41"/>
      <c r="AKX40" s="41"/>
      <c r="AKY40" s="41"/>
      <c r="AKZ40" s="41"/>
      <c r="ALA40" s="41"/>
      <c r="ALB40" s="41"/>
      <c r="ALC40" s="41"/>
      <c r="ALD40" s="41"/>
      <c r="ALE40" s="41"/>
      <c r="ALF40" s="41"/>
      <c r="ALG40" s="41"/>
      <c r="ALH40" s="41"/>
      <c r="ALI40" s="41"/>
      <c r="ALJ40" s="41"/>
      <c r="ALK40" s="41"/>
      <c r="ALL40" s="41"/>
      <c r="ALM40" s="41"/>
      <c r="ALN40" s="41"/>
      <c r="ALO40" s="41"/>
      <c r="ALP40" s="41"/>
      <c r="ALQ40" s="41"/>
      <c r="ALR40" s="41"/>
      <c r="ALS40" s="41"/>
      <c r="ALT40" s="41"/>
      <c r="ALU40" s="41"/>
      <c r="ALV40" s="41"/>
      <c r="ALW40" s="41"/>
      <c r="ALX40" s="41"/>
      <c r="ALY40" s="41"/>
      <c r="ALZ40" s="41"/>
      <c r="AMA40" s="41"/>
      <c r="AMB40" s="41"/>
      <c r="AMC40" s="41"/>
      <c r="AMD40" s="41"/>
      <c r="AME40" s="41"/>
      <c r="AMF40" s="41"/>
      <c r="AMG40" s="41"/>
      <c r="AMH40" s="41"/>
      <c r="AMI40" s="41"/>
      <c r="AMJ40" s="41"/>
      <c r="AMK40" s="41"/>
      <c r="AML40" s="41"/>
      <c r="AMM40" s="41"/>
      <c r="AMN40" s="41"/>
      <c r="AMO40" s="41"/>
      <c r="AMP40" s="41"/>
      <c r="AMQ40" s="41"/>
      <c r="AMR40" s="41"/>
      <c r="AMS40" s="41"/>
      <c r="AMT40" s="41"/>
      <c r="AMU40" s="41"/>
      <c r="AMV40" s="41"/>
      <c r="AMW40" s="41"/>
      <c r="AMX40" s="41"/>
      <c r="AMY40" s="41"/>
      <c r="AMZ40" s="41"/>
      <c r="ANA40" s="41"/>
      <c r="ANB40" s="41"/>
      <c r="ANC40" s="41"/>
      <c r="AND40" s="41"/>
      <c r="ANE40" s="41"/>
      <c r="ANF40" s="41"/>
      <c r="ANG40" s="41"/>
      <c r="ANH40" s="41"/>
      <c r="ANI40" s="41"/>
      <c r="ANJ40" s="41"/>
      <c r="ANK40" s="41"/>
    </row>
    <row r="41" s="44" customFormat="true" ht="15" hidden="false" customHeight="false" outlineLevel="0" collapsed="false">
      <c r="A41" s="42" t="s">
        <v>63</v>
      </c>
      <c r="B41" s="43" t="n">
        <v>0</v>
      </c>
      <c r="C41" s="44" t="n">
        <v>0</v>
      </c>
      <c r="D41" s="44" t="n">
        <v>0</v>
      </c>
      <c r="E41" s="45" t="n">
        <v>0</v>
      </c>
      <c r="F41" s="43" t="n">
        <v>0</v>
      </c>
      <c r="G41" s="44" t="n">
        <v>0</v>
      </c>
      <c r="H41" s="46" t="n">
        <v>0</v>
      </c>
      <c r="I41" s="47" t="n">
        <v>0</v>
      </c>
      <c r="J41" s="48" t="n">
        <v>0</v>
      </c>
      <c r="K41" s="43"/>
      <c r="M41" s="46" t="n">
        <v>0</v>
      </c>
      <c r="N41" s="43" t="n">
        <v>0</v>
      </c>
      <c r="O41" s="46" t="n">
        <v>0</v>
      </c>
      <c r="P41" s="49" t="n">
        <v>0</v>
      </c>
      <c r="Q41" s="50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6" t="n">
        <v>0</v>
      </c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41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41"/>
      <c r="KZ41" s="41"/>
      <c r="LA41" s="41"/>
      <c r="LB41" s="41"/>
      <c r="LC41" s="41"/>
      <c r="LD41" s="41"/>
      <c r="LE41" s="41"/>
      <c r="LF41" s="41"/>
      <c r="LG41" s="41"/>
      <c r="LH41" s="41"/>
      <c r="LI41" s="41"/>
      <c r="LJ41" s="41"/>
      <c r="LK41" s="41"/>
      <c r="LL41" s="41"/>
      <c r="LM41" s="41"/>
      <c r="LN41" s="41"/>
      <c r="LO41" s="41"/>
      <c r="LP41" s="41"/>
      <c r="LQ41" s="41"/>
      <c r="LR41" s="41"/>
      <c r="LS41" s="41"/>
      <c r="LT41" s="41"/>
      <c r="LU41" s="41"/>
      <c r="LV41" s="41"/>
      <c r="LW41" s="41"/>
      <c r="LX41" s="41"/>
      <c r="LY41" s="41"/>
      <c r="LZ41" s="41"/>
      <c r="MA41" s="41"/>
      <c r="MB41" s="41"/>
      <c r="MC41" s="41"/>
      <c r="MD41" s="41"/>
      <c r="ME41" s="41"/>
      <c r="MF41" s="41"/>
      <c r="MG41" s="41"/>
      <c r="MH41" s="41"/>
      <c r="MI41" s="41"/>
      <c r="MJ41" s="41"/>
      <c r="MK41" s="41"/>
      <c r="ML41" s="41"/>
      <c r="MM41" s="41"/>
      <c r="MN41" s="41"/>
      <c r="MO41" s="41"/>
      <c r="MP41" s="41"/>
      <c r="MQ41" s="41"/>
      <c r="MR41" s="41"/>
      <c r="MS41" s="41"/>
      <c r="MT41" s="41"/>
      <c r="MU41" s="41"/>
      <c r="MV41" s="41"/>
      <c r="MW41" s="41"/>
      <c r="MX41" s="41"/>
      <c r="MY41" s="41"/>
      <c r="MZ41" s="41"/>
      <c r="NA41" s="41"/>
      <c r="NB41" s="41"/>
      <c r="NC41" s="41"/>
      <c r="ND41" s="41"/>
      <c r="NE41" s="41"/>
      <c r="NF41" s="41"/>
      <c r="NG41" s="41"/>
      <c r="NH41" s="41"/>
      <c r="NI41" s="41"/>
      <c r="NJ41" s="41"/>
      <c r="NK41" s="41"/>
      <c r="NL41" s="41"/>
      <c r="NM41" s="41"/>
      <c r="NN41" s="41"/>
      <c r="NO41" s="41"/>
      <c r="NP41" s="41"/>
      <c r="NQ41" s="41"/>
      <c r="NR41" s="41"/>
      <c r="NS41" s="41"/>
      <c r="NT41" s="41"/>
      <c r="NU41" s="41"/>
      <c r="NV41" s="41"/>
      <c r="NW41" s="41"/>
      <c r="NX41" s="41"/>
      <c r="NY41" s="41"/>
      <c r="NZ41" s="41"/>
      <c r="OA41" s="41"/>
      <c r="OB41" s="41"/>
      <c r="OC41" s="41"/>
      <c r="OD41" s="41"/>
      <c r="OE41" s="41"/>
      <c r="OF41" s="41"/>
      <c r="OG41" s="41"/>
      <c r="OH41" s="41"/>
      <c r="OI41" s="41"/>
      <c r="OJ41" s="41"/>
      <c r="OK41" s="41"/>
      <c r="OL41" s="41"/>
      <c r="OM41" s="41"/>
      <c r="ON41" s="41"/>
      <c r="OO41" s="41"/>
      <c r="OP41" s="41"/>
      <c r="OQ41" s="41"/>
      <c r="OR41" s="41"/>
      <c r="OS41" s="41"/>
      <c r="OT41" s="41"/>
      <c r="OU41" s="41"/>
      <c r="OV41" s="41"/>
      <c r="OW41" s="41"/>
      <c r="OX41" s="41"/>
      <c r="OY41" s="41"/>
      <c r="OZ41" s="41"/>
      <c r="PA41" s="41"/>
      <c r="PB41" s="41"/>
      <c r="PC41" s="41"/>
      <c r="PD41" s="41"/>
      <c r="PE41" s="41"/>
      <c r="PF41" s="41"/>
      <c r="PG41" s="41"/>
      <c r="PH41" s="41"/>
      <c r="PI41" s="41"/>
      <c r="PJ41" s="41"/>
      <c r="PK41" s="41"/>
      <c r="PL41" s="41"/>
      <c r="PM41" s="41"/>
      <c r="PN41" s="41"/>
      <c r="PO41" s="41"/>
      <c r="PP41" s="41"/>
      <c r="PQ41" s="41"/>
      <c r="PR41" s="41"/>
      <c r="PS41" s="41"/>
      <c r="PT41" s="41"/>
      <c r="PU41" s="41"/>
      <c r="PV41" s="41"/>
      <c r="PW41" s="41"/>
      <c r="PX41" s="41"/>
      <c r="PY41" s="41"/>
      <c r="PZ41" s="41"/>
      <c r="QA41" s="41"/>
      <c r="QB41" s="41"/>
      <c r="QC41" s="41"/>
      <c r="QD41" s="41"/>
      <c r="QE41" s="41"/>
      <c r="QF41" s="41"/>
      <c r="QG41" s="41"/>
      <c r="QH41" s="41"/>
      <c r="QI41" s="41"/>
      <c r="QJ41" s="41"/>
      <c r="QK41" s="41"/>
      <c r="QL41" s="41"/>
      <c r="QM41" s="41"/>
      <c r="QN41" s="41"/>
      <c r="QO41" s="41"/>
      <c r="QP41" s="41"/>
      <c r="QQ41" s="41"/>
      <c r="QR41" s="41"/>
      <c r="QS41" s="41"/>
      <c r="QT41" s="41"/>
      <c r="QU41" s="41"/>
      <c r="QV41" s="41"/>
      <c r="QW41" s="41"/>
      <c r="QX41" s="41"/>
      <c r="QY41" s="41"/>
      <c r="QZ41" s="41"/>
      <c r="RA41" s="41"/>
      <c r="RB41" s="41"/>
      <c r="RC41" s="41"/>
      <c r="RD41" s="41"/>
      <c r="RE41" s="41"/>
      <c r="RF41" s="41"/>
      <c r="RG41" s="41"/>
      <c r="RH41" s="41"/>
      <c r="RI41" s="41"/>
      <c r="RJ41" s="41"/>
      <c r="RK41" s="41"/>
      <c r="RL41" s="41"/>
      <c r="RM41" s="41"/>
      <c r="RN41" s="41"/>
      <c r="RO41" s="41"/>
      <c r="RP41" s="41"/>
      <c r="RQ41" s="41"/>
      <c r="RR41" s="41"/>
      <c r="RS41" s="41"/>
      <c r="RT41" s="41"/>
      <c r="RU41" s="41"/>
      <c r="RV41" s="41"/>
      <c r="RW41" s="41"/>
      <c r="RX41" s="41"/>
      <c r="RY41" s="41"/>
      <c r="RZ41" s="41"/>
      <c r="SA41" s="41"/>
      <c r="SB41" s="41"/>
      <c r="SC41" s="41"/>
      <c r="SD41" s="41"/>
      <c r="SE41" s="41"/>
      <c r="SF41" s="41"/>
      <c r="SG41" s="41"/>
      <c r="SH41" s="41"/>
      <c r="SI41" s="41"/>
      <c r="SJ41" s="41"/>
      <c r="SK41" s="41"/>
      <c r="SL41" s="41"/>
      <c r="SM41" s="41"/>
      <c r="SN41" s="41"/>
      <c r="SO41" s="41"/>
      <c r="SP41" s="41"/>
      <c r="SQ41" s="41"/>
      <c r="SR41" s="41"/>
      <c r="SS41" s="41"/>
      <c r="ST41" s="41"/>
      <c r="SU41" s="41"/>
      <c r="SV41" s="41"/>
      <c r="SW41" s="41"/>
      <c r="SX41" s="41"/>
      <c r="SY41" s="41"/>
      <c r="SZ41" s="41"/>
      <c r="TA41" s="41"/>
      <c r="TB41" s="41"/>
      <c r="TC41" s="41"/>
      <c r="TD41" s="41"/>
      <c r="TE41" s="41"/>
      <c r="TF41" s="41"/>
      <c r="TG41" s="41"/>
      <c r="TH41" s="41"/>
      <c r="TI41" s="41"/>
      <c r="TJ41" s="41"/>
      <c r="TK41" s="41"/>
      <c r="TL41" s="41"/>
      <c r="TM41" s="41"/>
      <c r="TN41" s="41"/>
      <c r="TO41" s="41"/>
      <c r="TP41" s="41"/>
      <c r="TQ41" s="41"/>
      <c r="TR41" s="41"/>
      <c r="TS41" s="41"/>
      <c r="TT41" s="41"/>
      <c r="TU41" s="41"/>
      <c r="TV41" s="41"/>
      <c r="TW41" s="41"/>
      <c r="TX41" s="41"/>
      <c r="TY41" s="41"/>
      <c r="TZ41" s="41"/>
      <c r="UA41" s="41"/>
      <c r="UB41" s="41"/>
      <c r="UC41" s="41"/>
      <c r="UD41" s="41"/>
      <c r="UE41" s="41"/>
      <c r="UF41" s="41"/>
      <c r="UG41" s="41"/>
      <c r="UH41" s="41"/>
      <c r="UI41" s="41"/>
      <c r="UJ41" s="41"/>
      <c r="UK41" s="41"/>
      <c r="UL41" s="41"/>
      <c r="UM41" s="41"/>
      <c r="UN41" s="41"/>
      <c r="UO41" s="41"/>
      <c r="UP41" s="41"/>
      <c r="UQ41" s="41"/>
      <c r="UR41" s="41"/>
      <c r="US41" s="41"/>
      <c r="UT41" s="41"/>
      <c r="UU41" s="41"/>
      <c r="UV41" s="41"/>
      <c r="UW41" s="41"/>
      <c r="UX41" s="41"/>
      <c r="UY41" s="41"/>
      <c r="UZ41" s="41"/>
      <c r="VA41" s="41"/>
      <c r="VB41" s="41"/>
      <c r="VC41" s="41"/>
      <c r="VD41" s="41"/>
      <c r="VE41" s="41"/>
      <c r="VF41" s="41"/>
      <c r="VG41" s="41"/>
      <c r="VH41" s="41"/>
      <c r="VI41" s="41"/>
      <c r="VJ41" s="41"/>
      <c r="VK41" s="41"/>
      <c r="VL41" s="41"/>
      <c r="VM41" s="41"/>
      <c r="VN41" s="41"/>
      <c r="VO41" s="41"/>
      <c r="VP41" s="41"/>
      <c r="VQ41" s="41"/>
      <c r="VR41" s="41"/>
      <c r="VS41" s="41"/>
      <c r="VT41" s="41"/>
      <c r="VU41" s="41"/>
      <c r="VV41" s="41"/>
      <c r="VW41" s="41"/>
      <c r="VX41" s="41"/>
      <c r="VY41" s="41"/>
      <c r="VZ41" s="41"/>
      <c r="WA41" s="41"/>
      <c r="WB41" s="41"/>
      <c r="WC41" s="41"/>
      <c r="WD41" s="41"/>
      <c r="WE41" s="41"/>
      <c r="WF41" s="41"/>
      <c r="WG41" s="41"/>
      <c r="WH41" s="41"/>
      <c r="WI41" s="41"/>
      <c r="WJ41" s="41"/>
      <c r="WK41" s="41"/>
      <c r="WL41" s="41"/>
      <c r="WM41" s="41"/>
      <c r="WN41" s="41"/>
      <c r="WO41" s="41"/>
      <c r="WP41" s="41"/>
      <c r="WQ41" s="41"/>
      <c r="WR41" s="41"/>
      <c r="WS41" s="41"/>
      <c r="WT41" s="41"/>
      <c r="WU41" s="41"/>
      <c r="WV41" s="41"/>
      <c r="WW41" s="41"/>
      <c r="WX41" s="41"/>
      <c r="WY41" s="41"/>
      <c r="WZ41" s="41"/>
      <c r="XA41" s="41"/>
      <c r="XB41" s="41"/>
      <c r="XC41" s="41"/>
      <c r="XD41" s="41"/>
      <c r="XE41" s="41"/>
      <c r="XF41" s="41"/>
      <c r="XG41" s="41"/>
      <c r="XH41" s="41"/>
      <c r="XI41" s="41"/>
      <c r="XJ41" s="41"/>
      <c r="XK41" s="41"/>
      <c r="XL41" s="41"/>
      <c r="XM41" s="41"/>
      <c r="XN41" s="41"/>
      <c r="XO41" s="41"/>
      <c r="XP41" s="41"/>
      <c r="XQ41" s="41"/>
      <c r="XR41" s="41"/>
      <c r="XS41" s="41"/>
      <c r="XT41" s="41"/>
      <c r="XU41" s="41"/>
      <c r="XV41" s="41"/>
      <c r="XW41" s="41"/>
      <c r="XX41" s="41"/>
      <c r="XY41" s="41"/>
      <c r="XZ41" s="41"/>
      <c r="YA41" s="41"/>
      <c r="YB41" s="41"/>
      <c r="YC41" s="41"/>
      <c r="YD41" s="41"/>
      <c r="YE41" s="41"/>
      <c r="YF41" s="41"/>
      <c r="YG41" s="41"/>
      <c r="YH41" s="41"/>
      <c r="YI41" s="41"/>
      <c r="YJ41" s="41"/>
      <c r="YK41" s="41"/>
      <c r="YL41" s="41"/>
      <c r="YM41" s="41"/>
      <c r="YN41" s="41"/>
      <c r="YO41" s="41"/>
      <c r="YP41" s="41"/>
      <c r="YQ41" s="41"/>
      <c r="YR41" s="41"/>
      <c r="YS41" s="41"/>
      <c r="YT41" s="41"/>
      <c r="YU41" s="41"/>
      <c r="YV41" s="41"/>
      <c r="YW41" s="41"/>
      <c r="YX41" s="41"/>
      <c r="YY41" s="41"/>
      <c r="YZ41" s="41"/>
      <c r="ZA41" s="41"/>
      <c r="ZB41" s="41"/>
      <c r="ZC41" s="41"/>
      <c r="ZD41" s="41"/>
      <c r="ZE41" s="41"/>
      <c r="ZF41" s="41"/>
      <c r="ZG41" s="41"/>
      <c r="ZH41" s="41"/>
      <c r="ZI41" s="41"/>
      <c r="ZJ41" s="41"/>
      <c r="ZK41" s="41"/>
      <c r="ZL41" s="41"/>
      <c r="ZM41" s="41"/>
      <c r="ZN41" s="41"/>
      <c r="ZO41" s="41"/>
      <c r="ZP41" s="41"/>
      <c r="ZQ41" s="41"/>
      <c r="ZR41" s="41"/>
      <c r="ZS41" s="41"/>
      <c r="ZT41" s="41"/>
      <c r="ZU41" s="41"/>
      <c r="ZV41" s="41"/>
      <c r="ZW41" s="41"/>
      <c r="ZX41" s="41"/>
      <c r="ZY41" s="41"/>
      <c r="ZZ41" s="41"/>
      <c r="AAA41" s="41"/>
      <c r="AAB41" s="41"/>
      <c r="AAC41" s="41"/>
      <c r="AAD41" s="41"/>
      <c r="AAE41" s="41"/>
      <c r="AAF41" s="41"/>
      <c r="AAG41" s="41"/>
      <c r="AAH41" s="41"/>
      <c r="AAI41" s="41"/>
      <c r="AAJ41" s="41"/>
      <c r="AAK41" s="41"/>
      <c r="AAL41" s="41"/>
      <c r="AAM41" s="41"/>
      <c r="AAN41" s="41"/>
      <c r="AAO41" s="41"/>
      <c r="AAP41" s="41"/>
      <c r="AAQ41" s="41"/>
      <c r="AAR41" s="41"/>
      <c r="AAS41" s="41"/>
      <c r="AAT41" s="41"/>
      <c r="AAU41" s="41"/>
      <c r="AAV41" s="41"/>
      <c r="AAW41" s="41"/>
      <c r="AAX41" s="41"/>
      <c r="AAY41" s="41"/>
      <c r="AAZ41" s="41"/>
      <c r="ABA41" s="41"/>
      <c r="ABB41" s="41"/>
      <c r="ABC41" s="41"/>
      <c r="ABD41" s="41"/>
      <c r="ABE41" s="41"/>
      <c r="ABF41" s="41"/>
      <c r="ABG41" s="41"/>
      <c r="ABH41" s="41"/>
      <c r="ABI41" s="41"/>
      <c r="ABJ41" s="41"/>
      <c r="ABK41" s="41"/>
      <c r="ABL41" s="41"/>
      <c r="ABM41" s="41"/>
      <c r="ABN41" s="41"/>
      <c r="ABO41" s="41"/>
      <c r="ABP41" s="41"/>
      <c r="ABQ41" s="41"/>
      <c r="ABR41" s="41"/>
      <c r="ABS41" s="41"/>
      <c r="ABT41" s="41"/>
      <c r="ABU41" s="41"/>
      <c r="ABV41" s="41"/>
      <c r="ABW41" s="41"/>
      <c r="ABX41" s="41"/>
      <c r="ABY41" s="41"/>
      <c r="ABZ41" s="41"/>
      <c r="ACA41" s="41"/>
      <c r="ACB41" s="41"/>
      <c r="ACC41" s="41"/>
      <c r="ACD41" s="41"/>
      <c r="ACE41" s="41"/>
      <c r="ACF41" s="41"/>
      <c r="ACG41" s="41"/>
      <c r="ACH41" s="41"/>
      <c r="ACI41" s="41"/>
      <c r="ACJ41" s="41"/>
      <c r="ACK41" s="41"/>
      <c r="ACL41" s="41"/>
      <c r="ACM41" s="41"/>
      <c r="ACN41" s="41"/>
      <c r="ACO41" s="41"/>
      <c r="ACP41" s="41"/>
      <c r="ACQ41" s="41"/>
      <c r="ACR41" s="41"/>
      <c r="ACS41" s="41"/>
      <c r="ACT41" s="41"/>
      <c r="ACU41" s="41"/>
      <c r="ACV41" s="41"/>
      <c r="ACW41" s="41"/>
      <c r="ACX41" s="41"/>
      <c r="ACY41" s="41"/>
      <c r="ACZ41" s="41"/>
      <c r="ADA41" s="41"/>
      <c r="ADB41" s="41"/>
      <c r="ADC41" s="41"/>
      <c r="ADD41" s="41"/>
      <c r="ADE41" s="41"/>
      <c r="ADF41" s="41"/>
      <c r="ADG41" s="41"/>
      <c r="ADH41" s="41"/>
      <c r="ADI41" s="41"/>
      <c r="ADJ41" s="41"/>
      <c r="ADK41" s="41"/>
      <c r="ADL41" s="41"/>
      <c r="ADM41" s="41"/>
      <c r="ADN41" s="41"/>
      <c r="ADO41" s="41"/>
      <c r="ADP41" s="41"/>
      <c r="ADQ41" s="41"/>
      <c r="ADR41" s="41"/>
      <c r="ADS41" s="41"/>
      <c r="ADT41" s="41"/>
      <c r="ADU41" s="41"/>
      <c r="ADV41" s="41"/>
      <c r="ADW41" s="41"/>
      <c r="ADX41" s="41"/>
      <c r="ADY41" s="41"/>
      <c r="ADZ41" s="41"/>
      <c r="AEA41" s="41"/>
      <c r="AEB41" s="41"/>
      <c r="AEC41" s="41"/>
      <c r="AED41" s="41"/>
      <c r="AEE41" s="41"/>
      <c r="AEF41" s="41"/>
      <c r="AEG41" s="41"/>
      <c r="AEH41" s="41"/>
      <c r="AEI41" s="41"/>
      <c r="AEJ41" s="41"/>
      <c r="AEK41" s="41"/>
      <c r="AEL41" s="41"/>
      <c r="AEM41" s="41"/>
      <c r="AEN41" s="41"/>
      <c r="AEO41" s="41"/>
      <c r="AEP41" s="41"/>
      <c r="AEQ41" s="41"/>
      <c r="AER41" s="41"/>
      <c r="AES41" s="41"/>
      <c r="AET41" s="41"/>
      <c r="AEU41" s="41"/>
      <c r="AEV41" s="41"/>
      <c r="AEW41" s="41"/>
      <c r="AEX41" s="41"/>
      <c r="AEY41" s="41"/>
      <c r="AEZ41" s="41"/>
      <c r="AFA41" s="41"/>
      <c r="AFB41" s="41"/>
      <c r="AFC41" s="41"/>
      <c r="AFD41" s="41"/>
      <c r="AFE41" s="41"/>
      <c r="AFF41" s="41"/>
      <c r="AFG41" s="41"/>
      <c r="AFH41" s="41"/>
      <c r="AFI41" s="41"/>
      <c r="AFJ41" s="41"/>
      <c r="AFK41" s="41"/>
      <c r="AFL41" s="41"/>
      <c r="AFM41" s="41"/>
      <c r="AFN41" s="41"/>
      <c r="AFO41" s="41"/>
      <c r="AFP41" s="41"/>
      <c r="AFQ41" s="41"/>
      <c r="AFR41" s="41"/>
      <c r="AFS41" s="41"/>
      <c r="AFT41" s="41"/>
      <c r="AFU41" s="41"/>
      <c r="AFV41" s="41"/>
      <c r="AFW41" s="41"/>
      <c r="AFX41" s="41"/>
      <c r="AFY41" s="41"/>
      <c r="AFZ41" s="41"/>
      <c r="AGA41" s="41"/>
      <c r="AGB41" s="41"/>
      <c r="AGC41" s="41"/>
      <c r="AGD41" s="41"/>
      <c r="AGE41" s="41"/>
      <c r="AGF41" s="41"/>
      <c r="AGG41" s="41"/>
      <c r="AGH41" s="41"/>
      <c r="AGI41" s="41"/>
      <c r="AGJ41" s="41"/>
      <c r="AGK41" s="41"/>
      <c r="AGL41" s="41"/>
      <c r="AGM41" s="41"/>
      <c r="AGN41" s="41"/>
      <c r="AGO41" s="41"/>
      <c r="AGP41" s="41"/>
      <c r="AGQ41" s="41"/>
      <c r="AGR41" s="41"/>
      <c r="AGS41" s="41"/>
      <c r="AGT41" s="41"/>
      <c r="AGU41" s="41"/>
      <c r="AGV41" s="41"/>
      <c r="AGW41" s="41"/>
      <c r="AGX41" s="41"/>
      <c r="AGY41" s="41"/>
      <c r="AGZ41" s="41"/>
      <c r="AHA41" s="41"/>
      <c r="AHB41" s="41"/>
      <c r="AHC41" s="41"/>
      <c r="AHD41" s="41"/>
      <c r="AHE41" s="41"/>
      <c r="AHF41" s="41"/>
      <c r="AHG41" s="41"/>
      <c r="AHH41" s="41"/>
      <c r="AHI41" s="41"/>
      <c r="AHJ41" s="41"/>
      <c r="AHK41" s="41"/>
      <c r="AHL41" s="41"/>
      <c r="AHM41" s="41"/>
      <c r="AHN41" s="41"/>
      <c r="AHO41" s="41"/>
      <c r="AHP41" s="41"/>
      <c r="AHQ41" s="41"/>
      <c r="AHR41" s="41"/>
      <c r="AHS41" s="41"/>
      <c r="AHT41" s="41"/>
      <c r="AHU41" s="41"/>
      <c r="AHV41" s="41"/>
      <c r="AHW41" s="41"/>
      <c r="AHX41" s="41"/>
      <c r="AHY41" s="41"/>
      <c r="AHZ41" s="41"/>
      <c r="AIA41" s="41"/>
      <c r="AIB41" s="41"/>
      <c r="AIC41" s="41"/>
      <c r="AID41" s="41"/>
      <c r="AIE41" s="41"/>
      <c r="AIF41" s="41"/>
      <c r="AIG41" s="41"/>
      <c r="AIH41" s="41"/>
      <c r="AII41" s="41"/>
      <c r="AIJ41" s="41"/>
      <c r="AIK41" s="41"/>
      <c r="AIL41" s="41"/>
      <c r="AIM41" s="41"/>
      <c r="AIN41" s="41"/>
      <c r="AIO41" s="41"/>
      <c r="AIP41" s="41"/>
      <c r="AIQ41" s="41"/>
      <c r="AIR41" s="41"/>
      <c r="AIS41" s="41"/>
      <c r="AIT41" s="41"/>
      <c r="AIU41" s="41"/>
      <c r="AIV41" s="41"/>
      <c r="AIW41" s="41"/>
      <c r="AIX41" s="41"/>
      <c r="AIY41" s="41"/>
      <c r="AIZ41" s="41"/>
      <c r="AJA41" s="41"/>
      <c r="AJB41" s="41"/>
      <c r="AJC41" s="41"/>
      <c r="AJD41" s="41"/>
      <c r="AJE41" s="41"/>
      <c r="AJF41" s="41"/>
      <c r="AJG41" s="41"/>
      <c r="AJH41" s="41"/>
      <c r="AJI41" s="41"/>
      <c r="AJJ41" s="41"/>
      <c r="AJK41" s="41"/>
      <c r="AJL41" s="41"/>
      <c r="AJM41" s="41"/>
      <c r="AJN41" s="41"/>
      <c r="AJO41" s="41"/>
      <c r="AJP41" s="41"/>
      <c r="AJQ41" s="41"/>
      <c r="AJR41" s="41"/>
      <c r="AJS41" s="41"/>
      <c r="AJT41" s="41"/>
      <c r="AJU41" s="41"/>
      <c r="AJV41" s="41"/>
      <c r="AJW41" s="41"/>
      <c r="AJX41" s="41"/>
      <c r="AJY41" s="41"/>
      <c r="AJZ41" s="41"/>
      <c r="AKA41" s="41"/>
      <c r="AKB41" s="41"/>
      <c r="AKC41" s="41"/>
      <c r="AKD41" s="41"/>
      <c r="AKE41" s="41"/>
      <c r="AKF41" s="41"/>
      <c r="AKG41" s="41"/>
      <c r="AKH41" s="41"/>
      <c r="AKI41" s="41"/>
      <c r="AKJ41" s="41"/>
      <c r="AKK41" s="41"/>
      <c r="AKL41" s="41"/>
      <c r="AKM41" s="41"/>
      <c r="AKN41" s="41"/>
      <c r="AKO41" s="41"/>
      <c r="AKP41" s="41"/>
      <c r="AKQ41" s="41"/>
      <c r="AKR41" s="41"/>
      <c r="AKS41" s="41"/>
      <c r="AKT41" s="41"/>
      <c r="AKU41" s="41"/>
      <c r="AKV41" s="41"/>
      <c r="AKW41" s="41"/>
      <c r="AKX41" s="41"/>
      <c r="AKY41" s="41"/>
      <c r="AKZ41" s="41"/>
      <c r="ALA41" s="41"/>
      <c r="ALB41" s="41"/>
      <c r="ALC41" s="41"/>
      <c r="ALD41" s="41"/>
      <c r="ALE41" s="41"/>
      <c r="ALF41" s="41"/>
      <c r="ALG41" s="41"/>
      <c r="ALH41" s="41"/>
      <c r="ALI41" s="41"/>
      <c r="ALJ41" s="41"/>
      <c r="ALK41" s="41"/>
      <c r="ALL41" s="41"/>
      <c r="ALM41" s="41"/>
      <c r="ALN41" s="41"/>
      <c r="ALO41" s="41"/>
      <c r="ALP41" s="41"/>
      <c r="ALQ41" s="41"/>
      <c r="ALR41" s="41"/>
      <c r="ALS41" s="41"/>
      <c r="ALT41" s="41"/>
      <c r="ALU41" s="41"/>
      <c r="ALV41" s="41"/>
      <c r="ALW41" s="41"/>
      <c r="ALX41" s="41"/>
      <c r="ALY41" s="41"/>
      <c r="ALZ41" s="41"/>
      <c r="AMA41" s="41"/>
      <c r="AMB41" s="41"/>
      <c r="AMC41" s="41"/>
      <c r="AMD41" s="41"/>
      <c r="AME41" s="41"/>
      <c r="AMF41" s="41"/>
      <c r="AMG41" s="41"/>
      <c r="AMH41" s="41"/>
      <c r="AMI41" s="41"/>
      <c r="AMJ41" s="41"/>
      <c r="AMK41" s="41"/>
      <c r="AML41" s="41"/>
      <c r="AMM41" s="41"/>
      <c r="AMN41" s="41"/>
      <c r="AMO41" s="41"/>
      <c r="AMP41" s="41"/>
      <c r="AMQ41" s="41"/>
      <c r="AMR41" s="41"/>
      <c r="AMS41" s="41"/>
      <c r="AMT41" s="41"/>
      <c r="AMU41" s="41"/>
      <c r="AMV41" s="41"/>
      <c r="AMW41" s="41"/>
      <c r="AMX41" s="41"/>
      <c r="AMY41" s="41"/>
      <c r="AMZ41" s="41"/>
      <c r="ANA41" s="41"/>
      <c r="ANB41" s="41"/>
      <c r="ANC41" s="41"/>
      <c r="AND41" s="41"/>
      <c r="ANE41" s="41"/>
      <c r="ANF41" s="41"/>
      <c r="ANG41" s="41"/>
      <c r="ANH41" s="41"/>
      <c r="ANI41" s="41"/>
      <c r="ANJ41" s="41"/>
      <c r="ANK41" s="41"/>
    </row>
    <row r="42" s="44" customFormat="true" ht="15" hidden="false" customHeight="false" outlineLevel="0" collapsed="false">
      <c r="A42" s="42" t="s">
        <v>64</v>
      </c>
      <c r="B42" s="43" t="n">
        <v>670</v>
      </c>
      <c r="C42" s="44" t="n">
        <v>670</v>
      </c>
      <c r="D42" s="44" t="n">
        <v>0</v>
      </c>
      <c r="E42" s="45" t="n">
        <v>0</v>
      </c>
      <c r="F42" s="43" t="n">
        <v>0</v>
      </c>
      <c r="G42" s="44" t="n">
        <v>11</v>
      </c>
      <c r="H42" s="46" t="n">
        <v>0</v>
      </c>
      <c r="I42" s="47" t="n">
        <v>70</v>
      </c>
      <c r="J42" s="48" t="n">
        <v>0</v>
      </c>
      <c r="K42" s="43"/>
      <c r="M42" s="46" t="n">
        <v>0</v>
      </c>
      <c r="N42" s="43" t="n">
        <v>0</v>
      </c>
      <c r="O42" s="46" t="n">
        <v>0</v>
      </c>
      <c r="P42" s="49" t="n">
        <v>0</v>
      </c>
      <c r="Q42" s="50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6" t="n">
        <v>0</v>
      </c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41"/>
      <c r="KZ42" s="41"/>
      <c r="LA42" s="41"/>
      <c r="LB42" s="41"/>
      <c r="LC42" s="41"/>
      <c r="LD42" s="41"/>
      <c r="LE42" s="41"/>
      <c r="LF42" s="41"/>
      <c r="LG42" s="41"/>
      <c r="LH42" s="41"/>
      <c r="LI42" s="41"/>
      <c r="LJ42" s="41"/>
      <c r="LK42" s="41"/>
      <c r="LL42" s="41"/>
      <c r="LM42" s="41"/>
      <c r="LN42" s="41"/>
      <c r="LO42" s="41"/>
      <c r="LP42" s="41"/>
      <c r="LQ42" s="41"/>
      <c r="LR42" s="41"/>
      <c r="LS42" s="41"/>
      <c r="LT42" s="41"/>
      <c r="LU42" s="41"/>
      <c r="LV42" s="41"/>
      <c r="LW42" s="41"/>
      <c r="LX42" s="41"/>
      <c r="LY42" s="41"/>
      <c r="LZ42" s="41"/>
      <c r="MA42" s="41"/>
      <c r="MB42" s="41"/>
      <c r="MC42" s="41"/>
      <c r="MD42" s="41"/>
      <c r="ME42" s="41"/>
      <c r="MF42" s="41"/>
      <c r="MG42" s="41"/>
      <c r="MH42" s="41"/>
      <c r="MI42" s="41"/>
      <c r="MJ42" s="41"/>
      <c r="MK42" s="41"/>
      <c r="ML42" s="41"/>
      <c r="MM42" s="41"/>
      <c r="MN42" s="41"/>
      <c r="MO42" s="41"/>
      <c r="MP42" s="41"/>
      <c r="MQ42" s="41"/>
      <c r="MR42" s="41"/>
      <c r="MS42" s="41"/>
      <c r="MT42" s="41"/>
      <c r="MU42" s="41"/>
      <c r="MV42" s="41"/>
      <c r="MW42" s="41"/>
      <c r="MX42" s="41"/>
      <c r="MY42" s="41"/>
      <c r="MZ42" s="41"/>
      <c r="NA42" s="41"/>
      <c r="NB42" s="41"/>
      <c r="NC42" s="41"/>
      <c r="ND42" s="41"/>
      <c r="NE42" s="41"/>
      <c r="NF42" s="41"/>
      <c r="NG42" s="41"/>
      <c r="NH42" s="41"/>
      <c r="NI42" s="41"/>
      <c r="NJ42" s="41"/>
      <c r="NK42" s="41"/>
      <c r="NL42" s="41"/>
      <c r="NM42" s="41"/>
      <c r="NN42" s="41"/>
      <c r="NO42" s="41"/>
      <c r="NP42" s="41"/>
      <c r="NQ42" s="41"/>
      <c r="NR42" s="41"/>
      <c r="NS42" s="41"/>
      <c r="NT42" s="41"/>
      <c r="NU42" s="41"/>
      <c r="NV42" s="41"/>
      <c r="NW42" s="41"/>
      <c r="NX42" s="41"/>
      <c r="NY42" s="41"/>
      <c r="NZ42" s="41"/>
      <c r="OA42" s="41"/>
      <c r="OB42" s="41"/>
      <c r="OC42" s="41"/>
      <c r="OD42" s="41"/>
      <c r="OE42" s="41"/>
      <c r="OF42" s="41"/>
      <c r="OG42" s="41"/>
      <c r="OH42" s="41"/>
      <c r="OI42" s="41"/>
      <c r="OJ42" s="41"/>
      <c r="OK42" s="41"/>
      <c r="OL42" s="41"/>
      <c r="OM42" s="41"/>
      <c r="ON42" s="41"/>
      <c r="OO42" s="41"/>
      <c r="OP42" s="41"/>
      <c r="OQ42" s="41"/>
      <c r="OR42" s="41"/>
      <c r="OS42" s="41"/>
      <c r="OT42" s="41"/>
      <c r="OU42" s="41"/>
      <c r="OV42" s="41"/>
      <c r="OW42" s="41"/>
      <c r="OX42" s="41"/>
      <c r="OY42" s="41"/>
      <c r="OZ42" s="41"/>
      <c r="PA42" s="41"/>
      <c r="PB42" s="41"/>
      <c r="PC42" s="41"/>
      <c r="PD42" s="41"/>
      <c r="PE42" s="41"/>
      <c r="PF42" s="41"/>
      <c r="PG42" s="41"/>
      <c r="PH42" s="41"/>
      <c r="PI42" s="41"/>
      <c r="PJ42" s="41"/>
      <c r="PK42" s="41"/>
      <c r="PL42" s="41"/>
      <c r="PM42" s="41"/>
      <c r="PN42" s="41"/>
      <c r="PO42" s="41"/>
      <c r="PP42" s="41"/>
      <c r="PQ42" s="41"/>
      <c r="PR42" s="41"/>
      <c r="PS42" s="41"/>
      <c r="PT42" s="41"/>
      <c r="PU42" s="41"/>
      <c r="PV42" s="41"/>
      <c r="PW42" s="41"/>
      <c r="PX42" s="41"/>
      <c r="PY42" s="41"/>
      <c r="PZ42" s="41"/>
      <c r="QA42" s="41"/>
      <c r="QB42" s="41"/>
      <c r="QC42" s="41"/>
      <c r="QD42" s="41"/>
      <c r="QE42" s="41"/>
      <c r="QF42" s="41"/>
      <c r="QG42" s="41"/>
      <c r="QH42" s="41"/>
      <c r="QI42" s="41"/>
      <c r="QJ42" s="41"/>
      <c r="QK42" s="41"/>
      <c r="QL42" s="41"/>
      <c r="QM42" s="41"/>
      <c r="QN42" s="41"/>
      <c r="QO42" s="41"/>
      <c r="QP42" s="41"/>
      <c r="QQ42" s="41"/>
      <c r="QR42" s="41"/>
      <c r="QS42" s="41"/>
      <c r="QT42" s="41"/>
      <c r="QU42" s="41"/>
      <c r="QV42" s="41"/>
      <c r="QW42" s="41"/>
      <c r="QX42" s="41"/>
      <c r="QY42" s="41"/>
      <c r="QZ42" s="41"/>
      <c r="RA42" s="41"/>
      <c r="RB42" s="41"/>
      <c r="RC42" s="41"/>
      <c r="RD42" s="41"/>
      <c r="RE42" s="41"/>
      <c r="RF42" s="41"/>
      <c r="RG42" s="41"/>
      <c r="RH42" s="41"/>
      <c r="RI42" s="41"/>
      <c r="RJ42" s="41"/>
      <c r="RK42" s="41"/>
      <c r="RL42" s="41"/>
      <c r="RM42" s="41"/>
      <c r="RN42" s="41"/>
      <c r="RO42" s="41"/>
      <c r="RP42" s="41"/>
      <c r="RQ42" s="41"/>
      <c r="RR42" s="41"/>
      <c r="RS42" s="41"/>
      <c r="RT42" s="41"/>
      <c r="RU42" s="41"/>
      <c r="RV42" s="41"/>
      <c r="RW42" s="41"/>
      <c r="RX42" s="41"/>
      <c r="RY42" s="41"/>
      <c r="RZ42" s="41"/>
      <c r="SA42" s="41"/>
      <c r="SB42" s="41"/>
      <c r="SC42" s="41"/>
      <c r="SD42" s="41"/>
      <c r="SE42" s="41"/>
      <c r="SF42" s="41"/>
      <c r="SG42" s="41"/>
      <c r="SH42" s="41"/>
      <c r="SI42" s="41"/>
      <c r="SJ42" s="41"/>
      <c r="SK42" s="41"/>
      <c r="SL42" s="41"/>
      <c r="SM42" s="41"/>
      <c r="SN42" s="41"/>
      <c r="SO42" s="41"/>
      <c r="SP42" s="41"/>
      <c r="SQ42" s="41"/>
      <c r="SR42" s="41"/>
      <c r="SS42" s="41"/>
      <c r="ST42" s="41"/>
      <c r="SU42" s="41"/>
      <c r="SV42" s="41"/>
      <c r="SW42" s="41"/>
      <c r="SX42" s="41"/>
      <c r="SY42" s="41"/>
      <c r="SZ42" s="41"/>
      <c r="TA42" s="41"/>
      <c r="TB42" s="41"/>
      <c r="TC42" s="41"/>
      <c r="TD42" s="41"/>
      <c r="TE42" s="41"/>
      <c r="TF42" s="41"/>
      <c r="TG42" s="41"/>
      <c r="TH42" s="41"/>
      <c r="TI42" s="41"/>
      <c r="TJ42" s="41"/>
      <c r="TK42" s="41"/>
      <c r="TL42" s="41"/>
      <c r="TM42" s="41"/>
      <c r="TN42" s="41"/>
      <c r="TO42" s="41"/>
      <c r="TP42" s="41"/>
      <c r="TQ42" s="41"/>
      <c r="TR42" s="41"/>
      <c r="TS42" s="41"/>
      <c r="TT42" s="41"/>
      <c r="TU42" s="41"/>
      <c r="TV42" s="41"/>
      <c r="TW42" s="41"/>
      <c r="TX42" s="41"/>
      <c r="TY42" s="41"/>
      <c r="TZ42" s="41"/>
      <c r="UA42" s="41"/>
      <c r="UB42" s="41"/>
      <c r="UC42" s="41"/>
      <c r="UD42" s="41"/>
      <c r="UE42" s="41"/>
      <c r="UF42" s="41"/>
      <c r="UG42" s="41"/>
      <c r="UH42" s="41"/>
      <c r="UI42" s="41"/>
      <c r="UJ42" s="41"/>
      <c r="UK42" s="41"/>
      <c r="UL42" s="41"/>
      <c r="UM42" s="41"/>
      <c r="UN42" s="41"/>
      <c r="UO42" s="41"/>
      <c r="UP42" s="41"/>
      <c r="UQ42" s="41"/>
      <c r="UR42" s="41"/>
      <c r="US42" s="41"/>
      <c r="UT42" s="41"/>
      <c r="UU42" s="41"/>
      <c r="UV42" s="41"/>
      <c r="UW42" s="41"/>
      <c r="UX42" s="41"/>
      <c r="UY42" s="41"/>
      <c r="UZ42" s="41"/>
      <c r="VA42" s="41"/>
      <c r="VB42" s="41"/>
      <c r="VC42" s="41"/>
      <c r="VD42" s="41"/>
      <c r="VE42" s="41"/>
      <c r="VF42" s="41"/>
      <c r="VG42" s="41"/>
      <c r="VH42" s="41"/>
      <c r="VI42" s="41"/>
      <c r="VJ42" s="41"/>
      <c r="VK42" s="41"/>
      <c r="VL42" s="41"/>
      <c r="VM42" s="41"/>
      <c r="VN42" s="41"/>
      <c r="VO42" s="41"/>
      <c r="VP42" s="41"/>
      <c r="VQ42" s="41"/>
      <c r="VR42" s="41"/>
      <c r="VS42" s="41"/>
      <c r="VT42" s="41"/>
      <c r="VU42" s="41"/>
      <c r="VV42" s="41"/>
      <c r="VW42" s="41"/>
      <c r="VX42" s="41"/>
      <c r="VY42" s="41"/>
      <c r="VZ42" s="41"/>
      <c r="WA42" s="41"/>
      <c r="WB42" s="41"/>
      <c r="WC42" s="41"/>
      <c r="WD42" s="41"/>
      <c r="WE42" s="41"/>
      <c r="WF42" s="41"/>
      <c r="WG42" s="41"/>
      <c r="WH42" s="41"/>
      <c r="WI42" s="41"/>
      <c r="WJ42" s="41"/>
      <c r="WK42" s="41"/>
      <c r="WL42" s="41"/>
      <c r="WM42" s="41"/>
      <c r="WN42" s="41"/>
      <c r="WO42" s="41"/>
      <c r="WP42" s="41"/>
      <c r="WQ42" s="41"/>
      <c r="WR42" s="41"/>
      <c r="WS42" s="41"/>
      <c r="WT42" s="41"/>
      <c r="WU42" s="41"/>
      <c r="WV42" s="41"/>
      <c r="WW42" s="41"/>
      <c r="WX42" s="41"/>
      <c r="WY42" s="41"/>
      <c r="WZ42" s="41"/>
      <c r="XA42" s="41"/>
      <c r="XB42" s="41"/>
      <c r="XC42" s="41"/>
      <c r="XD42" s="41"/>
      <c r="XE42" s="41"/>
      <c r="XF42" s="41"/>
      <c r="XG42" s="41"/>
      <c r="XH42" s="41"/>
      <c r="XI42" s="41"/>
      <c r="XJ42" s="41"/>
      <c r="XK42" s="41"/>
      <c r="XL42" s="41"/>
      <c r="XM42" s="41"/>
      <c r="XN42" s="41"/>
      <c r="XO42" s="41"/>
      <c r="XP42" s="41"/>
      <c r="XQ42" s="41"/>
      <c r="XR42" s="41"/>
      <c r="XS42" s="41"/>
      <c r="XT42" s="41"/>
      <c r="XU42" s="41"/>
      <c r="XV42" s="41"/>
      <c r="XW42" s="41"/>
      <c r="XX42" s="41"/>
      <c r="XY42" s="41"/>
      <c r="XZ42" s="41"/>
      <c r="YA42" s="41"/>
      <c r="YB42" s="41"/>
      <c r="YC42" s="41"/>
      <c r="YD42" s="41"/>
      <c r="YE42" s="41"/>
      <c r="YF42" s="41"/>
      <c r="YG42" s="41"/>
      <c r="YH42" s="41"/>
      <c r="YI42" s="41"/>
      <c r="YJ42" s="41"/>
      <c r="YK42" s="41"/>
      <c r="YL42" s="41"/>
      <c r="YM42" s="41"/>
      <c r="YN42" s="41"/>
      <c r="YO42" s="41"/>
      <c r="YP42" s="41"/>
      <c r="YQ42" s="41"/>
      <c r="YR42" s="41"/>
      <c r="YS42" s="41"/>
      <c r="YT42" s="41"/>
      <c r="YU42" s="41"/>
      <c r="YV42" s="41"/>
      <c r="YW42" s="41"/>
      <c r="YX42" s="41"/>
      <c r="YY42" s="41"/>
      <c r="YZ42" s="41"/>
      <c r="ZA42" s="41"/>
      <c r="ZB42" s="41"/>
      <c r="ZC42" s="41"/>
      <c r="ZD42" s="41"/>
      <c r="ZE42" s="41"/>
      <c r="ZF42" s="41"/>
      <c r="ZG42" s="41"/>
      <c r="ZH42" s="41"/>
      <c r="ZI42" s="41"/>
      <c r="ZJ42" s="41"/>
      <c r="ZK42" s="41"/>
      <c r="ZL42" s="41"/>
      <c r="ZM42" s="41"/>
      <c r="ZN42" s="41"/>
      <c r="ZO42" s="41"/>
      <c r="ZP42" s="41"/>
      <c r="ZQ42" s="41"/>
      <c r="ZR42" s="41"/>
      <c r="ZS42" s="41"/>
      <c r="ZT42" s="41"/>
      <c r="ZU42" s="41"/>
      <c r="ZV42" s="41"/>
      <c r="ZW42" s="41"/>
      <c r="ZX42" s="41"/>
      <c r="ZY42" s="41"/>
      <c r="ZZ42" s="41"/>
      <c r="AAA42" s="41"/>
      <c r="AAB42" s="41"/>
      <c r="AAC42" s="41"/>
      <c r="AAD42" s="41"/>
      <c r="AAE42" s="41"/>
      <c r="AAF42" s="41"/>
      <c r="AAG42" s="41"/>
      <c r="AAH42" s="41"/>
      <c r="AAI42" s="41"/>
      <c r="AAJ42" s="41"/>
      <c r="AAK42" s="41"/>
      <c r="AAL42" s="41"/>
      <c r="AAM42" s="41"/>
      <c r="AAN42" s="41"/>
      <c r="AAO42" s="41"/>
      <c r="AAP42" s="41"/>
      <c r="AAQ42" s="41"/>
      <c r="AAR42" s="41"/>
      <c r="AAS42" s="41"/>
      <c r="AAT42" s="41"/>
      <c r="AAU42" s="41"/>
      <c r="AAV42" s="41"/>
      <c r="AAW42" s="41"/>
      <c r="AAX42" s="41"/>
      <c r="AAY42" s="41"/>
      <c r="AAZ42" s="41"/>
      <c r="ABA42" s="41"/>
      <c r="ABB42" s="41"/>
      <c r="ABC42" s="41"/>
      <c r="ABD42" s="41"/>
      <c r="ABE42" s="41"/>
      <c r="ABF42" s="41"/>
      <c r="ABG42" s="41"/>
      <c r="ABH42" s="41"/>
      <c r="ABI42" s="41"/>
      <c r="ABJ42" s="41"/>
      <c r="ABK42" s="41"/>
      <c r="ABL42" s="41"/>
      <c r="ABM42" s="41"/>
      <c r="ABN42" s="41"/>
      <c r="ABO42" s="41"/>
      <c r="ABP42" s="41"/>
      <c r="ABQ42" s="41"/>
      <c r="ABR42" s="41"/>
      <c r="ABS42" s="41"/>
      <c r="ABT42" s="41"/>
      <c r="ABU42" s="41"/>
      <c r="ABV42" s="41"/>
      <c r="ABW42" s="41"/>
      <c r="ABX42" s="41"/>
      <c r="ABY42" s="41"/>
      <c r="ABZ42" s="41"/>
      <c r="ACA42" s="41"/>
      <c r="ACB42" s="41"/>
      <c r="ACC42" s="41"/>
      <c r="ACD42" s="41"/>
      <c r="ACE42" s="41"/>
      <c r="ACF42" s="41"/>
      <c r="ACG42" s="41"/>
      <c r="ACH42" s="41"/>
      <c r="ACI42" s="41"/>
      <c r="ACJ42" s="41"/>
      <c r="ACK42" s="41"/>
      <c r="ACL42" s="41"/>
      <c r="ACM42" s="41"/>
      <c r="ACN42" s="41"/>
      <c r="ACO42" s="41"/>
      <c r="ACP42" s="41"/>
      <c r="ACQ42" s="41"/>
      <c r="ACR42" s="41"/>
      <c r="ACS42" s="41"/>
      <c r="ACT42" s="41"/>
      <c r="ACU42" s="41"/>
      <c r="ACV42" s="41"/>
      <c r="ACW42" s="41"/>
      <c r="ACX42" s="41"/>
      <c r="ACY42" s="41"/>
      <c r="ACZ42" s="41"/>
      <c r="ADA42" s="41"/>
      <c r="ADB42" s="41"/>
      <c r="ADC42" s="41"/>
      <c r="ADD42" s="41"/>
      <c r="ADE42" s="41"/>
      <c r="ADF42" s="41"/>
      <c r="ADG42" s="41"/>
      <c r="ADH42" s="41"/>
      <c r="ADI42" s="41"/>
      <c r="ADJ42" s="41"/>
      <c r="ADK42" s="41"/>
      <c r="ADL42" s="41"/>
      <c r="ADM42" s="41"/>
      <c r="ADN42" s="41"/>
      <c r="ADO42" s="41"/>
      <c r="ADP42" s="41"/>
      <c r="ADQ42" s="41"/>
      <c r="ADR42" s="41"/>
      <c r="ADS42" s="41"/>
      <c r="ADT42" s="41"/>
      <c r="ADU42" s="41"/>
      <c r="ADV42" s="41"/>
      <c r="ADW42" s="41"/>
      <c r="ADX42" s="41"/>
      <c r="ADY42" s="41"/>
      <c r="ADZ42" s="41"/>
      <c r="AEA42" s="41"/>
      <c r="AEB42" s="41"/>
      <c r="AEC42" s="41"/>
      <c r="AED42" s="41"/>
      <c r="AEE42" s="41"/>
      <c r="AEF42" s="41"/>
      <c r="AEG42" s="41"/>
      <c r="AEH42" s="41"/>
      <c r="AEI42" s="41"/>
      <c r="AEJ42" s="41"/>
      <c r="AEK42" s="41"/>
      <c r="AEL42" s="41"/>
      <c r="AEM42" s="41"/>
      <c r="AEN42" s="41"/>
      <c r="AEO42" s="41"/>
      <c r="AEP42" s="41"/>
      <c r="AEQ42" s="41"/>
      <c r="AER42" s="41"/>
      <c r="AES42" s="41"/>
      <c r="AET42" s="41"/>
      <c r="AEU42" s="41"/>
      <c r="AEV42" s="41"/>
      <c r="AEW42" s="41"/>
      <c r="AEX42" s="41"/>
      <c r="AEY42" s="41"/>
      <c r="AEZ42" s="41"/>
      <c r="AFA42" s="41"/>
      <c r="AFB42" s="41"/>
      <c r="AFC42" s="41"/>
      <c r="AFD42" s="41"/>
      <c r="AFE42" s="41"/>
      <c r="AFF42" s="41"/>
      <c r="AFG42" s="41"/>
      <c r="AFH42" s="41"/>
      <c r="AFI42" s="41"/>
      <c r="AFJ42" s="41"/>
      <c r="AFK42" s="41"/>
      <c r="AFL42" s="41"/>
      <c r="AFM42" s="41"/>
      <c r="AFN42" s="41"/>
      <c r="AFO42" s="41"/>
      <c r="AFP42" s="41"/>
      <c r="AFQ42" s="41"/>
      <c r="AFR42" s="41"/>
      <c r="AFS42" s="41"/>
      <c r="AFT42" s="41"/>
      <c r="AFU42" s="41"/>
      <c r="AFV42" s="41"/>
      <c r="AFW42" s="41"/>
      <c r="AFX42" s="41"/>
      <c r="AFY42" s="41"/>
      <c r="AFZ42" s="41"/>
      <c r="AGA42" s="41"/>
      <c r="AGB42" s="41"/>
      <c r="AGC42" s="41"/>
      <c r="AGD42" s="41"/>
      <c r="AGE42" s="41"/>
      <c r="AGF42" s="41"/>
      <c r="AGG42" s="41"/>
      <c r="AGH42" s="41"/>
      <c r="AGI42" s="41"/>
      <c r="AGJ42" s="41"/>
      <c r="AGK42" s="41"/>
      <c r="AGL42" s="41"/>
      <c r="AGM42" s="41"/>
      <c r="AGN42" s="41"/>
      <c r="AGO42" s="41"/>
      <c r="AGP42" s="41"/>
      <c r="AGQ42" s="41"/>
      <c r="AGR42" s="41"/>
      <c r="AGS42" s="41"/>
      <c r="AGT42" s="41"/>
      <c r="AGU42" s="41"/>
      <c r="AGV42" s="41"/>
      <c r="AGW42" s="41"/>
      <c r="AGX42" s="41"/>
      <c r="AGY42" s="41"/>
      <c r="AGZ42" s="41"/>
      <c r="AHA42" s="41"/>
      <c r="AHB42" s="41"/>
      <c r="AHC42" s="41"/>
      <c r="AHD42" s="41"/>
      <c r="AHE42" s="41"/>
      <c r="AHF42" s="41"/>
      <c r="AHG42" s="41"/>
      <c r="AHH42" s="41"/>
      <c r="AHI42" s="41"/>
      <c r="AHJ42" s="41"/>
      <c r="AHK42" s="41"/>
      <c r="AHL42" s="41"/>
      <c r="AHM42" s="41"/>
      <c r="AHN42" s="41"/>
      <c r="AHO42" s="41"/>
      <c r="AHP42" s="41"/>
      <c r="AHQ42" s="41"/>
      <c r="AHR42" s="41"/>
      <c r="AHS42" s="41"/>
      <c r="AHT42" s="41"/>
      <c r="AHU42" s="41"/>
      <c r="AHV42" s="41"/>
      <c r="AHW42" s="41"/>
      <c r="AHX42" s="41"/>
      <c r="AHY42" s="41"/>
      <c r="AHZ42" s="41"/>
      <c r="AIA42" s="41"/>
      <c r="AIB42" s="41"/>
      <c r="AIC42" s="41"/>
      <c r="AID42" s="41"/>
      <c r="AIE42" s="41"/>
      <c r="AIF42" s="41"/>
      <c r="AIG42" s="41"/>
      <c r="AIH42" s="41"/>
      <c r="AII42" s="41"/>
      <c r="AIJ42" s="41"/>
      <c r="AIK42" s="41"/>
      <c r="AIL42" s="41"/>
      <c r="AIM42" s="41"/>
      <c r="AIN42" s="41"/>
      <c r="AIO42" s="41"/>
      <c r="AIP42" s="41"/>
      <c r="AIQ42" s="41"/>
      <c r="AIR42" s="41"/>
      <c r="AIS42" s="41"/>
      <c r="AIT42" s="41"/>
      <c r="AIU42" s="41"/>
      <c r="AIV42" s="41"/>
      <c r="AIW42" s="41"/>
      <c r="AIX42" s="41"/>
      <c r="AIY42" s="41"/>
      <c r="AIZ42" s="41"/>
      <c r="AJA42" s="41"/>
      <c r="AJB42" s="41"/>
      <c r="AJC42" s="41"/>
      <c r="AJD42" s="41"/>
      <c r="AJE42" s="41"/>
      <c r="AJF42" s="41"/>
      <c r="AJG42" s="41"/>
      <c r="AJH42" s="41"/>
      <c r="AJI42" s="41"/>
      <c r="AJJ42" s="41"/>
      <c r="AJK42" s="41"/>
      <c r="AJL42" s="41"/>
      <c r="AJM42" s="41"/>
      <c r="AJN42" s="41"/>
      <c r="AJO42" s="41"/>
      <c r="AJP42" s="41"/>
      <c r="AJQ42" s="41"/>
      <c r="AJR42" s="41"/>
      <c r="AJS42" s="41"/>
      <c r="AJT42" s="41"/>
      <c r="AJU42" s="41"/>
      <c r="AJV42" s="41"/>
      <c r="AJW42" s="41"/>
      <c r="AJX42" s="41"/>
      <c r="AJY42" s="41"/>
      <c r="AJZ42" s="41"/>
      <c r="AKA42" s="41"/>
      <c r="AKB42" s="41"/>
      <c r="AKC42" s="41"/>
      <c r="AKD42" s="41"/>
      <c r="AKE42" s="41"/>
      <c r="AKF42" s="41"/>
      <c r="AKG42" s="41"/>
      <c r="AKH42" s="41"/>
      <c r="AKI42" s="41"/>
      <c r="AKJ42" s="41"/>
      <c r="AKK42" s="41"/>
      <c r="AKL42" s="41"/>
      <c r="AKM42" s="41"/>
      <c r="AKN42" s="41"/>
      <c r="AKO42" s="41"/>
      <c r="AKP42" s="41"/>
      <c r="AKQ42" s="41"/>
      <c r="AKR42" s="41"/>
      <c r="AKS42" s="41"/>
      <c r="AKT42" s="41"/>
      <c r="AKU42" s="41"/>
      <c r="AKV42" s="41"/>
      <c r="AKW42" s="41"/>
      <c r="AKX42" s="41"/>
      <c r="AKY42" s="41"/>
      <c r="AKZ42" s="41"/>
      <c r="ALA42" s="41"/>
      <c r="ALB42" s="41"/>
      <c r="ALC42" s="41"/>
      <c r="ALD42" s="41"/>
      <c r="ALE42" s="41"/>
      <c r="ALF42" s="41"/>
      <c r="ALG42" s="41"/>
      <c r="ALH42" s="41"/>
      <c r="ALI42" s="41"/>
      <c r="ALJ42" s="41"/>
      <c r="ALK42" s="41"/>
      <c r="ALL42" s="41"/>
      <c r="ALM42" s="41"/>
      <c r="ALN42" s="41"/>
      <c r="ALO42" s="41"/>
      <c r="ALP42" s="41"/>
      <c r="ALQ42" s="41"/>
      <c r="ALR42" s="41"/>
      <c r="ALS42" s="41"/>
      <c r="ALT42" s="41"/>
      <c r="ALU42" s="41"/>
      <c r="ALV42" s="41"/>
      <c r="ALW42" s="41"/>
      <c r="ALX42" s="41"/>
      <c r="ALY42" s="41"/>
      <c r="ALZ42" s="41"/>
      <c r="AMA42" s="41"/>
      <c r="AMB42" s="41"/>
      <c r="AMC42" s="41"/>
      <c r="AMD42" s="41"/>
      <c r="AME42" s="41"/>
      <c r="AMF42" s="41"/>
      <c r="AMG42" s="41"/>
      <c r="AMH42" s="41"/>
      <c r="AMI42" s="41"/>
      <c r="AMJ42" s="41"/>
      <c r="AMK42" s="41"/>
      <c r="AML42" s="41"/>
      <c r="AMM42" s="41"/>
      <c r="AMN42" s="41"/>
      <c r="AMO42" s="41"/>
      <c r="AMP42" s="41"/>
      <c r="AMQ42" s="41"/>
      <c r="AMR42" s="41"/>
      <c r="AMS42" s="41"/>
      <c r="AMT42" s="41"/>
      <c r="AMU42" s="41"/>
      <c r="AMV42" s="41"/>
      <c r="AMW42" s="41"/>
      <c r="AMX42" s="41"/>
      <c r="AMY42" s="41"/>
      <c r="AMZ42" s="41"/>
      <c r="ANA42" s="41"/>
      <c r="ANB42" s="41"/>
      <c r="ANC42" s="41"/>
      <c r="AND42" s="41"/>
      <c r="ANE42" s="41"/>
      <c r="ANF42" s="41"/>
      <c r="ANG42" s="41"/>
      <c r="ANH42" s="41"/>
      <c r="ANI42" s="41"/>
      <c r="ANJ42" s="41"/>
      <c r="ANK42" s="41"/>
    </row>
    <row r="43" s="44" customFormat="true" ht="15" hidden="false" customHeight="false" outlineLevel="0" collapsed="false">
      <c r="A43" s="42" t="s">
        <v>65</v>
      </c>
      <c r="B43" s="43" t="n">
        <v>0.052673</v>
      </c>
      <c r="C43" s="44" t="n">
        <v>506.947789</v>
      </c>
      <c r="D43" s="44" t="n">
        <v>110.873994</v>
      </c>
      <c r="E43" s="45" t="n">
        <v>0</v>
      </c>
      <c r="F43" s="43" t="n">
        <v>0</v>
      </c>
      <c r="G43" s="44" t="n">
        <v>1390</v>
      </c>
      <c r="H43" s="46" t="n">
        <v>112</v>
      </c>
      <c r="I43" s="47" t="n">
        <v>49</v>
      </c>
      <c r="J43" s="48" t="n">
        <v>10</v>
      </c>
      <c r="K43" s="43" t="n">
        <v>0.52</v>
      </c>
      <c r="L43" s="44" t="n">
        <v>0.95</v>
      </c>
      <c r="M43" s="46" t="n">
        <f aca="false">(K43+L43)/2</f>
        <v>0.735</v>
      </c>
      <c r="N43" s="43" t="n">
        <v>87</v>
      </c>
      <c r="O43" s="46" t="n">
        <v>2000</v>
      </c>
      <c r="P43" s="49" t="n">
        <v>73765.7666322486</v>
      </c>
      <c r="Q43" s="50" t="n">
        <v>-554097.261680839</v>
      </c>
      <c r="R43" s="44" t="n">
        <v>2800000</v>
      </c>
      <c r="S43" s="44" t="n">
        <v>2710000</v>
      </c>
      <c r="T43" s="44" t="n">
        <v>2920000</v>
      </c>
      <c r="U43" s="44" t="n">
        <v>3010000</v>
      </c>
      <c r="V43" s="44" t="n">
        <v>3100000</v>
      </c>
      <c r="W43" s="44" t="n">
        <v>3019990</v>
      </c>
      <c r="X43" s="44" t="n">
        <v>3099990</v>
      </c>
      <c r="Y43" s="44" t="n">
        <v>3099990</v>
      </c>
      <c r="Z43" s="44" t="n">
        <v>2909990</v>
      </c>
      <c r="AA43" s="44" t="n">
        <v>2949980</v>
      </c>
      <c r="AB43" s="44" t="n">
        <v>3149970</v>
      </c>
      <c r="AC43" s="44" t="n">
        <v>3269960</v>
      </c>
      <c r="AD43" s="44" t="n">
        <v>3469940</v>
      </c>
      <c r="AE43" s="44" t="n">
        <v>3769880</v>
      </c>
      <c r="AF43" s="44" t="n">
        <v>3839810</v>
      </c>
      <c r="AG43" s="44" t="n">
        <v>3859630</v>
      </c>
      <c r="AH43" s="44" t="n">
        <v>4139410</v>
      </c>
      <c r="AI43" s="44" t="n">
        <v>4699350</v>
      </c>
      <c r="AJ43" s="44" t="n">
        <v>5169250</v>
      </c>
      <c r="AK43" s="44" t="n">
        <v>5489190</v>
      </c>
      <c r="AL43" s="44" t="n">
        <v>4868700</v>
      </c>
      <c r="AM43" s="44" t="n">
        <v>4948180</v>
      </c>
      <c r="AN43" s="46" t="n">
        <v>4817650</v>
      </c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41"/>
      <c r="KZ43" s="41"/>
      <c r="LA43" s="41"/>
      <c r="LB43" s="41"/>
      <c r="LC43" s="41"/>
      <c r="LD43" s="41"/>
      <c r="LE43" s="41"/>
      <c r="LF43" s="41"/>
      <c r="LG43" s="41"/>
      <c r="LH43" s="41"/>
      <c r="LI43" s="41"/>
      <c r="LJ43" s="41"/>
      <c r="LK43" s="41"/>
      <c r="LL43" s="41"/>
      <c r="LM43" s="41"/>
      <c r="LN43" s="41"/>
      <c r="LO43" s="41"/>
      <c r="LP43" s="41"/>
      <c r="LQ43" s="41"/>
      <c r="LR43" s="41"/>
      <c r="LS43" s="41"/>
      <c r="LT43" s="41"/>
      <c r="LU43" s="41"/>
      <c r="LV43" s="41"/>
      <c r="LW43" s="41"/>
      <c r="LX43" s="41"/>
      <c r="LY43" s="41"/>
      <c r="LZ43" s="41"/>
      <c r="MA43" s="41"/>
      <c r="MB43" s="41"/>
      <c r="MC43" s="41"/>
      <c r="MD43" s="41"/>
      <c r="ME43" s="41"/>
      <c r="MF43" s="41"/>
      <c r="MG43" s="41"/>
      <c r="MH43" s="41"/>
      <c r="MI43" s="41"/>
      <c r="MJ43" s="41"/>
      <c r="MK43" s="41"/>
      <c r="ML43" s="41"/>
      <c r="MM43" s="41"/>
      <c r="MN43" s="41"/>
      <c r="MO43" s="41"/>
      <c r="MP43" s="41"/>
      <c r="MQ43" s="41"/>
      <c r="MR43" s="41"/>
      <c r="MS43" s="41"/>
      <c r="MT43" s="41"/>
      <c r="MU43" s="41"/>
      <c r="MV43" s="41"/>
      <c r="MW43" s="41"/>
      <c r="MX43" s="41"/>
      <c r="MY43" s="41"/>
      <c r="MZ43" s="41"/>
      <c r="NA43" s="41"/>
      <c r="NB43" s="41"/>
      <c r="NC43" s="41"/>
      <c r="ND43" s="41"/>
      <c r="NE43" s="41"/>
      <c r="NF43" s="41"/>
      <c r="NG43" s="41"/>
      <c r="NH43" s="41"/>
      <c r="NI43" s="41"/>
      <c r="NJ43" s="41"/>
      <c r="NK43" s="41"/>
      <c r="NL43" s="41"/>
      <c r="NM43" s="41"/>
      <c r="NN43" s="41"/>
      <c r="NO43" s="41"/>
      <c r="NP43" s="41"/>
      <c r="NQ43" s="41"/>
      <c r="NR43" s="41"/>
      <c r="NS43" s="41"/>
      <c r="NT43" s="41"/>
      <c r="NU43" s="41"/>
      <c r="NV43" s="41"/>
      <c r="NW43" s="41"/>
      <c r="NX43" s="41"/>
      <c r="NY43" s="41"/>
      <c r="NZ43" s="41"/>
      <c r="OA43" s="41"/>
      <c r="OB43" s="41"/>
      <c r="OC43" s="41"/>
      <c r="OD43" s="41"/>
      <c r="OE43" s="41"/>
      <c r="OF43" s="41"/>
      <c r="OG43" s="41"/>
      <c r="OH43" s="41"/>
      <c r="OI43" s="41"/>
      <c r="OJ43" s="41"/>
      <c r="OK43" s="41"/>
      <c r="OL43" s="41"/>
      <c r="OM43" s="41"/>
      <c r="ON43" s="41"/>
      <c r="OO43" s="41"/>
      <c r="OP43" s="41"/>
      <c r="OQ43" s="41"/>
      <c r="OR43" s="41"/>
      <c r="OS43" s="41"/>
      <c r="OT43" s="41"/>
      <c r="OU43" s="41"/>
      <c r="OV43" s="41"/>
      <c r="OW43" s="41"/>
      <c r="OX43" s="41"/>
      <c r="OY43" s="41"/>
      <c r="OZ43" s="41"/>
      <c r="PA43" s="41"/>
      <c r="PB43" s="41"/>
      <c r="PC43" s="41"/>
      <c r="PD43" s="41"/>
      <c r="PE43" s="41"/>
      <c r="PF43" s="41"/>
      <c r="PG43" s="41"/>
      <c r="PH43" s="41"/>
      <c r="PI43" s="41"/>
      <c r="PJ43" s="41"/>
      <c r="PK43" s="41"/>
      <c r="PL43" s="41"/>
      <c r="PM43" s="41"/>
      <c r="PN43" s="41"/>
      <c r="PO43" s="41"/>
      <c r="PP43" s="41"/>
      <c r="PQ43" s="41"/>
      <c r="PR43" s="41"/>
      <c r="PS43" s="41"/>
      <c r="PT43" s="41"/>
      <c r="PU43" s="41"/>
      <c r="PV43" s="41"/>
      <c r="PW43" s="41"/>
      <c r="PX43" s="41"/>
      <c r="PY43" s="41"/>
      <c r="PZ43" s="41"/>
      <c r="QA43" s="41"/>
      <c r="QB43" s="41"/>
      <c r="QC43" s="41"/>
      <c r="QD43" s="41"/>
      <c r="QE43" s="41"/>
      <c r="QF43" s="41"/>
      <c r="QG43" s="41"/>
      <c r="QH43" s="41"/>
      <c r="QI43" s="41"/>
      <c r="QJ43" s="41"/>
      <c r="QK43" s="41"/>
      <c r="QL43" s="41"/>
      <c r="QM43" s="41"/>
      <c r="QN43" s="41"/>
      <c r="QO43" s="41"/>
      <c r="QP43" s="41"/>
      <c r="QQ43" s="41"/>
      <c r="QR43" s="41"/>
      <c r="QS43" s="41"/>
      <c r="QT43" s="41"/>
      <c r="QU43" s="41"/>
      <c r="QV43" s="41"/>
      <c r="QW43" s="41"/>
      <c r="QX43" s="41"/>
      <c r="QY43" s="41"/>
      <c r="QZ43" s="41"/>
      <c r="RA43" s="41"/>
      <c r="RB43" s="41"/>
      <c r="RC43" s="41"/>
      <c r="RD43" s="41"/>
      <c r="RE43" s="41"/>
      <c r="RF43" s="41"/>
      <c r="RG43" s="41"/>
      <c r="RH43" s="41"/>
      <c r="RI43" s="41"/>
      <c r="RJ43" s="41"/>
      <c r="RK43" s="41"/>
      <c r="RL43" s="41"/>
      <c r="RM43" s="41"/>
      <c r="RN43" s="41"/>
      <c r="RO43" s="41"/>
      <c r="RP43" s="41"/>
      <c r="RQ43" s="41"/>
      <c r="RR43" s="41"/>
      <c r="RS43" s="41"/>
      <c r="RT43" s="41"/>
      <c r="RU43" s="41"/>
      <c r="RV43" s="41"/>
      <c r="RW43" s="41"/>
      <c r="RX43" s="41"/>
      <c r="RY43" s="41"/>
      <c r="RZ43" s="41"/>
      <c r="SA43" s="41"/>
      <c r="SB43" s="41"/>
      <c r="SC43" s="41"/>
      <c r="SD43" s="41"/>
      <c r="SE43" s="41"/>
      <c r="SF43" s="41"/>
      <c r="SG43" s="41"/>
      <c r="SH43" s="41"/>
      <c r="SI43" s="41"/>
      <c r="SJ43" s="41"/>
      <c r="SK43" s="41"/>
      <c r="SL43" s="41"/>
      <c r="SM43" s="41"/>
      <c r="SN43" s="41"/>
      <c r="SO43" s="41"/>
      <c r="SP43" s="41"/>
      <c r="SQ43" s="41"/>
      <c r="SR43" s="41"/>
      <c r="SS43" s="41"/>
      <c r="ST43" s="41"/>
      <c r="SU43" s="41"/>
      <c r="SV43" s="41"/>
      <c r="SW43" s="41"/>
      <c r="SX43" s="41"/>
      <c r="SY43" s="41"/>
      <c r="SZ43" s="41"/>
      <c r="TA43" s="41"/>
      <c r="TB43" s="41"/>
      <c r="TC43" s="41"/>
      <c r="TD43" s="41"/>
      <c r="TE43" s="41"/>
      <c r="TF43" s="41"/>
      <c r="TG43" s="41"/>
      <c r="TH43" s="41"/>
      <c r="TI43" s="41"/>
      <c r="TJ43" s="41"/>
      <c r="TK43" s="41"/>
      <c r="TL43" s="41"/>
      <c r="TM43" s="41"/>
      <c r="TN43" s="41"/>
      <c r="TO43" s="41"/>
      <c r="TP43" s="41"/>
      <c r="TQ43" s="41"/>
      <c r="TR43" s="41"/>
      <c r="TS43" s="41"/>
      <c r="TT43" s="41"/>
      <c r="TU43" s="41"/>
      <c r="TV43" s="41"/>
      <c r="TW43" s="41"/>
      <c r="TX43" s="41"/>
      <c r="TY43" s="41"/>
      <c r="TZ43" s="41"/>
      <c r="UA43" s="41"/>
      <c r="UB43" s="41"/>
      <c r="UC43" s="41"/>
      <c r="UD43" s="41"/>
      <c r="UE43" s="41"/>
      <c r="UF43" s="41"/>
      <c r="UG43" s="41"/>
      <c r="UH43" s="41"/>
      <c r="UI43" s="41"/>
      <c r="UJ43" s="41"/>
      <c r="UK43" s="41"/>
      <c r="UL43" s="41"/>
      <c r="UM43" s="41"/>
      <c r="UN43" s="41"/>
      <c r="UO43" s="41"/>
      <c r="UP43" s="41"/>
      <c r="UQ43" s="41"/>
      <c r="UR43" s="41"/>
      <c r="US43" s="41"/>
      <c r="UT43" s="41"/>
      <c r="UU43" s="41"/>
      <c r="UV43" s="41"/>
      <c r="UW43" s="41"/>
      <c r="UX43" s="41"/>
      <c r="UY43" s="41"/>
      <c r="UZ43" s="41"/>
      <c r="VA43" s="41"/>
      <c r="VB43" s="41"/>
      <c r="VC43" s="41"/>
      <c r="VD43" s="41"/>
      <c r="VE43" s="41"/>
      <c r="VF43" s="41"/>
      <c r="VG43" s="41"/>
      <c r="VH43" s="41"/>
      <c r="VI43" s="41"/>
      <c r="VJ43" s="41"/>
      <c r="VK43" s="41"/>
      <c r="VL43" s="41"/>
      <c r="VM43" s="41"/>
      <c r="VN43" s="41"/>
      <c r="VO43" s="41"/>
      <c r="VP43" s="41"/>
      <c r="VQ43" s="41"/>
      <c r="VR43" s="41"/>
      <c r="VS43" s="41"/>
      <c r="VT43" s="41"/>
      <c r="VU43" s="41"/>
      <c r="VV43" s="41"/>
      <c r="VW43" s="41"/>
      <c r="VX43" s="41"/>
      <c r="VY43" s="41"/>
      <c r="VZ43" s="41"/>
      <c r="WA43" s="41"/>
      <c r="WB43" s="41"/>
      <c r="WC43" s="41"/>
      <c r="WD43" s="41"/>
      <c r="WE43" s="41"/>
      <c r="WF43" s="41"/>
      <c r="WG43" s="41"/>
      <c r="WH43" s="41"/>
      <c r="WI43" s="41"/>
      <c r="WJ43" s="41"/>
      <c r="WK43" s="41"/>
      <c r="WL43" s="41"/>
      <c r="WM43" s="41"/>
      <c r="WN43" s="41"/>
      <c r="WO43" s="41"/>
      <c r="WP43" s="41"/>
      <c r="WQ43" s="41"/>
      <c r="WR43" s="41"/>
      <c r="WS43" s="41"/>
      <c r="WT43" s="41"/>
      <c r="WU43" s="41"/>
      <c r="WV43" s="41"/>
      <c r="WW43" s="41"/>
      <c r="WX43" s="41"/>
      <c r="WY43" s="41"/>
      <c r="WZ43" s="41"/>
      <c r="XA43" s="41"/>
      <c r="XB43" s="41"/>
      <c r="XC43" s="41"/>
      <c r="XD43" s="41"/>
      <c r="XE43" s="41"/>
      <c r="XF43" s="41"/>
      <c r="XG43" s="41"/>
      <c r="XH43" s="41"/>
      <c r="XI43" s="41"/>
      <c r="XJ43" s="41"/>
      <c r="XK43" s="41"/>
      <c r="XL43" s="41"/>
      <c r="XM43" s="41"/>
      <c r="XN43" s="41"/>
      <c r="XO43" s="41"/>
      <c r="XP43" s="41"/>
      <c r="XQ43" s="41"/>
      <c r="XR43" s="41"/>
      <c r="XS43" s="41"/>
      <c r="XT43" s="41"/>
      <c r="XU43" s="41"/>
      <c r="XV43" s="41"/>
      <c r="XW43" s="41"/>
      <c r="XX43" s="41"/>
      <c r="XY43" s="41"/>
      <c r="XZ43" s="41"/>
      <c r="YA43" s="41"/>
      <c r="YB43" s="41"/>
      <c r="YC43" s="41"/>
      <c r="YD43" s="41"/>
      <c r="YE43" s="41"/>
      <c r="YF43" s="41"/>
      <c r="YG43" s="41"/>
      <c r="YH43" s="41"/>
      <c r="YI43" s="41"/>
      <c r="YJ43" s="41"/>
      <c r="YK43" s="41"/>
      <c r="YL43" s="41"/>
      <c r="YM43" s="41"/>
      <c r="YN43" s="41"/>
      <c r="YO43" s="41"/>
      <c r="YP43" s="41"/>
      <c r="YQ43" s="41"/>
      <c r="YR43" s="41"/>
      <c r="YS43" s="41"/>
      <c r="YT43" s="41"/>
      <c r="YU43" s="41"/>
      <c r="YV43" s="41"/>
      <c r="YW43" s="41"/>
      <c r="YX43" s="41"/>
      <c r="YY43" s="41"/>
      <c r="YZ43" s="41"/>
      <c r="ZA43" s="41"/>
      <c r="ZB43" s="41"/>
      <c r="ZC43" s="41"/>
      <c r="ZD43" s="41"/>
      <c r="ZE43" s="41"/>
      <c r="ZF43" s="41"/>
      <c r="ZG43" s="41"/>
      <c r="ZH43" s="41"/>
      <c r="ZI43" s="41"/>
      <c r="ZJ43" s="41"/>
      <c r="ZK43" s="41"/>
      <c r="ZL43" s="41"/>
      <c r="ZM43" s="41"/>
      <c r="ZN43" s="41"/>
      <c r="ZO43" s="41"/>
      <c r="ZP43" s="41"/>
      <c r="ZQ43" s="41"/>
      <c r="ZR43" s="41"/>
      <c r="ZS43" s="41"/>
      <c r="ZT43" s="41"/>
      <c r="ZU43" s="41"/>
      <c r="ZV43" s="41"/>
      <c r="ZW43" s="41"/>
      <c r="ZX43" s="41"/>
      <c r="ZY43" s="41"/>
      <c r="ZZ43" s="41"/>
      <c r="AAA43" s="41"/>
      <c r="AAB43" s="41"/>
      <c r="AAC43" s="41"/>
      <c r="AAD43" s="41"/>
      <c r="AAE43" s="41"/>
      <c r="AAF43" s="41"/>
      <c r="AAG43" s="41"/>
      <c r="AAH43" s="41"/>
      <c r="AAI43" s="41"/>
      <c r="AAJ43" s="41"/>
      <c r="AAK43" s="41"/>
      <c r="AAL43" s="41"/>
      <c r="AAM43" s="41"/>
      <c r="AAN43" s="41"/>
      <c r="AAO43" s="41"/>
      <c r="AAP43" s="41"/>
      <c r="AAQ43" s="41"/>
      <c r="AAR43" s="41"/>
      <c r="AAS43" s="41"/>
      <c r="AAT43" s="41"/>
      <c r="AAU43" s="41"/>
      <c r="AAV43" s="41"/>
      <c r="AAW43" s="41"/>
      <c r="AAX43" s="41"/>
      <c r="AAY43" s="41"/>
      <c r="AAZ43" s="41"/>
      <c r="ABA43" s="41"/>
      <c r="ABB43" s="41"/>
      <c r="ABC43" s="41"/>
      <c r="ABD43" s="41"/>
      <c r="ABE43" s="41"/>
      <c r="ABF43" s="41"/>
      <c r="ABG43" s="41"/>
      <c r="ABH43" s="41"/>
      <c r="ABI43" s="41"/>
      <c r="ABJ43" s="41"/>
      <c r="ABK43" s="41"/>
      <c r="ABL43" s="41"/>
      <c r="ABM43" s="41"/>
      <c r="ABN43" s="41"/>
      <c r="ABO43" s="41"/>
      <c r="ABP43" s="41"/>
      <c r="ABQ43" s="41"/>
      <c r="ABR43" s="41"/>
      <c r="ABS43" s="41"/>
      <c r="ABT43" s="41"/>
      <c r="ABU43" s="41"/>
      <c r="ABV43" s="41"/>
      <c r="ABW43" s="41"/>
      <c r="ABX43" s="41"/>
      <c r="ABY43" s="41"/>
      <c r="ABZ43" s="41"/>
      <c r="ACA43" s="41"/>
      <c r="ACB43" s="41"/>
      <c r="ACC43" s="41"/>
      <c r="ACD43" s="41"/>
      <c r="ACE43" s="41"/>
      <c r="ACF43" s="41"/>
      <c r="ACG43" s="41"/>
      <c r="ACH43" s="41"/>
      <c r="ACI43" s="41"/>
      <c r="ACJ43" s="41"/>
      <c r="ACK43" s="41"/>
      <c r="ACL43" s="41"/>
      <c r="ACM43" s="41"/>
      <c r="ACN43" s="41"/>
      <c r="ACO43" s="41"/>
      <c r="ACP43" s="41"/>
      <c r="ACQ43" s="41"/>
      <c r="ACR43" s="41"/>
      <c r="ACS43" s="41"/>
      <c r="ACT43" s="41"/>
      <c r="ACU43" s="41"/>
      <c r="ACV43" s="41"/>
      <c r="ACW43" s="41"/>
      <c r="ACX43" s="41"/>
      <c r="ACY43" s="41"/>
      <c r="ACZ43" s="41"/>
      <c r="ADA43" s="41"/>
      <c r="ADB43" s="41"/>
      <c r="ADC43" s="41"/>
      <c r="ADD43" s="41"/>
      <c r="ADE43" s="41"/>
      <c r="ADF43" s="41"/>
      <c r="ADG43" s="41"/>
      <c r="ADH43" s="41"/>
      <c r="ADI43" s="41"/>
      <c r="ADJ43" s="41"/>
      <c r="ADK43" s="41"/>
      <c r="ADL43" s="41"/>
      <c r="ADM43" s="41"/>
      <c r="ADN43" s="41"/>
      <c r="ADO43" s="41"/>
      <c r="ADP43" s="41"/>
      <c r="ADQ43" s="41"/>
      <c r="ADR43" s="41"/>
      <c r="ADS43" s="41"/>
      <c r="ADT43" s="41"/>
      <c r="ADU43" s="41"/>
      <c r="ADV43" s="41"/>
      <c r="ADW43" s="41"/>
      <c r="ADX43" s="41"/>
      <c r="ADY43" s="41"/>
      <c r="ADZ43" s="41"/>
      <c r="AEA43" s="41"/>
      <c r="AEB43" s="41"/>
      <c r="AEC43" s="41"/>
      <c r="AED43" s="41"/>
      <c r="AEE43" s="41"/>
      <c r="AEF43" s="41"/>
      <c r="AEG43" s="41"/>
      <c r="AEH43" s="41"/>
      <c r="AEI43" s="41"/>
      <c r="AEJ43" s="41"/>
      <c r="AEK43" s="41"/>
      <c r="AEL43" s="41"/>
      <c r="AEM43" s="41"/>
      <c r="AEN43" s="41"/>
      <c r="AEO43" s="41"/>
      <c r="AEP43" s="41"/>
      <c r="AEQ43" s="41"/>
      <c r="AER43" s="41"/>
      <c r="AES43" s="41"/>
      <c r="AET43" s="41"/>
      <c r="AEU43" s="41"/>
      <c r="AEV43" s="41"/>
      <c r="AEW43" s="41"/>
      <c r="AEX43" s="41"/>
      <c r="AEY43" s="41"/>
      <c r="AEZ43" s="41"/>
      <c r="AFA43" s="41"/>
      <c r="AFB43" s="41"/>
      <c r="AFC43" s="41"/>
      <c r="AFD43" s="41"/>
      <c r="AFE43" s="41"/>
      <c r="AFF43" s="41"/>
      <c r="AFG43" s="41"/>
      <c r="AFH43" s="41"/>
      <c r="AFI43" s="41"/>
      <c r="AFJ43" s="41"/>
      <c r="AFK43" s="41"/>
      <c r="AFL43" s="41"/>
      <c r="AFM43" s="41"/>
      <c r="AFN43" s="41"/>
      <c r="AFO43" s="41"/>
      <c r="AFP43" s="41"/>
      <c r="AFQ43" s="41"/>
      <c r="AFR43" s="41"/>
      <c r="AFS43" s="41"/>
      <c r="AFT43" s="41"/>
      <c r="AFU43" s="41"/>
      <c r="AFV43" s="41"/>
      <c r="AFW43" s="41"/>
      <c r="AFX43" s="41"/>
      <c r="AFY43" s="41"/>
      <c r="AFZ43" s="41"/>
      <c r="AGA43" s="41"/>
      <c r="AGB43" s="41"/>
      <c r="AGC43" s="41"/>
      <c r="AGD43" s="41"/>
      <c r="AGE43" s="41"/>
      <c r="AGF43" s="41"/>
      <c r="AGG43" s="41"/>
      <c r="AGH43" s="41"/>
      <c r="AGI43" s="41"/>
      <c r="AGJ43" s="41"/>
      <c r="AGK43" s="41"/>
      <c r="AGL43" s="41"/>
      <c r="AGM43" s="41"/>
      <c r="AGN43" s="41"/>
      <c r="AGO43" s="41"/>
      <c r="AGP43" s="41"/>
      <c r="AGQ43" s="41"/>
      <c r="AGR43" s="41"/>
      <c r="AGS43" s="41"/>
      <c r="AGT43" s="41"/>
      <c r="AGU43" s="41"/>
      <c r="AGV43" s="41"/>
      <c r="AGW43" s="41"/>
      <c r="AGX43" s="41"/>
      <c r="AGY43" s="41"/>
      <c r="AGZ43" s="41"/>
      <c r="AHA43" s="41"/>
      <c r="AHB43" s="41"/>
      <c r="AHC43" s="41"/>
      <c r="AHD43" s="41"/>
      <c r="AHE43" s="41"/>
      <c r="AHF43" s="41"/>
      <c r="AHG43" s="41"/>
      <c r="AHH43" s="41"/>
      <c r="AHI43" s="41"/>
      <c r="AHJ43" s="41"/>
      <c r="AHK43" s="41"/>
      <c r="AHL43" s="41"/>
      <c r="AHM43" s="41"/>
      <c r="AHN43" s="41"/>
      <c r="AHO43" s="41"/>
      <c r="AHP43" s="41"/>
      <c r="AHQ43" s="41"/>
      <c r="AHR43" s="41"/>
      <c r="AHS43" s="41"/>
      <c r="AHT43" s="41"/>
      <c r="AHU43" s="41"/>
      <c r="AHV43" s="41"/>
      <c r="AHW43" s="41"/>
      <c r="AHX43" s="41"/>
      <c r="AHY43" s="41"/>
      <c r="AHZ43" s="41"/>
      <c r="AIA43" s="41"/>
      <c r="AIB43" s="41"/>
      <c r="AIC43" s="41"/>
      <c r="AID43" s="41"/>
      <c r="AIE43" s="41"/>
      <c r="AIF43" s="41"/>
      <c r="AIG43" s="41"/>
      <c r="AIH43" s="41"/>
      <c r="AII43" s="41"/>
      <c r="AIJ43" s="41"/>
      <c r="AIK43" s="41"/>
      <c r="AIL43" s="41"/>
      <c r="AIM43" s="41"/>
      <c r="AIN43" s="41"/>
      <c r="AIO43" s="41"/>
      <c r="AIP43" s="41"/>
      <c r="AIQ43" s="41"/>
      <c r="AIR43" s="41"/>
      <c r="AIS43" s="41"/>
      <c r="AIT43" s="41"/>
      <c r="AIU43" s="41"/>
      <c r="AIV43" s="41"/>
      <c r="AIW43" s="41"/>
      <c r="AIX43" s="41"/>
      <c r="AIY43" s="41"/>
      <c r="AIZ43" s="41"/>
      <c r="AJA43" s="41"/>
      <c r="AJB43" s="41"/>
      <c r="AJC43" s="41"/>
      <c r="AJD43" s="41"/>
      <c r="AJE43" s="41"/>
      <c r="AJF43" s="41"/>
      <c r="AJG43" s="41"/>
      <c r="AJH43" s="41"/>
      <c r="AJI43" s="41"/>
      <c r="AJJ43" s="41"/>
      <c r="AJK43" s="41"/>
      <c r="AJL43" s="41"/>
      <c r="AJM43" s="41"/>
      <c r="AJN43" s="41"/>
      <c r="AJO43" s="41"/>
      <c r="AJP43" s="41"/>
      <c r="AJQ43" s="41"/>
      <c r="AJR43" s="41"/>
      <c r="AJS43" s="41"/>
      <c r="AJT43" s="41"/>
      <c r="AJU43" s="41"/>
      <c r="AJV43" s="41"/>
      <c r="AJW43" s="41"/>
      <c r="AJX43" s="41"/>
      <c r="AJY43" s="41"/>
      <c r="AJZ43" s="41"/>
      <c r="AKA43" s="41"/>
      <c r="AKB43" s="41"/>
      <c r="AKC43" s="41"/>
      <c r="AKD43" s="41"/>
      <c r="AKE43" s="41"/>
      <c r="AKF43" s="41"/>
      <c r="AKG43" s="41"/>
      <c r="AKH43" s="41"/>
      <c r="AKI43" s="41"/>
      <c r="AKJ43" s="41"/>
      <c r="AKK43" s="41"/>
      <c r="AKL43" s="41"/>
      <c r="AKM43" s="41"/>
      <c r="AKN43" s="41"/>
      <c r="AKO43" s="41"/>
      <c r="AKP43" s="41"/>
      <c r="AKQ43" s="41"/>
      <c r="AKR43" s="41"/>
      <c r="AKS43" s="41"/>
      <c r="AKT43" s="41"/>
      <c r="AKU43" s="41"/>
      <c r="AKV43" s="41"/>
      <c r="AKW43" s="41"/>
      <c r="AKX43" s="41"/>
      <c r="AKY43" s="41"/>
      <c r="AKZ43" s="41"/>
      <c r="ALA43" s="41"/>
      <c r="ALB43" s="41"/>
      <c r="ALC43" s="41"/>
      <c r="ALD43" s="41"/>
      <c r="ALE43" s="41"/>
      <c r="ALF43" s="41"/>
      <c r="ALG43" s="41"/>
      <c r="ALH43" s="41"/>
      <c r="ALI43" s="41"/>
      <c r="ALJ43" s="41"/>
      <c r="ALK43" s="41"/>
      <c r="ALL43" s="41"/>
      <c r="ALM43" s="41"/>
      <c r="ALN43" s="41"/>
      <c r="ALO43" s="41"/>
      <c r="ALP43" s="41"/>
      <c r="ALQ43" s="41"/>
      <c r="ALR43" s="41"/>
      <c r="ALS43" s="41"/>
      <c r="ALT43" s="41"/>
      <c r="ALU43" s="41"/>
      <c r="ALV43" s="41"/>
      <c r="ALW43" s="41"/>
      <c r="ALX43" s="41"/>
      <c r="ALY43" s="41"/>
      <c r="ALZ43" s="41"/>
      <c r="AMA43" s="41"/>
      <c r="AMB43" s="41"/>
      <c r="AMC43" s="41"/>
      <c r="AMD43" s="41"/>
      <c r="AME43" s="41"/>
      <c r="AMF43" s="41"/>
      <c r="AMG43" s="41"/>
      <c r="AMH43" s="41"/>
      <c r="AMI43" s="41"/>
      <c r="AMJ43" s="41"/>
      <c r="AMK43" s="41"/>
      <c r="AML43" s="41"/>
      <c r="AMM43" s="41"/>
      <c r="AMN43" s="41"/>
      <c r="AMO43" s="41"/>
      <c r="AMP43" s="41"/>
      <c r="AMQ43" s="41"/>
      <c r="AMR43" s="41"/>
      <c r="AMS43" s="41"/>
      <c r="AMT43" s="41"/>
      <c r="AMU43" s="41"/>
      <c r="AMV43" s="41"/>
      <c r="AMW43" s="41"/>
      <c r="AMX43" s="41"/>
      <c r="AMY43" s="41"/>
      <c r="AMZ43" s="41"/>
      <c r="ANA43" s="41"/>
      <c r="ANB43" s="41"/>
      <c r="ANC43" s="41"/>
      <c r="AND43" s="41"/>
      <c r="ANE43" s="41"/>
      <c r="ANF43" s="41"/>
      <c r="ANG43" s="41"/>
      <c r="ANH43" s="41"/>
      <c r="ANI43" s="41"/>
      <c r="ANJ43" s="41"/>
      <c r="ANK43" s="41"/>
    </row>
    <row r="44" s="44" customFormat="true" ht="15" hidden="false" customHeight="false" outlineLevel="0" collapsed="false">
      <c r="A44" s="42" t="s">
        <v>66</v>
      </c>
      <c r="B44" s="43" t="n">
        <v>72.112946</v>
      </c>
      <c r="C44" s="44" t="n">
        <v>510.561426</v>
      </c>
      <c r="D44" s="44" t="n">
        <v>5760</v>
      </c>
      <c r="E44" s="45" t="n">
        <v>0</v>
      </c>
      <c r="F44" s="43" t="n">
        <v>125</v>
      </c>
      <c r="G44" s="44" t="n">
        <v>970</v>
      </c>
      <c r="H44" s="46" t="n">
        <v>0</v>
      </c>
      <c r="I44" s="47" t="n">
        <v>80.5</v>
      </c>
      <c r="J44" s="48" t="n">
        <v>0</v>
      </c>
      <c r="K44" s="43"/>
      <c r="M44" s="46" t="n">
        <v>0</v>
      </c>
      <c r="N44" s="43" t="n">
        <v>0</v>
      </c>
      <c r="O44" s="46" t="n">
        <v>0</v>
      </c>
      <c r="P44" s="49" t="n">
        <v>0</v>
      </c>
      <c r="Q44" s="50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6" t="n">
        <v>0</v>
      </c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41"/>
      <c r="JB44" s="41"/>
      <c r="JC44" s="41"/>
      <c r="JD44" s="41"/>
      <c r="JE44" s="41"/>
      <c r="JF44" s="41"/>
      <c r="JG44" s="41"/>
      <c r="JH44" s="41"/>
      <c r="JI44" s="41"/>
      <c r="JJ44" s="41"/>
      <c r="JK44" s="41"/>
      <c r="JL44" s="41"/>
      <c r="JM44" s="41"/>
      <c r="JN44" s="41"/>
      <c r="JO44" s="41"/>
      <c r="JP44" s="41"/>
      <c r="JQ44" s="41"/>
      <c r="JR44" s="41"/>
      <c r="JS44" s="41"/>
      <c r="JT44" s="41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/>
      <c r="KY44" s="41"/>
      <c r="KZ44" s="41"/>
      <c r="LA44" s="41"/>
      <c r="LB44" s="41"/>
      <c r="LC44" s="41"/>
      <c r="LD44" s="41"/>
      <c r="LE44" s="41"/>
      <c r="LF44" s="41"/>
      <c r="LG44" s="41"/>
      <c r="LH44" s="41"/>
      <c r="LI44" s="41"/>
      <c r="LJ44" s="41"/>
      <c r="LK44" s="41"/>
      <c r="LL44" s="41"/>
      <c r="LM44" s="41"/>
      <c r="LN44" s="41"/>
      <c r="LO44" s="41"/>
      <c r="LP44" s="41"/>
      <c r="LQ44" s="41"/>
      <c r="LR44" s="41"/>
      <c r="LS44" s="41"/>
      <c r="LT44" s="41"/>
      <c r="LU44" s="41"/>
      <c r="LV44" s="41"/>
      <c r="LW44" s="41"/>
      <c r="LX44" s="41"/>
      <c r="LY44" s="41"/>
      <c r="LZ44" s="41"/>
      <c r="MA44" s="41"/>
      <c r="MB44" s="41"/>
      <c r="MC44" s="41"/>
      <c r="MD44" s="41"/>
      <c r="ME44" s="41"/>
      <c r="MF44" s="41"/>
      <c r="MG44" s="41"/>
      <c r="MH44" s="41"/>
      <c r="MI44" s="41"/>
      <c r="MJ44" s="41"/>
      <c r="MK44" s="41"/>
      <c r="ML44" s="41"/>
      <c r="MM44" s="41"/>
      <c r="MN44" s="41"/>
      <c r="MO44" s="41"/>
      <c r="MP44" s="41"/>
      <c r="MQ44" s="41"/>
      <c r="MR44" s="41"/>
      <c r="MS44" s="41"/>
      <c r="MT44" s="41"/>
      <c r="MU44" s="41"/>
      <c r="MV44" s="41"/>
      <c r="MW44" s="41"/>
      <c r="MX44" s="41"/>
      <c r="MY44" s="41"/>
      <c r="MZ44" s="41"/>
      <c r="NA44" s="41"/>
      <c r="NB44" s="41"/>
      <c r="NC44" s="41"/>
      <c r="ND44" s="41"/>
      <c r="NE44" s="41"/>
      <c r="NF44" s="41"/>
      <c r="NG44" s="41"/>
      <c r="NH44" s="41"/>
      <c r="NI44" s="41"/>
      <c r="NJ44" s="41"/>
      <c r="NK44" s="41"/>
      <c r="NL44" s="41"/>
      <c r="NM44" s="41"/>
      <c r="NN44" s="41"/>
      <c r="NO44" s="41"/>
      <c r="NP44" s="41"/>
      <c r="NQ44" s="41"/>
      <c r="NR44" s="41"/>
      <c r="NS44" s="41"/>
      <c r="NT44" s="41"/>
      <c r="NU44" s="41"/>
      <c r="NV44" s="41"/>
      <c r="NW44" s="41"/>
      <c r="NX44" s="41"/>
      <c r="NY44" s="41"/>
      <c r="NZ44" s="41"/>
      <c r="OA44" s="41"/>
      <c r="OB44" s="41"/>
      <c r="OC44" s="41"/>
      <c r="OD44" s="41"/>
      <c r="OE44" s="41"/>
      <c r="OF44" s="41"/>
      <c r="OG44" s="41"/>
      <c r="OH44" s="41"/>
      <c r="OI44" s="41"/>
      <c r="OJ44" s="41"/>
      <c r="OK44" s="41"/>
      <c r="OL44" s="41"/>
      <c r="OM44" s="41"/>
      <c r="ON44" s="41"/>
      <c r="OO44" s="41"/>
      <c r="OP44" s="41"/>
      <c r="OQ44" s="41"/>
      <c r="OR44" s="41"/>
      <c r="OS44" s="41"/>
      <c r="OT44" s="41"/>
      <c r="OU44" s="41"/>
      <c r="OV44" s="41"/>
      <c r="OW44" s="41"/>
      <c r="OX44" s="41"/>
      <c r="OY44" s="41"/>
      <c r="OZ44" s="41"/>
      <c r="PA44" s="41"/>
      <c r="PB44" s="41"/>
      <c r="PC44" s="41"/>
      <c r="PD44" s="41"/>
      <c r="PE44" s="41"/>
      <c r="PF44" s="41"/>
      <c r="PG44" s="41"/>
      <c r="PH44" s="41"/>
      <c r="PI44" s="41"/>
      <c r="PJ44" s="41"/>
      <c r="PK44" s="41"/>
      <c r="PL44" s="41"/>
      <c r="PM44" s="41"/>
      <c r="PN44" s="41"/>
      <c r="PO44" s="41"/>
      <c r="PP44" s="41"/>
      <c r="PQ44" s="41"/>
      <c r="PR44" s="41"/>
      <c r="PS44" s="41"/>
      <c r="PT44" s="41"/>
      <c r="PU44" s="41"/>
      <c r="PV44" s="41"/>
      <c r="PW44" s="41"/>
      <c r="PX44" s="41"/>
      <c r="PY44" s="41"/>
      <c r="PZ44" s="41"/>
      <c r="QA44" s="41"/>
      <c r="QB44" s="41"/>
      <c r="QC44" s="41"/>
      <c r="QD44" s="41"/>
      <c r="QE44" s="41"/>
      <c r="QF44" s="41"/>
      <c r="QG44" s="41"/>
      <c r="QH44" s="41"/>
      <c r="QI44" s="41"/>
      <c r="QJ44" s="41"/>
      <c r="QK44" s="41"/>
      <c r="QL44" s="41"/>
      <c r="QM44" s="41"/>
      <c r="QN44" s="41"/>
      <c r="QO44" s="41"/>
      <c r="QP44" s="41"/>
      <c r="QQ44" s="41"/>
      <c r="QR44" s="41"/>
      <c r="QS44" s="41"/>
      <c r="QT44" s="41"/>
      <c r="QU44" s="41"/>
      <c r="QV44" s="41"/>
      <c r="QW44" s="41"/>
      <c r="QX44" s="41"/>
      <c r="QY44" s="41"/>
      <c r="QZ44" s="41"/>
      <c r="RA44" s="41"/>
      <c r="RB44" s="41"/>
      <c r="RC44" s="41"/>
      <c r="RD44" s="41"/>
      <c r="RE44" s="41"/>
      <c r="RF44" s="41"/>
      <c r="RG44" s="41"/>
      <c r="RH44" s="41"/>
      <c r="RI44" s="41"/>
      <c r="RJ44" s="41"/>
      <c r="RK44" s="41"/>
      <c r="RL44" s="41"/>
      <c r="RM44" s="41"/>
      <c r="RN44" s="41"/>
      <c r="RO44" s="41"/>
      <c r="RP44" s="41"/>
      <c r="RQ44" s="41"/>
      <c r="RR44" s="41"/>
      <c r="RS44" s="41"/>
      <c r="RT44" s="41"/>
      <c r="RU44" s="41"/>
      <c r="RV44" s="41"/>
      <c r="RW44" s="41"/>
      <c r="RX44" s="41"/>
      <c r="RY44" s="41"/>
      <c r="RZ44" s="41"/>
      <c r="SA44" s="41"/>
      <c r="SB44" s="41"/>
      <c r="SC44" s="41"/>
      <c r="SD44" s="41"/>
      <c r="SE44" s="41"/>
      <c r="SF44" s="41"/>
      <c r="SG44" s="41"/>
      <c r="SH44" s="41"/>
      <c r="SI44" s="41"/>
      <c r="SJ44" s="41"/>
      <c r="SK44" s="41"/>
      <c r="SL44" s="41"/>
      <c r="SM44" s="41"/>
      <c r="SN44" s="41"/>
      <c r="SO44" s="41"/>
      <c r="SP44" s="41"/>
      <c r="SQ44" s="41"/>
      <c r="SR44" s="41"/>
      <c r="SS44" s="41"/>
      <c r="ST44" s="41"/>
      <c r="SU44" s="41"/>
      <c r="SV44" s="41"/>
      <c r="SW44" s="41"/>
      <c r="SX44" s="41"/>
      <c r="SY44" s="41"/>
      <c r="SZ44" s="41"/>
      <c r="TA44" s="41"/>
      <c r="TB44" s="41"/>
      <c r="TC44" s="41"/>
      <c r="TD44" s="41"/>
      <c r="TE44" s="41"/>
      <c r="TF44" s="41"/>
      <c r="TG44" s="41"/>
      <c r="TH44" s="41"/>
      <c r="TI44" s="41"/>
      <c r="TJ44" s="41"/>
      <c r="TK44" s="41"/>
      <c r="TL44" s="41"/>
      <c r="TM44" s="41"/>
      <c r="TN44" s="41"/>
      <c r="TO44" s="41"/>
      <c r="TP44" s="41"/>
      <c r="TQ44" s="41"/>
      <c r="TR44" s="41"/>
      <c r="TS44" s="41"/>
      <c r="TT44" s="41"/>
      <c r="TU44" s="41"/>
      <c r="TV44" s="41"/>
      <c r="TW44" s="41"/>
      <c r="TX44" s="41"/>
      <c r="TY44" s="41"/>
      <c r="TZ44" s="41"/>
      <c r="UA44" s="41"/>
      <c r="UB44" s="41"/>
      <c r="UC44" s="41"/>
      <c r="UD44" s="41"/>
      <c r="UE44" s="41"/>
      <c r="UF44" s="41"/>
      <c r="UG44" s="41"/>
      <c r="UH44" s="41"/>
      <c r="UI44" s="41"/>
      <c r="UJ44" s="41"/>
      <c r="UK44" s="41"/>
      <c r="UL44" s="41"/>
      <c r="UM44" s="41"/>
      <c r="UN44" s="41"/>
      <c r="UO44" s="41"/>
      <c r="UP44" s="41"/>
      <c r="UQ44" s="41"/>
      <c r="UR44" s="41"/>
      <c r="US44" s="41"/>
      <c r="UT44" s="41"/>
      <c r="UU44" s="41"/>
      <c r="UV44" s="41"/>
      <c r="UW44" s="41"/>
      <c r="UX44" s="41"/>
      <c r="UY44" s="41"/>
      <c r="UZ44" s="41"/>
      <c r="VA44" s="41"/>
      <c r="VB44" s="41"/>
      <c r="VC44" s="41"/>
      <c r="VD44" s="41"/>
      <c r="VE44" s="41"/>
      <c r="VF44" s="41"/>
      <c r="VG44" s="41"/>
      <c r="VH44" s="41"/>
      <c r="VI44" s="41"/>
      <c r="VJ44" s="41"/>
      <c r="VK44" s="41"/>
      <c r="VL44" s="41"/>
      <c r="VM44" s="41"/>
      <c r="VN44" s="41"/>
      <c r="VO44" s="41"/>
      <c r="VP44" s="41"/>
      <c r="VQ44" s="41"/>
      <c r="VR44" s="41"/>
      <c r="VS44" s="41"/>
      <c r="VT44" s="41"/>
      <c r="VU44" s="41"/>
      <c r="VV44" s="41"/>
      <c r="VW44" s="41"/>
      <c r="VX44" s="41"/>
      <c r="VY44" s="41"/>
      <c r="VZ44" s="41"/>
      <c r="WA44" s="41"/>
      <c r="WB44" s="41"/>
      <c r="WC44" s="41"/>
      <c r="WD44" s="41"/>
      <c r="WE44" s="41"/>
      <c r="WF44" s="41"/>
      <c r="WG44" s="41"/>
      <c r="WH44" s="41"/>
      <c r="WI44" s="41"/>
      <c r="WJ44" s="41"/>
      <c r="WK44" s="41"/>
      <c r="WL44" s="41"/>
      <c r="WM44" s="41"/>
      <c r="WN44" s="41"/>
      <c r="WO44" s="41"/>
      <c r="WP44" s="41"/>
      <c r="WQ44" s="41"/>
      <c r="WR44" s="41"/>
      <c r="WS44" s="41"/>
      <c r="WT44" s="41"/>
      <c r="WU44" s="41"/>
      <c r="WV44" s="41"/>
      <c r="WW44" s="41"/>
      <c r="WX44" s="41"/>
      <c r="WY44" s="41"/>
      <c r="WZ44" s="41"/>
      <c r="XA44" s="41"/>
      <c r="XB44" s="41"/>
      <c r="XC44" s="41"/>
      <c r="XD44" s="41"/>
      <c r="XE44" s="41"/>
      <c r="XF44" s="41"/>
      <c r="XG44" s="41"/>
      <c r="XH44" s="41"/>
      <c r="XI44" s="41"/>
      <c r="XJ44" s="41"/>
      <c r="XK44" s="41"/>
      <c r="XL44" s="41"/>
      <c r="XM44" s="41"/>
      <c r="XN44" s="41"/>
      <c r="XO44" s="41"/>
      <c r="XP44" s="41"/>
      <c r="XQ44" s="41"/>
      <c r="XR44" s="41"/>
      <c r="XS44" s="41"/>
      <c r="XT44" s="41"/>
      <c r="XU44" s="41"/>
      <c r="XV44" s="41"/>
      <c r="XW44" s="41"/>
      <c r="XX44" s="41"/>
      <c r="XY44" s="41"/>
      <c r="XZ44" s="41"/>
      <c r="YA44" s="41"/>
      <c r="YB44" s="41"/>
      <c r="YC44" s="41"/>
      <c r="YD44" s="41"/>
      <c r="YE44" s="41"/>
      <c r="YF44" s="41"/>
      <c r="YG44" s="41"/>
      <c r="YH44" s="41"/>
      <c r="YI44" s="41"/>
      <c r="YJ44" s="41"/>
      <c r="YK44" s="41"/>
      <c r="YL44" s="41"/>
      <c r="YM44" s="41"/>
      <c r="YN44" s="41"/>
      <c r="YO44" s="41"/>
      <c r="YP44" s="41"/>
      <c r="YQ44" s="41"/>
      <c r="YR44" s="41"/>
      <c r="YS44" s="41"/>
      <c r="YT44" s="41"/>
      <c r="YU44" s="41"/>
      <c r="YV44" s="41"/>
      <c r="YW44" s="41"/>
      <c r="YX44" s="41"/>
      <c r="YY44" s="41"/>
      <c r="YZ44" s="41"/>
      <c r="ZA44" s="41"/>
      <c r="ZB44" s="41"/>
      <c r="ZC44" s="41"/>
      <c r="ZD44" s="41"/>
      <c r="ZE44" s="41"/>
      <c r="ZF44" s="41"/>
      <c r="ZG44" s="41"/>
      <c r="ZH44" s="41"/>
      <c r="ZI44" s="41"/>
      <c r="ZJ44" s="41"/>
      <c r="ZK44" s="41"/>
      <c r="ZL44" s="41"/>
      <c r="ZM44" s="41"/>
      <c r="ZN44" s="41"/>
      <c r="ZO44" s="41"/>
      <c r="ZP44" s="41"/>
      <c r="ZQ44" s="41"/>
      <c r="ZR44" s="41"/>
      <c r="ZS44" s="41"/>
      <c r="ZT44" s="41"/>
      <c r="ZU44" s="41"/>
      <c r="ZV44" s="41"/>
      <c r="ZW44" s="41"/>
      <c r="ZX44" s="41"/>
      <c r="ZY44" s="41"/>
      <c r="ZZ44" s="41"/>
      <c r="AAA44" s="41"/>
      <c r="AAB44" s="41"/>
      <c r="AAC44" s="41"/>
      <c r="AAD44" s="41"/>
      <c r="AAE44" s="41"/>
      <c r="AAF44" s="41"/>
      <c r="AAG44" s="41"/>
      <c r="AAH44" s="41"/>
      <c r="AAI44" s="41"/>
      <c r="AAJ44" s="41"/>
      <c r="AAK44" s="41"/>
      <c r="AAL44" s="41"/>
      <c r="AAM44" s="41"/>
      <c r="AAN44" s="41"/>
      <c r="AAO44" s="41"/>
      <c r="AAP44" s="41"/>
      <c r="AAQ44" s="41"/>
      <c r="AAR44" s="41"/>
      <c r="AAS44" s="41"/>
      <c r="AAT44" s="41"/>
      <c r="AAU44" s="41"/>
      <c r="AAV44" s="41"/>
      <c r="AAW44" s="41"/>
      <c r="AAX44" s="41"/>
      <c r="AAY44" s="41"/>
      <c r="AAZ44" s="41"/>
      <c r="ABA44" s="41"/>
      <c r="ABB44" s="41"/>
      <c r="ABC44" s="41"/>
      <c r="ABD44" s="41"/>
      <c r="ABE44" s="41"/>
      <c r="ABF44" s="41"/>
      <c r="ABG44" s="41"/>
      <c r="ABH44" s="41"/>
      <c r="ABI44" s="41"/>
      <c r="ABJ44" s="41"/>
      <c r="ABK44" s="41"/>
      <c r="ABL44" s="41"/>
      <c r="ABM44" s="41"/>
      <c r="ABN44" s="41"/>
      <c r="ABO44" s="41"/>
      <c r="ABP44" s="41"/>
      <c r="ABQ44" s="41"/>
      <c r="ABR44" s="41"/>
      <c r="ABS44" s="41"/>
      <c r="ABT44" s="41"/>
      <c r="ABU44" s="41"/>
      <c r="ABV44" s="41"/>
      <c r="ABW44" s="41"/>
      <c r="ABX44" s="41"/>
      <c r="ABY44" s="41"/>
      <c r="ABZ44" s="41"/>
      <c r="ACA44" s="41"/>
      <c r="ACB44" s="41"/>
      <c r="ACC44" s="41"/>
      <c r="ACD44" s="41"/>
      <c r="ACE44" s="41"/>
      <c r="ACF44" s="41"/>
      <c r="ACG44" s="41"/>
      <c r="ACH44" s="41"/>
      <c r="ACI44" s="41"/>
      <c r="ACJ44" s="41"/>
      <c r="ACK44" s="41"/>
      <c r="ACL44" s="41"/>
      <c r="ACM44" s="41"/>
      <c r="ACN44" s="41"/>
      <c r="ACO44" s="41"/>
      <c r="ACP44" s="41"/>
      <c r="ACQ44" s="41"/>
      <c r="ACR44" s="41"/>
      <c r="ACS44" s="41"/>
      <c r="ACT44" s="41"/>
      <c r="ACU44" s="41"/>
      <c r="ACV44" s="41"/>
      <c r="ACW44" s="41"/>
      <c r="ACX44" s="41"/>
      <c r="ACY44" s="41"/>
      <c r="ACZ44" s="41"/>
      <c r="ADA44" s="41"/>
      <c r="ADB44" s="41"/>
      <c r="ADC44" s="41"/>
      <c r="ADD44" s="41"/>
      <c r="ADE44" s="41"/>
      <c r="ADF44" s="41"/>
      <c r="ADG44" s="41"/>
      <c r="ADH44" s="41"/>
      <c r="ADI44" s="41"/>
      <c r="ADJ44" s="41"/>
      <c r="ADK44" s="41"/>
      <c r="ADL44" s="41"/>
      <c r="ADM44" s="41"/>
      <c r="ADN44" s="41"/>
      <c r="ADO44" s="41"/>
      <c r="ADP44" s="41"/>
      <c r="ADQ44" s="41"/>
      <c r="ADR44" s="41"/>
      <c r="ADS44" s="41"/>
      <c r="ADT44" s="41"/>
      <c r="ADU44" s="41"/>
      <c r="ADV44" s="41"/>
      <c r="ADW44" s="41"/>
      <c r="ADX44" s="41"/>
      <c r="ADY44" s="41"/>
      <c r="ADZ44" s="41"/>
      <c r="AEA44" s="41"/>
      <c r="AEB44" s="41"/>
      <c r="AEC44" s="41"/>
      <c r="AED44" s="41"/>
      <c r="AEE44" s="41"/>
      <c r="AEF44" s="41"/>
      <c r="AEG44" s="41"/>
      <c r="AEH44" s="41"/>
      <c r="AEI44" s="41"/>
      <c r="AEJ44" s="41"/>
      <c r="AEK44" s="41"/>
      <c r="AEL44" s="41"/>
      <c r="AEM44" s="41"/>
      <c r="AEN44" s="41"/>
      <c r="AEO44" s="41"/>
      <c r="AEP44" s="41"/>
      <c r="AEQ44" s="41"/>
      <c r="AER44" s="41"/>
      <c r="AES44" s="41"/>
      <c r="AET44" s="41"/>
      <c r="AEU44" s="41"/>
      <c r="AEV44" s="41"/>
      <c r="AEW44" s="41"/>
      <c r="AEX44" s="41"/>
      <c r="AEY44" s="41"/>
      <c r="AEZ44" s="41"/>
      <c r="AFA44" s="41"/>
      <c r="AFB44" s="41"/>
      <c r="AFC44" s="41"/>
      <c r="AFD44" s="41"/>
      <c r="AFE44" s="41"/>
      <c r="AFF44" s="41"/>
      <c r="AFG44" s="41"/>
      <c r="AFH44" s="41"/>
      <c r="AFI44" s="41"/>
      <c r="AFJ44" s="41"/>
      <c r="AFK44" s="41"/>
      <c r="AFL44" s="41"/>
      <c r="AFM44" s="41"/>
      <c r="AFN44" s="41"/>
      <c r="AFO44" s="41"/>
      <c r="AFP44" s="41"/>
      <c r="AFQ44" s="41"/>
      <c r="AFR44" s="41"/>
      <c r="AFS44" s="41"/>
      <c r="AFT44" s="41"/>
      <c r="AFU44" s="41"/>
      <c r="AFV44" s="41"/>
      <c r="AFW44" s="41"/>
      <c r="AFX44" s="41"/>
      <c r="AFY44" s="41"/>
      <c r="AFZ44" s="41"/>
      <c r="AGA44" s="41"/>
      <c r="AGB44" s="41"/>
      <c r="AGC44" s="41"/>
      <c r="AGD44" s="41"/>
      <c r="AGE44" s="41"/>
      <c r="AGF44" s="41"/>
      <c r="AGG44" s="41"/>
      <c r="AGH44" s="41"/>
      <c r="AGI44" s="41"/>
      <c r="AGJ44" s="41"/>
      <c r="AGK44" s="41"/>
      <c r="AGL44" s="41"/>
      <c r="AGM44" s="41"/>
      <c r="AGN44" s="41"/>
      <c r="AGO44" s="41"/>
      <c r="AGP44" s="41"/>
      <c r="AGQ44" s="41"/>
      <c r="AGR44" s="41"/>
      <c r="AGS44" s="41"/>
      <c r="AGT44" s="41"/>
      <c r="AGU44" s="41"/>
      <c r="AGV44" s="41"/>
      <c r="AGW44" s="41"/>
      <c r="AGX44" s="41"/>
      <c r="AGY44" s="41"/>
      <c r="AGZ44" s="41"/>
      <c r="AHA44" s="41"/>
      <c r="AHB44" s="41"/>
      <c r="AHC44" s="41"/>
      <c r="AHD44" s="41"/>
      <c r="AHE44" s="41"/>
      <c r="AHF44" s="41"/>
      <c r="AHG44" s="41"/>
      <c r="AHH44" s="41"/>
      <c r="AHI44" s="41"/>
      <c r="AHJ44" s="41"/>
      <c r="AHK44" s="41"/>
      <c r="AHL44" s="41"/>
      <c r="AHM44" s="41"/>
      <c r="AHN44" s="41"/>
      <c r="AHO44" s="41"/>
      <c r="AHP44" s="41"/>
      <c r="AHQ44" s="41"/>
      <c r="AHR44" s="41"/>
      <c r="AHS44" s="41"/>
      <c r="AHT44" s="41"/>
      <c r="AHU44" s="41"/>
      <c r="AHV44" s="41"/>
      <c r="AHW44" s="41"/>
      <c r="AHX44" s="41"/>
      <c r="AHY44" s="41"/>
      <c r="AHZ44" s="41"/>
      <c r="AIA44" s="41"/>
      <c r="AIB44" s="41"/>
      <c r="AIC44" s="41"/>
      <c r="AID44" s="41"/>
      <c r="AIE44" s="41"/>
      <c r="AIF44" s="41"/>
      <c r="AIG44" s="41"/>
      <c r="AIH44" s="41"/>
      <c r="AII44" s="41"/>
      <c r="AIJ44" s="41"/>
      <c r="AIK44" s="41"/>
      <c r="AIL44" s="41"/>
      <c r="AIM44" s="41"/>
      <c r="AIN44" s="41"/>
      <c r="AIO44" s="41"/>
      <c r="AIP44" s="41"/>
      <c r="AIQ44" s="41"/>
      <c r="AIR44" s="41"/>
      <c r="AIS44" s="41"/>
      <c r="AIT44" s="41"/>
      <c r="AIU44" s="41"/>
      <c r="AIV44" s="41"/>
      <c r="AIW44" s="41"/>
      <c r="AIX44" s="41"/>
      <c r="AIY44" s="41"/>
      <c r="AIZ44" s="41"/>
      <c r="AJA44" s="41"/>
      <c r="AJB44" s="41"/>
      <c r="AJC44" s="41"/>
      <c r="AJD44" s="41"/>
      <c r="AJE44" s="41"/>
      <c r="AJF44" s="41"/>
      <c r="AJG44" s="41"/>
      <c r="AJH44" s="41"/>
      <c r="AJI44" s="41"/>
      <c r="AJJ44" s="41"/>
      <c r="AJK44" s="41"/>
      <c r="AJL44" s="41"/>
      <c r="AJM44" s="41"/>
      <c r="AJN44" s="41"/>
      <c r="AJO44" s="41"/>
      <c r="AJP44" s="41"/>
      <c r="AJQ44" s="41"/>
      <c r="AJR44" s="41"/>
      <c r="AJS44" s="41"/>
      <c r="AJT44" s="41"/>
      <c r="AJU44" s="41"/>
      <c r="AJV44" s="41"/>
      <c r="AJW44" s="41"/>
      <c r="AJX44" s="41"/>
      <c r="AJY44" s="41"/>
      <c r="AJZ44" s="41"/>
      <c r="AKA44" s="41"/>
      <c r="AKB44" s="41"/>
      <c r="AKC44" s="41"/>
      <c r="AKD44" s="41"/>
      <c r="AKE44" s="41"/>
      <c r="AKF44" s="41"/>
      <c r="AKG44" s="41"/>
      <c r="AKH44" s="41"/>
      <c r="AKI44" s="41"/>
      <c r="AKJ44" s="41"/>
      <c r="AKK44" s="41"/>
      <c r="AKL44" s="41"/>
      <c r="AKM44" s="41"/>
      <c r="AKN44" s="41"/>
      <c r="AKO44" s="41"/>
      <c r="AKP44" s="41"/>
      <c r="AKQ44" s="41"/>
      <c r="AKR44" s="41"/>
      <c r="AKS44" s="41"/>
      <c r="AKT44" s="41"/>
      <c r="AKU44" s="41"/>
      <c r="AKV44" s="41"/>
      <c r="AKW44" s="41"/>
      <c r="AKX44" s="41"/>
      <c r="AKY44" s="41"/>
      <c r="AKZ44" s="41"/>
      <c r="ALA44" s="41"/>
      <c r="ALB44" s="41"/>
      <c r="ALC44" s="41"/>
      <c r="ALD44" s="41"/>
      <c r="ALE44" s="41"/>
      <c r="ALF44" s="41"/>
      <c r="ALG44" s="41"/>
      <c r="ALH44" s="41"/>
      <c r="ALI44" s="41"/>
      <c r="ALJ44" s="41"/>
      <c r="ALK44" s="41"/>
      <c r="ALL44" s="41"/>
      <c r="ALM44" s="41"/>
      <c r="ALN44" s="41"/>
      <c r="ALO44" s="41"/>
      <c r="ALP44" s="41"/>
      <c r="ALQ44" s="41"/>
      <c r="ALR44" s="41"/>
      <c r="ALS44" s="41"/>
      <c r="ALT44" s="41"/>
      <c r="ALU44" s="41"/>
      <c r="ALV44" s="41"/>
      <c r="ALW44" s="41"/>
      <c r="ALX44" s="41"/>
      <c r="ALY44" s="41"/>
      <c r="ALZ44" s="41"/>
      <c r="AMA44" s="41"/>
      <c r="AMB44" s="41"/>
      <c r="AMC44" s="41"/>
      <c r="AMD44" s="41"/>
      <c r="AME44" s="41"/>
      <c r="AMF44" s="41"/>
      <c r="AMG44" s="41"/>
      <c r="AMH44" s="41"/>
      <c r="AMI44" s="41"/>
      <c r="AMJ44" s="41"/>
      <c r="AMK44" s="41"/>
      <c r="AML44" s="41"/>
      <c r="AMM44" s="41"/>
      <c r="AMN44" s="41"/>
      <c r="AMO44" s="41"/>
      <c r="AMP44" s="41"/>
      <c r="AMQ44" s="41"/>
      <c r="AMR44" s="41"/>
      <c r="AMS44" s="41"/>
      <c r="AMT44" s="41"/>
      <c r="AMU44" s="41"/>
      <c r="AMV44" s="41"/>
      <c r="AMW44" s="41"/>
      <c r="AMX44" s="41"/>
      <c r="AMY44" s="41"/>
      <c r="AMZ44" s="41"/>
      <c r="ANA44" s="41"/>
      <c r="ANB44" s="41"/>
      <c r="ANC44" s="41"/>
      <c r="AND44" s="41"/>
      <c r="ANE44" s="41"/>
      <c r="ANF44" s="41"/>
      <c r="ANG44" s="41"/>
      <c r="ANH44" s="41"/>
      <c r="ANI44" s="41"/>
      <c r="ANJ44" s="41"/>
      <c r="ANK44" s="41"/>
    </row>
    <row r="45" s="44" customFormat="true" ht="15" hidden="false" customHeight="false" outlineLevel="0" collapsed="false">
      <c r="A45" s="55" t="s">
        <v>67</v>
      </c>
      <c r="B45" s="43" t="n">
        <v>0</v>
      </c>
      <c r="C45" s="44" t="n">
        <v>0</v>
      </c>
      <c r="D45" s="44" t="n">
        <v>0</v>
      </c>
      <c r="E45" s="45" t="n">
        <v>500</v>
      </c>
      <c r="F45" s="43" t="n">
        <v>0</v>
      </c>
      <c r="G45" s="44" t="n">
        <v>190</v>
      </c>
      <c r="H45" s="46" t="n">
        <v>15</v>
      </c>
      <c r="I45" s="47" t="n">
        <v>95.4</v>
      </c>
      <c r="J45" s="48" t="n">
        <v>0</v>
      </c>
      <c r="K45" s="43"/>
      <c r="M45" s="46" t="n">
        <v>0</v>
      </c>
      <c r="N45" s="43" t="n">
        <v>0</v>
      </c>
      <c r="O45" s="46" t="n">
        <v>0</v>
      </c>
      <c r="P45" s="49" t="n">
        <v>0</v>
      </c>
      <c r="Q45" s="50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6" t="n">
        <v>0</v>
      </c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41"/>
      <c r="JB45" s="41"/>
      <c r="JC45" s="41"/>
      <c r="JD45" s="41"/>
      <c r="JE45" s="41"/>
      <c r="JF45" s="41"/>
      <c r="JG45" s="41"/>
      <c r="JH45" s="41"/>
      <c r="JI45" s="41"/>
      <c r="JJ45" s="41"/>
      <c r="JK45" s="41"/>
      <c r="JL45" s="41"/>
      <c r="JM45" s="41"/>
      <c r="JN45" s="41"/>
      <c r="JO45" s="41"/>
      <c r="JP45" s="41"/>
      <c r="JQ45" s="41"/>
      <c r="JR45" s="41"/>
      <c r="JS45" s="41"/>
      <c r="JT45" s="41"/>
      <c r="JU45" s="41"/>
      <c r="JV45" s="41"/>
      <c r="JW45" s="41"/>
      <c r="JX45" s="41"/>
      <c r="JY45" s="41"/>
      <c r="JZ45" s="41"/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/>
      <c r="KU45" s="41"/>
      <c r="KV45" s="41"/>
      <c r="KW45" s="41"/>
      <c r="KX45" s="41"/>
      <c r="KY45" s="41"/>
      <c r="KZ45" s="41"/>
      <c r="LA45" s="41"/>
      <c r="LB45" s="41"/>
      <c r="LC45" s="41"/>
      <c r="LD45" s="41"/>
      <c r="LE45" s="41"/>
      <c r="LF45" s="41"/>
      <c r="LG45" s="41"/>
      <c r="LH45" s="41"/>
      <c r="LI45" s="41"/>
      <c r="LJ45" s="41"/>
      <c r="LK45" s="41"/>
      <c r="LL45" s="41"/>
      <c r="LM45" s="41"/>
      <c r="LN45" s="41"/>
      <c r="LO45" s="41"/>
      <c r="LP45" s="41"/>
      <c r="LQ45" s="41"/>
      <c r="LR45" s="41"/>
      <c r="LS45" s="41"/>
      <c r="LT45" s="41"/>
      <c r="LU45" s="41"/>
      <c r="LV45" s="41"/>
      <c r="LW45" s="41"/>
      <c r="LX45" s="41"/>
      <c r="LY45" s="41"/>
      <c r="LZ45" s="41"/>
      <c r="MA45" s="41"/>
      <c r="MB45" s="41"/>
      <c r="MC45" s="41"/>
      <c r="MD45" s="41"/>
      <c r="ME45" s="41"/>
      <c r="MF45" s="41"/>
      <c r="MG45" s="41"/>
      <c r="MH45" s="41"/>
      <c r="MI45" s="41"/>
      <c r="MJ45" s="41"/>
      <c r="MK45" s="41"/>
      <c r="ML45" s="41"/>
      <c r="MM45" s="41"/>
      <c r="MN45" s="41"/>
      <c r="MO45" s="41"/>
      <c r="MP45" s="41"/>
      <c r="MQ45" s="41"/>
      <c r="MR45" s="41"/>
      <c r="MS45" s="41"/>
      <c r="MT45" s="41"/>
      <c r="MU45" s="41"/>
      <c r="MV45" s="41"/>
      <c r="MW45" s="41"/>
      <c r="MX45" s="41"/>
      <c r="MY45" s="41"/>
      <c r="MZ45" s="41"/>
      <c r="NA45" s="41"/>
      <c r="NB45" s="41"/>
      <c r="NC45" s="41"/>
      <c r="ND45" s="41"/>
      <c r="NE45" s="41"/>
      <c r="NF45" s="41"/>
      <c r="NG45" s="41"/>
      <c r="NH45" s="41"/>
      <c r="NI45" s="41"/>
      <c r="NJ45" s="41"/>
      <c r="NK45" s="41"/>
      <c r="NL45" s="41"/>
      <c r="NM45" s="41"/>
      <c r="NN45" s="41"/>
      <c r="NO45" s="41"/>
      <c r="NP45" s="41"/>
      <c r="NQ45" s="41"/>
      <c r="NR45" s="41"/>
      <c r="NS45" s="41"/>
      <c r="NT45" s="41"/>
      <c r="NU45" s="41"/>
      <c r="NV45" s="41"/>
      <c r="NW45" s="41"/>
      <c r="NX45" s="41"/>
      <c r="NY45" s="41"/>
      <c r="NZ45" s="41"/>
      <c r="OA45" s="41"/>
      <c r="OB45" s="41"/>
      <c r="OC45" s="41"/>
      <c r="OD45" s="41"/>
      <c r="OE45" s="41"/>
      <c r="OF45" s="41"/>
      <c r="OG45" s="41"/>
      <c r="OH45" s="41"/>
      <c r="OI45" s="41"/>
      <c r="OJ45" s="41"/>
      <c r="OK45" s="41"/>
      <c r="OL45" s="41"/>
      <c r="OM45" s="41"/>
      <c r="ON45" s="41"/>
      <c r="OO45" s="41"/>
      <c r="OP45" s="41"/>
      <c r="OQ45" s="41"/>
      <c r="OR45" s="41"/>
      <c r="OS45" s="41"/>
      <c r="OT45" s="41"/>
      <c r="OU45" s="41"/>
      <c r="OV45" s="41"/>
      <c r="OW45" s="41"/>
      <c r="OX45" s="41"/>
      <c r="OY45" s="41"/>
      <c r="OZ45" s="41"/>
      <c r="PA45" s="41"/>
      <c r="PB45" s="41"/>
      <c r="PC45" s="41"/>
      <c r="PD45" s="41"/>
      <c r="PE45" s="41"/>
      <c r="PF45" s="41"/>
      <c r="PG45" s="41"/>
      <c r="PH45" s="41"/>
      <c r="PI45" s="41"/>
      <c r="PJ45" s="41"/>
      <c r="PK45" s="41"/>
      <c r="PL45" s="41"/>
      <c r="PM45" s="41"/>
      <c r="PN45" s="41"/>
      <c r="PO45" s="41"/>
      <c r="PP45" s="41"/>
      <c r="PQ45" s="41"/>
      <c r="PR45" s="41"/>
      <c r="PS45" s="41"/>
      <c r="PT45" s="41"/>
      <c r="PU45" s="41"/>
      <c r="PV45" s="41"/>
      <c r="PW45" s="41"/>
      <c r="PX45" s="41"/>
      <c r="PY45" s="41"/>
      <c r="PZ45" s="41"/>
      <c r="QA45" s="41"/>
      <c r="QB45" s="41"/>
      <c r="QC45" s="41"/>
      <c r="QD45" s="41"/>
      <c r="QE45" s="41"/>
      <c r="QF45" s="41"/>
      <c r="QG45" s="41"/>
      <c r="QH45" s="41"/>
      <c r="QI45" s="41"/>
      <c r="QJ45" s="41"/>
      <c r="QK45" s="41"/>
      <c r="QL45" s="41"/>
      <c r="QM45" s="41"/>
      <c r="QN45" s="41"/>
      <c r="QO45" s="41"/>
      <c r="QP45" s="41"/>
      <c r="QQ45" s="41"/>
      <c r="QR45" s="41"/>
      <c r="QS45" s="41"/>
      <c r="QT45" s="41"/>
      <c r="QU45" s="41"/>
      <c r="QV45" s="41"/>
      <c r="QW45" s="41"/>
      <c r="QX45" s="41"/>
      <c r="QY45" s="41"/>
      <c r="QZ45" s="41"/>
      <c r="RA45" s="41"/>
      <c r="RB45" s="41"/>
      <c r="RC45" s="41"/>
      <c r="RD45" s="41"/>
      <c r="RE45" s="41"/>
      <c r="RF45" s="41"/>
      <c r="RG45" s="41"/>
      <c r="RH45" s="41"/>
      <c r="RI45" s="41"/>
      <c r="RJ45" s="41"/>
      <c r="RK45" s="41"/>
      <c r="RL45" s="41"/>
      <c r="RM45" s="41"/>
      <c r="RN45" s="41"/>
      <c r="RO45" s="41"/>
      <c r="RP45" s="41"/>
      <c r="RQ45" s="41"/>
      <c r="RR45" s="41"/>
      <c r="RS45" s="41"/>
      <c r="RT45" s="41"/>
      <c r="RU45" s="41"/>
      <c r="RV45" s="41"/>
      <c r="RW45" s="41"/>
      <c r="RX45" s="41"/>
      <c r="RY45" s="41"/>
      <c r="RZ45" s="41"/>
      <c r="SA45" s="41"/>
      <c r="SB45" s="41"/>
      <c r="SC45" s="41"/>
      <c r="SD45" s="41"/>
      <c r="SE45" s="41"/>
      <c r="SF45" s="41"/>
      <c r="SG45" s="41"/>
      <c r="SH45" s="41"/>
      <c r="SI45" s="41"/>
      <c r="SJ45" s="41"/>
      <c r="SK45" s="41"/>
      <c r="SL45" s="41"/>
      <c r="SM45" s="41"/>
      <c r="SN45" s="41"/>
      <c r="SO45" s="41"/>
      <c r="SP45" s="41"/>
      <c r="SQ45" s="41"/>
      <c r="SR45" s="41"/>
      <c r="SS45" s="41"/>
      <c r="ST45" s="41"/>
      <c r="SU45" s="41"/>
      <c r="SV45" s="41"/>
      <c r="SW45" s="41"/>
      <c r="SX45" s="41"/>
      <c r="SY45" s="41"/>
      <c r="SZ45" s="41"/>
      <c r="TA45" s="41"/>
      <c r="TB45" s="41"/>
      <c r="TC45" s="41"/>
      <c r="TD45" s="41"/>
      <c r="TE45" s="41"/>
      <c r="TF45" s="41"/>
      <c r="TG45" s="41"/>
      <c r="TH45" s="41"/>
      <c r="TI45" s="41"/>
      <c r="TJ45" s="41"/>
      <c r="TK45" s="41"/>
      <c r="TL45" s="41"/>
      <c r="TM45" s="41"/>
      <c r="TN45" s="41"/>
      <c r="TO45" s="41"/>
      <c r="TP45" s="41"/>
      <c r="TQ45" s="41"/>
      <c r="TR45" s="41"/>
      <c r="TS45" s="41"/>
      <c r="TT45" s="41"/>
      <c r="TU45" s="41"/>
      <c r="TV45" s="41"/>
      <c r="TW45" s="41"/>
      <c r="TX45" s="41"/>
      <c r="TY45" s="41"/>
      <c r="TZ45" s="41"/>
      <c r="UA45" s="41"/>
      <c r="UB45" s="41"/>
      <c r="UC45" s="41"/>
      <c r="UD45" s="41"/>
      <c r="UE45" s="41"/>
      <c r="UF45" s="41"/>
      <c r="UG45" s="41"/>
      <c r="UH45" s="41"/>
      <c r="UI45" s="41"/>
      <c r="UJ45" s="41"/>
      <c r="UK45" s="41"/>
      <c r="UL45" s="41"/>
      <c r="UM45" s="41"/>
      <c r="UN45" s="41"/>
      <c r="UO45" s="41"/>
      <c r="UP45" s="41"/>
      <c r="UQ45" s="41"/>
      <c r="UR45" s="41"/>
      <c r="US45" s="41"/>
      <c r="UT45" s="41"/>
      <c r="UU45" s="41"/>
      <c r="UV45" s="41"/>
      <c r="UW45" s="41"/>
      <c r="UX45" s="41"/>
      <c r="UY45" s="41"/>
      <c r="UZ45" s="41"/>
      <c r="VA45" s="41"/>
      <c r="VB45" s="41"/>
      <c r="VC45" s="41"/>
      <c r="VD45" s="41"/>
      <c r="VE45" s="41"/>
      <c r="VF45" s="41"/>
      <c r="VG45" s="41"/>
      <c r="VH45" s="41"/>
      <c r="VI45" s="41"/>
      <c r="VJ45" s="41"/>
      <c r="VK45" s="41"/>
      <c r="VL45" s="41"/>
      <c r="VM45" s="41"/>
      <c r="VN45" s="41"/>
      <c r="VO45" s="41"/>
      <c r="VP45" s="41"/>
      <c r="VQ45" s="41"/>
      <c r="VR45" s="41"/>
      <c r="VS45" s="41"/>
      <c r="VT45" s="41"/>
      <c r="VU45" s="41"/>
      <c r="VV45" s="41"/>
      <c r="VW45" s="41"/>
      <c r="VX45" s="41"/>
      <c r="VY45" s="41"/>
      <c r="VZ45" s="41"/>
      <c r="WA45" s="41"/>
      <c r="WB45" s="41"/>
      <c r="WC45" s="41"/>
      <c r="WD45" s="41"/>
      <c r="WE45" s="41"/>
      <c r="WF45" s="41"/>
      <c r="WG45" s="41"/>
      <c r="WH45" s="41"/>
      <c r="WI45" s="41"/>
      <c r="WJ45" s="41"/>
      <c r="WK45" s="41"/>
      <c r="WL45" s="41"/>
      <c r="WM45" s="41"/>
      <c r="WN45" s="41"/>
      <c r="WO45" s="41"/>
      <c r="WP45" s="41"/>
      <c r="WQ45" s="41"/>
      <c r="WR45" s="41"/>
      <c r="WS45" s="41"/>
      <c r="WT45" s="41"/>
      <c r="WU45" s="41"/>
      <c r="WV45" s="41"/>
      <c r="WW45" s="41"/>
      <c r="WX45" s="41"/>
      <c r="WY45" s="41"/>
      <c r="WZ45" s="41"/>
      <c r="XA45" s="41"/>
      <c r="XB45" s="41"/>
      <c r="XC45" s="41"/>
      <c r="XD45" s="41"/>
      <c r="XE45" s="41"/>
      <c r="XF45" s="41"/>
      <c r="XG45" s="41"/>
      <c r="XH45" s="41"/>
      <c r="XI45" s="41"/>
      <c r="XJ45" s="41"/>
      <c r="XK45" s="41"/>
      <c r="XL45" s="41"/>
      <c r="XM45" s="41"/>
      <c r="XN45" s="41"/>
      <c r="XO45" s="41"/>
      <c r="XP45" s="41"/>
      <c r="XQ45" s="41"/>
      <c r="XR45" s="41"/>
      <c r="XS45" s="41"/>
      <c r="XT45" s="41"/>
      <c r="XU45" s="41"/>
      <c r="XV45" s="41"/>
      <c r="XW45" s="41"/>
      <c r="XX45" s="41"/>
      <c r="XY45" s="41"/>
      <c r="XZ45" s="41"/>
      <c r="YA45" s="41"/>
      <c r="YB45" s="41"/>
      <c r="YC45" s="41"/>
      <c r="YD45" s="41"/>
      <c r="YE45" s="41"/>
      <c r="YF45" s="41"/>
      <c r="YG45" s="41"/>
      <c r="YH45" s="41"/>
      <c r="YI45" s="41"/>
      <c r="YJ45" s="41"/>
      <c r="YK45" s="41"/>
      <c r="YL45" s="41"/>
      <c r="YM45" s="41"/>
      <c r="YN45" s="41"/>
      <c r="YO45" s="41"/>
      <c r="YP45" s="41"/>
      <c r="YQ45" s="41"/>
      <c r="YR45" s="41"/>
      <c r="YS45" s="41"/>
      <c r="YT45" s="41"/>
      <c r="YU45" s="41"/>
      <c r="YV45" s="41"/>
      <c r="YW45" s="41"/>
      <c r="YX45" s="41"/>
      <c r="YY45" s="41"/>
      <c r="YZ45" s="41"/>
      <c r="ZA45" s="41"/>
      <c r="ZB45" s="41"/>
      <c r="ZC45" s="41"/>
      <c r="ZD45" s="41"/>
      <c r="ZE45" s="41"/>
      <c r="ZF45" s="41"/>
      <c r="ZG45" s="41"/>
      <c r="ZH45" s="41"/>
      <c r="ZI45" s="41"/>
      <c r="ZJ45" s="41"/>
      <c r="ZK45" s="41"/>
      <c r="ZL45" s="41"/>
      <c r="ZM45" s="41"/>
      <c r="ZN45" s="41"/>
      <c r="ZO45" s="41"/>
      <c r="ZP45" s="41"/>
      <c r="ZQ45" s="41"/>
      <c r="ZR45" s="41"/>
      <c r="ZS45" s="41"/>
      <c r="ZT45" s="41"/>
      <c r="ZU45" s="41"/>
      <c r="ZV45" s="41"/>
      <c r="ZW45" s="41"/>
      <c r="ZX45" s="41"/>
      <c r="ZY45" s="41"/>
      <c r="ZZ45" s="41"/>
      <c r="AAA45" s="41"/>
      <c r="AAB45" s="41"/>
      <c r="AAC45" s="41"/>
      <c r="AAD45" s="41"/>
      <c r="AAE45" s="41"/>
      <c r="AAF45" s="41"/>
      <c r="AAG45" s="41"/>
      <c r="AAH45" s="41"/>
      <c r="AAI45" s="41"/>
      <c r="AAJ45" s="41"/>
      <c r="AAK45" s="41"/>
      <c r="AAL45" s="41"/>
      <c r="AAM45" s="41"/>
      <c r="AAN45" s="41"/>
      <c r="AAO45" s="41"/>
      <c r="AAP45" s="41"/>
      <c r="AAQ45" s="41"/>
      <c r="AAR45" s="41"/>
      <c r="AAS45" s="41"/>
      <c r="AAT45" s="41"/>
      <c r="AAU45" s="41"/>
      <c r="AAV45" s="41"/>
      <c r="AAW45" s="41"/>
      <c r="AAX45" s="41"/>
      <c r="AAY45" s="41"/>
      <c r="AAZ45" s="41"/>
      <c r="ABA45" s="41"/>
      <c r="ABB45" s="41"/>
      <c r="ABC45" s="41"/>
      <c r="ABD45" s="41"/>
      <c r="ABE45" s="41"/>
      <c r="ABF45" s="41"/>
      <c r="ABG45" s="41"/>
      <c r="ABH45" s="41"/>
      <c r="ABI45" s="41"/>
      <c r="ABJ45" s="41"/>
      <c r="ABK45" s="41"/>
      <c r="ABL45" s="41"/>
      <c r="ABM45" s="41"/>
      <c r="ABN45" s="41"/>
      <c r="ABO45" s="41"/>
      <c r="ABP45" s="41"/>
      <c r="ABQ45" s="41"/>
      <c r="ABR45" s="41"/>
      <c r="ABS45" s="41"/>
      <c r="ABT45" s="41"/>
      <c r="ABU45" s="41"/>
      <c r="ABV45" s="41"/>
      <c r="ABW45" s="41"/>
      <c r="ABX45" s="41"/>
      <c r="ABY45" s="41"/>
      <c r="ABZ45" s="41"/>
      <c r="ACA45" s="41"/>
      <c r="ACB45" s="41"/>
      <c r="ACC45" s="41"/>
      <c r="ACD45" s="41"/>
      <c r="ACE45" s="41"/>
      <c r="ACF45" s="41"/>
      <c r="ACG45" s="41"/>
      <c r="ACH45" s="41"/>
      <c r="ACI45" s="41"/>
      <c r="ACJ45" s="41"/>
      <c r="ACK45" s="41"/>
      <c r="ACL45" s="41"/>
      <c r="ACM45" s="41"/>
      <c r="ACN45" s="41"/>
      <c r="ACO45" s="41"/>
      <c r="ACP45" s="41"/>
      <c r="ACQ45" s="41"/>
      <c r="ACR45" s="41"/>
      <c r="ACS45" s="41"/>
      <c r="ACT45" s="41"/>
      <c r="ACU45" s="41"/>
      <c r="ACV45" s="41"/>
      <c r="ACW45" s="41"/>
      <c r="ACX45" s="41"/>
      <c r="ACY45" s="41"/>
      <c r="ACZ45" s="41"/>
      <c r="ADA45" s="41"/>
      <c r="ADB45" s="41"/>
      <c r="ADC45" s="41"/>
      <c r="ADD45" s="41"/>
      <c r="ADE45" s="41"/>
      <c r="ADF45" s="41"/>
      <c r="ADG45" s="41"/>
      <c r="ADH45" s="41"/>
      <c r="ADI45" s="41"/>
      <c r="ADJ45" s="41"/>
      <c r="ADK45" s="41"/>
      <c r="ADL45" s="41"/>
      <c r="ADM45" s="41"/>
      <c r="ADN45" s="41"/>
      <c r="ADO45" s="41"/>
      <c r="ADP45" s="41"/>
      <c r="ADQ45" s="41"/>
      <c r="ADR45" s="41"/>
      <c r="ADS45" s="41"/>
      <c r="ADT45" s="41"/>
      <c r="ADU45" s="41"/>
      <c r="ADV45" s="41"/>
      <c r="ADW45" s="41"/>
      <c r="ADX45" s="41"/>
      <c r="ADY45" s="41"/>
      <c r="ADZ45" s="41"/>
      <c r="AEA45" s="41"/>
      <c r="AEB45" s="41"/>
      <c r="AEC45" s="41"/>
      <c r="AED45" s="41"/>
      <c r="AEE45" s="41"/>
      <c r="AEF45" s="41"/>
      <c r="AEG45" s="41"/>
      <c r="AEH45" s="41"/>
      <c r="AEI45" s="41"/>
      <c r="AEJ45" s="41"/>
      <c r="AEK45" s="41"/>
      <c r="AEL45" s="41"/>
      <c r="AEM45" s="41"/>
      <c r="AEN45" s="41"/>
      <c r="AEO45" s="41"/>
      <c r="AEP45" s="41"/>
      <c r="AEQ45" s="41"/>
      <c r="AER45" s="41"/>
      <c r="AES45" s="41"/>
      <c r="AET45" s="41"/>
      <c r="AEU45" s="41"/>
      <c r="AEV45" s="41"/>
      <c r="AEW45" s="41"/>
      <c r="AEX45" s="41"/>
      <c r="AEY45" s="41"/>
      <c r="AEZ45" s="41"/>
      <c r="AFA45" s="41"/>
      <c r="AFB45" s="41"/>
      <c r="AFC45" s="41"/>
      <c r="AFD45" s="41"/>
      <c r="AFE45" s="41"/>
      <c r="AFF45" s="41"/>
      <c r="AFG45" s="41"/>
      <c r="AFH45" s="41"/>
      <c r="AFI45" s="41"/>
      <c r="AFJ45" s="41"/>
      <c r="AFK45" s="41"/>
      <c r="AFL45" s="41"/>
      <c r="AFM45" s="41"/>
      <c r="AFN45" s="41"/>
      <c r="AFO45" s="41"/>
      <c r="AFP45" s="41"/>
      <c r="AFQ45" s="41"/>
      <c r="AFR45" s="41"/>
      <c r="AFS45" s="41"/>
      <c r="AFT45" s="41"/>
      <c r="AFU45" s="41"/>
      <c r="AFV45" s="41"/>
      <c r="AFW45" s="41"/>
      <c r="AFX45" s="41"/>
      <c r="AFY45" s="41"/>
      <c r="AFZ45" s="41"/>
      <c r="AGA45" s="41"/>
      <c r="AGB45" s="41"/>
      <c r="AGC45" s="41"/>
      <c r="AGD45" s="41"/>
      <c r="AGE45" s="41"/>
      <c r="AGF45" s="41"/>
      <c r="AGG45" s="41"/>
      <c r="AGH45" s="41"/>
      <c r="AGI45" s="41"/>
      <c r="AGJ45" s="41"/>
      <c r="AGK45" s="41"/>
      <c r="AGL45" s="41"/>
      <c r="AGM45" s="41"/>
      <c r="AGN45" s="41"/>
      <c r="AGO45" s="41"/>
      <c r="AGP45" s="41"/>
      <c r="AGQ45" s="41"/>
      <c r="AGR45" s="41"/>
      <c r="AGS45" s="41"/>
      <c r="AGT45" s="41"/>
      <c r="AGU45" s="41"/>
      <c r="AGV45" s="41"/>
      <c r="AGW45" s="41"/>
      <c r="AGX45" s="41"/>
      <c r="AGY45" s="41"/>
      <c r="AGZ45" s="41"/>
      <c r="AHA45" s="41"/>
      <c r="AHB45" s="41"/>
      <c r="AHC45" s="41"/>
      <c r="AHD45" s="41"/>
      <c r="AHE45" s="41"/>
      <c r="AHF45" s="41"/>
      <c r="AHG45" s="41"/>
      <c r="AHH45" s="41"/>
      <c r="AHI45" s="41"/>
      <c r="AHJ45" s="41"/>
      <c r="AHK45" s="41"/>
      <c r="AHL45" s="41"/>
      <c r="AHM45" s="41"/>
      <c r="AHN45" s="41"/>
      <c r="AHO45" s="41"/>
      <c r="AHP45" s="41"/>
      <c r="AHQ45" s="41"/>
      <c r="AHR45" s="41"/>
      <c r="AHS45" s="41"/>
      <c r="AHT45" s="41"/>
      <c r="AHU45" s="41"/>
      <c r="AHV45" s="41"/>
      <c r="AHW45" s="41"/>
      <c r="AHX45" s="41"/>
      <c r="AHY45" s="41"/>
      <c r="AHZ45" s="41"/>
      <c r="AIA45" s="41"/>
      <c r="AIB45" s="41"/>
      <c r="AIC45" s="41"/>
      <c r="AID45" s="41"/>
      <c r="AIE45" s="41"/>
      <c r="AIF45" s="41"/>
      <c r="AIG45" s="41"/>
      <c r="AIH45" s="41"/>
      <c r="AII45" s="41"/>
      <c r="AIJ45" s="41"/>
      <c r="AIK45" s="41"/>
      <c r="AIL45" s="41"/>
      <c r="AIM45" s="41"/>
      <c r="AIN45" s="41"/>
      <c r="AIO45" s="41"/>
      <c r="AIP45" s="41"/>
      <c r="AIQ45" s="41"/>
      <c r="AIR45" s="41"/>
      <c r="AIS45" s="41"/>
      <c r="AIT45" s="41"/>
      <c r="AIU45" s="41"/>
      <c r="AIV45" s="41"/>
      <c r="AIW45" s="41"/>
      <c r="AIX45" s="41"/>
      <c r="AIY45" s="41"/>
      <c r="AIZ45" s="41"/>
      <c r="AJA45" s="41"/>
      <c r="AJB45" s="41"/>
      <c r="AJC45" s="41"/>
      <c r="AJD45" s="41"/>
      <c r="AJE45" s="41"/>
      <c r="AJF45" s="41"/>
      <c r="AJG45" s="41"/>
      <c r="AJH45" s="41"/>
      <c r="AJI45" s="41"/>
      <c r="AJJ45" s="41"/>
      <c r="AJK45" s="41"/>
      <c r="AJL45" s="41"/>
      <c r="AJM45" s="41"/>
      <c r="AJN45" s="41"/>
      <c r="AJO45" s="41"/>
      <c r="AJP45" s="41"/>
      <c r="AJQ45" s="41"/>
      <c r="AJR45" s="41"/>
      <c r="AJS45" s="41"/>
      <c r="AJT45" s="41"/>
      <c r="AJU45" s="41"/>
      <c r="AJV45" s="41"/>
      <c r="AJW45" s="41"/>
      <c r="AJX45" s="41"/>
      <c r="AJY45" s="41"/>
      <c r="AJZ45" s="41"/>
      <c r="AKA45" s="41"/>
      <c r="AKB45" s="41"/>
      <c r="AKC45" s="41"/>
      <c r="AKD45" s="41"/>
      <c r="AKE45" s="41"/>
      <c r="AKF45" s="41"/>
      <c r="AKG45" s="41"/>
      <c r="AKH45" s="41"/>
      <c r="AKI45" s="41"/>
      <c r="AKJ45" s="41"/>
      <c r="AKK45" s="41"/>
      <c r="AKL45" s="41"/>
      <c r="AKM45" s="41"/>
      <c r="AKN45" s="41"/>
      <c r="AKO45" s="41"/>
      <c r="AKP45" s="41"/>
      <c r="AKQ45" s="41"/>
      <c r="AKR45" s="41"/>
      <c r="AKS45" s="41"/>
      <c r="AKT45" s="41"/>
      <c r="AKU45" s="41"/>
      <c r="AKV45" s="41"/>
      <c r="AKW45" s="41"/>
      <c r="AKX45" s="41"/>
      <c r="AKY45" s="41"/>
      <c r="AKZ45" s="41"/>
      <c r="ALA45" s="41"/>
      <c r="ALB45" s="41"/>
      <c r="ALC45" s="41"/>
      <c r="ALD45" s="41"/>
      <c r="ALE45" s="41"/>
      <c r="ALF45" s="41"/>
      <c r="ALG45" s="41"/>
      <c r="ALH45" s="41"/>
      <c r="ALI45" s="41"/>
      <c r="ALJ45" s="41"/>
      <c r="ALK45" s="41"/>
      <c r="ALL45" s="41"/>
      <c r="ALM45" s="41"/>
      <c r="ALN45" s="41"/>
      <c r="ALO45" s="41"/>
      <c r="ALP45" s="41"/>
      <c r="ALQ45" s="41"/>
      <c r="ALR45" s="41"/>
      <c r="ALS45" s="41"/>
      <c r="ALT45" s="41"/>
      <c r="ALU45" s="41"/>
      <c r="ALV45" s="41"/>
      <c r="ALW45" s="41"/>
      <c r="ALX45" s="41"/>
      <c r="ALY45" s="41"/>
      <c r="ALZ45" s="41"/>
      <c r="AMA45" s="41"/>
      <c r="AMB45" s="41"/>
      <c r="AMC45" s="41"/>
      <c r="AMD45" s="41"/>
      <c r="AME45" s="41"/>
      <c r="AMF45" s="41"/>
      <c r="AMG45" s="41"/>
      <c r="AMH45" s="41"/>
      <c r="AMI45" s="41"/>
      <c r="AMJ45" s="41"/>
      <c r="AMK45" s="41"/>
      <c r="AML45" s="41"/>
      <c r="AMM45" s="41"/>
      <c r="AMN45" s="41"/>
      <c r="AMO45" s="41"/>
      <c r="AMP45" s="41"/>
      <c r="AMQ45" s="41"/>
      <c r="AMR45" s="41"/>
      <c r="AMS45" s="41"/>
      <c r="AMT45" s="41"/>
      <c r="AMU45" s="41"/>
      <c r="AMV45" s="41"/>
      <c r="AMW45" s="41"/>
      <c r="AMX45" s="41"/>
      <c r="AMY45" s="41"/>
      <c r="AMZ45" s="41"/>
      <c r="ANA45" s="41"/>
      <c r="ANB45" s="41"/>
      <c r="ANC45" s="41"/>
      <c r="AND45" s="41"/>
      <c r="ANE45" s="41"/>
      <c r="ANF45" s="41"/>
      <c r="ANG45" s="41"/>
      <c r="ANH45" s="41"/>
      <c r="ANI45" s="41"/>
      <c r="ANJ45" s="41"/>
      <c r="ANK45" s="41"/>
    </row>
    <row r="46" s="44" customFormat="true" ht="15" hidden="false" customHeight="false" outlineLevel="0" collapsed="false">
      <c r="A46" s="55" t="s">
        <v>68</v>
      </c>
      <c r="B46" s="43" t="n">
        <v>0</v>
      </c>
      <c r="C46" s="44" t="n">
        <v>0</v>
      </c>
      <c r="D46" s="44" t="n">
        <v>0</v>
      </c>
      <c r="E46" s="56" t="n">
        <v>1300000</v>
      </c>
      <c r="F46" s="43" t="n">
        <v>0</v>
      </c>
      <c r="G46" s="44" t="n">
        <v>0</v>
      </c>
      <c r="H46" s="46" t="n">
        <v>0</v>
      </c>
      <c r="I46" s="47" t="n">
        <v>1</v>
      </c>
      <c r="J46" s="48" t="n">
        <v>0</v>
      </c>
      <c r="K46" s="43"/>
      <c r="M46" s="46" t="n">
        <v>0</v>
      </c>
      <c r="N46" s="43" t="n">
        <v>0</v>
      </c>
      <c r="O46" s="46" t="n">
        <v>0</v>
      </c>
      <c r="P46" s="49" t="n">
        <v>0</v>
      </c>
      <c r="Q46" s="50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6" t="n">
        <v>0</v>
      </c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  <c r="IY46" s="41"/>
      <c r="IZ46" s="41"/>
      <c r="JA46" s="41"/>
      <c r="JB46" s="41"/>
      <c r="JC46" s="41"/>
      <c r="JD46" s="41"/>
      <c r="JE46" s="41"/>
      <c r="JF46" s="41"/>
      <c r="JG46" s="41"/>
      <c r="JH46" s="41"/>
      <c r="JI46" s="41"/>
      <c r="JJ46" s="41"/>
      <c r="JK46" s="41"/>
      <c r="JL46" s="41"/>
      <c r="JM46" s="41"/>
      <c r="JN46" s="41"/>
      <c r="JO46" s="41"/>
      <c r="JP46" s="41"/>
      <c r="JQ46" s="41"/>
      <c r="JR46" s="41"/>
      <c r="JS46" s="41"/>
      <c r="JT46" s="41"/>
      <c r="JU46" s="41"/>
      <c r="JV46" s="41"/>
      <c r="JW46" s="41"/>
      <c r="JX46" s="41"/>
      <c r="JY46" s="41"/>
      <c r="JZ46" s="41"/>
      <c r="KA46" s="41"/>
      <c r="KB46" s="41"/>
      <c r="KC46" s="41"/>
      <c r="KD46" s="41"/>
      <c r="KE46" s="41"/>
      <c r="KF46" s="41"/>
      <c r="KG46" s="41"/>
      <c r="KH46" s="41"/>
      <c r="KI46" s="41"/>
      <c r="KJ46" s="41"/>
      <c r="KK46" s="41"/>
      <c r="KL46" s="41"/>
      <c r="KM46" s="41"/>
      <c r="KN46" s="41"/>
      <c r="KO46" s="41"/>
      <c r="KP46" s="41"/>
      <c r="KQ46" s="41"/>
      <c r="KR46" s="41"/>
      <c r="KS46" s="41"/>
      <c r="KT46" s="41"/>
      <c r="KU46" s="41"/>
      <c r="KV46" s="41"/>
      <c r="KW46" s="41"/>
      <c r="KX46" s="41"/>
      <c r="KY46" s="41"/>
      <c r="KZ46" s="41"/>
      <c r="LA46" s="41"/>
      <c r="LB46" s="41"/>
      <c r="LC46" s="41"/>
      <c r="LD46" s="41"/>
      <c r="LE46" s="41"/>
      <c r="LF46" s="41"/>
      <c r="LG46" s="41"/>
      <c r="LH46" s="41"/>
      <c r="LI46" s="41"/>
      <c r="LJ46" s="41"/>
      <c r="LK46" s="41"/>
      <c r="LL46" s="41"/>
      <c r="LM46" s="41"/>
      <c r="LN46" s="41"/>
      <c r="LO46" s="41"/>
      <c r="LP46" s="41"/>
      <c r="LQ46" s="41"/>
      <c r="LR46" s="41"/>
      <c r="LS46" s="41"/>
      <c r="LT46" s="41"/>
      <c r="LU46" s="41"/>
      <c r="LV46" s="41"/>
      <c r="LW46" s="41"/>
      <c r="LX46" s="41"/>
      <c r="LY46" s="41"/>
      <c r="LZ46" s="41"/>
      <c r="MA46" s="41"/>
      <c r="MB46" s="41"/>
      <c r="MC46" s="41"/>
      <c r="MD46" s="41"/>
      <c r="ME46" s="41"/>
      <c r="MF46" s="41"/>
      <c r="MG46" s="41"/>
      <c r="MH46" s="41"/>
      <c r="MI46" s="41"/>
      <c r="MJ46" s="41"/>
      <c r="MK46" s="41"/>
      <c r="ML46" s="41"/>
      <c r="MM46" s="41"/>
      <c r="MN46" s="41"/>
      <c r="MO46" s="41"/>
      <c r="MP46" s="41"/>
      <c r="MQ46" s="41"/>
      <c r="MR46" s="41"/>
      <c r="MS46" s="41"/>
      <c r="MT46" s="41"/>
      <c r="MU46" s="41"/>
      <c r="MV46" s="41"/>
      <c r="MW46" s="41"/>
      <c r="MX46" s="41"/>
      <c r="MY46" s="41"/>
      <c r="MZ46" s="41"/>
      <c r="NA46" s="41"/>
      <c r="NB46" s="41"/>
      <c r="NC46" s="41"/>
      <c r="ND46" s="41"/>
      <c r="NE46" s="41"/>
      <c r="NF46" s="41"/>
      <c r="NG46" s="41"/>
      <c r="NH46" s="41"/>
      <c r="NI46" s="41"/>
      <c r="NJ46" s="41"/>
      <c r="NK46" s="41"/>
      <c r="NL46" s="41"/>
      <c r="NM46" s="41"/>
      <c r="NN46" s="41"/>
      <c r="NO46" s="41"/>
      <c r="NP46" s="41"/>
      <c r="NQ46" s="41"/>
      <c r="NR46" s="41"/>
      <c r="NS46" s="41"/>
      <c r="NT46" s="41"/>
      <c r="NU46" s="41"/>
      <c r="NV46" s="41"/>
      <c r="NW46" s="41"/>
      <c r="NX46" s="41"/>
      <c r="NY46" s="41"/>
      <c r="NZ46" s="41"/>
      <c r="OA46" s="41"/>
      <c r="OB46" s="41"/>
      <c r="OC46" s="41"/>
      <c r="OD46" s="41"/>
      <c r="OE46" s="41"/>
      <c r="OF46" s="41"/>
      <c r="OG46" s="41"/>
      <c r="OH46" s="41"/>
      <c r="OI46" s="41"/>
      <c r="OJ46" s="41"/>
      <c r="OK46" s="41"/>
      <c r="OL46" s="41"/>
      <c r="OM46" s="41"/>
      <c r="ON46" s="41"/>
      <c r="OO46" s="41"/>
      <c r="OP46" s="41"/>
      <c r="OQ46" s="41"/>
      <c r="OR46" s="41"/>
      <c r="OS46" s="41"/>
      <c r="OT46" s="41"/>
      <c r="OU46" s="41"/>
      <c r="OV46" s="41"/>
      <c r="OW46" s="41"/>
      <c r="OX46" s="41"/>
      <c r="OY46" s="41"/>
      <c r="OZ46" s="41"/>
      <c r="PA46" s="41"/>
      <c r="PB46" s="41"/>
      <c r="PC46" s="41"/>
      <c r="PD46" s="41"/>
      <c r="PE46" s="41"/>
      <c r="PF46" s="41"/>
      <c r="PG46" s="41"/>
      <c r="PH46" s="41"/>
      <c r="PI46" s="41"/>
      <c r="PJ46" s="41"/>
      <c r="PK46" s="41"/>
      <c r="PL46" s="41"/>
      <c r="PM46" s="41"/>
      <c r="PN46" s="41"/>
      <c r="PO46" s="41"/>
      <c r="PP46" s="41"/>
      <c r="PQ46" s="41"/>
      <c r="PR46" s="41"/>
      <c r="PS46" s="41"/>
      <c r="PT46" s="41"/>
      <c r="PU46" s="41"/>
      <c r="PV46" s="41"/>
      <c r="PW46" s="41"/>
      <c r="PX46" s="41"/>
      <c r="PY46" s="41"/>
      <c r="PZ46" s="41"/>
      <c r="QA46" s="41"/>
      <c r="QB46" s="41"/>
      <c r="QC46" s="41"/>
      <c r="QD46" s="41"/>
      <c r="QE46" s="41"/>
      <c r="QF46" s="41"/>
      <c r="QG46" s="41"/>
      <c r="QH46" s="41"/>
      <c r="QI46" s="41"/>
      <c r="QJ46" s="41"/>
      <c r="QK46" s="41"/>
      <c r="QL46" s="41"/>
      <c r="QM46" s="41"/>
      <c r="QN46" s="41"/>
      <c r="QO46" s="41"/>
      <c r="QP46" s="41"/>
      <c r="QQ46" s="41"/>
      <c r="QR46" s="41"/>
      <c r="QS46" s="41"/>
      <c r="QT46" s="41"/>
      <c r="QU46" s="41"/>
      <c r="QV46" s="41"/>
      <c r="QW46" s="41"/>
      <c r="QX46" s="41"/>
      <c r="QY46" s="41"/>
      <c r="QZ46" s="41"/>
      <c r="RA46" s="41"/>
      <c r="RB46" s="41"/>
      <c r="RC46" s="41"/>
      <c r="RD46" s="41"/>
      <c r="RE46" s="41"/>
      <c r="RF46" s="41"/>
      <c r="RG46" s="41"/>
      <c r="RH46" s="41"/>
      <c r="RI46" s="41"/>
      <c r="RJ46" s="41"/>
      <c r="RK46" s="41"/>
      <c r="RL46" s="41"/>
      <c r="RM46" s="41"/>
      <c r="RN46" s="41"/>
      <c r="RO46" s="41"/>
      <c r="RP46" s="41"/>
      <c r="RQ46" s="41"/>
      <c r="RR46" s="41"/>
      <c r="RS46" s="41"/>
      <c r="RT46" s="41"/>
      <c r="RU46" s="41"/>
      <c r="RV46" s="41"/>
      <c r="RW46" s="41"/>
      <c r="RX46" s="41"/>
      <c r="RY46" s="41"/>
      <c r="RZ46" s="41"/>
      <c r="SA46" s="41"/>
      <c r="SB46" s="41"/>
      <c r="SC46" s="41"/>
      <c r="SD46" s="41"/>
      <c r="SE46" s="41"/>
      <c r="SF46" s="41"/>
      <c r="SG46" s="41"/>
      <c r="SH46" s="41"/>
      <c r="SI46" s="41"/>
      <c r="SJ46" s="41"/>
      <c r="SK46" s="41"/>
      <c r="SL46" s="41"/>
      <c r="SM46" s="41"/>
      <c r="SN46" s="41"/>
      <c r="SO46" s="41"/>
      <c r="SP46" s="41"/>
      <c r="SQ46" s="41"/>
      <c r="SR46" s="41"/>
      <c r="SS46" s="41"/>
      <c r="ST46" s="41"/>
      <c r="SU46" s="41"/>
      <c r="SV46" s="41"/>
      <c r="SW46" s="41"/>
      <c r="SX46" s="41"/>
      <c r="SY46" s="41"/>
      <c r="SZ46" s="41"/>
      <c r="TA46" s="41"/>
      <c r="TB46" s="41"/>
      <c r="TC46" s="41"/>
      <c r="TD46" s="41"/>
      <c r="TE46" s="41"/>
      <c r="TF46" s="41"/>
      <c r="TG46" s="41"/>
      <c r="TH46" s="41"/>
      <c r="TI46" s="41"/>
      <c r="TJ46" s="41"/>
      <c r="TK46" s="41"/>
      <c r="TL46" s="41"/>
      <c r="TM46" s="41"/>
      <c r="TN46" s="41"/>
      <c r="TO46" s="41"/>
      <c r="TP46" s="41"/>
      <c r="TQ46" s="41"/>
      <c r="TR46" s="41"/>
      <c r="TS46" s="41"/>
      <c r="TT46" s="41"/>
      <c r="TU46" s="41"/>
      <c r="TV46" s="41"/>
      <c r="TW46" s="41"/>
      <c r="TX46" s="41"/>
      <c r="TY46" s="41"/>
      <c r="TZ46" s="41"/>
      <c r="UA46" s="41"/>
      <c r="UB46" s="41"/>
      <c r="UC46" s="41"/>
      <c r="UD46" s="41"/>
      <c r="UE46" s="41"/>
      <c r="UF46" s="41"/>
      <c r="UG46" s="41"/>
      <c r="UH46" s="41"/>
      <c r="UI46" s="41"/>
      <c r="UJ46" s="41"/>
      <c r="UK46" s="41"/>
      <c r="UL46" s="41"/>
      <c r="UM46" s="41"/>
      <c r="UN46" s="41"/>
      <c r="UO46" s="41"/>
      <c r="UP46" s="41"/>
      <c r="UQ46" s="41"/>
      <c r="UR46" s="41"/>
      <c r="US46" s="41"/>
      <c r="UT46" s="41"/>
      <c r="UU46" s="41"/>
      <c r="UV46" s="41"/>
      <c r="UW46" s="41"/>
      <c r="UX46" s="41"/>
      <c r="UY46" s="41"/>
      <c r="UZ46" s="41"/>
      <c r="VA46" s="41"/>
      <c r="VB46" s="41"/>
      <c r="VC46" s="41"/>
      <c r="VD46" s="41"/>
      <c r="VE46" s="41"/>
      <c r="VF46" s="41"/>
      <c r="VG46" s="41"/>
      <c r="VH46" s="41"/>
      <c r="VI46" s="41"/>
      <c r="VJ46" s="41"/>
      <c r="VK46" s="41"/>
      <c r="VL46" s="41"/>
      <c r="VM46" s="41"/>
      <c r="VN46" s="41"/>
      <c r="VO46" s="41"/>
      <c r="VP46" s="41"/>
      <c r="VQ46" s="41"/>
      <c r="VR46" s="41"/>
      <c r="VS46" s="41"/>
      <c r="VT46" s="41"/>
      <c r="VU46" s="41"/>
      <c r="VV46" s="41"/>
      <c r="VW46" s="41"/>
      <c r="VX46" s="41"/>
      <c r="VY46" s="41"/>
      <c r="VZ46" s="41"/>
      <c r="WA46" s="41"/>
      <c r="WB46" s="41"/>
      <c r="WC46" s="41"/>
      <c r="WD46" s="41"/>
      <c r="WE46" s="41"/>
      <c r="WF46" s="41"/>
      <c r="WG46" s="41"/>
      <c r="WH46" s="41"/>
      <c r="WI46" s="41"/>
      <c r="WJ46" s="41"/>
      <c r="WK46" s="41"/>
      <c r="WL46" s="41"/>
      <c r="WM46" s="41"/>
      <c r="WN46" s="41"/>
      <c r="WO46" s="41"/>
      <c r="WP46" s="41"/>
      <c r="WQ46" s="41"/>
      <c r="WR46" s="41"/>
      <c r="WS46" s="41"/>
      <c r="WT46" s="41"/>
      <c r="WU46" s="41"/>
      <c r="WV46" s="41"/>
      <c r="WW46" s="41"/>
      <c r="WX46" s="41"/>
      <c r="WY46" s="41"/>
      <c r="WZ46" s="41"/>
      <c r="XA46" s="41"/>
      <c r="XB46" s="41"/>
      <c r="XC46" s="41"/>
      <c r="XD46" s="41"/>
      <c r="XE46" s="41"/>
      <c r="XF46" s="41"/>
      <c r="XG46" s="41"/>
      <c r="XH46" s="41"/>
      <c r="XI46" s="41"/>
      <c r="XJ46" s="41"/>
      <c r="XK46" s="41"/>
      <c r="XL46" s="41"/>
      <c r="XM46" s="41"/>
      <c r="XN46" s="41"/>
      <c r="XO46" s="41"/>
      <c r="XP46" s="41"/>
      <c r="XQ46" s="41"/>
      <c r="XR46" s="41"/>
      <c r="XS46" s="41"/>
      <c r="XT46" s="41"/>
      <c r="XU46" s="41"/>
      <c r="XV46" s="41"/>
      <c r="XW46" s="41"/>
      <c r="XX46" s="41"/>
      <c r="XY46" s="41"/>
      <c r="XZ46" s="41"/>
      <c r="YA46" s="41"/>
      <c r="YB46" s="41"/>
      <c r="YC46" s="41"/>
      <c r="YD46" s="41"/>
      <c r="YE46" s="41"/>
      <c r="YF46" s="41"/>
      <c r="YG46" s="41"/>
      <c r="YH46" s="41"/>
      <c r="YI46" s="41"/>
      <c r="YJ46" s="41"/>
      <c r="YK46" s="41"/>
      <c r="YL46" s="41"/>
      <c r="YM46" s="41"/>
      <c r="YN46" s="41"/>
      <c r="YO46" s="41"/>
      <c r="YP46" s="41"/>
      <c r="YQ46" s="41"/>
      <c r="YR46" s="41"/>
      <c r="YS46" s="41"/>
      <c r="YT46" s="41"/>
      <c r="YU46" s="41"/>
      <c r="YV46" s="41"/>
      <c r="YW46" s="41"/>
      <c r="YX46" s="41"/>
      <c r="YY46" s="41"/>
      <c r="YZ46" s="41"/>
      <c r="ZA46" s="41"/>
      <c r="ZB46" s="41"/>
      <c r="ZC46" s="41"/>
      <c r="ZD46" s="41"/>
      <c r="ZE46" s="41"/>
      <c r="ZF46" s="41"/>
      <c r="ZG46" s="41"/>
      <c r="ZH46" s="41"/>
      <c r="ZI46" s="41"/>
      <c r="ZJ46" s="41"/>
      <c r="ZK46" s="41"/>
      <c r="ZL46" s="41"/>
      <c r="ZM46" s="41"/>
      <c r="ZN46" s="41"/>
      <c r="ZO46" s="41"/>
      <c r="ZP46" s="41"/>
      <c r="ZQ46" s="41"/>
      <c r="ZR46" s="41"/>
      <c r="ZS46" s="41"/>
      <c r="ZT46" s="41"/>
      <c r="ZU46" s="41"/>
      <c r="ZV46" s="41"/>
      <c r="ZW46" s="41"/>
      <c r="ZX46" s="41"/>
      <c r="ZY46" s="41"/>
      <c r="ZZ46" s="41"/>
      <c r="AAA46" s="41"/>
      <c r="AAB46" s="41"/>
      <c r="AAC46" s="41"/>
      <c r="AAD46" s="41"/>
      <c r="AAE46" s="41"/>
      <c r="AAF46" s="41"/>
      <c r="AAG46" s="41"/>
      <c r="AAH46" s="41"/>
      <c r="AAI46" s="41"/>
      <c r="AAJ46" s="41"/>
      <c r="AAK46" s="41"/>
      <c r="AAL46" s="41"/>
      <c r="AAM46" s="41"/>
      <c r="AAN46" s="41"/>
      <c r="AAO46" s="41"/>
      <c r="AAP46" s="41"/>
      <c r="AAQ46" s="41"/>
      <c r="AAR46" s="41"/>
      <c r="AAS46" s="41"/>
      <c r="AAT46" s="41"/>
      <c r="AAU46" s="41"/>
      <c r="AAV46" s="41"/>
      <c r="AAW46" s="41"/>
      <c r="AAX46" s="41"/>
      <c r="AAY46" s="41"/>
      <c r="AAZ46" s="41"/>
      <c r="ABA46" s="41"/>
      <c r="ABB46" s="41"/>
      <c r="ABC46" s="41"/>
      <c r="ABD46" s="41"/>
      <c r="ABE46" s="41"/>
      <c r="ABF46" s="41"/>
      <c r="ABG46" s="41"/>
      <c r="ABH46" s="41"/>
      <c r="ABI46" s="41"/>
      <c r="ABJ46" s="41"/>
      <c r="ABK46" s="41"/>
      <c r="ABL46" s="41"/>
      <c r="ABM46" s="41"/>
      <c r="ABN46" s="41"/>
      <c r="ABO46" s="41"/>
      <c r="ABP46" s="41"/>
      <c r="ABQ46" s="41"/>
      <c r="ABR46" s="41"/>
      <c r="ABS46" s="41"/>
      <c r="ABT46" s="41"/>
      <c r="ABU46" s="41"/>
      <c r="ABV46" s="41"/>
      <c r="ABW46" s="41"/>
      <c r="ABX46" s="41"/>
      <c r="ABY46" s="41"/>
      <c r="ABZ46" s="41"/>
      <c r="ACA46" s="41"/>
      <c r="ACB46" s="41"/>
      <c r="ACC46" s="41"/>
      <c r="ACD46" s="41"/>
      <c r="ACE46" s="41"/>
      <c r="ACF46" s="41"/>
      <c r="ACG46" s="41"/>
      <c r="ACH46" s="41"/>
      <c r="ACI46" s="41"/>
      <c r="ACJ46" s="41"/>
      <c r="ACK46" s="41"/>
      <c r="ACL46" s="41"/>
      <c r="ACM46" s="41"/>
      <c r="ACN46" s="41"/>
      <c r="ACO46" s="41"/>
      <c r="ACP46" s="41"/>
      <c r="ACQ46" s="41"/>
      <c r="ACR46" s="41"/>
      <c r="ACS46" s="41"/>
      <c r="ACT46" s="41"/>
      <c r="ACU46" s="41"/>
      <c r="ACV46" s="41"/>
      <c r="ACW46" s="41"/>
      <c r="ACX46" s="41"/>
      <c r="ACY46" s="41"/>
      <c r="ACZ46" s="41"/>
      <c r="ADA46" s="41"/>
      <c r="ADB46" s="41"/>
      <c r="ADC46" s="41"/>
      <c r="ADD46" s="41"/>
      <c r="ADE46" s="41"/>
      <c r="ADF46" s="41"/>
      <c r="ADG46" s="41"/>
      <c r="ADH46" s="41"/>
      <c r="ADI46" s="41"/>
      <c r="ADJ46" s="41"/>
      <c r="ADK46" s="41"/>
      <c r="ADL46" s="41"/>
      <c r="ADM46" s="41"/>
      <c r="ADN46" s="41"/>
      <c r="ADO46" s="41"/>
      <c r="ADP46" s="41"/>
      <c r="ADQ46" s="41"/>
      <c r="ADR46" s="41"/>
      <c r="ADS46" s="41"/>
      <c r="ADT46" s="41"/>
      <c r="ADU46" s="41"/>
      <c r="ADV46" s="41"/>
      <c r="ADW46" s="41"/>
      <c r="ADX46" s="41"/>
      <c r="ADY46" s="41"/>
      <c r="ADZ46" s="41"/>
      <c r="AEA46" s="41"/>
      <c r="AEB46" s="41"/>
      <c r="AEC46" s="41"/>
      <c r="AED46" s="41"/>
      <c r="AEE46" s="41"/>
      <c r="AEF46" s="41"/>
      <c r="AEG46" s="41"/>
      <c r="AEH46" s="41"/>
      <c r="AEI46" s="41"/>
      <c r="AEJ46" s="41"/>
      <c r="AEK46" s="41"/>
      <c r="AEL46" s="41"/>
      <c r="AEM46" s="41"/>
      <c r="AEN46" s="41"/>
      <c r="AEO46" s="41"/>
      <c r="AEP46" s="41"/>
      <c r="AEQ46" s="41"/>
      <c r="AER46" s="41"/>
      <c r="AES46" s="41"/>
      <c r="AET46" s="41"/>
      <c r="AEU46" s="41"/>
      <c r="AEV46" s="41"/>
      <c r="AEW46" s="41"/>
      <c r="AEX46" s="41"/>
      <c r="AEY46" s="41"/>
      <c r="AEZ46" s="41"/>
      <c r="AFA46" s="41"/>
      <c r="AFB46" s="41"/>
      <c r="AFC46" s="41"/>
      <c r="AFD46" s="41"/>
      <c r="AFE46" s="41"/>
      <c r="AFF46" s="41"/>
      <c r="AFG46" s="41"/>
      <c r="AFH46" s="41"/>
      <c r="AFI46" s="41"/>
      <c r="AFJ46" s="41"/>
      <c r="AFK46" s="41"/>
      <c r="AFL46" s="41"/>
      <c r="AFM46" s="41"/>
      <c r="AFN46" s="41"/>
      <c r="AFO46" s="41"/>
      <c r="AFP46" s="41"/>
      <c r="AFQ46" s="41"/>
      <c r="AFR46" s="41"/>
      <c r="AFS46" s="41"/>
      <c r="AFT46" s="41"/>
      <c r="AFU46" s="41"/>
      <c r="AFV46" s="41"/>
      <c r="AFW46" s="41"/>
      <c r="AFX46" s="41"/>
      <c r="AFY46" s="41"/>
      <c r="AFZ46" s="41"/>
      <c r="AGA46" s="41"/>
      <c r="AGB46" s="41"/>
      <c r="AGC46" s="41"/>
      <c r="AGD46" s="41"/>
      <c r="AGE46" s="41"/>
      <c r="AGF46" s="41"/>
      <c r="AGG46" s="41"/>
      <c r="AGH46" s="41"/>
      <c r="AGI46" s="41"/>
      <c r="AGJ46" s="41"/>
      <c r="AGK46" s="41"/>
      <c r="AGL46" s="41"/>
      <c r="AGM46" s="41"/>
      <c r="AGN46" s="41"/>
      <c r="AGO46" s="41"/>
      <c r="AGP46" s="41"/>
      <c r="AGQ46" s="41"/>
      <c r="AGR46" s="41"/>
      <c r="AGS46" s="41"/>
      <c r="AGT46" s="41"/>
      <c r="AGU46" s="41"/>
      <c r="AGV46" s="41"/>
      <c r="AGW46" s="41"/>
      <c r="AGX46" s="41"/>
      <c r="AGY46" s="41"/>
      <c r="AGZ46" s="41"/>
      <c r="AHA46" s="41"/>
      <c r="AHB46" s="41"/>
      <c r="AHC46" s="41"/>
      <c r="AHD46" s="41"/>
      <c r="AHE46" s="41"/>
      <c r="AHF46" s="41"/>
      <c r="AHG46" s="41"/>
      <c r="AHH46" s="41"/>
      <c r="AHI46" s="41"/>
      <c r="AHJ46" s="41"/>
      <c r="AHK46" s="41"/>
      <c r="AHL46" s="41"/>
      <c r="AHM46" s="41"/>
      <c r="AHN46" s="41"/>
      <c r="AHO46" s="41"/>
      <c r="AHP46" s="41"/>
      <c r="AHQ46" s="41"/>
      <c r="AHR46" s="41"/>
      <c r="AHS46" s="41"/>
      <c r="AHT46" s="41"/>
      <c r="AHU46" s="41"/>
      <c r="AHV46" s="41"/>
      <c r="AHW46" s="41"/>
      <c r="AHX46" s="41"/>
      <c r="AHY46" s="41"/>
      <c r="AHZ46" s="41"/>
      <c r="AIA46" s="41"/>
      <c r="AIB46" s="41"/>
      <c r="AIC46" s="41"/>
      <c r="AID46" s="41"/>
      <c r="AIE46" s="41"/>
      <c r="AIF46" s="41"/>
      <c r="AIG46" s="41"/>
      <c r="AIH46" s="41"/>
      <c r="AII46" s="41"/>
      <c r="AIJ46" s="41"/>
      <c r="AIK46" s="41"/>
      <c r="AIL46" s="41"/>
      <c r="AIM46" s="41"/>
      <c r="AIN46" s="41"/>
      <c r="AIO46" s="41"/>
      <c r="AIP46" s="41"/>
      <c r="AIQ46" s="41"/>
      <c r="AIR46" s="41"/>
      <c r="AIS46" s="41"/>
      <c r="AIT46" s="41"/>
      <c r="AIU46" s="41"/>
      <c r="AIV46" s="41"/>
      <c r="AIW46" s="41"/>
      <c r="AIX46" s="41"/>
      <c r="AIY46" s="41"/>
      <c r="AIZ46" s="41"/>
      <c r="AJA46" s="41"/>
      <c r="AJB46" s="41"/>
      <c r="AJC46" s="41"/>
      <c r="AJD46" s="41"/>
      <c r="AJE46" s="41"/>
      <c r="AJF46" s="41"/>
      <c r="AJG46" s="41"/>
      <c r="AJH46" s="41"/>
      <c r="AJI46" s="41"/>
      <c r="AJJ46" s="41"/>
      <c r="AJK46" s="41"/>
      <c r="AJL46" s="41"/>
      <c r="AJM46" s="41"/>
      <c r="AJN46" s="41"/>
      <c r="AJO46" s="41"/>
      <c r="AJP46" s="41"/>
      <c r="AJQ46" s="41"/>
      <c r="AJR46" s="41"/>
      <c r="AJS46" s="41"/>
      <c r="AJT46" s="41"/>
      <c r="AJU46" s="41"/>
      <c r="AJV46" s="41"/>
      <c r="AJW46" s="41"/>
      <c r="AJX46" s="41"/>
      <c r="AJY46" s="41"/>
      <c r="AJZ46" s="41"/>
      <c r="AKA46" s="41"/>
      <c r="AKB46" s="41"/>
      <c r="AKC46" s="41"/>
      <c r="AKD46" s="41"/>
      <c r="AKE46" s="41"/>
      <c r="AKF46" s="41"/>
      <c r="AKG46" s="41"/>
      <c r="AKH46" s="41"/>
      <c r="AKI46" s="41"/>
      <c r="AKJ46" s="41"/>
      <c r="AKK46" s="41"/>
      <c r="AKL46" s="41"/>
      <c r="AKM46" s="41"/>
      <c r="AKN46" s="41"/>
      <c r="AKO46" s="41"/>
      <c r="AKP46" s="41"/>
      <c r="AKQ46" s="41"/>
      <c r="AKR46" s="41"/>
      <c r="AKS46" s="41"/>
      <c r="AKT46" s="41"/>
      <c r="AKU46" s="41"/>
      <c r="AKV46" s="41"/>
      <c r="AKW46" s="41"/>
      <c r="AKX46" s="41"/>
      <c r="AKY46" s="41"/>
      <c r="AKZ46" s="41"/>
      <c r="ALA46" s="41"/>
      <c r="ALB46" s="41"/>
      <c r="ALC46" s="41"/>
      <c r="ALD46" s="41"/>
      <c r="ALE46" s="41"/>
      <c r="ALF46" s="41"/>
      <c r="ALG46" s="41"/>
      <c r="ALH46" s="41"/>
      <c r="ALI46" s="41"/>
      <c r="ALJ46" s="41"/>
      <c r="ALK46" s="41"/>
      <c r="ALL46" s="41"/>
      <c r="ALM46" s="41"/>
      <c r="ALN46" s="41"/>
      <c r="ALO46" s="41"/>
      <c r="ALP46" s="41"/>
      <c r="ALQ46" s="41"/>
      <c r="ALR46" s="41"/>
      <c r="ALS46" s="41"/>
      <c r="ALT46" s="41"/>
      <c r="ALU46" s="41"/>
      <c r="ALV46" s="41"/>
      <c r="ALW46" s="41"/>
      <c r="ALX46" s="41"/>
      <c r="ALY46" s="41"/>
      <c r="ALZ46" s="41"/>
      <c r="AMA46" s="41"/>
      <c r="AMB46" s="41"/>
      <c r="AMC46" s="41"/>
      <c r="AMD46" s="41"/>
      <c r="AME46" s="41"/>
      <c r="AMF46" s="41"/>
      <c r="AMG46" s="41"/>
      <c r="AMH46" s="41"/>
      <c r="AMI46" s="41"/>
      <c r="AMJ46" s="41"/>
      <c r="AMK46" s="41"/>
      <c r="AML46" s="41"/>
      <c r="AMM46" s="41"/>
      <c r="AMN46" s="41"/>
      <c r="AMO46" s="41"/>
      <c r="AMP46" s="41"/>
      <c r="AMQ46" s="41"/>
      <c r="AMR46" s="41"/>
      <c r="AMS46" s="41"/>
      <c r="AMT46" s="41"/>
      <c r="AMU46" s="41"/>
      <c r="AMV46" s="41"/>
      <c r="AMW46" s="41"/>
      <c r="AMX46" s="41"/>
      <c r="AMY46" s="41"/>
      <c r="AMZ46" s="41"/>
      <c r="ANA46" s="41"/>
      <c r="ANB46" s="41"/>
      <c r="ANC46" s="41"/>
      <c r="AND46" s="41"/>
      <c r="ANE46" s="41"/>
      <c r="ANF46" s="41"/>
      <c r="ANG46" s="41"/>
      <c r="ANH46" s="41"/>
      <c r="ANI46" s="41"/>
      <c r="ANJ46" s="41"/>
      <c r="ANK46" s="41"/>
    </row>
    <row r="47" s="44" customFormat="true" ht="15" hidden="false" customHeight="false" outlineLevel="0" collapsed="false">
      <c r="A47" s="55" t="s">
        <v>69</v>
      </c>
      <c r="B47" s="43" t="n">
        <v>0</v>
      </c>
      <c r="C47" s="44" t="n">
        <v>0</v>
      </c>
      <c r="D47" s="44" t="n">
        <v>0</v>
      </c>
      <c r="E47" s="45" t="n">
        <v>4700</v>
      </c>
      <c r="F47" s="43" t="n">
        <v>0</v>
      </c>
      <c r="G47" s="44" t="n">
        <v>0</v>
      </c>
      <c r="H47" s="46" t="n">
        <v>0</v>
      </c>
      <c r="I47" s="47" t="n">
        <v>16.6</v>
      </c>
      <c r="J47" s="48" t="n">
        <v>0</v>
      </c>
      <c r="K47" s="43"/>
      <c r="M47" s="46" t="n">
        <v>0</v>
      </c>
      <c r="N47" s="43" t="n">
        <v>0</v>
      </c>
      <c r="O47" s="46" t="n">
        <v>0</v>
      </c>
      <c r="P47" s="49" t="n">
        <v>0</v>
      </c>
      <c r="Q47" s="50" t="n">
        <v>0</v>
      </c>
      <c r="R47" s="44" t="n">
        <v>0</v>
      </c>
      <c r="S47" s="44" t="n">
        <v>0</v>
      </c>
      <c r="T47" s="44" t="n">
        <v>0</v>
      </c>
      <c r="U47" s="44" t="n">
        <v>0</v>
      </c>
      <c r="V47" s="44" t="n">
        <v>0</v>
      </c>
      <c r="W47" s="44" t="n">
        <v>0</v>
      </c>
      <c r="X47" s="44" t="n">
        <v>0</v>
      </c>
      <c r="Y47" s="44" t="n">
        <v>0</v>
      </c>
      <c r="Z47" s="44" t="n">
        <v>0</v>
      </c>
      <c r="AA47" s="44" t="n">
        <v>0</v>
      </c>
      <c r="AB47" s="44" t="n">
        <v>0</v>
      </c>
      <c r="AC47" s="44" t="n">
        <v>0</v>
      </c>
      <c r="AD47" s="44" t="n">
        <v>0</v>
      </c>
      <c r="AE47" s="44" t="n">
        <v>0</v>
      </c>
      <c r="AF47" s="44" t="n">
        <v>0</v>
      </c>
      <c r="AG47" s="44" t="n">
        <v>0</v>
      </c>
      <c r="AH47" s="44" t="n">
        <v>0</v>
      </c>
      <c r="AI47" s="44" t="n">
        <v>0</v>
      </c>
      <c r="AJ47" s="44" t="n">
        <v>0</v>
      </c>
      <c r="AK47" s="44" t="n">
        <v>0</v>
      </c>
      <c r="AL47" s="44" t="n">
        <v>0</v>
      </c>
      <c r="AM47" s="44" t="n">
        <v>0</v>
      </c>
      <c r="AN47" s="46" t="n">
        <v>0</v>
      </c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  <c r="IY47" s="41"/>
      <c r="IZ47" s="41"/>
      <c r="JA47" s="41"/>
      <c r="JB47" s="41"/>
      <c r="JC47" s="41"/>
      <c r="JD47" s="41"/>
      <c r="JE47" s="41"/>
      <c r="JF47" s="41"/>
      <c r="JG47" s="41"/>
      <c r="JH47" s="41"/>
      <c r="JI47" s="41"/>
      <c r="JJ47" s="41"/>
      <c r="JK47" s="41"/>
      <c r="JL47" s="41"/>
      <c r="JM47" s="41"/>
      <c r="JN47" s="41"/>
      <c r="JO47" s="41"/>
      <c r="JP47" s="41"/>
      <c r="JQ47" s="41"/>
      <c r="JR47" s="41"/>
      <c r="JS47" s="41"/>
      <c r="JT47" s="4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41"/>
      <c r="KZ47" s="41"/>
      <c r="LA47" s="41"/>
      <c r="LB47" s="41"/>
      <c r="LC47" s="41"/>
      <c r="LD47" s="41"/>
      <c r="LE47" s="41"/>
      <c r="LF47" s="41"/>
      <c r="LG47" s="41"/>
      <c r="LH47" s="41"/>
      <c r="LI47" s="41"/>
      <c r="LJ47" s="41"/>
      <c r="LK47" s="41"/>
      <c r="LL47" s="41"/>
      <c r="LM47" s="41"/>
      <c r="LN47" s="41"/>
      <c r="LO47" s="41"/>
      <c r="LP47" s="41"/>
      <c r="LQ47" s="41"/>
      <c r="LR47" s="41"/>
      <c r="LS47" s="41"/>
      <c r="LT47" s="41"/>
      <c r="LU47" s="41"/>
      <c r="LV47" s="41"/>
      <c r="LW47" s="41"/>
      <c r="LX47" s="41"/>
      <c r="LY47" s="41"/>
      <c r="LZ47" s="41"/>
      <c r="MA47" s="41"/>
      <c r="MB47" s="41"/>
      <c r="MC47" s="41"/>
      <c r="MD47" s="41"/>
      <c r="ME47" s="41"/>
      <c r="MF47" s="41"/>
      <c r="MG47" s="41"/>
      <c r="MH47" s="41"/>
      <c r="MI47" s="41"/>
      <c r="MJ47" s="41"/>
      <c r="MK47" s="41"/>
      <c r="ML47" s="41"/>
      <c r="MM47" s="41"/>
      <c r="MN47" s="41"/>
      <c r="MO47" s="41"/>
      <c r="MP47" s="41"/>
      <c r="MQ47" s="41"/>
      <c r="MR47" s="41"/>
      <c r="MS47" s="41"/>
      <c r="MT47" s="41"/>
      <c r="MU47" s="41"/>
      <c r="MV47" s="41"/>
      <c r="MW47" s="41"/>
      <c r="MX47" s="41"/>
      <c r="MY47" s="41"/>
      <c r="MZ47" s="41"/>
      <c r="NA47" s="41"/>
      <c r="NB47" s="41"/>
      <c r="NC47" s="41"/>
      <c r="ND47" s="41"/>
      <c r="NE47" s="41"/>
      <c r="NF47" s="41"/>
      <c r="NG47" s="41"/>
      <c r="NH47" s="41"/>
      <c r="NI47" s="41"/>
      <c r="NJ47" s="41"/>
      <c r="NK47" s="41"/>
      <c r="NL47" s="41"/>
      <c r="NM47" s="41"/>
      <c r="NN47" s="41"/>
      <c r="NO47" s="41"/>
      <c r="NP47" s="41"/>
      <c r="NQ47" s="41"/>
      <c r="NR47" s="41"/>
      <c r="NS47" s="41"/>
      <c r="NT47" s="41"/>
      <c r="NU47" s="41"/>
      <c r="NV47" s="41"/>
      <c r="NW47" s="41"/>
      <c r="NX47" s="41"/>
      <c r="NY47" s="41"/>
      <c r="NZ47" s="41"/>
      <c r="OA47" s="41"/>
      <c r="OB47" s="41"/>
      <c r="OC47" s="41"/>
      <c r="OD47" s="41"/>
      <c r="OE47" s="41"/>
      <c r="OF47" s="41"/>
      <c r="OG47" s="41"/>
      <c r="OH47" s="41"/>
      <c r="OI47" s="41"/>
      <c r="OJ47" s="41"/>
      <c r="OK47" s="41"/>
      <c r="OL47" s="41"/>
      <c r="OM47" s="41"/>
      <c r="ON47" s="41"/>
      <c r="OO47" s="41"/>
      <c r="OP47" s="41"/>
      <c r="OQ47" s="41"/>
      <c r="OR47" s="41"/>
      <c r="OS47" s="41"/>
      <c r="OT47" s="41"/>
      <c r="OU47" s="41"/>
      <c r="OV47" s="41"/>
      <c r="OW47" s="41"/>
      <c r="OX47" s="41"/>
      <c r="OY47" s="41"/>
      <c r="OZ47" s="41"/>
      <c r="PA47" s="41"/>
      <c r="PB47" s="41"/>
      <c r="PC47" s="41"/>
      <c r="PD47" s="41"/>
      <c r="PE47" s="41"/>
      <c r="PF47" s="41"/>
      <c r="PG47" s="41"/>
      <c r="PH47" s="41"/>
      <c r="PI47" s="41"/>
      <c r="PJ47" s="41"/>
      <c r="PK47" s="41"/>
      <c r="PL47" s="41"/>
      <c r="PM47" s="41"/>
      <c r="PN47" s="41"/>
      <c r="PO47" s="41"/>
      <c r="PP47" s="41"/>
      <c r="PQ47" s="41"/>
      <c r="PR47" s="41"/>
      <c r="PS47" s="41"/>
      <c r="PT47" s="41"/>
      <c r="PU47" s="41"/>
      <c r="PV47" s="41"/>
      <c r="PW47" s="41"/>
      <c r="PX47" s="41"/>
      <c r="PY47" s="41"/>
      <c r="PZ47" s="41"/>
      <c r="QA47" s="41"/>
      <c r="QB47" s="41"/>
      <c r="QC47" s="41"/>
      <c r="QD47" s="41"/>
      <c r="QE47" s="41"/>
      <c r="QF47" s="41"/>
      <c r="QG47" s="41"/>
      <c r="QH47" s="41"/>
      <c r="QI47" s="41"/>
      <c r="QJ47" s="41"/>
      <c r="QK47" s="41"/>
      <c r="QL47" s="41"/>
      <c r="QM47" s="41"/>
      <c r="QN47" s="41"/>
      <c r="QO47" s="41"/>
      <c r="QP47" s="41"/>
      <c r="QQ47" s="41"/>
      <c r="QR47" s="41"/>
      <c r="QS47" s="41"/>
      <c r="QT47" s="41"/>
      <c r="QU47" s="41"/>
      <c r="QV47" s="41"/>
      <c r="QW47" s="41"/>
      <c r="QX47" s="41"/>
      <c r="QY47" s="41"/>
      <c r="QZ47" s="41"/>
      <c r="RA47" s="41"/>
      <c r="RB47" s="41"/>
      <c r="RC47" s="41"/>
      <c r="RD47" s="41"/>
      <c r="RE47" s="41"/>
      <c r="RF47" s="41"/>
      <c r="RG47" s="41"/>
      <c r="RH47" s="41"/>
      <c r="RI47" s="41"/>
      <c r="RJ47" s="41"/>
      <c r="RK47" s="41"/>
      <c r="RL47" s="41"/>
      <c r="RM47" s="41"/>
      <c r="RN47" s="41"/>
      <c r="RO47" s="41"/>
      <c r="RP47" s="41"/>
      <c r="RQ47" s="41"/>
      <c r="RR47" s="41"/>
      <c r="RS47" s="41"/>
      <c r="RT47" s="41"/>
      <c r="RU47" s="41"/>
      <c r="RV47" s="41"/>
      <c r="RW47" s="41"/>
      <c r="RX47" s="41"/>
      <c r="RY47" s="41"/>
      <c r="RZ47" s="41"/>
      <c r="SA47" s="41"/>
      <c r="SB47" s="41"/>
      <c r="SC47" s="41"/>
      <c r="SD47" s="41"/>
      <c r="SE47" s="41"/>
      <c r="SF47" s="41"/>
      <c r="SG47" s="41"/>
      <c r="SH47" s="41"/>
      <c r="SI47" s="41"/>
      <c r="SJ47" s="41"/>
      <c r="SK47" s="41"/>
      <c r="SL47" s="41"/>
      <c r="SM47" s="41"/>
      <c r="SN47" s="41"/>
      <c r="SO47" s="41"/>
      <c r="SP47" s="41"/>
      <c r="SQ47" s="41"/>
      <c r="SR47" s="41"/>
      <c r="SS47" s="41"/>
      <c r="ST47" s="41"/>
      <c r="SU47" s="41"/>
      <c r="SV47" s="41"/>
      <c r="SW47" s="41"/>
      <c r="SX47" s="41"/>
      <c r="SY47" s="41"/>
      <c r="SZ47" s="41"/>
      <c r="TA47" s="41"/>
      <c r="TB47" s="41"/>
      <c r="TC47" s="41"/>
      <c r="TD47" s="41"/>
      <c r="TE47" s="41"/>
      <c r="TF47" s="41"/>
      <c r="TG47" s="41"/>
      <c r="TH47" s="41"/>
      <c r="TI47" s="41"/>
      <c r="TJ47" s="41"/>
      <c r="TK47" s="41"/>
      <c r="TL47" s="41"/>
      <c r="TM47" s="41"/>
      <c r="TN47" s="41"/>
      <c r="TO47" s="41"/>
      <c r="TP47" s="41"/>
      <c r="TQ47" s="41"/>
      <c r="TR47" s="41"/>
      <c r="TS47" s="41"/>
      <c r="TT47" s="41"/>
      <c r="TU47" s="41"/>
      <c r="TV47" s="41"/>
      <c r="TW47" s="41"/>
      <c r="TX47" s="41"/>
      <c r="TY47" s="41"/>
      <c r="TZ47" s="41"/>
      <c r="UA47" s="41"/>
      <c r="UB47" s="41"/>
      <c r="UC47" s="41"/>
      <c r="UD47" s="41"/>
      <c r="UE47" s="41"/>
      <c r="UF47" s="41"/>
      <c r="UG47" s="41"/>
      <c r="UH47" s="41"/>
      <c r="UI47" s="41"/>
      <c r="UJ47" s="41"/>
      <c r="UK47" s="41"/>
      <c r="UL47" s="41"/>
      <c r="UM47" s="41"/>
      <c r="UN47" s="41"/>
      <c r="UO47" s="41"/>
      <c r="UP47" s="41"/>
      <c r="UQ47" s="41"/>
      <c r="UR47" s="41"/>
      <c r="US47" s="41"/>
      <c r="UT47" s="41"/>
      <c r="UU47" s="41"/>
      <c r="UV47" s="41"/>
      <c r="UW47" s="41"/>
      <c r="UX47" s="41"/>
      <c r="UY47" s="41"/>
      <c r="UZ47" s="41"/>
      <c r="VA47" s="41"/>
      <c r="VB47" s="41"/>
      <c r="VC47" s="41"/>
      <c r="VD47" s="41"/>
      <c r="VE47" s="41"/>
      <c r="VF47" s="41"/>
      <c r="VG47" s="41"/>
      <c r="VH47" s="41"/>
      <c r="VI47" s="41"/>
      <c r="VJ47" s="41"/>
      <c r="VK47" s="41"/>
      <c r="VL47" s="41"/>
      <c r="VM47" s="41"/>
      <c r="VN47" s="41"/>
      <c r="VO47" s="41"/>
      <c r="VP47" s="41"/>
      <c r="VQ47" s="41"/>
      <c r="VR47" s="41"/>
      <c r="VS47" s="41"/>
      <c r="VT47" s="41"/>
      <c r="VU47" s="41"/>
      <c r="VV47" s="41"/>
      <c r="VW47" s="41"/>
      <c r="VX47" s="41"/>
      <c r="VY47" s="41"/>
      <c r="VZ47" s="41"/>
      <c r="WA47" s="41"/>
      <c r="WB47" s="41"/>
      <c r="WC47" s="41"/>
      <c r="WD47" s="41"/>
      <c r="WE47" s="41"/>
      <c r="WF47" s="41"/>
      <c r="WG47" s="41"/>
      <c r="WH47" s="41"/>
      <c r="WI47" s="41"/>
      <c r="WJ47" s="41"/>
      <c r="WK47" s="41"/>
      <c r="WL47" s="41"/>
      <c r="WM47" s="41"/>
      <c r="WN47" s="41"/>
      <c r="WO47" s="41"/>
      <c r="WP47" s="41"/>
      <c r="WQ47" s="41"/>
      <c r="WR47" s="41"/>
      <c r="WS47" s="41"/>
      <c r="WT47" s="41"/>
      <c r="WU47" s="41"/>
      <c r="WV47" s="41"/>
      <c r="WW47" s="41"/>
      <c r="WX47" s="41"/>
      <c r="WY47" s="41"/>
      <c r="WZ47" s="41"/>
      <c r="XA47" s="41"/>
      <c r="XB47" s="41"/>
      <c r="XC47" s="41"/>
      <c r="XD47" s="41"/>
      <c r="XE47" s="41"/>
      <c r="XF47" s="41"/>
      <c r="XG47" s="41"/>
      <c r="XH47" s="41"/>
      <c r="XI47" s="41"/>
      <c r="XJ47" s="41"/>
      <c r="XK47" s="41"/>
      <c r="XL47" s="41"/>
      <c r="XM47" s="41"/>
      <c r="XN47" s="41"/>
      <c r="XO47" s="41"/>
      <c r="XP47" s="41"/>
      <c r="XQ47" s="41"/>
      <c r="XR47" s="41"/>
      <c r="XS47" s="41"/>
      <c r="XT47" s="41"/>
      <c r="XU47" s="41"/>
      <c r="XV47" s="41"/>
      <c r="XW47" s="41"/>
      <c r="XX47" s="41"/>
      <c r="XY47" s="41"/>
      <c r="XZ47" s="41"/>
      <c r="YA47" s="41"/>
      <c r="YB47" s="41"/>
      <c r="YC47" s="41"/>
      <c r="YD47" s="41"/>
      <c r="YE47" s="41"/>
      <c r="YF47" s="41"/>
      <c r="YG47" s="41"/>
      <c r="YH47" s="41"/>
      <c r="YI47" s="41"/>
      <c r="YJ47" s="41"/>
      <c r="YK47" s="41"/>
      <c r="YL47" s="41"/>
      <c r="YM47" s="41"/>
      <c r="YN47" s="41"/>
      <c r="YO47" s="41"/>
      <c r="YP47" s="41"/>
      <c r="YQ47" s="41"/>
      <c r="YR47" s="41"/>
      <c r="YS47" s="41"/>
      <c r="YT47" s="41"/>
      <c r="YU47" s="41"/>
      <c r="YV47" s="41"/>
      <c r="YW47" s="41"/>
      <c r="YX47" s="41"/>
      <c r="YY47" s="41"/>
      <c r="YZ47" s="41"/>
      <c r="ZA47" s="41"/>
      <c r="ZB47" s="41"/>
      <c r="ZC47" s="41"/>
      <c r="ZD47" s="41"/>
      <c r="ZE47" s="41"/>
      <c r="ZF47" s="41"/>
      <c r="ZG47" s="41"/>
      <c r="ZH47" s="41"/>
      <c r="ZI47" s="41"/>
      <c r="ZJ47" s="41"/>
      <c r="ZK47" s="41"/>
      <c r="ZL47" s="41"/>
      <c r="ZM47" s="41"/>
      <c r="ZN47" s="41"/>
      <c r="ZO47" s="41"/>
      <c r="ZP47" s="41"/>
      <c r="ZQ47" s="41"/>
      <c r="ZR47" s="41"/>
      <c r="ZS47" s="41"/>
      <c r="ZT47" s="41"/>
      <c r="ZU47" s="41"/>
      <c r="ZV47" s="41"/>
      <c r="ZW47" s="41"/>
      <c r="ZX47" s="41"/>
      <c r="ZY47" s="41"/>
      <c r="ZZ47" s="41"/>
      <c r="AAA47" s="41"/>
      <c r="AAB47" s="41"/>
      <c r="AAC47" s="41"/>
      <c r="AAD47" s="41"/>
      <c r="AAE47" s="41"/>
      <c r="AAF47" s="41"/>
      <c r="AAG47" s="41"/>
      <c r="AAH47" s="41"/>
      <c r="AAI47" s="41"/>
      <c r="AAJ47" s="41"/>
      <c r="AAK47" s="41"/>
      <c r="AAL47" s="41"/>
      <c r="AAM47" s="41"/>
      <c r="AAN47" s="41"/>
      <c r="AAO47" s="41"/>
      <c r="AAP47" s="41"/>
      <c r="AAQ47" s="41"/>
      <c r="AAR47" s="41"/>
      <c r="AAS47" s="41"/>
      <c r="AAT47" s="41"/>
      <c r="AAU47" s="41"/>
      <c r="AAV47" s="41"/>
      <c r="AAW47" s="41"/>
      <c r="AAX47" s="41"/>
      <c r="AAY47" s="41"/>
      <c r="AAZ47" s="41"/>
      <c r="ABA47" s="41"/>
      <c r="ABB47" s="41"/>
      <c r="ABC47" s="41"/>
      <c r="ABD47" s="41"/>
      <c r="ABE47" s="41"/>
      <c r="ABF47" s="41"/>
      <c r="ABG47" s="41"/>
      <c r="ABH47" s="41"/>
      <c r="ABI47" s="41"/>
      <c r="ABJ47" s="41"/>
      <c r="ABK47" s="41"/>
      <c r="ABL47" s="41"/>
      <c r="ABM47" s="41"/>
      <c r="ABN47" s="41"/>
      <c r="ABO47" s="41"/>
      <c r="ABP47" s="41"/>
      <c r="ABQ47" s="41"/>
      <c r="ABR47" s="41"/>
      <c r="ABS47" s="41"/>
      <c r="ABT47" s="41"/>
      <c r="ABU47" s="41"/>
      <c r="ABV47" s="41"/>
      <c r="ABW47" s="41"/>
      <c r="ABX47" s="41"/>
      <c r="ABY47" s="41"/>
      <c r="ABZ47" s="41"/>
      <c r="ACA47" s="41"/>
      <c r="ACB47" s="41"/>
      <c r="ACC47" s="41"/>
      <c r="ACD47" s="41"/>
      <c r="ACE47" s="41"/>
      <c r="ACF47" s="41"/>
      <c r="ACG47" s="41"/>
      <c r="ACH47" s="41"/>
      <c r="ACI47" s="41"/>
      <c r="ACJ47" s="41"/>
      <c r="ACK47" s="41"/>
      <c r="ACL47" s="41"/>
      <c r="ACM47" s="41"/>
      <c r="ACN47" s="41"/>
      <c r="ACO47" s="41"/>
      <c r="ACP47" s="41"/>
      <c r="ACQ47" s="41"/>
      <c r="ACR47" s="41"/>
      <c r="ACS47" s="41"/>
      <c r="ACT47" s="41"/>
      <c r="ACU47" s="41"/>
      <c r="ACV47" s="41"/>
      <c r="ACW47" s="41"/>
      <c r="ACX47" s="41"/>
      <c r="ACY47" s="41"/>
      <c r="ACZ47" s="41"/>
      <c r="ADA47" s="41"/>
      <c r="ADB47" s="41"/>
      <c r="ADC47" s="41"/>
      <c r="ADD47" s="41"/>
      <c r="ADE47" s="41"/>
      <c r="ADF47" s="41"/>
      <c r="ADG47" s="41"/>
      <c r="ADH47" s="41"/>
      <c r="ADI47" s="41"/>
      <c r="ADJ47" s="41"/>
      <c r="ADK47" s="41"/>
      <c r="ADL47" s="41"/>
      <c r="ADM47" s="41"/>
      <c r="ADN47" s="41"/>
      <c r="ADO47" s="41"/>
      <c r="ADP47" s="41"/>
      <c r="ADQ47" s="41"/>
      <c r="ADR47" s="41"/>
      <c r="ADS47" s="41"/>
      <c r="ADT47" s="41"/>
      <c r="ADU47" s="41"/>
      <c r="ADV47" s="41"/>
      <c r="ADW47" s="41"/>
      <c r="ADX47" s="41"/>
      <c r="ADY47" s="41"/>
      <c r="ADZ47" s="41"/>
      <c r="AEA47" s="41"/>
      <c r="AEB47" s="41"/>
      <c r="AEC47" s="41"/>
      <c r="AED47" s="41"/>
      <c r="AEE47" s="41"/>
      <c r="AEF47" s="41"/>
      <c r="AEG47" s="41"/>
      <c r="AEH47" s="41"/>
      <c r="AEI47" s="41"/>
      <c r="AEJ47" s="41"/>
      <c r="AEK47" s="41"/>
      <c r="AEL47" s="41"/>
      <c r="AEM47" s="41"/>
      <c r="AEN47" s="41"/>
      <c r="AEO47" s="41"/>
      <c r="AEP47" s="41"/>
      <c r="AEQ47" s="41"/>
      <c r="AER47" s="41"/>
      <c r="AES47" s="41"/>
      <c r="AET47" s="41"/>
      <c r="AEU47" s="41"/>
      <c r="AEV47" s="41"/>
      <c r="AEW47" s="41"/>
      <c r="AEX47" s="41"/>
      <c r="AEY47" s="41"/>
      <c r="AEZ47" s="41"/>
      <c r="AFA47" s="41"/>
      <c r="AFB47" s="41"/>
      <c r="AFC47" s="41"/>
      <c r="AFD47" s="41"/>
      <c r="AFE47" s="41"/>
      <c r="AFF47" s="41"/>
      <c r="AFG47" s="41"/>
      <c r="AFH47" s="41"/>
      <c r="AFI47" s="41"/>
      <c r="AFJ47" s="41"/>
      <c r="AFK47" s="41"/>
      <c r="AFL47" s="41"/>
      <c r="AFM47" s="41"/>
      <c r="AFN47" s="41"/>
      <c r="AFO47" s="41"/>
      <c r="AFP47" s="41"/>
      <c r="AFQ47" s="41"/>
      <c r="AFR47" s="41"/>
      <c r="AFS47" s="41"/>
      <c r="AFT47" s="41"/>
      <c r="AFU47" s="41"/>
      <c r="AFV47" s="41"/>
      <c r="AFW47" s="41"/>
      <c r="AFX47" s="41"/>
      <c r="AFY47" s="41"/>
      <c r="AFZ47" s="41"/>
      <c r="AGA47" s="41"/>
      <c r="AGB47" s="41"/>
      <c r="AGC47" s="41"/>
      <c r="AGD47" s="41"/>
      <c r="AGE47" s="41"/>
      <c r="AGF47" s="41"/>
      <c r="AGG47" s="41"/>
      <c r="AGH47" s="41"/>
      <c r="AGI47" s="41"/>
      <c r="AGJ47" s="41"/>
      <c r="AGK47" s="41"/>
      <c r="AGL47" s="41"/>
      <c r="AGM47" s="41"/>
      <c r="AGN47" s="41"/>
      <c r="AGO47" s="41"/>
      <c r="AGP47" s="41"/>
      <c r="AGQ47" s="41"/>
      <c r="AGR47" s="41"/>
      <c r="AGS47" s="41"/>
      <c r="AGT47" s="41"/>
      <c r="AGU47" s="41"/>
      <c r="AGV47" s="41"/>
      <c r="AGW47" s="41"/>
      <c r="AGX47" s="41"/>
      <c r="AGY47" s="41"/>
      <c r="AGZ47" s="41"/>
      <c r="AHA47" s="41"/>
      <c r="AHB47" s="41"/>
      <c r="AHC47" s="41"/>
      <c r="AHD47" s="41"/>
      <c r="AHE47" s="41"/>
      <c r="AHF47" s="41"/>
      <c r="AHG47" s="41"/>
      <c r="AHH47" s="41"/>
      <c r="AHI47" s="41"/>
      <c r="AHJ47" s="41"/>
      <c r="AHK47" s="41"/>
      <c r="AHL47" s="41"/>
      <c r="AHM47" s="41"/>
      <c r="AHN47" s="41"/>
      <c r="AHO47" s="41"/>
      <c r="AHP47" s="41"/>
      <c r="AHQ47" s="41"/>
      <c r="AHR47" s="41"/>
      <c r="AHS47" s="41"/>
      <c r="AHT47" s="41"/>
      <c r="AHU47" s="41"/>
      <c r="AHV47" s="41"/>
      <c r="AHW47" s="41"/>
      <c r="AHX47" s="41"/>
      <c r="AHY47" s="41"/>
      <c r="AHZ47" s="41"/>
      <c r="AIA47" s="41"/>
      <c r="AIB47" s="41"/>
      <c r="AIC47" s="41"/>
      <c r="AID47" s="41"/>
      <c r="AIE47" s="41"/>
      <c r="AIF47" s="41"/>
      <c r="AIG47" s="41"/>
      <c r="AIH47" s="41"/>
      <c r="AII47" s="41"/>
      <c r="AIJ47" s="41"/>
      <c r="AIK47" s="41"/>
      <c r="AIL47" s="41"/>
      <c r="AIM47" s="41"/>
      <c r="AIN47" s="41"/>
      <c r="AIO47" s="41"/>
      <c r="AIP47" s="41"/>
      <c r="AIQ47" s="41"/>
      <c r="AIR47" s="41"/>
      <c r="AIS47" s="41"/>
      <c r="AIT47" s="41"/>
      <c r="AIU47" s="41"/>
      <c r="AIV47" s="41"/>
      <c r="AIW47" s="41"/>
      <c r="AIX47" s="41"/>
      <c r="AIY47" s="41"/>
      <c r="AIZ47" s="41"/>
      <c r="AJA47" s="41"/>
      <c r="AJB47" s="41"/>
      <c r="AJC47" s="41"/>
      <c r="AJD47" s="41"/>
      <c r="AJE47" s="41"/>
      <c r="AJF47" s="41"/>
      <c r="AJG47" s="41"/>
      <c r="AJH47" s="41"/>
      <c r="AJI47" s="41"/>
      <c r="AJJ47" s="41"/>
      <c r="AJK47" s="41"/>
      <c r="AJL47" s="41"/>
      <c r="AJM47" s="41"/>
      <c r="AJN47" s="41"/>
      <c r="AJO47" s="41"/>
      <c r="AJP47" s="41"/>
      <c r="AJQ47" s="41"/>
      <c r="AJR47" s="41"/>
      <c r="AJS47" s="41"/>
      <c r="AJT47" s="41"/>
      <c r="AJU47" s="41"/>
      <c r="AJV47" s="41"/>
      <c r="AJW47" s="41"/>
      <c r="AJX47" s="41"/>
      <c r="AJY47" s="41"/>
      <c r="AJZ47" s="41"/>
      <c r="AKA47" s="41"/>
      <c r="AKB47" s="41"/>
      <c r="AKC47" s="41"/>
      <c r="AKD47" s="41"/>
      <c r="AKE47" s="41"/>
      <c r="AKF47" s="41"/>
      <c r="AKG47" s="41"/>
      <c r="AKH47" s="41"/>
      <c r="AKI47" s="41"/>
      <c r="AKJ47" s="41"/>
      <c r="AKK47" s="41"/>
      <c r="AKL47" s="41"/>
      <c r="AKM47" s="41"/>
      <c r="AKN47" s="41"/>
      <c r="AKO47" s="41"/>
      <c r="AKP47" s="41"/>
      <c r="AKQ47" s="41"/>
      <c r="AKR47" s="41"/>
      <c r="AKS47" s="41"/>
      <c r="AKT47" s="41"/>
      <c r="AKU47" s="41"/>
      <c r="AKV47" s="41"/>
      <c r="AKW47" s="41"/>
      <c r="AKX47" s="41"/>
      <c r="AKY47" s="41"/>
      <c r="AKZ47" s="41"/>
      <c r="ALA47" s="41"/>
      <c r="ALB47" s="41"/>
      <c r="ALC47" s="41"/>
      <c r="ALD47" s="41"/>
      <c r="ALE47" s="41"/>
      <c r="ALF47" s="41"/>
      <c r="ALG47" s="41"/>
      <c r="ALH47" s="41"/>
      <c r="ALI47" s="41"/>
      <c r="ALJ47" s="41"/>
      <c r="ALK47" s="41"/>
      <c r="ALL47" s="41"/>
      <c r="ALM47" s="41"/>
      <c r="ALN47" s="41"/>
      <c r="ALO47" s="41"/>
      <c r="ALP47" s="41"/>
      <c r="ALQ47" s="41"/>
      <c r="ALR47" s="41"/>
      <c r="ALS47" s="41"/>
      <c r="ALT47" s="41"/>
      <c r="ALU47" s="41"/>
      <c r="ALV47" s="41"/>
      <c r="ALW47" s="41"/>
      <c r="ALX47" s="41"/>
      <c r="ALY47" s="41"/>
      <c r="ALZ47" s="41"/>
      <c r="AMA47" s="41"/>
      <c r="AMB47" s="41"/>
      <c r="AMC47" s="41"/>
      <c r="AMD47" s="41"/>
      <c r="AME47" s="41"/>
      <c r="AMF47" s="41"/>
      <c r="AMG47" s="41"/>
      <c r="AMH47" s="41"/>
      <c r="AMI47" s="41"/>
      <c r="AMJ47" s="41"/>
      <c r="AMK47" s="41"/>
      <c r="AML47" s="41"/>
      <c r="AMM47" s="41"/>
      <c r="AMN47" s="41"/>
      <c r="AMO47" s="41"/>
      <c r="AMP47" s="41"/>
      <c r="AMQ47" s="41"/>
      <c r="AMR47" s="41"/>
      <c r="AMS47" s="41"/>
      <c r="AMT47" s="41"/>
      <c r="AMU47" s="41"/>
      <c r="AMV47" s="41"/>
      <c r="AMW47" s="41"/>
      <c r="AMX47" s="41"/>
      <c r="AMY47" s="41"/>
      <c r="AMZ47" s="41"/>
      <c r="ANA47" s="41"/>
      <c r="ANB47" s="41"/>
      <c r="ANC47" s="41"/>
      <c r="AND47" s="41"/>
      <c r="ANE47" s="41"/>
      <c r="ANF47" s="41"/>
      <c r="ANG47" s="41"/>
      <c r="ANH47" s="41"/>
      <c r="ANI47" s="41"/>
      <c r="ANJ47" s="41"/>
      <c r="ANK47" s="41"/>
    </row>
    <row r="48" s="44" customFormat="true" ht="15" hidden="false" customHeight="false" outlineLevel="0" collapsed="false">
      <c r="A48" s="55" t="s">
        <v>70</v>
      </c>
      <c r="B48" s="43" t="n">
        <v>16560</v>
      </c>
      <c r="C48" s="44" t="n">
        <v>16560</v>
      </c>
      <c r="D48" s="44" t="n">
        <v>0</v>
      </c>
      <c r="E48" s="45" t="n">
        <v>1900</v>
      </c>
      <c r="F48" s="43" t="n">
        <v>0</v>
      </c>
      <c r="G48" s="44" t="n">
        <v>160000</v>
      </c>
      <c r="H48" s="46" t="n">
        <v>0</v>
      </c>
      <c r="I48" s="47" t="n">
        <v>0.081</v>
      </c>
      <c r="J48" s="48" t="n">
        <v>0</v>
      </c>
      <c r="K48" s="43"/>
      <c r="M48" s="46" t="n">
        <v>0</v>
      </c>
      <c r="N48" s="43" t="n">
        <v>0</v>
      </c>
      <c r="O48" s="46" t="n">
        <v>0</v>
      </c>
      <c r="P48" s="49" t="n">
        <v>0</v>
      </c>
      <c r="Q48" s="50" t="n">
        <v>0</v>
      </c>
      <c r="R48" s="44" t="n">
        <v>0</v>
      </c>
      <c r="S48" s="44" t="n">
        <v>0</v>
      </c>
      <c r="T48" s="44" t="n">
        <v>0</v>
      </c>
      <c r="U48" s="44" t="n">
        <v>0</v>
      </c>
      <c r="V48" s="44" t="n">
        <v>0</v>
      </c>
      <c r="W48" s="44" t="n">
        <v>0</v>
      </c>
      <c r="X48" s="44" t="n">
        <v>0</v>
      </c>
      <c r="Y48" s="44" t="n">
        <v>0</v>
      </c>
      <c r="Z48" s="44" t="n">
        <v>0</v>
      </c>
      <c r="AA48" s="44" t="n">
        <v>0</v>
      </c>
      <c r="AB48" s="44" t="n">
        <v>0</v>
      </c>
      <c r="AC48" s="44" t="n">
        <v>0</v>
      </c>
      <c r="AD48" s="44" t="n">
        <v>0</v>
      </c>
      <c r="AE48" s="44" t="n">
        <v>0</v>
      </c>
      <c r="AF48" s="44" t="n">
        <v>0</v>
      </c>
      <c r="AG48" s="44" t="n">
        <v>0</v>
      </c>
      <c r="AH48" s="44" t="n">
        <v>0</v>
      </c>
      <c r="AI48" s="44" t="n">
        <v>0</v>
      </c>
      <c r="AJ48" s="44" t="n">
        <v>0</v>
      </c>
      <c r="AK48" s="44" t="n">
        <v>0</v>
      </c>
      <c r="AL48" s="44" t="n">
        <v>0</v>
      </c>
      <c r="AM48" s="44" t="n">
        <v>0</v>
      </c>
      <c r="AN48" s="46" t="n">
        <v>0</v>
      </c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  <c r="IY48" s="41"/>
      <c r="IZ48" s="41"/>
      <c r="JA48" s="41"/>
      <c r="JB48" s="41"/>
      <c r="JC48" s="41"/>
      <c r="JD48" s="41"/>
      <c r="JE48" s="41"/>
      <c r="JF48" s="41"/>
      <c r="JG48" s="41"/>
      <c r="JH48" s="41"/>
      <c r="JI48" s="41"/>
      <c r="JJ48" s="41"/>
      <c r="JK48" s="41"/>
      <c r="JL48" s="41"/>
      <c r="JM48" s="41"/>
      <c r="JN48" s="41"/>
      <c r="JO48" s="41"/>
      <c r="JP48" s="41"/>
      <c r="JQ48" s="41"/>
      <c r="JR48" s="41"/>
      <c r="JS48" s="41"/>
      <c r="JT48" s="41"/>
      <c r="JU48" s="41"/>
      <c r="JV48" s="41"/>
      <c r="JW48" s="41"/>
      <c r="JX48" s="41"/>
      <c r="JY48" s="41"/>
      <c r="JZ48" s="41"/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1"/>
      <c r="KO48" s="41"/>
      <c r="KP48" s="41"/>
      <c r="KQ48" s="41"/>
      <c r="KR48" s="41"/>
      <c r="KS48" s="41"/>
      <c r="KT48" s="41"/>
      <c r="KU48" s="41"/>
      <c r="KV48" s="41"/>
      <c r="KW48" s="41"/>
      <c r="KX48" s="41"/>
      <c r="KY48" s="41"/>
      <c r="KZ48" s="41"/>
      <c r="LA48" s="41"/>
      <c r="LB48" s="41"/>
      <c r="LC48" s="41"/>
      <c r="LD48" s="41"/>
      <c r="LE48" s="41"/>
      <c r="LF48" s="41"/>
      <c r="LG48" s="41"/>
      <c r="LH48" s="41"/>
      <c r="LI48" s="41"/>
      <c r="LJ48" s="41"/>
      <c r="LK48" s="41"/>
      <c r="LL48" s="41"/>
      <c r="LM48" s="41"/>
      <c r="LN48" s="41"/>
      <c r="LO48" s="41"/>
      <c r="LP48" s="41"/>
      <c r="LQ48" s="41"/>
      <c r="LR48" s="41"/>
      <c r="LS48" s="41"/>
      <c r="LT48" s="41"/>
      <c r="LU48" s="41"/>
      <c r="LV48" s="41"/>
      <c r="LW48" s="41"/>
      <c r="LX48" s="41"/>
      <c r="LY48" s="41"/>
      <c r="LZ48" s="41"/>
      <c r="MA48" s="41"/>
      <c r="MB48" s="41"/>
      <c r="MC48" s="41"/>
      <c r="MD48" s="41"/>
      <c r="ME48" s="41"/>
      <c r="MF48" s="41"/>
      <c r="MG48" s="41"/>
      <c r="MH48" s="41"/>
      <c r="MI48" s="41"/>
      <c r="MJ48" s="41"/>
      <c r="MK48" s="41"/>
      <c r="ML48" s="41"/>
      <c r="MM48" s="41"/>
      <c r="MN48" s="41"/>
      <c r="MO48" s="41"/>
      <c r="MP48" s="41"/>
      <c r="MQ48" s="41"/>
      <c r="MR48" s="41"/>
      <c r="MS48" s="41"/>
      <c r="MT48" s="41"/>
      <c r="MU48" s="41"/>
      <c r="MV48" s="41"/>
      <c r="MW48" s="41"/>
      <c r="MX48" s="41"/>
      <c r="MY48" s="41"/>
      <c r="MZ48" s="41"/>
      <c r="NA48" s="41"/>
      <c r="NB48" s="41"/>
      <c r="NC48" s="41"/>
      <c r="ND48" s="41"/>
      <c r="NE48" s="41"/>
      <c r="NF48" s="41"/>
      <c r="NG48" s="41"/>
      <c r="NH48" s="41"/>
      <c r="NI48" s="41"/>
      <c r="NJ48" s="41"/>
      <c r="NK48" s="41"/>
      <c r="NL48" s="41"/>
      <c r="NM48" s="41"/>
      <c r="NN48" s="41"/>
      <c r="NO48" s="41"/>
      <c r="NP48" s="41"/>
      <c r="NQ48" s="41"/>
      <c r="NR48" s="41"/>
      <c r="NS48" s="41"/>
      <c r="NT48" s="41"/>
      <c r="NU48" s="41"/>
      <c r="NV48" s="41"/>
      <c r="NW48" s="41"/>
      <c r="NX48" s="41"/>
      <c r="NY48" s="41"/>
      <c r="NZ48" s="41"/>
      <c r="OA48" s="41"/>
      <c r="OB48" s="41"/>
      <c r="OC48" s="41"/>
      <c r="OD48" s="41"/>
      <c r="OE48" s="41"/>
      <c r="OF48" s="41"/>
      <c r="OG48" s="41"/>
      <c r="OH48" s="41"/>
      <c r="OI48" s="41"/>
      <c r="OJ48" s="41"/>
      <c r="OK48" s="41"/>
      <c r="OL48" s="41"/>
      <c r="OM48" s="41"/>
      <c r="ON48" s="41"/>
      <c r="OO48" s="41"/>
      <c r="OP48" s="41"/>
      <c r="OQ48" s="41"/>
      <c r="OR48" s="41"/>
      <c r="OS48" s="41"/>
      <c r="OT48" s="41"/>
      <c r="OU48" s="41"/>
      <c r="OV48" s="41"/>
      <c r="OW48" s="41"/>
      <c r="OX48" s="41"/>
      <c r="OY48" s="41"/>
      <c r="OZ48" s="41"/>
      <c r="PA48" s="41"/>
      <c r="PB48" s="41"/>
      <c r="PC48" s="41"/>
      <c r="PD48" s="41"/>
      <c r="PE48" s="41"/>
      <c r="PF48" s="41"/>
      <c r="PG48" s="41"/>
      <c r="PH48" s="41"/>
      <c r="PI48" s="41"/>
      <c r="PJ48" s="41"/>
      <c r="PK48" s="41"/>
      <c r="PL48" s="41"/>
      <c r="PM48" s="41"/>
      <c r="PN48" s="41"/>
      <c r="PO48" s="41"/>
      <c r="PP48" s="41"/>
      <c r="PQ48" s="41"/>
      <c r="PR48" s="41"/>
      <c r="PS48" s="41"/>
      <c r="PT48" s="41"/>
      <c r="PU48" s="41"/>
      <c r="PV48" s="41"/>
      <c r="PW48" s="41"/>
      <c r="PX48" s="41"/>
      <c r="PY48" s="41"/>
      <c r="PZ48" s="41"/>
      <c r="QA48" s="41"/>
      <c r="QB48" s="41"/>
      <c r="QC48" s="41"/>
      <c r="QD48" s="41"/>
      <c r="QE48" s="41"/>
      <c r="QF48" s="41"/>
      <c r="QG48" s="41"/>
      <c r="QH48" s="41"/>
      <c r="QI48" s="41"/>
      <c r="QJ48" s="41"/>
      <c r="QK48" s="41"/>
      <c r="QL48" s="41"/>
      <c r="QM48" s="41"/>
      <c r="QN48" s="41"/>
      <c r="QO48" s="41"/>
      <c r="QP48" s="41"/>
      <c r="QQ48" s="41"/>
      <c r="QR48" s="41"/>
      <c r="QS48" s="41"/>
      <c r="QT48" s="41"/>
      <c r="QU48" s="41"/>
      <c r="QV48" s="41"/>
      <c r="QW48" s="41"/>
      <c r="QX48" s="41"/>
      <c r="QY48" s="41"/>
      <c r="QZ48" s="41"/>
      <c r="RA48" s="41"/>
      <c r="RB48" s="41"/>
      <c r="RC48" s="41"/>
      <c r="RD48" s="41"/>
      <c r="RE48" s="41"/>
      <c r="RF48" s="41"/>
      <c r="RG48" s="41"/>
      <c r="RH48" s="41"/>
      <c r="RI48" s="41"/>
      <c r="RJ48" s="41"/>
      <c r="RK48" s="41"/>
      <c r="RL48" s="41"/>
      <c r="RM48" s="41"/>
      <c r="RN48" s="41"/>
      <c r="RO48" s="41"/>
      <c r="RP48" s="41"/>
      <c r="RQ48" s="41"/>
      <c r="RR48" s="41"/>
      <c r="RS48" s="41"/>
      <c r="RT48" s="41"/>
      <c r="RU48" s="41"/>
      <c r="RV48" s="41"/>
      <c r="RW48" s="41"/>
      <c r="RX48" s="41"/>
      <c r="RY48" s="41"/>
      <c r="RZ48" s="41"/>
      <c r="SA48" s="41"/>
      <c r="SB48" s="41"/>
      <c r="SC48" s="41"/>
      <c r="SD48" s="41"/>
      <c r="SE48" s="41"/>
      <c r="SF48" s="41"/>
      <c r="SG48" s="41"/>
      <c r="SH48" s="41"/>
      <c r="SI48" s="41"/>
      <c r="SJ48" s="41"/>
      <c r="SK48" s="41"/>
      <c r="SL48" s="41"/>
      <c r="SM48" s="41"/>
      <c r="SN48" s="41"/>
      <c r="SO48" s="41"/>
      <c r="SP48" s="41"/>
      <c r="SQ48" s="41"/>
      <c r="SR48" s="41"/>
      <c r="SS48" s="41"/>
      <c r="ST48" s="41"/>
      <c r="SU48" s="41"/>
      <c r="SV48" s="41"/>
      <c r="SW48" s="41"/>
      <c r="SX48" s="41"/>
      <c r="SY48" s="41"/>
      <c r="SZ48" s="41"/>
      <c r="TA48" s="41"/>
      <c r="TB48" s="41"/>
      <c r="TC48" s="41"/>
      <c r="TD48" s="41"/>
      <c r="TE48" s="41"/>
      <c r="TF48" s="41"/>
      <c r="TG48" s="41"/>
      <c r="TH48" s="41"/>
      <c r="TI48" s="41"/>
      <c r="TJ48" s="41"/>
      <c r="TK48" s="41"/>
      <c r="TL48" s="41"/>
      <c r="TM48" s="41"/>
      <c r="TN48" s="41"/>
      <c r="TO48" s="41"/>
      <c r="TP48" s="41"/>
      <c r="TQ48" s="41"/>
      <c r="TR48" s="41"/>
      <c r="TS48" s="41"/>
      <c r="TT48" s="41"/>
      <c r="TU48" s="41"/>
      <c r="TV48" s="41"/>
      <c r="TW48" s="41"/>
      <c r="TX48" s="41"/>
      <c r="TY48" s="41"/>
      <c r="TZ48" s="41"/>
      <c r="UA48" s="41"/>
      <c r="UB48" s="41"/>
      <c r="UC48" s="41"/>
      <c r="UD48" s="41"/>
      <c r="UE48" s="41"/>
      <c r="UF48" s="41"/>
      <c r="UG48" s="41"/>
      <c r="UH48" s="41"/>
      <c r="UI48" s="41"/>
      <c r="UJ48" s="41"/>
      <c r="UK48" s="41"/>
      <c r="UL48" s="41"/>
      <c r="UM48" s="41"/>
      <c r="UN48" s="41"/>
      <c r="UO48" s="41"/>
      <c r="UP48" s="41"/>
      <c r="UQ48" s="41"/>
      <c r="UR48" s="41"/>
      <c r="US48" s="41"/>
      <c r="UT48" s="41"/>
      <c r="UU48" s="41"/>
      <c r="UV48" s="41"/>
      <c r="UW48" s="41"/>
      <c r="UX48" s="41"/>
      <c r="UY48" s="41"/>
      <c r="UZ48" s="41"/>
      <c r="VA48" s="41"/>
      <c r="VB48" s="41"/>
      <c r="VC48" s="41"/>
      <c r="VD48" s="41"/>
      <c r="VE48" s="41"/>
      <c r="VF48" s="41"/>
      <c r="VG48" s="41"/>
      <c r="VH48" s="41"/>
      <c r="VI48" s="41"/>
      <c r="VJ48" s="41"/>
      <c r="VK48" s="41"/>
      <c r="VL48" s="41"/>
      <c r="VM48" s="41"/>
      <c r="VN48" s="41"/>
      <c r="VO48" s="41"/>
      <c r="VP48" s="41"/>
      <c r="VQ48" s="41"/>
      <c r="VR48" s="41"/>
      <c r="VS48" s="41"/>
      <c r="VT48" s="41"/>
      <c r="VU48" s="41"/>
      <c r="VV48" s="41"/>
      <c r="VW48" s="41"/>
      <c r="VX48" s="41"/>
      <c r="VY48" s="41"/>
      <c r="VZ48" s="41"/>
      <c r="WA48" s="41"/>
      <c r="WB48" s="41"/>
      <c r="WC48" s="41"/>
      <c r="WD48" s="41"/>
      <c r="WE48" s="41"/>
      <c r="WF48" s="41"/>
      <c r="WG48" s="41"/>
      <c r="WH48" s="41"/>
      <c r="WI48" s="41"/>
      <c r="WJ48" s="41"/>
      <c r="WK48" s="41"/>
      <c r="WL48" s="41"/>
      <c r="WM48" s="41"/>
      <c r="WN48" s="41"/>
      <c r="WO48" s="41"/>
      <c r="WP48" s="41"/>
      <c r="WQ48" s="41"/>
      <c r="WR48" s="41"/>
      <c r="WS48" s="41"/>
      <c r="WT48" s="41"/>
      <c r="WU48" s="41"/>
      <c r="WV48" s="41"/>
      <c r="WW48" s="41"/>
      <c r="WX48" s="41"/>
      <c r="WY48" s="41"/>
      <c r="WZ48" s="41"/>
      <c r="XA48" s="41"/>
      <c r="XB48" s="41"/>
      <c r="XC48" s="41"/>
      <c r="XD48" s="41"/>
      <c r="XE48" s="41"/>
      <c r="XF48" s="41"/>
      <c r="XG48" s="41"/>
      <c r="XH48" s="41"/>
      <c r="XI48" s="41"/>
      <c r="XJ48" s="41"/>
      <c r="XK48" s="41"/>
      <c r="XL48" s="41"/>
      <c r="XM48" s="41"/>
      <c r="XN48" s="41"/>
      <c r="XO48" s="41"/>
      <c r="XP48" s="41"/>
      <c r="XQ48" s="41"/>
      <c r="XR48" s="41"/>
      <c r="XS48" s="41"/>
      <c r="XT48" s="41"/>
      <c r="XU48" s="41"/>
      <c r="XV48" s="41"/>
      <c r="XW48" s="41"/>
      <c r="XX48" s="41"/>
      <c r="XY48" s="41"/>
      <c r="XZ48" s="41"/>
      <c r="YA48" s="41"/>
      <c r="YB48" s="41"/>
      <c r="YC48" s="41"/>
      <c r="YD48" s="41"/>
      <c r="YE48" s="41"/>
      <c r="YF48" s="41"/>
      <c r="YG48" s="41"/>
      <c r="YH48" s="41"/>
      <c r="YI48" s="41"/>
      <c r="YJ48" s="41"/>
      <c r="YK48" s="41"/>
      <c r="YL48" s="41"/>
      <c r="YM48" s="41"/>
      <c r="YN48" s="41"/>
      <c r="YO48" s="41"/>
      <c r="YP48" s="41"/>
      <c r="YQ48" s="41"/>
      <c r="YR48" s="41"/>
      <c r="YS48" s="41"/>
      <c r="YT48" s="41"/>
      <c r="YU48" s="41"/>
      <c r="YV48" s="41"/>
      <c r="YW48" s="41"/>
      <c r="YX48" s="41"/>
      <c r="YY48" s="41"/>
      <c r="YZ48" s="41"/>
      <c r="ZA48" s="41"/>
      <c r="ZB48" s="41"/>
      <c r="ZC48" s="41"/>
      <c r="ZD48" s="41"/>
      <c r="ZE48" s="41"/>
      <c r="ZF48" s="41"/>
      <c r="ZG48" s="41"/>
      <c r="ZH48" s="41"/>
      <c r="ZI48" s="41"/>
      <c r="ZJ48" s="41"/>
      <c r="ZK48" s="41"/>
      <c r="ZL48" s="41"/>
      <c r="ZM48" s="41"/>
      <c r="ZN48" s="41"/>
      <c r="ZO48" s="41"/>
      <c r="ZP48" s="41"/>
      <c r="ZQ48" s="41"/>
      <c r="ZR48" s="41"/>
      <c r="ZS48" s="41"/>
      <c r="ZT48" s="41"/>
      <c r="ZU48" s="41"/>
      <c r="ZV48" s="41"/>
      <c r="ZW48" s="41"/>
      <c r="ZX48" s="41"/>
      <c r="ZY48" s="41"/>
      <c r="ZZ48" s="41"/>
      <c r="AAA48" s="41"/>
      <c r="AAB48" s="41"/>
      <c r="AAC48" s="41"/>
      <c r="AAD48" s="41"/>
      <c r="AAE48" s="41"/>
      <c r="AAF48" s="41"/>
      <c r="AAG48" s="41"/>
      <c r="AAH48" s="41"/>
      <c r="AAI48" s="41"/>
      <c r="AAJ48" s="41"/>
      <c r="AAK48" s="41"/>
      <c r="AAL48" s="41"/>
      <c r="AAM48" s="41"/>
      <c r="AAN48" s="41"/>
      <c r="AAO48" s="41"/>
      <c r="AAP48" s="41"/>
      <c r="AAQ48" s="41"/>
      <c r="AAR48" s="41"/>
      <c r="AAS48" s="41"/>
      <c r="AAT48" s="41"/>
      <c r="AAU48" s="41"/>
      <c r="AAV48" s="41"/>
      <c r="AAW48" s="41"/>
      <c r="AAX48" s="41"/>
      <c r="AAY48" s="41"/>
      <c r="AAZ48" s="41"/>
      <c r="ABA48" s="41"/>
      <c r="ABB48" s="41"/>
      <c r="ABC48" s="41"/>
      <c r="ABD48" s="41"/>
      <c r="ABE48" s="41"/>
      <c r="ABF48" s="41"/>
      <c r="ABG48" s="41"/>
      <c r="ABH48" s="41"/>
      <c r="ABI48" s="41"/>
      <c r="ABJ48" s="41"/>
      <c r="ABK48" s="41"/>
      <c r="ABL48" s="41"/>
      <c r="ABM48" s="41"/>
      <c r="ABN48" s="41"/>
      <c r="ABO48" s="41"/>
      <c r="ABP48" s="41"/>
      <c r="ABQ48" s="41"/>
      <c r="ABR48" s="41"/>
      <c r="ABS48" s="41"/>
      <c r="ABT48" s="41"/>
      <c r="ABU48" s="41"/>
      <c r="ABV48" s="41"/>
      <c r="ABW48" s="41"/>
      <c r="ABX48" s="41"/>
      <c r="ABY48" s="41"/>
      <c r="ABZ48" s="41"/>
      <c r="ACA48" s="41"/>
      <c r="ACB48" s="41"/>
      <c r="ACC48" s="41"/>
      <c r="ACD48" s="41"/>
      <c r="ACE48" s="41"/>
      <c r="ACF48" s="41"/>
      <c r="ACG48" s="41"/>
      <c r="ACH48" s="41"/>
      <c r="ACI48" s="41"/>
      <c r="ACJ48" s="41"/>
      <c r="ACK48" s="41"/>
      <c r="ACL48" s="41"/>
      <c r="ACM48" s="41"/>
      <c r="ACN48" s="41"/>
      <c r="ACO48" s="41"/>
      <c r="ACP48" s="41"/>
      <c r="ACQ48" s="41"/>
      <c r="ACR48" s="41"/>
      <c r="ACS48" s="41"/>
      <c r="ACT48" s="41"/>
      <c r="ACU48" s="41"/>
      <c r="ACV48" s="41"/>
      <c r="ACW48" s="41"/>
      <c r="ACX48" s="41"/>
      <c r="ACY48" s="41"/>
      <c r="ACZ48" s="41"/>
      <c r="ADA48" s="41"/>
      <c r="ADB48" s="41"/>
      <c r="ADC48" s="41"/>
      <c r="ADD48" s="41"/>
      <c r="ADE48" s="41"/>
      <c r="ADF48" s="41"/>
      <c r="ADG48" s="41"/>
      <c r="ADH48" s="41"/>
      <c r="ADI48" s="41"/>
      <c r="ADJ48" s="41"/>
      <c r="ADK48" s="41"/>
      <c r="ADL48" s="41"/>
      <c r="ADM48" s="41"/>
      <c r="ADN48" s="41"/>
      <c r="ADO48" s="41"/>
      <c r="ADP48" s="41"/>
      <c r="ADQ48" s="41"/>
      <c r="ADR48" s="41"/>
      <c r="ADS48" s="41"/>
      <c r="ADT48" s="41"/>
      <c r="ADU48" s="41"/>
      <c r="ADV48" s="41"/>
      <c r="ADW48" s="41"/>
      <c r="ADX48" s="41"/>
      <c r="ADY48" s="41"/>
      <c r="ADZ48" s="41"/>
      <c r="AEA48" s="41"/>
      <c r="AEB48" s="41"/>
      <c r="AEC48" s="41"/>
      <c r="AED48" s="41"/>
      <c r="AEE48" s="41"/>
      <c r="AEF48" s="41"/>
      <c r="AEG48" s="41"/>
      <c r="AEH48" s="41"/>
      <c r="AEI48" s="41"/>
      <c r="AEJ48" s="41"/>
      <c r="AEK48" s="41"/>
      <c r="AEL48" s="41"/>
      <c r="AEM48" s="41"/>
      <c r="AEN48" s="41"/>
      <c r="AEO48" s="41"/>
      <c r="AEP48" s="41"/>
      <c r="AEQ48" s="41"/>
      <c r="AER48" s="41"/>
      <c r="AES48" s="41"/>
      <c r="AET48" s="41"/>
      <c r="AEU48" s="41"/>
      <c r="AEV48" s="41"/>
      <c r="AEW48" s="41"/>
      <c r="AEX48" s="41"/>
      <c r="AEY48" s="41"/>
      <c r="AEZ48" s="41"/>
      <c r="AFA48" s="41"/>
      <c r="AFB48" s="41"/>
      <c r="AFC48" s="41"/>
      <c r="AFD48" s="41"/>
      <c r="AFE48" s="41"/>
      <c r="AFF48" s="41"/>
      <c r="AFG48" s="41"/>
      <c r="AFH48" s="41"/>
      <c r="AFI48" s="41"/>
      <c r="AFJ48" s="41"/>
      <c r="AFK48" s="41"/>
      <c r="AFL48" s="41"/>
      <c r="AFM48" s="41"/>
      <c r="AFN48" s="41"/>
      <c r="AFO48" s="41"/>
      <c r="AFP48" s="41"/>
      <c r="AFQ48" s="41"/>
      <c r="AFR48" s="41"/>
      <c r="AFS48" s="41"/>
      <c r="AFT48" s="41"/>
      <c r="AFU48" s="41"/>
      <c r="AFV48" s="41"/>
      <c r="AFW48" s="41"/>
      <c r="AFX48" s="41"/>
      <c r="AFY48" s="41"/>
      <c r="AFZ48" s="41"/>
      <c r="AGA48" s="41"/>
      <c r="AGB48" s="41"/>
      <c r="AGC48" s="41"/>
      <c r="AGD48" s="41"/>
      <c r="AGE48" s="41"/>
      <c r="AGF48" s="41"/>
      <c r="AGG48" s="41"/>
      <c r="AGH48" s="41"/>
      <c r="AGI48" s="41"/>
      <c r="AGJ48" s="41"/>
      <c r="AGK48" s="41"/>
      <c r="AGL48" s="41"/>
      <c r="AGM48" s="41"/>
      <c r="AGN48" s="41"/>
      <c r="AGO48" s="41"/>
      <c r="AGP48" s="41"/>
      <c r="AGQ48" s="41"/>
      <c r="AGR48" s="41"/>
      <c r="AGS48" s="41"/>
      <c r="AGT48" s="41"/>
      <c r="AGU48" s="41"/>
      <c r="AGV48" s="41"/>
      <c r="AGW48" s="41"/>
      <c r="AGX48" s="41"/>
      <c r="AGY48" s="41"/>
      <c r="AGZ48" s="41"/>
      <c r="AHA48" s="41"/>
      <c r="AHB48" s="41"/>
      <c r="AHC48" s="41"/>
      <c r="AHD48" s="41"/>
      <c r="AHE48" s="41"/>
      <c r="AHF48" s="41"/>
      <c r="AHG48" s="41"/>
      <c r="AHH48" s="41"/>
      <c r="AHI48" s="41"/>
      <c r="AHJ48" s="41"/>
      <c r="AHK48" s="41"/>
      <c r="AHL48" s="41"/>
      <c r="AHM48" s="41"/>
      <c r="AHN48" s="41"/>
      <c r="AHO48" s="41"/>
      <c r="AHP48" s="41"/>
      <c r="AHQ48" s="41"/>
      <c r="AHR48" s="41"/>
      <c r="AHS48" s="41"/>
      <c r="AHT48" s="41"/>
      <c r="AHU48" s="41"/>
      <c r="AHV48" s="41"/>
      <c r="AHW48" s="41"/>
      <c r="AHX48" s="41"/>
      <c r="AHY48" s="41"/>
      <c r="AHZ48" s="41"/>
      <c r="AIA48" s="41"/>
      <c r="AIB48" s="41"/>
      <c r="AIC48" s="41"/>
      <c r="AID48" s="41"/>
      <c r="AIE48" s="41"/>
      <c r="AIF48" s="41"/>
      <c r="AIG48" s="41"/>
      <c r="AIH48" s="41"/>
      <c r="AII48" s="41"/>
      <c r="AIJ48" s="41"/>
      <c r="AIK48" s="41"/>
      <c r="AIL48" s="41"/>
      <c r="AIM48" s="41"/>
      <c r="AIN48" s="41"/>
      <c r="AIO48" s="41"/>
      <c r="AIP48" s="41"/>
      <c r="AIQ48" s="41"/>
      <c r="AIR48" s="41"/>
      <c r="AIS48" s="41"/>
      <c r="AIT48" s="41"/>
      <c r="AIU48" s="41"/>
      <c r="AIV48" s="41"/>
      <c r="AIW48" s="41"/>
      <c r="AIX48" s="41"/>
      <c r="AIY48" s="41"/>
      <c r="AIZ48" s="41"/>
      <c r="AJA48" s="41"/>
      <c r="AJB48" s="41"/>
      <c r="AJC48" s="41"/>
      <c r="AJD48" s="41"/>
      <c r="AJE48" s="41"/>
      <c r="AJF48" s="41"/>
      <c r="AJG48" s="41"/>
      <c r="AJH48" s="41"/>
      <c r="AJI48" s="41"/>
      <c r="AJJ48" s="41"/>
      <c r="AJK48" s="41"/>
      <c r="AJL48" s="41"/>
      <c r="AJM48" s="41"/>
      <c r="AJN48" s="41"/>
      <c r="AJO48" s="41"/>
      <c r="AJP48" s="41"/>
      <c r="AJQ48" s="41"/>
      <c r="AJR48" s="41"/>
      <c r="AJS48" s="41"/>
      <c r="AJT48" s="41"/>
      <c r="AJU48" s="41"/>
      <c r="AJV48" s="41"/>
      <c r="AJW48" s="41"/>
      <c r="AJX48" s="41"/>
      <c r="AJY48" s="41"/>
      <c r="AJZ48" s="41"/>
      <c r="AKA48" s="41"/>
      <c r="AKB48" s="41"/>
      <c r="AKC48" s="41"/>
      <c r="AKD48" s="41"/>
      <c r="AKE48" s="41"/>
      <c r="AKF48" s="41"/>
      <c r="AKG48" s="41"/>
      <c r="AKH48" s="41"/>
      <c r="AKI48" s="41"/>
      <c r="AKJ48" s="41"/>
      <c r="AKK48" s="41"/>
      <c r="AKL48" s="41"/>
      <c r="AKM48" s="41"/>
      <c r="AKN48" s="41"/>
      <c r="AKO48" s="41"/>
      <c r="AKP48" s="41"/>
      <c r="AKQ48" s="41"/>
      <c r="AKR48" s="41"/>
      <c r="AKS48" s="41"/>
      <c r="AKT48" s="41"/>
      <c r="AKU48" s="41"/>
      <c r="AKV48" s="41"/>
      <c r="AKW48" s="41"/>
      <c r="AKX48" s="41"/>
      <c r="AKY48" s="41"/>
      <c r="AKZ48" s="41"/>
      <c r="ALA48" s="41"/>
      <c r="ALB48" s="41"/>
      <c r="ALC48" s="41"/>
      <c r="ALD48" s="41"/>
      <c r="ALE48" s="41"/>
      <c r="ALF48" s="41"/>
      <c r="ALG48" s="41"/>
      <c r="ALH48" s="41"/>
      <c r="ALI48" s="41"/>
      <c r="ALJ48" s="41"/>
      <c r="ALK48" s="41"/>
      <c r="ALL48" s="41"/>
      <c r="ALM48" s="41"/>
      <c r="ALN48" s="41"/>
      <c r="ALO48" s="41"/>
      <c r="ALP48" s="41"/>
      <c r="ALQ48" s="41"/>
      <c r="ALR48" s="41"/>
      <c r="ALS48" s="41"/>
      <c r="ALT48" s="41"/>
      <c r="ALU48" s="41"/>
      <c r="ALV48" s="41"/>
      <c r="ALW48" s="41"/>
      <c r="ALX48" s="41"/>
      <c r="ALY48" s="41"/>
      <c r="ALZ48" s="41"/>
      <c r="AMA48" s="41"/>
      <c r="AMB48" s="41"/>
      <c r="AMC48" s="41"/>
      <c r="AMD48" s="41"/>
      <c r="AME48" s="41"/>
      <c r="AMF48" s="41"/>
      <c r="AMG48" s="41"/>
      <c r="AMH48" s="41"/>
      <c r="AMI48" s="41"/>
      <c r="AMJ48" s="41"/>
      <c r="AMK48" s="41"/>
      <c r="AML48" s="41"/>
      <c r="AMM48" s="41"/>
      <c r="AMN48" s="41"/>
      <c r="AMO48" s="41"/>
      <c r="AMP48" s="41"/>
      <c r="AMQ48" s="41"/>
      <c r="AMR48" s="41"/>
      <c r="AMS48" s="41"/>
      <c r="AMT48" s="41"/>
      <c r="AMU48" s="41"/>
      <c r="AMV48" s="41"/>
      <c r="AMW48" s="41"/>
      <c r="AMX48" s="41"/>
      <c r="AMY48" s="41"/>
      <c r="AMZ48" s="41"/>
      <c r="ANA48" s="41"/>
      <c r="ANB48" s="41"/>
      <c r="ANC48" s="41"/>
      <c r="AND48" s="41"/>
      <c r="ANE48" s="41"/>
      <c r="ANF48" s="41"/>
      <c r="ANG48" s="41"/>
      <c r="ANH48" s="41"/>
      <c r="ANI48" s="41"/>
      <c r="ANJ48" s="41"/>
      <c r="ANK48" s="41"/>
    </row>
    <row r="49" s="44" customFormat="true" ht="15" hidden="false" customHeight="false" outlineLevel="0" collapsed="false">
      <c r="A49" s="55" t="s">
        <v>71</v>
      </c>
      <c r="B49" s="43" t="n">
        <v>0</v>
      </c>
      <c r="C49" s="44" t="n">
        <v>0</v>
      </c>
      <c r="D49" s="44" t="n">
        <v>0</v>
      </c>
      <c r="E49" s="45" t="n">
        <v>92000</v>
      </c>
      <c r="F49" s="43" t="n">
        <v>0</v>
      </c>
      <c r="G49" s="44" t="n">
        <v>0</v>
      </c>
      <c r="H49" s="46" t="n">
        <v>0</v>
      </c>
      <c r="I49" s="47" t="n">
        <v>0.1</v>
      </c>
      <c r="J49" s="48" t="n">
        <v>0</v>
      </c>
      <c r="K49" s="43"/>
      <c r="M49" s="46" t="n">
        <v>0</v>
      </c>
      <c r="N49" s="43" t="n">
        <v>0</v>
      </c>
      <c r="O49" s="46" t="n">
        <v>0</v>
      </c>
      <c r="P49" s="49" t="n">
        <v>0</v>
      </c>
      <c r="Q49" s="50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6" t="n">
        <v>0</v>
      </c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  <c r="IY49" s="41"/>
      <c r="IZ49" s="41"/>
      <c r="JA49" s="41"/>
      <c r="JB49" s="41"/>
      <c r="JC49" s="41"/>
      <c r="JD49" s="41"/>
      <c r="JE49" s="41"/>
      <c r="JF49" s="41"/>
      <c r="JG49" s="41"/>
      <c r="JH49" s="41"/>
      <c r="JI49" s="41"/>
      <c r="JJ49" s="41"/>
      <c r="JK49" s="41"/>
      <c r="JL49" s="41"/>
      <c r="JM49" s="41"/>
      <c r="JN49" s="41"/>
      <c r="JO49" s="41"/>
      <c r="JP49" s="41"/>
      <c r="JQ49" s="41"/>
      <c r="JR49" s="41"/>
      <c r="JS49" s="41"/>
      <c r="JT49" s="41"/>
      <c r="JU49" s="41"/>
      <c r="JV49" s="41"/>
      <c r="JW49" s="41"/>
      <c r="JX49" s="41"/>
      <c r="JY49" s="41"/>
      <c r="JZ49" s="41"/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1"/>
      <c r="KO49" s="41"/>
      <c r="KP49" s="41"/>
      <c r="KQ49" s="41"/>
      <c r="KR49" s="41"/>
      <c r="KS49" s="41"/>
      <c r="KT49" s="41"/>
      <c r="KU49" s="41"/>
      <c r="KV49" s="41"/>
      <c r="KW49" s="41"/>
      <c r="KX49" s="41"/>
      <c r="KY49" s="41"/>
      <c r="KZ49" s="41"/>
      <c r="LA49" s="41"/>
      <c r="LB49" s="41"/>
      <c r="LC49" s="41"/>
      <c r="LD49" s="41"/>
      <c r="LE49" s="41"/>
      <c r="LF49" s="41"/>
      <c r="LG49" s="41"/>
      <c r="LH49" s="41"/>
      <c r="LI49" s="41"/>
      <c r="LJ49" s="41"/>
      <c r="LK49" s="41"/>
      <c r="LL49" s="41"/>
      <c r="LM49" s="41"/>
      <c r="LN49" s="41"/>
      <c r="LO49" s="41"/>
      <c r="LP49" s="41"/>
      <c r="LQ49" s="41"/>
      <c r="LR49" s="41"/>
      <c r="LS49" s="41"/>
      <c r="LT49" s="41"/>
      <c r="LU49" s="41"/>
      <c r="LV49" s="41"/>
      <c r="LW49" s="41"/>
      <c r="LX49" s="41"/>
      <c r="LY49" s="41"/>
      <c r="LZ49" s="41"/>
      <c r="MA49" s="41"/>
      <c r="MB49" s="41"/>
      <c r="MC49" s="41"/>
      <c r="MD49" s="41"/>
      <c r="ME49" s="41"/>
      <c r="MF49" s="41"/>
      <c r="MG49" s="41"/>
      <c r="MH49" s="41"/>
      <c r="MI49" s="41"/>
      <c r="MJ49" s="41"/>
      <c r="MK49" s="41"/>
      <c r="ML49" s="41"/>
      <c r="MM49" s="41"/>
      <c r="MN49" s="41"/>
      <c r="MO49" s="41"/>
      <c r="MP49" s="41"/>
      <c r="MQ49" s="41"/>
      <c r="MR49" s="41"/>
      <c r="MS49" s="41"/>
      <c r="MT49" s="41"/>
      <c r="MU49" s="41"/>
      <c r="MV49" s="41"/>
      <c r="MW49" s="41"/>
      <c r="MX49" s="41"/>
      <c r="MY49" s="41"/>
      <c r="MZ49" s="41"/>
      <c r="NA49" s="41"/>
      <c r="NB49" s="41"/>
      <c r="NC49" s="41"/>
      <c r="ND49" s="41"/>
      <c r="NE49" s="41"/>
      <c r="NF49" s="41"/>
      <c r="NG49" s="41"/>
      <c r="NH49" s="41"/>
      <c r="NI49" s="41"/>
      <c r="NJ49" s="41"/>
      <c r="NK49" s="41"/>
      <c r="NL49" s="41"/>
      <c r="NM49" s="41"/>
      <c r="NN49" s="41"/>
      <c r="NO49" s="41"/>
      <c r="NP49" s="41"/>
      <c r="NQ49" s="41"/>
      <c r="NR49" s="41"/>
      <c r="NS49" s="41"/>
      <c r="NT49" s="41"/>
      <c r="NU49" s="41"/>
      <c r="NV49" s="41"/>
      <c r="NW49" s="41"/>
      <c r="NX49" s="41"/>
      <c r="NY49" s="41"/>
      <c r="NZ49" s="41"/>
      <c r="OA49" s="41"/>
      <c r="OB49" s="41"/>
      <c r="OC49" s="41"/>
      <c r="OD49" s="41"/>
      <c r="OE49" s="41"/>
      <c r="OF49" s="41"/>
      <c r="OG49" s="41"/>
      <c r="OH49" s="41"/>
      <c r="OI49" s="41"/>
      <c r="OJ49" s="41"/>
      <c r="OK49" s="41"/>
      <c r="OL49" s="41"/>
      <c r="OM49" s="41"/>
      <c r="ON49" s="41"/>
      <c r="OO49" s="41"/>
      <c r="OP49" s="41"/>
      <c r="OQ49" s="41"/>
      <c r="OR49" s="41"/>
      <c r="OS49" s="41"/>
      <c r="OT49" s="41"/>
      <c r="OU49" s="41"/>
      <c r="OV49" s="41"/>
      <c r="OW49" s="41"/>
      <c r="OX49" s="41"/>
      <c r="OY49" s="41"/>
      <c r="OZ49" s="41"/>
      <c r="PA49" s="41"/>
      <c r="PB49" s="41"/>
      <c r="PC49" s="41"/>
      <c r="PD49" s="41"/>
      <c r="PE49" s="41"/>
      <c r="PF49" s="41"/>
      <c r="PG49" s="41"/>
      <c r="PH49" s="41"/>
      <c r="PI49" s="41"/>
      <c r="PJ49" s="41"/>
      <c r="PK49" s="41"/>
      <c r="PL49" s="41"/>
      <c r="PM49" s="41"/>
      <c r="PN49" s="41"/>
      <c r="PO49" s="41"/>
      <c r="PP49" s="41"/>
      <c r="PQ49" s="41"/>
      <c r="PR49" s="41"/>
      <c r="PS49" s="41"/>
      <c r="PT49" s="41"/>
      <c r="PU49" s="41"/>
      <c r="PV49" s="41"/>
      <c r="PW49" s="41"/>
      <c r="PX49" s="41"/>
      <c r="PY49" s="41"/>
      <c r="PZ49" s="41"/>
      <c r="QA49" s="41"/>
      <c r="QB49" s="41"/>
      <c r="QC49" s="41"/>
      <c r="QD49" s="41"/>
      <c r="QE49" s="41"/>
      <c r="QF49" s="41"/>
      <c r="QG49" s="41"/>
      <c r="QH49" s="41"/>
      <c r="QI49" s="41"/>
      <c r="QJ49" s="41"/>
      <c r="QK49" s="41"/>
      <c r="QL49" s="41"/>
      <c r="QM49" s="41"/>
      <c r="QN49" s="41"/>
      <c r="QO49" s="41"/>
      <c r="QP49" s="41"/>
      <c r="QQ49" s="41"/>
      <c r="QR49" s="41"/>
      <c r="QS49" s="41"/>
      <c r="QT49" s="41"/>
      <c r="QU49" s="41"/>
      <c r="QV49" s="41"/>
      <c r="QW49" s="41"/>
      <c r="QX49" s="41"/>
      <c r="QY49" s="41"/>
      <c r="QZ49" s="41"/>
      <c r="RA49" s="41"/>
      <c r="RB49" s="41"/>
      <c r="RC49" s="41"/>
      <c r="RD49" s="41"/>
      <c r="RE49" s="41"/>
      <c r="RF49" s="41"/>
      <c r="RG49" s="41"/>
      <c r="RH49" s="41"/>
      <c r="RI49" s="41"/>
      <c r="RJ49" s="41"/>
      <c r="RK49" s="41"/>
      <c r="RL49" s="41"/>
      <c r="RM49" s="41"/>
      <c r="RN49" s="41"/>
      <c r="RO49" s="41"/>
      <c r="RP49" s="41"/>
      <c r="RQ49" s="41"/>
      <c r="RR49" s="41"/>
      <c r="RS49" s="41"/>
      <c r="RT49" s="41"/>
      <c r="RU49" s="41"/>
      <c r="RV49" s="41"/>
      <c r="RW49" s="41"/>
      <c r="RX49" s="41"/>
      <c r="RY49" s="41"/>
      <c r="RZ49" s="41"/>
      <c r="SA49" s="41"/>
      <c r="SB49" s="41"/>
      <c r="SC49" s="41"/>
      <c r="SD49" s="41"/>
      <c r="SE49" s="41"/>
      <c r="SF49" s="41"/>
      <c r="SG49" s="41"/>
      <c r="SH49" s="41"/>
      <c r="SI49" s="41"/>
      <c r="SJ49" s="41"/>
      <c r="SK49" s="41"/>
      <c r="SL49" s="41"/>
      <c r="SM49" s="41"/>
      <c r="SN49" s="41"/>
      <c r="SO49" s="41"/>
      <c r="SP49" s="41"/>
      <c r="SQ49" s="41"/>
      <c r="SR49" s="41"/>
      <c r="SS49" s="41"/>
      <c r="ST49" s="41"/>
      <c r="SU49" s="41"/>
      <c r="SV49" s="41"/>
      <c r="SW49" s="41"/>
      <c r="SX49" s="41"/>
      <c r="SY49" s="41"/>
      <c r="SZ49" s="41"/>
      <c r="TA49" s="41"/>
      <c r="TB49" s="41"/>
      <c r="TC49" s="41"/>
      <c r="TD49" s="41"/>
      <c r="TE49" s="41"/>
      <c r="TF49" s="41"/>
      <c r="TG49" s="41"/>
      <c r="TH49" s="41"/>
      <c r="TI49" s="41"/>
      <c r="TJ49" s="41"/>
      <c r="TK49" s="41"/>
      <c r="TL49" s="41"/>
      <c r="TM49" s="41"/>
      <c r="TN49" s="41"/>
      <c r="TO49" s="41"/>
      <c r="TP49" s="41"/>
      <c r="TQ49" s="41"/>
      <c r="TR49" s="41"/>
      <c r="TS49" s="41"/>
      <c r="TT49" s="41"/>
      <c r="TU49" s="41"/>
      <c r="TV49" s="41"/>
      <c r="TW49" s="41"/>
      <c r="TX49" s="41"/>
      <c r="TY49" s="41"/>
      <c r="TZ49" s="41"/>
      <c r="UA49" s="41"/>
      <c r="UB49" s="41"/>
      <c r="UC49" s="41"/>
      <c r="UD49" s="41"/>
      <c r="UE49" s="41"/>
      <c r="UF49" s="41"/>
      <c r="UG49" s="41"/>
      <c r="UH49" s="41"/>
      <c r="UI49" s="41"/>
      <c r="UJ49" s="41"/>
      <c r="UK49" s="41"/>
      <c r="UL49" s="41"/>
      <c r="UM49" s="41"/>
      <c r="UN49" s="41"/>
      <c r="UO49" s="41"/>
      <c r="UP49" s="41"/>
      <c r="UQ49" s="41"/>
      <c r="UR49" s="41"/>
      <c r="US49" s="41"/>
      <c r="UT49" s="41"/>
      <c r="UU49" s="41"/>
      <c r="UV49" s="41"/>
      <c r="UW49" s="41"/>
      <c r="UX49" s="41"/>
      <c r="UY49" s="41"/>
      <c r="UZ49" s="41"/>
      <c r="VA49" s="41"/>
      <c r="VB49" s="41"/>
      <c r="VC49" s="41"/>
      <c r="VD49" s="41"/>
      <c r="VE49" s="41"/>
      <c r="VF49" s="41"/>
      <c r="VG49" s="41"/>
      <c r="VH49" s="41"/>
      <c r="VI49" s="41"/>
      <c r="VJ49" s="41"/>
      <c r="VK49" s="41"/>
      <c r="VL49" s="41"/>
      <c r="VM49" s="41"/>
      <c r="VN49" s="41"/>
      <c r="VO49" s="41"/>
      <c r="VP49" s="41"/>
      <c r="VQ49" s="41"/>
      <c r="VR49" s="41"/>
      <c r="VS49" s="41"/>
      <c r="VT49" s="41"/>
      <c r="VU49" s="41"/>
      <c r="VV49" s="41"/>
      <c r="VW49" s="41"/>
      <c r="VX49" s="41"/>
      <c r="VY49" s="41"/>
      <c r="VZ49" s="41"/>
      <c r="WA49" s="41"/>
      <c r="WB49" s="41"/>
      <c r="WC49" s="41"/>
      <c r="WD49" s="41"/>
      <c r="WE49" s="41"/>
      <c r="WF49" s="41"/>
      <c r="WG49" s="41"/>
      <c r="WH49" s="41"/>
      <c r="WI49" s="41"/>
      <c r="WJ49" s="41"/>
      <c r="WK49" s="41"/>
      <c r="WL49" s="41"/>
      <c r="WM49" s="41"/>
      <c r="WN49" s="41"/>
      <c r="WO49" s="41"/>
      <c r="WP49" s="41"/>
      <c r="WQ49" s="41"/>
      <c r="WR49" s="41"/>
      <c r="WS49" s="41"/>
      <c r="WT49" s="41"/>
      <c r="WU49" s="41"/>
      <c r="WV49" s="41"/>
      <c r="WW49" s="41"/>
      <c r="WX49" s="41"/>
      <c r="WY49" s="41"/>
      <c r="WZ49" s="41"/>
      <c r="XA49" s="41"/>
      <c r="XB49" s="41"/>
      <c r="XC49" s="41"/>
      <c r="XD49" s="41"/>
      <c r="XE49" s="41"/>
      <c r="XF49" s="41"/>
      <c r="XG49" s="41"/>
      <c r="XH49" s="41"/>
      <c r="XI49" s="41"/>
      <c r="XJ49" s="41"/>
      <c r="XK49" s="41"/>
      <c r="XL49" s="41"/>
      <c r="XM49" s="41"/>
      <c r="XN49" s="41"/>
      <c r="XO49" s="41"/>
      <c r="XP49" s="41"/>
      <c r="XQ49" s="41"/>
      <c r="XR49" s="41"/>
      <c r="XS49" s="41"/>
      <c r="XT49" s="41"/>
      <c r="XU49" s="41"/>
      <c r="XV49" s="41"/>
      <c r="XW49" s="41"/>
      <c r="XX49" s="41"/>
      <c r="XY49" s="41"/>
      <c r="XZ49" s="41"/>
      <c r="YA49" s="41"/>
      <c r="YB49" s="41"/>
      <c r="YC49" s="41"/>
      <c r="YD49" s="41"/>
      <c r="YE49" s="41"/>
      <c r="YF49" s="41"/>
      <c r="YG49" s="41"/>
      <c r="YH49" s="41"/>
      <c r="YI49" s="41"/>
      <c r="YJ49" s="41"/>
      <c r="YK49" s="41"/>
      <c r="YL49" s="41"/>
      <c r="YM49" s="41"/>
      <c r="YN49" s="41"/>
      <c r="YO49" s="41"/>
      <c r="YP49" s="41"/>
      <c r="YQ49" s="41"/>
      <c r="YR49" s="41"/>
      <c r="YS49" s="41"/>
      <c r="YT49" s="41"/>
      <c r="YU49" s="41"/>
      <c r="YV49" s="41"/>
      <c r="YW49" s="41"/>
      <c r="YX49" s="41"/>
      <c r="YY49" s="41"/>
      <c r="YZ49" s="41"/>
      <c r="ZA49" s="41"/>
      <c r="ZB49" s="41"/>
      <c r="ZC49" s="41"/>
      <c r="ZD49" s="41"/>
      <c r="ZE49" s="41"/>
      <c r="ZF49" s="41"/>
      <c r="ZG49" s="41"/>
      <c r="ZH49" s="41"/>
      <c r="ZI49" s="41"/>
      <c r="ZJ49" s="41"/>
      <c r="ZK49" s="41"/>
      <c r="ZL49" s="41"/>
      <c r="ZM49" s="41"/>
      <c r="ZN49" s="41"/>
      <c r="ZO49" s="41"/>
      <c r="ZP49" s="41"/>
      <c r="ZQ49" s="41"/>
      <c r="ZR49" s="41"/>
      <c r="ZS49" s="41"/>
      <c r="ZT49" s="41"/>
      <c r="ZU49" s="41"/>
      <c r="ZV49" s="41"/>
      <c r="ZW49" s="41"/>
      <c r="ZX49" s="41"/>
      <c r="ZY49" s="41"/>
      <c r="ZZ49" s="41"/>
      <c r="AAA49" s="41"/>
      <c r="AAB49" s="41"/>
      <c r="AAC49" s="41"/>
      <c r="AAD49" s="41"/>
      <c r="AAE49" s="41"/>
      <c r="AAF49" s="41"/>
      <c r="AAG49" s="41"/>
      <c r="AAH49" s="41"/>
      <c r="AAI49" s="41"/>
      <c r="AAJ49" s="41"/>
      <c r="AAK49" s="41"/>
      <c r="AAL49" s="41"/>
      <c r="AAM49" s="41"/>
      <c r="AAN49" s="41"/>
      <c r="AAO49" s="41"/>
      <c r="AAP49" s="41"/>
      <c r="AAQ49" s="41"/>
      <c r="AAR49" s="41"/>
      <c r="AAS49" s="41"/>
      <c r="AAT49" s="41"/>
      <c r="AAU49" s="41"/>
      <c r="AAV49" s="41"/>
      <c r="AAW49" s="41"/>
      <c r="AAX49" s="41"/>
      <c r="AAY49" s="41"/>
      <c r="AAZ49" s="41"/>
      <c r="ABA49" s="41"/>
      <c r="ABB49" s="41"/>
      <c r="ABC49" s="41"/>
      <c r="ABD49" s="41"/>
      <c r="ABE49" s="41"/>
      <c r="ABF49" s="41"/>
      <c r="ABG49" s="41"/>
      <c r="ABH49" s="41"/>
      <c r="ABI49" s="41"/>
      <c r="ABJ49" s="41"/>
      <c r="ABK49" s="41"/>
      <c r="ABL49" s="41"/>
      <c r="ABM49" s="41"/>
      <c r="ABN49" s="41"/>
      <c r="ABO49" s="41"/>
      <c r="ABP49" s="41"/>
      <c r="ABQ49" s="41"/>
      <c r="ABR49" s="41"/>
      <c r="ABS49" s="41"/>
      <c r="ABT49" s="41"/>
      <c r="ABU49" s="41"/>
      <c r="ABV49" s="41"/>
      <c r="ABW49" s="41"/>
      <c r="ABX49" s="41"/>
      <c r="ABY49" s="41"/>
      <c r="ABZ49" s="41"/>
      <c r="ACA49" s="41"/>
      <c r="ACB49" s="41"/>
      <c r="ACC49" s="41"/>
      <c r="ACD49" s="41"/>
      <c r="ACE49" s="41"/>
      <c r="ACF49" s="41"/>
      <c r="ACG49" s="41"/>
      <c r="ACH49" s="41"/>
      <c r="ACI49" s="41"/>
      <c r="ACJ49" s="41"/>
      <c r="ACK49" s="41"/>
      <c r="ACL49" s="41"/>
      <c r="ACM49" s="41"/>
      <c r="ACN49" s="41"/>
      <c r="ACO49" s="41"/>
      <c r="ACP49" s="41"/>
      <c r="ACQ49" s="41"/>
      <c r="ACR49" s="41"/>
      <c r="ACS49" s="41"/>
      <c r="ACT49" s="41"/>
      <c r="ACU49" s="41"/>
      <c r="ACV49" s="41"/>
      <c r="ACW49" s="41"/>
      <c r="ACX49" s="41"/>
      <c r="ACY49" s="41"/>
      <c r="ACZ49" s="41"/>
      <c r="ADA49" s="41"/>
      <c r="ADB49" s="41"/>
      <c r="ADC49" s="41"/>
      <c r="ADD49" s="41"/>
      <c r="ADE49" s="41"/>
      <c r="ADF49" s="41"/>
      <c r="ADG49" s="41"/>
      <c r="ADH49" s="41"/>
      <c r="ADI49" s="41"/>
      <c r="ADJ49" s="41"/>
      <c r="ADK49" s="41"/>
      <c r="ADL49" s="41"/>
      <c r="ADM49" s="41"/>
      <c r="ADN49" s="41"/>
      <c r="ADO49" s="41"/>
      <c r="ADP49" s="41"/>
      <c r="ADQ49" s="41"/>
      <c r="ADR49" s="41"/>
      <c r="ADS49" s="41"/>
      <c r="ADT49" s="41"/>
      <c r="ADU49" s="41"/>
      <c r="ADV49" s="41"/>
      <c r="ADW49" s="41"/>
      <c r="ADX49" s="41"/>
      <c r="ADY49" s="41"/>
      <c r="ADZ49" s="41"/>
      <c r="AEA49" s="41"/>
      <c r="AEB49" s="41"/>
      <c r="AEC49" s="41"/>
      <c r="AED49" s="41"/>
      <c r="AEE49" s="41"/>
      <c r="AEF49" s="41"/>
      <c r="AEG49" s="41"/>
      <c r="AEH49" s="41"/>
      <c r="AEI49" s="41"/>
      <c r="AEJ49" s="41"/>
      <c r="AEK49" s="41"/>
      <c r="AEL49" s="41"/>
      <c r="AEM49" s="41"/>
      <c r="AEN49" s="41"/>
      <c r="AEO49" s="41"/>
      <c r="AEP49" s="41"/>
      <c r="AEQ49" s="41"/>
      <c r="AER49" s="41"/>
      <c r="AES49" s="41"/>
      <c r="AET49" s="41"/>
      <c r="AEU49" s="41"/>
      <c r="AEV49" s="41"/>
      <c r="AEW49" s="41"/>
      <c r="AEX49" s="41"/>
      <c r="AEY49" s="41"/>
      <c r="AEZ49" s="41"/>
      <c r="AFA49" s="41"/>
      <c r="AFB49" s="41"/>
      <c r="AFC49" s="41"/>
      <c r="AFD49" s="41"/>
      <c r="AFE49" s="41"/>
      <c r="AFF49" s="41"/>
      <c r="AFG49" s="41"/>
      <c r="AFH49" s="41"/>
      <c r="AFI49" s="41"/>
      <c r="AFJ49" s="41"/>
      <c r="AFK49" s="41"/>
      <c r="AFL49" s="41"/>
      <c r="AFM49" s="41"/>
      <c r="AFN49" s="41"/>
      <c r="AFO49" s="41"/>
      <c r="AFP49" s="41"/>
      <c r="AFQ49" s="41"/>
      <c r="AFR49" s="41"/>
      <c r="AFS49" s="41"/>
      <c r="AFT49" s="41"/>
      <c r="AFU49" s="41"/>
      <c r="AFV49" s="41"/>
      <c r="AFW49" s="41"/>
      <c r="AFX49" s="41"/>
      <c r="AFY49" s="41"/>
      <c r="AFZ49" s="41"/>
      <c r="AGA49" s="41"/>
      <c r="AGB49" s="41"/>
      <c r="AGC49" s="41"/>
      <c r="AGD49" s="41"/>
      <c r="AGE49" s="41"/>
      <c r="AGF49" s="41"/>
      <c r="AGG49" s="41"/>
      <c r="AGH49" s="41"/>
      <c r="AGI49" s="41"/>
      <c r="AGJ49" s="41"/>
      <c r="AGK49" s="41"/>
      <c r="AGL49" s="41"/>
      <c r="AGM49" s="41"/>
      <c r="AGN49" s="41"/>
      <c r="AGO49" s="41"/>
      <c r="AGP49" s="41"/>
      <c r="AGQ49" s="41"/>
      <c r="AGR49" s="41"/>
      <c r="AGS49" s="41"/>
      <c r="AGT49" s="41"/>
      <c r="AGU49" s="41"/>
      <c r="AGV49" s="41"/>
      <c r="AGW49" s="41"/>
      <c r="AGX49" s="41"/>
      <c r="AGY49" s="41"/>
      <c r="AGZ49" s="41"/>
      <c r="AHA49" s="41"/>
      <c r="AHB49" s="41"/>
      <c r="AHC49" s="41"/>
      <c r="AHD49" s="41"/>
      <c r="AHE49" s="41"/>
      <c r="AHF49" s="41"/>
      <c r="AHG49" s="41"/>
      <c r="AHH49" s="41"/>
      <c r="AHI49" s="41"/>
      <c r="AHJ49" s="41"/>
      <c r="AHK49" s="41"/>
      <c r="AHL49" s="41"/>
      <c r="AHM49" s="41"/>
      <c r="AHN49" s="41"/>
      <c r="AHO49" s="41"/>
      <c r="AHP49" s="41"/>
      <c r="AHQ49" s="41"/>
      <c r="AHR49" s="41"/>
      <c r="AHS49" s="41"/>
      <c r="AHT49" s="41"/>
      <c r="AHU49" s="41"/>
      <c r="AHV49" s="41"/>
      <c r="AHW49" s="41"/>
      <c r="AHX49" s="41"/>
      <c r="AHY49" s="41"/>
      <c r="AHZ49" s="41"/>
      <c r="AIA49" s="41"/>
      <c r="AIB49" s="41"/>
      <c r="AIC49" s="41"/>
      <c r="AID49" s="41"/>
      <c r="AIE49" s="41"/>
      <c r="AIF49" s="41"/>
      <c r="AIG49" s="41"/>
      <c r="AIH49" s="41"/>
      <c r="AII49" s="41"/>
      <c r="AIJ49" s="41"/>
      <c r="AIK49" s="41"/>
      <c r="AIL49" s="41"/>
      <c r="AIM49" s="41"/>
      <c r="AIN49" s="41"/>
      <c r="AIO49" s="41"/>
      <c r="AIP49" s="41"/>
      <c r="AIQ49" s="41"/>
      <c r="AIR49" s="41"/>
      <c r="AIS49" s="41"/>
      <c r="AIT49" s="41"/>
      <c r="AIU49" s="41"/>
      <c r="AIV49" s="41"/>
      <c r="AIW49" s="41"/>
      <c r="AIX49" s="41"/>
      <c r="AIY49" s="41"/>
      <c r="AIZ49" s="41"/>
      <c r="AJA49" s="41"/>
      <c r="AJB49" s="41"/>
      <c r="AJC49" s="41"/>
      <c r="AJD49" s="41"/>
      <c r="AJE49" s="41"/>
      <c r="AJF49" s="41"/>
      <c r="AJG49" s="41"/>
      <c r="AJH49" s="41"/>
      <c r="AJI49" s="41"/>
      <c r="AJJ49" s="41"/>
      <c r="AJK49" s="41"/>
      <c r="AJL49" s="41"/>
      <c r="AJM49" s="41"/>
      <c r="AJN49" s="41"/>
      <c r="AJO49" s="41"/>
      <c r="AJP49" s="41"/>
      <c r="AJQ49" s="41"/>
      <c r="AJR49" s="41"/>
      <c r="AJS49" s="41"/>
      <c r="AJT49" s="41"/>
      <c r="AJU49" s="41"/>
      <c r="AJV49" s="41"/>
      <c r="AJW49" s="41"/>
      <c r="AJX49" s="41"/>
      <c r="AJY49" s="41"/>
      <c r="AJZ49" s="41"/>
      <c r="AKA49" s="41"/>
      <c r="AKB49" s="41"/>
      <c r="AKC49" s="41"/>
      <c r="AKD49" s="41"/>
      <c r="AKE49" s="41"/>
      <c r="AKF49" s="41"/>
      <c r="AKG49" s="41"/>
      <c r="AKH49" s="41"/>
      <c r="AKI49" s="41"/>
      <c r="AKJ49" s="41"/>
      <c r="AKK49" s="41"/>
      <c r="AKL49" s="41"/>
      <c r="AKM49" s="41"/>
      <c r="AKN49" s="41"/>
      <c r="AKO49" s="41"/>
      <c r="AKP49" s="41"/>
      <c r="AKQ49" s="41"/>
      <c r="AKR49" s="41"/>
      <c r="AKS49" s="41"/>
      <c r="AKT49" s="41"/>
      <c r="AKU49" s="41"/>
      <c r="AKV49" s="41"/>
      <c r="AKW49" s="41"/>
      <c r="AKX49" s="41"/>
      <c r="AKY49" s="41"/>
      <c r="AKZ49" s="41"/>
      <c r="ALA49" s="41"/>
      <c r="ALB49" s="41"/>
      <c r="ALC49" s="41"/>
      <c r="ALD49" s="41"/>
      <c r="ALE49" s="41"/>
      <c r="ALF49" s="41"/>
      <c r="ALG49" s="41"/>
      <c r="ALH49" s="41"/>
      <c r="ALI49" s="41"/>
      <c r="ALJ49" s="41"/>
      <c r="ALK49" s="41"/>
      <c r="ALL49" s="41"/>
      <c r="ALM49" s="41"/>
      <c r="ALN49" s="41"/>
      <c r="ALO49" s="41"/>
      <c r="ALP49" s="41"/>
      <c r="ALQ49" s="41"/>
      <c r="ALR49" s="41"/>
      <c r="ALS49" s="41"/>
      <c r="ALT49" s="41"/>
      <c r="ALU49" s="41"/>
      <c r="ALV49" s="41"/>
      <c r="ALW49" s="41"/>
      <c r="ALX49" s="41"/>
      <c r="ALY49" s="41"/>
      <c r="ALZ49" s="41"/>
      <c r="AMA49" s="41"/>
      <c r="AMB49" s="41"/>
      <c r="AMC49" s="41"/>
      <c r="AMD49" s="41"/>
      <c r="AME49" s="41"/>
      <c r="AMF49" s="41"/>
      <c r="AMG49" s="41"/>
      <c r="AMH49" s="41"/>
      <c r="AMI49" s="41"/>
      <c r="AMJ49" s="41"/>
      <c r="AMK49" s="41"/>
      <c r="AML49" s="41"/>
      <c r="AMM49" s="41"/>
      <c r="AMN49" s="41"/>
      <c r="AMO49" s="41"/>
      <c r="AMP49" s="41"/>
      <c r="AMQ49" s="41"/>
      <c r="AMR49" s="41"/>
      <c r="AMS49" s="41"/>
      <c r="AMT49" s="41"/>
      <c r="AMU49" s="41"/>
      <c r="AMV49" s="41"/>
      <c r="AMW49" s="41"/>
      <c r="AMX49" s="41"/>
      <c r="AMY49" s="41"/>
      <c r="AMZ49" s="41"/>
      <c r="ANA49" s="41"/>
      <c r="ANB49" s="41"/>
      <c r="ANC49" s="41"/>
      <c r="AND49" s="41"/>
      <c r="ANE49" s="41"/>
      <c r="ANF49" s="41"/>
      <c r="ANG49" s="41"/>
      <c r="ANH49" s="41"/>
      <c r="ANI49" s="41"/>
      <c r="ANJ49" s="41"/>
      <c r="ANK49" s="41"/>
    </row>
    <row r="50" s="44" customFormat="true" ht="15" hidden="false" customHeight="false" outlineLevel="0" collapsed="false">
      <c r="A50" s="42" t="s">
        <v>72</v>
      </c>
      <c r="B50" s="43" t="n">
        <v>0</v>
      </c>
      <c r="C50" s="44" t="n">
        <v>0</v>
      </c>
      <c r="D50" s="44" t="n">
        <v>2999.6813735</v>
      </c>
      <c r="E50" s="45" t="n">
        <v>0</v>
      </c>
      <c r="F50" s="43" t="n">
        <v>0</v>
      </c>
      <c r="G50" s="44" t="n">
        <v>0</v>
      </c>
      <c r="H50" s="46" t="n">
        <v>0</v>
      </c>
      <c r="I50" s="47" t="n">
        <v>2000</v>
      </c>
      <c r="J50" s="48" t="n">
        <v>0</v>
      </c>
      <c r="K50" s="43"/>
      <c r="M50" s="46" t="n">
        <v>0</v>
      </c>
      <c r="N50" s="43" t="n">
        <v>0</v>
      </c>
      <c r="O50" s="46" t="n">
        <v>0</v>
      </c>
      <c r="P50" s="49" t="n">
        <v>0</v>
      </c>
      <c r="Q50" s="50" t="n">
        <v>0</v>
      </c>
      <c r="R50" s="44" t="n">
        <v>0</v>
      </c>
      <c r="S50" s="44" t="n">
        <v>0</v>
      </c>
      <c r="T50" s="44" t="n">
        <v>0</v>
      </c>
      <c r="U50" s="44" t="n">
        <v>0</v>
      </c>
      <c r="V50" s="44" t="n">
        <v>0</v>
      </c>
      <c r="W50" s="44" t="n">
        <v>0</v>
      </c>
      <c r="X50" s="44" t="n">
        <v>0</v>
      </c>
      <c r="Y50" s="44" t="n">
        <v>0</v>
      </c>
      <c r="Z50" s="44" t="n">
        <v>0</v>
      </c>
      <c r="AA50" s="44" t="n">
        <v>0</v>
      </c>
      <c r="AB50" s="44" t="n">
        <v>0</v>
      </c>
      <c r="AC50" s="44" t="n">
        <v>0</v>
      </c>
      <c r="AD50" s="44" t="n">
        <v>0</v>
      </c>
      <c r="AE50" s="44" t="n">
        <v>0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6" t="n">
        <v>0</v>
      </c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41"/>
      <c r="JB50" s="41"/>
      <c r="JC50" s="41"/>
      <c r="JD50" s="41"/>
      <c r="JE50" s="41"/>
      <c r="JF50" s="41"/>
      <c r="JG50" s="41"/>
      <c r="JH50" s="41"/>
      <c r="JI50" s="41"/>
      <c r="JJ50" s="41"/>
      <c r="JK50" s="41"/>
      <c r="JL50" s="41"/>
      <c r="JM50" s="41"/>
      <c r="JN50" s="41"/>
      <c r="JO50" s="41"/>
      <c r="JP50" s="41"/>
      <c r="JQ50" s="41"/>
      <c r="JR50" s="41"/>
      <c r="JS50" s="41"/>
      <c r="JT50" s="41"/>
      <c r="JU50" s="41"/>
      <c r="JV50" s="41"/>
      <c r="JW50" s="41"/>
      <c r="JX50" s="41"/>
      <c r="JY50" s="41"/>
      <c r="JZ50" s="41"/>
      <c r="KA50" s="41"/>
      <c r="KB50" s="41"/>
      <c r="KC50" s="41"/>
      <c r="KD50" s="41"/>
      <c r="KE50" s="41"/>
      <c r="KF50" s="41"/>
      <c r="KG50" s="41"/>
      <c r="KH50" s="41"/>
      <c r="KI50" s="41"/>
      <c r="KJ50" s="41"/>
      <c r="KK50" s="41"/>
      <c r="KL50" s="41"/>
      <c r="KM50" s="41"/>
      <c r="KN50" s="41"/>
      <c r="KO50" s="41"/>
      <c r="KP50" s="41"/>
      <c r="KQ50" s="41"/>
      <c r="KR50" s="41"/>
      <c r="KS50" s="41"/>
      <c r="KT50" s="41"/>
      <c r="KU50" s="41"/>
      <c r="KV50" s="41"/>
      <c r="KW50" s="41"/>
      <c r="KX50" s="41"/>
      <c r="KY50" s="41"/>
      <c r="KZ50" s="41"/>
      <c r="LA50" s="41"/>
      <c r="LB50" s="41"/>
      <c r="LC50" s="41"/>
      <c r="LD50" s="41"/>
      <c r="LE50" s="41"/>
      <c r="LF50" s="41"/>
      <c r="LG50" s="41"/>
      <c r="LH50" s="41"/>
      <c r="LI50" s="41"/>
      <c r="LJ50" s="41"/>
      <c r="LK50" s="41"/>
      <c r="LL50" s="41"/>
      <c r="LM50" s="41"/>
      <c r="LN50" s="41"/>
      <c r="LO50" s="41"/>
      <c r="LP50" s="41"/>
      <c r="LQ50" s="41"/>
      <c r="LR50" s="41"/>
      <c r="LS50" s="41"/>
      <c r="LT50" s="41"/>
      <c r="LU50" s="41"/>
      <c r="LV50" s="41"/>
      <c r="LW50" s="41"/>
      <c r="LX50" s="41"/>
      <c r="LY50" s="41"/>
      <c r="LZ50" s="41"/>
      <c r="MA50" s="41"/>
      <c r="MB50" s="41"/>
      <c r="MC50" s="41"/>
      <c r="MD50" s="41"/>
      <c r="ME50" s="41"/>
      <c r="MF50" s="41"/>
      <c r="MG50" s="41"/>
      <c r="MH50" s="41"/>
      <c r="MI50" s="41"/>
      <c r="MJ50" s="41"/>
      <c r="MK50" s="41"/>
      <c r="ML50" s="41"/>
      <c r="MM50" s="41"/>
      <c r="MN50" s="41"/>
      <c r="MO50" s="41"/>
      <c r="MP50" s="41"/>
      <c r="MQ50" s="41"/>
      <c r="MR50" s="41"/>
      <c r="MS50" s="41"/>
      <c r="MT50" s="41"/>
      <c r="MU50" s="41"/>
      <c r="MV50" s="41"/>
      <c r="MW50" s="41"/>
      <c r="MX50" s="41"/>
      <c r="MY50" s="41"/>
      <c r="MZ50" s="41"/>
      <c r="NA50" s="41"/>
      <c r="NB50" s="41"/>
      <c r="NC50" s="41"/>
      <c r="ND50" s="41"/>
      <c r="NE50" s="41"/>
      <c r="NF50" s="41"/>
      <c r="NG50" s="41"/>
      <c r="NH50" s="41"/>
      <c r="NI50" s="41"/>
      <c r="NJ50" s="41"/>
      <c r="NK50" s="41"/>
      <c r="NL50" s="41"/>
      <c r="NM50" s="41"/>
      <c r="NN50" s="41"/>
      <c r="NO50" s="41"/>
      <c r="NP50" s="41"/>
      <c r="NQ50" s="41"/>
      <c r="NR50" s="41"/>
      <c r="NS50" s="41"/>
      <c r="NT50" s="41"/>
      <c r="NU50" s="41"/>
      <c r="NV50" s="41"/>
      <c r="NW50" s="41"/>
      <c r="NX50" s="41"/>
      <c r="NY50" s="41"/>
      <c r="NZ50" s="41"/>
      <c r="OA50" s="41"/>
      <c r="OB50" s="41"/>
      <c r="OC50" s="41"/>
      <c r="OD50" s="41"/>
      <c r="OE50" s="41"/>
      <c r="OF50" s="41"/>
      <c r="OG50" s="41"/>
      <c r="OH50" s="41"/>
      <c r="OI50" s="41"/>
      <c r="OJ50" s="41"/>
      <c r="OK50" s="41"/>
      <c r="OL50" s="41"/>
      <c r="OM50" s="41"/>
      <c r="ON50" s="41"/>
      <c r="OO50" s="41"/>
      <c r="OP50" s="41"/>
      <c r="OQ50" s="41"/>
      <c r="OR50" s="41"/>
      <c r="OS50" s="41"/>
      <c r="OT50" s="41"/>
      <c r="OU50" s="41"/>
      <c r="OV50" s="41"/>
      <c r="OW50" s="41"/>
      <c r="OX50" s="41"/>
      <c r="OY50" s="41"/>
      <c r="OZ50" s="41"/>
      <c r="PA50" s="41"/>
      <c r="PB50" s="41"/>
      <c r="PC50" s="41"/>
      <c r="PD50" s="41"/>
      <c r="PE50" s="41"/>
      <c r="PF50" s="41"/>
      <c r="PG50" s="41"/>
      <c r="PH50" s="41"/>
      <c r="PI50" s="41"/>
      <c r="PJ50" s="41"/>
      <c r="PK50" s="41"/>
      <c r="PL50" s="41"/>
      <c r="PM50" s="41"/>
      <c r="PN50" s="41"/>
      <c r="PO50" s="41"/>
      <c r="PP50" s="41"/>
      <c r="PQ50" s="41"/>
      <c r="PR50" s="41"/>
      <c r="PS50" s="41"/>
      <c r="PT50" s="41"/>
      <c r="PU50" s="41"/>
      <c r="PV50" s="41"/>
      <c r="PW50" s="41"/>
      <c r="PX50" s="41"/>
      <c r="PY50" s="41"/>
      <c r="PZ50" s="41"/>
      <c r="QA50" s="41"/>
      <c r="QB50" s="41"/>
      <c r="QC50" s="41"/>
      <c r="QD50" s="41"/>
      <c r="QE50" s="41"/>
      <c r="QF50" s="41"/>
      <c r="QG50" s="41"/>
      <c r="QH50" s="41"/>
      <c r="QI50" s="41"/>
      <c r="QJ50" s="41"/>
      <c r="QK50" s="41"/>
      <c r="QL50" s="41"/>
      <c r="QM50" s="41"/>
      <c r="QN50" s="41"/>
      <c r="QO50" s="41"/>
      <c r="QP50" s="41"/>
      <c r="QQ50" s="41"/>
      <c r="QR50" s="41"/>
      <c r="QS50" s="41"/>
      <c r="QT50" s="41"/>
      <c r="QU50" s="41"/>
      <c r="QV50" s="41"/>
      <c r="QW50" s="41"/>
      <c r="QX50" s="41"/>
      <c r="QY50" s="41"/>
      <c r="QZ50" s="41"/>
      <c r="RA50" s="41"/>
      <c r="RB50" s="41"/>
      <c r="RC50" s="41"/>
      <c r="RD50" s="41"/>
      <c r="RE50" s="41"/>
      <c r="RF50" s="41"/>
      <c r="RG50" s="41"/>
      <c r="RH50" s="41"/>
      <c r="RI50" s="41"/>
      <c r="RJ50" s="41"/>
      <c r="RK50" s="41"/>
      <c r="RL50" s="41"/>
      <c r="RM50" s="41"/>
      <c r="RN50" s="41"/>
      <c r="RO50" s="41"/>
      <c r="RP50" s="41"/>
      <c r="RQ50" s="41"/>
      <c r="RR50" s="41"/>
      <c r="RS50" s="41"/>
      <c r="RT50" s="41"/>
      <c r="RU50" s="41"/>
      <c r="RV50" s="41"/>
      <c r="RW50" s="41"/>
      <c r="RX50" s="41"/>
      <c r="RY50" s="41"/>
      <c r="RZ50" s="41"/>
      <c r="SA50" s="41"/>
      <c r="SB50" s="41"/>
      <c r="SC50" s="41"/>
      <c r="SD50" s="41"/>
      <c r="SE50" s="41"/>
      <c r="SF50" s="41"/>
      <c r="SG50" s="41"/>
      <c r="SH50" s="41"/>
      <c r="SI50" s="41"/>
      <c r="SJ50" s="41"/>
      <c r="SK50" s="41"/>
      <c r="SL50" s="41"/>
      <c r="SM50" s="41"/>
      <c r="SN50" s="41"/>
      <c r="SO50" s="41"/>
      <c r="SP50" s="41"/>
      <c r="SQ50" s="41"/>
      <c r="SR50" s="41"/>
      <c r="SS50" s="41"/>
      <c r="ST50" s="41"/>
      <c r="SU50" s="41"/>
      <c r="SV50" s="41"/>
      <c r="SW50" s="41"/>
      <c r="SX50" s="41"/>
      <c r="SY50" s="41"/>
      <c r="SZ50" s="41"/>
      <c r="TA50" s="41"/>
      <c r="TB50" s="41"/>
      <c r="TC50" s="41"/>
      <c r="TD50" s="41"/>
      <c r="TE50" s="41"/>
      <c r="TF50" s="41"/>
      <c r="TG50" s="41"/>
      <c r="TH50" s="41"/>
      <c r="TI50" s="41"/>
      <c r="TJ50" s="41"/>
      <c r="TK50" s="41"/>
      <c r="TL50" s="41"/>
      <c r="TM50" s="41"/>
      <c r="TN50" s="41"/>
      <c r="TO50" s="41"/>
      <c r="TP50" s="41"/>
      <c r="TQ50" s="41"/>
      <c r="TR50" s="41"/>
      <c r="TS50" s="41"/>
      <c r="TT50" s="41"/>
      <c r="TU50" s="41"/>
      <c r="TV50" s="41"/>
      <c r="TW50" s="41"/>
      <c r="TX50" s="41"/>
      <c r="TY50" s="41"/>
      <c r="TZ50" s="41"/>
      <c r="UA50" s="41"/>
      <c r="UB50" s="41"/>
      <c r="UC50" s="41"/>
      <c r="UD50" s="41"/>
      <c r="UE50" s="41"/>
      <c r="UF50" s="41"/>
      <c r="UG50" s="41"/>
      <c r="UH50" s="41"/>
      <c r="UI50" s="41"/>
      <c r="UJ50" s="41"/>
      <c r="UK50" s="41"/>
      <c r="UL50" s="41"/>
      <c r="UM50" s="41"/>
      <c r="UN50" s="41"/>
      <c r="UO50" s="41"/>
      <c r="UP50" s="41"/>
      <c r="UQ50" s="41"/>
      <c r="UR50" s="41"/>
      <c r="US50" s="41"/>
      <c r="UT50" s="41"/>
      <c r="UU50" s="41"/>
      <c r="UV50" s="41"/>
      <c r="UW50" s="41"/>
      <c r="UX50" s="41"/>
      <c r="UY50" s="41"/>
      <c r="UZ50" s="41"/>
      <c r="VA50" s="41"/>
      <c r="VB50" s="41"/>
      <c r="VC50" s="41"/>
      <c r="VD50" s="41"/>
      <c r="VE50" s="41"/>
      <c r="VF50" s="41"/>
      <c r="VG50" s="41"/>
      <c r="VH50" s="41"/>
      <c r="VI50" s="41"/>
      <c r="VJ50" s="41"/>
      <c r="VK50" s="41"/>
      <c r="VL50" s="41"/>
      <c r="VM50" s="41"/>
      <c r="VN50" s="41"/>
      <c r="VO50" s="41"/>
      <c r="VP50" s="41"/>
      <c r="VQ50" s="41"/>
      <c r="VR50" s="41"/>
      <c r="VS50" s="41"/>
      <c r="VT50" s="41"/>
      <c r="VU50" s="41"/>
      <c r="VV50" s="41"/>
      <c r="VW50" s="41"/>
      <c r="VX50" s="41"/>
      <c r="VY50" s="41"/>
      <c r="VZ50" s="41"/>
      <c r="WA50" s="41"/>
      <c r="WB50" s="41"/>
      <c r="WC50" s="41"/>
      <c r="WD50" s="41"/>
      <c r="WE50" s="41"/>
      <c r="WF50" s="41"/>
      <c r="WG50" s="41"/>
      <c r="WH50" s="41"/>
      <c r="WI50" s="41"/>
      <c r="WJ50" s="41"/>
      <c r="WK50" s="41"/>
      <c r="WL50" s="41"/>
      <c r="WM50" s="41"/>
      <c r="WN50" s="41"/>
      <c r="WO50" s="41"/>
      <c r="WP50" s="41"/>
      <c r="WQ50" s="41"/>
      <c r="WR50" s="41"/>
      <c r="WS50" s="41"/>
      <c r="WT50" s="41"/>
      <c r="WU50" s="41"/>
      <c r="WV50" s="41"/>
      <c r="WW50" s="41"/>
      <c r="WX50" s="41"/>
      <c r="WY50" s="41"/>
      <c r="WZ50" s="41"/>
      <c r="XA50" s="41"/>
      <c r="XB50" s="41"/>
      <c r="XC50" s="41"/>
      <c r="XD50" s="41"/>
      <c r="XE50" s="41"/>
      <c r="XF50" s="41"/>
      <c r="XG50" s="41"/>
      <c r="XH50" s="41"/>
      <c r="XI50" s="41"/>
      <c r="XJ50" s="41"/>
      <c r="XK50" s="41"/>
      <c r="XL50" s="41"/>
      <c r="XM50" s="41"/>
      <c r="XN50" s="41"/>
      <c r="XO50" s="41"/>
      <c r="XP50" s="41"/>
      <c r="XQ50" s="41"/>
      <c r="XR50" s="41"/>
      <c r="XS50" s="41"/>
      <c r="XT50" s="41"/>
      <c r="XU50" s="41"/>
      <c r="XV50" s="41"/>
      <c r="XW50" s="41"/>
      <c r="XX50" s="41"/>
      <c r="XY50" s="41"/>
      <c r="XZ50" s="41"/>
      <c r="YA50" s="41"/>
      <c r="YB50" s="41"/>
      <c r="YC50" s="41"/>
      <c r="YD50" s="41"/>
      <c r="YE50" s="41"/>
      <c r="YF50" s="41"/>
      <c r="YG50" s="41"/>
      <c r="YH50" s="41"/>
      <c r="YI50" s="41"/>
      <c r="YJ50" s="41"/>
      <c r="YK50" s="41"/>
      <c r="YL50" s="41"/>
      <c r="YM50" s="41"/>
      <c r="YN50" s="41"/>
      <c r="YO50" s="41"/>
      <c r="YP50" s="41"/>
      <c r="YQ50" s="41"/>
      <c r="YR50" s="41"/>
      <c r="YS50" s="41"/>
      <c r="YT50" s="41"/>
      <c r="YU50" s="41"/>
      <c r="YV50" s="41"/>
      <c r="YW50" s="41"/>
      <c r="YX50" s="41"/>
      <c r="YY50" s="41"/>
      <c r="YZ50" s="41"/>
      <c r="ZA50" s="41"/>
      <c r="ZB50" s="41"/>
      <c r="ZC50" s="41"/>
      <c r="ZD50" s="41"/>
      <c r="ZE50" s="41"/>
      <c r="ZF50" s="41"/>
      <c r="ZG50" s="41"/>
      <c r="ZH50" s="41"/>
      <c r="ZI50" s="41"/>
      <c r="ZJ50" s="41"/>
      <c r="ZK50" s="41"/>
      <c r="ZL50" s="41"/>
      <c r="ZM50" s="41"/>
      <c r="ZN50" s="41"/>
      <c r="ZO50" s="41"/>
      <c r="ZP50" s="41"/>
      <c r="ZQ50" s="41"/>
      <c r="ZR50" s="41"/>
      <c r="ZS50" s="41"/>
      <c r="ZT50" s="41"/>
      <c r="ZU50" s="41"/>
      <c r="ZV50" s="41"/>
      <c r="ZW50" s="41"/>
      <c r="ZX50" s="41"/>
      <c r="ZY50" s="41"/>
      <c r="ZZ50" s="41"/>
      <c r="AAA50" s="41"/>
      <c r="AAB50" s="41"/>
      <c r="AAC50" s="41"/>
      <c r="AAD50" s="41"/>
      <c r="AAE50" s="41"/>
      <c r="AAF50" s="41"/>
      <c r="AAG50" s="41"/>
      <c r="AAH50" s="41"/>
      <c r="AAI50" s="41"/>
      <c r="AAJ50" s="41"/>
      <c r="AAK50" s="41"/>
      <c r="AAL50" s="41"/>
      <c r="AAM50" s="41"/>
      <c r="AAN50" s="41"/>
      <c r="AAO50" s="41"/>
      <c r="AAP50" s="41"/>
      <c r="AAQ50" s="41"/>
      <c r="AAR50" s="41"/>
      <c r="AAS50" s="41"/>
      <c r="AAT50" s="41"/>
      <c r="AAU50" s="41"/>
      <c r="AAV50" s="41"/>
      <c r="AAW50" s="41"/>
      <c r="AAX50" s="41"/>
      <c r="AAY50" s="41"/>
      <c r="AAZ50" s="41"/>
      <c r="ABA50" s="41"/>
      <c r="ABB50" s="41"/>
      <c r="ABC50" s="41"/>
      <c r="ABD50" s="41"/>
      <c r="ABE50" s="41"/>
      <c r="ABF50" s="41"/>
      <c r="ABG50" s="41"/>
      <c r="ABH50" s="41"/>
      <c r="ABI50" s="41"/>
      <c r="ABJ50" s="41"/>
      <c r="ABK50" s="41"/>
      <c r="ABL50" s="41"/>
      <c r="ABM50" s="41"/>
      <c r="ABN50" s="41"/>
      <c r="ABO50" s="41"/>
      <c r="ABP50" s="41"/>
      <c r="ABQ50" s="41"/>
      <c r="ABR50" s="41"/>
      <c r="ABS50" s="41"/>
      <c r="ABT50" s="41"/>
      <c r="ABU50" s="41"/>
      <c r="ABV50" s="41"/>
      <c r="ABW50" s="41"/>
      <c r="ABX50" s="41"/>
      <c r="ABY50" s="41"/>
      <c r="ABZ50" s="41"/>
      <c r="ACA50" s="41"/>
      <c r="ACB50" s="41"/>
      <c r="ACC50" s="41"/>
      <c r="ACD50" s="41"/>
      <c r="ACE50" s="41"/>
      <c r="ACF50" s="41"/>
      <c r="ACG50" s="41"/>
      <c r="ACH50" s="41"/>
      <c r="ACI50" s="41"/>
      <c r="ACJ50" s="41"/>
      <c r="ACK50" s="41"/>
      <c r="ACL50" s="41"/>
      <c r="ACM50" s="41"/>
      <c r="ACN50" s="41"/>
      <c r="ACO50" s="41"/>
      <c r="ACP50" s="41"/>
      <c r="ACQ50" s="41"/>
      <c r="ACR50" s="41"/>
      <c r="ACS50" s="41"/>
      <c r="ACT50" s="41"/>
      <c r="ACU50" s="41"/>
      <c r="ACV50" s="41"/>
      <c r="ACW50" s="41"/>
      <c r="ACX50" s="41"/>
      <c r="ACY50" s="41"/>
      <c r="ACZ50" s="41"/>
      <c r="ADA50" s="41"/>
      <c r="ADB50" s="41"/>
      <c r="ADC50" s="41"/>
      <c r="ADD50" s="41"/>
      <c r="ADE50" s="41"/>
      <c r="ADF50" s="41"/>
      <c r="ADG50" s="41"/>
      <c r="ADH50" s="41"/>
      <c r="ADI50" s="41"/>
      <c r="ADJ50" s="41"/>
      <c r="ADK50" s="41"/>
      <c r="ADL50" s="41"/>
      <c r="ADM50" s="41"/>
      <c r="ADN50" s="41"/>
      <c r="ADO50" s="41"/>
      <c r="ADP50" s="41"/>
      <c r="ADQ50" s="41"/>
      <c r="ADR50" s="41"/>
      <c r="ADS50" s="41"/>
      <c r="ADT50" s="41"/>
      <c r="ADU50" s="41"/>
      <c r="ADV50" s="41"/>
      <c r="ADW50" s="41"/>
      <c r="ADX50" s="41"/>
      <c r="ADY50" s="41"/>
      <c r="ADZ50" s="41"/>
      <c r="AEA50" s="41"/>
      <c r="AEB50" s="41"/>
      <c r="AEC50" s="41"/>
      <c r="AED50" s="41"/>
      <c r="AEE50" s="41"/>
      <c r="AEF50" s="41"/>
      <c r="AEG50" s="41"/>
      <c r="AEH50" s="41"/>
      <c r="AEI50" s="41"/>
      <c r="AEJ50" s="41"/>
      <c r="AEK50" s="41"/>
      <c r="AEL50" s="41"/>
      <c r="AEM50" s="41"/>
      <c r="AEN50" s="41"/>
      <c r="AEO50" s="41"/>
      <c r="AEP50" s="41"/>
      <c r="AEQ50" s="41"/>
      <c r="AER50" s="41"/>
      <c r="AES50" s="41"/>
      <c r="AET50" s="41"/>
      <c r="AEU50" s="41"/>
      <c r="AEV50" s="41"/>
      <c r="AEW50" s="41"/>
      <c r="AEX50" s="41"/>
      <c r="AEY50" s="41"/>
      <c r="AEZ50" s="41"/>
      <c r="AFA50" s="41"/>
      <c r="AFB50" s="41"/>
      <c r="AFC50" s="41"/>
      <c r="AFD50" s="41"/>
      <c r="AFE50" s="41"/>
      <c r="AFF50" s="41"/>
      <c r="AFG50" s="41"/>
      <c r="AFH50" s="41"/>
      <c r="AFI50" s="41"/>
      <c r="AFJ50" s="41"/>
      <c r="AFK50" s="41"/>
      <c r="AFL50" s="41"/>
      <c r="AFM50" s="41"/>
      <c r="AFN50" s="41"/>
      <c r="AFO50" s="41"/>
      <c r="AFP50" s="41"/>
      <c r="AFQ50" s="41"/>
      <c r="AFR50" s="41"/>
      <c r="AFS50" s="41"/>
      <c r="AFT50" s="41"/>
      <c r="AFU50" s="41"/>
      <c r="AFV50" s="41"/>
      <c r="AFW50" s="41"/>
      <c r="AFX50" s="41"/>
      <c r="AFY50" s="41"/>
      <c r="AFZ50" s="41"/>
      <c r="AGA50" s="41"/>
      <c r="AGB50" s="41"/>
      <c r="AGC50" s="41"/>
      <c r="AGD50" s="41"/>
      <c r="AGE50" s="41"/>
      <c r="AGF50" s="41"/>
      <c r="AGG50" s="41"/>
      <c r="AGH50" s="41"/>
      <c r="AGI50" s="41"/>
      <c r="AGJ50" s="41"/>
      <c r="AGK50" s="41"/>
      <c r="AGL50" s="41"/>
      <c r="AGM50" s="41"/>
      <c r="AGN50" s="41"/>
      <c r="AGO50" s="41"/>
      <c r="AGP50" s="41"/>
      <c r="AGQ50" s="41"/>
      <c r="AGR50" s="41"/>
      <c r="AGS50" s="41"/>
      <c r="AGT50" s="41"/>
      <c r="AGU50" s="41"/>
      <c r="AGV50" s="41"/>
      <c r="AGW50" s="41"/>
      <c r="AGX50" s="41"/>
      <c r="AGY50" s="41"/>
      <c r="AGZ50" s="41"/>
      <c r="AHA50" s="41"/>
      <c r="AHB50" s="41"/>
      <c r="AHC50" s="41"/>
      <c r="AHD50" s="41"/>
      <c r="AHE50" s="41"/>
      <c r="AHF50" s="41"/>
      <c r="AHG50" s="41"/>
      <c r="AHH50" s="41"/>
      <c r="AHI50" s="41"/>
      <c r="AHJ50" s="41"/>
      <c r="AHK50" s="41"/>
      <c r="AHL50" s="41"/>
      <c r="AHM50" s="41"/>
      <c r="AHN50" s="41"/>
      <c r="AHO50" s="41"/>
      <c r="AHP50" s="41"/>
      <c r="AHQ50" s="41"/>
      <c r="AHR50" s="41"/>
      <c r="AHS50" s="41"/>
      <c r="AHT50" s="41"/>
      <c r="AHU50" s="41"/>
      <c r="AHV50" s="41"/>
      <c r="AHW50" s="41"/>
      <c r="AHX50" s="41"/>
      <c r="AHY50" s="41"/>
      <c r="AHZ50" s="41"/>
      <c r="AIA50" s="41"/>
      <c r="AIB50" s="41"/>
      <c r="AIC50" s="41"/>
      <c r="AID50" s="41"/>
      <c r="AIE50" s="41"/>
      <c r="AIF50" s="41"/>
      <c r="AIG50" s="41"/>
      <c r="AIH50" s="41"/>
      <c r="AII50" s="41"/>
      <c r="AIJ50" s="41"/>
      <c r="AIK50" s="41"/>
      <c r="AIL50" s="41"/>
      <c r="AIM50" s="41"/>
      <c r="AIN50" s="41"/>
      <c r="AIO50" s="41"/>
      <c r="AIP50" s="41"/>
      <c r="AIQ50" s="41"/>
      <c r="AIR50" s="41"/>
      <c r="AIS50" s="41"/>
      <c r="AIT50" s="41"/>
      <c r="AIU50" s="41"/>
      <c r="AIV50" s="41"/>
      <c r="AIW50" s="41"/>
      <c r="AIX50" s="41"/>
      <c r="AIY50" s="41"/>
      <c r="AIZ50" s="41"/>
      <c r="AJA50" s="41"/>
      <c r="AJB50" s="41"/>
      <c r="AJC50" s="41"/>
      <c r="AJD50" s="41"/>
      <c r="AJE50" s="41"/>
      <c r="AJF50" s="41"/>
      <c r="AJG50" s="41"/>
      <c r="AJH50" s="41"/>
      <c r="AJI50" s="41"/>
      <c r="AJJ50" s="41"/>
      <c r="AJK50" s="41"/>
      <c r="AJL50" s="41"/>
      <c r="AJM50" s="41"/>
      <c r="AJN50" s="41"/>
      <c r="AJO50" s="41"/>
      <c r="AJP50" s="41"/>
      <c r="AJQ50" s="41"/>
      <c r="AJR50" s="41"/>
      <c r="AJS50" s="41"/>
      <c r="AJT50" s="41"/>
      <c r="AJU50" s="41"/>
      <c r="AJV50" s="41"/>
      <c r="AJW50" s="41"/>
      <c r="AJX50" s="41"/>
      <c r="AJY50" s="41"/>
      <c r="AJZ50" s="41"/>
      <c r="AKA50" s="41"/>
      <c r="AKB50" s="41"/>
      <c r="AKC50" s="41"/>
      <c r="AKD50" s="41"/>
      <c r="AKE50" s="41"/>
      <c r="AKF50" s="41"/>
      <c r="AKG50" s="41"/>
      <c r="AKH50" s="41"/>
      <c r="AKI50" s="41"/>
      <c r="AKJ50" s="41"/>
      <c r="AKK50" s="41"/>
      <c r="AKL50" s="41"/>
      <c r="AKM50" s="41"/>
      <c r="AKN50" s="41"/>
      <c r="AKO50" s="41"/>
      <c r="AKP50" s="41"/>
      <c r="AKQ50" s="41"/>
      <c r="AKR50" s="41"/>
      <c r="AKS50" s="41"/>
      <c r="AKT50" s="41"/>
      <c r="AKU50" s="41"/>
      <c r="AKV50" s="41"/>
      <c r="AKW50" s="41"/>
      <c r="AKX50" s="41"/>
      <c r="AKY50" s="41"/>
      <c r="AKZ50" s="41"/>
      <c r="ALA50" s="41"/>
      <c r="ALB50" s="41"/>
      <c r="ALC50" s="41"/>
      <c r="ALD50" s="41"/>
      <c r="ALE50" s="41"/>
      <c r="ALF50" s="41"/>
      <c r="ALG50" s="41"/>
      <c r="ALH50" s="41"/>
      <c r="ALI50" s="41"/>
      <c r="ALJ50" s="41"/>
      <c r="ALK50" s="41"/>
      <c r="ALL50" s="41"/>
      <c r="ALM50" s="41"/>
      <c r="ALN50" s="41"/>
      <c r="ALO50" s="41"/>
      <c r="ALP50" s="41"/>
      <c r="ALQ50" s="41"/>
      <c r="ALR50" s="41"/>
      <c r="ALS50" s="41"/>
      <c r="ALT50" s="41"/>
      <c r="ALU50" s="41"/>
      <c r="ALV50" s="41"/>
      <c r="ALW50" s="41"/>
      <c r="ALX50" s="41"/>
      <c r="ALY50" s="41"/>
      <c r="ALZ50" s="41"/>
      <c r="AMA50" s="41"/>
      <c r="AMB50" s="41"/>
      <c r="AMC50" s="41"/>
      <c r="AMD50" s="41"/>
      <c r="AME50" s="41"/>
      <c r="AMF50" s="41"/>
      <c r="AMG50" s="41"/>
      <c r="AMH50" s="41"/>
      <c r="AMI50" s="41"/>
      <c r="AMJ50" s="41"/>
      <c r="AMK50" s="41"/>
      <c r="AML50" s="41"/>
      <c r="AMM50" s="41"/>
      <c r="AMN50" s="41"/>
      <c r="AMO50" s="41"/>
      <c r="AMP50" s="41"/>
      <c r="AMQ50" s="41"/>
      <c r="AMR50" s="41"/>
      <c r="AMS50" s="41"/>
      <c r="AMT50" s="41"/>
      <c r="AMU50" s="41"/>
      <c r="AMV50" s="41"/>
      <c r="AMW50" s="41"/>
      <c r="AMX50" s="41"/>
      <c r="AMY50" s="41"/>
      <c r="AMZ50" s="41"/>
      <c r="ANA50" s="41"/>
      <c r="ANB50" s="41"/>
      <c r="ANC50" s="41"/>
      <c r="AND50" s="41"/>
      <c r="ANE50" s="41"/>
      <c r="ANF50" s="41"/>
      <c r="ANG50" s="41"/>
      <c r="ANH50" s="41"/>
      <c r="ANI50" s="41"/>
      <c r="ANJ50" s="41"/>
      <c r="ANK50" s="41"/>
    </row>
    <row r="51" s="44" customFormat="true" ht="15" hidden="false" customHeight="false" outlineLevel="0" collapsed="false">
      <c r="A51" s="55" t="s">
        <v>73</v>
      </c>
      <c r="B51" s="43" t="n">
        <v>0</v>
      </c>
      <c r="C51" s="44" t="n">
        <v>0</v>
      </c>
      <c r="D51" s="44" t="n">
        <v>46.7</v>
      </c>
      <c r="E51" s="45" t="n">
        <v>13</v>
      </c>
      <c r="F51" s="43" t="n">
        <v>0</v>
      </c>
      <c r="G51" s="44" t="n">
        <v>0</v>
      </c>
      <c r="H51" s="46" t="n">
        <v>0</v>
      </c>
      <c r="I51" s="47" t="n">
        <v>1580</v>
      </c>
      <c r="J51" s="48" t="n">
        <v>0</v>
      </c>
      <c r="K51" s="43" t="n">
        <v>0.3</v>
      </c>
      <c r="L51" s="44" t="n">
        <v>0.97</v>
      </c>
      <c r="M51" s="46" t="n">
        <f aca="false">(K51+L51)/2</f>
        <v>0.635</v>
      </c>
      <c r="N51" s="43" t="n">
        <v>0.53</v>
      </c>
      <c r="O51" s="46" t="n">
        <v>1.308</v>
      </c>
      <c r="P51" s="49" t="n">
        <v>257.685859680792</v>
      </c>
      <c r="Q51" s="50" t="n">
        <v>4731.27412551153</v>
      </c>
      <c r="R51" s="44" t="n">
        <v>13900</v>
      </c>
      <c r="S51" s="44" t="n">
        <v>14600</v>
      </c>
      <c r="T51" s="44" t="n">
        <v>15200</v>
      </c>
      <c r="U51" s="44" t="n">
        <v>16390</v>
      </c>
      <c r="V51" s="44" t="n">
        <v>16390</v>
      </c>
      <c r="W51" s="44" t="n">
        <v>17680</v>
      </c>
      <c r="X51" s="44" t="n">
        <v>17690</v>
      </c>
      <c r="Y51" s="44" t="n">
        <v>18680</v>
      </c>
      <c r="Z51" s="44" t="n">
        <v>19970</v>
      </c>
      <c r="AA51" s="44" t="n">
        <v>18750</v>
      </c>
      <c r="AB51" s="44" t="n">
        <v>19630</v>
      </c>
      <c r="AC51" s="44" t="n">
        <v>19220</v>
      </c>
      <c r="AD51" s="44" t="n">
        <v>20060</v>
      </c>
      <c r="AE51" s="44" t="n">
        <v>20530</v>
      </c>
      <c r="AF51" s="44" t="n">
        <v>20870</v>
      </c>
      <c r="AG51" s="44" t="n">
        <v>20970</v>
      </c>
      <c r="AH51" s="44" t="n">
        <v>21780</v>
      </c>
      <c r="AI51" s="44" t="n">
        <v>21860</v>
      </c>
      <c r="AJ51" s="44" t="n">
        <v>23830</v>
      </c>
      <c r="AK51" s="44" t="n">
        <v>24190</v>
      </c>
      <c r="AL51" s="44" t="n">
        <v>23910</v>
      </c>
      <c r="AM51" s="44" t="n">
        <v>21060</v>
      </c>
      <c r="AN51" s="46" t="n">
        <v>21790</v>
      </c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41"/>
      <c r="JB51" s="41"/>
      <c r="JC51" s="41"/>
      <c r="JD51" s="41"/>
      <c r="JE51" s="41"/>
      <c r="JF51" s="41"/>
      <c r="JG51" s="41"/>
      <c r="JH51" s="41"/>
      <c r="JI51" s="41"/>
      <c r="JJ51" s="41"/>
      <c r="JK51" s="41"/>
      <c r="JL51" s="41"/>
      <c r="JM51" s="41"/>
      <c r="JN51" s="41"/>
      <c r="JO51" s="41"/>
      <c r="JP51" s="41"/>
      <c r="JQ51" s="41"/>
      <c r="JR51" s="41"/>
      <c r="JS51" s="41"/>
      <c r="JT51" s="41"/>
      <c r="JU51" s="41"/>
      <c r="JV51" s="41"/>
      <c r="JW51" s="41"/>
      <c r="JX51" s="41"/>
      <c r="JY51" s="41"/>
      <c r="JZ51" s="41"/>
      <c r="KA51" s="41"/>
      <c r="KB51" s="41"/>
      <c r="KC51" s="41"/>
      <c r="KD51" s="41"/>
      <c r="KE51" s="41"/>
      <c r="KF51" s="41"/>
      <c r="KG51" s="41"/>
      <c r="KH51" s="41"/>
      <c r="KI51" s="41"/>
      <c r="KJ51" s="41"/>
      <c r="KK51" s="41"/>
      <c r="KL51" s="41"/>
      <c r="KM51" s="41"/>
      <c r="KN51" s="41"/>
      <c r="KO51" s="41"/>
      <c r="KP51" s="41"/>
      <c r="KQ51" s="41"/>
      <c r="KR51" s="41"/>
      <c r="KS51" s="41"/>
      <c r="KT51" s="41"/>
      <c r="KU51" s="41"/>
      <c r="KV51" s="41"/>
      <c r="KW51" s="41"/>
      <c r="KX51" s="41"/>
      <c r="KY51" s="41"/>
      <c r="KZ51" s="41"/>
      <c r="LA51" s="41"/>
      <c r="LB51" s="41"/>
      <c r="LC51" s="41"/>
      <c r="LD51" s="41"/>
      <c r="LE51" s="41"/>
      <c r="LF51" s="41"/>
      <c r="LG51" s="41"/>
      <c r="LH51" s="41"/>
      <c r="LI51" s="41"/>
      <c r="LJ51" s="41"/>
      <c r="LK51" s="41"/>
      <c r="LL51" s="41"/>
      <c r="LM51" s="41"/>
      <c r="LN51" s="41"/>
      <c r="LO51" s="41"/>
      <c r="LP51" s="41"/>
      <c r="LQ51" s="41"/>
      <c r="LR51" s="41"/>
      <c r="LS51" s="41"/>
      <c r="LT51" s="41"/>
      <c r="LU51" s="41"/>
      <c r="LV51" s="41"/>
      <c r="LW51" s="41"/>
      <c r="LX51" s="41"/>
      <c r="LY51" s="41"/>
      <c r="LZ51" s="41"/>
      <c r="MA51" s="41"/>
      <c r="MB51" s="41"/>
      <c r="MC51" s="41"/>
      <c r="MD51" s="41"/>
      <c r="ME51" s="41"/>
      <c r="MF51" s="41"/>
      <c r="MG51" s="41"/>
      <c r="MH51" s="41"/>
      <c r="MI51" s="41"/>
      <c r="MJ51" s="41"/>
      <c r="MK51" s="41"/>
      <c r="ML51" s="41"/>
      <c r="MM51" s="41"/>
      <c r="MN51" s="41"/>
      <c r="MO51" s="41"/>
      <c r="MP51" s="41"/>
      <c r="MQ51" s="41"/>
      <c r="MR51" s="41"/>
      <c r="MS51" s="41"/>
      <c r="MT51" s="41"/>
      <c r="MU51" s="41"/>
      <c r="MV51" s="41"/>
      <c r="MW51" s="41"/>
      <c r="MX51" s="41"/>
      <c r="MY51" s="41"/>
      <c r="MZ51" s="41"/>
      <c r="NA51" s="41"/>
      <c r="NB51" s="41"/>
      <c r="NC51" s="41"/>
      <c r="ND51" s="41"/>
      <c r="NE51" s="41"/>
      <c r="NF51" s="41"/>
      <c r="NG51" s="41"/>
      <c r="NH51" s="41"/>
      <c r="NI51" s="41"/>
      <c r="NJ51" s="41"/>
      <c r="NK51" s="41"/>
      <c r="NL51" s="41"/>
      <c r="NM51" s="41"/>
      <c r="NN51" s="41"/>
      <c r="NO51" s="41"/>
      <c r="NP51" s="41"/>
      <c r="NQ51" s="41"/>
      <c r="NR51" s="41"/>
      <c r="NS51" s="41"/>
      <c r="NT51" s="41"/>
      <c r="NU51" s="41"/>
      <c r="NV51" s="41"/>
      <c r="NW51" s="41"/>
      <c r="NX51" s="41"/>
      <c r="NY51" s="41"/>
      <c r="NZ51" s="41"/>
      <c r="OA51" s="41"/>
      <c r="OB51" s="41"/>
      <c r="OC51" s="41"/>
      <c r="OD51" s="41"/>
      <c r="OE51" s="41"/>
      <c r="OF51" s="41"/>
      <c r="OG51" s="41"/>
      <c r="OH51" s="41"/>
      <c r="OI51" s="41"/>
      <c r="OJ51" s="41"/>
      <c r="OK51" s="41"/>
      <c r="OL51" s="41"/>
      <c r="OM51" s="41"/>
      <c r="ON51" s="41"/>
      <c r="OO51" s="41"/>
      <c r="OP51" s="41"/>
      <c r="OQ51" s="41"/>
      <c r="OR51" s="41"/>
      <c r="OS51" s="41"/>
      <c r="OT51" s="41"/>
      <c r="OU51" s="41"/>
      <c r="OV51" s="41"/>
      <c r="OW51" s="41"/>
      <c r="OX51" s="41"/>
      <c r="OY51" s="41"/>
      <c r="OZ51" s="41"/>
      <c r="PA51" s="41"/>
      <c r="PB51" s="41"/>
      <c r="PC51" s="41"/>
      <c r="PD51" s="41"/>
      <c r="PE51" s="41"/>
      <c r="PF51" s="41"/>
      <c r="PG51" s="41"/>
      <c r="PH51" s="41"/>
      <c r="PI51" s="41"/>
      <c r="PJ51" s="41"/>
      <c r="PK51" s="41"/>
      <c r="PL51" s="41"/>
      <c r="PM51" s="41"/>
      <c r="PN51" s="41"/>
      <c r="PO51" s="41"/>
      <c r="PP51" s="41"/>
      <c r="PQ51" s="41"/>
      <c r="PR51" s="41"/>
      <c r="PS51" s="41"/>
      <c r="PT51" s="41"/>
      <c r="PU51" s="41"/>
      <c r="PV51" s="41"/>
      <c r="PW51" s="41"/>
      <c r="PX51" s="41"/>
      <c r="PY51" s="41"/>
      <c r="PZ51" s="41"/>
      <c r="QA51" s="41"/>
      <c r="QB51" s="41"/>
      <c r="QC51" s="41"/>
      <c r="QD51" s="41"/>
      <c r="QE51" s="41"/>
      <c r="QF51" s="41"/>
      <c r="QG51" s="41"/>
      <c r="QH51" s="41"/>
      <c r="QI51" s="41"/>
      <c r="QJ51" s="41"/>
      <c r="QK51" s="41"/>
      <c r="QL51" s="41"/>
      <c r="QM51" s="41"/>
      <c r="QN51" s="41"/>
      <c r="QO51" s="41"/>
      <c r="QP51" s="41"/>
      <c r="QQ51" s="41"/>
      <c r="QR51" s="41"/>
      <c r="QS51" s="41"/>
      <c r="QT51" s="41"/>
      <c r="QU51" s="41"/>
      <c r="QV51" s="41"/>
      <c r="QW51" s="41"/>
      <c r="QX51" s="41"/>
      <c r="QY51" s="41"/>
      <c r="QZ51" s="41"/>
      <c r="RA51" s="41"/>
      <c r="RB51" s="41"/>
      <c r="RC51" s="41"/>
      <c r="RD51" s="41"/>
      <c r="RE51" s="41"/>
      <c r="RF51" s="41"/>
      <c r="RG51" s="41"/>
      <c r="RH51" s="41"/>
      <c r="RI51" s="41"/>
      <c r="RJ51" s="41"/>
      <c r="RK51" s="41"/>
      <c r="RL51" s="41"/>
      <c r="RM51" s="41"/>
      <c r="RN51" s="41"/>
      <c r="RO51" s="41"/>
      <c r="RP51" s="41"/>
      <c r="RQ51" s="41"/>
      <c r="RR51" s="41"/>
      <c r="RS51" s="41"/>
      <c r="RT51" s="41"/>
      <c r="RU51" s="41"/>
      <c r="RV51" s="41"/>
      <c r="RW51" s="41"/>
      <c r="RX51" s="41"/>
      <c r="RY51" s="41"/>
      <c r="RZ51" s="41"/>
      <c r="SA51" s="41"/>
      <c r="SB51" s="41"/>
      <c r="SC51" s="41"/>
      <c r="SD51" s="41"/>
      <c r="SE51" s="41"/>
      <c r="SF51" s="41"/>
      <c r="SG51" s="41"/>
      <c r="SH51" s="41"/>
      <c r="SI51" s="41"/>
      <c r="SJ51" s="41"/>
      <c r="SK51" s="41"/>
      <c r="SL51" s="41"/>
      <c r="SM51" s="41"/>
      <c r="SN51" s="41"/>
      <c r="SO51" s="41"/>
      <c r="SP51" s="41"/>
      <c r="SQ51" s="41"/>
      <c r="SR51" s="41"/>
      <c r="SS51" s="41"/>
      <c r="ST51" s="41"/>
      <c r="SU51" s="41"/>
      <c r="SV51" s="41"/>
      <c r="SW51" s="41"/>
      <c r="SX51" s="41"/>
      <c r="SY51" s="41"/>
      <c r="SZ51" s="41"/>
      <c r="TA51" s="41"/>
      <c r="TB51" s="41"/>
      <c r="TC51" s="41"/>
      <c r="TD51" s="41"/>
      <c r="TE51" s="41"/>
      <c r="TF51" s="41"/>
      <c r="TG51" s="41"/>
      <c r="TH51" s="41"/>
      <c r="TI51" s="41"/>
      <c r="TJ51" s="41"/>
      <c r="TK51" s="41"/>
      <c r="TL51" s="41"/>
      <c r="TM51" s="41"/>
      <c r="TN51" s="41"/>
      <c r="TO51" s="41"/>
      <c r="TP51" s="41"/>
      <c r="TQ51" s="41"/>
      <c r="TR51" s="41"/>
      <c r="TS51" s="41"/>
      <c r="TT51" s="41"/>
      <c r="TU51" s="41"/>
      <c r="TV51" s="41"/>
      <c r="TW51" s="41"/>
      <c r="TX51" s="41"/>
      <c r="TY51" s="41"/>
      <c r="TZ51" s="41"/>
      <c r="UA51" s="41"/>
      <c r="UB51" s="41"/>
      <c r="UC51" s="41"/>
      <c r="UD51" s="41"/>
      <c r="UE51" s="41"/>
      <c r="UF51" s="41"/>
      <c r="UG51" s="41"/>
      <c r="UH51" s="41"/>
      <c r="UI51" s="41"/>
      <c r="UJ51" s="41"/>
      <c r="UK51" s="41"/>
      <c r="UL51" s="41"/>
      <c r="UM51" s="41"/>
      <c r="UN51" s="41"/>
      <c r="UO51" s="41"/>
      <c r="UP51" s="41"/>
      <c r="UQ51" s="41"/>
      <c r="UR51" s="41"/>
      <c r="US51" s="41"/>
      <c r="UT51" s="41"/>
      <c r="UU51" s="41"/>
      <c r="UV51" s="41"/>
      <c r="UW51" s="41"/>
      <c r="UX51" s="41"/>
      <c r="UY51" s="41"/>
      <c r="UZ51" s="41"/>
      <c r="VA51" s="41"/>
      <c r="VB51" s="41"/>
      <c r="VC51" s="41"/>
      <c r="VD51" s="41"/>
      <c r="VE51" s="41"/>
      <c r="VF51" s="41"/>
      <c r="VG51" s="41"/>
      <c r="VH51" s="41"/>
      <c r="VI51" s="41"/>
      <c r="VJ51" s="41"/>
      <c r="VK51" s="41"/>
      <c r="VL51" s="41"/>
      <c r="VM51" s="41"/>
      <c r="VN51" s="41"/>
      <c r="VO51" s="41"/>
      <c r="VP51" s="41"/>
      <c r="VQ51" s="41"/>
      <c r="VR51" s="41"/>
      <c r="VS51" s="41"/>
      <c r="VT51" s="41"/>
      <c r="VU51" s="41"/>
      <c r="VV51" s="41"/>
      <c r="VW51" s="41"/>
      <c r="VX51" s="41"/>
      <c r="VY51" s="41"/>
      <c r="VZ51" s="41"/>
      <c r="WA51" s="41"/>
      <c r="WB51" s="41"/>
      <c r="WC51" s="41"/>
      <c r="WD51" s="41"/>
      <c r="WE51" s="41"/>
      <c r="WF51" s="41"/>
      <c r="WG51" s="41"/>
      <c r="WH51" s="41"/>
      <c r="WI51" s="41"/>
      <c r="WJ51" s="41"/>
      <c r="WK51" s="41"/>
      <c r="WL51" s="41"/>
      <c r="WM51" s="41"/>
      <c r="WN51" s="41"/>
      <c r="WO51" s="41"/>
      <c r="WP51" s="41"/>
      <c r="WQ51" s="41"/>
      <c r="WR51" s="41"/>
      <c r="WS51" s="41"/>
      <c r="WT51" s="41"/>
      <c r="WU51" s="41"/>
      <c r="WV51" s="41"/>
      <c r="WW51" s="41"/>
      <c r="WX51" s="41"/>
      <c r="WY51" s="41"/>
      <c r="WZ51" s="41"/>
      <c r="XA51" s="41"/>
      <c r="XB51" s="41"/>
      <c r="XC51" s="41"/>
      <c r="XD51" s="41"/>
      <c r="XE51" s="41"/>
      <c r="XF51" s="41"/>
      <c r="XG51" s="41"/>
      <c r="XH51" s="41"/>
      <c r="XI51" s="41"/>
      <c r="XJ51" s="41"/>
      <c r="XK51" s="41"/>
      <c r="XL51" s="41"/>
      <c r="XM51" s="41"/>
      <c r="XN51" s="41"/>
      <c r="XO51" s="41"/>
      <c r="XP51" s="41"/>
      <c r="XQ51" s="41"/>
      <c r="XR51" s="41"/>
      <c r="XS51" s="41"/>
      <c r="XT51" s="41"/>
      <c r="XU51" s="41"/>
      <c r="XV51" s="41"/>
      <c r="XW51" s="41"/>
      <c r="XX51" s="41"/>
      <c r="XY51" s="41"/>
      <c r="XZ51" s="41"/>
      <c r="YA51" s="41"/>
      <c r="YB51" s="41"/>
      <c r="YC51" s="41"/>
      <c r="YD51" s="41"/>
      <c r="YE51" s="41"/>
      <c r="YF51" s="41"/>
      <c r="YG51" s="41"/>
      <c r="YH51" s="41"/>
      <c r="YI51" s="41"/>
      <c r="YJ51" s="41"/>
      <c r="YK51" s="41"/>
      <c r="YL51" s="41"/>
      <c r="YM51" s="41"/>
      <c r="YN51" s="41"/>
      <c r="YO51" s="41"/>
      <c r="YP51" s="41"/>
      <c r="YQ51" s="41"/>
      <c r="YR51" s="41"/>
      <c r="YS51" s="41"/>
      <c r="YT51" s="41"/>
      <c r="YU51" s="41"/>
      <c r="YV51" s="41"/>
      <c r="YW51" s="41"/>
      <c r="YX51" s="41"/>
      <c r="YY51" s="41"/>
      <c r="YZ51" s="41"/>
      <c r="ZA51" s="41"/>
      <c r="ZB51" s="41"/>
      <c r="ZC51" s="41"/>
      <c r="ZD51" s="41"/>
      <c r="ZE51" s="41"/>
      <c r="ZF51" s="41"/>
      <c r="ZG51" s="41"/>
      <c r="ZH51" s="41"/>
      <c r="ZI51" s="41"/>
      <c r="ZJ51" s="41"/>
      <c r="ZK51" s="41"/>
      <c r="ZL51" s="41"/>
      <c r="ZM51" s="41"/>
      <c r="ZN51" s="41"/>
      <c r="ZO51" s="41"/>
      <c r="ZP51" s="41"/>
      <c r="ZQ51" s="41"/>
      <c r="ZR51" s="41"/>
      <c r="ZS51" s="41"/>
      <c r="ZT51" s="41"/>
      <c r="ZU51" s="41"/>
      <c r="ZV51" s="41"/>
      <c r="ZW51" s="41"/>
      <c r="ZX51" s="41"/>
      <c r="ZY51" s="41"/>
      <c r="ZZ51" s="41"/>
      <c r="AAA51" s="41"/>
      <c r="AAB51" s="41"/>
      <c r="AAC51" s="41"/>
      <c r="AAD51" s="41"/>
      <c r="AAE51" s="41"/>
      <c r="AAF51" s="41"/>
      <c r="AAG51" s="41"/>
      <c r="AAH51" s="41"/>
      <c r="AAI51" s="41"/>
      <c r="AAJ51" s="41"/>
      <c r="AAK51" s="41"/>
      <c r="AAL51" s="41"/>
      <c r="AAM51" s="41"/>
      <c r="AAN51" s="41"/>
      <c r="AAO51" s="41"/>
      <c r="AAP51" s="41"/>
      <c r="AAQ51" s="41"/>
      <c r="AAR51" s="41"/>
      <c r="AAS51" s="41"/>
      <c r="AAT51" s="41"/>
      <c r="AAU51" s="41"/>
      <c r="AAV51" s="41"/>
      <c r="AAW51" s="41"/>
      <c r="AAX51" s="41"/>
      <c r="AAY51" s="41"/>
      <c r="AAZ51" s="41"/>
      <c r="ABA51" s="41"/>
      <c r="ABB51" s="41"/>
      <c r="ABC51" s="41"/>
      <c r="ABD51" s="41"/>
      <c r="ABE51" s="41"/>
      <c r="ABF51" s="41"/>
      <c r="ABG51" s="41"/>
      <c r="ABH51" s="41"/>
      <c r="ABI51" s="41"/>
      <c r="ABJ51" s="41"/>
      <c r="ABK51" s="41"/>
      <c r="ABL51" s="41"/>
      <c r="ABM51" s="41"/>
      <c r="ABN51" s="41"/>
      <c r="ABO51" s="41"/>
      <c r="ABP51" s="41"/>
      <c r="ABQ51" s="41"/>
      <c r="ABR51" s="41"/>
      <c r="ABS51" s="41"/>
      <c r="ABT51" s="41"/>
      <c r="ABU51" s="41"/>
      <c r="ABV51" s="41"/>
      <c r="ABW51" s="41"/>
      <c r="ABX51" s="41"/>
      <c r="ABY51" s="41"/>
      <c r="ABZ51" s="41"/>
      <c r="ACA51" s="41"/>
      <c r="ACB51" s="41"/>
      <c r="ACC51" s="41"/>
      <c r="ACD51" s="41"/>
      <c r="ACE51" s="41"/>
      <c r="ACF51" s="41"/>
      <c r="ACG51" s="41"/>
      <c r="ACH51" s="41"/>
      <c r="ACI51" s="41"/>
      <c r="ACJ51" s="41"/>
      <c r="ACK51" s="41"/>
      <c r="ACL51" s="41"/>
      <c r="ACM51" s="41"/>
      <c r="ACN51" s="41"/>
      <c r="ACO51" s="41"/>
      <c r="ACP51" s="41"/>
      <c r="ACQ51" s="41"/>
      <c r="ACR51" s="41"/>
      <c r="ACS51" s="41"/>
      <c r="ACT51" s="41"/>
      <c r="ACU51" s="41"/>
      <c r="ACV51" s="41"/>
      <c r="ACW51" s="41"/>
      <c r="ACX51" s="41"/>
      <c r="ACY51" s="41"/>
      <c r="ACZ51" s="41"/>
      <c r="ADA51" s="41"/>
      <c r="ADB51" s="41"/>
      <c r="ADC51" s="41"/>
      <c r="ADD51" s="41"/>
      <c r="ADE51" s="41"/>
      <c r="ADF51" s="41"/>
      <c r="ADG51" s="41"/>
      <c r="ADH51" s="41"/>
      <c r="ADI51" s="41"/>
      <c r="ADJ51" s="41"/>
      <c r="ADK51" s="41"/>
      <c r="ADL51" s="41"/>
      <c r="ADM51" s="41"/>
      <c r="ADN51" s="41"/>
      <c r="ADO51" s="41"/>
      <c r="ADP51" s="41"/>
      <c r="ADQ51" s="41"/>
      <c r="ADR51" s="41"/>
      <c r="ADS51" s="41"/>
      <c r="ADT51" s="41"/>
      <c r="ADU51" s="41"/>
      <c r="ADV51" s="41"/>
      <c r="ADW51" s="41"/>
      <c r="ADX51" s="41"/>
      <c r="ADY51" s="41"/>
      <c r="ADZ51" s="41"/>
      <c r="AEA51" s="41"/>
      <c r="AEB51" s="41"/>
      <c r="AEC51" s="41"/>
      <c r="AED51" s="41"/>
      <c r="AEE51" s="41"/>
      <c r="AEF51" s="41"/>
      <c r="AEG51" s="41"/>
      <c r="AEH51" s="41"/>
      <c r="AEI51" s="41"/>
      <c r="AEJ51" s="41"/>
      <c r="AEK51" s="41"/>
      <c r="AEL51" s="41"/>
      <c r="AEM51" s="41"/>
      <c r="AEN51" s="41"/>
      <c r="AEO51" s="41"/>
      <c r="AEP51" s="41"/>
      <c r="AEQ51" s="41"/>
      <c r="AER51" s="41"/>
      <c r="AES51" s="41"/>
      <c r="AET51" s="41"/>
      <c r="AEU51" s="41"/>
      <c r="AEV51" s="41"/>
      <c r="AEW51" s="41"/>
      <c r="AEX51" s="41"/>
      <c r="AEY51" s="41"/>
      <c r="AEZ51" s="41"/>
      <c r="AFA51" s="41"/>
      <c r="AFB51" s="41"/>
      <c r="AFC51" s="41"/>
      <c r="AFD51" s="41"/>
      <c r="AFE51" s="41"/>
      <c r="AFF51" s="41"/>
      <c r="AFG51" s="41"/>
      <c r="AFH51" s="41"/>
      <c r="AFI51" s="41"/>
      <c r="AFJ51" s="41"/>
      <c r="AFK51" s="41"/>
      <c r="AFL51" s="41"/>
      <c r="AFM51" s="41"/>
      <c r="AFN51" s="41"/>
      <c r="AFO51" s="41"/>
      <c r="AFP51" s="41"/>
      <c r="AFQ51" s="41"/>
      <c r="AFR51" s="41"/>
      <c r="AFS51" s="41"/>
      <c r="AFT51" s="41"/>
      <c r="AFU51" s="41"/>
      <c r="AFV51" s="41"/>
      <c r="AFW51" s="41"/>
      <c r="AFX51" s="41"/>
      <c r="AFY51" s="41"/>
      <c r="AFZ51" s="41"/>
      <c r="AGA51" s="41"/>
      <c r="AGB51" s="41"/>
      <c r="AGC51" s="41"/>
      <c r="AGD51" s="41"/>
      <c r="AGE51" s="41"/>
      <c r="AGF51" s="41"/>
      <c r="AGG51" s="41"/>
      <c r="AGH51" s="41"/>
      <c r="AGI51" s="41"/>
      <c r="AGJ51" s="41"/>
      <c r="AGK51" s="41"/>
      <c r="AGL51" s="41"/>
      <c r="AGM51" s="41"/>
      <c r="AGN51" s="41"/>
      <c r="AGO51" s="41"/>
      <c r="AGP51" s="41"/>
      <c r="AGQ51" s="41"/>
      <c r="AGR51" s="41"/>
      <c r="AGS51" s="41"/>
      <c r="AGT51" s="41"/>
      <c r="AGU51" s="41"/>
      <c r="AGV51" s="41"/>
      <c r="AGW51" s="41"/>
      <c r="AGX51" s="41"/>
      <c r="AGY51" s="41"/>
      <c r="AGZ51" s="41"/>
      <c r="AHA51" s="41"/>
      <c r="AHB51" s="41"/>
      <c r="AHC51" s="41"/>
      <c r="AHD51" s="41"/>
      <c r="AHE51" s="41"/>
      <c r="AHF51" s="41"/>
      <c r="AHG51" s="41"/>
      <c r="AHH51" s="41"/>
      <c r="AHI51" s="41"/>
      <c r="AHJ51" s="41"/>
      <c r="AHK51" s="41"/>
      <c r="AHL51" s="41"/>
      <c r="AHM51" s="41"/>
      <c r="AHN51" s="41"/>
      <c r="AHO51" s="41"/>
      <c r="AHP51" s="41"/>
      <c r="AHQ51" s="41"/>
      <c r="AHR51" s="41"/>
      <c r="AHS51" s="41"/>
      <c r="AHT51" s="41"/>
      <c r="AHU51" s="41"/>
      <c r="AHV51" s="41"/>
      <c r="AHW51" s="41"/>
      <c r="AHX51" s="41"/>
      <c r="AHY51" s="41"/>
      <c r="AHZ51" s="41"/>
      <c r="AIA51" s="41"/>
      <c r="AIB51" s="41"/>
      <c r="AIC51" s="41"/>
      <c r="AID51" s="41"/>
      <c r="AIE51" s="41"/>
      <c r="AIF51" s="41"/>
      <c r="AIG51" s="41"/>
      <c r="AIH51" s="41"/>
      <c r="AII51" s="41"/>
      <c r="AIJ51" s="41"/>
      <c r="AIK51" s="41"/>
      <c r="AIL51" s="41"/>
      <c r="AIM51" s="41"/>
      <c r="AIN51" s="41"/>
      <c r="AIO51" s="41"/>
      <c r="AIP51" s="41"/>
      <c r="AIQ51" s="41"/>
      <c r="AIR51" s="41"/>
      <c r="AIS51" s="41"/>
      <c r="AIT51" s="41"/>
      <c r="AIU51" s="41"/>
      <c r="AIV51" s="41"/>
      <c r="AIW51" s="41"/>
      <c r="AIX51" s="41"/>
      <c r="AIY51" s="41"/>
      <c r="AIZ51" s="41"/>
      <c r="AJA51" s="41"/>
      <c r="AJB51" s="41"/>
      <c r="AJC51" s="41"/>
      <c r="AJD51" s="41"/>
      <c r="AJE51" s="41"/>
      <c r="AJF51" s="41"/>
      <c r="AJG51" s="41"/>
      <c r="AJH51" s="41"/>
      <c r="AJI51" s="41"/>
      <c r="AJJ51" s="41"/>
      <c r="AJK51" s="41"/>
      <c r="AJL51" s="41"/>
      <c r="AJM51" s="41"/>
      <c r="AJN51" s="41"/>
      <c r="AJO51" s="41"/>
      <c r="AJP51" s="41"/>
      <c r="AJQ51" s="41"/>
      <c r="AJR51" s="41"/>
      <c r="AJS51" s="41"/>
      <c r="AJT51" s="41"/>
      <c r="AJU51" s="41"/>
      <c r="AJV51" s="41"/>
      <c r="AJW51" s="41"/>
      <c r="AJX51" s="41"/>
      <c r="AJY51" s="41"/>
      <c r="AJZ51" s="41"/>
      <c r="AKA51" s="41"/>
      <c r="AKB51" s="41"/>
      <c r="AKC51" s="41"/>
      <c r="AKD51" s="41"/>
      <c r="AKE51" s="41"/>
      <c r="AKF51" s="41"/>
      <c r="AKG51" s="41"/>
      <c r="AKH51" s="41"/>
      <c r="AKI51" s="41"/>
      <c r="AKJ51" s="41"/>
      <c r="AKK51" s="41"/>
      <c r="AKL51" s="41"/>
      <c r="AKM51" s="41"/>
      <c r="AKN51" s="41"/>
      <c r="AKO51" s="41"/>
      <c r="AKP51" s="41"/>
      <c r="AKQ51" s="41"/>
      <c r="AKR51" s="41"/>
      <c r="AKS51" s="41"/>
      <c r="AKT51" s="41"/>
      <c r="AKU51" s="41"/>
      <c r="AKV51" s="41"/>
      <c r="AKW51" s="41"/>
      <c r="AKX51" s="41"/>
      <c r="AKY51" s="41"/>
      <c r="AKZ51" s="41"/>
      <c r="ALA51" s="41"/>
      <c r="ALB51" s="41"/>
      <c r="ALC51" s="41"/>
      <c r="ALD51" s="41"/>
      <c r="ALE51" s="41"/>
      <c r="ALF51" s="41"/>
      <c r="ALG51" s="41"/>
      <c r="ALH51" s="41"/>
      <c r="ALI51" s="41"/>
      <c r="ALJ51" s="41"/>
      <c r="ALK51" s="41"/>
      <c r="ALL51" s="41"/>
      <c r="ALM51" s="41"/>
      <c r="ALN51" s="41"/>
      <c r="ALO51" s="41"/>
      <c r="ALP51" s="41"/>
      <c r="ALQ51" s="41"/>
      <c r="ALR51" s="41"/>
      <c r="ALS51" s="41"/>
      <c r="ALT51" s="41"/>
      <c r="ALU51" s="41"/>
      <c r="ALV51" s="41"/>
      <c r="ALW51" s="41"/>
      <c r="ALX51" s="41"/>
      <c r="ALY51" s="41"/>
      <c r="ALZ51" s="41"/>
      <c r="AMA51" s="41"/>
      <c r="AMB51" s="41"/>
      <c r="AMC51" s="41"/>
      <c r="AMD51" s="41"/>
      <c r="AME51" s="41"/>
      <c r="AMF51" s="41"/>
      <c r="AMG51" s="41"/>
      <c r="AMH51" s="41"/>
      <c r="AMI51" s="41"/>
      <c r="AMJ51" s="41"/>
      <c r="AMK51" s="41"/>
      <c r="AML51" s="41"/>
      <c r="AMM51" s="41"/>
      <c r="AMN51" s="41"/>
      <c r="AMO51" s="41"/>
      <c r="AMP51" s="41"/>
      <c r="AMQ51" s="41"/>
      <c r="AMR51" s="41"/>
      <c r="AMS51" s="41"/>
      <c r="AMT51" s="41"/>
      <c r="AMU51" s="41"/>
      <c r="AMV51" s="41"/>
      <c r="AMW51" s="41"/>
      <c r="AMX51" s="41"/>
      <c r="AMY51" s="41"/>
      <c r="AMZ51" s="41"/>
      <c r="ANA51" s="41"/>
      <c r="ANB51" s="41"/>
      <c r="ANC51" s="41"/>
      <c r="AND51" s="41"/>
      <c r="ANE51" s="41"/>
      <c r="ANF51" s="41"/>
      <c r="ANG51" s="41"/>
      <c r="ANH51" s="41"/>
      <c r="ANI51" s="41"/>
      <c r="ANJ51" s="41"/>
      <c r="ANK51" s="41"/>
    </row>
    <row r="52" s="44" customFormat="true" ht="15" hidden="false" customHeight="false" outlineLevel="0" collapsed="false">
      <c r="A52" s="42" t="s">
        <v>74</v>
      </c>
      <c r="B52" s="57" t="n">
        <v>1500000</v>
      </c>
      <c r="C52" s="58" t="n">
        <v>12000000</v>
      </c>
      <c r="D52" s="58" t="n">
        <v>6000000</v>
      </c>
      <c r="E52" s="56" t="n">
        <v>18000000</v>
      </c>
      <c r="F52" s="43" t="n">
        <v>0</v>
      </c>
      <c r="G52" s="44" t="n">
        <v>0</v>
      </c>
      <c r="H52" s="46" t="n">
        <v>0</v>
      </c>
      <c r="I52" s="47" t="n">
        <v>0.45</v>
      </c>
      <c r="J52" s="48" t="n">
        <v>0</v>
      </c>
      <c r="K52" s="43"/>
      <c r="M52" s="46" t="n">
        <v>0</v>
      </c>
      <c r="N52" s="43" t="n">
        <v>0</v>
      </c>
      <c r="O52" s="46" t="n">
        <v>0</v>
      </c>
      <c r="P52" s="49" t="n">
        <v>0</v>
      </c>
      <c r="Q52" s="50" t="n">
        <v>0</v>
      </c>
      <c r="R52" s="44" t="n">
        <v>0</v>
      </c>
      <c r="S52" s="44" t="n">
        <v>0</v>
      </c>
      <c r="T52" s="44" t="n">
        <v>0</v>
      </c>
      <c r="U52" s="44" t="n">
        <v>0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</v>
      </c>
      <c r="AA52" s="44" t="n">
        <v>0</v>
      </c>
      <c r="AB52" s="44" t="n">
        <v>0</v>
      </c>
      <c r="AC52" s="44" t="n">
        <v>0</v>
      </c>
      <c r="AD52" s="44" t="n">
        <v>0</v>
      </c>
      <c r="AE52" s="44" t="n">
        <v>0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6" t="n">
        <v>0</v>
      </c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41"/>
      <c r="JB52" s="41"/>
      <c r="JC52" s="41"/>
      <c r="JD52" s="41"/>
      <c r="JE52" s="41"/>
      <c r="JF52" s="41"/>
      <c r="JG52" s="41"/>
      <c r="JH52" s="41"/>
      <c r="JI52" s="41"/>
      <c r="JJ52" s="41"/>
      <c r="JK52" s="41"/>
      <c r="JL52" s="41"/>
      <c r="JM52" s="41"/>
      <c r="JN52" s="41"/>
      <c r="JO52" s="41"/>
      <c r="JP52" s="41"/>
      <c r="JQ52" s="41"/>
      <c r="JR52" s="41"/>
      <c r="JS52" s="41"/>
      <c r="JT52" s="41"/>
      <c r="JU52" s="41"/>
      <c r="JV52" s="41"/>
      <c r="JW52" s="41"/>
      <c r="JX52" s="41"/>
      <c r="JY52" s="41"/>
      <c r="JZ52" s="41"/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41"/>
      <c r="KZ52" s="41"/>
      <c r="LA52" s="41"/>
      <c r="LB52" s="41"/>
      <c r="LC52" s="41"/>
      <c r="LD52" s="41"/>
      <c r="LE52" s="41"/>
      <c r="LF52" s="41"/>
      <c r="LG52" s="41"/>
      <c r="LH52" s="41"/>
      <c r="LI52" s="41"/>
      <c r="LJ52" s="41"/>
      <c r="LK52" s="41"/>
      <c r="LL52" s="41"/>
      <c r="LM52" s="41"/>
      <c r="LN52" s="41"/>
      <c r="LO52" s="41"/>
      <c r="LP52" s="41"/>
      <c r="LQ52" s="41"/>
      <c r="LR52" s="41"/>
      <c r="LS52" s="41"/>
      <c r="LT52" s="41"/>
      <c r="LU52" s="41"/>
      <c r="LV52" s="41"/>
      <c r="LW52" s="41"/>
      <c r="LX52" s="41"/>
      <c r="LY52" s="41"/>
      <c r="LZ52" s="41"/>
      <c r="MA52" s="41"/>
      <c r="MB52" s="41"/>
      <c r="MC52" s="41"/>
      <c r="MD52" s="41"/>
      <c r="ME52" s="41"/>
      <c r="MF52" s="41"/>
      <c r="MG52" s="41"/>
      <c r="MH52" s="41"/>
      <c r="MI52" s="41"/>
      <c r="MJ52" s="41"/>
      <c r="MK52" s="41"/>
      <c r="ML52" s="41"/>
      <c r="MM52" s="41"/>
      <c r="MN52" s="41"/>
      <c r="MO52" s="41"/>
      <c r="MP52" s="41"/>
      <c r="MQ52" s="41"/>
      <c r="MR52" s="41"/>
      <c r="MS52" s="41"/>
      <c r="MT52" s="41"/>
      <c r="MU52" s="41"/>
      <c r="MV52" s="41"/>
      <c r="MW52" s="41"/>
      <c r="MX52" s="41"/>
      <c r="MY52" s="41"/>
      <c r="MZ52" s="41"/>
      <c r="NA52" s="41"/>
      <c r="NB52" s="41"/>
      <c r="NC52" s="41"/>
      <c r="ND52" s="41"/>
      <c r="NE52" s="41"/>
      <c r="NF52" s="41"/>
      <c r="NG52" s="41"/>
      <c r="NH52" s="41"/>
      <c r="NI52" s="41"/>
      <c r="NJ52" s="41"/>
      <c r="NK52" s="41"/>
      <c r="NL52" s="41"/>
      <c r="NM52" s="41"/>
      <c r="NN52" s="41"/>
      <c r="NO52" s="41"/>
      <c r="NP52" s="41"/>
      <c r="NQ52" s="41"/>
      <c r="NR52" s="41"/>
      <c r="NS52" s="41"/>
      <c r="NT52" s="41"/>
      <c r="NU52" s="41"/>
      <c r="NV52" s="41"/>
      <c r="NW52" s="41"/>
      <c r="NX52" s="41"/>
      <c r="NY52" s="41"/>
      <c r="NZ52" s="41"/>
      <c r="OA52" s="41"/>
      <c r="OB52" s="41"/>
      <c r="OC52" s="41"/>
      <c r="OD52" s="41"/>
      <c r="OE52" s="41"/>
      <c r="OF52" s="41"/>
      <c r="OG52" s="41"/>
      <c r="OH52" s="41"/>
      <c r="OI52" s="41"/>
      <c r="OJ52" s="41"/>
      <c r="OK52" s="41"/>
      <c r="OL52" s="41"/>
      <c r="OM52" s="41"/>
      <c r="ON52" s="41"/>
      <c r="OO52" s="41"/>
      <c r="OP52" s="41"/>
      <c r="OQ52" s="41"/>
      <c r="OR52" s="41"/>
      <c r="OS52" s="41"/>
      <c r="OT52" s="41"/>
      <c r="OU52" s="41"/>
      <c r="OV52" s="41"/>
      <c r="OW52" s="41"/>
      <c r="OX52" s="41"/>
      <c r="OY52" s="41"/>
      <c r="OZ52" s="41"/>
      <c r="PA52" s="41"/>
      <c r="PB52" s="41"/>
      <c r="PC52" s="41"/>
      <c r="PD52" s="41"/>
      <c r="PE52" s="41"/>
      <c r="PF52" s="41"/>
      <c r="PG52" s="41"/>
      <c r="PH52" s="41"/>
      <c r="PI52" s="41"/>
      <c r="PJ52" s="41"/>
      <c r="PK52" s="41"/>
      <c r="PL52" s="41"/>
      <c r="PM52" s="41"/>
      <c r="PN52" s="41"/>
      <c r="PO52" s="41"/>
      <c r="PP52" s="41"/>
      <c r="PQ52" s="41"/>
      <c r="PR52" s="41"/>
      <c r="PS52" s="41"/>
      <c r="PT52" s="41"/>
      <c r="PU52" s="41"/>
      <c r="PV52" s="41"/>
      <c r="PW52" s="41"/>
      <c r="PX52" s="41"/>
      <c r="PY52" s="41"/>
      <c r="PZ52" s="41"/>
      <c r="QA52" s="41"/>
      <c r="QB52" s="41"/>
      <c r="QC52" s="41"/>
      <c r="QD52" s="41"/>
      <c r="QE52" s="41"/>
      <c r="QF52" s="41"/>
      <c r="QG52" s="41"/>
      <c r="QH52" s="41"/>
      <c r="QI52" s="41"/>
      <c r="QJ52" s="41"/>
      <c r="QK52" s="41"/>
      <c r="QL52" s="41"/>
      <c r="QM52" s="41"/>
      <c r="QN52" s="41"/>
      <c r="QO52" s="41"/>
      <c r="QP52" s="41"/>
      <c r="QQ52" s="41"/>
      <c r="QR52" s="41"/>
      <c r="QS52" s="41"/>
      <c r="QT52" s="41"/>
      <c r="QU52" s="41"/>
      <c r="QV52" s="41"/>
      <c r="QW52" s="41"/>
      <c r="QX52" s="41"/>
      <c r="QY52" s="41"/>
      <c r="QZ52" s="41"/>
      <c r="RA52" s="41"/>
      <c r="RB52" s="41"/>
      <c r="RC52" s="41"/>
      <c r="RD52" s="41"/>
      <c r="RE52" s="41"/>
      <c r="RF52" s="41"/>
      <c r="RG52" s="41"/>
      <c r="RH52" s="41"/>
      <c r="RI52" s="41"/>
      <c r="RJ52" s="41"/>
      <c r="RK52" s="41"/>
      <c r="RL52" s="41"/>
      <c r="RM52" s="41"/>
      <c r="RN52" s="41"/>
      <c r="RO52" s="41"/>
      <c r="RP52" s="41"/>
      <c r="RQ52" s="41"/>
      <c r="RR52" s="41"/>
      <c r="RS52" s="41"/>
      <c r="RT52" s="41"/>
      <c r="RU52" s="41"/>
      <c r="RV52" s="41"/>
      <c r="RW52" s="41"/>
      <c r="RX52" s="41"/>
      <c r="RY52" s="41"/>
      <c r="RZ52" s="41"/>
      <c r="SA52" s="41"/>
      <c r="SB52" s="41"/>
      <c r="SC52" s="41"/>
      <c r="SD52" s="41"/>
      <c r="SE52" s="41"/>
      <c r="SF52" s="41"/>
      <c r="SG52" s="41"/>
      <c r="SH52" s="41"/>
      <c r="SI52" s="41"/>
      <c r="SJ52" s="41"/>
      <c r="SK52" s="41"/>
      <c r="SL52" s="41"/>
      <c r="SM52" s="41"/>
      <c r="SN52" s="41"/>
      <c r="SO52" s="41"/>
      <c r="SP52" s="41"/>
      <c r="SQ52" s="41"/>
      <c r="SR52" s="41"/>
      <c r="SS52" s="41"/>
      <c r="ST52" s="41"/>
      <c r="SU52" s="41"/>
      <c r="SV52" s="41"/>
      <c r="SW52" s="41"/>
      <c r="SX52" s="41"/>
      <c r="SY52" s="41"/>
      <c r="SZ52" s="41"/>
      <c r="TA52" s="41"/>
      <c r="TB52" s="41"/>
      <c r="TC52" s="41"/>
      <c r="TD52" s="41"/>
      <c r="TE52" s="41"/>
      <c r="TF52" s="41"/>
      <c r="TG52" s="41"/>
      <c r="TH52" s="41"/>
      <c r="TI52" s="41"/>
      <c r="TJ52" s="41"/>
      <c r="TK52" s="41"/>
      <c r="TL52" s="41"/>
      <c r="TM52" s="41"/>
      <c r="TN52" s="41"/>
      <c r="TO52" s="41"/>
      <c r="TP52" s="41"/>
      <c r="TQ52" s="41"/>
      <c r="TR52" s="41"/>
      <c r="TS52" s="41"/>
      <c r="TT52" s="41"/>
      <c r="TU52" s="41"/>
      <c r="TV52" s="41"/>
      <c r="TW52" s="41"/>
      <c r="TX52" s="41"/>
      <c r="TY52" s="41"/>
      <c r="TZ52" s="41"/>
      <c r="UA52" s="41"/>
      <c r="UB52" s="41"/>
      <c r="UC52" s="41"/>
      <c r="UD52" s="41"/>
      <c r="UE52" s="41"/>
      <c r="UF52" s="41"/>
      <c r="UG52" s="41"/>
      <c r="UH52" s="41"/>
      <c r="UI52" s="41"/>
      <c r="UJ52" s="41"/>
      <c r="UK52" s="41"/>
      <c r="UL52" s="41"/>
      <c r="UM52" s="41"/>
      <c r="UN52" s="41"/>
      <c r="UO52" s="41"/>
      <c r="UP52" s="41"/>
      <c r="UQ52" s="41"/>
      <c r="UR52" s="41"/>
      <c r="US52" s="41"/>
      <c r="UT52" s="41"/>
      <c r="UU52" s="41"/>
      <c r="UV52" s="41"/>
      <c r="UW52" s="41"/>
      <c r="UX52" s="41"/>
      <c r="UY52" s="41"/>
      <c r="UZ52" s="41"/>
      <c r="VA52" s="41"/>
      <c r="VB52" s="41"/>
      <c r="VC52" s="41"/>
      <c r="VD52" s="41"/>
      <c r="VE52" s="41"/>
      <c r="VF52" s="41"/>
      <c r="VG52" s="41"/>
      <c r="VH52" s="41"/>
      <c r="VI52" s="41"/>
      <c r="VJ52" s="41"/>
      <c r="VK52" s="41"/>
      <c r="VL52" s="41"/>
      <c r="VM52" s="41"/>
      <c r="VN52" s="41"/>
      <c r="VO52" s="41"/>
      <c r="VP52" s="41"/>
      <c r="VQ52" s="41"/>
      <c r="VR52" s="41"/>
      <c r="VS52" s="41"/>
      <c r="VT52" s="41"/>
      <c r="VU52" s="41"/>
      <c r="VV52" s="41"/>
      <c r="VW52" s="41"/>
      <c r="VX52" s="41"/>
      <c r="VY52" s="41"/>
      <c r="VZ52" s="41"/>
      <c r="WA52" s="41"/>
      <c r="WB52" s="41"/>
      <c r="WC52" s="41"/>
      <c r="WD52" s="41"/>
      <c r="WE52" s="41"/>
      <c r="WF52" s="41"/>
      <c r="WG52" s="41"/>
      <c r="WH52" s="41"/>
      <c r="WI52" s="41"/>
      <c r="WJ52" s="41"/>
      <c r="WK52" s="41"/>
      <c r="WL52" s="41"/>
      <c r="WM52" s="41"/>
      <c r="WN52" s="41"/>
      <c r="WO52" s="41"/>
      <c r="WP52" s="41"/>
      <c r="WQ52" s="41"/>
      <c r="WR52" s="41"/>
      <c r="WS52" s="41"/>
      <c r="WT52" s="41"/>
      <c r="WU52" s="41"/>
      <c r="WV52" s="41"/>
      <c r="WW52" s="41"/>
      <c r="WX52" s="41"/>
      <c r="WY52" s="41"/>
      <c r="WZ52" s="41"/>
      <c r="XA52" s="41"/>
      <c r="XB52" s="41"/>
      <c r="XC52" s="41"/>
      <c r="XD52" s="41"/>
      <c r="XE52" s="41"/>
      <c r="XF52" s="41"/>
      <c r="XG52" s="41"/>
      <c r="XH52" s="41"/>
      <c r="XI52" s="41"/>
      <c r="XJ52" s="41"/>
      <c r="XK52" s="41"/>
      <c r="XL52" s="41"/>
      <c r="XM52" s="41"/>
      <c r="XN52" s="41"/>
      <c r="XO52" s="41"/>
      <c r="XP52" s="41"/>
      <c r="XQ52" s="41"/>
      <c r="XR52" s="41"/>
      <c r="XS52" s="41"/>
      <c r="XT52" s="41"/>
      <c r="XU52" s="41"/>
      <c r="XV52" s="41"/>
      <c r="XW52" s="41"/>
      <c r="XX52" s="41"/>
      <c r="XY52" s="41"/>
      <c r="XZ52" s="41"/>
      <c r="YA52" s="41"/>
      <c r="YB52" s="41"/>
      <c r="YC52" s="41"/>
      <c r="YD52" s="41"/>
      <c r="YE52" s="41"/>
      <c r="YF52" s="41"/>
      <c r="YG52" s="41"/>
      <c r="YH52" s="41"/>
      <c r="YI52" s="41"/>
      <c r="YJ52" s="41"/>
      <c r="YK52" s="41"/>
      <c r="YL52" s="41"/>
      <c r="YM52" s="41"/>
      <c r="YN52" s="41"/>
      <c r="YO52" s="41"/>
      <c r="YP52" s="41"/>
      <c r="YQ52" s="41"/>
      <c r="YR52" s="41"/>
      <c r="YS52" s="41"/>
      <c r="YT52" s="41"/>
      <c r="YU52" s="41"/>
      <c r="YV52" s="41"/>
      <c r="YW52" s="41"/>
      <c r="YX52" s="41"/>
      <c r="YY52" s="41"/>
      <c r="YZ52" s="41"/>
      <c r="ZA52" s="41"/>
      <c r="ZB52" s="41"/>
      <c r="ZC52" s="41"/>
      <c r="ZD52" s="41"/>
      <c r="ZE52" s="41"/>
      <c r="ZF52" s="41"/>
      <c r="ZG52" s="41"/>
      <c r="ZH52" s="41"/>
      <c r="ZI52" s="41"/>
      <c r="ZJ52" s="41"/>
      <c r="ZK52" s="41"/>
      <c r="ZL52" s="41"/>
      <c r="ZM52" s="41"/>
      <c r="ZN52" s="41"/>
      <c r="ZO52" s="41"/>
      <c r="ZP52" s="41"/>
      <c r="ZQ52" s="41"/>
      <c r="ZR52" s="41"/>
      <c r="ZS52" s="41"/>
      <c r="ZT52" s="41"/>
      <c r="ZU52" s="41"/>
      <c r="ZV52" s="41"/>
      <c r="ZW52" s="41"/>
      <c r="ZX52" s="41"/>
      <c r="ZY52" s="41"/>
      <c r="ZZ52" s="41"/>
      <c r="AAA52" s="41"/>
      <c r="AAB52" s="41"/>
      <c r="AAC52" s="41"/>
      <c r="AAD52" s="41"/>
      <c r="AAE52" s="41"/>
      <c r="AAF52" s="41"/>
      <c r="AAG52" s="41"/>
      <c r="AAH52" s="41"/>
      <c r="AAI52" s="41"/>
      <c r="AAJ52" s="41"/>
      <c r="AAK52" s="41"/>
      <c r="AAL52" s="41"/>
      <c r="AAM52" s="41"/>
      <c r="AAN52" s="41"/>
      <c r="AAO52" s="41"/>
      <c r="AAP52" s="41"/>
      <c r="AAQ52" s="41"/>
      <c r="AAR52" s="41"/>
      <c r="AAS52" s="41"/>
      <c r="AAT52" s="41"/>
      <c r="AAU52" s="41"/>
      <c r="AAV52" s="41"/>
      <c r="AAW52" s="41"/>
      <c r="AAX52" s="41"/>
      <c r="AAY52" s="41"/>
      <c r="AAZ52" s="41"/>
      <c r="ABA52" s="41"/>
      <c r="ABB52" s="41"/>
      <c r="ABC52" s="41"/>
      <c r="ABD52" s="41"/>
      <c r="ABE52" s="41"/>
      <c r="ABF52" s="41"/>
      <c r="ABG52" s="41"/>
      <c r="ABH52" s="41"/>
      <c r="ABI52" s="41"/>
      <c r="ABJ52" s="41"/>
      <c r="ABK52" s="41"/>
      <c r="ABL52" s="41"/>
      <c r="ABM52" s="41"/>
      <c r="ABN52" s="41"/>
      <c r="ABO52" s="41"/>
      <c r="ABP52" s="41"/>
      <c r="ABQ52" s="41"/>
      <c r="ABR52" s="41"/>
      <c r="ABS52" s="41"/>
      <c r="ABT52" s="41"/>
      <c r="ABU52" s="41"/>
      <c r="ABV52" s="41"/>
      <c r="ABW52" s="41"/>
      <c r="ABX52" s="41"/>
      <c r="ABY52" s="41"/>
      <c r="ABZ52" s="41"/>
      <c r="ACA52" s="41"/>
      <c r="ACB52" s="41"/>
      <c r="ACC52" s="41"/>
      <c r="ACD52" s="41"/>
      <c r="ACE52" s="41"/>
      <c r="ACF52" s="41"/>
      <c r="ACG52" s="41"/>
      <c r="ACH52" s="41"/>
      <c r="ACI52" s="41"/>
      <c r="ACJ52" s="41"/>
      <c r="ACK52" s="41"/>
      <c r="ACL52" s="41"/>
      <c r="ACM52" s="41"/>
      <c r="ACN52" s="41"/>
      <c r="ACO52" s="41"/>
      <c r="ACP52" s="41"/>
      <c r="ACQ52" s="41"/>
      <c r="ACR52" s="41"/>
      <c r="ACS52" s="41"/>
      <c r="ACT52" s="41"/>
      <c r="ACU52" s="41"/>
      <c r="ACV52" s="41"/>
      <c r="ACW52" s="41"/>
      <c r="ACX52" s="41"/>
      <c r="ACY52" s="41"/>
      <c r="ACZ52" s="41"/>
      <c r="ADA52" s="41"/>
      <c r="ADB52" s="41"/>
      <c r="ADC52" s="41"/>
      <c r="ADD52" s="41"/>
      <c r="ADE52" s="41"/>
      <c r="ADF52" s="41"/>
      <c r="ADG52" s="41"/>
      <c r="ADH52" s="41"/>
      <c r="ADI52" s="41"/>
      <c r="ADJ52" s="41"/>
      <c r="ADK52" s="41"/>
      <c r="ADL52" s="41"/>
      <c r="ADM52" s="41"/>
      <c r="ADN52" s="41"/>
      <c r="ADO52" s="41"/>
      <c r="ADP52" s="41"/>
      <c r="ADQ52" s="41"/>
      <c r="ADR52" s="41"/>
      <c r="ADS52" s="41"/>
      <c r="ADT52" s="41"/>
      <c r="ADU52" s="41"/>
      <c r="ADV52" s="41"/>
      <c r="ADW52" s="41"/>
      <c r="ADX52" s="41"/>
      <c r="ADY52" s="41"/>
      <c r="ADZ52" s="41"/>
      <c r="AEA52" s="41"/>
      <c r="AEB52" s="41"/>
      <c r="AEC52" s="41"/>
      <c r="AED52" s="41"/>
      <c r="AEE52" s="41"/>
      <c r="AEF52" s="41"/>
      <c r="AEG52" s="41"/>
      <c r="AEH52" s="41"/>
      <c r="AEI52" s="41"/>
      <c r="AEJ52" s="41"/>
      <c r="AEK52" s="41"/>
      <c r="AEL52" s="41"/>
      <c r="AEM52" s="41"/>
      <c r="AEN52" s="41"/>
      <c r="AEO52" s="41"/>
      <c r="AEP52" s="41"/>
      <c r="AEQ52" s="41"/>
      <c r="AER52" s="41"/>
      <c r="AES52" s="41"/>
      <c r="AET52" s="41"/>
      <c r="AEU52" s="41"/>
      <c r="AEV52" s="41"/>
      <c r="AEW52" s="41"/>
      <c r="AEX52" s="41"/>
      <c r="AEY52" s="41"/>
      <c r="AEZ52" s="41"/>
      <c r="AFA52" s="41"/>
      <c r="AFB52" s="41"/>
      <c r="AFC52" s="41"/>
      <c r="AFD52" s="41"/>
      <c r="AFE52" s="41"/>
      <c r="AFF52" s="41"/>
      <c r="AFG52" s="41"/>
      <c r="AFH52" s="41"/>
      <c r="AFI52" s="41"/>
      <c r="AFJ52" s="41"/>
      <c r="AFK52" s="41"/>
      <c r="AFL52" s="41"/>
      <c r="AFM52" s="41"/>
      <c r="AFN52" s="41"/>
      <c r="AFO52" s="41"/>
      <c r="AFP52" s="41"/>
      <c r="AFQ52" s="41"/>
      <c r="AFR52" s="41"/>
      <c r="AFS52" s="41"/>
      <c r="AFT52" s="41"/>
      <c r="AFU52" s="41"/>
      <c r="AFV52" s="41"/>
      <c r="AFW52" s="41"/>
      <c r="AFX52" s="41"/>
      <c r="AFY52" s="41"/>
      <c r="AFZ52" s="41"/>
      <c r="AGA52" s="41"/>
      <c r="AGB52" s="41"/>
      <c r="AGC52" s="41"/>
      <c r="AGD52" s="41"/>
      <c r="AGE52" s="41"/>
      <c r="AGF52" s="41"/>
      <c r="AGG52" s="41"/>
      <c r="AGH52" s="41"/>
      <c r="AGI52" s="41"/>
      <c r="AGJ52" s="41"/>
      <c r="AGK52" s="41"/>
      <c r="AGL52" s="41"/>
      <c r="AGM52" s="41"/>
      <c r="AGN52" s="41"/>
      <c r="AGO52" s="41"/>
      <c r="AGP52" s="41"/>
      <c r="AGQ52" s="41"/>
      <c r="AGR52" s="41"/>
      <c r="AGS52" s="41"/>
      <c r="AGT52" s="41"/>
      <c r="AGU52" s="41"/>
      <c r="AGV52" s="41"/>
      <c r="AGW52" s="41"/>
      <c r="AGX52" s="41"/>
      <c r="AGY52" s="41"/>
      <c r="AGZ52" s="41"/>
      <c r="AHA52" s="41"/>
      <c r="AHB52" s="41"/>
      <c r="AHC52" s="41"/>
      <c r="AHD52" s="41"/>
      <c r="AHE52" s="41"/>
      <c r="AHF52" s="41"/>
      <c r="AHG52" s="41"/>
      <c r="AHH52" s="41"/>
      <c r="AHI52" s="41"/>
      <c r="AHJ52" s="41"/>
      <c r="AHK52" s="41"/>
      <c r="AHL52" s="41"/>
      <c r="AHM52" s="41"/>
      <c r="AHN52" s="41"/>
      <c r="AHO52" s="41"/>
      <c r="AHP52" s="41"/>
      <c r="AHQ52" s="41"/>
      <c r="AHR52" s="41"/>
      <c r="AHS52" s="41"/>
      <c r="AHT52" s="41"/>
      <c r="AHU52" s="41"/>
      <c r="AHV52" s="41"/>
      <c r="AHW52" s="41"/>
      <c r="AHX52" s="41"/>
      <c r="AHY52" s="41"/>
      <c r="AHZ52" s="41"/>
      <c r="AIA52" s="41"/>
      <c r="AIB52" s="41"/>
      <c r="AIC52" s="41"/>
      <c r="AID52" s="41"/>
      <c r="AIE52" s="41"/>
      <c r="AIF52" s="41"/>
      <c r="AIG52" s="41"/>
      <c r="AIH52" s="41"/>
      <c r="AII52" s="41"/>
      <c r="AIJ52" s="41"/>
      <c r="AIK52" s="41"/>
      <c r="AIL52" s="41"/>
      <c r="AIM52" s="41"/>
      <c r="AIN52" s="41"/>
      <c r="AIO52" s="41"/>
      <c r="AIP52" s="41"/>
      <c r="AIQ52" s="41"/>
      <c r="AIR52" s="41"/>
      <c r="AIS52" s="41"/>
      <c r="AIT52" s="41"/>
      <c r="AIU52" s="41"/>
      <c r="AIV52" s="41"/>
      <c r="AIW52" s="41"/>
      <c r="AIX52" s="41"/>
      <c r="AIY52" s="41"/>
      <c r="AIZ52" s="41"/>
      <c r="AJA52" s="41"/>
      <c r="AJB52" s="41"/>
      <c r="AJC52" s="41"/>
      <c r="AJD52" s="41"/>
      <c r="AJE52" s="41"/>
      <c r="AJF52" s="41"/>
      <c r="AJG52" s="41"/>
      <c r="AJH52" s="41"/>
      <c r="AJI52" s="41"/>
      <c r="AJJ52" s="41"/>
      <c r="AJK52" s="41"/>
      <c r="AJL52" s="41"/>
      <c r="AJM52" s="41"/>
      <c r="AJN52" s="41"/>
      <c r="AJO52" s="41"/>
      <c r="AJP52" s="41"/>
      <c r="AJQ52" s="41"/>
      <c r="AJR52" s="41"/>
      <c r="AJS52" s="41"/>
      <c r="AJT52" s="41"/>
      <c r="AJU52" s="41"/>
      <c r="AJV52" s="41"/>
      <c r="AJW52" s="41"/>
      <c r="AJX52" s="41"/>
      <c r="AJY52" s="41"/>
      <c r="AJZ52" s="41"/>
      <c r="AKA52" s="41"/>
      <c r="AKB52" s="41"/>
      <c r="AKC52" s="41"/>
      <c r="AKD52" s="41"/>
      <c r="AKE52" s="41"/>
      <c r="AKF52" s="41"/>
      <c r="AKG52" s="41"/>
      <c r="AKH52" s="41"/>
      <c r="AKI52" s="41"/>
      <c r="AKJ52" s="41"/>
      <c r="AKK52" s="41"/>
      <c r="AKL52" s="41"/>
      <c r="AKM52" s="41"/>
      <c r="AKN52" s="41"/>
      <c r="AKO52" s="41"/>
      <c r="AKP52" s="41"/>
      <c r="AKQ52" s="41"/>
      <c r="AKR52" s="41"/>
      <c r="AKS52" s="41"/>
      <c r="AKT52" s="41"/>
      <c r="AKU52" s="41"/>
      <c r="AKV52" s="41"/>
      <c r="AKW52" s="41"/>
      <c r="AKX52" s="41"/>
      <c r="AKY52" s="41"/>
      <c r="AKZ52" s="41"/>
      <c r="ALA52" s="41"/>
      <c r="ALB52" s="41"/>
      <c r="ALC52" s="41"/>
      <c r="ALD52" s="41"/>
      <c r="ALE52" s="41"/>
      <c r="ALF52" s="41"/>
      <c r="ALG52" s="41"/>
      <c r="ALH52" s="41"/>
      <c r="ALI52" s="41"/>
      <c r="ALJ52" s="41"/>
      <c r="ALK52" s="41"/>
      <c r="ALL52" s="41"/>
      <c r="ALM52" s="41"/>
      <c r="ALN52" s="41"/>
      <c r="ALO52" s="41"/>
      <c r="ALP52" s="41"/>
      <c r="ALQ52" s="41"/>
      <c r="ALR52" s="41"/>
      <c r="ALS52" s="41"/>
      <c r="ALT52" s="41"/>
      <c r="ALU52" s="41"/>
      <c r="ALV52" s="41"/>
      <c r="ALW52" s="41"/>
      <c r="ALX52" s="41"/>
      <c r="ALY52" s="41"/>
      <c r="ALZ52" s="41"/>
      <c r="AMA52" s="41"/>
      <c r="AMB52" s="41"/>
      <c r="AMC52" s="41"/>
      <c r="AMD52" s="41"/>
      <c r="AME52" s="41"/>
      <c r="AMF52" s="41"/>
      <c r="AMG52" s="41"/>
      <c r="AMH52" s="41"/>
      <c r="AMI52" s="41"/>
      <c r="AMJ52" s="41"/>
      <c r="AMK52" s="41"/>
      <c r="AML52" s="41"/>
      <c r="AMM52" s="41"/>
      <c r="AMN52" s="41"/>
      <c r="AMO52" s="41"/>
      <c r="AMP52" s="41"/>
      <c r="AMQ52" s="41"/>
      <c r="AMR52" s="41"/>
      <c r="AMS52" s="41"/>
      <c r="AMT52" s="41"/>
      <c r="AMU52" s="41"/>
      <c r="AMV52" s="41"/>
      <c r="AMW52" s="41"/>
      <c r="AMX52" s="41"/>
      <c r="AMY52" s="41"/>
      <c r="AMZ52" s="41"/>
      <c r="ANA52" s="41"/>
      <c r="ANB52" s="41"/>
      <c r="ANC52" s="41"/>
      <c r="AND52" s="41"/>
      <c r="ANE52" s="41"/>
      <c r="ANF52" s="41"/>
      <c r="ANG52" s="41"/>
      <c r="ANH52" s="41"/>
      <c r="ANI52" s="41"/>
      <c r="ANJ52" s="41"/>
      <c r="ANK52" s="41"/>
    </row>
    <row r="53" s="44" customFormat="true" ht="15" hidden="false" customHeight="false" outlineLevel="0" collapsed="false">
      <c r="A53" s="42" t="s">
        <v>75</v>
      </c>
      <c r="B53" s="43" t="n">
        <v>0.194077</v>
      </c>
      <c r="C53" s="44" t="n">
        <v>0.543797</v>
      </c>
      <c r="D53" s="44" t="n">
        <v>90.400482</v>
      </c>
      <c r="E53" s="45" t="n">
        <v>0</v>
      </c>
      <c r="F53" s="43" t="n">
        <v>0</v>
      </c>
      <c r="G53" s="44" t="n">
        <v>64</v>
      </c>
      <c r="H53" s="46" t="n">
        <v>0</v>
      </c>
      <c r="I53" s="47" t="n">
        <v>250</v>
      </c>
      <c r="J53" s="48" t="n">
        <v>0</v>
      </c>
      <c r="K53" s="43"/>
      <c r="M53" s="46" t="n">
        <v>0.75</v>
      </c>
      <c r="N53" s="43" t="n">
        <v>4.8</v>
      </c>
      <c r="O53" s="46" t="n">
        <v>76.2</v>
      </c>
      <c r="P53" s="49" t="n">
        <v>2274.62093105431</v>
      </c>
      <c r="Q53" s="50" t="n">
        <v>111474.491532601</v>
      </c>
      <c r="R53" s="44" t="n">
        <v>184000</v>
      </c>
      <c r="S53" s="44" t="n">
        <v>188970</v>
      </c>
      <c r="T53" s="44" t="n">
        <v>195960</v>
      </c>
      <c r="U53" s="44" t="n">
        <v>210950</v>
      </c>
      <c r="V53" s="44" t="n">
        <v>205900</v>
      </c>
      <c r="W53" s="44" t="n">
        <v>197850</v>
      </c>
      <c r="X53" s="44" t="n">
        <v>237860</v>
      </c>
      <c r="Y53" s="44" t="n">
        <v>221830</v>
      </c>
      <c r="Z53" s="44" t="n">
        <v>248720</v>
      </c>
      <c r="AA53" s="44" t="n">
        <v>206510</v>
      </c>
      <c r="AB53" s="44" t="n">
        <v>263350</v>
      </c>
      <c r="AC53" s="44" t="n">
        <v>289200</v>
      </c>
      <c r="AD53" s="44" t="n">
        <v>300610</v>
      </c>
      <c r="AE53" s="44" t="n">
        <v>317350</v>
      </c>
      <c r="AF53" s="44" t="n">
        <v>294830</v>
      </c>
      <c r="AG53" s="44" t="n">
        <v>251880</v>
      </c>
      <c r="AH53" s="44" t="n">
        <v>252040</v>
      </c>
      <c r="AI53" s="44" t="n">
        <v>229800</v>
      </c>
      <c r="AJ53" s="44" t="n">
        <v>223630</v>
      </c>
      <c r="AK53" s="44" t="n">
        <v>276260</v>
      </c>
      <c r="AL53" s="44" t="n">
        <v>257510</v>
      </c>
      <c r="AM53" s="44" t="n">
        <v>249220</v>
      </c>
      <c r="AN53" s="46" t="n">
        <v>228660</v>
      </c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  <c r="IY53" s="41"/>
      <c r="IZ53" s="41"/>
      <c r="JA53" s="41"/>
      <c r="JB53" s="41"/>
      <c r="JC53" s="41"/>
      <c r="JD53" s="41"/>
      <c r="JE53" s="41"/>
      <c r="JF53" s="41"/>
      <c r="JG53" s="41"/>
      <c r="JH53" s="41"/>
      <c r="JI53" s="41"/>
      <c r="JJ53" s="41"/>
      <c r="JK53" s="41"/>
      <c r="JL53" s="41"/>
      <c r="JM53" s="41"/>
      <c r="JN53" s="41"/>
      <c r="JO53" s="41"/>
      <c r="JP53" s="41"/>
      <c r="JQ53" s="41"/>
      <c r="JR53" s="41"/>
      <c r="JS53" s="41"/>
      <c r="JT53" s="41"/>
      <c r="JU53" s="41"/>
      <c r="JV53" s="41"/>
      <c r="JW53" s="41"/>
      <c r="JX53" s="41"/>
      <c r="JY53" s="41"/>
      <c r="JZ53" s="41"/>
      <c r="KA53" s="41"/>
      <c r="KB53" s="41"/>
      <c r="KC53" s="41"/>
      <c r="KD53" s="41"/>
      <c r="KE53" s="41"/>
      <c r="KF53" s="41"/>
      <c r="KG53" s="41"/>
      <c r="KH53" s="41"/>
      <c r="KI53" s="41"/>
      <c r="KJ53" s="41"/>
      <c r="KK53" s="41"/>
      <c r="KL53" s="41"/>
      <c r="KM53" s="41"/>
      <c r="KN53" s="41"/>
      <c r="KO53" s="41"/>
      <c r="KP53" s="41"/>
      <c r="KQ53" s="41"/>
      <c r="KR53" s="41"/>
      <c r="KS53" s="41"/>
      <c r="KT53" s="41"/>
      <c r="KU53" s="41"/>
      <c r="KV53" s="41"/>
      <c r="KW53" s="41"/>
      <c r="KX53" s="41"/>
      <c r="KY53" s="41"/>
      <c r="KZ53" s="41"/>
      <c r="LA53" s="41"/>
      <c r="LB53" s="41"/>
      <c r="LC53" s="41"/>
      <c r="LD53" s="41"/>
      <c r="LE53" s="41"/>
      <c r="LF53" s="41"/>
      <c r="LG53" s="41"/>
      <c r="LH53" s="41"/>
      <c r="LI53" s="41"/>
      <c r="LJ53" s="41"/>
      <c r="LK53" s="41"/>
      <c r="LL53" s="41"/>
      <c r="LM53" s="41"/>
      <c r="LN53" s="41"/>
      <c r="LO53" s="41"/>
      <c r="LP53" s="41"/>
      <c r="LQ53" s="41"/>
      <c r="LR53" s="41"/>
      <c r="LS53" s="41"/>
      <c r="LT53" s="41"/>
      <c r="LU53" s="41"/>
      <c r="LV53" s="41"/>
      <c r="LW53" s="41"/>
      <c r="LX53" s="41"/>
      <c r="LY53" s="41"/>
      <c r="LZ53" s="41"/>
      <c r="MA53" s="41"/>
      <c r="MB53" s="41"/>
      <c r="MC53" s="41"/>
      <c r="MD53" s="41"/>
      <c r="ME53" s="41"/>
      <c r="MF53" s="41"/>
      <c r="MG53" s="41"/>
      <c r="MH53" s="41"/>
      <c r="MI53" s="41"/>
      <c r="MJ53" s="41"/>
      <c r="MK53" s="41"/>
      <c r="ML53" s="41"/>
      <c r="MM53" s="41"/>
      <c r="MN53" s="41"/>
      <c r="MO53" s="41"/>
      <c r="MP53" s="41"/>
      <c r="MQ53" s="41"/>
      <c r="MR53" s="41"/>
      <c r="MS53" s="41"/>
      <c r="MT53" s="41"/>
      <c r="MU53" s="41"/>
      <c r="MV53" s="41"/>
      <c r="MW53" s="41"/>
      <c r="MX53" s="41"/>
      <c r="MY53" s="41"/>
      <c r="MZ53" s="41"/>
      <c r="NA53" s="41"/>
      <c r="NB53" s="41"/>
      <c r="NC53" s="41"/>
      <c r="ND53" s="41"/>
      <c r="NE53" s="41"/>
      <c r="NF53" s="41"/>
      <c r="NG53" s="41"/>
      <c r="NH53" s="41"/>
      <c r="NI53" s="41"/>
      <c r="NJ53" s="41"/>
      <c r="NK53" s="41"/>
      <c r="NL53" s="41"/>
      <c r="NM53" s="41"/>
      <c r="NN53" s="41"/>
      <c r="NO53" s="41"/>
      <c r="NP53" s="41"/>
      <c r="NQ53" s="41"/>
      <c r="NR53" s="41"/>
      <c r="NS53" s="41"/>
      <c r="NT53" s="41"/>
      <c r="NU53" s="41"/>
      <c r="NV53" s="41"/>
      <c r="NW53" s="41"/>
      <c r="NX53" s="41"/>
      <c r="NY53" s="41"/>
      <c r="NZ53" s="41"/>
      <c r="OA53" s="41"/>
      <c r="OB53" s="41"/>
      <c r="OC53" s="41"/>
      <c r="OD53" s="41"/>
      <c r="OE53" s="41"/>
      <c r="OF53" s="41"/>
      <c r="OG53" s="41"/>
      <c r="OH53" s="41"/>
      <c r="OI53" s="41"/>
      <c r="OJ53" s="41"/>
      <c r="OK53" s="41"/>
      <c r="OL53" s="41"/>
      <c r="OM53" s="41"/>
      <c r="ON53" s="41"/>
      <c r="OO53" s="41"/>
      <c r="OP53" s="41"/>
      <c r="OQ53" s="41"/>
      <c r="OR53" s="41"/>
      <c r="OS53" s="41"/>
      <c r="OT53" s="41"/>
      <c r="OU53" s="41"/>
      <c r="OV53" s="41"/>
      <c r="OW53" s="41"/>
      <c r="OX53" s="41"/>
      <c r="OY53" s="41"/>
      <c r="OZ53" s="41"/>
      <c r="PA53" s="41"/>
      <c r="PB53" s="41"/>
      <c r="PC53" s="41"/>
      <c r="PD53" s="41"/>
      <c r="PE53" s="41"/>
      <c r="PF53" s="41"/>
      <c r="PG53" s="41"/>
      <c r="PH53" s="41"/>
      <c r="PI53" s="41"/>
      <c r="PJ53" s="41"/>
      <c r="PK53" s="41"/>
      <c r="PL53" s="41"/>
      <c r="PM53" s="41"/>
      <c r="PN53" s="41"/>
      <c r="PO53" s="41"/>
      <c r="PP53" s="41"/>
      <c r="PQ53" s="41"/>
      <c r="PR53" s="41"/>
      <c r="PS53" s="41"/>
      <c r="PT53" s="41"/>
      <c r="PU53" s="41"/>
      <c r="PV53" s="41"/>
      <c r="PW53" s="41"/>
      <c r="PX53" s="41"/>
      <c r="PY53" s="41"/>
      <c r="PZ53" s="41"/>
      <c r="QA53" s="41"/>
      <c r="QB53" s="41"/>
      <c r="QC53" s="41"/>
      <c r="QD53" s="41"/>
      <c r="QE53" s="41"/>
      <c r="QF53" s="41"/>
      <c r="QG53" s="41"/>
      <c r="QH53" s="41"/>
      <c r="QI53" s="41"/>
      <c r="QJ53" s="41"/>
      <c r="QK53" s="41"/>
      <c r="QL53" s="41"/>
      <c r="QM53" s="41"/>
      <c r="QN53" s="41"/>
      <c r="QO53" s="41"/>
      <c r="QP53" s="41"/>
      <c r="QQ53" s="41"/>
      <c r="QR53" s="41"/>
      <c r="QS53" s="41"/>
      <c r="QT53" s="41"/>
      <c r="QU53" s="41"/>
      <c r="QV53" s="41"/>
      <c r="QW53" s="41"/>
      <c r="QX53" s="41"/>
      <c r="QY53" s="41"/>
      <c r="QZ53" s="41"/>
      <c r="RA53" s="41"/>
      <c r="RB53" s="41"/>
      <c r="RC53" s="41"/>
      <c r="RD53" s="41"/>
      <c r="RE53" s="41"/>
      <c r="RF53" s="41"/>
      <c r="RG53" s="41"/>
      <c r="RH53" s="41"/>
      <c r="RI53" s="41"/>
      <c r="RJ53" s="41"/>
      <c r="RK53" s="41"/>
      <c r="RL53" s="41"/>
      <c r="RM53" s="41"/>
      <c r="RN53" s="41"/>
      <c r="RO53" s="41"/>
      <c r="RP53" s="41"/>
      <c r="RQ53" s="41"/>
      <c r="RR53" s="41"/>
      <c r="RS53" s="41"/>
      <c r="RT53" s="41"/>
      <c r="RU53" s="41"/>
      <c r="RV53" s="41"/>
      <c r="RW53" s="41"/>
      <c r="RX53" s="41"/>
      <c r="RY53" s="41"/>
      <c r="RZ53" s="41"/>
      <c r="SA53" s="41"/>
      <c r="SB53" s="41"/>
      <c r="SC53" s="41"/>
      <c r="SD53" s="41"/>
      <c r="SE53" s="41"/>
      <c r="SF53" s="41"/>
      <c r="SG53" s="41"/>
      <c r="SH53" s="41"/>
      <c r="SI53" s="41"/>
      <c r="SJ53" s="41"/>
      <c r="SK53" s="41"/>
      <c r="SL53" s="41"/>
      <c r="SM53" s="41"/>
      <c r="SN53" s="41"/>
      <c r="SO53" s="41"/>
      <c r="SP53" s="41"/>
      <c r="SQ53" s="41"/>
      <c r="SR53" s="41"/>
      <c r="SS53" s="41"/>
      <c r="ST53" s="41"/>
      <c r="SU53" s="41"/>
      <c r="SV53" s="41"/>
      <c r="SW53" s="41"/>
      <c r="SX53" s="41"/>
      <c r="SY53" s="41"/>
      <c r="SZ53" s="41"/>
      <c r="TA53" s="41"/>
      <c r="TB53" s="41"/>
      <c r="TC53" s="41"/>
      <c r="TD53" s="41"/>
      <c r="TE53" s="41"/>
      <c r="TF53" s="41"/>
      <c r="TG53" s="41"/>
      <c r="TH53" s="41"/>
      <c r="TI53" s="41"/>
      <c r="TJ53" s="41"/>
      <c r="TK53" s="41"/>
      <c r="TL53" s="41"/>
      <c r="TM53" s="41"/>
      <c r="TN53" s="41"/>
      <c r="TO53" s="41"/>
      <c r="TP53" s="41"/>
      <c r="TQ53" s="41"/>
      <c r="TR53" s="41"/>
      <c r="TS53" s="41"/>
      <c r="TT53" s="41"/>
      <c r="TU53" s="41"/>
      <c r="TV53" s="41"/>
      <c r="TW53" s="41"/>
      <c r="TX53" s="41"/>
      <c r="TY53" s="41"/>
      <c r="TZ53" s="41"/>
      <c r="UA53" s="41"/>
      <c r="UB53" s="41"/>
      <c r="UC53" s="41"/>
      <c r="UD53" s="41"/>
      <c r="UE53" s="41"/>
      <c r="UF53" s="41"/>
      <c r="UG53" s="41"/>
      <c r="UH53" s="41"/>
      <c r="UI53" s="41"/>
      <c r="UJ53" s="41"/>
      <c r="UK53" s="41"/>
      <c r="UL53" s="41"/>
      <c r="UM53" s="41"/>
      <c r="UN53" s="41"/>
      <c r="UO53" s="41"/>
      <c r="UP53" s="41"/>
      <c r="UQ53" s="41"/>
      <c r="UR53" s="41"/>
      <c r="US53" s="41"/>
      <c r="UT53" s="41"/>
      <c r="UU53" s="41"/>
      <c r="UV53" s="41"/>
      <c r="UW53" s="41"/>
      <c r="UX53" s="41"/>
      <c r="UY53" s="41"/>
      <c r="UZ53" s="41"/>
      <c r="VA53" s="41"/>
      <c r="VB53" s="41"/>
      <c r="VC53" s="41"/>
      <c r="VD53" s="41"/>
      <c r="VE53" s="41"/>
      <c r="VF53" s="41"/>
      <c r="VG53" s="41"/>
      <c r="VH53" s="41"/>
      <c r="VI53" s="41"/>
      <c r="VJ53" s="41"/>
      <c r="VK53" s="41"/>
      <c r="VL53" s="41"/>
      <c r="VM53" s="41"/>
      <c r="VN53" s="41"/>
      <c r="VO53" s="41"/>
      <c r="VP53" s="41"/>
      <c r="VQ53" s="41"/>
      <c r="VR53" s="41"/>
      <c r="VS53" s="41"/>
      <c r="VT53" s="41"/>
      <c r="VU53" s="41"/>
      <c r="VV53" s="41"/>
      <c r="VW53" s="41"/>
      <c r="VX53" s="41"/>
      <c r="VY53" s="41"/>
      <c r="VZ53" s="41"/>
      <c r="WA53" s="41"/>
      <c r="WB53" s="41"/>
      <c r="WC53" s="41"/>
      <c r="WD53" s="41"/>
      <c r="WE53" s="41"/>
      <c r="WF53" s="41"/>
      <c r="WG53" s="41"/>
      <c r="WH53" s="41"/>
      <c r="WI53" s="41"/>
      <c r="WJ53" s="41"/>
      <c r="WK53" s="41"/>
      <c r="WL53" s="41"/>
      <c r="WM53" s="41"/>
      <c r="WN53" s="41"/>
      <c r="WO53" s="41"/>
      <c r="WP53" s="41"/>
      <c r="WQ53" s="41"/>
      <c r="WR53" s="41"/>
      <c r="WS53" s="41"/>
      <c r="WT53" s="41"/>
      <c r="WU53" s="41"/>
      <c r="WV53" s="41"/>
      <c r="WW53" s="41"/>
      <c r="WX53" s="41"/>
      <c r="WY53" s="41"/>
      <c r="WZ53" s="41"/>
      <c r="XA53" s="41"/>
      <c r="XB53" s="41"/>
      <c r="XC53" s="41"/>
      <c r="XD53" s="41"/>
      <c r="XE53" s="41"/>
      <c r="XF53" s="41"/>
      <c r="XG53" s="41"/>
      <c r="XH53" s="41"/>
      <c r="XI53" s="41"/>
      <c r="XJ53" s="41"/>
      <c r="XK53" s="41"/>
      <c r="XL53" s="41"/>
      <c r="XM53" s="41"/>
      <c r="XN53" s="41"/>
      <c r="XO53" s="41"/>
      <c r="XP53" s="41"/>
      <c r="XQ53" s="41"/>
      <c r="XR53" s="41"/>
      <c r="XS53" s="41"/>
      <c r="XT53" s="41"/>
      <c r="XU53" s="41"/>
      <c r="XV53" s="41"/>
      <c r="XW53" s="41"/>
      <c r="XX53" s="41"/>
      <c r="XY53" s="41"/>
      <c r="XZ53" s="41"/>
      <c r="YA53" s="41"/>
      <c r="YB53" s="41"/>
      <c r="YC53" s="41"/>
      <c r="YD53" s="41"/>
      <c r="YE53" s="41"/>
      <c r="YF53" s="41"/>
      <c r="YG53" s="41"/>
      <c r="YH53" s="41"/>
      <c r="YI53" s="41"/>
      <c r="YJ53" s="41"/>
      <c r="YK53" s="41"/>
      <c r="YL53" s="41"/>
      <c r="YM53" s="41"/>
      <c r="YN53" s="41"/>
      <c r="YO53" s="41"/>
      <c r="YP53" s="41"/>
      <c r="YQ53" s="41"/>
      <c r="YR53" s="41"/>
      <c r="YS53" s="41"/>
      <c r="YT53" s="41"/>
      <c r="YU53" s="41"/>
      <c r="YV53" s="41"/>
      <c r="YW53" s="41"/>
      <c r="YX53" s="41"/>
      <c r="YY53" s="41"/>
      <c r="YZ53" s="41"/>
      <c r="ZA53" s="41"/>
      <c r="ZB53" s="41"/>
      <c r="ZC53" s="41"/>
      <c r="ZD53" s="41"/>
      <c r="ZE53" s="41"/>
      <c r="ZF53" s="41"/>
      <c r="ZG53" s="41"/>
      <c r="ZH53" s="41"/>
      <c r="ZI53" s="41"/>
      <c r="ZJ53" s="41"/>
      <c r="ZK53" s="41"/>
      <c r="ZL53" s="41"/>
      <c r="ZM53" s="41"/>
      <c r="ZN53" s="41"/>
      <c r="ZO53" s="41"/>
      <c r="ZP53" s="41"/>
      <c r="ZQ53" s="41"/>
      <c r="ZR53" s="41"/>
      <c r="ZS53" s="41"/>
      <c r="ZT53" s="41"/>
      <c r="ZU53" s="41"/>
      <c r="ZV53" s="41"/>
      <c r="ZW53" s="41"/>
      <c r="ZX53" s="41"/>
      <c r="ZY53" s="41"/>
      <c r="ZZ53" s="41"/>
      <c r="AAA53" s="41"/>
      <c r="AAB53" s="41"/>
      <c r="AAC53" s="41"/>
      <c r="AAD53" s="41"/>
      <c r="AAE53" s="41"/>
      <c r="AAF53" s="41"/>
      <c r="AAG53" s="41"/>
      <c r="AAH53" s="41"/>
      <c r="AAI53" s="41"/>
      <c r="AAJ53" s="41"/>
      <c r="AAK53" s="41"/>
      <c r="AAL53" s="41"/>
      <c r="AAM53" s="41"/>
      <c r="AAN53" s="41"/>
      <c r="AAO53" s="41"/>
      <c r="AAP53" s="41"/>
      <c r="AAQ53" s="41"/>
      <c r="AAR53" s="41"/>
      <c r="AAS53" s="41"/>
      <c r="AAT53" s="41"/>
      <c r="AAU53" s="41"/>
      <c r="AAV53" s="41"/>
      <c r="AAW53" s="41"/>
      <c r="AAX53" s="41"/>
      <c r="AAY53" s="41"/>
      <c r="AAZ53" s="41"/>
      <c r="ABA53" s="41"/>
      <c r="ABB53" s="41"/>
      <c r="ABC53" s="41"/>
      <c r="ABD53" s="41"/>
      <c r="ABE53" s="41"/>
      <c r="ABF53" s="41"/>
      <c r="ABG53" s="41"/>
      <c r="ABH53" s="41"/>
      <c r="ABI53" s="41"/>
      <c r="ABJ53" s="41"/>
      <c r="ABK53" s="41"/>
      <c r="ABL53" s="41"/>
      <c r="ABM53" s="41"/>
      <c r="ABN53" s="41"/>
      <c r="ABO53" s="41"/>
      <c r="ABP53" s="41"/>
      <c r="ABQ53" s="41"/>
      <c r="ABR53" s="41"/>
      <c r="ABS53" s="41"/>
      <c r="ABT53" s="41"/>
      <c r="ABU53" s="41"/>
      <c r="ABV53" s="41"/>
      <c r="ABW53" s="41"/>
      <c r="ABX53" s="41"/>
      <c r="ABY53" s="41"/>
      <c r="ABZ53" s="41"/>
      <c r="ACA53" s="41"/>
      <c r="ACB53" s="41"/>
      <c r="ACC53" s="41"/>
      <c r="ACD53" s="41"/>
      <c r="ACE53" s="41"/>
      <c r="ACF53" s="41"/>
      <c r="ACG53" s="41"/>
      <c r="ACH53" s="41"/>
      <c r="ACI53" s="41"/>
      <c r="ACJ53" s="41"/>
      <c r="ACK53" s="41"/>
      <c r="ACL53" s="41"/>
      <c r="ACM53" s="41"/>
      <c r="ACN53" s="41"/>
      <c r="ACO53" s="41"/>
      <c r="ACP53" s="41"/>
      <c r="ACQ53" s="41"/>
      <c r="ACR53" s="41"/>
      <c r="ACS53" s="41"/>
      <c r="ACT53" s="41"/>
      <c r="ACU53" s="41"/>
      <c r="ACV53" s="41"/>
      <c r="ACW53" s="41"/>
      <c r="ACX53" s="41"/>
      <c r="ACY53" s="41"/>
      <c r="ACZ53" s="41"/>
      <c r="ADA53" s="41"/>
      <c r="ADB53" s="41"/>
      <c r="ADC53" s="41"/>
      <c r="ADD53" s="41"/>
      <c r="ADE53" s="41"/>
      <c r="ADF53" s="41"/>
      <c r="ADG53" s="41"/>
      <c r="ADH53" s="41"/>
      <c r="ADI53" s="41"/>
      <c r="ADJ53" s="41"/>
      <c r="ADK53" s="41"/>
      <c r="ADL53" s="41"/>
      <c r="ADM53" s="41"/>
      <c r="ADN53" s="41"/>
      <c r="ADO53" s="41"/>
      <c r="ADP53" s="41"/>
      <c r="ADQ53" s="41"/>
      <c r="ADR53" s="41"/>
      <c r="ADS53" s="41"/>
      <c r="ADT53" s="41"/>
      <c r="ADU53" s="41"/>
      <c r="ADV53" s="41"/>
      <c r="ADW53" s="41"/>
      <c r="ADX53" s="41"/>
      <c r="ADY53" s="41"/>
      <c r="ADZ53" s="41"/>
      <c r="AEA53" s="41"/>
      <c r="AEB53" s="41"/>
      <c r="AEC53" s="41"/>
      <c r="AED53" s="41"/>
      <c r="AEE53" s="41"/>
      <c r="AEF53" s="41"/>
      <c r="AEG53" s="41"/>
      <c r="AEH53" s="41"/>
      <c r="AEI53" s="41"/>
      <c r="AEJ53" s="41"/>
      <c r="AEK53" s="41"/>
      <c r="AEL53" s="41"/>
      <c r="AEM53" s="41"/>
      <c r="AEN53" s="41"/>
      <c r="AEO53" s="41"/>
      <c r="AEP53" s="41"/>
      <c r="AEQ53" s="41"/>
      <c r="AER53" s="41"/>
      <c r="AES53" s="41"/>
      <c r="AET53" s="41"/>
      <c r="AEU53" s="41"/>
      <c r="AEV53" s="41"/>
      <c r="AEW53" s="41"/>
      <c r="AEX53" s="41"/>
      <c r="AEY53" s="41"/>
      <c r="AEZ53" s="41"/>
      <c r="AFA53" s="41"/>
      <c r="AFB53" s="41"/>
      <c r="AFC53" s="41"/>
      <c r="AFD53" s="41"/>
      <c r="AFE53" s="41"/>
      <c r="AFF53" s="41"/>
      <c r="AFG53" s="41"/>
      <c r="AFH53" s="41"/>
      <c r="AFI53" s="41"/>
      <c r="AFJ53" s="41"/>
      <c r="AFK53" s="41"/>
      <c r="AFL53" s="41"/>
      <c r="AFM53" s="41"/>
      <c r="AFN53" s="41"/>
      <c r="AFO53" s="41"/>
      <c r="AFP53" s="41"/>
      <c r="AFQ53" s="41"/>
      <c r="AFR53" s="41"/>
      <c r="AFS53" s="41"/>
      <c r="AFT53" s="41"/>
      <c r="AFU53" s="41"/>
      <c r="AFV53" s="41"/>
      <c r="AFW53" s="41"/>
      <c r="AFX53" s="41"/>
      <c r="AFY53" s="41"/>
      <c r="AFZ53" s="41"/>
      <c r="AGA53" s="41"/>
      <c r="AGB53" s="41"/>
      <c r="AGC53" s="41"/>
      <c r="AGD53" s="41"/>
      <c r="AGE53" s="41"/>
      <c r="AGF53" s="41"/>
      <c r="AGG53" s="41"/>
      <c r="AGH53" s="41"/>
      <c r="AGI53" s="41"/>
      <c r="AGJ53" s="41"/>
      <c r="AGK53" s="41"/>
      <c r="AGL53" s="41"/>
      <c r="AGM53" s="41"/>
      <c r="AGN53" s="41"/>
      <c r="AGO53" s="41"/>
      <c r="AGP53" s="41"/>
      <c r="AGQ53" s="41"/>
      <c r="AGR53" s="41"/>
      <c r="AGS53" s="41"/>
      <c r="AGT53" s="41"/>
      <c r="AGU53" s="41"/>
      <c r="AGV53" s="41"/>
      <c r="AGW53" s="41"/>
      <c r="AGX53" s="41"/>
      <c r="AGY53" s="41"/>
      <c r="AGZ53" s="41"/>
      <c r="AHA53" s="41"/>
      <c r="AHB53" s="41"/>
      <c r="AHC53" s="41"/>
      <c r="AHD53" s="41"/>
      <c r="AHE53" s="41"/>
      <c r="AHF53" s="41"/>
      <c r="AHG53" s="41"/>
      <c r="AHH53" s="41"/>
      <c r="AHI53" s="41"/>
      <c r="AHJ53" s="41"/>
      <c r="AHK53" s="41"/>
      <c r="AHL53" s="41"/>
      <c r="AHM53" s="41"/>
      <c r="AHN53" s="41"/>
      <c r="AHO53" s="41"/>
      <c r="AHP53" s="41"/>
      <c r="AHQ53" s="41"/>
      <c r="AHR53" s="41"/>
      <c r="AHS53" s="41"/>
      <c r="AHT53" s="41"/>
      <c r="AHU53" s="41"/>
      <c r="AHV53" s="41"/>
      <c r="AHW53" s="41"/>
      <c r="AHX53" s="41"/>
      <c r="AHY53" s="41"/>
      <c r="AHZ53" s="41"/>
      <c r="AIA53" s="41"/>
      <c r="AIB53" s="41"/>
      <c r="AIC53" s="41"/>
      <c r="AID53" s="41"/>
      <c r="AIE53" s="41"/>
      <c r="AIF53" s="41"/>
      <c r="AIG53" s="41"/>
      <c r="AIH53" s="41"/>
      <c r="AII53" s="41"/>
      <c r="AIJ53" s="41"/>
      <c r="AIK53" s="41"/>
      <c r="AIL53" s="41"/>
      <c r="AIM53" s="41"/>
      <c r="AIN53" s="41"/>
      <c r="AIO53" s="41"/>
      <c r="AIP53" s="41"/>
      <c r="AIQ53" s="41"/>
      <c r="AIR53" s="41"/>
      <c r="AIS53" s="41"/>
      <c r="AIT53" s="41"/>
      <c r="AIU53" s="41"/>
      <c r="AIV53" s="41"/>
      <c r="AIW53" s="41"/>
      <c r="AIX53" s="41"/>
      <c r="AIY53" s="41"/>
      <c r="AIZ53" s="41"/>
      <c r="AJA53" s="41"/>
      <c r="AJB53" s="41"/>
      <c r="AJC53" s="41"/>
      <c r="AJD53" s="41"/>
      <c r="AJE53" s="41"/>
      <c r="AJF53" s="41"/>
      <c r="AJG53" s="41"/>
      <c r="AJH53" s="41"/>
      <c r="AJI53" s="41"/>
      <c r="AJJ53" s="41"/>
      <c r="AJK53" s="41"/>
      <c r="AJL53" s="41"/>
      <c r="AJM53" s="41"/>
      <c r="AJN53" s="41"/>
      <c r="AJO53" s="41"/>
      <c r="AJP53" s="41"/>
      <c r="AJQ53" s="41"/>
      <c r="AJR53" s="41"/>
      <c r="AJS53" s="41"/>
      <c r="AJT53" s="41"/>
      <c r="AJU53" s="41"/>
      <c r="AJV53" s="41"/>
      <c r="AJW53" s="41"/>
      <c r="AJX53" s="41"/>
      <c r="AJY53" s="41"/>
      <c r="AJZ53" s="41"/>
      <c r="AKA53" s="41"/>
      <c r="AKB53" s="41"/>
      <c r="AKC53" s="41"/>
      <c r="AKD53" s="41"/>
      <c r="AKE53" s="41"/>
      <c r="AKF53" s="41"/>
      <c r="AKG53" s="41"/>
      <c r="AKH53" s="41"/>
      <c r="AKI53" s="41"/>
      <c r="AKJ53" s="41"/>
      <c r="AKK53" s="41"/>
      <c r="AKL53" s="41"/>
      <c r="AKM53" s="41"/>
      <c r="AKN53" s="41"/>
      <c r="AKO53" s="41"/>
      <c r="AKP53" s="41"/>
      <c r="AKQ53" s="41"/>
      <c r="AKR53" s="41"/>
      <c r="AKS53" s="41"/>
      <c r="AKT53" s="41"/>
      <c r="AKU53" s="41"/>
      <c r="AKV53" s="41"/>
      <c r="AKW53" s="41"/>
      <c r="AKX53" s="41"/>
      <c r="AKY53" s="41"/>
      <c r="AKZ53" s="41"/>
      <c r="ALA53" s="41"/>
      <c r="ALB53" s="41"/>
      <c r="ALC53" s="41"/>
      <c r="ALD53" s="41"/>
      <c r="ALE53" s="41"/>
      <c r="ALF53" s="41"/>
      <c r="ALG53" s="41"/>
      <c r="ALH53" s="41"/>
      <c r="ALI53" s="41"/>
      <c r="ALJ53" s="41"/>
      <c r="ALK53" s="41"/>
      <c r="ALL53" s="41"/>
      <c r="ALM53" s="41"/>
      <c r="ALN53" s="41"/>
      <c r="ALO53" s="41"/>
      <c r="ALP53" s="41"/>
      <c r="ALQ53" s="41"/>
      <c r="ALR53" s="41"/>
      <c r="ALS53" s="41"/>
      <c r="ALT53" s="41"/>
      <c r="ALU53" s="41"/>
      <c r="ALV53" s="41"/>
      <c r="ALW53" s="41"/>
      <c r="ALX53" s="41"/>
      <c r="ALY53" s="41"/>
      <c r="ALZ53" s="41"/>
      <c r="AMA53" s="41"/>
      <c r="AMB53" s="41"/>
      <c r="AMC53" s="41"/>
      <c r="AMD53" s="41"/>
      <c r="AME53" s="41"/>
      <c r="AMF53" s="41"/>
      <c r="AMG53" s="41"/>
      <c r="AMH53" s="41"/>
      <c r="AMI53" s="41"/>
      <c r="AMJ53" s="41"/>
      <c r="AMK53" s="41"/>
      <c r="AML53" s="41"/>
      <c r="AMM53" s="41"/>
      <c r="AMN53" s="41"/>
      <c r="AMO53" s="41"/>
      <c r="AMP53" s="41"/>
      <c r="AMQ53" s="41"/>
      <c r="AMR53" s="41"/>
      <c r="AMS53" s="41"/>
      <c r="AMT53" s="41"/>
      <c r="AMU53" s="41"/>
      <c r="AMV53" s="41"/>
      <c r="AMW53" s="41"/>
      <c r="AMX53" s="41"/>
      <c r="AMY53" s="41"/>
      <c r="AMZ53" s="41"/>
      <c r="ANA53" s="41"/>
      <c r="ANB53" s="41"/>
      <c r="ANC53" s="41"/>
      <c r="AND53" s="41"/>
      <c r="ANE53" s="41"/>
      <c r="ANF53" s="41"/>
      <c r="ANG53" s="41"/>
      <c r="ANH53" s="41"/>
      <c r="ANI53" s="41"/>
      <c r="ANJ53" s="41"/>
      <c r="ANK53" s="41"/>
    </row>
    <row r="54" s="44" customFormat="true" ht="15" hidden="false" customHeight="false" outlineLevel="0" collapsed="false">
      <c r="A54" s="55" t="s">
        <v>76</v>
      </c>
      <c r="B54" s="43" t="n">
        <v>0</v>
      </c>
      <c r="C54" s="44" t="n">
        <v>0</v>
      </c>
      <c r="D54" s="44" t="n">
        <v>0</v>
      </c>
      <c r="E54" s="45" t="n">
        <v>18000</v>
      </c>
      <c r="F54" s="43" t="n">
        <v>0</v>
      </c>
      <c r="G54" s="44" t="n">
        <v>0</v>
      </c>
      <c r="H54" s="46" t="n">
        <v>0</v>
      </c>
      <c r="I54" s="47" t="n">
        <v>0</v>
      </c>
      <c r="J54" s="48" t="n">
        <v>0</v>
      </c>
      <c r="K54" s="43"/>
      <c r="M54" s="46" t="n">
        <v>0</v>
      </c>
      <c r="N54" s="43" t="n">
        <v>0</v>
      </c>
      <c r="O54" s="46" t="n">
        <v>0</v>
      </c>
      <c r="P54" s="49" t="n">
        <v>0</v>
      </c>
      <c r="Q54" s="50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0</v>
      </c>
      <c r="W54" s="44" t="n">
        <v>0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0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6" t="n">
        <v>0</v>
      </c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41"/>
      <c r="JB54" s="41"/>
      <c r="JC54" s="41"/>
      <c r="JD54" s="41"/>
      <c r="JE54" s="41"/>
      <c r="JF54" s="41"/>
      <c r="JG54" s="41"/>
      <c r="JH54" s="41"/>
      <c r="JI54" s="41"/>
      <c r="JJ54" s="41"/>
      <c r="JK54" s="41"/>
      <c r="JL54" s="41"/>
      <c r="JM54" s="41"/>
      <c r="JN54" s="41"/>
      <c r="JO54" s="41"/>
      <c r="JP54" s="41"/>
      <c r="JQ54" s="41"/>
      <c r="JR54" s="41"/>
      <c r="JS54" s="41"/>
      <c r="JT54" s="41"/>
      <c r="JU54" s="41"/>
      <c r="JV54" s="41"/>
      <c r="JW54" s="41"/>
      <c r="JX54" s="41"/>
      <c r="JY54" s="41"/>
      <c r="JZ54" s="41"/>
      <c r="KA54" s="41"/>
      <c r="KB54" s="41"/>
      <c r="KC54" s="41"/>
      <c r="KD54" s="41"/>
      <c r="KE54" s="41"/>
      <c r="KF54" s="41"/>
      <c r="KG54" s="41"/>
      <c r="KH54" s="41"/>
      <c r="KI54" s="41"/>
      <c r="KJ54" s="41"/>
      <c r="KK54" s="41"/>
      <c r="KL54" s="41"/>
      <c r="KM54" s="41"/>
      <c r="KN54" s="41"/>
      <c r="KO54" s="41"/>
      <c r="KP54" s="41"/>
      <c r="KQ54" s="41"/>
      <c r="KR54" s="41"/>
      <c r="KS54" s="41"/>
      <c r="KT54" s="41"/>
      <c r="KU54" s="41"/>
      <c r="KV54" s="41"/>
      <c r="KW54" s="41"/>
      <c r="KX54" s="41"/>
      <c r="KY54" s="41"/>
      <c r="KZ54" s="41"/>
      <c r="LA54" s="41"/>
      <c r="LB54" s="41"/>
      <c r="LC54" s="41"/>
      <c r="LD54" s="41"/>
      <c r="LE54" s="41"/>
      <c r="LF54" s="41"/>
      <c r="LG54" s="41"/>
      <c r="LH54" s="41"/>
      <c r="LI54" s="41"/>
      <c r="LJ54" s="41"/>
      <c r="LK54" s="41"/>
      <c r="LL54" s="41"/>
      <c r="LM54" s="41"/>
      <c r="LN54" s="41"/>
      <c r="LO54" s="41"/>
      <c r="LP54" s="41"/>
      <c r="LQ54" s="41"/>
      <c r="LR54" s="41"/>
      <c r="LS54" s="41"/>
      <c r="LT54" s="41"/>
      <c r="LU54" s="41"/>
      <c r="LV54" s="41"/>
      <c r="LW54" s="41"/>
      <c r="LX54" s="41"/>
      <c r="LY54" s="41"/>
      <c r="LZ54" s="41"/>
      <c r="MA54" s="41"/>
      <c r="MB54" s="41"/>
      <c r="MC54" s="41"/>
      <c r="MD54" s="41"/>
      <c r="ME54" s="41"/>
      <c r="MF54" s="41"/>
      <c r="MG54" s="41"/>
      <c r="MH54" s="41"/>
      <c r="MI54" s="41"/>
      <c r="MJ54" s="41"/>
      <c r="MK54" s="41"/>
      <c r="ML54" s="41"/>
      <c r="MM54" s="41"/>
      <c r="MN54" s="41"/>
      <c r="MO54" s="41"/>
      <c r="MP54" s="41"/>
      <c r="MQ54" s="41"/>
      <c r="MR54" s="41"/>
      <c r="MS54" s="41"/>
      <c r="MT54" s="41"/>
      <c r="MU54" s="41"/>
      <c r="MV54" s="41"/>
      <c r="MW54" s="41"/>
      <c r="MX54" s="41"/>
      <c r="MY54" s="41"/>
      <c r="MZ54" s="41"/>
      <c r="NA54" s="41"/>
      <c r="NB54" s="41"/>
      <c r="NC54" s="41"/>
      <c r="ND54" s="41"/>
      <c r="NE54" s="41"/>
      <c r="NF54" s="41"/>
      <c r="NG54" s="41"/>
      <c r="NH54" s="41"/>
      <c r="NI54" s="41"/>
      <c r="NJ54" s="41"/>
      <c r="NK54" s="41"/>
      <c r="NL54" s="41"/>
      <c r="NM54" s="41"/>
      <c r="NN54" s="41"/>
      <c r="NO54" s="41"/>
      <c r="NP54" s="41"/>
      <c r="NQ54" s="41"/>
      <c r="NR54" s="41"/>
      <c r="NS54" s="41"/>
      <c r="NT54" s="41"/>
      <c r="NU54" s="41"/>
      <c r="NV54" s="41"/>
      <c r="NW54" s="41"/>
      <c r="NX54" s="41"/>
      <c r="NY54" s="41"/>
      <c r="NZ54" s="41"/>
      <c r="OA54" s="41"/>
      <c r="OB54" s="41"/>
      <c r="OC54" s="41"/>
      <c r="OD54" s="41"/>
      <c r="OE54" s="41"/>
      <c r="OF54" s="41"/>
      <c r="OG54" s="41"/>
      <c r="OH54" s="41"/>
      <c r="OI54" s="41"/>
      <c r="OJ54" s="41"/>
      <c r="OK54" s="41"/>
      <c r="OL54" s="41"/>
      <c r="OM54" s="41"/>
      <c r="ON54" s="41"/>
      <c r="OO54" s="41"/>
      <c r="OP54" s="41"/>
      <c r="OQ54" s="41"/>
      <c r="OR54" s="41"/>
      <c r="OS54" s="41"/>
      <c r="OT54" s="41"/>
      <c r="OU54" s="41"/>
      <c r="OV54" s="41"/>
      <c r="OW54" s="41"/>
      <c r="OX54" s="41"/>
      <c r="OY54" s="41"/>
      <c r="OZ54" s="41"/>
      <c r="PA54" s="41"/>
      <c r="PB54" s="41"/>
      <c r="PC54" s="41"/>
      <c r="PD54" s="41"/>
      <c r="PE54" s="41"/>
      <c r="PF54" s="41"/>
      <c r="PG54" s="41"/>
      <c r="PH54" s="41"/>
      <c r="PI54" s="41"/>
      <c r="PJ54" s="41"/>
      <c r="PK54" s="41"/>
      <c r="PL54" s="41"/>
      <c r="PM54" s="41"/>
      <c r="PN54" s="41"/>
      <c r="PO54" s="41"/>
      <c r="PP54" s="41"/>
      <c r="PQ54" s="41"/>
      <c r="PR54" s="41"/>
      <c r="PS54" s="41"/>
      <c r="PT54" s="41"/>
      <c r="PU54" s="41"/>
      <c r="PV54" s="41"/>
      <c r="PW54" s="41"/>
      <c r="PX54" s="41"/>
      <c r="PY54" s="41"/>
      <c r="PZ54" s="41"/>
      <c r="QA54" s="41"/>
      <c r="QB54" s="41"/>
      <c r="QC54" s="41"/>
      <c r="QD54" s="41"/>
      <c r="QE54" s="41"/>
      <c r="QF54" s="41"/>
      <c r="QG54" s="41"/>
      <c r="QH54" s="41"/>
      <c r="QI54" s="41"/>
      <c r="QJ54" s="41"/>
      <c r="QK54" s="41"/>
      <c r="QL54" s="41"/>
      <c r="QM54" s="41"/>
      <c r="QN54" s="41"/>
      <c r="QO54" s="41"/>
      <c r="QP54" s="41"/>
      <c r="QQ54" s="41"/>
      <c r="QR54" s="41"/>
      <c r="QS54" s="41"/>
      <c r="QT54" s="41"/>
      <c r="QU54" s="41"/>
      <c r="QV54" s="41"/>
      <c r="QW54" s="41"/>
      <c r="QX54" s="41"/>
      <c r="QY54" s="41"/>
      <c r="QZ54" s="41"/>
      <c r="RA54" s="41"/>
      <c r="RB54" s="41"/>
      <c r="RC54" s="41"/>
      <c r="RD54" s="41"/>
      <c r="RE54" s="41"/>
      <c r="RF54" s="41"/>
      <c r="RG54" s="41"/>
      <c r="RH54" s="41"/>
      <c r="RI54" s="41"/>
      <c r="RJ54" s="41"/>
      <c r="RK54" s="41"/>
      <c r="RL54" s="41"/>
      <c r="RM54" s="41"/>
      <c r="RN54" s="41"/>
      <c r="RO54" s="41"/>
      <c r="RP54" s="41"/>
      <c r="RQ54" s="41"/>
      <c r="RR54" s="41"/>
      <c r="RS54" s="41"/>
      <c r="RT54" s="41"/>
      <c r="RU54" s="41"/>
      <c r="RV54" s="41"/>
      <c r="RW54" s="41"/>
      <c r="RX54" s="41"/>
      <c r="RY54" s="41"/>
      <c r="RZ54" s="41"/>
      <c r="SA54" s="41"/>
      <c r="SB54" s="41"/>
      <c r="SC54" s="41"/>
      <c r="SD54" s="41"/>
      <c r="SE54" s="41"/>
      <c r="SF54" s="41"/>
      <c r="SG54" s="41"/>
      <c r="SH54" s="41"/>
      <c r="SI54" s="41"/>
      <c r="SJ54" s="41"/>
      <c r="SK54" s="41"/>
      <c r="SL54" s="41"/>
      <c r="SM54" s="41"/>
      <c r="SN54" s="41"/>
      <c r="SO54" s="41"/>
      <c r="SP54" s="41"/>
      <c r="SQ54" s="41"/>
      <c r="SR54" s="41"/>
      <c r="SS54" s="41"/>
      <c r="ST54" s="41"/>
      <c r="SU54" s="41"/>
      <c r="SV54" s="41"/>
      <c r="SW54" s="41"/>
      <c r="SX54" s="41"/>
      <c r="SY54" s="41"/>
      <c r="SZ54" s="41"/>
      <c r="TA54" s="41"/>
      <c r="TB54" s="41"/>
      <c r="TC54" s="41"/>
      <c r="TD54" s="41"/>
      <c r="TE54" s="41"/>
      <c r="TF54" s="41"/>
      <c r="TG54" s="41"/>
      <c r="TH54" s="41"/>
      <c r="TI54" s="41"/>
      <c r="TJ54" s="41"/>
      <c r="TK54" s="41"/>
      <c r="TL54" s="41"/>
      <c r="TM54" s="41"/>
      <c r="TN54" s="41"/>
      <c r="TO54" s="41"/>
      <c r="TP54" s="41"/>
      <c r="TQ54" s="41"/>
      <c r="TR54" s="41"/>
      <c r="TS54" s="41"/>
      <c r="TT54" s="41"/>
      <c r="TU54" s="41"/>
      <c r="TV54" s="41"/>
      <c r="TW54" s="41"/>
      <c r="TX54" s="41"/>
      <c r="TY54" s="41"/>
      <c r="TZ54" s="41"/>
      <c r="UA54" s="41"/>
      <c r="UB54" s="41"/>
      <c r="UC54" s="41"/>
      <c r="UD54" s="41"/>
      <c r="UE54" s="41"/>
      <c r="UF54" s="41"/>
      <c r="UG54" s="41"/>
      <c r="UH54" s="41"/>
      <c r="UI54" s="41"/>
      <c r="UJ54" s="41"/>
      <c r="UK54" s="41"/>
      <c r="UL54" s="41"/>
      <c r="UM54" s="41"/>
      <c r="UN54" s="41"/>
      <c r="UO54" s="41"/>
      <c r="UP54" s="41"/>
      <c r="UQ54" s="41"/>
      <c r="UR54" s="41"/>
      <c r="US54" s="41"/>
      <c r="UT54" s="41"/>
      <c r="UU54" s="41"/>
      <c r="UV54" s="41"/>
      <c r="UW54" s="41"/>
      <c r="UX54" s="41"/>
      <c r="UY54" s="41"/>
      <c r="UZ54" s="41"/>
      <c r="VA54" s="41"/>
      <c r="VB54" s="41"/>
      <c r="VC54" s="41"/>
      <c r="VD54" s="41"/>
      <c r="VE54" s="41"/>
      <c r="VF54" s="41"/>
      <c r="VG54" s="41"/>
      <c r="VH54" s="41"/>
      <c r="VI54" s="41"/>
      <c r="VJ54" s="41"/>
      <c r="VK54" s="41"/>
      <c r="VL54" s="41"/>
      <c r="VM54" s="41"/>
      <c r="VN54" s="41"/>
      <c r="VO54" s="41"/>
      <c r="VP54" s="41"/>
      <c r="VQ54" s="41"/>
      <c r="VR54" s="41"/>
      <c r="VS54" s="41"/>
      <c r="VT54" s="41"/>
      <c r="VU54" s="41"/>
      <c r="VV54" s="41"/>
      <c r="VW54" s="41"/>
      <c r="VX54" s="41"/>
      <c r="VY54" s="41"/>
      <c r="VZ54" s="41"/>
      <c r="WA54" s="41"/>
      <c r="WB54" s="41"/>
      <c r="WC54" s="41"/>
      <c r="WD54" s="41"/>
      <c r="WE54" s="41"/>
      <c r="WF54" s="41"/>
      <c r="WG54" s="41"/>
      <c r="WH54" s="41"/>
      <c r="WI54" s="41"/>
      <c r="WJ54" s="41"/>
      <c r="WK54" s="41"/>
      <c r="WL54" s="41"/>
      <c r="WM54" s="41"/>
      <c r="WN54" s="41"/>
      <c r="WO54" s="41"/>
      <c r="WP54" s="41"/>
      <c r="WQ54" s="41"/>
      <c r="WR54" s="41"/>
      <c r="WS54" s="41"/>
      <c r="WT54" s="41"/>
      <c r="WU54" s="41"/>
      <c r="WV54" s="41"/>
      <c r="WW54" s="41"/>
      <c r="WX54" s="41"/>
      <c r="WY54" s="41"/>
      <c r="WZ54" s="41"/>
      <c r="XA54" s="41"/>
      <c r="XB54" s="41"/>
      <c r="XC54" s="41"/>
      <c r="XD54" s="41"/>
      <c r="XE54" s="41"/>
      <c r="XF54" s="41"/>
      <c r="XG54" s="41"/>
      <c r="XH54" s="41"/>
      <c r="XI54" s="41"/>
      <c r="XJ54" s="41"/>
      <c r="XK54" s="41"/>
      <c r="XL54" s="41"/>
      <c r="XM54" s="41"/>
      <c r="XN54" s="41"/>
      <c r="XO54" s="41"/>
      <c r="XP54" s="41"/>
      <c r="XQ54" s="41"/>
      <c r="XR54" s="41"/>
      <c r="XS54" s="41"/>
      <c r="XT54" s="41"/>
      <c r="XU54" s="41"/>
      <c r="XV54" s="41"/>
      <c r="XW54" s="41"/>
      <c r="XX54" s="41"/>
      <c r="XY54" s="41"/>
      <c r="XZ54" s="41"/>
      <c r="YA54" s="41"/>
      <c r="YB54" s="41"/>
      <c r="YC54" s="41"/>
      <c r="YD54" s="41"/>
      <c r="YE54" s="41"/>
      <c r="YF54" s="41"/>
      <c r="YG54" s="41"/>
      <c r="YH54" s="41"/>
      <c r="YI54" s="41"/>
      <c r="YJ54" s="41"/>
      <c r="YK54" s="41"/>
      <c r="YL54" s="41"/>
      <c r="YM54" s="41"/>
      <c r="YN54" s="41"/>
      <c r="YO54" s="41"/>
      <c r="YP54" s="41"/>
      <c r="YQ54" s="41"/>
      <c r="YR54" s="41"/>
      <c r="YS54" s="41"/>
      <c r="YT54" s="41"/>
      <c r="YU54" s="41"/>
      <c r="YV54" s="41"/>
      <c r="YW54" s="41"/>
      <c r="YX54" s="41"/>
      <c r="YY54" s="41"/>
      <c r="YZ54" s="41"/>
      <c r="ZA54" s="41"/>
      <c r="ZB54" s="41"/>
      <c r="ZC54" s="41"/>
      <c r="ZD54" s="41"/>
      <c r="ZE54" s="41"/>
      <c r="ZF54" s="41"/>
      <c r="ZG54" s="41"/>
      <c r="ZH54" s="41"/>
      <c r="ZI54" s="41"/>
      <c r="ZJ54" s="41"/>
      <c r="ZK54" s="41"/>
      <c r="ZL54" s="41"/>
      <c r="ZM54" s="41"/>
      <c r="ZN54" s="41"/>
      <c r="ZO54" s="41"/>
      <c r="ZP54" s="41"/>
      <c r="ZQ54" s="41"/>
      <c r="ZR54" s="41"/>
      <c r="ZS54" s="41"/>
      <c r="ZT54" s="41"/>
      <c r="ZU54" s="41"/>
      <c r="ZV54" s="41"/>
      <c r="ZW54" s="41"/>
      <c r="ZX54" s="41"/>
      <c r="ZY54" s="41"/>
      <c r="ZZ54" s="41"/>
      <c r="AAA54" s="41"/>
      <c r="AAB54" s="41"/>
      <c r="AAC54" s="41"/>
      <c r="AAD54" s="41"/>
      <c r="AAE54" s="41"/>
      <c r="AAF54" s="41"/>
      <c r="AAG54" s="41"/>
      <c r="AAH54" s="41"/>
      <c r="AAI54" s="41"/>
      <c r="AAJ54" s="41"/>
      <c r="AAK54" s="41"/>
      <c r="AAL54" s="41"/>
      <c r="AAM54" s="41"/>
      <c r="AAN54" s="41"/>
      <c r="AAO54" s="41"/>
      <c r="AAP54" s="41"/>
      <c r="AAQ54" s="41"/>
      <c r="AAR54" s="41"/>
      <c r="AAS54" s="41"/>
      <c r="AAT54" s="41"/>
      <c r="AAU54" s="41"/>
      <c r="AAV54" s="41"/>
      <c r="AAW54" s="41"/>
      <c r="AAX54" s="41"/>
      <c r="AAY54" s="41"/>
      <c r="AAZ54" s="41"/>
      <c r="ABA54" s="41"/>
      <c r="ABB54" s="41"/>
      <c r="ABC54" s="41"/>
      <c r="ABD54" s="41"/>
      <c r="ABE54" s="41"/>
      <c r="ABF54" s="41"/>
      <c r="ABG54" s="41"/>
      <c r="ABH54" s="41"/>
      <c r="ABI54" s="41"/>
      <c r="ABJ54" s="41"/>
      <c r="ABK54" s="41"/>
      <c r="ABL54" s="41"/>
      <c r="ABM54" s="41"/>
      <c r="ABN54" s="41"/>
      <c r="ABO54" s="41"/>
      <c r="ABP54" s="41"/>
      <c r="ABQ54" s="41"/>
      <c r="ABR54" s="41"/>
      <c r="ABS54" s="41"/>
      <c r="ABT54" s="41"/>
      <c r="ABU54" s="41"/>
      <c r="ABV54" s="41"/>
      <c r="ABW54" s="41"/>
      <c r="ABX54" s="41"/>
      <c r="ABY54" s="41"/>
      <c r="ABZ54" s="41"/>
      <c r="ACA54" s="41"/>
      <c r="ACB54" s="41"/>
      <c r="ACC54" s="41"/>
      <c r="ACD54" s="41"/>
      <c r="ACE54" s="41"/>
      <c r="ACF54" s="41"/>
      <c r="ACG54" s="41"/>
      <c r="ACH54" s="41"/>
      <c r="ACI54" s="41"/>
      <c r="ACJ54" s="41"/>
      <c r="ACK54" s="41"/>
      <c r="ACL54" s="41"/>
      <c r="ACM54" s="41"/>
      <c r="ACN54" s="41"/>
      <c r="ACO54" s="41"/>
      <c r="ACP54" s="41"/>
      <c r="ACQ54" s="41"/>
      <c r="ACR54" s="41"/>
      <c r="ACS54" s="41"/>
      <c r="ACT54" s="41"/>
      <c r="ACU54" s="41"/>
      <c r="ACV54" s="41"/>
      <c r="ACW54" s="41"/>
      <c r="ACX54" s="41"/>
      <c r="ACY54" s="41"/>
      <c r="ACZ54" s="41"/>
      <c r="ADA54" s="41"/>
      <c r="ADB54" s="41"/>
      <c r="ADC54" s="41"/>
      <c r="ADD54" s="41"/>
      <c r="ADE54" s="41"/>
      <c r="ADF54" s="41"/>
      <c r="ADG54" s="41"/>
      <c r="ADH54" s="41"/>
      <c r="ADI54" s="41"/>
      <c r="ADJ54" s="41"/>
      <c r="ADK54" s="41"/>
      <c r="ADL54" s="41"/>
      <c r="ADM54" s="41"/>
      <c r="ADN54" s="41"/>
      <c r="ADO54" s="41"/>
      <c r="ADP54" s="41"/>
      <c r="ADQ54" s="41"/>
      <c r="ADR54" s="41"/>
      <c r="ADS54" s="41"/>
      <c r="ADT54" s="41"/>
      <c r="ADU54" s="41"/>
      <c r="ADV54" s="41"/>
      <c r="ADW54" s="41"/>
      <c r="ADX54" s="41"/>
      <c r="ADY54" s="41"/>
      <c r="ADZ54" s="41"/>
      <c r="AEA54" s="41"/>
      <c r="AEB54" s="41"/>
      <c r="AEC54" s="41"/>
      <c r="AED54" s="41"/>
      <c r="AEE54" s="41"/>
      <c r="AEF54" s="41"/>
      <c r="AEG54" s="41"/>
      <c r="AEH54" s="41"/>
      <c r="AEI54" s="41"/>
      <c r="AEJ54" s="41"/>
      <c r="AEK54" s="41"/>
      <c r="AEL54" s="41"/>
      <c r="AEM54" s="41"/>
      <c r="AEN54" s="41"/>
      <c r="AEO54" s="41"/>
      <c r="AEP54" s="41"/>
      <c r="AEQ54" s="41"/>
      <c r="AER54" s="41"/>
      <c r="AES54" s="41"/>
      <c r="AET54" s="41"/>
      <c r="AEU54" s="41"/>
      <c r="AEV54" s="41"/>
      <c r="AEW54" s="41"/>
      <c r="AEX54" s="41"/>
      <c r="AEY54" s="41"/>
      <c r="AEZ54" s="41"/>
      <c r="AFA54" s="41"/>
      <c r="AFB54" s="41"/>
      <c r="AFC54" s="41"/>
      <c r="AFD54" s="41"/>
      <c r="AFE54" s="41"/>
      <c r="AFF54" s="41"/>
      <c r="AFG54" s="41"/>
      <c r="AFH54" s="41"/>
      <c r="AFI54" s="41"/>
      <c r="AFJ54" s="41"/>
      <c r="AFK54" s="41"/>
      <c r="AFL54" s="41"/>
      <c r="AFM54" s="41"/>
      <c r="AFN54" s="41"/>
      <c r="AFO54" s="41"/>
      <c r="AFP54" s="41"/>
      <c r="AFQ54" s="41"/>
      <c r="AFR54" s="41"/>
      <c r="AFS54" s="41"/>
      <c r="AFT54" s="41"/>
      <c r="AFU54" s="41"/>
      <c r="AFV54" s="41"/>
      <c r="AFW54" s="41"/>
      <c r="AFX54" s="41"/>
      <c r="AFY54" s="41"/>
      <c r="AFZ54" s="41"/>
      <c r="AGA54" s="41"/>
      <c r="AGB54" s="41"/>
      <c r="AGC54" s="41"/>
      <c r="AGD54" s="41"/>
      <c r="AGE54" s="41"/>
      <c r="AGF54" s="41"/>
      <c r="AGG54" s="41"/>
      <c r="AGH54" s="41"/>
      <c r="AGI54" s="41"/>
      <c r="AGJ54" s="41"/>
      <c r="AGK54" s="41"/>
      <c r="AGL54" s="41"/>
      <c r="AGM54" s="41"/>
      <c r="AGN54" s="41"/>
      <c r="AGO54" s="41"/>
      <c r="AGP54" s="41"/>
      <c r="AGQ54" s="41"/>
      <c r="AGR54" s="41"/>
      <c r="AGS54" s="41"/>
      <c r="AGT54" s="41"/>
      <c r="AGU54" s="41"/>
      <c r="AGV54" s="41"/>
      <c r="AGW54" s="41"/>
      <c r="AGX54" s="41"/>
      <c r="AGY54" s="41"/>
      <c r="AGZ54" s="41"/>
      <c r="AHA54" s="41"/>
      <c r="AHB54" s="41"/>
      <c r="AHC54" s="41"/>
      <c r="AHD54" s="41"/>
      <c r="AHE54" s="41"/>
      <c r="AHF54" s="41"/>
      <c r="AHG54" s="41"/>
      <c r="AHH54" s="41"/>
      <c r="AHI54" s="41"/>
      <c r="AHJ54" s="41"/>
      <c r="AHK54" s="41"/>
      <c r="AHL54" s="41"/>
      <c r="AHM54" s="41"/>
      <c r="AHN54" s="41"/>
      <c r="AHO54" s="41"/>
      <c r="AHP54" s="41"/>
      <c r="AHQ54" s="41"/>
      <c r="AHR54" s="41"/>
      <c r="AHS54" s="41"/>
      <c r="AHT54" s="41"/>
      <c r="AHU54" s="41"/>
      <c r="AHV54" s="41"/>
      <c r="AHW54" s="41"/>
      <c r="AHX54" s="41"/>
      <c r="AHY54" s="41"/>
      <c r="AHZ54" s="41"/>
      <c r="AIA54" s="41"/>
      <c r="AIB54" s="41"/>
      <c r="AIC54" s="41"/>
      <c r="AID54" s="41"/>
      <c r="AIE54" s="41"/>
      <c r="AIF54" s="41"/>
      <c r="AIG54" s="41"/>
      <c r="AIH54" s="41"/>
      <c r="AII54" s="41"/>
      <c r="AIJ54" s="41"/>
      <c r="AIK54" s="41"/>
      <c r="AIL54" s="41"/>
      <c r="AIM54" s="41"/>
      <c r="AIN54" s="41"/>
      <c r="AIO54" s="41"/>
      <c r="AIP54" s="41"/>
      <c r="AIQ54" s="41"/>
      <c r="AIR54" s="41"/>
      <c r="AIS54" s="41"/>
      <c r="AIT54" s="41"/>
      <c r="AIU54" s="41"/>
      <c r="AIV54" s="41"/>
      <c r="AIW54" s="41"/>
      <c r="AIX54" s="41"/>
      <c r="AIY54" s="41"/>
      <c r="AIZ54" s="41"/>
      <c r="AJA54" s="41"/>
      <c r="AJB54" s="41"/>
      <c r="AJC54" s="41"/>
      <c r="AJD54" s="41"/>
      <c r="AJE54" s="41"/>
      <c r="AJF54" s="41"/>
      <c r="AJG54" s="41"/>
      <c r="AJH54" s="41"/>
      <c r="AJI54" s="41"/>
      <c r="AJJ54" s="41"/>
      <c r="AJK54" s="41"/>
      <c r="AJL54" s="41"/>
      <c r="AJM54" s="41"/>
      <c r="AJN54" s="41"/>
      <c r="AJO54" s="41"/>
      <c r="AJP54" s="41"/>
      <c r="AJQ54" s="41"/>
      <c r="AJR54" s="41"/>
      <c r="AJS54" s="41"/>
      <c r="AJT54" s="41"/>
      <c r="AJU54" s="41"/>
      <c r="AJV54" s="41"/>
      <c r="AJW54" s="41"/>
      <c r="AJX54" s="41"/>
      <c r="AJY54" s="41"/>
      <c r="AJZ54" s="41"/>
      <c r="AKA54" s="41"/>
      <c r="AKB54" s="41"/>
      <c r="AKC54" s="41"/>
      <c r="AKD54" s="41"/>
      <c r="AKE54" s="41"/>
      <c r="AKF54" s="41"/>
      <c r="AKG54" s="41"/>
      <c r="AKH54" s="41"/>
      <c r="AKI54" s="41"/>
      <c r="AKJ54" s="41"/>
      <c r="AKK54" s="41"/>
      <c r="AKL54" s="41"/>
      <c r="AKM54" s="41"/>
      <c r="AKN54" s="41"/>
      <c r="AKO54" s="41"/>
      <c r="AKP54" s="41"/>
      <c r="AKQ54" s="41"/>
      <c r="AKR54" s="41"/>
      <c r="AKS54" s="41"/>
      <c r="AKT54" s="41"/>
      <c r="AKU54" s="41"/>
      <c r="AKV54" s="41"/>
      <c r="AKW54" s="41"/>
      <c r="AKX54" s="41"/>
      <c r="AKY54" s="41"/>
      <c r="AKZ54" s="41"/>
      <c r="ALA54" s="41"/>
      <c r="ALB54" s="41"/>
      <c r="ALC54" s="41"/>
      <c r="ALD54" s="41"/>
      <c r="ALE54" s="41"/>
      <c r="ALF54" s="41"/>
      <c r="ALG54" s="41"/>
      <c r="ALH54" s="41"/>
      <c r="ALI54" s="41"/>
      <c r="ALJ54" s="41"/>
      <c r="ALK54" s="41"/>
      <c r="ALL54" s="41"/>
      <c r="ALM54" s="41"/>
      <c r="ALN54" s="41"/>
      <c r="ALO54" s="41"/>
      <c r="ALP54" s="41"/>
      <c r="ALQ54" s="41"/>
      <c r="ALR54" s="41"/>
      <c r="ALS54" s="41"/>
      <c r="ALT54" s="41"/>
      <c r="ALU54" s="41"/>
      <c r="ALV54" s="41"/>
      <c r="ALW54" s="41"/>
      <c r="ALX54" s="41"/>
      <c r="ALY54" s="41"/>
      <c r="ALZ54" s="41"/>
      <c r="AMA54" s="41"/>
      <c r="AMB54" s="41"/>
      <c r="AMC54" s="41"/>
      <c r="AMD54" s="41"/>
      <c r="AME54" s="41"/>
      <c r="AMF54" s="41"/>
      <c r="AMG54" s="41"/>
      <c r="AMH54" s="41"/>
      <c r="AMI54" s="41"/>
      <c r="AMJ54" s="41"/>
      <c r="AMK54" s="41"/>
      <c r="AML54" s="41"/>
      <c r="AMM54" s="41"/>
      <c r="AMN54" s="41"/>
      <c r="AMO54" s="41"/>
      <c r="AMP54" s="41"/>
      <c r="AMQ54" s="41"/>
      <c r="AMR54" s="41"/>
      <c r="AMS54" s="41"/>
      <c r="AMT54" s="41"/>
      <c r="AMU54" s="41"/>
      <c r="AMV54" s="41"/>
      <c r="AMW54" s="41"/>
      <c r="AMX54" s="41"/>
      <c r="AMY54" s="41"/>
      <c r="AMZ54" s="41"/>
      <c r="ANA54" s="41"/>
      <c r="ANB54" s="41"/>
      <c r="ANC54" s="41"/>
      <c r="AND54" s="41"/>
      <c r="ANE54" s="41"/>
      <c r="ANF54" s="41"/>
      <c r="ANG54" s="41"/>
      <c r="ANH54" s="41"/>
      <c r="ANI54" s="41"/>
      <c r="ANJ54" s="41"/>
      <c r="ANK54" s="41"/>
    </row>
    <row r="55" s="44" customFormat="true" ht="15" hidden="false" customHeight="false" outlineLevel="0" collapsed="false">
      <c r="A55" s="55" t="s">
        <v>77</v>
      </c>
      <c r="B55" s="43" t="n">
        <v>131609.367243</v>
      </c>
      <c r="C55" s="44" t="n">
        <v>261857.682391</v>
      </c>
      <c r="D55" s="44" t="n">
        <v>4758.575216</v>
      </c>
      <c r="E55" s="45" t="n">
        <v>240000</v>
      </c>
      <c r="F55" s="43" t="n">
        <v>0</v>
      </c>
      <c r="G55" s="44" t="n">
        <v>2651</v>
      </c>
      <c r="H55" s="46" t="n">
        <v>200</v>
      </c>
      <c r="I55" s="47" t="n">
        <v>56.7</v>
      </c>
      <c r="J55" s="48" t="n">
        <v>0</v>
      </c>
      <c r="K55" s="43"/>
      <c r="M55" s="46" t="n">
        <v>0</v>
      </c>
      <c r="N55" s="43" t="n">
        <v>0</v>
      </c>
      <c r="O55" s="46" t="n">
        <v>0</v>
      </c>
      <c r="P55" s="49" t="n">
        <v>0</v>
      </c>
      <c r="Q55" s="50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0</v>
      </c>
      <c r="Z55" s="44" t="n">
        <v>0</v>
      </c>
      <c r="AA55" s="44" t="n">
        <v>0</v>
      </c>
      <c r="AB55" s="44" t="n">
        <v>0</v>
      </c>
      <c r="AC55" s="44" t="n">
        <v>0</v>
      </c>
      <c r="AD55" s="44" t="n">
        <v>0</v>
      </c>
      <c r="AE55" s="44" t="n">
        <v>0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6" t="n">
        <v>0</v>
      </c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41"/>
      <c r="JB55" s="41"/>
      <c r="JC55" s="41"/>
      <c r="JD55" s="41"/>
      <c r="JE55" s="41"/>
      <c r="JF55" s="41"/>
      <c r="JG55" s="41"/>
      <c r="JH55" s="41"/>
      <c r="JI55" s="41"/>
      <c r="JJ55" s="41"/>
      <c r="JK55" s="41"/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1"/>
      <c r="KI55" s="41"/>
      <c r="KJ55" s="41"/>
      <c r="KK55" s="41"/>
      <c r="KL55" s="41"/>
      <c r="KM55" s="41"/>
      <c r="KN55" s="41"/>
      <c r="KO55" s="41"/>
      <c r="KP55" s="41"/>
      <c r="KQ55" s="41"/>
      <c r="KR55" s="41"/>
      <c r="KS55" s="41"/>
      <c r="KT55" s="41"/>
      <c r="KU55" s="41"/>
      <c r="KV55" s="41"/>
      <c r="KW55" s="41"/>
      <c r="KX55" s="41"/>
      <c r="KY55" s="41"/>
      <c r="KZ55" s="41"/>
      <c r="LA55" s="41"/>
      <c r="LB55" s="41"/>
      <c r="LC55" s="41"/>
      <c r="LD55" s="41"/>
      <c r="LE55" s="41"/>
      <c r="LF55" s="41"/>
      <c r="LG55" s="41"/>
      <c r="LH55" s="41"/>
      <c r="LI55" s="41"/>
      <c r="LJ55" s="41"/>
      <c r="LK55" s="41"/>
      <c r="LL55" s="41"/>
      <c r="LM55" s="41"/>
      <c r="LN55" s="41"/>
      <c r="LO55" s="41"/>
      <c r="LP55" s="41"/>
      <c r="LQ55" s="41"/>
      <c r="LR55" s="41"/>
      <c r="LS55" s="41"/>
      <c r="LT55" s="41"/>
      <c r="LU55" s="41"/>
      <c r="LV55" s="41"/>
      <c r="LW55" s="41"/>
      <c r="LX55" s="41"/>
      <c r="LY55" s="41"/>
      <c r="LZ55" s="41"/>
      <c r="MA55" s="41"/>
      <c r="MB55" s="41"/>
      <c r="MC55" s="41"/>
      <c r="MD55" s="41"/>
      <c r="ME55" s="41"/>
      <c r="MF55" s="41"/>
      <c r="MG55" s="41"/>
      <c r="MH55" s="41"/>
      <c r="MI55" s="41"/>
      <c r="MJ55" s="41"/>
      <c r="MK55" s="41"/>
      <c r="ML55" s="41"/>
      <c r="MM55" s="41"/>
      <c r="MN55" s="41"/>
      <c r="MO55" s="41"/>
      <c r="MP55" s="41"/>
      <c r="MQ55" s="41"/>
      <c r="MR55" s="41"/>
      <c r="MS55" s="41"/>
      <c r="MT55" s="41"/>
      <c r="MU55" s="41"/>
      <c r="MV55" s="41"/>
      <c r="MW55" s="41"/>
      <c r="MX55" s="41"/>
      <c r="MY55" s="41"/>
      <c r="MZ55" s="41"/>
      <c r="NA55" s="41"/>
      <c r="NB55" s="41"/>
      <c r="NC55" s="41"/>
      <c r="ND55" s="41"/>
      <c r="NE55" s="41"/>
      <c r="NF55" s="41"/>
      <c r="NG55" s="41"/>
      <c r="NH55" s="41"/>
      <c r="NI55" s="41"/>
      <c r="NJ55" s="41"/>
      <c r="NK55" s="41"/>
      <c r="NL55" s="41"/>
      <c r="NM55" s="41"/>
      <c r="NN55" s="41"/>
      <c r="NO55" s="41"/>
      <c r="NP55" s="41"/>
      <c r="NQ55" s="41"/>
      <c r="NR55" s="41"/>
      <c r="NS55" s="41"/>
      <c r="NT55" s="41"/>
      <c r="NU55" s="41"/>
      <c r="NV55" s="41"/>
      <c r="NW55" s="41"/>
      <c r="NX55" s="41"/>
      <c r="NY55" s="41"/>
      <c r="NZ55" s="41"/>
      <c r="OA55" s="41"/>
      <c r="OB55" s="41"/>
      <c r="OC55" s="41"/>
      <c r="OD55" s="41"/>
      <c r="OE55" s="41"/>
      <c r="OF55" s="41"/>
      <c r="OG55" s="41"/>
      <c r="OH55" s="41"/>
      <c r="OI55" s="41"/>
      <c r="OJ55" s="41"/>
      <c r="OK55" s="41"/>
      <c r="OL55" s="41"/>
      <c r="OM55" s="41"/>
      <c r="ON55" s="41"/>
      <c r="OO55" s="41"/>
      <c r="OP55" s="41"/>
      <c r="OQ55" s="41"/>
      <c r="OR55" s="41"/>
      <c r="OS55" s="41"/>
      <c r="OT55" s="41"/>
      <c r="OU55" s="41"/>
      <c r="OV55" s="41"/>
      <c r="OW55" s="41"/>
      <c r="OX55" s="41"/>
      <c r="OY55" s="41"/>
      <c r="OZ55" s="41"/>
      <c r="PA55" s="41"/>
      <c r="PB55" s="41"/>
      <c r="PC55" s="41"/>
      <c r="PD55" s="41"/>
      <c r="PE55" s="41"/>
      <c r="PF55" s="41"/>
      <c r="PG55" s="41"/>
      <c r="PH55" s="41"/>
      <c r="PI55" s="41"/>
      <c r="PJ55" s="41"/>
      <c r="PK55" s="41"/>
      <c r="PL55" s="41"/>
      <c r="PM55" s="41"/>
      <c r="PN55" s="41"/>
      <c r="PO55" s="41"/>
      <c r="PP55" s="41"/>
      <c r="PQ55" s="41"/>
      <c r="PR55" s="41"/>
      <c r="PS55" s="41"/>
      <c r="PT55" s="41"/>
      <c r="PU55" s="41"/>
      <c r="PV55" s="41"/>
      <c r="PW55" s="41"/>
      <c r="PX55" s="41"/>
      <c r="PY55" s="41"/>
      <c r="PZ55" s="41"/>
      <c r="QA55" s="41"/>
      <c r="QB55" s="41"/>
      <c r="QC55" s="41"/>
      <c r="QD55" s="41"/>
      <c r="QE55" s="41"/>
      <c r="QF55" s="41"/>
      <c r="QG55" s="41"/>
      <c r="QH55" s="41"/>
      <c r="QI55" s="41"/>
      <c r="QJ55" s="41"/>
      <c r="QK55" s="41"/>
      <c r="QL55" s="41"/>
      <c r="QM55" s="41"/>
      <c r="QN55" s="41"/>
      <c r="QO55" s="41"/>
      <c r="QP55" s="41"/>
      <c r="QQ55" s="41"/>
      <c r="QR55" s="41"/>
      <c r="QS55" s="41"/>
      <c r="QT55" s="41"/>
      <c r="QU55" s="41"/>
      <c r="QV55" s="41"/>
      <c r="QW55" s="41"/>
      <c r="QX55" s="41"/>
      <c r="QY55" s="41"/>
      <c r="QZ55" s="41"/>
      <c r="RA55" s="41"/>
      <c r="RB55" s="41"/>
      <c r="RC55" s="41"/>
      <c r="RD55" s="41"/>
      <c r="RE55" s="41"/>
      <c r="RF55" s="41"/>
      <c r="RG55" s="41"/>
      <c r="RH55" s="41"/>
      <c r="RI55" s="41"/>
      <c r="RJ55" s="41"/>
      <c r="RK55" s="41"/>
      <c r="RL55" s="41"/>
      <c r="RM55" s="41"/>
      <c r="RN55" s="41"/>
      <c r="RO55" s="41"/>
      <c r="RP55" s="41"/>
      <c r="RQ55" s="41"/>
      <c r="RR55" s="41"/>
      <c r="RS55" s="41"/>
      <c r="RT55" s="41"/>
      <c r="RU55" s="41"/>
      <c r="RV55" s="41"/>
      <c r="RW55" s="41"/>
      <c r="RX55" s="41"/>
      <c r="RY55" s="41"/>
      <c r="RZ55" s="41"/>
      <c r="SA55" s="41"/>
      <c r="SB55" s="41"/>
      <c r="SC55" s="41"/>
      <c r="SD55" s="41"/>
      <c r="SE55" s="41"/>
      <c r="SF55" s="41"/>
      <c r="SG55" s="41"/>
      <c r="SH55" s="41"/>
      <c r="SI55" s="41"/>
      <c r="SJ55" s="41"/>
      <c r="SK55" s="41"/>
      <c r="SL55" s="41"/>
      <c r="SM55" s="41"/>
      <c r="SN55" s="41"/>
      <c r="SO55" s="41"/>
      <c r="SP55" s="41"/>
      <c r="SQ55" s="41"/>
      <c r="SR55" s="41"/>
      <c r="SS55" s="41"/>
      <c r="ST55" s="41"/>
      <c r="SU55" s="41"/>
      <c r="SV55" s="41"/>
      <c r="SW55" s="41"/>
      <c r="SX55" s="41"/>
      <c r="SY55" s="41"/>
      <c r="SZ55" s="41"/>
      <c r="TA55" s="41"/>
      <c r="TB55" s="41"/>
      <c r="TC55" s="41"/>
      <c r="TD55" s="41"/>
      <c r="TE55" s="41"/>
      <c r="TF55" s="41"/>
      <c r="TG55" s="41"/>
      <c r="TH55" s="41"/>
      <c r="TI55" s="41"/>
      <c r="TJ55" s="41"/>
      <c r="TK55" s="41"/>
      <c r="TL55" s="41"/>
      <c r="TM55" s="41"/>
      <c r="TN55" s="41"/>
      <c r="TO55" s="41"/>
      <c r="TP55" s="41"/>
      <c r="TQ55" s="41"/>
      <c r="TR55" s="41"/>
      <c r="TS55" s="41"/>
      <c r="TT55" s="41"/>
      <c r="TU55" s="41"/>
      <c r="TV55" s="41"/>
      <c r="TW55" s="41"/>
      <c r="TX55" s="41"/>
      <c r="TY55" s="41"/>
      <c r="TZ55" s="41"/>
      <c r="UA55" s="41"/>
      <c r="UB55" s="41"/>
      <c r="UC55" s="41"/>
      <c r="UD55" s="41"/>
      <c r="UE55" s="41"/>
      <c r="UF55" s="41"/>
      <c r="UG55" s="41"/>
      <c r="UH55" s="41"/>
      <c r="UI55" s="41"/>
      <c r="UJ55" s="41"/>
      <c r="UK55" s="41"/>
      <c r="UL55" s="41"/>
      <c r="UM55" s="41"/>
      <c r="UN55" s="41"/>
      <c r="UO55" s="41"/>
      <c r="UP55" s="41"/>
      <c r="UQ55" s="41"/>
      <c r="UR55" s="41"/>
      <c r="US55" s="41"/>
      <c r="UT55" s="41"/>
      <c r="UU55" s="41"/>
      <c r="UV55" s="41"/>
      <c r="UW55" s="41"/>
      <c r="UX55" s="41"/>
      <c r="UY55" s="41"/>
      <c r="UZ55" s="41"/>
      <c r="VA55" s="41"/>
      <c r="VB55" s="41"/>
      <c r="VC55" s="41"/>
      <c r="VD55" s="41"/>
      <c r="VE55" s="41"/>
      <c r="VF55" s="41"/>
      <c r="VG55" s="41"/>
      <c r="VH55" s="41"/>
      <c r="VI55" s="41"/>
      <c r="VJ55" s="41"/>
      <c r="VK55" s="41"/>
      <c r="VL55" s="41"/>
      <c r="VM55" s="41"/>
      <c r="VN55" s="41"/>
      <c r="VO55" s="41"/>
      <c r="VP55" s="41"/>
      <c r="VQ55" s="41"/>
      <c r="VR55" s="41"/>
      <c r="VS55" s="41"/>
      <c r="VT55" s="41"/>
      <c r="VU55" s="41"/>
      <c r="VV55" s="41"/>
      <c r="VW55" s="41"/>
      <c r="VX55" s="41"/>
      <c r="VY55" s="41"/>
      <c r="VZ55" s="41"/>
      <c r="WA55" s="41"/>
      <c r="WB55" s="41"/>
      <c r="WC55" s="41"/>
      <c r="WD55" s="41"/>
      <c r="WE55" s="41"/>
      <c r="WF55" s="41"/>
      <c r="WG55" s="41"/>
      <c r="WH55" s="41"/>
      <c r="WI55" s="41"/>
      <c r="WJ55" s="41"/>
      <c r="WK55" s="41"/>
      <c r="WL55" s="41"/>
      <c r="WM55" s="41"/>
      <c r="WN55" s="41"/>
      <c r="WO55" s="41"/>
      <c r="WP55" s="41"/>
      <c r="WQ55" s="41"/>
      <c r="WR55" s="41"/>
      <c r="WS55" s="41"/>
      <c r="WT55" s="41"/>
      <c r="WU55" s="41"/>
      <c r="WV55" s="41"/>
      <c r="WW55" s="41"/>
      <c r="WX55" s="41"/>
      <c r="WY55" s="41"/>
      <c r="WZ55" s="41"/>
      <c r="XA55" s="41"/>
      <c r="XB55" s="41"/>
      <c r="XC55" s="41"/>
      <c r="XD55" s="41"/>
      <c r="XE55" s="41"/>
      <c r="XF55" s="41"/>
      <c r="XG55" s="41"/>
      <c r="XH55" s="41"/>
      <c r="XI55" s="41"/>
      <c r="XJ55" s="41"/>
      <c r="XK55" s="41"/>
      <c r="XL55" s="41"/>
      <c r="XM55" s="41"/>
      <c r="XN55" s="41"/>
      <c r="XO55" s="41"/>
      <c r="XP55" s="41"/>
      <c r="XQ55" s="41"/>
      <c r="XR55" s="41"/>
      <c r="XS55" s="41"/>
      <c r="XT55" s="41"/>
      <c r="XU55" s="41"/>
      <c r="XV55" s="41"/>
      <c r="XW55" s="41"/>
      <c r="XX55" s="41"/>
      <c r="XY55" s="41"/>
      <c r="XZ55" s="41"/>
      <c r="YA55" s="41"/>
      <c r="YB55" s="41"/>
      <c r="YC55" s="41"/>
      <c r="YD55" s="41"/>
      <c r="YE55" s="41"/>
      <c r="YF55" s="41"/>
      <c r="YG55" s="41"/>
      <c r="YH55" s="41"/>
      <c r="YI55" s="41"/>
      <c r="YJ55" s="41"/>
      <c r="YK55" s="41"/>
      <c r="YL55" s="41"/>
      <c r="YM55" s="41"/>
      <c r="YN55" s="41"/>
      <c r="YO55" s="41"/>
      <c r="YP55" s="41"/>
      <c r="YQ55" s="41"/>
      <c r="YR55" s="41"/>
      <c r="YS55" s="41"/>
      <c r="YT55" s="41"/>
      <c r="YU55" s="41"/>
      <c r="YV55" s="41"/>
      <c r="YW55" s="41"/>
      <c r="YX55" s="41"/>
      <c r="YY55" s="41"/>
      <c r="YZ55" s="41"/>
      <c r="ZA55" s="41"/>
      <c r="ZB55" s="41"/>
      <c r="ZC55" s="41"/>
      <c r="ZD55" s="41"/>
      <c r="ZE55" s="41"/>
      <c r="ZF55" s="41"/>
      <c r="ZG55" s="41"/>
      <c r="ZH55" s="41"/>
      <c r="ZI55" s="41"/>
      <c r="ZJ55" s="41"/>
      <c r="ZK55" s="41"/>
      <c r="ZL55" s="41"/>
      <c r="ZM55" s="41"/>
      <c r="ZN55" s="41"/>
      <c r="ZO55" s="41"/>
      <c r="ZP55" s="41"/>
      <c r="ZQ55" s="41"/>
      <c r="ZR55" s="41"/>
      <c r="ZS55" s="41"/>
      <c r="ZT55" s="41"/>
      <c r="ZU55" s="41"/>
      <c r="ZV55" s="41"/>
      <c r="ZW55" s="41"/>
      <c r="ZX55" s="41"/>
      <c r="ZY55" s="41"/>
      <c r="ZZ55" s="41"/>
      <c r="AAA55" s="41"/>
      <c r="AAB55" s="41"/>
      <c r="AAC55" s="41"/>
      <c r="AAD55" s="41"/>
      <c r="AAE55" s="41"/>
      <c r="AAF55" s="41"/>
      <c r="AAG55" s="41"/>
      <c r="AAH55" s="41"/>
      <c r="AAI55" s="41"/>
      <c r="AAJ55" s="41"/>
      <c r="AAK55" s="41"/>
      <c r="AAL55" s="41"/>
      <c r="AAM55" s="41"/>
      <c r="AAN55" s="41"/>
      <c r="AAO55" s="41"/>
      <c r="AAP55" s="41"/>
      <c r="AAQ55" s="41"/>
      <c r="AAR55" s="41"/>
      <c r="AAS55" s="41"/>
      <c r="AAT55" s="41"/>
      <c r="AAU55" s="41"/>
      <c r="AAV55" s="41"/>
      <c r="AAW55" s="41"/>
      <c r="AAX55" s="41"/>
      <c r="AAY55" s="41"/>
      <c r="AAZ55" s="41"/>
      <c r="ABA55" s="41"/>
      <c r="ABB55" s="41"/>
      <c r="ABC55" s="41"/>
      <c r="ABD55" s="41"/>
      <c r="ABE55" s="41"/>
      <c r="ABF55" s="41"/>
      <c r="ABG55" s="41"/>
      <c r="ABH55" s="41"/>
      <c r="ABI55" s="41"/>
      <c r="ABJ55" s="41"/>
      <c r="ABK55" s="41"/>
      <c r="ABL55" s="41"/>
      <c r="ABM55" s="41"/>
      <c r="ABN55" s="41"/>
      <c r="ABO55" s="41"/>
      <c r="ABP55" s="41"/>
      <c r="ABQ55" s="41"/>
      <c r="ABR55" s="41"/>
      <c r="ABS55" s="41"/>
      <c r="ABT55" s="41"/>
      <c r="ABU55" s="41"/>
      <c r="ABV55" s="41"/>
      <c r="ABW55" s="41"/>
      <c r="ABX55" s="41"/>
      <c r="ABY55" s="41"/>
      <c r="ABZ55" s="41"/>
      <c r="ACA55" s="41"/>
      <c r="ACB55" s="41"/>
      <c r="ACC55" s="41"/>
      <c r="ACD55" s="41"/>
      <c r="ACE55" s="41"/>
      <c r="ACF55" s="41"/>
      <c r="ACG55" s="41"/>
      <c r="ACH55" s="41"/>
      <c r="ACI55" s="41"/>
      <c r="ACJ55" s="41"/>
      <c r="ACK55" s="41"/>
      <c r="ACL55" s="41"/>
      <c r="ACM55" s="41"/>
      <c r="ACN55" s="41"/>
      <c r="ACO55" s="41"/>
      <c r="ACP55" s="41"/>
      <c r="ACQ55" s="41"/>
      <c r="ACR55" s="41"/>
      <c r="ACS55" s="41"/>
      <c r="ACT55" s="41"/>
      <c r="ACU55" s="41"/>
      <c r="ACV55" s="41"/>
      <c r="ACW55" s="41"/>
      <c r="ACX55" s="41"/>
      <c r="ACY55" s="41"/>
      <c r="ACZ55" s="41"/>
      <c r="ADA55" s="41"/>
      <c r="ADB55" s="41"/>
      <c r="ADC55" s="41"/>
      <c r="ADD55" s="41"/>
      <c r="ADE55" s="41"/>
      <c r="ADF55" s="41"/>
      <c r="ADG55" s="41"/>
      <c r="ADH55" s="41"/>
      <c r="ADI55" s="41"/>
      <c r="ADJ55" s="41"/>
      <c r="ADK55" s="41"/>
      <c r="ADL55" s="41"/>
      <c r="ADM55" s="41"/>
      <c r="ADN55" s="41"/>
      <c r="ADO55" s="41"/>
      <c r="ADP55" s="41"/>
      <c r="ADQ55" s="41"/>
      <c r="ADR55" s="41"/>
      <c r="ADS55" s="41"/>
      <c r="ADT55" s="41"/>
      <c r="ADU55" s="41"/>
      <c r="ADV55" s="41"/>
      <c r="ADW55" s="41"/>
      <c r="ADX55" s="41"/>
      <c r="ADY55" s="41"/>
      <c r="ADZ55" s="41"/>
      <c r="AEA55" s="41"/>
      <c r="AEB55" s="41"/>
      <c r="AEC55" s="41"/>
      <c r="AED55" s="41"/>
      <c r="AEE55" s="41"/>
      <c r="AEF55" s="41"/>
      <c r="AEG55" s="41"/>
      <c r="AEH55" s="41"/>
      <c r="AEI55" s="41"/>
      <c r="AEJ55" s="41"/>
      <c r="AEK55" s="41"/>
      <c r="AEL55" s="41"/>
      <c r="AEM55" s="41"/>
      <c r="AEN55" s="41"/>
      <c r="AEO55" s="41"/>
      <c r="AEP55" s="41"/>
      <c r="AEQ55" s="41"/>
      <c r="AER55" s="41"/>
      <c r="AES55" s="41"/>
      <c r="AET55" s="41"/>
      <c r="AEU55" s="41"/>
      <c r="AEV55" s="41"/>
      <c r="AEW55" s="41"/>
      <c r="AEX55" s="41"/>
      <c r="AEY55" s="41"/>
      <c r="AEZ55" s="41"/>
      <c r="AFA55" s="41"/>
      <c r="AFB55" s="41"/>
      <c r="AFC55" s="41"/>
      <c r="AFD55" s="41"/>
      <c r="AFE55" s="41"/>
      <c r="AFF55" s="41"/>
      <c r="AFG55" s="41"/>
      <c r="AFH55" s="41"/>
      <c r="AFI55" s="41"/>
      <c r="AFJ55" s="41"/>
      <c r="AFK55" s="41"/>
      <c r="AFL55" s="41"/>
      <c r="AFM55" s="41"/>
      <c r="AFN55" s="41"/>
      <c r="AFO55" s="41"/>
      <c r="AFP55" s="41"/>
      <c r="AFQ55" s="41"/>
      <c r="AFR55" s="41"/>
      <c r="AFS55" s="41"/>
      <c r="AFT55" s="41"/>
      <c r="AFU55" s="41"/>
      <c r="AFV55" s="41"/>
      <c r="AFW55" s="41"/>
      <c r="AFX55" s="41"/>
      <c r="AFY55" s="41"/>
      <c r="AFZ55" s="41"/>
      <c r="AGA55" s="41"/>
      <c r="AGB55" s="41"/>
      <c r="AGC55" s="41"/>
      <c r="AGD55" s="41"/>
      <c r="AGE55" s="41"/>
      <c r="AGF55" s="41"/>
      <c r="AGG55" s="41"/>
      <c r="AGH55" s="41"/>
      <c r="AGI55" s="41"/>
      <c r="AGJ55" s="41"/>
      <c r="AGK55" s="41"/>
      <c r="AGL55" s="41"/>
      <c r="AGM55" s="41"/>
      <c r="AGN55" s="41"/>
      <c r="AGO55" s="41"/>
      <c r="AGP55" s="41"/>
      <c r="AGQ55" s="41"/>
      <c r="AGR55" s="41"/>
      <c r="AGS55" s="41"/>
      <c r="AGT55" s="41"/>
      <c r="AGU55" s="41"/>
      <c r="AGV55" s="41"/>
      <c r="AGW55" s="41"/>
      <c r="AGX55" s="41"/>
      <c r="AGY55" s="41"/>
      <c r="AGZ55" s="41"/>
      <c r="AHA55" s="41"/>
      <c r="AHB55" s="41"/>
      <c r="AHC55" s="41"/>
      <c r="AHD55" s="41"/>
      <c r="AHE55" s="41"/>
      <c r="AHF55" s="41"/>
      <c r="AHG55" s="41"/>
      <c r="AHH55" s="41"/>
      <c r="AHI55" s="41"/>
      <c r="AHJ55" s="41"/>
      <c r="AHK55" s="41"/>
      <c r="AHL55" s="41"/>
      <c r="AHM55" s="41"/>
      <c r="AHN55" s="41"/>
      <c r="AHO55" s="41"/>
      <c r="AHP55" s="41"/>
      <c r="AHQ55" s="41"/>
      <c r="AHR55" s="41"/>
      <c r="AHS55" s="41"/>
      <c r="AHT55" s="41"/>
      <c r="AHU55" s="41"/>
      <c r="AHV55" s="41"/>
      <c r="AHW55" s="41"/>
      <c r="AHX55" s="41"/>
      <c r="AHY55" s="41"/>
      <c r="AHZ55" s="41"/>
      <c r="AIA55" s="41"/>
      <c r="AIB55" s="41"/>
      <c r="AIC55" s="41"/>
      <c r="AID55" s="41"/>
      <c r="AIE55" s="41"/>
      <c r="AIF55" s="41"/>
      <c r="AIG55" s="41"/>
      <c r="AIH55" s="41"/>
      <c r="AII55" s="41"/>
      <c r="AIJ55" s="41"/>
      <c r="AIK55" s="41"/>
      <c r="AIL55" s="41"/>
      <c r="AIM55" s="41"/>
      <c r="AIN55" s="41"/>
      <c r="AIO55" s="41"/>
      <c r="AIP55" s="41"/>
      <c r="AIQ55" s="41"/>
      <c r="AIR55" s="41"/>
      <c r="AIS55" s="41"/>
      <c r="AIT55" s="41"/>
      <c r="AIU55" s="41"/>
      <c r="AIV55" s="41"/>
      <c r="AIW55" s="41"/>
      <c r="AIX55" s="41"/>
      <c r="AIY55" s="41"/>
      <c r="AIZ55" s="41"/>
      <c r="AJA55" s="41"/>
      <c r="AJB55" s="41"/>
      <c r="AJC55" s="41"/>
      <c r="AJD55" s="41"/>
      <c r="AJE55" s="41"/>
      <c r="AJF55" s="41"/>
      <c r="AJG55" s="41"/>
      <c r="AJH55" s="41"/>
      <c r="AJI55" s="41"/>
      <c r="AJJ55" s="41"/>
      <c r="AJK55" s="41"/>
      <c r="AJL55" s="41"/>
      <c r="AJM55" s="41"/>
      <c r="AJN55" s="41"/>
      <c r="AJO55" s="41"/>
      <c r="AJP55" s="41"/>
      <c r="AJQ55" s="41"/>
      <c r="AJR55" s="41"/>
      <c r="AJS55" s="41"/>
      <c r="AJT55" s="41"/>
      <c r="AJU55" s="41"/>
      <c r="AJV55" s="41"/>
      <c r="AJW55" s="41"/>
      <c r="AJX55" s="41"/>
      <c r="AJY55" s="41"/>
      <c r="AJZ55" s="41"/>
      <c r="AKA55" s="41"/>
      <c r="AKB55" s="41"/>
      <c r="AKC55" s="41"/>
      <c r="AKD55" s="41"/>
      <c r="AKE55" s="41"/>
      <c r="AKF55" s="41"/>
      <c r="AKG55" s="41"/>
      <c r="AKH55" s="41"/>
      <c r="AKI55" s="41"/>
      <c r="AKJ55" s="41"/>
      <c r="AKK55" s="41"/>
      <c r="AKL55" s="41"/>
      <c r="AKM55" s="41"/>
      <c r="AKN55" s="41"/>
      <c r="AKO55" s="41"/>
      <c r="AKP55" s="41"/>
      <c r="AKQ55" s="41"/>
      <c r="AKR55" s="41"/>
      <c r="AKS55" s="41"/>
      <c r="AKT55" s="41"/>
      <c r="AKU55" s="41"/>
      <c r="AKV55" s="41"/>
      <c r="AKW55" s="41"/>
      <c r="AKX55" s="41"/>
      <c r="AKY55" s="41"/>
      <c r="AKZ55" s="41"/>
      <c r="ALA55" s="41"/>
      <c r="ALB55" s="41"/>
      <c r="ALC55" s="41"/>
      <c r="ALD55" s="41"/>
      <c r="ALE55" s="41"/>
      <c r="ALF55" s="41"/>
      <c r="ALG55" s="41"/>
      <c r="ALH55" s="41"/>
      <c r="ALI55" s="41"/>
      <c r="ALJ55" s="41"/>
      <c r="ALK55" s="41"/>
      <c r="ALL55" s="41"/>
      <c r="ALM55" s="41"/>
      <c r="ALN55" s="41"/>
      <c r="ALO55" s="41"/>
      <c r="ALP55" s="41"/>
      <c r="ALQ55" s="41"/>
      <c r="ALR55" s="41"/>
      <c r="ALS55" s="41"/>
      <c r="ALT55" s="41"/>
      <c r="ALU55" s="41"/>
      <c r="ALV55" s="41"/>
      <c r="ALW55" s="41"/>
      <c r="ALX55" s="41"/>
      <c r="ALY55" s="41"/>
      <c r="ALZ55" s="41"/>
      <c r="AMA55" s="41"/>
      <c r="AMB55" s="41"/>
      <c r="AMC55" s="41"/>
      <c r="AMD55" s="41"/>
      <c r="AME55" s="41"/>
      <c r="AMF55" s="41"/>
      <c r="AMG55" s="41"/>
      <c r="AMH55" s="41"/>
      <c r="AMI55" s="41"/>
      <c r="AMJ55" s="41"/>
      <c r="AMK55" s="41"/>
      <c r="AML55" s="41"/>
      <c r="AMM55" s="41"/>
      <c r="AMN55" s="41"/>
      <c r="AMO55" s="41"/>
      <c r="AMP55" s="41"/>
      <c r="AMQ55" s="41"/>
      <c r="AMR55" s="41"/>
      <c r="AMS55" s="41"/>
      <c r="AMT55" s="41"/>
      <c r="AMU55" s="41"/>
      <c r="AMV55" s="41"/>
      <c r="AMW55" s="41"/>
      <c r="AMX55" s="41"/>
      <c r="AMY55" s="41"/>
      <c r="AMZ55" s="41"/>
      <c r="ANA55" s="41"/>
      <c r="ANB55" s="41"/>
      <c r="ANC55" s="41"/>
      <c r="AND55" s="41"/>
      <c r="ANE55" s="41"/>
      <c r="ANF55" s="41"/>
      <c r="ANG55" s="41"/>
      <c r="ANH55" s="41"/>
      <c r="ANI55" s="41"/>
      <c r="ANJ55" s="41"/>
      <c r="ANK55" s="41"/>
    </row>
    <row r="56" s="44" customFormat="true" ht="15" hidden="false" customHeight="false" outlineLevel="0" collapsed="false">
      <c r="A56" s="42" t="s">
        <v>78</v>
      </c>
      <c r="B56" s="43" t="n">
        <v>0</v>
      </c>
      <c r="C56" s="44" t="n">
        <v>0</v>
      </c>
      <c r="D56" s="44" t="n">
        <v>0</v>
      </c>
      <c r="E56" s="45" t="n">
        <v>44000</v>
      </c>
      <c r="F56" s="43" t="n">
        <v>0</v>
      </c>
      <c r="G56" s="44" t="n">
        <v>2544</v>
      </c>
      <c r="H56" s="46" t="n">
        <v>7</v>
      </c>
      <c r="I56" s="47" t="n">
        <v>207</v>
      </c>
      <c r="J56" s="48" t="n">
        <v>0</v>
      </c>
      <c r="K56" s="43"/>
      <c r="M56" s="46" t="n">
        <v>0</v>
      </c>
      <c r="N56" s="43" t="n">
        <v>0</v>
      </c>
      <c r="O56" s="46" t="n">
        <v>0</v>
      </c>
      <c r="P56" s="49" t="n">
        <v>0</v>
      </c>
      <c r="Q56" s="50" t="n">
        <v>0</v>
      </c>
      <c r="R56" s="44" t="n">
        <v>0</v>
      </c>
      <c r="S56" s="44" t="n">
        <v>0</v>
      </c>
      <c r="T56" s="44" t="n">
        <v>0</v>
      </c>
      <c r="U56" s="44" t="n">
        <v>0</v>
      </c>
      <c r="V56" s="44" t="n">
        <v>0</v>
      </c>
      <c r="W56" s="44" t="n">
        <v>0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6" t="n">
        <v>0</v>
      </c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41"/>
      <c r="JB56" s="41"/>
      <c r="JC56" s="41"/>
      <c r="JD56" s="41"/>
      <c r="JE56" s="41"/>
      <c r="JF56" s="41"/>
      <c r="JG56" s="41"/>
      <c r="JH56" s="41"/>
      <c r="JI56" s="41"/>
      <c r="JJ56" s="41"/>
      <c r="JK56" s="41"/>
      <c r="JL56" s="41"/>
      <c r="JM56" s="41"/>
      <c r="JN56" s="41"/>
      <c r="JO56" s="41"/>
      <c r="JP56" s="41"/>
      <c r="JQ56" s="41"/>
      <c r="JR56" s="41"/>
      <c r="JS56" s="41"/>
      <c r="JT56" s="41"/>
      <c r="JU56" s="41"/>
      <c r="JV56" s="41"/>
      <c r="JW56" s="41"/>
      <c r="JX56" s="41"/>
      <c r="JY56" s="41"/>
      <c r="JZ56" s="41"/>
      <c r="KA56" s="41"/>
      <c r="KB56" s="41"/>
      <c r="KC56" s="41"/>
      <c r="KD56" s="41"/>
      <c r="KE56" s="41"/>
      <c r="KF56" s="41"/>
      <c r="KG56" s="41"/>
      <c r="KH56" s="41"/>
      <c r="KI56" s="41"/>
      <c r="KJ56" s="41"/>
      <c r="KK56" s="41"/>
      <c r="KL56" s="41"/>
      <c r="KM56" s="41"/>
      <c r="KN56" s="41"/>
      <c r="KO56" s="41"/>
      <c r="KP56" s="41"/>
      <c r="KQ56" s="41"/>
      <c r="KR56" s="41"/>
      <c r="KS56" s="41"/>
      <c r="KT56" s="41"/>
      <c r="KU56" s="41"/>
      <c r="KV56" s="41"/>
      <c r="KW56" s="41"/>
      <c r="KX56" s="41"/>
      <c r="KY56" s="41"/>
      <c r="KZ56" s="41"/>
      <c r="LA56" s="41"/>
      <c r="LB56" s="41"/>
      <c r="LC56" s="41"/>
      <c r="LD56" s="41"/>
      <c r="LE56" s="41"/>
      <c r="LF56" s="41"/>
      <c r="LG56" s="41"/>
      <c r="LH56" s="41"/>
      <c r="LI56" s="41"/>
      <c r="LJ56" s="41"/>
      <c r="LK56" s="41"/>
      <c r="LL56" s="41"/>
      <c r="LM56" s="41"/>
      <c r="LN56" s="41"/>
      <c r="LO56" s="41"/>
      <c r="LP56" s="41"/>
      <c r="LQ56" s="41"/>
      <c r="LR56" s="41"/>
      <c r="LS56" s="41"/>
      <c r="LT56" s="41"/>
      <c r="LU56" s="41"/>
      <c r="LV56" s="41"/>
      <c r="LW56" s="41"/>
      <c r="LX56" s="41"/>
      <c r="LY56" s="41"/>
      <c r="LZ56" s="41"/>
      <c r="MA56" s="41"/>
      <c r="MB56" s="41"/>
      <c r="MC56" s="41"/>
      <c r="MD56" s="41"/>
      <c r="ME56" s="41"/>
      <c r="MF56" s="41"/>
      <c r="MG56" s="41"/>
      <c r="MH56" s="41"/>
      <c r="MI56" s="41"/>
      <c r="MJ56" s="41"/>
      <c r="MK56" s="41"/>
      <c r="ML56" s="41"/>
      <c r="MM56" s="41"/>
      <c r="MN56" s="41"/>
      <c r="MO56" s="41"/>
      <c r="MP56" s="41"/>
      <c r="MQ56" s="41"/>
      <c r="MR56" s="41"/>
      <c r="MS56" s="41"/>
      <c r="MT56" s="41"/>
      <c r="MU56" s="41"/>
      <c r="MV56" s="41"/>
      <c r="MW56" s="41"/>
      <c r="MX56" s="41"/>
      <c r="MY56" s="41"/>
      <c r="MZ56" s="41"/>
      <c r="NA56" s="41"/>
      <c r="NB56" s="41"/>
      <c r="NC56" s="41"/>
      <c r="ND56" s="41"/>
      <c r="NE56" s="41"/>
      <c r="NF56" s="41"/>
      <c r="NG56" s="41"/>
      <c r="NH56" s="41"/>
      <c r="NI56" s="41"/>
      <c r="NJ56" s="41"/>
      <c r="NK56" s="41"/>
      <c r="NL56" s="41"/>
      <c r="NM56" s="41"/>
      <c r="NN56" s="41"/>
      <c r="NO56" s="41"/>
      <c r="NP56" s="41"/>
      <c r="NQ56" s="41"/>
      <c r="NR56" s="41"/>
      <c r="NS56" s="41"/>
      <c r="NT56" s="41"/>
      <c r="NU56" s="41"/>
      <c r="NV56" s="41"/>
      <c r="NW56" s="41"/>
      <c r="NX56" s="41"/>
      <c r="NY56" s="41"/>
      <c r="NZ56" s="41"/>
      <c r="OA56" s="41"/>
      <c r="OB56" s="41"/>
      <c r="OC56" s="41"/>
      <c r="OD56" s="41"/>
      <c r="OE56" s="41"/>
      <c r="OF56" s="41"/>
      <c r="OG56" s="41"/>
      <c r="OH56" s="41"/>
      <c r="OI56" s="41"/>
      <c r="OJ56" s="41"/>
      <c r="OK56" s="41"/>
      <c r="OL56" s="41"/>
      <c r="OM56" s="41"/>
      <c r="ON56" s="41"/>
      <c r="OO56" s="41"/>
      <c r="OP56" s="41"/>
      <c r="OQ56" s="41"/>
      <c r="OR56" s="41"/>
      <c r="OS56" s="41"/>
      <c r="OT56" s="41"/>
      <c r="OU56" s="41"/>
      <c r="OV56" s="41"/>
      <c r="OW56" s="41"/>
      <c r="OX56" s="41"/>
      <c r="OY56" s="41"/>
      <c r="OZ56" s="41"/>
      <c r="PA56" s="41"/>
      <c r="PB56" s="41"/>
      <c r="PC56" s="41"/>
      <c r="PD56" s="41"/>
      <c r="PE56" s="41"/>
      <c r="PF56" s="41"/>
      <c r="PG56" s="41"/>
      <c r="PH56" s="41"/>
      <c r="PI56" s="41"/>
      <c r="PJ56" s="41"/>
      <c r="PK56" s="41"/>
      <c r="PL56" s="41"/>
      <c r="PM56" s="41"/>
      <c r="PN56" s="41"/>
      <c r="PO56" s="41"/>
      <c r="PP56" s="41"/>
      <c r="PQ56" s="41"/>
      <c r="PR56" s="41"/>
      <c r="PS56" s="41"/>
      <c r="PT56" s="41"/>
      <c r="PU56" s="41"/>
      <c r="PV56" s="41"/>
      <c r="PW56" s="41"/>
      <c r="PX56" s="41"/>
      <c r="PY56" s="41"/>
      <c r="PZ56" s="41"/>
      <c r="QA56" s="41"/>
      <c r="QB56" s="41"/>
      <c r="QC56" s="41"/>
      <c r="QD56" s="41"/>
      <c r="QE56" s="41"/>
      <c r="QF56" s="41"/>
      <c r="QG56" s="41"/>
      <c r="QH56" s="41"/>
      <c r="QI56" s="41"/>
      <c r="QJ56" s="41"/>
      <c r="QK56" s="41"/>
      <c r="QL56" s="41"/>
      <c r="QM56" s="41"/>
      <c r="QN56" s="41"/>
      <c r="QO56" s="41"/>
      <c r="QP56" s="41"/>
      <c r="QQ56" s="41"/>
      <c r="QR56" s="41"/>
      <c r="QS56" s="41"/>
      <c r="QT56" s="41"/>
      <c r="QU56" s="41"/>
      <c r="QV56" s="41"/>
      <c r="QW56" s="41"/>
      <c r="QX56" s="41"/>
      <c r="QY56" s="41"/>
      <c r="QZ56" s="41"/>
      <c r="RA56" s="41"/>
      <c r="RB56" s="41"/>
      <c r="RC56" s="41"/>
      <c r="RD56" s="41"/>
      <c r="RE56" s="41"/>
      <c r="RF56" s="41"/>
      <c r="RG56" s="41"/>
      <c r="RH56" s="41"/>
      <c r="RI56" s="41"/>
      <c r="RJ56" s="41"/>
      <c r="RK56" s="41"/>
      <c r="RL56" s="41"/>
      <c r="RM56" s="41"/>
      <c r="RN56" s="41"/>
      <c r="RO56" s="41"/>
      <c r="RP56" s="41"/>
      <c r="RQ56" s="41"/>
      <c r="RR56" s="41"/>
      <c r="RS56" s="41"/>
      <c r="RT56" s="41"/>
      <c r="RU56" s="41"/>
      <c r="RV56" s="41"/>
      <c r="RW56" s="41"/>
      <c r="RX56" s="41"/>
      <c r="RY56" s="41"/>
      <c r="RZ56" s="41"/>
      <c r="SA56" s="41"/>
      <c r="SB56" s="41"/>
      <c r="SC56" s="41"/>
      <c r="SD56" s="41"/>
      <c r="SE56" s="41"/>
      <c r="SF56" s="41"/>
      <c r="SG56" s="41"/>
      <c r="SH56" s="41"/>
      <c r="SI56" s="41"/>
      <c r="SJ56" s="41"/>
      <c r="SK56" s="41"/>
      <c r="SL56" s="41"/>
      <c r="SM56" s="41"/>
      <c r="SN56" s="41"/>
      <c r="SO56" s="41"/>
      <c r="SP56" s="41"/>
      <c r="SQ56" s="41"/>
      <c r="SR56" s="41"/>
      <c r="SS56" s="41"/>
      <c r="ST56" s="41"/>
      <c r="SU56" s="41"/>
      <c r="SV56" s="41"/>
      <c r="SW56" s="41"/>
      <c r="SX56" s="41"/>
      <c r="SY56" s="41"/>
      <c r="SZ56" s="41"/>
      <c r="TA56" s="41"/>
      <c r="TB56" s="41"/>
      <c r="TC56" s="41"/>
      <c r="TD56" s="41"/>
      <c r="TE56" s="41"/>
      <c r="TF56" s="41"/>
      <c r="TG56" s="41"/>
      <c r="TH56" s="41"/>
      <c r="TI56" s="41"/>
      <c r="TJ56" s="41"/>
      <c r="TK56" s="41"/>
      <c r="TL56" s="41"/>
      <c r="TM56" s="41"/>
      <c r="TN56" s="41"/>
      <c r="TO56" s="41"/>
      <c r="TP56" s="41"/>
      <c r="TQ56" s="41"/>
      <c r="TR56" s="41"/>
      <c r="TS56" s="41"/>
      <c r="TT56" s="41"/>
      <c r="TU56" s="41"/>
      <c r="TV56" s="41"/>
      <c r="TW56" s="41"/>
      <c r="TX56" s="41"/>
      <c r="TY56" s="41"/>
      <c r="TZ56" s="41"/>
      <c r="UA56" s="41"/>
      <c r="UB56" s="41"/>
      <c r="UC56" s="41"/>
      <c r="UD56" s="41"/>
      <c r="UE56" s="41"/>
      <c r="UF56" s="41"/>
      <c r="UG56" s="41"/>
      <c r="UH56" s="41"/>
      <c r="UI56" s="41"/>
      <c r="UJ56" s="41"/>
      <c r="UK56" s="41"/>
      <c r="UL56" s="41"/>
      <c r="UM56" s="41"/>
      <c r="UN56" s="41"/>
      <c r="UO56" s="41"/>
      <c r="UP56" s="41"/>
      <c r="UQ56" s="41"/>
      <c r="UR56" s="41"/>
      <c r="US56" s="41"/>
      <c r="UT56" s="41"/>
      <c r="UU56" s="41"/>
      <c r="UV56" s="41"/>
      <c r="UW56" s="41"/>
      <c r="UX56" s="41"/>
      <c r="UY56" s="41"/>
      <c r="UZ56" s="41"/>
      <c r="VA56" s="41"/>
      <c r="VB56" s="41"/>
      <c r="VC56" s="41"/>
      <c r="VD56" s="41"/>
      <c r="VE56" s="41"/>
      <c r="VF56" s="41"/>
      <c r="VG56" s="41"/>
      <c r="VH56" s="41"/>
      <c r="VI56" s="41"/>
      <c r="VJ56" s="41"/>
      <c r="VK56" s="41"/>
      <c r="VL56" s="41"/>
      <c r="VM56" s="41"/>
      <c r="VN56" s="41"/>
      <c r="VO56" s="41"/>
      <c r="VP56" s="41"/>
      <c r="VQ56" s="41"/>
      <c r="VR56" s="41"/>
      <c r="VS56" s="41"/>
      <c r="VT56" s="41"/>
      <c r="VU56" s="41"/>
      <c r="VV56" s="41"/>
      <c r="VW56" s="41"/>
      <c r="VX56" s="41"/>
      <c r="VY56" s="41"/>
      <c r="VZ56" s="41"/>
      <c r="WA56" s="41"/>
      <c r="WB56" s="41"/>
      <c r="WC56" s="41"/>
      <c r="WD56" s="41"/>
      <c r="WE56" s="41"/>
      <c r="WF56" s="41"/>
      <c r="WG56" s="41"/>
      <c r="WH56" s="41"/>
      <c r="WI56" s="41"/>
      <c r="WJ56" s="41"/>
      <c r="WK56" s="41"/>
      <c r="WL56" s="41"/>
      <c r="WM56" s="41"/>
      <c r="WN56" s="41"/>
      <c r="WO56" s="41"/>
      <c r="WP56" s="41"/>
      <c r="WQ56" s="41"/>
      <c r="WR56" s="41"/>
      <c r="WS56" s="41"/>
      <c r="WT56" s="41"/>
      <c r="WU56" s="41"/>
      <c r="WV56" s="41"/>
      <c r="WW56" s="41"/>
      <c r="WX56" s="41"/>
      <c r="WY56" s="41"/>
      <c r="WZ56" s="41"/>
      <c r="XA56" s="41"/>
      <c r="XB56" s="41"/>
      <c r="XC56" s="41"/>
      <c r="XD56" s="41"/>
      <c r="XE56" s="41"/>
      <c r="XF56" s="41"/>
      <c r="XG56" s="41"/>
      <c r="XH56" s="41"/>
      <c r="XI56" s="41"/>
      <c r="XJ56" s="41"/>
      <c r="XK56" s="41"/>
      <c r="XL56" s="41"/>
      <c r="XM56" s="41"/>
      <c r="XN56" s="41"/>
      <c r="XO56" s="41"/>
      <c r="XP56" s="41"/>
      <c r="XQ56" s="41"/>
      <c r="XR56" s="41"/>
      <c r="XS56" s="41"/>
      <c r="XT56" s="41"/>
      <c r="XU56" s="41"/>
      <c r="XV56" s="41"/>
      <c r="XW56" s="41"/>
      <c r="XX56" s="41"/>
      <c r="XY56" s="41"/>
      <c r="XZ56" s="41"/>
      <c r="YA56" s="41"/>
      <c r="YB56" s="41"/>
      <c r="YC56" s="41"/>
      <c r="YD56" s="41"/>
      <c r="YE56" s="41"/>
      <c r="YF56" s="41"/>
      <c r="YG56" s="41"/>
      <c r="YH56" s="41"/>
      <c r="YI56" s="41"/>
      <c r="YJ56" s="41"/>
      <c r="YK56" s="41"/>
      <c r="YL56" s="41"/>
      <c r="YM56" s="41"/>
      <c r="YN56" s="41"/>
      <c r="YO56" s="41"/>
      <c r="YP56" s="41"/>
      <c r="YQ56" s="41"/>
      <c r="YR56" s="41"/>
      <c r="YS56" s="41"/>
      <c r="YT56" s="41"/>
      <c r="YU56" s="41"/>
      <c r="YV56" s="41"/>
      <c r="YW56" s="41"/>
      <c r="YX56" s="41"/>
      <c r="YY56" s="41"/>
      <c r="YZ56" s="41"/>
      <c r="ZA56" s="41"/>
      <c r="ZB56" s="41"/>
      <c r="ZC56" s="41"/>
      <c r="ZD56" s="41"/>
      <c r="ZE56" s="41"/>
      <c r="ZF56" s="41"/>
      <c r="ZG56" s="41"/>
      <c r="ZH56" s="41"/>
      <c r="ZI56" s="41"/>
      <c r="ZJ56" s="41"/>
      <c r="ZK56" s="41"/>
      <c r="ZL56" s="41"/>
      <c r="ZM56" s="41"/>
      <c r="ZN56" s="41"/>
      <c r="ZO56" s="41"/>
      <c r="ZP56" s="41"/>
      <c r="ZQ56" s="41"/>
      <c r="ZR56" s="41"/>
      <c r="ZS56" s="41"/>
      <c r="ZT56" s="41"/>
      <c r="ZU56" s="41"/>
      <c r="ZV56" s="41"/>
      <c r="ZW56" s="41"/>
      <c r="ZX56" s="41"/>
      <c r="ZY56" s="41"/>
      <c r="ZZ56" s="41"/>
      <c r="AAA56" s="41"/>
      <c r="AAB56" s="41"/>
      <c r="AAC56" s="41"/>
      <c r="AAD56" s="41"/>
      <c r="AAE56" s="41"/>
      <c r="AAF56" s="41"/>
      <c r="AAG56" s="41"/>
      <c r="AAH56" s="41"/>
      <c r="AAI56" s="41"/>
      <c r="AAJ56" s="41"/>
      <c r="AAK56" s="41"/>
      <c r="AAL56" s="41"/>
      <c r="AAM56" s="41"/>
      <c r="AAN56" s="41"/>
      <c r="AAO56" s="41"/>
      <c r="AAP56" s="41"/>
      <c r="AAQ56" s="41"/>
      <c r="AAR56" s="41"/>
      <c r="AAS56" s="41"/>
      <c r="AAT56" s="41"/>
      <c r="AAU56" s="41"/>
      <c r="AAV56" s="41"/>
      <c r="AAW56" s="41"/>
      <c r="AAX56" s="41"/>
      <c r="AAY56" s="41"/>
      <c r="AAZ56" s="41"/>
      <c r="ABA56" s="41"/>
      <c r="ABB56" s="41"/>
      <c r="ABC56" s="41"/>
      <c r="ABD56" s="41"/>
      <c r="ABE56" s="41"/>
      <c r="ABF56" s="41"/>
      <c r="ABG56" s="41"/>
      <c r="ABH56" s="41"/>
      <c r="ABI56" s="41"/>
      <c r="ABJ56" s="41"/>
      <c r="ABK56" s="41"/>
      <c r="ABL56" s="41"/>
      <c r="ABM56" s="41"/>
      <c r="ABN56" s="41"/>
      <c r="ABO56" s="41"/>
      <c r="ABP56" s="41"/>
      <c r="ABQ56" s="41"/>
      <c r="ABR56" s="41"/>
      <c r="ABS56" s="41"/>
      <c r="ABT56" s="41"/>
      <c r="ABU56" s="41"/>
      <c r="ABV56" s="41"/>
      <c r="ABW56" s="41"/>
      <c r="ABX56" s="41"/>
      <c r="ABY56" s="41"/>
      <c r="ABZ56" s="41"/>
      <c r="ACA56" s="41"/>
      <c r="ACB56" s="41"/>
      <c r="ACC56" s="41"/>
      <c r="ACD56" s="41"/>
      <c r="ACE56" s="41"/>
      <c r="ACF56" s="41"/>
      <c r="ACG56" s="41"/>
      <c r="ACH56" s="41"/>
      <c r="ACI56" s="41"/>
      <c r="ACJ56" s="41"/>
      <c r="ACK56" s="41"/>
      <c r="ACL56" s="41"/>
      <c r="ACM56" s="41"/>
      <c r="ACN56" s="41"/>
      <c r="ACO56" s="41"/>
      <c r="ACP56" s="41"/>
      <c r="ACQ56" s="41"/>
      <c r="ACR56" s="41"/>
      <c r="ACS56" s="41"/>
      <c r="ACT56" s="41"/>
      <c r="ACU56" s="41"/>
      <c r="ACV56" s="41"/>
      <c r="ACW56" s="41"/>
      <c r="ACX56" s="41"/>
      <c r="ACY56" s="41"/>
      <c r="ACZ56" s="41"/>
      <c r="ADA56" s="41"/>
      <c r="ADB56" s="41"/>
      <c r="ADC56" s="41"/>
      <c r="ADD56" s="41"/>
      <c r="ADE56" s="41"/>
      <c r="ADF56" s="41"/>
      <c r="ADG56" s="41"/>
      <c r="ADH56" s="41"/>
      <c r="ADI56" s="41"/>
      <c r="ADJ56" s="41"/>
      <c r="ADK56" s="41"/>
      <c r="ADL56" s="41"/>
      <c r="ADM56" s="41"/>
      <c r="ADN56" s="41"/>
      <c r="ADO56" s="41"/>
      <c r="ADP56" s="41"/>
      <c r="ADQ56" s="41"/>
      <c r="ADR56" s="41"/>
      <c r="ADS56" s="41"/>
      <c r="ADT56" s="41"/>
      <c r="ADU56" s="41"/>
      <c r="ADV56" s="41"/>
      <c r="ADW56" s="41"/>
      <c r="ADX56" s="41"/>
      <c r="ADY56" s="41"/>
      <c r="ADZ56" s="41"/>
      <c r="AEA56" s="41"/>
      <c r="AEB56" s="41"/>
      <c r="AEC56" s="41"/>
      <c r="AED56" s="41"/>
      <c r="AEE56" s="41"/>
      <c r="AEF56" s="41"/>
      <c r="AEG56" s="41"/>
      <c r="AEH56" s="41"/>
      <c r="AEI56" s="41"/>
      <c r="AEJ56" s="41"/>
      <c r="AEK56" s="41"/>
      <c r="AEL56" s="41"/>
      <c r="AEM56" s="41"/>
      <c r="AEN56" s="41"/>
      <c r="AEO56" s="41"/>
      <c r="AEP56" s="41"/>
      <c r="AEQ56" s="41"/>
      <c r="AER56" s="41"/>
      <c r="AES56" s="41"/>
      <c r="AET56" s="41"/>
      <c r="AEU56" s="41"/>
      <c r="AEV56" s="41"/>
      <c r="AEW56" s="41"/>
      <c r="AEX56" s="41"/>
      <c r="AEY56" s="41"/>
      <c r="AEZ56" s="41"/>
      <c r="AFA56" s="41"/>
      <c r="AFB56" s="41"/>
      <c r="AFC56" s="41"/>
      <c r="AFD56" s="41"/>
      <c r="AFE56" s="41"/>
      <c r="AFF56" s="41"/>
      <c r="AFG56" s="41"/>
      <c r="AFH56" s="41"/>
      <c r="AFI56" s="41"/>
      <c r="AFJ56" s="41"/>
      <c r="AFK56" s="41"/>
      <c r="AFL56" s="41"/>
      <c r="AFM56" s="41"/>
      <c r="AFN56" s="41"/>
      <c r="AFO56" s="41"/>
      <c r="AFP56" s="41"/>
      <c r="AFQ56" s="41"/>
      <c r="AFR56" s="41"/>
      <c r="AFS56" s="41"/>
      <c r="AFT56" s="41"/>
      <c r="AFU56" s="41"/>
      <c r="AFV56" s="41"/>
      <c r="AFW56" s="41"/>
      <c r="AFX56" s="41"/>
      <c r="AFY56" s="41"/>
      <c r="AFZ56" s="41"/>
      <c r="AGA56" s="41"/>
      <c r="AGB56" s="41"/>
      <c r="AGC56" s="41"/>
      <c r="AGD56" s="41"/>
      <c r="AGE56" s="41"/>
      <c r="AGF56" s="41"/>
      <c r="AGG56" s="41"/>
      <c r="AGH56" s="41"/>
      <c r="AGI56" s="41"/>
      <c r="AGJ56" s="41"/>
      <c r="AGK56" s="41"/>
      <c r="AGL56" s="41"/>
      <c r="AGM56" s="41"/>
      <c r="AGN56" s="41"/>
      <c r="AGO56" s="41"/>
      <c r="AGP56" s="41"/>
      <c r="AGQ56" s="41"/>
      <c r="AGR56" s="41"/>
      <c r="AGS56" s="41"/>
      <c r="AGT56" s="41"/>
      <c r="AGU56" s="41"/>
      <c r="AGV56" s="41"/>
      <c r="AGW56" s="41"/>
      <c r="AGX56" s="41"/>
      <c r="AGY56" s="41"/>
      <c r="AGZ56" s="41"/>
      <c r="AHA56" s="41"/>
      <c r="AHB56" s="41"/>
      <c r="AHC56" s="41"/>
      <c r="AHD56" s="41"/>
      <c r="AHE56" s="41"/>
      <c r="AHF56" s="41"/>
      <c r="AHG56" s="41"/>
      <c r="AHH56" s="41"/>
      <c r="AHI56" s="41"/>
      <c r="AHJ56" s="41"/>
      <c r="AHK56" s="41"/>
      <c r="AHL56" s="41"/>
      <c r="AHM56" s="41"/>
      <c r="AHN56" s="41"/>
      <c r="AHO56" s="41"/>
      <c r="AHP56" s="41"/>
      <c r="AHQ56" s="41"/>
      <c r="AHR56" s="41"/>
      <c r="AHS56" s="41"/>
      <c r="AHT56" s="41"/>
      <c r="AHU56" s="41"/>
      <c r="AHV56" s="41"/>
      <c r="AHW56" s="41"/>
      <c r="AHX56" s="41"/>
      <c r="AHY56" s="41"/>
      <c r="AHZ56" s="41"/>
      <c r="AIA56" s="41"/>
      <c r="AIB56" s="41"/>
      <c r="AIC56" s="41"/>
      <c r="AID56" s="41"/>
      <c r="AIE56" s="41"/>
      <c r="AIF56" s="41"/>
      <c r="AIG56" s="41"/>
      <c r="AIH56" s="41"/>
      <c r="AII56" s="41"/>
      <c r="AIJ56" s="41"/>
      <c r="AIK56" s="41"/>
      <c r="AIL56" s="41"/>
      <c r="AIM56" s="41"/>
      <c r="AIN56" s="41"/>
      <c r="AIO56" s="41"/>
      <c r="AIP56" s="41"/>
      <c r="AIQ56" s="41"/>
      <c r="AIR56" s="41"/>
      <c r="AIS56" s="41"/>
      <c r="AIT56" s="41"/>
      <c r="AIU56" s="41"/>
      <c r="AIV56" s="41"/>
      <c r="AIW56" s="41"/>
      <c r="AIX56" s="41"/>
      <c r="AIY56" s="41"/>
      <c r="AIZ56" s="41"/>
      <c r="AJA56" s="41"/>
      <c r="AJB56" s="41"/>
      <c r="AJC56" s="41"/>
      <c r="AJD56" s="41"/>
      <c r="AJE56" s="41"/>
      <c r="AJF56" s="41"/>
      <c r="AJG56" s="41"/>
      <c r="AJH56" s="41"/>
      <c r="AJI56" s="41"/>
      <c r="AJJ56" s="41"/>
      <c r="AJK56" s="41"/>
      <c r="AJL56" s="41"/>
      <c r="AJM56" s="41"/>
      <c r="AJN56" s="41"/>
      <c r="AJO56" s="41"/>
      <c r="AJP56" s="41"/>
      <c r="AJQ56" s="41"/>
      <c r="AJR56" s="41"/>
      <c r="AJS56" s="41"/>
      <c r="AJT56" s="41"/>
      <c r="AJU56" s="41"/>
      <c r="AJV56" s="41"/>
      <c r="AJW56" s="41"/>
      <c r="AJX56" s="41"/>
      <c r="AJY56" s="41"/>
      <c r="AJZ56" s="41"/>
      <c r="AKA56" s="41"/>
      <c r="AKB56" s="41"/>
      <c r="AKC56" s="41"/>
      <c r="AKD56" s="41"/>
      <c r="AKE56" s="41"/>
      <c r="AKF56" s="41"/>
      <c r="AKG56" s="41"/>
      <c r="AKH56" s="41"/>
      <c r="AKI56" s="41"/>
      <c r="AKJ56" s="41"/>
      <c r="AKK56" s="41"/>
      <c r="AKL56" s="41"/>
      <c r="AKM56" s="41"/>
      <c r="AKN56" s="41"/>
      <c r="AKO56" s="41"/>
      <c r="AKP56" s="41"/>
      <c r="AKQ56" s="41"/>
      <c r="AKR56" s="41"/>
      <c r="AKS56" s="41"/>
      <c r="AKT56" s="41"/>
      <c r="AKU56" s="41"/>
      <c r="AKV56" s="41"/>
      <c r="AKW56" s="41"/>
      <c r="AKX56" s="41"/>
      <c r="AKY56" s="41"/>
      <c r="AKZ56" s="41"/>
      <c r="ALA56" s="41"/>
      <c r="ALB56" s="41"/>
      <c r="ALC56" s="41"/>
      <c r="ALD56" s="41"/>
      <c r="ALE56" s="41"/>
      <c r="ALF56" s="41"/>
      <c r="ALG56" s="41"/>
      <c r="ALH56" s="41"/>
      <c r="ALI56" s="41"/>
      <c r="ALJ56" s="41"/>
      <c r="ALK56" s="41"/>
      <c r="ALL56" s="41"/>
      <c r="ALM56" s="41"/>
      <c r="ALN56" s="41"/>
      <c r="ALO56" s="41"/>
      <c r="ALP56" s="41"/>
      <c r="ALQ56" s="41"/>
      <c r="ALR56" s="41"/>
      <c r="ALS56" s="41"/>
      <c r="ALT56" s="41"/>
      <c r="ALU56" s="41"/>
      <c r="ALV56" s="41"/>
      <c r="ALW56" s="41"/>
      <c r="ALX56" s="41"/>
      <c r="ALY56" s="41"/>
      <c r="ALZ56" s="41"/>
      <c r="AMA56" s="41"/>
      <c r="AMB56" s="41"/>
      <c r="AMC56" s="41"/>
      <c r="AMD56" s="41"/>
      <c r="AME56" s="41"/>
      <c r="AMF56" s="41"/>
      <c r="AMG56" s="41"/>
      <c r="AMH56" s="41"/>
      <c r="AMI56" s="41"/>
      <c r="AMJ56" s="41"/>
      <c r="AMK56" s="41"/>
      <c r="AML56" s="41"/>
      <c r="AMM56" s="41"/>
      <c r="AMN56" s="41"/>
      <c r="AMO56" s="41"/>
      <c r="AMP56" s="41"/>
      <c r="AMQ56" s="41"/>
      <c r="AMR56" s="41"/>
      <c r="AMS56" s="41"/>
      <c r="AMT56" s="41"/>
      <c r="AMU56" s="41"/>
      <c r="AMV56" s="41"/>
      <c r="AMW56" s="41"/>
      <c r="AMX56" s="41"/>
      <c r="AMY56" s="41"/>
      <c r="AMZ56" s="41"/>
      <c r="ANA56" s="41"/>
      <c r="ANB56" s="41"/>
      <c r="ANC56" s="41"/>
      <c r="AND56" s="41"/>
      <c r="ANE56" s="41"/>
      <c r="ANF56" s="41"/>
      <c r="ANG56" s="41"/>
      <c r="ANH56" s="41"/>
      <c r="ANI56" s="41"/>
      <c r="ANJ56" s="41"/>
      <c r="ANK56" s="41"/>
    </row>
    <row r="57" s="44" customFormat="true" ht="15" hidden="false" customHeight="false" outlineLevel="0" collapsed="false">
      <c r="A57" s="42" t="s">
        <v>79</v>
      </c>
      <c r="B57" s="43" t="n">
        <v>0</v>
      </c>
      <c r="C57" s="44" t="n">
        <v>0</v>
      </c>
      <c r="D57" s="50" t="n">
        <v>21.0921243333333</v>
      </c>
      <c r="E57" s="45" t="n">
        <v>0</v>
      </c>
      <c r="F57" s="43" t="n">
        <v>0</v>
      </c>
      <c r="G57" s="44" t="n">
        <v>0</v>
      </c>
      <c r="H57" s="46" t="n">
        <v>0</v>
      </c>
      <c r="I57" s="47" t="n">
        <v>57</v>
      </c>
      <c r="J57" s="48" t="n">
        <v>0</v>
      </c>
      <c r="K57" s="43"/>
      <c r="M57" s="46" t="n">
        <v>0.005</v>
      </c>
      <c r="N57" s="43" t="n">
        <v>0.01108</v>
      </c>
      <c r="O57" s="46" t="n">
        <v>0.025</v>
      </c>
      <c r="P57" s="49" t="n">
        <v>0</v>
      </c>
      <c r="Q57" s="50" t="n">
        <v>0</v>
      </c>
      <c r="R57" s="50" t="n">
        <v>0</v>
      </c>
      <c r="S57" s="44" t="n">
        <v>0</v>
      </c>
      <c r="T57" s="44" t="n">
        <v>0</v>
      </c>
      <c r="U57" s="44" t="n">
        <v>0</v>
      </c>
      <c r="V57" s="44" t="n">
        <v>0</v>
      </c>
      <c r="W57" s="44" t="n">
        <v>0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</v>
      </c>
      <c r="AD57" s="44" t="n">
        <v>0</v>
      </c>
      <c r="AE57" s="44" t="n">
        <v>0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6" t="n">
        <v>0</v>
      </c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  <c r="IW57" s="41"/>
      <c r="IX57" s="41"/>
      <c r="IY57" s="41"/>
      <c r="IZ57" s="41"/>
      <c r="JA57" s="41"/>
      <c r="JB57" s="41"/>
      <c r="JC57" s="41"/>
      <c r="JD57" s="41"/>
      <c r="JE57" s="41"/>
      <c r="JF57" s="41"/>
      <c r="JG57" s="41"/>
      <c r="JH57" s="41"/>
      <c r="JI57" s="41"/>
      <c r="JJ57" s="41"/>
      <c r="JK57" s="41"/>
      <c r="JL57" s="41"/>
      <c r="JM57" s="41"/>
      <c r="JN57" s="41"/>
      <c r="JO57" s="41"/>
      <c r="JP57" s="41"/>
      <c r="JQ57" s="41"/>
      <c r="JR57" s="41"/>
      <c r="JS57" s="41"/>
      <c r="JT57" s="41"/>
      <c r="JU57" s="41"/>
      <c r="JV57" s="41"/>
      <c r="JW57" s="41"/>
      <c r="JX57" s="41"/>
      <c r="JY57" s="41"/>
      <c r="JZ57" s="41"/>
      <c r="KA57" s="41"/>
      <c r="KB57" s="41"/>
      <c r="KC57" s="41"/>
      <c r="KD57" s="41"/>
      <c r="KE57" s="41"/>
      <c r="KF57" s="41"/>
      <c r="KG57" s="41"/>
      <c r="KH57" s="41"/>
      <c r="KI57" s="41"/>
      <c r="KJ57" s="41"/>
      <c r="KK57" s="41"/>
      <c r="KL57" s="41"/>
      <c r="KM57" s="41"/>
      <c r="KN57" s="41"/>
      <c r="KO57" s="41"/>
      <c r="KP57" s="41"/>
      <c r="KQ57" s="41"/>
      <c r="KR57" s="41"/>
      <c r="KS57" s="41"/>
      <c r="KT57" s="41"/>
      <c r="KU57" s="41"/>
      <c r="KV57" s="41"/>
      <c r="KW57" s="41"/>
      <c r="KX57" s="41"/>
      <c r="KY57" s="41"/>
      <c r="KZ57" s="41"/>
      <c r="LA57" s="41"/>
      <c r="LB57" s="41"/>
      <c r="LC57" s="41"/>
      <c r="LD57" s="41"/>
      <c r="LE57" s="41"/>
      <c r="LF57" s="41"/>
      <c r="LG57" s="41"/>
      <c r="LH57" s="41"/>
      <c r="LI57" s="41"/>
      <c r="LJ57" s="41"/>
      <c r="LK57" s="41"/>
      <c r="LL57" s="41"/>
      <c r="LM57" s="41"/>
      <c r="LN57" s="41"/>
      <c r="LO57" s="41"/>
      <c r="LP57" s="41"/>
      <c r="LQ57" s="41"/>
      <c r="LR57" s="41"/>
      <c r="LS57" s="41"/>
      <c r="LT57" s="41"/>
      <c r="LU57" s="41"/>
      <c r="LV57" s="41"/>
      <c r="LW57" s="41"/>
      <c r="LX57" s="41"/>
      <c r="LY57" s="41"/>
      <c r="LZ57" s="41"/>
      <c r="MA57" s="41"/>
      <c r="MB57" s="41"/>
      <c r="MC57" s="41"/>
      <c r="MD57" s="41"/>
      <c r="ME57" s="41"/>
      <c r="MF57" s="41"/>
      <c r="MG57" s="41"/>
      <c r="MH57" s="41"/>
      <c r="MI57" s="41"/>
      <c r="MJ57" s="41"/>
      <c r="MK57" s="41"/>
      <c r="ML57" s="41"/>
      <c r="MM57" s="41"/>
      <c r="MN57" s="41"/>
      <c r="MO57" s="41"/>
      <c r="MP57" s="41"/>
      <c r="MQ57" s="41"/>
      <c r="MR57" s="41"/>
      <c r="MS57" s="41"/>
      <c r="MT57" s="41"/>
      <c r="MU57" s="41"/>
      <c r="MV57" s="41"/>
      <c r="MW57" s="41"/>
      <c r="MX57" s="41"/>
      <c r="MY57" s="41"/>
      <c r="MZ57" s="41"/>
      <c r="NA57" s="41"/>
      <c r="NB57" s="41"/>
      <c r="NC57" s="41"/>
      <c r="ND57" s="41"/>
      <c r="NE57" s="41"/>
      <c r="NF57" s="41"/>
      <c r="NG57" s="41"/>
      <c r="NH57" s="41"/>
      <c r="NI57" s="41"/>
      <c r="NJ57" s="41"/>
      <c r="NK57" s="41"/>
      <c r="NL57" s="41"/>
      <c r="NM57" s="41"/>
      <c r="NN57" s="41"/>
      <c r="NO57" s="41"/>
      <c r="NP57" s="41"/>
      <c r="NQ57" s="41"/>
      <c r="NR57" s="41"/>
      <c r="NS57" s="41"/>
      <c r="NT57" s="41"/>
      <c r="NU57" s="41"/>
      <c r="NV57" s="41"/>
      <c r="NW57" s="41"/>
      <c r="NX57" s="41"/>
      <c r="NY57" s="41"/>
      <c r="NZ57" s="41"/>
      <c r="OA57" s="41"/>
      <c r="OB57" s="41"/>
      <c r="OC57" s="41"/>
      <c r="OD57" s="41"/>
      <c r="OE57" s="41"/>
      <c r="OF57" s="41"/>
      <c r="OG57" s="41"/>
      <c r="OH57" s="41"/>
      <c r="OI57" s="41"/>
      <c r="OJ57" s="41"/>
      <c r="OK57" s="41"/>
      <c r="OL57" s="41"/>
      <c r="OM57" s="41"/>
      <c r="ON57" s="41"/>
      <c r="OO57" s="41"/>
      <c r="OP57" s="41"/>
      <c r="OQ57" s="41"/>
      <c r="OR57" s="41"/>
      <c r="OS57" s="41"/>
      <c r="OT57" s="41"/>
      <c r="OU57" s="41"/>
      <c r="OV57" s="41"/>
      <c r="OW57" s="41"/>
      <c r="OX57" s="41"/>
      <c r="OY57" s="41"/>
      <c r="OZ57" s="41"/>
      <c r="PA57" s="41"/>
      <c r="PB57" s="41"/>
      <c r="PC57" s="41"/>
      <c r="PD57" s="41"/>
      <c r="PE57" s="41"/>
      <c r="PF57" s="41"/>
      <c r="PG57" s="41"/>
      <c r="PH57" s="41"/>
      <c r="PI57" s="41"/>
      <c r="PJ57" s="41"/>
      <c r="PK57" s="41"/>
      <c r="PL57" s="41"/>
      <c r="PM57" s="41"/>
      <c r="PN57" s="41"/>
      <c r="PO57" s="41"/>
      <c r="PP57" s="41"/>
      <c r="PQ57" s="41"/>
      <c r="PR57" s="41"/>
      <c r="PS57" s="41"/>
      <c r="PT57" s="41"/>
      <c r="PU57" s="41"/>
      <c r="PV57" s="41"/>
      <c r="PW57" s="41"/>
      <c r="PX57" s="41"/>
      <c r="PY57" s="41"/>
      <c r="PZ57" s="41"/>
      <c r="QA57" s="41"/>
      <c r="QB57" s="41"/>
      <c r="QC57" s="41"/>
      <c r="QD57" s="41"/>
      <c r="QE57" s="41"/>
      <c r="QF57" s="41"/>
      <c r="QG57" s="41"/>
      <c r="QH57" s="41"/>
      <c r="QI57" s="41"/>
      <c r="QJ57" s="41"/>
      <c r="QK57" s="41"/>
      <c r="QL57" s="41"/>
      <c r="QM57" s="41"/>
      <c r="QN57" s="41"/>
      <c r="QO57" s="41"/>
      <c r="QP57" s="41"/>
      <c r="QQ57" s="41"/>
      <c r="QR57" s="41"/>
      <c r="QS57" s="41"/>
      <c r="QT57" s="41"/>
      <c r="QU57" s="41"/>
      <c r="QV57" s="41"/>
      <c r="QW57" s="41"/>
      <c r="QX57" s="41"/>
      <c r="QY57" s="41"/>
      <c r="QZ57" s="41"/>
      <c r="RA57" s="41"/>
      <c r="RB57" s="41"/>
      <c r="RC57" s="41"/>
      <c r="RD57" s="41"/>
      <c r="RE57" s="41"/>
      <c r="RF57" s="41"/>
      <c r="RG57" s="41"/>
      <c r="RH57" s="41"/>
      <c r="RI57" s="41"/>
      <c r="RJ57" s="41"/>
      <c r="RK57" s="41"/>
      <c r="RL57" s="41"/>
      <c r="RM57" s="41"/>
      <c r="RN57" s="41"/>
      <c r="RO57" s="41"/>
      <c r="RP57" s="41"/>
      <c r="RQ57" s="41"/>
      <c r="RR57" s="41"/>
      <c r="RS57" s="41"/>
      <c r="RT57" s="41"/>
      <c r="RU57" s="41"/>
      <c r="RV57" s="41"/>
      <c r="RW57" s="41"/>
      <c r="RX57" s="41"/>
      <c r="RY57" s="41"/>
      <c r="RZ57" s="41"/>
      <c r="SA57" s="41"/>
      <c r="SB57" s="41"/>
      <c r="SC57" s="41"/>
      <c r="SD57" s="41"/>
      <c r="SE57" s="41"/>
      <c r="SF57" s="41"/>
      <c r="SG57" s="41"/>
      <c r="SH57" s="41"/>
      <c r="SI57" s="41"/>
      <c r="SJ57" s="41"/>
      <c r="SK57" s="41"/>
      <c r="SL57" s="41"/>
      <c r="SM57" s="41"/>
      <c r="SN57" s="41"/>
      <c r="SO57" s="41"/>
      <c r="SP57" s="41"/>
      <c r="SQ57" s="41"/>
      <c r="SR57" s="41"/>
      <c r="SS57" s="41"/>
      <c r="ST57" s="41"/>
      <c r="SU57" s="41"/>
      <c r="SV57" s="41"/>
      <c r="SW57" s="41"/>
      <c r="SX57" s="41"/>
      <c r="SY57" s="41"/>
      <c r="SZ57" s="41"/>
      <c r="TA57" s="41"/>
      <c r="TB57" s="41"/>
      <c r="TC57" s="41"/>
      <c r="TD57" s="41"/>
      <c r="TE57" s="41"/>
      <c r="TF57" s="41"/>
      <c r="TG57" s="41"/>
      <c r="TH57" s="41"/>
      <c r="TI57" s="41"/>
      <c r="TJ57" s="41"/>
      <c r="TK57" s="41"/>
      <c r="TL57" s="41"/>
      <c r="TM57" s="41"/>
      <c r="TN57" s="41"/>
      <c r="TO57" s="41"/>
      <c r="TP57" s="41"/>
      <c r="TQ57" s="41"/>
      <c r="TR57" s="41"/>
      <c r="TS57" s="41"/>
      <c r="TT57" s="41"/>
      <c r="TU57" s="41"/>
      <c r="TV57" s="41"/>
      <c r="TW57" s="41"/>
      <c r="TX57" s="41"/>
      <c r="TY57" s="41"/>
      <c r="TZ57" s="41"/>
      <c r="UA57" s="41"/>
      <c r="UB57" s="41"/>
      <c r="UC57" s="41"/>
      <c r="UD57" s="41"/>
      <c r="UE57" s="41"/>
      <c r="UF57" s="41"/>
      <c r="UG57" s="41"/>
      <c r="UH57" s="41"/>
      <c r="UI57" s="41"/>
      <c r="UJ57" s="41"/>
      <c r="UK57" s="41"/>
      <c r="UL57" s="41"/>
      <c r="UM57" s="41"/>
      <c r="UN57" s="41"/>
      <c r="UO57" s="41"/>
      <c r="UP57" s="41"/>
      <c r="UQ57" s="41"/>
      <c r="UR57" s="41"/>
      <c r="US57" s="41"/>
      <c r="UT57" s="41"/>
      <c r="UU57" s="41"/>
      <c r="UV57" s="41"/>
      <c r="UW57" s="41"/>
      <c r="UX57" s="41"/>
      <c r="UY57" s="41"/>
      <c r="UZ57" s="41"/>
      <c r="VA57" s="41"/>
      <c r="VB57" s="41"/>
      <c r="VC57" s="41"/>
      <c r="VD57" s="41"/>
      <c r="VE57" s="41"/>
      <c r="VF57" s="41"/>
      <c r="VG57" s="41"/>
      <c r="VH57" s="41"/>
      <c r="VI57" s="41"/>
      <c r="VJ57" s="41"/>
      <c r="VK57" s="41"/>
      <c r="VL57" s="41"/>
      <c r="VM57" s="41"/>
      <c r="VN57" s="41"/>
      <c r="VO57" s="41"/>
      <c r="VP57" s="41"/>
      <c r="VQ57" s="41"/>
      <c r="VR57" s="41"/>
      <c r="VS57" s="41"/>
      <c r="VT57" s="41"/>
      <c r="VU57" s="41"/>
      <c r="VV57" s="41"/>
      <c r="VW57" s="41"/>
      <c r="VX57" s="41"/>
      <c r="VY57" s="41"/>
      <c r="VZ57" s="41"/>
      <c r="WA57" s="41"/>
      <c r="WB57" s="41"/>
      <c r="WC57" s="41"/>
      <c r="WD57" s="41"/>
      <c r="WE57" s="41"/>
      <c r="WF57" s="41"/>
      <c r="WG57" s="41"/>
      <c r="WH57" s="41"/>
      <c r="WI57" s="41"/>
      <c r="WJ57" s="41"/>
      <c r="WK57" s="41"/>
      <c r="WL57" s="41"/>
      <c r="WM57" s="41"/>
      <c r="WN57" s="41"/>
      <c r="WO57" s="41"/>
      <c r="WP57" s="41"/>
      <c r="WQ57" s="41"/>
      <c r="WR57" s="41"/>
      <c r="WS57" s="41"/>
      <c r="WT57" s="41"/>
      <c r="WU57" s="41"/>
      <c r="WV57" s="41"/>
      <c r="WW57" s="41"/>
      <c r="WX57" s="41"/>
      <c r="WY57" s="41"/>
      <c r="WZ57" s="41"/>
      <c r="XA57" s="41"/>
      <c r="XB57" s="41"/>
      <c r="XC57" s="41"/>
      <c r="XD57" s="41"/>
      <c r="XE57" s="41"/>
      <c r="XF57" s="41"/>
      <c r="XG57" s="41"/>
      <c r="XH57" s="41"/>
      <c r="XI57" s="41"/>
      <c r="XJ57" s="41"/>
      <c r="XK57" s="41"/>
      <c r="XL57" s="41"/>
      <c r="XM57" s="41"/>
      <c r="XN57" s="41"/>
      <c r="XO57" s="41"/>
      <c r="XP57" s="41"/>
      <c r="XQ57" s="41"/>
      <c r="XR57" s="41"/>
      <c r="XS57" s="41"/>
      <c r="XT57" s="41"/>
      <c r="XU57" s="41"/>
      <c r="XV57" s="41"/>
      <c r="XW57" s="41"/>
      <c r="XX57" s="41"/>
      <c r="XY57" s="41"/>
      <c r="XZ57" s="41"/>
      <c r="YA57" s="41"/>
      <c r="YB57" s="41"/>
      <c r="YC57" s="41"/>
      <c r="YD57" s="41"/>
      <c r="YE57" s="41"/>
      <c r="YF57" s="41"/>
      <c r="YG57" s="41"/>
      <c r="YH57" s="41"/>
      <c r="YI57" s="41"/>
      <c r="YJ57" s="41"/>
      <c r="YK57" s="41"/>
      <c r="YL57" s="41"/>
      <c r="YM57" s="41"/>
      <c r="YN57" s="41"/>
      <c r="YO57" s="41"/>
      <c r="YP57" s="41"/>
      <c r="YQ57" s="41"/>
      <c r="YR57" s="41"/>
      <c r="YS57" s="41"/>
      <c r="YT57" s="41"/>
      <c r="YU57" s="41"/>
      <c r="YV57" s="41"/>
      <c r="YW57" s="41"/>
      <c r="YX57" s="41"/>
      <c r="YY57" s="41"/>
      <c r="YZ57" s="41"/>
      <c r="ZA57" s="41"/>
      <c r="ZB57" s="41"/>
      <c r="ZC57" s="41"/>
      <c r="ZD57" s="41"/>
      <c r="ZE57" s="41"/>
      <c r="ZF57" s="41"/>
      <c r="ZG57" s="41"/>
      <c r="ZH57" s="41"/>
      <c r="ZI57" s="41"/>
      <c r="ZJ57" s="41"/>
      <c r="ZK57" s="41"/>
      <c r="ZL57" s="41"/>
      <c r="ZM57" s="41"/>
      <c r="ZN57" s="41"/>
      <c r="ZO57" s="41"/>
      <c r="ZP57" s="41"/>
      <c r="ZQ57" s="41"/>
      <c r="ZR57" s="41"/>
      <c r="ZS57" s="41"/>
      <c r="ZT57" s="41"/>
      <c r="ZU57" s="41"/>
      <c r="ZV57" s="41"/>
      <c r="ZW57" s="41"/>
      <c r="ZX57" s="41"/>
      <c r="ZY57" s="41"/>
      <c r="ZZ57" s="41"/>
      <c r="AAA57" s="41"/>
      <c r="AAB57" s="41"/>
      <c r="AAC57" s="41"/>
      <c r="AAD57" s="41"/>
      <c r="AAE57" s="41"/>
      <c r="AAF57" s="41"/>
      <c r="AAG57" s="41"/>
      <c r="AAH57" s="41"/>
      <c r="AAI57" s="41"/>
      <c r="AAJ57" s="41"/>
      <c r="AAK57" s="41"/>
      <c r="AAL57" s="41"/>
      <c r="AAM57" s="41"/>
      <c r="AAN57" s="41"/>
      <c r="AAO57" s="41"/>
      <c r="AAP57" s="41"/>
      <c r="AAQ57" s="41"/>
      <c r="AAR57" s="41"/>
      <c r="AAS57" s="41"/>
      <c r="AAT57" s="41"/>
      <c r="AAU57" s="41"/>
      <c r="AAV57" s="41"/>
      <c r="AAW57" s="41"/>
      <c r="AAX57" s="41"/>
      <c r="AAY57" s="41"/>
      <c r="AAZ57" s="41"/>
      <c r="ABA57" s="41"/>
      <c r="ABB57" s="41"/>
      <c r="ABC57" s="41"/>
      <c r="ABD57" s="41"/>
      <c r="ABE57" s="41"/>
      <c r="ABF57" s="41"/>
      <c r="ABG57" s="41"/>
      <c r="ABH57" s="41"/>
      <c r="ABI57" s="41"/>
      <c r="ABJ57" s="41"/>
      <c r="ABK57" s="41"/>
      <c r="ABL57" s="41"/>
      <c r="ABM57" s="41"/>
      <c r="ABN57" s="41"/>
      <c r="ABO57" s="41"/>
      <c r="ABP57" s="41"/>
      <c r="ABQ57" s="41"/>
      <c r="ABR57" s="41"/>
      <c r="ABS57" s="41"/>
      <c r="ABT57" s="41"/>
      <c r="ABU57" s="41"/>
      <c r="ABV57" s="41"/>
      <c r="ABW57" s="41"/>
      <c r="ABX57" s="41"/>
      <c r="ABY57" s="41"/>
      <c r="ABZ57" s="41"/>
      <c r="ACA57" s="41"/>
      <c r="ACB57" s="41"/>
      <c r="ACC57" s="41"/>
      <c r="ACD57" s="41"/>
      <c r="ACE57" s="41"/>
      <c r="ACF57" s="41"/>
      <c r="ACG57" s="41"/>
      <c r="ACH57" s="41"/>
      <c r="ACI57" s="41"/>
      <c r="ACJ57" s="41"/>
      <c r="ACK57" s="41"/>
      <c r="ACL57" s="41"/>
      <c r="ACM57" s="41"/>
      <c r="ACN57" s="41"/>
      <c r="ACO57" s="41"/>
      <c r="ACP57" s="41"/>
      <c r="ACQ57" s="41"/>
      <c r="ACR57" s="41"/>
      <c r="ACS57" s="41"/>
      <c r="ACT57" s="41"/>
      <c r="ACU57" s="41"/>
      <c r="ACV57" s="41"/>
      <c r="ACW57" s="41"/>
      <c r="ACX57" s="41"/>
      <c r="ACY57" s="41"/>
      <c r="ACZ57" s="41"/>
      <c r="ADA57" s="41"/>
      <c r="ADB57" s="41"/>
      <c r="ADC57" s="41"/>
      <c r="ADD57" s="41"/>
      <c r="ADE57" s="41"/>
      <c r="ADF57" s="41"/>
      <c r="ADG57" s="41"/>
      <c r="ADH57" s="41"/>
      <c r="ADI57" s="41"/>
      <c r="ADJ57" s="41"/>
      <c r="ADK57" s="41"/>
      <c r="ADL57" s="41"/>
      <c r="ADM57" s="41"/>
      <c r="ADN57" s="41"/>
      <c r="ADO57" s="41"/>
      <c r="ADP57" s="41"/>
      <c r="ADQ57" s="41"/>
      <c r="ADR57" s="41"/>
      <c r="ADS57" s="41"/>
      <c r="ADT57" s="41"/>
      <c r="ADU57" s="41"/>
      <c r="ADV57" s="41"/>
      <c r="ADW57" s="41"/>
      <c r="ADX57" s="41"/>
      <c r="ADY57" s="41"/>
      <c r="ADZ57" s="41"/>
      <c r="AEA57" s="41"/>
      <c r="AEB57" s="41"/>
      <c r="AEC57" s="41"/>
      <c r="AED57" s="41"/>
      <c r="AEE57" s="41"/>
      <c r="AEF57" s="41"/>
      <c r="AEG57" s="41"/>
      <c r="AEH57" s="41"/>
      <c r="AEI57" s="41"/>
      <c r="AEJ57" s="41"/>
      <c r="AEK57" s="41"/>
      <c r="AEL57" s="41"/>
      <c r="AEM57" s="41"/>
      <c r="AEN57" s="41"/>
      <c r="AEO57" s="41"/>
      <c r="AEP57" s="41"/>
      <c r="AEQ57" s="41"/>
      <c r="AER57" s="41"/>
      <c r="AES57" s="41"/>
      <c r="AET57" s="41"/>
      <c r="AEU57" s="41"/>
      <c r="AEV57" s="41"/>
      <c r="AEW57" s="41"/>
      <c r="AEX57" s="41"/>
      <c r="AEY57" s="41"/>
      <c r="AEZ57" s="41"/>
      <c r="AFA57" s="41"/>
      <c r="AFB57" s="41"/>
      <c r="AFC57" s="41"/>
      <c r="AFD57" s="41"/>
      <c r="AFE57" s="41"/>
      <c r="AFF57" s="41"/>
      <c r="AFG57" s="41"/>
      <c r="AFH57" s="41"/>
      <c r="AFI57" s="41"/>
      <c r="AFJ57" s="41"/>
      <c r="AFK57" s="41"/>
      <c r="AFL57" s="41"/>
      <c r="AFM57" s="41"/>
      <c r="AFN57" s="41"/>
      <c r="AFO57" s="41"/>
      <c r="AFP57" s="41"/>
      <c r="AFQ57" s="41"/>
      <c r="AFR57" s="41"/>
      <c r="AFS57" s="41"/>
      <c r="AFT57" s="41"/>
      <c r="AFU57" s="41"/>
      <c r="AFV57" s="41"/>
      <c r="AFW57" s="41"/>
      <c r="AFX57" s="41"/>
      <c r="AFY57" s="41"/>
      <c r="AFZ57" s="41"/>
      <c r="AGA57" s="41"/>
      <c r="AGB57" s="41"/>
      <c r="AGC57" s="41"/>
      <c r="AGD57" s="41"/>
      <c r="AGE57" s="41"/>
      <c r="AGF57" s="41"/>
      <c r="AGG57" s="41"/>
      <c r="AGH57" s="41"/>
      <c r="AGI57" s="41"/>
      <c r="AGJ57" s="41"/>
      <c r="AGK57" s="41"/>
      <c r="AGL57" s="41"/>
      <c r="AGM57" s="41"/>
      <c r="AGN57" s="41"/>
      <c r="AGO57" s="41"/>
      <c r="AGP57" s="41"/>
      <c r="AGQ57" s="41"/>
      <c r="AGR57" s="41"/>
      <c r="AGS57" s="41"/>
      <c r="AGT57" s="41"/>
      <c r="AGU57" s="41"/>
      <c r="AGV57" s="41"/>
      <c r="AGW57" s="41"/>
      <c r="AGX57" s="41"/>
      <c r="AGY57" s="41"/>
      <c r="AGZ57" s="41"/>
      <c r="AHA57" s="41"/>
      <c r="AHB57" s="41"/>
      <c r="AHC57" s="41"/>
      <c r="AHD57" s="41"/>
      <c r="AHE57" s="41"/>
      <c r="AHF57" s="41"/>
      <c r="AHG57" s="41"/>
      <c r="AHH57" s="41"/>
      <c r="AHI57" s="41"/>
      <c r="AHJ57" s="41"/>
      <c r="AHK57" s="41"/>
      <c r="AHL57" s="41"/>
      <c r="AHM57" s="41"/>
      <c r="AHN57" s="41"/>
      <c r="AHO57" s="41"/>
      <c r="AHP57" s="41"/>
      <c r="AHQ57" s="41"/>
      <c r="AHR57" s="41"/>
      <c r="AHS57" s="41"/>
      <c r="AHT57" s="41"/>
      <c r="AHU57" s="41"/>
      <c r="AHV57" s="41"/>
      <c r="AHW57" s="41"/>
      <c r="AHX57" s="41"/>
      <c r="AHY57" s="41"/>
      <c r="AHZ57" s="41"/>
      <c r="AIA57" s="41"/>
      <c r="AIB57" s="41"/>
      <c r="AIC57" s="41"/>
      <c r="AID57" s="41"/>
      <c r="AIE57" s="41"/>
      <c r="AIF57" s="41"/>
      <c r="AIG57" s="41"/>
      <c r="AIH57" s="41"/>
      <c r="AII57" s="41"/>
      <c r="AIJ57" s="41"/>
      <c r="AIK57" s="41"/>
      <c r="AIL57" s="41"/>
      <c r="AIM57" s="41"/>
      <c r="AIN57" s="41"/>
      <c r="AIO57" s="41"/>
      <c r="AIP57" s="41"/>
      <c r="AIQ57" s="41"/>
      <c r="AIR57" s="41"/>
      <c r="AIS57" s="41"/>
      <c r="AIT57" s="41"/>
      <c r="AIU57" s="41"/>
      <c r="AIV57" s="41"/>
      <c r="AIW57" s="41"/>
      <c r="AIX57" s="41"/>
      <c r="AIY57" s="41"/>
      <c r="AIZ57" s="41"/>
      <c r="AJA57" s="41"/>
      <c r="AJB57" s="41"/>
      <c r="AJC57" s="41"/>
      <c r="AJD57" s="41"/>
      <c r="AJE57" s="41"/>
      <c r="AJF57" s="41"/>
      <c r="AJG57" s="41"/>
      <c r="AJH57" s="41"/>
      <c r="AJI57" s="41"/>
      <c r="AJJ57" s="41"/>
      <c r="AJK57" s="41"/>
      <c r="AJL57" s="41"/>
      <c r="AJM57" s="41"/>
      <c r="AJN57" s="41"/>
      <c r="AJO57" s="41"/>
      <c r="AJP57" s="41"/>
      <c r="AJQ57" s="41"/>
      <c r="AJR57" s="41"/>
      <c r="AJS57" s="41"/>
      <c r="AJT57" s="41"/>
      <c r="AJU57" s="41"/>
      <c r="AJV57" s="41"/>
      <c r="AJW57" s="41"/>
      <c r="AJX57" s="41"/>
      <c r="AJY57" s="41"/>
      <c r="AJZ57" s="41"/>
      <c r="AKA57" s="41"/>
      <c r="AKB57" s="41"/>
      <c r="AKC57" s="41"/>
      <c r="AKD57" s="41"/>
      <c r="AKE57" s="41"/>
      <c r="AKF57" s="41"/>
      <c r="AKG57" s="41"/>
      <c r="AKH57" s="41"/>
      <c r="AKI57" s="41"/>
      <c r="AKJ57" s="41"/>
      <c r="AKK57" s="41"/>
      <c r="AKL57" s="41"/>
      <c r="AKM57" s="41"/>
      <c r="AKN57" s="41"/>
      <c r="AKO57" s="41"/>
      <c r="AKP57" s="41"/>
      <c r="AKQ57" s="41"/>
      <c r="AKR57" s="41"/>
      <c r="AKS57" s="41"/>
      <c r="AKT57" s="41"/>
      <c r="AKU57" s="41"/>
      <c r="AKV57" s="41"/>
      <c r="AKW57" s="41"/>
      <c r="AKX57" s="41"/>
      <c r="AKY57" s="41"/>
      <c r="AKZ57" s="41"/>
      <c r="ALA57" s="41"/>
      <c r="ALB57" s="41"/>
      <c r="ALC57" s="41"/>
      <c r="ALD57" s="41"/>
      <c r="ALE57" s="41"/>
      <c r="ALF57" s="41"/>
      <c r="ALG57" s="41"/>
      <c r="ALH57" s="41"/>
      <c r="ALI57" s="41"/>
      <c r="ALJ57" s="41"/>
      <c r="ALK57" s="41"/>
      <c r="ALL57" s="41"/>
      <c r="ALM57" s="41"/>
      <c r="ALN57" s="41"/>
      <c r="ALO57" s="41"/>
      <c r="ALP57" s="41"/>
      <c r="ALQ57" s="41"/>
      <c r="ALR57" s="41"/>
      <c r="ALS57" s="41"/>
      <c r="ALT57" s="41"/>
      <c r="ALU57" s="41"/>
      <c r="ALV57" s="41"/>
      <c r="ALW57" s="41"/>
      <c r="ALX57" s="41"/>
      <c r="ALY57" s="41"/>
      <c r="ALZ57" s="41"/>
      <c r="AMA57" s="41"/>
      <c r="AMB57" s="41"/>
      <c r="AMC57" s="41"/>
      <c r="AMD57" s="41"/>
      <c r="AME57" s="41"/>
      <c r="AMF57" s="41"/>
      <c r="AMG57" s="41"/>
      <c r="AMH57" s="41"/>
      <c r="AMI57" s="41"/>
      <c r="AMJ57" s="41"/>
      <c r="AMK57" s="41"/>
      <c r="AML57" s="41"/>
      <c r="AMM57" s="41"/>
      <c r="AMN57" s="41"/>
      <c r="AMO57" s="41"/>
      <c r="AMP57" s="41"/>
      <c r="AMQ57" s="41"/>
      <c r="AMR57" s="41"/>
      <c r="AMS57" s="41"/>
      <c r="AMT57" s="41"/>
      <c r="AMU57" s="41"/>
      <c r="AMV57" s="41"/>
      <c r="AMW57" s="41"/>
      <c r="AMX57" s="41"/>
      <c r="AMY57" s="41"/>
      <c r="AMZ57" s="41"/>
      <c r="ANA57" s="41"/>
      <c r="ANB57" s="41"/>
      <c r="ANC57" s="41"/>
      <c r="AND57" s="41"/>
      <c r="ANE57" s="41"/>
      <c r="ANF57" s="41"/>
      <c r="ANG57" s="41"/>
      <c r="ANH57" s="41"/>
      <c r="ANI57" s="41"/>
      <c r="ANJ57" s="41"/>
      <c r="ANK57" s="41"/>
    </row>
    <row r="58" s="44" customFormat="true" ht="15" hidden="false" customHeight="false" outlineLevel="0" collapsed="false">
      <c r="A58" s="55" t="s">
        <v>80</v>
      </c>
      <c r="B58" s="43" t="n">
        <v>60.653695</v>
      </c>
      <c r="C58" s="44" t="n">
        <v>124.872948</v>
      </c>
      <c r="D58" s="44" t="n">
        <v>2.529742</v>
      </c>
      <c r="E58" s="45" t="n">
        <v>25</v>
      </c>
      <c r="F58" s="43" t="n">
        <v>0</v>
      </c>
      <c r="G58" s="44" t="n">
        <v>0</v>
      </c>
      <c r="H58" s="46" t="n">
        <v>0</v>
      </c>
      <c r="I58" s="47" t="n">
        <v>400</v>
      </c>
      <c r="J58" s="48" t="n">
        <v>258</v>
      </c>
      <c r="K58" s="43"/>
      <c r="M58" s="46" t="n">
        <v>0.91</v>
      </c>
      <c r="N58" s="43" t="n">
        <v>794</v>
      </c>
      <c r="O58" s="46" t="n">
        <v>2000</v>
      </c>
      <c r="P58" s="49" t="n">
        <v>102968.10545833</v>
      </c>
      <c r="Q58" s="50" t="n">
        <v>-448351.453431475</v>
      </c>
      <c r="R58" s="44" t="n">
        <v>3600000</v>
      </c>
      <c r="S58" s="44" t="n">
        <v>3814000</v>
      </c>
      <c r="T58" s="44" t="n">
        <v>4015000</v>
      </c>
      <c r="U58" s="44" t="n">
        <v>4055000</v>
      </c>
      <c r="V58" s="44" t="n">
        <v>4260000</v>
      </c>
      <c r="W58" s="44" t="n">
        <v>4500000</v>
      </c>
      <c r="X58" s="44" t="n">
        <v>4700000</v>
      </c>
      <c r="Y58" s="44" t="n">
        <v>5000000</v>
      </c>
      <c r="Z58" s="44" t="n">
        <v>4800000</v>
      </c>
      <c r="AA58" s="44" t="n">
        <v>5299990</v>
      </c>
      <c r="AB58" s="44" t="n">
        <v>4999990</v>
      </c>
      <c r="AC58" s="44" t="n">
        <v>5199990</v>
      </c>
      <c r="AD58" s="44" t="n">
        <v>5799980</v>
      </c>
      <c r="AE58" s="44" t="n">
        <v>6289960</v>
      </c>
      <c r="AF58" s="44" t="n">
        <v>6389940</v>
      </c>
      <c r="AG58" s="44" t="n">
        <v>5799880</v>
      </c>
      <c r="AH58" s="44" t="n">
        <v>6399810</v>
      </c>
      <c r="AI58" s="44" t="n">
        <v>6699790</v>
      </c>
      <c r="AJ58" s="44" t="n">
        <v>7229760</v>
      </c>
      <c r="AK58" s="44" t="n">
        <v>7399740</v>
      </c>
      <c r="AL58" s="44" t="n">
        <v>6039590</v>
      </c>
      <c r="AM58" s="44" t="n">
        <v>6939440</v>
      </c>
      <c r="AN58" s="46" t="n">
        <v>6599270</v>
      </c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41"/>
      <c r="JB58" s="41"/>
      <c r="JC58" s="41"/>
      <c r="JD58" s="41"/>
      <c r="JE58" s="41"/>
      <c r="JF58" s="41"/>
      <c r="JG58" s="41"/>
      <c r="JH58" s="41"/>
      <c r="JI58" s="41"/>
      <c r="JJ58" s="41"/>
      <c r="JK58" s="41"/>
      <c r="JL58" s="41"/>
      <c r="JM58" s="41"/>
      <c r="JN58" s="41"/>
      <c r="JO58" s="41"/>
      <c r="JP58" s="41"/>
      <c r="JQ58" s="41"/>
      <c r="JR58" s="41"/>
      <c r="JS58" s="41"/>
      <c r="JT58" s="41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1"/>
      <c r="KO58" s="41"/>
      <c r="KP58" s="41"/>
      <c r="KQ58" s="41"/>
      <c r="KR58" s="41"/>
      <c r="KS58" s="41"/>
      <c r="KT58" s="41"/>
      <c r="KU58" s="41"/>
      <c r="KV58" s="41"/>
      <c r="KW58" s="41"/>
      <c r="KX58" s="41"/>
      <c r="KY58" s="41"/>
      <c r="KZ58" s="41"/>
      <c r="LA58" s="41"/>
      <c r="LB58" s="41"/>
      <c r="LC58" s="41"/>
      <c r="LD58" s="41"/>
      <c r="LE58" s="41"/>
      <c r="LF58" s="41"/>
      <c r="LG58" s="41"/>
      <c r="LH58" s="41"/>
      <c r="LI58" s="41"/>
      <c r="LJ58" s="41"/>
      <c r="LK58" s="41"/>
      <c r="LL58" s="41"/>
      <c r="LM58" s="41"/>
      <c r="LN58" s="41"/>
      <c r="LO58" s="41"/>
      <c r="LP58" s="41"/>
      <c r="LQ58" s="41"/>
      <c r="LR58" s="41"/>
      <c r="LS58" s="41"/>
      <c r="LT58" s="41"/>
      <c r="LU58" s="41"/>
      <c r="LV58" s="41"/>
      <c r="LW58" s="41"/>
      <c r="LX58" s="41"/>
      <c r="LY58" s="41"/>
      <c r="LZ58" s="41"/>
      <c r="MA58" s="41"/>
      <c r="MB58" s="41"/>
      <c r="MC58" s="41"/>
      <c r="MD58" s="41"/>
      <c r="ME58" s="41"/>
      <c r="MF58" s="41"/>
      <c r="MG58" s="41"/>
      <c r="MH58" s="41"/>
      <c r="MI58" s="41"/>
      <c r="MJ58" s="41"/>
      <c r="MK58" s="41"/>
      <c r="ML58" s="41"/>
      <c r="MM58" s="41"/>
      <c r="MN58" s="41"/>
      <c r="MO58" s="41"/>
      <c r="MP58" s="41"/>
      <c r="MQ58" s="41"/>
      <c r="MR58" s="41"/>
      <c r="MS58" s="41"/>
      <c r="MT58" s="41"/>
      <c r="MU58" s="41"/>
      <c r="MV58" s="41"/>
      <c r="MW58" s="41"/>
      <c r="MX58" s="41"/>
      <c r="MY58" s="41"/>
      <c r="MZ58" s="41"/>
      <c r="NA58" s="41"/>
      <c r="NB58" s="41"/>
      <c r="NC58" s="41"/>
      <c r="ND58" s="41"/>
      <c r="NE58" s="41"/>
      <c r="NF58" s="41"/>
      <c r="NG58" s="41"/>
      <c r="NH58" s="41"/>
      <c r="NI58" s="41"/>
      <c r="NJ58" s="41"/>
      <c r="NK58" s="41"/>
      <c r="NL58" s="41"/>
      <c r="NM58" s="41"/>
      <c r="NN58" s="41"/>
      <c r="NO58" s="41"/>
      <c r="NP58" s="41"/>
      <c r="NQ58" s="41"/>
      <c r="NR58" s="41"/>
      <c r="NS58" s="41"/>
      <c r="NT58" s="41"/>
      <c r="NU58" s="41"/>
      <c r="NV58" s="41"/>
      <c r="NW58" s="41"/>
      <c r="NX58" s="41"/>
      <c r="NY58" s="41"/>
      <c r="NZ58" s="41"/>
      <c r="OA58" s="41"/>
      <c r="OB58" s="41"/>
      <c r="OC58" s="41"/>
      <c r="OD58" s="41"/>
      <c r="OE58" s="41"/>
      <c r="OF58" s="41"/>
      <c r="OG58" s="41"/>
      <c r="OH58" s="41"/>
      <c r="OI58" s="41"/>
      <c r="OJ58" s="41"/>
      <c r="OK58" s="41"/>
      <c r="OL58" s="41"/>
      <c r="OM58" s="41"/>
      <c r="ON58" s="41"/>
      <c r="OO58" s="41"/>
      <c r="OP58" s="41"/>
      <c r="OQ58" s="41"/>
      <c r="OR58" s="41"/>
      <c r="OS58" s="41"/>
      <c r="OT58" s="41"/>
      <c r="OU58" s="41"/>
      <c r="OV58" s="41"/>
      <c r="OW58" s="41"/>
      <c r="OX58" s="41"/>
      <c r="OY58" s="41"/>
      <c r="OZ58" s="41"/>
      <c r="PA58" s="41"/>
      <c r="PB58" s="41"/>
      <c r="PC58" s="41"/>
      <c r="PD58" s="41"/>
      <c r="PE58" s="41"/>
      <c r="PF58" s="41"/>
      <c r="PG58" s="41"/>
      <c r="PH58" s="41"/>
      <c r="PI58" s="41"/>
      <c r="PJ58" s="41"/>
      <c r="PK58" s="41"/>
      <c r="PL58" s="41"/>
      <c r="PM58" s="41"/>
      <c r="PN58" s="41"/>
      <c r="PO58" s="41"/>
      <c r="PP58" s="41"/>
      <c r="PQ58" s="41"/>
      <c r="PR58" s="41"/>
      <c r="PS58" s="41"/>
      <c r="PT58" s="41"/>
      <c r="PU58" s="41"/>
      <c r="PV58" s="41"/>
      <c r="PW58" s="41"/>
      <c r="PX58" s="41"/>
      <c r="PY58" s="41"/>
      <c r="PZ58" s="41"/>
      <c r="QA58" s="41"/>
      <c r="QB58" s="41"/>
      <c r="QC58" s="41"/>
      <c r="QD58" s="41"/>
      <c r="QE58" s="41"/>
      <c r="QF58" s="41"/>
      <c r="QG58" s="41"/>
      <c r="QH58" s="41"/>
      <c r="QI58" s="41"/>
      <c r="QJ58" s="41"/>
      <c r="QK58" s="41"/>
      <c r="QL58" s="41"/>
      <c r="QM58" s="41"/>
      <c r="QN58" s="41"/>
      <c r="QO58" s="41"/>
      <c r="QP58" s="41"/>
      <c r="QQ58" s="41"/>
      <c r="QR58" s="41"/>
      <c r="QS58" s="41"/>
      <c r="QT58" s="41"/>
      <c r="QU58" s="41"/>
      <c r="QV58" s="41"/>
      <c r="QW58" s="41"/>
      <c r="QX58" s="41"/>
      <c r="QY58" s="41"/>
      <c r="QZ58" s="41"/>
      <c r="RA58" s="41"/>
      <c r="RB58" s="41"/>
      <c r="RC58" s="41"/>
      <c r="RD58" s="41"/>
      <c r="RE58" s="41"/>
      <c r="RF58" s="41"/>
      <c r="RG58" s="41"/>
      <c r="RH58" s="41"/>
      <c r="RI58" s="41"/>
      <c r="RJ58" s="41"/>
      <c r="RK58" s="41"/>
      <c r="RL58" s="41"/>
      <c r="RM58" s="41"/>
      <c r="RN58" s="41"/>
      <c r="RO58" s="41"/>
      <c r="RP58" s="41"/>
      <c r="RQ58" s="41"/>
      <c r="RR58" s="41"/>
      <c r="RS58" s="41"/>
      <c r="RT58" s="41"/>
      <c r="RU58" s="41"/>
      <c r="RV58" s="41"/>
      <c r="RW58" s="41"/>
      <c r="RX58" s="41"/>
      <c r="RY58" s="41"/>
      <c r="RZ58" s="41"/>
      <c r="SA58" s="41"/>
      <c r="SB58" s="41"/>
      <c r="SC58" s="41"/>
      <c r="SD58" s="41"/>
      <c r="SE58" s="41"/>
      <c r="SF58" s="41"/>
      <c r="SG58" s="41"/>
      <c r="SH58" s="41"/>
      <c r="SI58" s="41"/>
      <c r="SJ58" s="41"/>
      <c r="SK58" s="41"/>
      <c r="SL58" s="41"/>
      <c r="SM58" s="41"/>
      <c r="SN58" s="41"/>
      <c r="SO58" s="41"/>
      <c r="SP58" s="41"/>
      <c r="SQ58" s="41"/>
      <c r="SR58" s="41"/>
      <c r="SS58" s="41"/>
      <c r="ST58" s="41"/>
      <c r="SU58" s="41"/>
      <c r="SV58" s="41"/>
      <c r="SW58" s="41"/>
      <c r="SX58" s="41"/>
      <c r="SY58" s="41"/>
      <c r="SZ58" s="41"/>
      <c r="TA58" s="41"/>
      <c r="TB58" s="41"/>
      <c r="TC58" s="41"/>
      <c r="TD58" s="41"/>
      <c r="TE58" s="41"/>
      <c r="TF58" s="41"/>
      <c r="TG58" s="41"/>
      <c r="TH58" s="41"/>
      <c r="TI58" s="41"/>
      <c r="TJ58" s="41"/>
      <c r="TK58" s="41"/>
      <c r="TL58" s="41"/>
      <c r="TM58" s="41"/>
      <c r="TN58" s="41"/>
      <c r="TO58" s="41"/>
      <c r="TP58" s="41"/>
      <c r="TQ58" s="41"/>
      <c r="TR58" s="41"/>
      <c r="TS58" s="41"/>
      <c r="TT58" s="41"/>
      <c r="TU58" s="41"/>
      <c r="TV58" s="41"/>
      <c r="TW58" s="41"/>
      <c r="TX58" s="41"/>
      <c r="TY58" s="41"/>
      <c r="TZ58" s="41"/>
      <c r="UA58" s="41"/>
      <c r="UB58" s="41"/>
      <c r="UC58" s="41"/>
      <c r="UD58" s="41"/>
      <c r="UE58" s="41"/>
      <c r="UF58" s="41"/>
      <c r="UG58" s="41"/>
      <c r="UH58" s="41"/>
      <c r="UI58" s="41"/>
      <c r="UJ58" s="41"/>
      <c r="UK58" s="41"/>
      <c r="UL58" s="41"/>
      <c r="UM58" s="41"/>
      <c r="UN58" s="41"/>
      <c r="UO58" s="41"/>
      <c r="UP58" s="41"/>
      <c r="UQ58" s="41"/>
      <c r="UR58" s="41"/>
      <c r="US58" s="41"/>
      <c r="UT58" s="41"/>
      <c r="UU58" s="41"/>
      <c r="UV58" s="41"/>
      <c r="UW58" s="41"/>
      <c r="UX58" s="41"/>
      <c r="UY58" s="41"/>
      <c r="UZ58" s="41"/>
      <c r="VA58" s="41"/>
      <c r="VB58" s="41"/>
      <c r="VC58" s="41"/>
      <c r="VD58" s="41"/>
      <c r="VE58" s="41"/>
      <c r="VF58" s="41"/>
      <c r="VG58" s="41"/>
      <c r="VH58" s="41"/>
      <c r="VI58" s="41"/>
      <c r="VJ58" s="41"/>
      <c r="VK58" s="41"/>
      <c r="VL58" s="41"/>
      <c r="VM58" s="41"/>
      <c r="VN58" s="41"/>
      <c r="VO58" s="41"/>
      <c r="VP58" s="41"/>
      <c r="VQ58" s="41"/>
      <c r="VR58" s="41"/>
      <c r="VS58" s="41"/>
      <c r="VT58" s="41"/>
      <c r="VU58" s="41"/>
      <c r="VV58" s="41"/>
      <c r="VW58" s="41"/>
      <c r="VX58" s="41"/>
      <c r="VY58" s="41"/>
      <c r="VZ58" s="41"/>
      <c r="WA58" s="41"/>
      <c r="WB58" s="41"/>
      <c r="WC58" s="41"/>
      <c r="WD58" s="41"/>
      <c r="WE58" s="41"/>
      <c r="WF58" s="41"/>
      <c r="WG58" s="41"/>
      <c r="WH58" s="41"/>
      <c r="WI58" s="41"/>
      <c r="WJ58" s="41"/>
      <c r="WK58" s="41"/>
      <c r="WL58" s="41"/>
      <c r="WM58" s="41"/>
      <c r="WN58" s="41"/>
      <c r="WO58" s="41"/>
      <c r="WP58" s="41"/>
      <c r="WQ58" s="41"/>
      <c r="WR58" s="41"/>
      <c r="WS58" s="41"/>
      <c r="WT58" s="41"/>
      <c r="WU58" s="41"/>
      <c r="WV58" s="41"/>
      <c r="WW58" s="41"/>
      <c r="WX58" s="41"/>
      <c r="WY58" s="41"/>
      <c r="WZ58" s="41"/>
      <c r="XA58" s="41"/>
      <c r="XB58" s="41"/>
      <c r="XC58" s="41"/>
      <c r="XD58" s="41"/>
      <c r="XE58" s="41"/>
      <c r="XF58" s="41"/>
      <c r="XG58" s="41"/>
      <c r="XH58" s="41"/>
      <c r="XI58" s="41"/>
      <c r="XJ58" s="41"/>
      <c r="XK58" s="41"/>
      <c r="XL58" s="41"/>
      <c r="XM58" s="41"/>
      <c r="XN58" s="41"/>
      <c r="XO58" s="41"/>
      <c r="XP58" s="41"/>
      <c r="XQ58" s="41"/>
      <c r="XR58" s="41"/>
      <c r="XS58" s="41"/>
      <c r="XT58" s="41"/>
      <c r="XU58" s="41"/>
      <c r="XV58" s="41"/>
      <c r="XW58" s="41"/>
      <c r="XX58" s="41"/>
      <c r="XY58" s="41"/>
      <c r="XZ58" s="41"/>
      <c r="YA58" s="41"/>
      <c r="YB58" s="41"/>
      <c r="YC58" s="41"/>
      <c r="YD58" s="41"/>
      <c r="YE58" s="41"/>
      <c r="YF58" s="41"/>
      <c r="YG58" s="41"/>
      <c r="YH58" s="41"/>
      <c r="YI58" s="41"/>
      <c r="YJ58" s="41"/>
      <c r="YK58" s="41"/>
      <c r="YL58" s="41"/>
      <c r="YM58" s="41"/>
      <c r="YN58" s="41"/>
      <c r="YO58" s="41"/>
      <c r="YP58" s="41"/>
      <c r="YQ58" s="41"/>
      <c r="YR58" s="41"/>
      <c r="YS58" s="41"/>
      <c r="YT58" s="41"/>
      <c r="YU58" s="41"/>
      <c r="YV58" s="41"/>
      <c r="YW58" s="41"/>
      <c r="YX58" s="41"/>
      <c r="YY58" s="41"/>
      <c r="YZ58" s="41"/>
      <c r="ZA58" s="41"/>
      <c r="ZB58" s="41"/>
      <c r="ZC58" s="41"/>
      <c r="ZD58" s="41"/>
      <c r="ZE58" s="41"/>
      <c r="ZF58" s="41"/>
      <c r="ZG58" s="41"/>
      <c r="ZH58" s="41"/>
      <c r="ZI58" s="41"/>
      <c r="ZJ58" s="41"/>
      <c r="ZK58" s="41"/>
      <c r="ZL58" s="41"/>
      <c r="ZM58" s="41"/>
      <c r="ZN58" s="41"/>
      <c r="ZO58" s="41"/>
      <c r="ZP58" s="41"/>
      <c r="ZQ58" s="41"/>
      <c r="ZR58" s="41"/>
      <c r="ZS58" s="41"/>
      <c r="ZT58" s="41"/>
      <c r="ZU58" s="41"/>
      <c r="ZV58" s="41"/>
      <c r="ZW58" s="41"/>
      <c r="ZX58" s="41"/>
      <c r="ZY58" s="41"/>
      <c r="ZZ58" s="41"/>
      <c r="AAA58" s="41"/>
      <c r="AAB58" s="41"/>
      <c r="AAC58" s="41"/>
      <c r="AAD58" s="41"/>
      <c r="AAE58" s="41"/>
      <c r="AAF58" s="41"/>
      <c r="AAG58" s="41"/>
      <c r="AAH58" s="41"/>
      <c r="AAI58" s="41"/>
      <c r="AAJ58" s="41"/>
      <c r="AAK58" s="41"/>
      <c r="AAL58" s="41"/>
      <c r="AAM58" s="41"/>
      <c r="AAN58" s="41"/>
      <c r="AAO58" s="41"/>
      <c r="AAP58" s="41"/>
      <c r="AAQ58" s="41"/>
      <c r="AAR58" s="41"/>
      <c r="AAS58" s="41"/>
      <c r="AAT58" s="41"/>
      <c r="AAU58" s="41"/>
      <c r="AAV58" s="41"/>
      <c r="AAW58" s="41"/>
      <c r="AAX58" s="41"/>
      <c r="AAY58" s="41"/>
      <c r="AAZ58" s="41"/>
      <c r="ABA58" s="41"/>
      <c r="ABB58" s="41"/>
      <c r="ABC58" s="41"/>
      <c r="ABD58" s="41"/>
      <c r="ABE58" s="41"/>
      <c r="ABF58" s="41"/>
      <c r="ABG58" s="41"/>
      <c r="ABH58" s="41"/>
      <c r="ABI58" s="41"/>
      <c r="ABJ58" s="41"/>
      <c r="ABK58" s="41"/>
      <c r="ABL58" s="41"/>
      <c r="ABM58" s="41"/>
      <c r="ABN58" s="41"/>
      <c r="ABO58" s="41"/>
      <c r="ABP58" s="41"/>
      <c r="ABQ58" s="41"/>
      <c r="ABR58" s="41"/>
      <c r="ABS58" s="41"/>
      <c r="ABT58" s="41"/>
      <c r="ABU58" s="41"/>
      <c r="ABV58" s="41"/>
      <c r="ABW58" s="41"/>
      <c r="ABX58" s="41"/>
      <c r="ABY58" s="41"/>
      <c r="ABZ58" s="41"/>
      <c r="ACA58" s="41"/>
      <c r="ACB58" s="41"/>
      <c r="ACC58" s="41"/>
      <c r="ACD58" s="41"/>
      <c r="ACE58" s="41"/>
      <c r="ACF58" s="41"/>
      <c r="ACG58" s="41"/>
      <c r="ACH58" s="41"/>
      <c r="ACI58" s="41"/>
      <c r="ACJ58" s="41"/>
      <c r="ACK58" s="41"/>
      <c r="ACL58" s="41"/>
      <c r="ACM58" s="41"/>
      <c r="ACN58" s="41"/>
      <c r="ACO58" s="41"/>
      <c r="ACP58" s="41"/>
      <c r="ACQ58" s="41"/>
      <c r="ACR58" s="41"/>
      <c r="ACS58" s="41"/>
      <c r="ACT58" s="41"/>
      <c r="ACU58" s="41"/>
      <c r="ACV58" s="41"/>
      <c r="ACW58" s="41"/>
      <c r="ACX58" s="41"/>
      <c r="ACY58" s="41"/>
      <c r="ACZ58" s="41"/>
      <c r="ADA58" s="41"/>
      <c r="ADB58" s="41"/>
      <c r="ADC58" s="41"/>
      <c r="ADD58" s="41"/>
      <c r="ADE58" s="41"/>
      <c r="ADF58" s="41"/>
      <c r="ADG58" s="41"/>
      <c r="ADH58" s="41"/>
      <c r="ADI58" s="41"/>
      <c r="ADJ58" s="41"/>
      <c r="ADK58" s="41"/>
      <c r="ADL58" s="41"/>
      <c r="ADM58" s="41"/>
      <c r="ADN58" s="41"/>
      <c r="ADO58" s="41"/>
      <c r="ADP58" s="41"/>
      <c r="ADQ58" s="41"/>
      <c r="ADR58" s="41"/>
      <c r="ADS58" s="41"/>
      <c r="ADT58" s="41"/>
      <c r="ADU58" s="41"/>
      <c r="ADV58" s="41"/>
      <c r="ADW58" s="41"/>
      <c r="ADX58" s="41"/>
      <c r="ADY58" s="41"/>
      <c r="ADZ58" s="41"/>
      <c r="AEA58" s="41"/>
      <c r="AEB58" s="41"/>
      <c r="AEC58" s="41"/>
      <c r="AED58" s="41"/>
      <c r="AEE58" s="41"/>
      <c r="AEF58" s="41"/>
      <c r="AEG58" s="41"/>
      <c r="AEH58" s="41"/>
      <c r="AEI58" s="41"/>
      <c r="AEJ58" s="41"/>
      <c r="AEK58" s="41"/>
      <c r="AEL58" s="41"/>
      <c r="AEM58" s="41"/>
      <c r="AEN58" s="41"/>
      <c r="AEO58" s="41"/>
      <c r="AEP58" s="41"/>
      <c r="AEQ58" s="41"/>
      <c r="AER58" s="41"/>
      <c r="AES58" s="41"/>
      <c r="AET58" s="41"/>
      <c r="AEU58" s="41"/>
      <c r="AEV58" s="41"/>
      <c r="AEW58" s="41"/>
      <c r="AEX58" s="41"/>
      <c r="AEY58" s="41"/>
      <c r="AEZ58" s="41"/>
      <c r="AFA58" s="41"/>
      <c r="AFB58" s="41"/>
      <c r="AFC58" s="41"/>
      <c r="AFD58" s="41"/>
      <c r="AFE58" s="41"/>
      <c r="AFF58" s="41"/>
      <c r="AFG58" s="41"/>
      <c r="AFH58" s="41"/>
      <c r="AFI58" s="41"/>
      <c r="AFJ58" s="41"/>
      <c r="AFK58" s="41"/>
      <c r="AFL58" s="41"/>
      <c r="AFM58" s="41"/>
      <c r="AFN58" s="41"/>
      <c r="AFO58" s="41"/>
      <c r="AFP58" s="41"/>
      <c r="AFQ58" s="41"/>
      <c r="AFR58" s="41"/>
      <c r="AFS58" s="41"/>
      <c r="AFT58" s="41"/>
      <c r="AFU58" s="41"/>
      <c r="AFV58" s="41"/>
      <c r="AFW58" s="41"/>
      <c r="AFX58" s="41"/>
      <c r="AFY58" s="41"/>
      <c r="AFZ58" s="41"/>
      <c r="AGA58" s="41"/>
      <c r="AGB58" s="41"/>
      <c r="AGC58" s="41"/>
      <c r="AGD58" s="41"/>
      <c r="AGE58" s="41"/>
      <c r="AGF58" s="41"/>
      <c r="AGG58" s="41"/>
      <c r="AGH58" s="41"/>
      <c r="AGI58" s="41"/>
      <c r="AGJ58" s="41"/>
      <c r="AGK58" s="41"/>
      <c r="AGL58" s="41"/>
      <c r="AGM58" s="41"/>
      <c r="AGN58" s="41"/>
      <c r="AGO58" s="41"/>
      <c r="AGP58" s="41"/>
      <c r="AGQ58" s="41"/>
      <c r="AGR58" s="41"/>
      <c r="AGS58" s="41"/>
      <c r="AGT58" s="41"/>
      <c r="AGU58" s="41"/>
      <c r="AGV58" s="41"/>
      <c r="AGW58" s="41"/>
      <c r="AGX58" s="41"/>
      <c r="AGY58" s="41"/>
      <c r="AGZ58" s="41"/>
      <c r="AHA58" s="41"/>
      <c r="AHB58" s="41"/>
      <c r="AHC58" s="41"/>
      <c r="AHD58" s="41"/>
      <c r="AHE58" s="41"/>
      <c r="AHF58" s="41"/>
      <c r="AHG58" s="41"/>
      <c r="AHH58" s="41"/>
      <c r="AHI58" s="41"/>
      <c r="AHJ58" s="41"/>
      <c r="AHK58" s="41"/>
      <c r="AHL58" s="41"/>
      <c r="AHM58" s="41"/>
      <c r="AHN58" s="41"/>
      <c r="AHO58" s="41"/>
      <c r="AHP58" s="41"/>
      <c r="AHQ58" s="41"/>
      <c r="AHR58" s="41"/>
      <c r="AHS58" s="41"/>
      <c r="AHT58" s="41"/>
      <c r="AHU58" s="41"/>
      <c r="AHV58" s="41"/>
      <c r="AHW58" s="41"/>
      <c r="AHX58" s="41"/>
      <c r="AHY58" s="41"/>
      <c r="AHZ58" s="41"/>
      <c r="AIA58" s="41"/>
      <c r="AIB58" s="41"/>
      <c r="AIC58" s="41"/>
      <c r="AID58" s="41"/>
      <c r="AIE58" s="41"/>
      <c r="AIF58" s="41"/>
      <c r="AIG58" s="41"/>
      <c r="AIH58" s="41"/>
      <c r="AII58" s="41"/>
      <c r="AIJ58" s="41"/>
      <c r="AIK58" s="41"/>
      <c r="AIL58" s="41"/>
      <c r="AIM58" s="41"/>
      <c r="AIN58" s="41"/>
      <c r="AIO58" s="41"/>
      <c r="AIP58" s="41"/>
      <c r="AIQ58" s="41"/>
      <c r="AIR58" s="41"/>
      <c r="AIS58" s="41"/>
      <c r="AIT58" s="41"/>
      <c r="AIU58" s="41"/>
      <c r="AIV58" s="41"/>
      <c r="AIW58" s="41"/>
      <c r="AIX58" s="41"/>
      <c r="AIY58" s="41"/>
      <c r="AIZ58" s="41"/>
      <c r="AJA58" s="41"/>
      <c r="AJB58" s="41"/>
      <c r="AJC58" s="41"/>
      <c r="AJD58" s="41"/>
      <c r="AJE58" s="41"/>
      <c r="AJF58" s="41"/>
      <c r="AJG58" s="41"/>
      <c r="AJH58" s="41"/>
      <c r="AJI58" s="41"/>
      <c r="AJJ58" s="41"/>
      <c r="AJK58" s="41"/>
      <c r="AJL58" s="41"/>
      <c r="AJM58" s="41"/>
      <c r="AJN58" s="41"/>
      <c r="AJO58" s="41"/>
      <c r="AJP58" s="41"/>
      <c r="AJQ58" s="41"/>
      <c r="AJR58" s="41"/>
      <c r="AJS58" s="41"/>
      <c r="AJT58" s="41"/>
      <c r="AJU58" s="41"/>
      <c r="AJV58" s="41"/>
      <c r="AJW58" s="41"/>
      <c r="AJX58" s="41"/>
      <c r="AJY58" s="41"/>
      <c r="AJZ58" s="41"/>
      <c r="AKA58" s="41"/>
      <c r="AKB58" s="41"/>
      <c r="AKC58" s="41"/>
      <c r="AKD58" s="41"/>
      <c r="AKE58" s="41"/>
      <c r="AKF58" s="41"/>
      <c r="AKG58" s="41"/>
      <c r="AKH58" s="41"/>
      <c r="AKI58" s="41"/>
      <c r="AKJ58" s="41"/>
      <c r="AKK58" s="41"/>
      <c r="AKL58" s="41"/>
      <c r="AKM58" s="41"/>
      <c r="AKN58" s="41"/>
      <c r="AKO58" s="41"/>
      <c r="AKP58" s="41"/>
      <c r="AKQ58" s="41"/>
      <c r="AKR58" s="41"/>
      <c r="AKS58" s="41"/>
      <c r="AKT58" s="41"/>
      <c r="AKU58" s="41"/>
      <c r="AKV58" s="41"/>
      <c r="AKW58" s="41"/>
      <c r="AKX58" s="41"/>
      <c r="AKY58" s="41"/>
      <c r="AKZ58" s="41"/>
      <c r="ALA58" s="41"/>
      <c r="ALB58" s="41"/>
      <c r="ALC58" s="41"/>
      <c r="ALD58" s="41"/>
      <c r="ALE58" s="41"/>
      <c r="ALF58" s="41"/>
      <c r="ALG58" s="41"/>
      <c r="ALH58" s="41"/>
      <c r="ALI58" s="41"/>
      <c r="ALJ58" s="41"/>
      <c r="ALK58" s="41"/>
      <c r="ALL58" s="41"/>
      <c r="ALM58" s="41"/>
      <c r="ALN58" s="41"/>
      <c r="ALO58" s="41"/>
      <c r="ALP58" s="41"/>
      <c r="ALQ58" s="41"/>
      <c r="ALR58" s="41"/>
      <c r="ALS58" s="41"/>
      <c r="ALT58" s="41"/>
      <c r="ALU58" s="41"/>
      <c r="ALV58" s="41"/>
      <c r="ALW58" s="41"/>
      <c r="ALX58" s="41"/>
      <c r="ALY58" s="41"/>
      <c r="ALZ58" s="41"/>
      <c r="AMA58" s="41"/>
      <c r="AMB58" s="41"/>
      <c r="AMC58" s="41"/>
      <c r="AMD58" s="41"/>
      <c r="AME58" s="41"/>
      <c r="AMF58" s="41"/>
      <c r="AMG58" s="41"/>
      <c r="AMH58" s="41"/>
      <c r="AMI58" s="41"/>
      <c r="AMJ58" s="41"/>
      <c r="AMK58" s="41"/>
      <c r="AML58" s="41"/>
      <c r="AMM58" s="41"/>
      <c r="AMN58" s="41"/>
      <c r="AMO58" s="41"/>
      <c r="AMP58" s="41"/>
      <c r="AMQ58" s="41"/>
      <c r="AMR58" s="41"/>
      <c r="AMS58" s="41"/>
      <c r="AMT58" s="41"/>
      <c r="AMU58" s="41"/>
      <c r="AMV58" s="41"/>
      <c r="AMW58" s="41"/>
      <c r="AMX58" s="41"/>
      <c r="AMY58" s="41"/>
      <c r="AMZ58" s="41"/>
      <c r="ANA58" s="41"/>
      <c r="ANB58" s="41"/>
      <c r="ANC58" s="41"/>
      <c r="AND58" s="41"/>
      <c r="ANE58" s="41"/>
      <c r="ANF58" s="41"/>
      <c r="ANG58" s="41"/>
      <c r="ANH58" s="41"/>
      <c r="ANI58" s="41"/>
      <c r="ANJ58" s="41"/>
      <c r="ANK58" s="41"/>
    </row>
    <row r="59" s="44" customFormat="true" ht="15" hidden="false" customHeight="false" outlineLevel="0" collapsed="false">
      <c r="A59" s="55" t="s">
        <v>81</v>
      </c>
      <c r="B59" s="43" t="n">
        <v>0</v>
      </c>
      <c r="C59" s="44" t="n">
        <v>0</v>
      </c>
      <c r="D59" s="44" t="n">
        <v>0.126553</v>
      </c>
      <c r="E59" s="45" t="n">
        <v>11.5</v>
      </c>
      <c r="F59" s="43" t="n">
        <v>0</v>
      </c>
      <c r="G59" s="44" t="n">
        <v>0</v>
      </c>
      <c r="H59" s="46" t="n">
        <v>0</v>
      </c>
      <c r="I59" s="47" t="n">
        <v>60</v>
      </c>
      <c r="J59" s="48" t="n">
        <v>0</v>
      </c>
      <c r="K59" s="43"/>
      <c r="M59" s="46" t="n">
        <v>0</v>
      </c>
      <c r="N59" s="43" t="n">
        <v>0</v>
      </c>
      <c r="O59" s="46" t="n">
        <v>0</v>
      </c>
      <c r="P59" s="49" t="n">
        <v>0</v>
      </c>
      <c r="Q59" s="50" t="n">
        <v>0</v>
      </c>
      <c r="R59" s="44" t="n">
        <v>0</v>
      </c>
      <c r="S59" s="44" t="n">
        <v>0</v>
      </c>
      <c r="T59" s="44" t="n">
        <v>0</v>
      </c>
      <c r="U59" s="44" t="n">
        <v>0</v>
      </c>
      <c r="V59" s="44" t="n">
        <v>0</v>
      </c>
      <c r="W59" s="44" t="n">
        <v>0</v>
      </c>
      <c r="X59" s="44" t="n">
        <v>0</v>
      </c>
      <c r="Y59" s="44" t="n">
        <v>0</v>
      </c>
      <c r="Z59" s="44" t="n">
        <v>0</v>
      </c>
      <c r="AA59" s="44" t="n">
        <v>0</v>
      </c>
      <c r="AB59" s="44" t="n">
        <v>0</v>
      </c>
      <c r="AC59" s="44" t="n">
        <v>0</v>
      </c>
      <c r="AD59" s="44" t="n">
        <v>0</v>
      </c>
      <c r="AE59" s="44" t="n">
        <v>0</v>
      </c>
      <c r="AF59" s="44" t="n">
        <v>0</v>
      </c>
      <c r="AG59" s="44" t="n">
        <v>0</v>
      </c>
      <c r="AH59" s="44" t="n">
        <v>0</v>
      </c>
      <c r="AI59" s="44" t="n">
        <v>0</v>
      </c>
      <c r="AJ59" s="44" t="n">
        <v>0</v>
      </c>
      <c r="AK59" s="44" t="n">
        <v>0</v>
      </c>
      <c r="AL59" s="44" t="n">
        <v>0</v>
      </c>
      <c r="AM59" s="44" t="n">
        <v>0</v>
      </c>
      <c r="AN59" s="46" t="n">
        <v>0</v>
      </c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41"/>
      <c r="JB59" s="41"/>
      <c r="JC59" s="41"/>
      <c r="JD59" s="41"/>
      <c r="JE59" s="41"/>
      <c r="JF59" s="41"/>
      <c r="JG59" s="41"/>
      <c r="JH59" s="41"/>
      <c r="JI59" s="41"/>
      <c r="JJ59" s="41"/>
      <c r="JK59" s="41"/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41"/>
      <c r="KZ59" s="41"/>
      <c r="LA59" s="41"/>
      <c r="LB59" s="41"/>
      <c r="LC59" s="41"/>
      <c r="LD59" s="41"/>
      <c r="LE59" s="41"/>
      <c r="LF59" s="41"/>
      <c r="LG59" s="41"/>
      <c r="LH59" s="41"/>
      <c r="LI59" s="41"/>
      <c r="LJ59" s="41"/>
      <c r="LK59" s="41"/>
      <c r="LL59" s="41"/>
      <c r="LM59" s="41"/>
      <c r="LN59" s="41"/>
      <c r="LO59" s="41"/>
      <c r="LP59" s="41"/>
      <c r="LQ59" s="41"/>
      <c r="LR59" s="41"/>
      <c r="LS59" s="41"/>
      <c r="LT59" s="41"/>
      <c r="LU59" s="41"/>
      <c r="LV59" s="41"/>
      <c r="LW59" s="41"/>
      <c r="LX59" s="41"/>
      <c r="LY59" s="41"/>
      <c r="LZ59" s="41"/>
      <c r="MA59" s="41"/>
      <c r="MB59" s="41"/>
      <c r="MC59" s="41"/>
      <c r="MD59" s="41"/>
      <c r="ME59" s="41"/>
      <c r="MF59" s="41"/>
      <c r="MG59" s="41"/>
      <c r="MH59" s="41"/>
      <c r="MI59" s="41"/>
      <c r="MJ59" s="41"/>
      <c r="MK59" s="41"/>
      <c r="ML59" s="41"/>
      <c r="MM59" s="41"/>
      <c r="MN59" s="41"/>
      <c r="MO59" s="41"/>
      <c r="MP59" s="41"/>
      <c r="MQ59" s="41"/>
      <c r="MR59" s="41"/>
      <c r="MS59" s="41"/>
      <c r="MT59" s="41"/>
      <c r="MU59" s="41"/>
      <c r="MV59" s="41"/>
      <c r="MW59" s="41"/>
      <c r="MX59" s="41"/>
      <c r="MY59" s="41"/>
      <c r="MZ59" s="41"/>
      <c r="NA59" s="41"/>
      <c r="NB59" s="41"/>
      <c r="NC59" s="41"/>
      <c r="ND59" s="41"/>
      <c r="NE59" s="41"/>
      <c r="NF59" s="41"/>
      <c r="NG59" s="41"/>
      <c r="NH59" s="41"/>
      <c r="NI59" s="41"/>
      <c r="NJ59" s="41"/>
      <c r="NK59" s="41"/>
      <c r="NL59" s="41"/>
      <c r="NM59" s="41"/>
      <c r="NN59" s="41"/>
      <c r="NO59" s="41"/>
      <c r="NP59" s="41"/>
      <c r="NQ59" s="41"/>
      <c r="NR59" s="41"/>
      <c r="NS59" s="41"/>
      <c r="NT59" s="41"/>
      <c r="NU59" s="41"/>
      <c r="NV59" s="41"/>
      <c r="NW59" s="41"/>
      <c r="NX59" s="41"/>
      <c r="NY59" s="41"/>
      <c r="NZ59" s="41"/>
      <c r="OA59" s="41"/>
      <c r="OB59" s="41"/>
      <c r="OC59" s="41"/>
      <c r="OD59" s="41"/>
      <c r="OE59" s="41"/>
      <c r="OF59" s="41"/>
      <c r="OG59" s="41"/>
      <c r="OH59" s="41"/>
      <c r="OI59" s="41"/>
      <c r="OJ59" s="41"/>
      <c r="OK59" s="41"/>
      <c r="OL59" s="41"/>
      <c r="OM59" s="41"/>
      <c r="ON59" s="41"/>
      <c r="OO59" s="41"/>
      <c r="OP59" s="41"/>
      <c r="OQ59" s="41"/>
      <c r="OR59" s="41"/>
      <c r="OS59" s="41"/>
      <c r="OT59" s="41"/>
      <c r="OU59" s="41"/>
      <c r="OV59" s="41"/>
      <c r="OW59" s="41"/>
      <c r="OX59" s="41"/>
      <c r="OY59" s="41"/>
      <c r="OZ59" s="41"/>
      <c r="PA59" s="41"/>
      <c r="PB59" s="41"/>
      <c r="PC59" s="41"/>
      <c r="PD59" s="41"/>
      <c r="PE59" s="41"/>
      <c r="PF59" s="41"/>
      <c r="PG59" s="41"/>
      <c r="PH59" s="41"/>
      <c r="PI59" s="41"/>
      <c r="PJ59" s="41"/>
      <c r="PK59" s="41"/>
      <c r="PL59" s="41"/>
      <c r="PM59" s="41"/>
      <c r="PN59" s="41"/>
      <c r="PO59" s="41"/>
      <c r="PP59" s="41"/>
      <c r="PQ59" s="41"/>
      <c r="PR59" s="41"/>
      <c r="PS59" s="41"/>
      <c r="PT59" s="41"/>
      <c r="PU59" s="41"/>
      <c r="PV59" s="41"/>
      <c r="PW59" s="41"/>
      <c r="PX59" s="41"/>
      <c r="PY59" s="41"/>
      <c r="PZ59" s="41"/>
      <c r="QA59" s="41"/>
      <c r="QB59" s="41"/>
      <c r="QC59" s="41"/>
      <c r="QD59" s="41"/>
      <c r="QE59" s="41"/>
      <c r="QF59" s="41"/>
      <c r="QG59" s="41"/>
      <c r="QH59" s="41"/>
      <c r="QI59" s="41"/>
      <c r="QJ59" s="41"/>
      <c r="QK59" s="41"/>
      <c r="QL59" s="41"/>
      <c r="QM59" s="41"/>
      <c r="QN59" s="41"/>
      <c r="QO59" s="41"/>
      <c r="QP59" s="41"/>
      <c r="QQ59" s="41"/>
      <c r="QR59" s="41"/>
      <c r="QS59" s="41"/>
      <c r="QT59" s="41"/>
      <c r="QU59" s="41"/>
      <c r="QV59" s="41"/>
      <c r="QW59" s="41"/>
      <c r="QX59" s="41"/>
      <c r="QY59" s="41"/>
      <c r="QZ59" s="41"/>
      <c r="RA59" s="41"/>
      <c r="RB59" s="41"/>
      <c r="RC59" s="41"/>
      <c r="RD59" s="41"/>
      <c r="RE59" s="41"/>
      <c r="RF59" s="41"/>
      <c r="RG59" s="41"/>
      <c r="RH59" s="41"/>
      <c r="RI59" s="41"/>
      <c r="RJ59" s="41"/>
      <c r="RK59" s="41"/>
      <c r="RL59" s="41"/>
      <c r="RM59" s="41"/>
      <c r="RN59" s="41"/>
      <c r="RO59" s="41"/>
      <c r="RP59" s="41"/>
      <c r="RQ59" s="41"/>
      <c r="RR59" s="41"/>
      <c r="RS59" s="41"/>
      <c r="RT59" s="41"/>
      <c r="RU59" s="41"/>
      <c r="RV59" s="41"/>
      <c r="RW59" s="41"/>
      <c r="RX59" s="41"/>
      <c r="RY59" s="41"/>
      <c r="RZ59" s="41"/>
      <c r="SA59" s="41"/>
      <c r="SB59" s="41"/>
      <c r="SC59" s="41"/>
      <c r="SD59" s="41"/>
      <c r="SE59" s="41"/>
      <c r="SF59" s="41"/>
      <c r="SG59" s="41"/>
      <c r="SH59" s="41"/>
      <c r="SI59" s="41"/>
      <c r="SJ59" s="41"/>
      <c r="SK59" s="41"/>
      <c r="SL59" s="41"/>
      <c r="SM59" s="41"/>
      <c r="SN59" s="41"/>
      <c r="SO59" s="41"/>
      <c r="SP59" s="41"/>
      <c r="SQ59" s="41"/>
      <c r="SR59" s="41"/>
      <c r="SS59" s="41"/>
      <c r="ST59" s="41"/>
      <c r="SU59" s="41"/>
      <c r="SV59" s="41"/>
      <c r="SW59" s="41"/>
      <c r="SX59" s="41"/>
      <c r="SY59" s="41"/>
      <c r="SZ59" s="41"/>
      <c r="TA59" s="41"/>
      <c r="TB59" s="41"/>
      <c r="TC59" s="41"/>
      <c r="TD59" s="41"/>
      <c r="TE59" s="41"/>
      <c r="TF59" s="41"/>
      <c r="TG59" s="41"/>
      <c r="TH59" s="41"/>
      <c r="TI59" s="41"/>
      <c r="TJ59" s="41"/>
      <c r="TK59" s="41"/>
      <c r="TL59" s="41"/>
      <c r="TM59" s="41"/>
      <c r="TN59" s="41"/>
      <c r="TO59" s="41"/>
      <c r="TP59" s="41"/>
      <c r="TQ59" s="41"/>
      <c r="TR59" s="41"/>
      <c r="TS59" s="41"/>
      <c r="TT59" s="41"/>
      <c r="TU59" s="41"/>
      <c r="TV59" s="41"/>
      <c r="TW59" s="41"/>
      <c r="TX59" s="41"/>
      <c r="TY59" s="41"/>
      <c r="TZ59" s="41"/>
      <c r="UA59" s="41"/>
      <c r="UB59" s="41"/>
      <c r="UC59" s="41"/>
      <c r="UD59" s="41"/>
      <c r="UE59" s="41"/>
      <c r="UF59" s="41"/>
      <c r="UG59" s="41"/>
      <c r="UH59" s="41"/>
      <c r="UI59" s="41"/>
      <c r="UJ59" s="41"/>
      <c r="UK59" s="41"/>
      <c r="UL59" s="41"/>
      <c r="UM59" s="41"/>
      <c r="UN59" s="41"/>
      <c r="UO59" s="41"/>
      <c r="UP59" s="41"/>
      <c r="UQ59" s="41"/>
      <c r="UR59" s="41"/>
      <c r="US59" s="41"/>
      <c r="UT59" s="41"/>
      <c r="UU59" s="41"/>
      <c r="UV59" s="41"/>
      <c r="UW59" s="41"/>
      <c r="UX59" s="41"/>
      <c r="UY59" s="41"/>
      <c r="UZ59" s="41"/>
      <c r="VA59" s="41"/>
      <c r="VB59" s="41"/>
      <c r="VC59" s="41"/>
      <c r="VD59" s="41"/>
      <c r="VE59" s="41"/>
      <c r="VF59" s="41"/>
      <c r="VG59" s="41"/>
      <c r="VH59" s="41"/>
      <c r="VI59" s="41"/>
      <c r="VJ59" s="41"/>
      <c r="VK59" s="41"/>
      <c r="VL59" s="41"/>
      <c r="VM59" s="41"/>
      <c r="VN59" s="41"/>
      <c r="VO59" s="41"/>
      <c r="VP59" s="41"/>
      <c r="VQ59" s="41"/>
      <c r="VR59" s="41"/>
      <c r="VS59" s="41"/>
      <c r="VT59" s="41"/>
      <c r="VU59" s="41"/>
      <c r="VV59" s="41"/>
      <c r="VW59" s="41"/>
      <c r="VX59" s="41"/>
      <c r="VY59" s="41"/>
      <c r="VZ59" s="41"/>
      <c r="WA59" s="41"/>
      <c r="WB59" s="41"/>
      <c r="WC59" s="41"/>
      <c r="WD59" s="41"/>
      <c r="WE59" s="41"/>
      <c r="WF59" s="41"/>
      <c r="WG59" s="41"/>
      <c r="WH59" s="41"/>
      <c r="WI59" s="41"/>
      <c r="WJ59" s="41"/>
      <c r="WK59" s="41"/>
      <c r="WL59" s="41"/>
      <c r="WM59" s="41"/>
      <c r="WN59" s="41"/>
      <c r="WO59" s="41"/>
      <c r="WP59" s="41"/>
      <c r="WQ59" s="41"/>
      <c r="WR59" s="41"/>
      <c r="WS59" s="41"/>
      <c r="WT59" s="41"/>
      <c r="WU59" s="41"/>
      <c r="WV59" s="41"/>
      <c r="WW59" s="41"/>
      <c r="WX59" s="41"/>
      <c r="WY59" s="41"/>
      <c r="WZ59" s="41"/>
      <c r="XA59" s="41"/>
      <c r="XB59" s="41"/>
      <c r="XC59" s="41"/>
      <c r="XD59" s="41"/>
      <c r="XE59" s="41"/>
      <c r="XF59" s="41"/>
      <c r="XG59" s="41"/>
      <c r="XH59" s="41"/>
      <c r="XI59" s="41"/>
      <c r="XJ59" s="41"/>
      <c r="XK59" s="41"/>
      <c r="XL59" s="41"/>
      <c r="XM59" s="41"/>
      <c r="XN59" s="41"/>
      <c r="XO59" s="41"/>
      <c r="XP59" s="41"/>
      <c r="XQ59" s="41"/>
      <c r="XR59" s="41"/>
      <c r="XS59" s="41"/>
      <c r="XT59" s="41"/>
      <c r="XU59" s="41"/>
      <c r="XV59" s="41"/>
      <c r="XW59" s="41"/>
      <c r="XX59" s="41"/>
      <c r="XY59" s="41"/>
      <c r="XZ59" s="41"/>
      <c r="YA59" s="41"/>
      <c r="YB59" s="41"/>
      <c r="YC59" s="41"/>
      <c r="YD59" s="41"/>
      <c r="YE59" s="41"/>
      <c r="YF59" s="41"/>
      <c r="YG59" s="41"/>
      <c r="YH59" s="41"/>
      <c r="YI59" s="41"/>
      <c r="YJ59" s="41"/>
      <c r="YK59" s="41"/>
      <c r="YL59" s="41"/>
      <c r="YM59" s="41"/>
      <c r="YN59" s="41"/>
      <c r="YO59" s="41"/>
      <c r="YP59" s="41"/>
      <c r="YQ59" s="41"/>
      <c r="YR59" s="41"/>
      <c r="YS59" s="41"/>
      <c r="YT59" s="41"/>
      <c r="YU59" s="41"/>
      <c r="YV59" s="41"/>
      <c r="YW59" s="41"/>
      <c r="YX59" s="41"/>
      <c r="YY59" s="41"/>
      <c r="YZ59" s="41"/>
      <c r="ZA59" s="41"/>
      <c r="ZB59" s="41"/>
      <c r="ZC59" s="41"/>
      <c r="ZD59" s="41"/>
      <c r="ZE59" s="41"/>
      <c r="ZF59" s="41"/>
      <c r="ZG59" s="41"/>
      <c r="ZH59" s="41"/>
      <c r="ZI59" s="41"/>
      <c r="ZJ59" s="41"/>
      <c r="ZK59" s="41"/>
      <c r="ZL59" s="41"/>
      <c r="ZM59" s="41"/>
      <c r="ZN59" s="41"/>
      <c r="ZO59" s="41"/>
      <c r="ZP59" s="41"/>
      <c r="ZQ59" s="41"/>
      <c r="ZR59" s="41"/>
      <c r="ZS59" s="41"/>
      <c r="ZT59" s="41"/>
      <c r="ZU59" s="41"/>
      <c r="ZV59" s="41"/>
      <c r="ZW59" s="41"/>
      <c r="ZX59" s="41"/>
      <c r="ZY59" s="41"/>
      <c r="ZZ59" s="41"/>
      <c r="AAA59" s="41"/>
      <c r="AAB59" s="41"/>
      <c r="AAC59" s="41"/>
      <c r="AAD59" s="41"/>
      <c r="AAE59" s="41"/>
      <c r="AAF59" s="41"/>
      <c r="AAG59" s="41"/>
      <c r="AAH59" s="41"/>
      <c r="AAI59" s="41"/>
      <c r="AAJ59" s="41"/>
      <c r="AAK59" s="41"/>
      <c r="AAL59" s="41"/>
      <c r="AAM59" s="41"/>
      <c r="AAN59" s="41"/>
      <c r="AAO59" s="41"/>
      <c r="AAP59" s="41"/>
      <c r="AAQ59" s="41"/>
      <c r="AAR59" s="41"/>
      <c r="AAS59" s="41"/>
      <c r="AAT59" s="41"/>
      <c r="AAU59" s="41"/>
      <c r="AAV59" s="41"/>
      <c r="AAW59" s="41"/>
      <c r="AAX59" s="41"/>
      <c r="AAY59" s="41"/>
      <c r="AAZ59" s="41"/>
      <c r="ABA59" s="41"/>
      <c r="ABB59" s="41"/>
      <c r="ABC59" s="41"/>
      <c r="ABD59" s="41"/>
      <c r="ABE59" s="41"/>
      <c r="ABF59" s="41"/>
      <c r="ABG59" s="41"/>
      <c r="ABH59" s="41"/>
      <c r="ABI59" s="41"/>
      <c r="ABJ59" s="41"/>
      <c r="ABK59" s="41"/>
      <c r="ABL59" s="41"/>
      <c r="ABM59" s="41"/>
      <c r="ABN59" s="41"/>
      <c r="ABO59" s="41"/>
      <c r="ABP59" s="41"/>
      <c r="ABQ59" s="41"/>
      <c r="ABR59" s="41"/>
      <c r="ABS59" s="41"/>
      <c r="ABT59" s="41"/>
      <c r="ABU59" s="41"/>
      <c r="ABV59" s="41"/>
      <c r="ABW59" s="41"/>
      <c r="ABX59" s="41"/>
      <c r="ABY59" s="41"/>
      <c r="ABZ59" s="41"/>
      <c r="ACA59" s="41"/>
      <c r="ACB59" s="41"/>
      <c r="ACC59" s="41"/>
      <c r="ACD59" s="41"/>
      <c r="ACE59" s="41"/>
      <c r="ACF59" s="41"/>
      <c r="ACG59" s="41"/>
      <c r="ACH59" s="41"/>
      <c r="ACI59" s="41"/>
      <c r="ACJ59" s="41"/>
      <c r="ACK59" s="41"/>
      <c r="ACL59" s="41"/>
      <c r="ACM59" s="41"/>
      <c r="ACN59" s="41"/>
      <c r="ACO59" s="41"/>
      <c r="ACP59" s="41"/>
      <c r="ACQ59" s="41"/>
      <c r="ACR59" s="41"/>
      <c r="ACS59" s="41"/>
      <c r="ACT59" s="41"/>
      <c r="ACU59" s="41"/>
      <c r="ACV59" s="41"/>
      <c r="ACW59" s="41"/>
      <c r="ACX59" s="41"/>
      <c r="ACY59" s="41"/>
      <c r="ACZ59" s="41"/>
      <c r="ADA59" s="41"/>
      <c r="ADB59" s="41"/>
      <c r="ADC59" s="41"/>
      <c r="ADD59" s="41"/>
      <c r="ADE59" s="41"/>
      <c r="ADF59" s="41"/>
      <c r="ADG59" s="41"/>
      <c r="ADH59" s="41"/>
      <c r="ADI59" s="41"/>
      <c r="ADJ59" s="41"/>
      <c r="ADK59" s="41"/>
      <c r="ADL59" s="41"/>
      <c r="ADM59" s="41"/>
      <c r="ADN59" s="41"/>
      <c r="ADO59" s="41"/>
      <c r="ADP59" s="41"/>
      <c r="ADQ59" s="41"/>
      <c r="ADR59" s="41"/>
      <c r="ADS59" s="41"/>
      <c r="ADT59" s="41"/>
      <c r="ADU59" s="41"/>
      <c r="ADV59" s="41"/>
      <c r="ADW59" s="41"/>
      <c r="ADX59" s="41"/>
      <c r="ADY59" s="41"/>
      <c r="ADZ59" s="41"/>
      <c r="AEA59" s="41"/>
      <c r="AEB59" s="41"/>
      <c r="AEC59" s="41"/>
      <c r="AED59" s="41"/>
      <c r="AEE59" s="41"/>
      <c r="AEF59" s="41"/>
      <c r="AEG59" s="41"/>
      <c r="AEH59" s="41"/>
      <c r="AEI59" s="41"/>
      <c r="AEJ59" s="41"/>
      <c r="AEK59" s="41"/>
      <c r="AEL59" s="41"/>
      <c r="AEM59" s="41"/>
      <c r="AEN59" s="41"/>
      <c r="AEO59" s="41"/>
      <c r="AEP59" s="41"/>
      <c r="AEQ59" s="41"/>
      <c r="AER59" s="41"/>
      <c r="AES59" s="41"/>
      <c r="AET59" s="41"/>
      <c r="AEU59" s="41"/>
      <c r="AEV59" s="41"/>
      <c r="AEW59" s="41"/>
      <c r="AEX59" s="41"/>
      <c r="AEY59" s="41"/>
      <c r="AEZ59" s="41"/>
      <c r="AFA59" s="41"/>
      <c r="AFB59" s="41"/>
      <c r="AFC59" s="41"/>
      <c r="AFD59" s="41"/>
      <c r="AFE59" s="41"/>
      <c r="AFF59" s="41"/>
      <c r="AFG59" s="41"/>
      <c r="AFH59" s="41"/>
      <c r="AFI59" s="41"/>
      <c r="AFJ59" s="41"/>
      <c r="AFK59" s="41"/>
      <c r="AFL59" s="41"/>
      <c r="AFM59" s="41"/>
      <c r="AFN59" s="41"/>
      <c r="AFO59" s="41"/>
      <c r="AFP59" s="41"/>
      <c r="AFQ59" s="41"/>
      <c r="AFR59" s="41"/>
      <c r="AFS59" s="41"/>
      <c r="AFT59" s="41"/>
      <c r="AFU59" s="41"/>
      <c r="AFV59" s="41"/>
      <c r="AFW59" s="41"/>
      <c r="AFX59" s="41"/>
      <c r="AFY59" s="41"/>
      <c r="AFZ59" s="41"/>
      <c r="AGA59" s="41"/>
      <c r="AGB59" s="41"/>
      <c r="AGC59" s="41"/>
      <c r="AGD59" s="41"/>
      <c r="AGE59" s="41"/>
      <c r="AGF59" s="41"/>
      <c r="AGG59" s="41"/>
      <c r="AGH59" s="41"/>
      <c r="AGI59" s="41"/>
      <c r="AGJ59" s="41"/>
      <c r="AGK59" s="41"/>
      <c r="AGL59" s="41"/>
      <c r="AGM59" s="41"/>
      <c r="AGN59" s="41"/>
      <c r="AGO59" s="41"/>
      <c r="AGP59" s="41"/>
      <c r="AGQ59" s="41"/>
      <c r="AGR59" s="41"/>
      <c r="AGS59" s="41"/>
      <c r="AGT59" s="41"/>
      <c r="AGU59" s="41"/>
      <c r="AGV59" s="41"/>
      <c r="AGW59" s="41"/>
      <c r="AGX59" s="41"/>
      <c r="AGY59" s="41"/>
      <c r="AGZ59" s="41"/>
      <c r="AHA59" s="41"/>
      <c r="AHB59" s="41"/>
      <c r="AHC59" s="41"/>
      <c r="AHD59" s="41"/>
      <c r="AHE59" s="41"/>
      <c r="AHF59" s="41"/>
      <c r="AHG59" s="41"/>
      <c r="AHH59" s="41"/>
      <c r="AHI59" s="41"/>
      <c r="AHJ59" s="41"/>
      <c r="AHK59" s="41"/>
      <c r="AHL59" s="41"/>
      <c r="AHM59" s="41"/>
      <c r="AHN59" s="41"/>
      <c r="AHO59" s="41"/>
      <c r="AHP59" s="41"/>
      <c r="AHQ59" s="41"/>
      <c r="AHR59" s="41"/>
      <c r="AHS59" s="41"/>
      <c r="AHT59" s="41"/>
      <c r="AHU59" s="41"/>
      <c r="AHV59" s="41"/>
      <c r="AHW59" s="41"/>
      <c r="AHX59" s="41"/>
      <c r="AHY59" s="41"/>
      <c r="AHZ59" s="41"/>
      <c r="AIA59" s="41"/>
      <c r="AIB59" s="41"/>
      <c r="AIC59" s="41"/>
      <c r="AID59" s="41"/>
      <c r="AIE59" s="41"/>
      <c r="AIF59" s="41"/>
      <c r="AIG59" s="41"/>
      <c r="AIH59" s="41"/>
      <c r="AII59" s="41"/>
      <c r="AIJ59" s="41"/>
      <c r="AIK59" s="41"/>
      <c r="AIL59" s="41"/>
      <c r="AIM59" s="41"/>
      <c r="AIN59" s="41"/>
      <c r="AIO59" s="41"/>
      <c r="AIP59" s="41"/>
      <c r="AIQ59" s="41"/>
      <c r="AIR59" s="41"/>
      <c r="AIS59" s="41"/>
      <c r="AIT59" s="41"/>
      <c r="AIU59" s="41"/>
      <c r="AIV59" s="41"/>
      <c r="AIW59" s="41"/>
      <c r="AIX59" s="41"/>
      <c r="AIY59" s="41"/>
      <c r="AIZ59" s="41"/>
      <c r="AJA59" s="41"/>
      <c r="AJB59" s="41"/>
      <c r="AJC59" s="41"/>
      <c r="AJD59" s="41"/>
      <c r="AJE59" s="41"/>
      <c r="AJF59" s="41"/>
      <c r="AJG59" s="41"/>
      <c r="AJH59" s="41"/>
      <c r="AJI59" s="41"/>
      <c r="AJJ59" s="41"/>
      <c r="AJK59" s="41"/>
      <c r="AJL59" s="41"/>
      <c r="AJM59" s="41"/>
      <c r="AJN59" s="41"/>
      <c r="AJO59" s="41"/>
      <c r="AJP59" s="41"/>
      <c r="AJQ59" s="41"/>
      <c r="AJR59" s="41"/>
      <c r="AJS59" s="41"/>
      <c r="AJT59" s="41"/>
      <c r="AJU59" s="41"/>
      <c r="AJV59" s="41"/>
      <c r="AJW59" s="41"/>
      <c r="AJX59" s="41"/>
      <c r="AJY59" s="41"/>
      <c r="AJZ59" s="41"/>
      <c r="AKA59" s="41"/>
      <c r="AKB59" s="41"/>
      <c r="AKC59" s="41"/>
      <c r="AKD59" s="41"/>
      <c r="AKE59" s="41"/>
      <c r="AKF59" s="41"/>
      <c r="AKG59" s="41"/>
      <c r="AKH59" s="41"/>
      <c r="AKI59" s="41"/>
      <c r="AKJ59" s="41"/>
      <c r="AKK59" s="41"/>
      <c r="AKL59" s="41"/>
      <c r="AKM59" s="41"/>
      <c r="AKN59" s="41"/>
      <c r="AKO59" s="41"/>
      <c r="AKP59" s="41"/>
      <c r="AKQ59" s="41"/>
      <c r="AKR59" s="41"/>
      <c r="AKS59" s="41"/>
      <c r="AKT59" s="41"/>
      <c r="AKU59" s="41"/>
      <c r="AKV59" s="41"/>
      <c r="AKW59" s="41"/>
      <c r="AKX59" s="41"/>
      <c r="AKY59" s="41"/>
      <c r="AKZ59" s="41"/>
      <c r="ALA59" s="41"/>
      <c r="ALB59" s="41"/>
      <c r="ALC59" s="41"/>
      <c r="ALD59" s="41"/>
      <c r="ALE59" s="41"/>
      <c r="ALF59" s="41"/>
      <c r="ALG59" s="41"/>
      <c r="ALH59" s="41"/>
      <c r="ALI59" s="41"/>
      <c r="ALJ59" s="41"/>
      <c r="ALK59" s="41"/>
      <c r="ALL59" s="41"/>
      <c r="ALM59" s="41"/>
      <c r="ALN59" s="41"/>
      <c r="ALO59" s="41"/>
      <c r="ALP59" s="41"/>
      <c r="ALQ59" s="41"/>
      <c r="ALR59" s="41"/>
      <c r="ALS59" s="41"/>
      <c r="ALT59" s="41"/>
      <c r="ALU59" s="41"/>
      <c r="ALV59" s="41"/>
      <c r="ALW59" s="41"/>
      <c r="ALX59" s="41"/>
      <c r="ALY59" s="41"/>
      <c r="ALZ59" s="41"/>
      <c r="AMA59" s="41"/>
      <c r="AMB59" s="41"/>
      <c r="AMC59" s="41"/>
      <c r="AMD59" s="41"/>
      <c r="AME59" s="41"/>
      <c r="AMF59" s="41"/>
      <c r="AMG59" s="41"/>
      <c r="AMH59" s="41"/>
      <c r="AMI59" s="41"/>
      <c r="AMJ59" s="41"/>
      <c r="AMK59" s="41"/>
      <c r="AML59" s="41"/>
      <c r="AMM59" s="41"/>
      <c r="AMN59" s="41"/>
      <c r="AMO59" s="41"/>
      <c r="AMP59" s="41"/>
      <c r="AMQ59" s="41"/>
      <c r="AMR59" s="41"/>
      <c r="AMS59" s="41"/>
      <c r="AMT59" s="41"/>
      <c r="AMU59" s="41"/>
      <c r="AMV59" s="41"/>
      <c r="AMW59" s="41"/>
      <c r="AMX59" s="41"/>
      <c r="AMY59" s="41"/>
      <c r="AMZ59" s="41"/>
      <c r="ANA59" s="41"/>
      <c r="ANB59" s="41"/>
      <c r="ANC59" s="41"/>
      <c r="AND59" s="41"/>
      <c r="ANE59" s="41"/>
      <c r="ANF59" s="41"/>
      <c r="ANG59" s="41"/>
      <c r="ANH59" s="41"/>
      <c r="ANI59" s="41"/>
      <c r="ANJ59" s="41"/>
      <c r="ANK59" s="41"/>
    </row>
    <row r="60" s="44" customFormat="true" ht="15" hidden="false" customHeight="false" outlineLevel="0" collapsed="false">
      <c r="A60" s="55" t="s">
        <v>82</v>
      </c>
      <c r="B60" s="43" t="n">
        <v>0.000183</v>
      </c>
      <c r="C60" s="44" t="n">
        <v>0.000236</v>
      </c>
      <c r="D60" s="44" t="n">
        <v>0.0001545</v>
      </c>
      <c r="E60" s="45" t="n">
        <v>1.9</v>
      </c>
      <c r="F60" s="43" t="n">
        <v>0</v>
      </c>
      <c r="G60" s="44" t="n">
        <v>0</v>
      </c>
      <c r="H60" s="46" t="n">
        <v>0</v>
      </c>
      <c r="I60" s="47" t="n">
        <v>3710</v>
      </c>
      <c r="J60" s="48" t="n">
        <v>0</v>
      </c>
      <c r="K60" s="43"/>
      <c r="M60" s="46" t="n">
        <v>0.005</v>
      </c>
      <c r="N60" s="43" t="n">
        <v>15</v>
      </c>
      <c r="O60" s="46" t="n">
        <v>63</v>
      </c>
      <c r="P60" s="49" t="n">
        <v>1274.74442509663</v>
      </c>
      <c r="Q60" s="50" t="n">
        <v>-18947.8420619378</v>
      </c>
      <c r="R60" s="44" t="n">
        <v>33900</v>
      </c>
      <c r="S60" s="44" t="n">
        <v>33700</v>
      </c>
      <c r="T60" s="44" t="n">
        <v>35100</v>
      </c>
      <c r="U60" s="44" t="n">
        <v>37100</v>
      </c>
      <c r="V60" s="44" t="n">
        <v>41800</v>
      </c>
      <c r="W60" s="44" t="n">
        <v>42800</v>
      </c>
      <c r="X60" s="44" t="n">
        <v>43000</v>
      </c>
      <c r="Y60" s="44" t="n">
        <v>58000</v>
      </c>
      <c r="Z60" s="44" t="n">
        <v>60000</v>
      </c>
      <c r="AA60" s="44" t="n">
        <v>41000</v>
      </c>
      <c r="AB60" s="44" t="n">
        <v>40200</v>
      </c>
      <c r="AC60" s="44" t="n">
        <v>58200</v>
      </c>
      <c r="AD60" s="44" t="n">
        <v>55700</v>
      </c>
      <c r="AE60" s="44" t="n">
        <v>58500</v>
      </c>
      <c r="AF60" s="44" t="n">
        <v>55500</v>
      </c>
      <c r="AG60" s="44" t="n">
        <v>53490</v>
      </c>
      <c r="AH60" s="44" t="n">
        <v>57590</v>
      </c>
      <c r="AI60" s="44" t="n">
        <v>62380</v>
      </c>
      <c r="AJ60" s="44" t="n">
        <v>73980</v>
      </c>
      <c r="AK60" s="44" t="n">
        <v>78980</v>
      </c>
      <c r="AL60" s="44" t="n">
        <v>82670</v>
      </c>
      <c r="AM60" s="44" t="n">
        <v>77760</v>
      </c>
      <c r="AN60" s="46" t="n">
        <v>75940</v>
      </c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41"/>
      <c r="JB60" s="41"/>
      <c r="JC60" s="41"/>
      <c r="JD60" s="41"/>
      <c r="JE60" s="41"/>
      <c r="JF60" s="41"/>
      <c r="JG60" s="41"/>
      <c r="JH60" s="41"/>
      <c r="JI60" s="41"/>
      <c r="JJ60" s="41"/>
      <c r="JK60" s="41"/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1"/>
      <c r="KO60" s="41"/>
      <c r="KP60" s="41"/>
      <c r="KQ60" s="41"/>
      <c r="KR60" s="41"/>
      <c r="KS60" s="41"/>
      <c r="KT60" s="41"/>
      <c r="KU60" s="41"/>
      <c r="KV60" s="41"/>
      <c r="KW60" s="41"/>
      <c r="KX60" s="41"/>
      <c r="KY60" s="41"/>
      <c r="KZ60" s="41"/>
      <c r="LA60" s="41"/>
      <c r="LB60" s="41"/>
      <c r="LC60" s="41"/>
      <c r="LD60" s="41"/>
      <c r="LE60" s="41"/>
      <c r="LF60" s="41"/>
      <c r="LG60" s="41"/>
      <c r="LH60" s="41"/>
      <c r="LI60" s="41"/>
      <c r="LJ60" s="41"/>
      <c r="LK60" s="41"/>
      <c r="LL60" s="41"/>
      <c r="LM60" s="41"/>
      <c r="LN60" s="41"/>
      <c r="LO60" s="41"/>
      <c r="LP60" s="41"/>
      <c r="LQ60" s="41"/>
      <c r="LR60" s="41"/>
      <c r="LS60" s="41"/>
      <c r="LT60" s="41"/>
      <c r="LU60" s="41"/>
      <c r="LV60" s="41"/>
      <c r="LW60" s="41"/>
      <c r="LX60" s="41"/>
      <c r="LY60" s="41"/>
      <c r="LZ60" s="41"/>
      <c r="MA60" s="41"/>
      <c r="MB60" s="41"/>
      <c r="MC60" s="41"/>
      <c r="MD60" s="41"/>
      <c r="ME60" s="41"/>
      <c r="MF60" s="41"/>
      <c r="MG60" s="41"/>
      <c r="MH60" s="41"/>
      <c r="MI60" s="41"/>
      <c r="MJ60" s="41"/>
      <c r="MK60" s="41"/>
      <c r="ML60" s="41"/>
      <c r="MM60" s="41"/>
      <c r="MN60" s="41"/>
      <c r="MO60" s="41"/>
      <c r="MP60" s="41"/>
      <c r="MQ60" s="41"/>
      <c r="MR60" s="41"/>
      <c r="MS60" s="41"/>
      <c r="MT60" s="41"/>
      <c r="MU60" s="41"/>
      <c r="MV60" s="41"/>
      <c r="MW60" s="41"/>
      <c r="MX60" s="41"/>
      <c r="MY60" s="41"/>
      <c r="MZ60" s="41"/>
      <c r="NA60" s="41"/>
      <c r="NB60" s="41"/>
      <c r="NC60" s="41"/>
      <c r="ND60" s="41"/>
      <c r="NE60" s="41"/>
      <c r="NF60" s="41"/>
      <c r="NG60" s="41"/>
      <c r="NH60" s="41"/>
      <c r="NI60" s="41"/>
      <c r="NJ60" s="41"/>
      <c r="NK60" s="41"/>
      <c r="NL60" s="41"/>
      <c r="NM60" s="41"/>
      <c r="NN60" s="41"/>
      <c r="NO60" s="41"/>
      <c r="NP60" s="41"/>
      <c r="NQ60" s="41"/>
      <c r="NR60" s="41"/>
      <c r="NS60" s="41"/>
      <c r="NT60" s="41"/>
      <c r="NU60" s="41"/>
      <c r="NV60" s="41"/>
      <c r="NW60" s="41"/>
      <c r="NX60" s="41"/>
      <c r="NY60" s="41"/>
      <c r="NZ60" s="41"/>
      <c r="OA60" s="41"/>
      <c r="OB60" s="41"/>
      <c r="OC60" s="41"/>
      <c r="OD60" s="41"/>
      <c r="OE60" s="41"/>
      <c r="OF60" s="41"/>
      <c r="OG60" s="41"/>
      <c r="OH60" s="41"/>
      <c r="OI60" s="41"/>
      <c r="OJ60" s="41"/>
      <c r="OK60" s="41"/>
      <c r="OL60" s="41"/>
      <c r="OM60" s="41"/>
      <c r="ON60" s="41"/>
      <c r="OO60" s="41"/>
      <c r="OP60" s="41"/>
      <c r="OQ60" s="41"/>
      <c r="OR60" s="41"/>
      <c r="OS60" s="41"/>
      <c r="OT60" s="41"/>
      <c r="OU60" s="41"/>
      <c r="OV60" s="41"/>
      <c r="OW60" s="41"/>
      <c r="OX60" s="41"/>
      <c r="OY60" s="41"/>
      <c r="OZ60" s="41"/>
      <c r="PA60" s="41"/>
      <c r="PB60" s="41"/>
      <c r="PC60" s="41"/>
      <c r="PD60" s="41"/>
      <c r="PE60" s="41"/>
      <c r="PF60" s="41"/>
      <c r="PG60" s="41"/>
      <c r="PH60" s="41"/>
      <c r="PI60" s="41"/>
      <c r="PJ60" s="41"/>
      <c r="PK60" s="41"/>
      <c r="PL60" s="41"/>
      <c r="PM60" s="41"/>
      <c r="PN60" s="41"/>
      <c r="PO60" s="41"/>
      <c r="PP60" s="41"/>
      <c r="PQ60" s="41"/>
      <c r="PR60" s="41"/>
      <c r="PS60" s="41"/>
      <c r="PT60" s="41"/>
      <c r="PU60" s="41"/>
      <c r="PV60" s="41"/>
      <c r="PW60" s="41"/>
      <c r="PX60" s="41"/>
      <c r="PY60" s="41"/>
      <c r="PZ60" s="41"/>
      <c r="QA60" s="41"/>
      <c r="QB60" s="41"/>
      <c r="QC60" s="41"/>
      <c r="QD60" s="41"/>
      <c r="QE60" s="41"/>
      <c r="QF60" s="41"/>
      <c r="QG60" s="41"/>
      <c r="QH60" s="41"/>
      <c r="QI60" s="41"/>
      <c r="QJ60" s="41"/>
      <c r="QK60" s="41"/>
      <c r="QL60" s="41"/>
      <c r="QM60" s="41"/>
      <c r="QN60" s="41"/>
      <c r="QO60" s="41"/>
      <c r="QP60" s="41"/>
      <c r="QQ60" s="41"/>
      <c r="QR60" s="41"/>
      <c r="QS60" s="41"/>
      <c r="QT60" s="41"/>
      <c r="QU60" s="41"/>
      <c r="QV60" s="41"/>
      <c r="QW60" s="41"/>
      <c r="QX60" s="41"/>
      <c r="QY60" s="41"/>
      <c r="QZ60" s="41"/>
      <c r="RA60" s="41"/>
      <c r="RB60" s="41"/>
      <c r="RC60" s="41"/>
      <c r="RD60" s="41"/>
      <c r="RE60" s="41"/>
      <c r="RF60" s="41"/>
      <c r="RG60" s="41"/>
      <c r="RH60" s="41"/>
      <c r="RI60" s="41"/>
      <c r="RJ60" s="41"/>
      <c r="RK60" s="41"/>
      <c r="RL60" s="41"/>
      <c r="RM60" s="41"/>
      <c r="RN60" s="41"/>
      <c r="RO60" s="41"/>
      <c r="RP60" s="41"/>
      <c r="RQ60" s="41"/>
      <c r="RR60" s="41"/>
      <c r="RS60" s="41"/>
      <c r="RT60" s="41"/>
      <c r="RU60" s="41"/>
      <c r="RV60" s="41"/>
      <c r="RW60" s="41"/>
      <c r="RX60" s="41"/>
      <c r="RY60" s="41"/>
      <c r="RZ60" s="41"/>
      <c r="SA60" s="41"/>
      <c r="SB60" s="41"/>
      <c r="SC60" s="41"/>
      <c r="SD60" s="41"/>
      <c r="SE60" s="41"/>
      <c r="SF60" s="41"/>
      <c r="SG60" s="41"/>
      <c r="SH60" s="41"/>
      <c r="SI60" s="41"/>
      <c r="SJ60" s="41"/>
      <c r="SK60" s="41"/>
      <c r="SL60" s="41"/>
      <c r="SM60" s="41"/>
      <c r="SN60" s="41"/>
      <c r="SO60" s="41"/>
      <c r="SP60" s="41"/>
      <c r="SQ60" s="41"/>
      <c r="SR60" s="41"/>
      <c r="SS60" s="41"/>
      <c r="ST60" s="41"/>
      <c r="SU60" s="41"/>
      <c r="SV60" s="41"/>
      <c r="SW60" s="41"/>
      <c r="SX60" s="41"/>
      <c r="SY60" s="41"/>
      <c r="SZ60" s="41"/>
      <c r="TA60" s="41"/>
      <c r="TB60" s="41"/>
      <c r="TC60" s="41"/>
      <c r="TD60" s="41"/>
      <c r="TE60" s="41"/>
      <c r="TF60" s="41"/>
      <c r="TG60" s="41"/>
      <c r="TH60" s="41"/>
      <c r="TI60" s="41"/>
      <c r="TJ60" s="41"/>
      <c r="TK60" s="41"/>
      <c r="TL60" s="41"/>
      <c r="TM60" s="41"/>
      <c r="TN60" s="41"/>
      <c r="TO60" s="41"/>
      <c r="TP60" s="41"/>
      <c r="TQ60" s="41"/>
      <c r="TR60" s="41"/>
      <c r="TS60" s="41"/>
      <c r="TT60" s="41"/>
      <c r="TU60" s="41"/>
      <c r="TV60" s="41"/>
      <c r="TW60" s="41"/>
      <c r="TX60" s="41"/>
      <c r="TY60" s="41"/>
      <c r="TZ60" s="41"/>
      <c r="UA60" s="41"/>
      <c r="UB60" s="41"/>
      <c r="UC60" s="41"/>
      <c r="UD60" s="41"/>
      <c r="UE60" s="41"/>
      <c r="UF60" s="41"/>
      <c r="UG60" s="41"/>
      <c r="UH60" s="41"/>
      <c r="UI60" s="41"/>
      <c r="UJ60" s="41"/>
      <c r="UK60" s="41"/>
      <c r="UL60" s="41"/>
      <c r="UM60" s="41"/>
      <c r="UN60" s="41"/>
      <c r="UO60" s="41"/>
      <c r="UP60" s="41"/>
      <c r="UQ60" s="41"/>
      <c r="UR60" s="41"/>
      <c r="US60" s="41"/>
      <c r="UT60" s="41"/>
      <c r="UU60" s="41"/>
      <c r="UV60" s="41"/>
      <c r="UW60" s="41"/>
      <c r="UX60" s="41"/>
      <c r="UY60" s="41"/>
      <c r="UZ60" s="41"/>
      <c r="VA60" s="41"/>
      <c r="VB60" s="41"/>
      <c r="VC60" s="41"/>
      <c r="VD60" s="41"/>
      <c r="VE60" s="41"/>
      <c r="VF60" s="41"/>
      <c r="VG60" s="41"/>
      <c r="VH60" s="41"/>
      <c r="VI60" s="41"/>
      <c r="VJ60" s="41"/>
      <c r="VK60" s="41"/>
      <c r="VL60" s="41"/>
      <c r="VM60" s="41"/>
      <c r="VN60" s="41"/>
      <c r="VO60" s="41"/>
      <c r="VP60" s="41"/>
      <c r="VQ60" s="41"/>
      <c r="VR60" s="41"/>
      <c r="VS60" s="41"/>
      <c r="VT60" s="41"/>
      <c r="VU60" s="41"/>
      <c r="VV60" s="41"/>
      <c r="VW60" s="41"/>
      <c r="VX60" s="41"/>
      <c r="VY60" s="41"/>
      <c r="VZ60" s="41"/>
      <c r="WA60" s="41"/>
      <c r="WB60" s="41"/>
      <c r="WC60" s="41"/>
      <c r="WD60" s="41"/>
      <c r="WE60" s="41"/>
      <c r="WF60" s="41"/>
      <c r="WG60" s="41"/>
      <c r="WH60" s="41"/>
      <c r="WI60" s="41"/>
      <c r="WJ60" s="41"/>
      <c r="WK60" s="41"/>
      <c r="WL60" s="41"/>
      <c r="WM60" s="41"/>
      <c r="WN60" s="41"/>
      <c r="WO60" s="41"/>
      <c r="WP60" s="41"/>
      <c r="WQ60" s="41"/>
      <c r="WR60" s="41"/>
      <c r="WS60" s="41"/>
      <c r="WT60" s="41"/>
      <c r="WU60" s="41"/>
      <c r="WV60" s="41"/>
      <c r="WW60" s="41"/>
      <c r="WX60" s="41"/>
      <c r="WY60" s="41"/>
      <c r="WZ60" s="41"/>
      <c r="XA60" s="41"/>
      <c r="XB60" s="41"/>
      <c r="XC60" s="41"/>
      <c r="XD60" s="41"/>
      <c r="XE60" s="41"/>
      <c r="XF60" s="41"/>
      <c r="XG60" s="41"/>
      <c r="XH60" s="41"/>
      <c r="XI60" s="41"/>
      <c r="XJ60" s="41"/>
      <c r="XK60" s="41"/>
      <c r="XL60" s="41"/>
      <c r="XM60" s="41"/>
      <c r="XN60" s="41"/>
      <c r="XO60" s="41"/>
      <c r="XP60" s="41"/>
      <c r="XQ60" s="41"/>
      <c r="XR60" s="41"/>
      <c r="XS60" s="41"/>
      <c r="XT60" s="41"/>
      <c r="XU60" s="41"/>
      <c r="XV60" s="41"/>
      <c r="XW60" s="41"/>
      <c r="XX60" s="41"/>
      <c r="XY60" s="41"/>
      <c r="XZ60" s="41"/>
      <c r="YA60" s="41"/>
      <c r="YB60" s="41"/>
      <c r="YC60" s="41"/>
      <c r="YD60" s="41"/>
      <c r="YE60" s="41"/>
      <c r="YF60" s="41"/>
      <c r="YG60" s="41"/>
      <c r="YH60" s="41"/>
      <c r="YI60" s="41"/>
      <c r="YJ60" s="41"/>
      <c r="YK60" s="41"/>
      <c r="YL60" s="41"/>
      <c r="YM60" s="41"/>
      <c r="YN60" s="41"/>
      <c r="YO60" s="41"/>
      <c r="YP60" s="41"/>
      <c r="YQ60" s="41"/>
      <c r="YR60" s="41"/>
      <c r="YS60" s="41"/>
      <c r="YT60" s="41"/>
      <c r="YU60" s="41"/>
      <c r="YV60" s="41"/>
      <c r="YW60" s="41"/>
      <c r="YX60" s="41"/>
      <c r="YY60" s="41"/>
      <c r="YZ60" s="41"/>
      <c r="ZA60" s="41"/>
      <c r="ZB60" s="41"/>
      <c r="ZC60" s="41"/>
      <c r="ZD60" s="41"/>
      <c r="ZE60" s="41"/>
      <c r="ZF60" s="41"/>
      <c r="ZG60" s="41"/>
      <c r="ZH60" s="41"/>
      <c r="ZI60" s="41"/>
      <c r="ZJ60" s="41"/>
      <c r="ZK60" s="41"/>
      <c r="ZL60" s="41"/>
      <c r="ZM60" s="41"/>
      <c r="ZN60" s="41"/>
      <c r="ZO60" s="41"/>
      <c r="ZP60" s="41"/>
      <c r="ZQ60" s="41"/>
      <c r="ZR60" s="41"/>
      <c r="ZS60" s="41"/>
      <c r="ZT60" s="41"/>
      <c r="ZU60" s="41"/>
      <c r="ZV60" s="41"/>
      <c r="ZW60" s="41"/>
      <c r="ZX60" s="41"/>
      <c r="ZY60" s="41"/>
      <c r="ZZ60" s="41"/>
      <c r="AAA60" s="41"/>
      <c r="AAB60" s="41"/>
      <c r="AAC60" s="41"/>
      <c r="AAD60" s="41"/>
      <c r="AAE60" s="41"/>
      <c r="AAF60" s="41"/>
      <c r="AAG60" s="41"/>
      <c r="AAH60" s="41"/>
      <c r="AAI60" s="41"/>
      <c r="AAJ60" s="41"/>
      <c r="AAK60" s="41"/>
      <c r="AAL60" s="41"/>
      <c r="AAM60" s="41"/>
      <c r="AAN60" s="41"/>
      <c r="AAO60" s="41"/>
      <c r="AAP60" s="41"/>
      <c r="AAQ60" s="41"/>
      <c r="AAR60" s="41"/>
      <c r="AAS60" s="41"/>
      <c r="AAT60" s="41"/>
      <c r="AAU60" s="41"/>
      <c r="AAV60" s="41"/>
      <c r="AAW60" s="41"/>
      <c r="AAX60" s="41"/>
      <c r="AAY60" s="41"/>
      <c r="AAZ60" s="41"/>
      <c r="ABA60" s="41"/>
      <c r="ABB60" s="41"/>
      <c r="ABC60" s="41"/>
      <c r="ABD60" s="41"/>
      <c r="ABE60" s="41"/>
      <c r="ABF60" s="41"/>
      <c r="ABG60" s="41"/>
      <c r="ABH60" s="41"/>
      <c r="ABI60" s="41"/>
      <c r="ABJ60" s="41"/>
      <c r="ABK60" s="41"/>
      <c r="ABL60" s="41"/>
      <c r="ABM60" s="41"/>
      <c r="ABN60" s="41"/>
      <c r="ABO60" s="41"/>
      <c r="ABP60" s="41"/>
      <c r="ABQ60" s="41"/>
      <c r="ABR60" s="41"/>
      <c r="ABS60" s="41"/>
      <c r="ABT60" s="41"/>
      <c r="ABU60" s="41"/>
      <c r="ABV60" s="41"/>
      <c r="ABW60" s="41"/>
      <c r="ABX60" s="41"/>
      <c r="ABY60" s="41"/>
      <c r="ABZ60" s="41"/>
      <c r="ACA60" s="41"/>
      <c r="ACB60" s="41"/>
      <c r="ACC60" s="41"/>
      <c r="ACD60" s="41"/>
      <c r="ACE60" s="41"/>
      <c r="ACF60" s="41"/>
      <c r="ACG60" s="41"/>
      <c r="ACH60" s="41"/>
      <c r="ACI60" s="41"/>
      <c r="ACJ60" s="41"/>
      <c r="ACK60" s="41"/>
      <c r="ACL60" s="41"/>
      <c r="ACM60" s="41"/>
      <c r="ACN60" s="41"/>
      <c r="ACO60" s="41"/>
      <c r="ACP60" s="41"/>
      <c r="ACQ60" s="41"/>
      <c r="ACR60" s="41"/>
      <c r="ACS60" s="41"/>
      <c r="ACT60" s="41"/>
      <c r="ACU60" s="41"/>
      <c r="ACV60" s="41"/>
      <c r="ACW60" s="41"/>
      <c r="ACX60" s="41"/>
      <c r="ACY60" s="41"/>
      <c r="ACZ60" s="41"/>
      <c r="ADA60" s="41"/>
      <c r="ADB60" s="41"/>
      <c r="ADC60" s="41"/>
      <c r="ADD60" s="41"/>
      <c r="ADE60" s="41"/>
      <c r="ADF60" s="41"/>
      <c r="ADG60" s="41"/>
      <c r="ADH60" s="41"/>
      <c r="ADI60" s="41"/>
      <c r="ADJ60" s="41"/>
      <c r="ADK60" s="41"/>
      <c r="ADL60" s="41"/>
      <c r="ADM60" s="41"/>
      <c r="ADN60" s="41"/>
      <c r="ADO60" s="41"/>
      <c r="ADP60" s="41"/>
      <c r="ADQ60" s="41"/>
      <c r="ADR60" s="41"/>
      <c r="ADS60" s="41"/>
      <c r="ADT60" s="41"/>
      <c r="ADU60" s="41"/>
      <c r="ADV60" s="41"/>
      <c r="ADW60" s="41"/>
      <c r="ADX60" s="41"/>
      <c r="ADY60" s="41"/>
      <c r="ADZ60" s="41"/>
      <c r="AEA60" s="41"/>
      <c r="AEB60" s="41"/>
      <c r="AEC60" s="41"/>
      <c r="AED60" s="41"/>
      <c r="AEE60" s="41"/>
      <c r="AEF60" s="41"/>
      <c r="AEG60" s="41"/>
      <c r="AEH60" s="41"/>
      <c r="AEI60" s="41"/>
      <c r="AEJ60" s="41"/>
      <c r="AEK60" s="41"/>
      <c r="AEL60" s="41"/>
      <c r="AEM60" s="41"/>
      <c r="AEN60" s="41"/>
      <c r="AEO60" s="41"/>
      <c r="AEP60" s="41"/>
      <c r="AEQ60" s="41"/>
      <c r="AER60" s="41"/>
      <c r="AES60" s="41"/>
      <c r="AET60" s="41"/>
      <c r="AEU60" s="41"/>
      <c r="AEV60" s="41"/>
      <c r="AEW60" s="41"/>
      <c r="AEX60" s="41"/>
      <c r="AEY60" s="41"/>
      <c r="AEZ60" s="41"/>
      <c r="AFA60" s="41"/>
      <c r="AFB60" s="41"/>
      <c r="AFC60" s="41"/>
      <c r="AFD60" s="41"/>
      <c r="AFE60" s="41"/>
      <c r="AFF60" s="41"/>
      <c r="AFG60" s="41"/>
      <c r="AFH60" s="41"/>
      <c r="AFI60" s="41"/>
      <c r="AFJ60" s="41"/>
      <c r="AFK60" s="41"/>
      <c r="AFL60" s="41"/>
      <c r="AFM60" s="41"/>
      <c r="AFN60" s="41"/>
      <c r="AFO60" s="41"/>
      <c r="AFP60" s="41"/>
      <c r="AFQ60" s="41"/>
      <c r="AFR60" s="41"/>
      <c r="AFS60" s="41"/>
      <c r="AFT60" s="41"/>
      <c r="AFU60" s="41"/>
      <c r="AFV60" s="41"/>
      <c r="AFW60" s="41"/>
      <c r="AFX60" s="41"/>
      <c r="AFY60" s="41"/>
      <c r="AFZ60" s="41"/>
      <c r="AGA60" s="41"/>
      <c r="AGB60" s="41"/>
      <c r="AGC60" s="41"/>
      <c r="AGD60" s="41"/>
      <c r="AGE60" s="41"/>
      <c r="AGF60" s="41"/>
      <c r="AGG60" s="41"/>
      <c r="AGH60" s="41"/>
      <c r="AGI60" s="41"/>
      <c r="AGJ60" s="41"/>
      <c r="AGK60" s="41"/>
      <c r="AGL60" s="41"/>
      <c r="AGM60" s="41"/>
      <c r="AGN60" s="41"/>
      <c r="AGO60" s="41"/>
      <c r="AGP60" s="41"/>
      <c r="AGQ60" s="41"/>
      <c r="AGR60" s="41"/>
      <c r="AGS60" s="41"/>
      <c r="AGT60" s="41"/>
      <c r="AGU60" s="41"/>
      <c r="AGV60" s="41"/>
      <c r="AGW60" s="41"/>
      <c r="AGX60" s="41"/>
      <c r="AGY60" s="41"/>
      <c r="AGZ60" s="41"/>
      <c r="AHA60" s="41"/>
      <c r="AHB60" s="41"/>
      <c r="AHC60" s="41"/>
      <c r="AHD60" s="41"/>
      <c r="AHE60" s="41"/>
      <c r="AHF60" s="41"/>
      <c r="AHG60" s="41"/>
      <c r="AHH60" s="41"/>
      <c r="AHI60" s="41"/>
      <c r="AHJ60" s="41"/>
      <c r="AHK60" s="41"/>
      <c r="AHL60" s="41"/>
      <c r="AHM60" s="41"/>
      <c r="AHN60" s="41"/>
      <c r="AHO60" s="41"/>
      <c r="AHP60" s="41"/>
      <c r="AHQ60" s="41"/>
      <c r="AHR60" s="41"/>
      <c r="AHS60" s="41"/>
      <c r="AHT60" s="41"/>
      <c r="AHU60" s="41"/>
      <c r="AHV60" s="41"/>
      <c r="AHW60" s="41"/>
      <c r="AHX60" s="41"/>
      <c r="AHY60" s="41"/>
      <c r="AHZ60" s="41"/>
      <c r="AIA60" s="41"/>
      <c r="AIB60" s="41"/>
      <c r="AIC60" s="41"/>
      <c r="AID60" s="41"/>
      <c r="AIE60" s="41"/>
      <c r="AIF60" s="41"/>
      <c r="AIG60" s="41"/>
      <c r="AIH60" s="41"/>
      <c r="AII60" s="41"/>
      <c r="AIJ60" s="41"/>
      <c r="AIK60" s="41"/>
      <c r="AIL60" s="41"/>
      <c r="AIM60" s="41"/>
      <c r="AIN60" s="41"/>
      <c r="AIO60" s="41"/>
      <c r="AIP60" s="41"/>
      <c r="AIQ60" s="41"/>
      <c r="AIR60" s="41"/>
      <c r="AIS60" s="41"/>
      <c r="AIT60" s="41"/>
      <c r="AIU60" s="41"/>
      <c r="AIV60" s="41"/>
      <c r="AIW60" s="41"/>
      <c r="AIX60" s="41"/>
      <c r="AIY60" s="41"/>
      <c r="AIZ60" s="41"/>
      <c r="AJA60" s="41"/>
      <c r="AJB60" s="41"/>
      <c r="AJC60" s="41"/>
      <c r="AJD60" s="41"/>
      <c r="AJE60" s="41"/>
      <c r="AJF60" s="41"/>
      <c r="AJG60" s="41"/>
      <c r="AJH60" s="41"/>
      <c r="AJI60" s="41"/>
      <c r="AJJ60" s="41"/>
      <c r="AJK60" s="41"/>
      <c r="AJL60" s="41"/>
      <c r="AJM60" s="41"/>
      <c r="AJN60" s="41"/>
      <c r="AJO60" s="41"/>
      <c r="AJP60" s="41"/>
      <c r="AJQ60" s="41"/>
      <c r="AJR60" s="41"/>
      <c r="AJS60" s="41"/>
      <c r="AJT60" s="41"/>
      <c r="AJU60" s="41"/>
      <c r="AJV60" s="41"/>
      <c r="AJW60" s="41"/>
      <c r="AJX60" s="41"/>
      <c r="AJY60" s="41"/>
      <c r="AJZ60" s="41"/>
      <c r="AKA60" s="41"/>
      <c r="AKB60" s="41"/>
      <c r="AKC60" s="41"/>
      <c r="AKD60" s="41"/>
      <c r="AKE60" s="41"/>
      <c r="AKF60" s="41"/>
      <c r="AKG60" s="41"/>
      <c r="AKH60" s="41"/>
      <c r="AKI60" s="41"/>
      <c r="AKJ60" s="41"/>
      <c r="AKK60" s="41"/>
      <c r="AKL60" s="41"/>
      <c r="AKM60" s="41"/>
      <c r="AKN60" s="41"/>
      <c r="AKO60" s="41"/>
      <c r="AKP60" s="41"/>
      <c r="AKQ60" s="41"/>
      <c r="AKR60" s="41"/>
      <c r="AKS60" s="41"/>
      <c r="AKT60" s="41"/>
      <c r="AKU60" s="41"/>
      <c r="AKV60" s="41"/>
      <c r="AKW60" s="41"/>
      <c r="AKX60" s="41"/>
      <c r="AKY60" s="41"/>
      <c r="AKZ60" s="41"/>
      <c r="ALA60" s="41"/>
      <c r="ALB60" s="41"/>
      <c r="ALC60" s="41"/>
      <c r="ALD60" s="41"/>
      <c r="ALE60" s="41"/>
      <c r="ALF60" s="41"/>
      <c r="ALG60" s="41"/>
      <c r="ALH60" s="41"/>
      <c r="ALI60" s="41"/>
      <c r="ALJ60" s="41"/>
      <c r="ALK60" s="41"/>
      <c r="ALL60" s="41"/>
      <c r="ALM60" s="41"/>
      <c r="ALN60" s="41"/>
      <c r="ALO60" s="41"/>
      <c r="ALP60" s="41"/>
      <c r="ALQ60" s="41"/>
      <c r="ALR60" s="41"/>
      <c r="ALS60" s="41"/>
      <c r="ALT60" s="41"/>
      <c r="ALU60" s="41"/>
      <c r="ALV60" s="41"/>
      <c r="ALW60" s="41"/>
      <c r="ALX60" s="41"/>
      <c r="ALY60" s="41"/>
      <c r="ALZ60" s="41"/>
      <c r="AMA60" s="41"/>
      <c r="AMB60" s="41"/>
      <c r="AMC60" s="41"/>
      <c r="AMD60" s="41"/>
      <c r="AME60" s="41"/>
      <c r="AMF60" s="41"/>
      <c r="AMG60" s="41"/>
      <c r="AMH60" s="41"/>
      <c r="AMI60" s="41"/>
      <c r="AMJ60" s="41"/>
      <c r="AMK60" s="41"/>
      <c r="AML60" s="41"/>
      <c r="AMM60" s="41"/>
      <c r="AMN60" s="41"/>
      <c r="AMO60" s="41"/>
      <c r="AMP60" s="41"/>
      <c r="AMQ60" s="41"/>
      <c r="AMR60" s="41"/>
      <c r="AMS60" s="41"/>
      <c r="AMT60" s="41"/>
      <c r="AMU60" s="41"/>
      <c r="AMV60" s="41"/>
      <c r="AMW60" s="41"/>
      <c r="AMX60" s="41"/>
      <c r="AMY60" s="41"/>
      <c r="AMZ60" s="41"/>
      <c r="ANA60" s="41"/>
      <c r="ANB60" s="41"/>
      <c r="ANC60" s="41"/>
      <c r="AND60" s="41"/>
      <c r="ANE60" s="41"/>
      <c r="ANF60" s="41"/>
      <c r="ANG60" s="41"/>
      <c r="ANH60" s="41"/>
      <c r="ANI60" s="41"/>
      <c r="ANJ60" s="41"/>
      <c r="ANK60" s="41"/>
    </row>
    <row r="61" s="44" customFormat="true" ht="15" hidden="false" customHeight="false" outlineLevel="0" collapsed="false">
      <c r="A61" s="42" t="s">
        <v>83</v>
      </c>
      <c r="B61" s="43" t="n">
        <v>640</v>
      </c>
      <c r="C61" s="44" t="n">
        <v>640</v>
      </c>
      <c r="D61" s="44" t="n">
        <v>0</v>
      </c>
      <c r="E61" s="45" t="n">
        <v>0</v>
      </c>
      <c r="F61" s="43" t="n">
        <v>0</v>
      </c>
      <c r="G61" s="44" t="n">
        <v>0</v>
      </c>
      <c r="H61" s="46" t="n">
        <v>0</v>
      </c>
      <c r="I61" s="47" t="n">
        <v>36</v>
      </c>
      <c r="J61" s="48" t="n">
        <v>0</v>
      </c>
      <c r="K61" s="43"/>
      <c r="M61" s="46" t="n">
        <v>0</v>
      </c>
      <c r="N61" s="43" t="n">
        <v>0</v>
      </c>
      <c r="O61" s="46" t="n">
        <v>0</v>
      </c>
      <c r="P61" s="49" t="n">
        <v>0</v>
      </c>
      <c r="Q61" s="50" t="n">
        <v>0</v>
      </c>
      <c r="R61" s="44" t="n">
        <v>0</v>
      </c>
      <c r="S61" s="44" t="n">
        <v>0</v>
      </c>
      <c r="T61" s="44" t="n">
        <v>0</v>
      </c>
      <c r="U61" s="44" t="n">
        <v>0</v>
      </c>
      <c r="V61" s="44" t="n">
        <v>0</v>
      </c>
      <c r="W61" s="44" t="n">
        <v>0</v>
      </c>
      <c r="X61" s="44" t="n">
        <v>0</v>
      </c>
      <c r="Y61" s="44" t="n">
        <v>0</v>
      </c>
      <c r="Z61" s="44" t="n">
        <v>0</v>
      </c>
      <c r="AA61" s="44" t="n">
        <v>0</v>
      </c>
      <c r="AB61" s="44" t="n">
        <v>0</v>
      </c>
      <c r="AC61" s="44" t="n">
        <v>0</v>
      </c>
      <c r="AD61" s="44" t="n">
        <v>0</v>
      </c>
      <c r="AE61" s="44" t="n">
        <v>0</v>
      </c>
      <c r="AF61" s="44" t="n">
        <v>0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6" t="n">
        <v>0</v>
      </c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  <c r="IY61" s="41"/>
      <c r="IZ61" s="41"/>
      <c r="JA61" s="41"/>
      <c r="JB61" s="41"/>
      <c r="JC61" s="41"/>
      <c r="JD61" s="41"/>
      <c r="JE61" s="41"/>
      <c r="JF61" s="41"/>
      <c r="JG61" s="41"/>
      <c r="JH61" s="41"/>
      <c r="JI61" s="41"/>
      <c r="JJ61" s="41"/>
      <c r="JK61" s="41"/>
      <c r="JL61" s="41"/>
      <c r="JM61" s="41"/>
      <c r="JN61" s="41"/>
      <c r="JO61" s="41"/>
      <c r="JP61" s="41"/>
      <c r="JQ61" s="41"/>
      <c r="JR61" s="41"/>
      <c r="JS61" s="41"/>
      <c r="JT61" s="41"/>
      <c r="JU61" s="41"/>
      <c r="JV61" s="41"/>
      <c r="JW61" s="41"/>
      <c r="JX61" s="41"/>
      <c r="JY61" s="41"/>
      <c r="JZ61" s="41"/>
      <c r="KA61" s="41"/>
      <c r="KB61" s="41"/>
      <c r="KC61" s="41"/>
      <c r="KD61" s="41"/>
      <c r="KE61" s="41"/>
      <c r="KF61" s="41"/>
      <c r="KG61" s="41"/>
      <c r="KH61" s="41"/>
      <c r="KI61" s="41"/>
      <c r="KJ61" s="41"/>
      <c r="KK61" s="41"/>
      <c r="KL61" s="41"/>
      <c r="KM61" s="41"/>
      <c r="KN61" s="41"/>
      <c r="KO61" s="41"/>
      <c r="KP61" s="41"/>
      <c r="KQ61" s="41"/>
      <c r="KR61" s="41"/>
      <c r="KS61" s="41"/>
      <c r="KT61" s="41"/>
      <c r="KU61" s="41"/>
      <c r="KV61" s="41"/>
      <c r="KW61" s="41"/>
      <c r="KX61" s="41"/>
      <c r="KY61" s="41"/>
      <c r="KZ61" s="41"/>
      <c r="LA61" s="41"/>
      <c r="LB61" s="41"/>
      <c r="LC61" s="41"/>
      <c r="LD61" s="41"/>
      <c r="LE61" s="41"/>
      <c r="LF61" s="41"/>
      <c r="LG61" s="41"/>
      <c r="LH61" s="41"/>
      <c r="LI61" s="41"/>
      <c r="LJ61" s="41"/>
      <c r="LK61" s="41"/>
      <c r="LL61" s="41"/>
      <c r="LM61" s="41"/>
      <c r="LN61" s="41"/>
      <c r="LO61" s="41"/>
      <c r="LP61" s="41"/>
      <c r="LQ61" s="41"/>
      <c r="LR61" s="41"/>
      <c r="LS61" s="41"/>
      <c r="LT61" s="41"/>
      <c r="LU61" s="41"/>
      <c r="LV61" s="41"/>
      <c r="LW61" s="41"/>
      <c r="LX61" s="41"/>
      <c r="LY61" s="41"/>
      <c r="LZ61" s="41"/>
      <c r="MA61" s="41"/>
      <c r="MB61" s="41"/>
      <c r="MC61" s="41"/>
      <c r="MD61" s="41"/>
      <c r="ME61" s="41"/>
      <c r="MF61" s="41"/>
      <c r="MG61" s="41"/>
      <c r="MH61" s="41"/>
      <c r="MI61" s="41"/>
      <c r="MJ61" s="41"/>
      <c r="MK61" s="41"/>
      <c r="ML61" s="41"/>
      <c r="MM61" s="41"/>
      <c r="MN61" s="41"/>
      <c r="MO61" s="41"/>
      <c r="MP61" s="41"/>
      <c r="MQ61" s="41"/>
      <c r="MR61" s="41"/>
      <c r="MS61" s="41"/>
      <c r="MT61" s="41"/>
      <c r="MU61" s="41"/>
      <c r="MV61" s="41"/>
      <c r="MW61" s="41"/>
      <c r="MX61" s="41"/>
      <c r="MY61" s="41"/>
      <c r="MZ61" s="41"/>
      <c r="NA61" s="41"/>
      <c r="NB61" s="41"/>
      <c r="NC61" s="41"/>
      <c r="ND61" s="41"/>
      <c r="NE61" s="41"/>
      <c r="NF61" s="41"/>
      <c r="NG61" s="41"/>
      <c r="NH61" s="41"/>
      <c r="NI61" s="41"/>
      <c r="NJ61" s="41"/>
      <c r="NK61" s="41"/>
      <c r="NL61" s="41"/>
      <c r="NM61" s="41"/>
      <c r="NN61" s="41"/>
      <c r="NO61" s="41"/>
      <c r="NP61" s="41"/>
      <c r="NQ61" s="41"/>
      <c r="NR61" s="41"/>
      <c r="NS61" s="41"/>
      <c r="NT61" s="41"/>
      <c r="NU61" s="41"/>
      <c r="NV61" s="41"/>
      <c r="NW61" s="41"/>
      <c r="NX61" s="41"/>
      <c r="NY61" s="41"/>
      <c r="NZ61" s="41"/>
      <c r="OA61" s="41"/>
      <c r="OB61" s="41"/>
      <c r="OC61" s="41"/>
      <c r="OD61" s="41"/>
      <c r="OE61" s="41"/>
      <c r="OF61" s="41"/>
      <c r="OG61" s="41"/>
      <c r="OH61" s="41"/>
      <c r="OI61" s="41"/>
      <c r="OJ61" s="41"/>
      <c r="OK61" s="41"/>
      <c r="OL61" s="41"/>
      <c r="OM61" s="41"/>
      <c r="ON61" s="41"/>
      <c r="OO61" s="41"/>
      <c r="OP61" s="41"/>
      <c r="OQ61" s="41"/>
      <c r="OR61" s="41"/>
      <c r="OS61" s="41"/>
      <c r="OT61" s="41"/>
      <c r="OU61" s="41"/>
      <c r="OV61" s="41"/>
      <c r="OW61" s="41"/>
      <c r="OX61" s="41"/>
      <c r="OY61" s="41"/>
      <c r="OZ61" s="41"/>
      <c r="PA61" s="41"/>
      <c r="PB61" s="41"/>
      <c r="PC61" s="41"/>
      <c r="PD61" s="41"/>
      <c r="PE61" s="41"/>
      <c r="PF61" s="41"/>
      <c r="PG61" s="41"/>
      <c r="PH61" s="41"/>
      <c r="PI61" s="41"/>
      <c r="PJ61" s="41"/>
      <c r="PK61" s="41"/>
      <c r="PL61" s="41"/>
      <c r="PM61" s="41"/>
      <c r="PN61" s="41"/>
      <c r="PO61" s="41"/>
      <c r="PP61" s="41"/>
      <c r="PQ61" s="41"/>
      <c r="PR61" s="41"/>
      <c r="PS61" s="41"/>
      <c r="PT61" s="41"/>
      <c r="PU61" s="41"/>
      <c r="PV61" s="41"/>
      <c r="PW61" s="41"/>
      <c r="PX61" s="41"/>
      <c r="PY61" s="41"/>
      <c r="PZ61" s="41"/>
      <c r="QA61" s="41"/>
      <c r="QB61" s="41"/>
      <c r="QC61" s="41"/>
      <c r="QD61" s="41"/>
      <c r="QE61" s="41"/>
      <c r="QF61" s="41"/>
      <c r="QG61" s="41"/>
      <c r="QH61" s="41"/>
      <c r="QI61" s="41"/>
      <c r="QJ61" s="41"/>
      <c r="QK61" s="41"/>
      <c r="QL61" s="41"/>
      <c r="QM61" s="41"/>
      <c r="QN61" s="41"/>
      <c r="QO61" s="41"/>
      <c r="QP61" s="41"/>
      <c r="QQ61" s="41"/>
      <c r="QR61" s="41"/>
      <c r="QS61" s="41"/>
      <c r="QT61" s="41"/>
      <c r="QU61" s="41"/>
      <c r="QV61" s="41"/>
      <c r="QW61" s="41"/>
      <c r="QX61" s="41"/>
      <c r="QY61" s="41"/>
      <c r="QZ61" s="41"/>
      <c r="RA61" s="41"/>
      <c r="RB61" s="41"/>
      <c r="RC61" s="41"/>
      <c r="RD61" s="41"/>
      <c r="RE61" s="41"/>
      <c r="RF61" s="41"/>
      <c r="RG61" s="41"/>
      <c r="RH61" s="41"/>
      <c r="RI61" s="41"/>
      <c r="RJ61" s="41"/>
      <c r="RK61" s="41"/>
      <c r="RL61" s="41"/>
      <c r="RM61" s="41"/>
      <c r="RN61" s="41"/>
      <c r="RO61" s="41"/>
      <c r="RP61" s="41"/>
      <c r="RQ61" s="41"/>
      <c r="RR61" s="41"/>
      <c r="RS61" s="41"/>
      <c r="RT61" s="41"/>
      <c r="RU61" s="41"/>
      <c r="RV61" s="41"/>
      <c r="RW61" s="41"/>
      <c r="RX61" s="41"/>
      <c r="RY61" s="41"/>
      <c r="RZ61" s="41"/>
      <c r="SA61" s="41"/>
      <c r="SB61" s="41"/>
      <c r="SC61" s="41"/>
      <c r="SD61" s="41"/>
      <c r="SE61" s="41"/>
      <c r="SF61" s="41"/>
      <c r="SG61" s="41"/>
      <c r="SH61" s="41"/>
      <c r="SI61" s="41"/>
      <c r="SJ61" s="41"/>
      <c r="SK61" s="41"/>
      <c r="SL61" s="41"/>
      <c r="SM61" s="41"/>
      <c r="SN61" s="41"/>
      <c r="SO61" s="41"/>
      <c r="SP61" s="41"/>
      <c r="SQ61" s="41"/>
      <c r="SR61" s="41"/>
      <c r="SS61" s="41"/>
      <c r="ST61" s="41"/>
      <c r="SU61" s="41"/>
      <c r="SV61" s="41"/>
      <c r="SW61" s="41"/>
      <c r="SX61" s="41"/>
      <c r="SY61" s="41"/>
      <c r="SZ61" s="41"/>
      <c r="TA61" s="41"/>
      <c r="TB61" s="41"/>
      <c r="TC61" s="41"/>
      <c r="TD61" s="41"/>
      <c r="TE61" s="41"/>
      <c r="TF61" s="41"/>
      <c r="TG61" s="41"/>
      <c r="TH61" s="41"/>
      <c r="TI61" s="41"/>
      <c r="TJ61" s="41"/>
      <c r="TK61" s="41"/>
      <c r="TL61" s="41"/>
      <c r="TM61" s="41"/>
      <c r="TN61" s="41"/>
      <c r="TO61" s="41"/>
      <c r="TP61" s="41"/>
      <c r="TQ61" s="41"/>
      <c r="TR61" s="41"/>
      <c r="TS61" s="41"/>
      <c r="TT61" s="41"/>
      <c r="TU61" s="41"/>
      <c r="TV61" s="41"/>
      <c r="TW61" s="41"/>
      <c r="TX61" s="41"/>
      <c r="TY61" s="41"/>
      <c r="TZ61" s="41"/>
      <c r="UA61" s="41"/>
      <c r="UB61" s="41"/>
      <c r="UC61" s="41"/>
      <c r="UD61" s="41"/>
      <c r="UE61" s="41"/>
      <c r="UF61" s="41"/>
      <c r="UG61" s="41"/>
      <c r="UH61" s="41"/>
      <c r="UI61" s="41"/>
      <c r="UJ61" s="41"/>
      <c r="UK61" s="41"/>
      <c r="UL61" s="41"/>
      <c r="UM61" s="41"/>
      <c r="UN61" s="41"/>
      <c r="UO61" s="41"/>
      <c r="UP61" s="41"/>
      <c r="UQ61" s="41"/>
      <c r="UR61" s="41"/>
      <c r="US61" s="41"/>
      <c r="UT61" s="41"/>
      <c r="UU61" s="41"/>
      <c r="UV61" s="41"/>
      <c r="UW61" s="41"/>
      <c r="UX61" s="41"/>
      <c r="UY61" s="41"/>
      <c r="UZ61" s="41"/>
      <c r="VA61" s="41"/>
      <c r="VB61" s="41"/>
      <c r="VC61" s="41"/>
      <c r="VD61" s="41"/>
      <c r="VE61" s="41"/>
      <c r="VF61" s="41"/>
      <c r="VG61" s="41"/>
      <c r="VH61" s="41"/>
      <c r="VI61" s="41"/>
      <c r="VJ61" s="41"/>
      <c r="VK61" s="41"/>
      <c r="VL61" s="41"/>
      <c r="VM61" s="41"/>
      <c r="VN61" s="41"/>
      <c r="VO61" s="41"/>
      <c r="VP61" s="41"/>
      <c r="VQ61" s="41"/>
      <c r="VR61" s="41"/>
      <c r="VS61" s="41"/>
      <c r="VT61" s="41"/>
      <c r="VU61" s="41"/>
      <c r="VV61" s="41"/>
      <c r="VW61" s="41"/>
      <c r="VX61" s="41"/>
      <c r="VY61" s="41"/>
      <c r="VZ61" s="41"/>
      <c r="WA61" s="41"/>
      <c r="WB61" s="41"/>
      <c r="WC61" s="41"/>
      <c r="WD61" s="41"/>
      <c r="WE61" s="41"/>
      <c r="WF61" s="41"/>
      <c r="WG61" s="41"/>
      <c r="WH61" s="41"/>
      <c r="WI61" s="41"/>
      <c r="WJ61" s="41"/>
      <c r="WK61" s="41"/>
      <c r="WL61" s="41"/>
      <c r="WM61" s="41"/>
      <c r="WN61" s="41"/>
      <c r="WO61" s="41"/>
      <c r="WP61" s="41"/>
      <c r="WQ61" s="41"/>
      <c r="WR61" s="41"/>
      <c r="WS61" s="41"/>
      <c r="WT61" s="41"/>
      <c r="WU61" s="41"/>
      <c r="WV61" s="41"/>
      <c r="WW61" s="41"/>
      <c r="WX61" s="41"/>
      <c r="WY61" s="41"/>
      <c r="WZ61" s="41"/>
      <c r="XA61" s="41"/>
      <c r="XB61" s="41"/>
      <c r="XC61" s="41"/>
      <c r="XD61" s="41"/>
      <c r="XE61" s="41"/>
      <c r="XF61" s="41"/>
      <c r="XG61" s="41"/>
      <c r="XH61" s="41"/>
      <c r="XI61" s="41"/>
      <c r="XJ61" s="41"/>
      <c r="XK61" s="41"/>
      <c r="XL61" s="41"/>
      <c r="XM61" s="41"/>
      <c r="XN61" s="41"/>
      <c r="XO61" s="41"/>
      <c r="XP61" s="41"/>
      <c r="XQ61" s="41"/>
      <c r="XR61" s="41"/>
      <c r="XS61" s="41"/>
      <c r="XT61" s="41"/>
      <c r="XU61" s="41"/>
      <c r="XV61" s="41"/>
      <c r="XW61" s="41"/>
      <c r="XX61" s="41"/>
      <c r="XY61" s="41"/>
      <c r="XZ61" s="41"/>
      <c r="YA61" s="41"/>
      <c r="YB61" s="41"/>
      <c r="YC61" s="41"/>
      <c r="YD61" s="41"/>
      <c r="YE61" s="41"/>
      <c r="YF61" s="41"/>
      <c r="YG61" s="41"/>
      <c r="YH61" s="41"/>
      <c r="YI61" s="41"/>
      <c r="YJ61" s="41"/>
      <c r="YK61" s="41"/>
      <c r="YL61" s="41"/>
      <c r="YM61" s="41"/>
      <c r="YN61" s="41"/>
      <c r="YO61" s="41"/>
      <c r="YP61" s="41"/>
      <c r="YQ61" s="41"/>
      <c r="YR61" s="41"/>
      <c r="YS61" s="41"/>
      <c r="YT61" s="41"/>
      <c r="YU61" s="41"/>
      <c r="YV61" s="41"/>
      <c r="YW61" s="41"/>
      <c r="YX61" s="41"/>
      <c r="YY61" s="41"/>
      <c r="YZ61" s="41"/>
      <c r="ZA61" s="41"/>
      <c r="ZB61" s="41"/>
      <c r="ZC61" s="41"/>
      <c r="ZD61" s="41"/>
      <c r="ZE61" s="41"/>
      <c r="ZF61" s="41"/>
      <c r="ZG61" s="41"/>
      <c r="ZH61" s="41"/>
      <c r="ZI61" s="41"/>
      <c r="ZJ61" s="41"/>
      <c r="ZK61" s="41"/>
      <c r="ZL61" s="41"/>
      <c r="ZM61" s="41"/>
      <c r="ZN61" s="41"/>
      <c r="ZO61" s="41"/>
      <c r="ZP61" s="41"/>
      <c r="ZQ61" s="41"/>
      <c r="ZR61" s="41"/>
      <c r="ZS61" s="41"/>
      <c r="ZT61" s="41"/>
      <c r="ZU61" s="41"/>
      <c r="ZV61" s="41"/>
      <c r="ZW61" s="41"/>
      <c r="ZX61" s="41"/>
      <c r="ZY61" s="41"/>
      <c r="ZZ61" s="41"/>
      <c r="AAA61" s="41"/>
      <c r="AAB61" s="41"/>
      <c r="AAC61" s="41"/>
      <c r="AAD61" s="41"/>
      <c r="AAE61" s="41"/>
      <c r="AAF61" s="41"/>
      <c r="AAG61" s="41"/>
      <c r="AAH61" s="41"/>
      <c r="AAI61" s="41"/>
      <c r="AAJ61" s="41"/>
      <c r="AAK61" s="41"/>
      <c r="AAL61" s="41"/>
      <c r="AAM61" s="41"/>
      <c r="AAN61" s="41"/>
      <c r="AAO61" s="41"/>
      <c r="AAP61" s="41"/>
      <c r="AAQ61" s="41"/>
      <c r="AAR61" s="41"/>
      <c r="AAS61" s="41"/>
      <c r="AAT61" s="41"/>
      <c r="AAU61" s="41"/>
      <c r="AAV61" s="41"/>
      <c r="AAW61" s="41"/>
      <c r="AAX61" s="41"/>
      <c r="AAY61" s="41"/>
      <c r="AAZ61" s="41"/>
      <c r="ABA61" s="41"/>
      <c r="ABB61" s="41"/>
      <c r="ABC61" s="41"/>
      <c r="ABD61" s="41"/>
      <c r="ABE61" s="41"/>
      <c r="ABF61" s="41"/>
      <c r="ABG61" s="41"/>
      <c r="ABH61" s="41"/>
      <c r="ABI61" s="41"/>
      <c r="ABJ61" s="41"/>
      <c r="ABK61" s="41"/>
      <c r="ABL61" s="41"/>
      <c r="ABM61" s="41"/>
      <c r="ABN61" s="41"/>
      <c r="ABO61" s="41"/>
      <c r="ABP61" s="41"/>
      <c r="ABQ61" s="41"/>
      <c r="ABR61" s="41"/>
      <c r="ABS61" s="41"/>
      <c r="ABT61" s="41"/>
      <c r="ABU61" s="41"/>
      <c r="ABV61" s="41"/>
      <c r="ABW61" s="41"/>
      <c r="ABX61" s="41"/>
      <c r="ABY61" s="41"/>
      <c r="ABZ61" s="41"/>
      <c r="ACA61" s="41"/>
      <c r="ACB61" s="41"/>
      <c r="ACC61" s="41"/>
      <c r="ACD61" s="41"/>
      <c r="ACE61" s="41"/>
      <c r="ACF61" s="41"/>
      <c r="ACG61" s="41"/>
      <c r="ACH61" s="41"/>
      <c r="ACI61" s="41"/>
      <c r="ACJ61" s="41"/>
      <c r="ACK61" s="41"/>
      <c r="ACL61" s="41"/>
      <c r="ACM61" s="41"/>
      <c r="ACN61" s="41"/>
      <c r="ACO61" s="41"/>
      <c r="ACP61" s="41"/>
      <c r="ACQ61" s="41"/>
      <c r="ACR61" s="41"/>
      <c r="ACS61" s="41"/>
      <c r="ACT61" s="41"/>
      <c r="ACU61" s="41"/>
      <c r="ACV61" s="41"/>
      <c r="ACW61" s="41"/>
      <c r="ACX61" s="41"/>
      <c r="ACY61" s="41"/>
      <c r="ACZ61" s="41"/>
      <c r="ADA61" s="41"/>
      <c r="ADB61" s="41"/>
      <c r="ADC61" s="41"/>
      <c r="ADD61" s="41"/>
      <c r="ADE61" s="41"/>
      <c r="ADF61" s="41"/>
      <c r="ADG61" s="41"/>
      <c r="ADH61" s="41"/>
      <c r="ADI61" s="41"/>
      <c r="ADJ61" s="41"/>
      <c r="ADK61" s="41"/>
      <c r="ADL61" s="41"/>
      <c r="ADM61" s="41"/>
      <c r="ADN61" s="41"/>
      <c r="ADO61" s="41"/>
      <c r="ADP61" s="41"/>
      <c r="ADQ61" s="41"/>
      <c r="ADR61" s="41"/>
      <c r="ADS61" s="41"/>
      <c r="ADT61" s="41"/>
      <c r="ADU61" s="41"/>
      <c r="ADV61" s="41"/>
      <c r="ADW61" s="41"/>
      <c r="ADX61" s="41"/>
      <c r="ADY61" s="41"/>
      <c r="ADZ61" s="41"/>
      <c r="AEA61" s="41"/>
      <c r="AEB61" s="41"/>
      <c r="AEC61" s="41"/>
      <c r="AED61" s="41"/>
      <c r="AEE61" s="41"/>
      <c r="AEF61" s="41"/>
      <c r="AEG61" s="41"/>
      <c r="AEH61" s="41"/>
      <c r="AEI61" s="41"/>
      <c r="AEJ61" s="41"/>
      <c r="AEK61" s="41"/>
      <c r="AEL61" s="41"/>
      <c r="AEM61" s="41"/>
      <c r="AEN61" s="41"/>
      <c r="AEO61" s="41"/>
      <c r="AEP61" s="41"/>
      <c r="AEQ61" s="41"/>
      <c r="AER61" s="41"/>
      <c r="AES61" s="41"/>
      <c r="AET61" s="41"/>
      <c r="AEU61" s="41"/>
      <c r="AEV61" s="41"/>
      <c r="AEW61" s="41"/>
      <c r="AEX61" s="41"/>
      <c r="AEY61" s="41"/>
      <c r="AEZ61" s="41"/>
      <c r="AFA61" s="41"/>
      <c r="AFB61" s="41"/>
      <c r="AFC61" s="41"/>
      <c r="AFD61" s="41"/>
      <c r="AFE61" s="41"/>
      <c r="AFF61" s="41"/>
      <c r="AFG61" s="41"/>
      <c r="AFH61" s="41"/>
      <c r="AFI61" s="41"/>
      <c r="AFJ61" s="41"/>
      <c r="AFK61" s="41"/>
      <c r="AFL61" s="41"/>
      <c r="AFM61" s="41"/>
      <c r="AFN61" s="41"/>
      <c r="AFO61" s="41"/>
      <c r="AFP61" s="41"/>
      <c r="AFQ61" s="41"/>
      <c r="AFR61" s="41"/>
      <c r="AFS61" s="41"/>
      <c r="AFT61" s="41"/>
      <c r="AFU61" s="41"/>
      <c r="AFV61" s="41"/>
      <c r="AFW61" s="41"/>
      <c r="AFX61" s="41"/>
      <c r="AFY61" s="41"/>
      <c r="AFZ61" s="41"/>
      <c r="AGA61" s="41"/>
      <c r="AGB61" s="41"/>
      <c r="AGC61" s="41"/>
      <c r="AGD61" s="41"/>
      <c r="AGE61" s="41"/>
      <c r="AGF61" s="41"/>
      <c r="AGG61" s="41"/>
      <c r="AGH61" s="41"/>
      <c r="AGI61" s="41"/>
      <c r="AGJ61" s="41"/>
      <c r="AGK61" s="41"/>
      <c r="AGL61" s="41"/>
      <c r="AGM61" s="41"/>
      <c r="AGN61" s="41"/>
      <c r="AGO61" s="41"/>
      <c r="AGP61" s="41"/>
      <c r="AGQ61" s="41"/>
      <c r="AGR61" s="41"/>
      <c r="AGS61" s="41"/>
      <c r="AGT61" s="41"/>
      <c r="AGU61" s="41"/>
      <c r="AGV61" s="41"/>
      <c r="AGW61" s="41"/>
      <c r="AGX61" s="41"/>
      <c r="AGY61" s="41"/>
      <c r="AGZ61" s="41"/>
      <c r="AHA61" s="41"/>
      <c r="AHB61" s="41"/>
      <c r="AHC61" s="41"/>
      <c r="AHD61" s="41"/>
      <c r="AHE61" s="41"/>
      <c r="AHF61" s="41"/>
      <c r="AHG61" s="41"/>
      <c r="AHH61" s="41"/>
      <c r="AHI61" s="41"/>
      <c r="AHJ61" s="41"/>
      <c r="AHK61" s="41"/>
      <c r="AHL61" s="41"/>
      <c r="AHM61" s="41"/>
      <c r="AHN61" s="41"/>
      <c r="AHO61" s="41"/>
      <c r="AHP61" s="41"/>
      <c r="AHQ61" s="41"/>
      <c r="AHR61" s="41"/>
      <c r="AHS61" s="41"/>
      <c r="AHT61" s="41"/>
      <c r="AHU61" s="41"/>
      <c r="AHV61" s="41"/>
      <c r="AHW61" s="41"/>
      <c r="AHX61" s="41"/>
      <c r="AHY61" s="41"/>
      <c r="AHZ61" s="41"/>
      <c r="AIA61" s="41"/>
      <c r="AIB61" s="41"/>
      <c r="AIC61" s="41"/>
      <c r="AID61" s="41"/>
      <c r="AIE61" s="41"/>
      <c r="AIF61" s="41"/>
      <c r="AIG61" s="41"/>
      <c r="AIH61" s="41"/>
      <c r="AII61" s="41"/>
      <c r="AIJ61" s="41"/>
      <c r="AIK61" s="41"/>
      <c r="AIL61" s="41"/>
      <c r="AIM61" s="41"/>
      <c r="AIN61" s="41"/>
      <c r="AIO61" s="41"/>
      <c r="AIP61" s="41"/>
      <c r="AIQ61" s="41"/>
      <c r="AIR61" s="41"/>
      <c r="AIS61" s="41"/>
      <c r="AIT61" s="41"/>
      <c r="AIU61" s="41"/>
      <c r="AIV61" s="41"/>
      <c r="AIW61" s="41"/>
      <c r="AIX61" s="41"/>
      <c r="AIY61" s="41"/>
      <c r="AIZ61" s="41"/>
      <c r="AJA61" s="41"/>
      <c r="AJB61" s="41"/>
      <c r="AJC61" s="41"/>
      <c r="AJD61" s="41"/>
      <c r="AJE61" s="41"/>
      <c r="AJF61" s="41"/>
      <c r="AJG61" s="41"/>
      <c r="AJH61" s="41"/>
      <c r="AJI61" s="41"/>
      <c r="AJJ61" s="41"/>
      <c r="AJK61" s="41"/>
      <c r="AJL61" s="41"/>
      <c r="AJM61" s="41"/>
      <c r="AJN61" s="41"/>
      <c r="AJO61" s="41"/>
      <c r="AJP61" s="41"/>
      <c r="AJQ61" s="41"/>
      <c r="AJR61" s="41"/>
      <c r="AJS61" s="41"/>
      <c r="AJT61" s="41"/>
      <c r="AJU61" s="41"/>
      <c r="AJV61" s="41"/>
      <c r="AJW61" s="41"/>
      <c r="AJX61" s="41"/>
      <c r="AJY61" s="41"/>
      <c r="AJZ61" s="41"/>
      <c r="AKA61" s="41"/>
      <c r="AKB61" s="41"/>
      <c r="AKC61" s="41"/>
      <c r="AKD61" s="41"/>
      <c r="AKE61" s="41"/>
      <c r="AKF61" s="41"/>
      <c r="AKG61" s="41"/>
      <c r="AKH61" s="41"/>
      <c r="AKI61" s="41"/>
      <c r="AKJ61" s="41"/>
      <c r="AKK61" s="41"/>
      <c r="AKL61" s="41"/>
      <c r="AKM61" s="41"/>
      <c r="AKN61" s="41"/>
      <c r="AKO61" s="41"/>
      <c r="AKP61" s="41"/>
      <c r="AKQ61" s="41"/>
      <c r="AKR61" s="41"/>
      <c r="AKS61" s="41"/>
      <c r="AKT61" s="41"/>
      <c r="AKU61" s="41"/>
      <c r="AKV61" s="41"/>
      <c r="AKW61" s="41"/>
      <c r="AKX61" s="41"/>
      <c r="AKY61" s="41"/>
      <c r="AKZ61" s="41"/>
      <c r="ALA61" s="41"/>
      <c r="ALB61" s="41"/>
      <c r="ALC61" s="41"/>
      <c r="ALD61" s="41"/>
      <c r="ALE61" s="41"/>
      <c r="ALF61" s="41"/>
      <c r="ALG61" s="41"/>
      <c r="ALH61" s="41"/>
      <c r="ALI61" s="41"/>
      <c r="ALJ61" s="41"/>
      <c r="ALK61" s="41"/>
      <c r="ALL61" s="41"/>
      <c r="ALM61" s="41"/>
      <c r="ALN61" s="41"/>
      <c r="ALO61" s="41"/>
      <c r="ALP61" s="41"/>
      <c r="ALQ61" s="41"/>
      <c r="ALR61" s="41"/>
      <c r="ALS61" s="41"/>
      <c r="ALT61" s="41"/>
      <c r="ALU61" s="41"/>
      <c r="ALV61" s="41"/>
      <c r="ALW61" s="41"/>
      <c r="ALX61" s="41"/>
      <c r="ALY61" s="41"/>
      <c r="ALZ61" s="41"/>
      <c r="AMA61" s="41"/>
      <c r="AMB61" s="41"/>
      <c r="AMC61" s="41"/>
      <c r="AMD61" s="41"/>
      <c r="AME61" s="41"/>
      <c r="AMF61" s="41"/>
      <c r="AMG61" s="41"/>
      <c r="AMH61" s="41"/>
      <c r="AMI61" s="41"/>
      <c r="AMJ61" s="41"/>
      <c r="AMK61" s="41"/>
      <c r="AML61" s="41"/>
      <c r="AMM61" s="41"/>
      <c r="AMN61" s="41"/>
      <c r="AMO61" s="41"/>
      <c r="AMP61" s="41"/>
      <c r="AMQ61" s="41"/>
      <c r="AMR61" s="41"/>
      <c r="AMS61" s="41"/>
      <c r="AMT61" s="41"/>
      <c r="AMU61" s="41"/>
      <c r="AMV61" s="41"/>
      <c r="AMW61" s="41"/>
      <c r="AMX61" s="41"/>
      <c r="AMY61" s="41"/>
      <c r="AMZ61" s="41"/>
      <c r="ANA61" s="41"/>
      <c r="ANB61" s="41"/>
      <c r="ANC61" s="41"/>
      <c r="AND61" s="41"/>
      <c r="ANE61" s="41"/>
      <c r="ANF61" s="41"/>
      <c r="ANG61" s="41"/>
      <c r="ANH61" s="41"/>
      <c r="ANI61" s="41"/>
      <c r="ANJ61" s="41"/>
      <c r="ANK61" s="41"/>
    </row>
    <row r="62" s="61" customFormat="true" ht="15" hidden="false" customHeight="false" outlineLevel="0" collapsed="false">
      <c r="A62" s="59" t="s">
        <v>84</v>
      </c>
      <c r="B62" s="60" t="n">
        <v>36.927475</v>
      </c>
      <c r="C62" s="61" t="n">
        <v>52.503691</v>
      </c>
      <c r="D62" s="61" t="n">
        <v>29.445531</v>
      </c>
      <c r="E62" s="62" t="n">
        <v>650</v>
      </c>
      <c r="F62" s="60" t="n">
        <v>0</v>
      </c>
      <c r="G62" s="61" t="n">
        <v>200</v>
      </c>
      <c r="H62" s="63" t="n">
        <v>0</v>
      </c>
      <c r="I62" s="64" t="n">
        <v>72</v>
      </c>
      <c r="J62" s="65" t="n">
        <v>9</v>
      </c>
      <c r="K62" s="60" t="n">
        <v>0.19</v>
      </c>
      <c r="L62" s="61" t="n">
        <v>0.6</v>
      </c>
      <c r="M62" s="63" t="n">
        <f aca="false">(K62+L62)/2</f>
        <v>0.395</v>
      </c>
      <c r="N62" s="60" t="n">
        <v>230</v>
      </c>
      <c r="O62" s="63" t="n">
        <v>1900</v>
      </c>
      <c r="P62" s="66" t="n">
        <v>207576.310764448</v>
      </c>
      <c r="Q62" s="67" t="n">
        <v>-1819702.6572439</v>
      </c>
      <c r="R62" s="61" t="n">
        <v>6810000</v>
      </c>
      <c r="S62" s="61" t="n">
        <v>7119990</v>
      </c>
      <c r="T62" s="61" t="n">
        <v>7439990</v>
      </c>
      <c r="U62" s="61" t="n">
        <v>7459980</v>
      </c>
      <c r="V62" s="61" t="n">
        <v>7549970</v>
      </c>
      <c r="W62" s="61" t="n">
        <v>8039950</v>
      </c>
      <c r="X62" s="61" t="n">
        <v>8729950</v>
      </c>
      <c r="Y62" s="61" t="n">
        <v>8849940</v>
      </c>
      <c r="Z62" s="61" t="n">
        <v>8359900</v>
      </c>
      <c r="AA62" s="61" t="n">
        <v>9009830</v>
      </c>
      <c r="AB62" s="61" t="n">
        <v>9599770</v>
      </c>
      <c r="AC62" s="61" t="n">
        <v>9799700</v>
      </c>
      <c r="AD62" s="61" t="n">
        <v>9999480</v>
      </c>
      <c r="AE62" s="61" t="n">
        <v>10898960</v>
      </c>
      <c r="AF62" s="61" t="n">
        <v>11598360</v>
      </c>
      <c r="AG62" s="61" t="n">
        <v>11196900</v>
      </c>
      <c r="AH62" s="61" t="n">
        <v>11995070</v>
      </c>
      <c r="AI62" s="61" t="n">
        <v>12794550</v>
      </c>
      <c r="AJ62" s="61" t="n">
        <v>13493710</v>
      </c>
      <c r="AK62" s="61" t="n">
        <v>13393260</v>
      </c>
      <c r="AL62" s="61" t="n">
        <v>13289410</v>
      </c>
      <c r="AM62" s="61" t="n">
        <v>12785320</v>
      </c>
      <c r="AN62" s="63" t="n">
        <v>11881060</v>
      </c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  <c r="IY62" s="41"/>
      <c r="IZ62" s="41"/>
      <c r="JA62" s="41"/>
      <c r="JB62" s="41"/>
      <c r="JC62" s="41"/>
      <c r="JD62" s="41"/>
      <c r="JE62" s="41"/>
      <c r="JF62" s="41"/>
      <c r="JG62" s="41"/>
      <c r="JH62" s="41"/>
      <c r="JI62" s="41"/>
      <c r="JJ62" s="41"/>
      <c r="JK62" s="41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1"/>
      <c r="KO62" s="41"/>
      <c r="KP62" s="41"/>
      <c r="KQ62" s="41"/>
      <c r="KR62" s="41"/>
      <c r="KS62" s="41"/>
      <c r="KT62" s="41"/>
      <c r="KU62" s="41"/>
      <c r="KV62" s="41"/>
      <c r="KW62" s="41"/>
      <c r="KX62" s="41"/>
      <c r="KY62" s="41"/>
      <c r="KZ62" s="41"/>
      <c r="LA62" s="41"/>
      <c r="LB62" s="41"/>
      <c r="LC62" s="41"/>
      <c r="LD62" s="41"/>
      <c r="LE62" s="41"/>
      <c r="LF62" s="41"/>
      <c r="LG62" s="41"/>
      <c r="LH62" s="41"/>
      <c r="LI62" s="41"/>
      <c r="LJ62" s="41"/>
      <c r="LK62" s="41"/>
      <c r="LL62" s="41"/>
      <c r="LM62" s="41"/>
      <c r="LN62" s="41"/>
      <c r="LO62" s="41"/>
      <c r="LP62" s="41"/>
      <c r="LQ62" s="41"/>
      <c r="LR62" s="41"/>
      <c r="LS62" s="41"/>
      <c r="LT62" s="41"/>
      <c r="LU62" s="41"/>
      <c r="LV62" s="41"/>
      <c r="LW62" s="41"/>
      <c r="LX62" s="41"/>
      <c r="LY62" s="41"/>
      <c r="LZ62" s="41"/>
      <c r="MA62" s="41"/>
      <c r="MB62" s="41"/>
      <c r="MC62" s="41"/>
      <c r="MD62" s="41"/>
      <c r="ME62" s="41"/>
      <c r="MF62" s="41"/>
      <c r="MG62" s="41"/>
      <c r="MH62" s="41"/>
      <c r="MI62" s="41"/>
      <c r="MJ62" s="41"/>
      <c r="MK62" s="41"/>
      <c r="ML62" s="41"/>
      <c r="MM62" s="41"/>
      <c r="MN62" s="41"/>
      <c r="MO62" s="41"/>
      <c r="MP62" s="41"/>
      <c r="MQ62" s="41"/>
      <c r="MR62" s="41"/>
      <c r="MS62" s="41"/>
      <c r="MT62" s="41"/>
      <c r="MU62" s="41"/>
      <c r="MV62" s="41"/>
      <c r="MW62" s="41"/>
      <c r="MX62" s="41"/>
      <c r="MY62" s="41"/>
      <c r="MZ62" s="41"/>
      <c r="NA62" s="41"/>
      <c r="NB62" s="41"/>
      <c r="NC62" s="41"/>
      <c r="ND62" s="41"/>
      <c r="NE62" s="41"/>
      <c r="NF62" s="41"/>
      <c r="NG62" s="41"/>
      <c r="NH62" s="41"/>
      <c r="NI62" s="41"/>
      <c r="NJ62" s="41"/>
      <c r="NK62" s="41"/>
      <c r="NL62" s="41"/>
      <c r="NM62" s="41"/>
      <c r="NN62" s="41"/>
      <c r="NO62" s="41"/>
      <c r="NP62" s="41"/>
      <c r="NQ62" s="41"/>
      <c r="NR62" s="41"/>
      <c r="NS62" s="41"/>
      <c r="NT62" s="41"/>
      <c r="NU62" s="41"/>
      <c r="NV62" s="41"/>
      <c r="NW62" s="41"/>
      <c r="NX62" s="41"/>
      <c r="NY62" s="41"/>
      <c r="NZ62" s="41"/>
      <c r="OA62" s="41"/>
      <c r="OB62" s="41"/>
      <c r="OC62" s="41"/>
      <c r="OD62" s="41"/>
      <c r="OE62" s="41"/>
      <c r="OF62" s="41"/>
      <c r="OG62" s="41"/>
      <c r="OH62" s="41"/>
      <c r="OI62" s="41"/>
      <c r="OJ62" s="41"/>
      <c r="OK62" s="41"/>
      <c r="OL62" s="41"/>
      <c r="OM62" s="41"/>
      <c r="ON62" s="41"/>
      <c r="OO62" s="41"/>
      <c r="OP62" s="41"/>
      <c r="OQ62" s="41"/>
      <c r="OR62" s="41"/>
      <c r="OS62" s="41"/>
      <c r="OT62" s="41"/>
      <c r="OU62" s="41"/>
      <c r="OV62" s="41"/>
      <c r="OW62" s="41"/>
      <c r="OX62" s="41"/>
      <c r="OY62" s="41"/>
      <c r="OZ62" s="41"/>
      <c r="PA62" s="41"/>
      <c r="PB62" s="41"/>
      <c r="PC62" s="41"/>
      <c r="PD62" s="41"/>
      <c r="PE62" s="41"/>
      <c r="PF62" s="41"/>
      <c r="PG62" s="41"/>
      <c r="PH62" s="41"/>
      <c r="PI62" s="41"/>
      <c r="PJ62" s="41"/>
      <c r="PK62" s="41"/>
      <c r="PL62" s="41"/>
      <c r="PM62" s="41"/>
      <c r="PN62" s="41"/>
      <c r="PO62" s="41"/>
      <c r="PP62" s="41"/>
      <c r="PQ62" s="41"/>
      <c r="PR62" s="41"/>
      <c r="PS62" s="41"/>
      <c r="PT62" s="41"/>
      <c r="PU62" s="41"/>
      <c r="PV62" s="41"/>
      <c r="PW62" s="41"/>
      <c r="PX62" s="41"/>
      <c r="PY62" s="41"/>
      <c r="PZ62" s="41"/>
      <c r="QA62" s="41"/>
      <c r="QB62" s="41"/>
      <c r="QC62" s="41"/>
      <c r="QD62" s="41"/>
      <c r="QE62" s="41"/>
      <c r="QF62" s="41"/>
      <c r="QG62" s="41"/>
      <c r="QH62" s="41"/>
      <c r="QI62" s="41"/>
      <c r="QJ62" s="41"/>
      <c r="QK62" s="41"/>
      <c r="QL62" s="41"/>
      <c r="QM62" s="41"/>
      <c r="QN62" s="41"/>
      <c r="QO62" s="41"/>
      <c r="QP62" s="41"/>
      <c r="QQ62" s="41"/>
      <c r="QR62" s="41"/>
      <c r="QS62" s="41"/>
      <c r="QT62" s="41"/>
      <c r="QU62" s="41"/>
      <c r="QV62" s="41"/>
      <c r="QW62" s="41"/>
      <c r="QX62" s="41"/>
      <c r="QY62" s="41"/>
      <c r="QZ62" s="41"/>
      <c r="RA62" s="41"/>
      <c r="RB62" s="41"/>
      <c r="RC62" s="41"/>
      <c r="RD62" s="41"/>
      <c r="RE62" s="41"/>
      <c r="RF62" s="41"/>
      <c r="RG62" s="41"/>
      <c r="RH62" s="41"/>
      <c r="RI62" s="41"/>
      <c r="RJ62" s="41"/>
      <c r="RK62" s="41"/>
      <c r="RL62" s="41"/>
      <c r="RM62" s="41"/>
      <c r="RN62" s="41"/>
      <c r="RO62" s="41"/>
      <c r="RP62" s="41"/>
      <c r="RQ62" s="41"/>
      <c r="RR62" s="41"/>
      <c r="RS62" s="41"/>
      <c r="RT62" s="41"/>
      <c r="RU62" s="41"/>
      <c r="RV62" s="41"/>
      <c r="RW62" s="41"/>
      <c r="RX62" s="41"/>
      <c r="RY62" s="41"/>
      <c r="RZ62" s="41"/>
      <c r="SA62" s="41"/>
      <c r="SB62" s="41"/>
      <c r="SC62" s="41"/>
      <c r="SD62" s="41"/>
      <c r="SE62" s="41"/>
      <c r="SF62" s="41"/>
      <c r="SG62" s="41"/>
      <c r="SH62" s="41"/>
      <c r="SI62" s="41"/>
      <c r="SJ62" s="41"/>
      <c r="SK62" s="41"/>
      <c r="SL62" s="41"/>
      <c r="SM62" s="41"/>
      <c r="SN62" s="41"/>
      <c r="SO62" s="41"/>
      <c r="SP62" s="41"/>
      <c r="SQ62" s="41"/>
      <c r="SR62" s="41"/>
      <c r="SS62" s="41"/>
      <c r="ST62" s="41"/>
      <c r="SU62" s="41"/>
      <c r="SV62" s="41"/>
      <c r="SW62" s="41"/>
      <c r="SX62" s="41"/>
      <c r="SY62" s="41"/>
      <c r="SZ62" s="41"/>
      <c r="TA62" s="41"/>
      <c r="TB62" s="41"/>
      <c r="TC62" s="41"/>
      <c r="TD62" s="41"/>
      <c r="TE62" s="41"/>
      <c r="TF62" s="41"/>
      <c r="TG62" s="41"/>
      <c r="TH62" s="41"/>
      <c r="TI62" s="41"/>
      <c r="TJ62" s="41"/>
      <c r="TK62" s="41"/>
      <c r="TL62" s="41"/>
      <c r="TM62" s="41"/>
      <c r="TN62" s="41"/>
      <c r="TO62" s="41"/>
      <c r="TP62" s="41"/>
      <c r="TQ62" s="41"/>
      <c r="TR62" s="41"/>
      <c r="TS62" s="41"/>
      <c r="TT62" s="41"/>
      <c r="TU62" s="41"/>
      <c r="TV62" s="41"/>
      <c r="TW62" s="41"/>
      <c r="TX62" s="41"/>
      <c r="TY62" s="41"/>
      <c r="TZ62" s="41"/>
      <c r="UA62" s="41"/>
      <c r="UB62" s="41"/>
      <c r="UC62" s="41"/>
      <c r="UD62" s="41"/>
      <c r="UE62" s="41"/>
      <c r="UF62" s="41"/>
      <c r="UG62" s="41"/>
      <c r="UH62" s="41"/>
      <c r="UI62" s="41"/>
      <c r="UJ62" s="41"/>
      <c r="UK62" s="41"/>
      <c r="UL62" s="41"/>
      <c r="UM62" s="41"/>
      <c r="UN62" s="41"/>
      <c r="UO62" s="41"/>
      <c r="UP62" s="41"/>
      <c r="UQ62" s="41"/>
      <c r="UR62" s="41"/>
      <c r="US62" s="41"/>
      <c r="UT62" s="41"/>
      <c r="UU62" s="41"/>
      <c r="UV62" s="41"/>
      <c r="UW62" s="41"/>
      <c r="UX62" s="41"/>
      <c r="UY62" s="41"/>
      <c r="UZ62" s="41"/>
      <c r="VA62" s="41"/>
      <c r="VB62" s="41"/>
      <c r="VC62" s="41"/>
      <c r="VD62" s="41"/>
      <c r="VE62" s="41"/>
      <c r="VF62" s="41"/>
      <c r="VG62" s="41"/>
      <c r="VH62" s="41"/>
      <c r="VI62" s="41"/>
      <c r="VJ62" s="41"/>
      <c r="VK62" s="41"/>
      <c r="VL62" s="41"/>
      <c r="VM62" s="41"/>
      <c r="VN62" s="41"/>
      <c r="VO62" s="41"/>
      <c r="VP62" s="41"/>
      <c r="VQ62" s="41"/>
      <c r="VR62" s="41"/>
      <c r="VS62" s="41"/>
      <c r="VT62" s="41"/>
      <c r="VU62" s="41"/>
      <c r="VV62" s="41"/>
      <c r="VW62" s="41"/>
      <c r="VX62" s="41"/>
      <c r="VY62" s="41"/>
      <c r="VZ62" s="41"/>
      <c r="WA62" s="41"/>
      <c r="WB62" s="41"/>
      <c r="WC62" s="41"/>
      <c r="WD62" s="41"/>
      <c r="WE62" s="41"/>
      <c r="WF62" s="41"/>
      <c r="WG62" s="41"/>
      <c r="WH62" s="41"/>
      <c r="WI62" s="41"/>
      <c r="WJ62" s="41"/>
      <c r="WK62" s="41"/>
      <c r="WL62" s="41"/>
      <c r="WM62" s="41"/>
      <c r="WN62" s="41"/>
      <c r="WO62" s="41"/>
      <c r="WP62" s="41"/>
      <c r="WQ62" s="41"/>
      <c r="WR62" s="41"/>
      <c r="WS62" s="41"/>
      <c r="WT62" s="41"/>
      <c r="WU62" s="41"/>
      <c r="WV62" s="41"/>
      <c r="WW62" s="41"/>
      <c r="WX62" s="41"/>
      <c r="WY62" s="41"/>
      <c r="WZ62" s="41"/>
      <c r="XA62" s="41"/>
      <c r="XB62" s="41"/>
      <c r="XC62" s="41"/>
      <c r="XD62" s="41"/>
      <c r="XE62" s="41"/>
      <c r="XF62" s="41"/>
      <c r="XG62" s="41"/>
      <c r="XH62" s="41"/>
      <c r="XI62" s="41"/>
      <c r="XJ62" s="41"/>
      <c r="XK62" s="41"/>
      <c r="XL62" s="41"/>
      <c r="XM62" s="41"/>
      <c r="XN62" s="41"/>
      <c r="XO62" s="41"/>
      <c r="XP62" s="41"/>
      <c r="XQ62" s="41"/>
      <c r="XR62" s="41"/>
      <c r="XS62" s="41"/>
      <c r="XT62" s="41"/>
      <c r="XU62" s="41"/>
      <c r="XV62" s="41"/>
      <c r="XW62" s="41"/>
      <c r="XX62" s="41"/>
      <c r="XY62" s="41"/>
      <c r="XZ62" s="41"/>
      <c r="YA62" s="41"/>
      <c r="YB62" s="41"/>
      <c r="YC62" s="41"/>
      <c r="YD62" s="41"/>
      <c r="YE62" s="41"/>
      <c r="YF62" s="41"/>
      <c r="YG62" s="41"/>
      <c r="YH62" s="41"/>
      <c r="YI62" s="41"/>
      <c r="YJ62" s="41"/>
      <c r="YK62" s="41"/>
      <c r="YL62" s="41"/>
      <c r="YM62" s="41"/>
      <c r="YN62" s="41"/>
      <c r="YO62" s="41"/>
      <c r="YP62" s="41"/>
      <c r="YQ62" s="41"/>
      <c r="YR62" s="41"/>
      <c r="YS62" s="41"/>
      <c r="YT62" s="41"/>
      <c r="YU62" s="41"/>
      <c r="YV62" s="41"/>
      <c r="YW62" s="41"/>
      <c r="YX62" s="41"/>
      <c r="YY62" s="41"/>
      <c r="YZ62" s="41"/>
      <c r="ZA62" s="41"/>
      <c r="ZB62" s="41"/>
      <c r="ZC62" s="41"/>
      <c r="ZD62" s="41"/>
      <c r="ZE62" s="41"/>
      <c r="ZF62" s="41"/>
      <c r="ZG62" s="41"/>
      <c r="ZH62" s="41"/>
      <c r="ZI62" s="41"/>
      <c r="ZJ62" s="41"/>
      <c r="ZK62" s="41"/>
      <c r="ZL62" s="41"/>
      <c r="ZM62" s="41"/>
      <c r="ZN62" s="41"/>
      <c r="ZO62" s="41"/>
      <c r="ZP62" s="41"/>
      <c r="ZQ62" s="41"/>
      <c r="ZR62" s="41"/>
      <c r="ZS62" s="41"/>
      <c r="ZT62" s="41"/>
      <c r="ZU62" s="41"/>
      <c r="ZV62" s="41"/>
      <c r="ZW62" s="41"/>
      <c r="ZX62" s="41"/>
      <c r="ZY62" s="41"/>
      <c r="ZZ62" s="41"/>
      <c r="AAA62" s="41"/>
      <c r="AAB62" s="41"/>
      <c r="AAC62" s="41"/>
      <c r="AAD62" s="41"/>
      <c r="AAE62" s="41"/>
      <c r="AAF62" s="41"/>
      <c r="AAG62" s="41"/>
      <c r="AAH62" s="41"/>
      <c r="AAI62" s="41"/>
      <c r="AAJ62" s="41"/>
      <c r="AAK62" s="41"/>
      <c r="AAL62" s="41"/>
      <c r="AAM62" s="41"/>
      <c r="AAN62" s="41"/>
      <c r="AAO62" s="41"/>
      <c r="AAP62" s="41"/>
      <c r="AAQ62" s="41"/>
      <c r="AAR62" s="41"/>
      <c r="AAS62" s="41"/>
      <c r="AAT62" s="41"/>
      <c r="AAU62" s="41"/>
      <c r="AAV62" s="41"/>
      <c r="AAW62" s="41"/>
      <c r="AAX62" s="41"/>
      <c r="AAY62" s="41"/>
      <c r="AAZ62" s="41"/>
      <c r="ABA62" s="41"/>
      <c r="ABB62" s="41"/>
      <c r="ABC62" s="41"/>
      <c r="ABD62" s="41"/>
      <c r="ABE62" s="41"/>
      <c r="ABF62" s="41"/>
      <c r="ABG62" s="41"/>
      <c r="ABH62" s="41"/>
      <c r="ABI62" s="41"/>
      <c r="ABJ62" s="41"/>
      <c r="ABK62" s="41"/>
      <c r="ABL62" s="41"/>
      <c r="ABM62" s="41"/>
      <c r="ABN62" s="41"/>
      <c r="ABO62" s="41"/>
      <c r="ABP62" s="41"/>
      <c r="ABQ62" s="41"/>
      <c r="ABR62" s="41"/>
      <c r="ABS62" s="41"/>
      <c r="ABT62" s="41"/>
      <c r="ABU62" s="41"/>
      <c r="ABV62" s="41"/>
      <c r="ABW62" s="41"/>
      <c r="ABX62" s="41"/>
      <c r="ABY62" s="41"/>
      <c r="ABZ62" s="41"/>
      <c r="ACA62" s="41"/>
      <c r="ACB62" s="41"/>
      <c r="ACC62" s="41"/>
      <c r="ACD62" s="41"/>
      <c r="ACE62" s="41"/>
      <c r="ACF62" s="41"/>
      <c r="ACG62" s="41"/>
      <c r="ACH62" s="41"/>
      <c r="ACI62" s="41"/>
      <c r="ACJ62" s="41"/>
      <c r="ACK62" s="41"/>
      <c r="ACL62" s="41"/>
      <c r="ACM62" s="41"/>
      <c r="ACN62" s="41"/>
      <c r="ACO62" s="41"/>
      <c r="ACP62" s="41"/>
      <c r="ACQ62" s="41"/>
      <c r="ACR62" s="41"/>
      <c r="ACS62" s="41"/>
      <c r="ACT62" s="41"/>
      <c r="ACU62" s="41"/>
      <c r="ACV62" s="41"/>
      <c r="ACW62" s="41"/>
      <c r="ACX62" s="41"/>
      <c r="ACY62" s="41"/>
      <c r="ACZ62" s="41"/>
      <c r="ADA62" s="41"/>
      <c r="ADB62" s="41"/>
      <c r="ADC62" s="41"/>
      <c r="ADD62" s="41"/>
      <c r="ADE62" s="41"/>
      <c r="ADF62" s="41"/>
      <c r="ADG62" s="41"/>
      <c r="ADH62" s="41"/>
      <c r="ADI62" s="41"/>
      <c r="ADJ62" s="41"/>
      <c r="ADK62" s="41"/>
      <c r="ADL62" s="41"/>
      <c r="ADM62" s="41"/>
      <c r="ADN62" s="41"/>
      <c r="ADO62" s="41"/>
      <c r="ADP62" s="41"/>
      <c r="ADQ62" s="41"/>
      <c r="ADR62" s="41"/>
      <c r="ADS62" s="41"/>
      <c r="ADT62" s="41"/>
      <c r="ADU62" s="41"/>
      <c r="ADV62" s="41"/>
      <c r="ADW62" s="41"/>
      <c r="ADX62" s="41"/>
      <c r="ADY62" s="41"/>
      <c r="ADZ62" s="41"/>
      <c r="AEA62" s="41"/>
      <c r="AEB62" s="41"/>
      <c r="AEC62" s="41"/>
      <c r="AED62" s="41"/>
      <c r="AEE62" s="41"/>
      <c r="AEF62" s="41"/>
      <c r="AEG62" s="41"/>
      <c r="AEH62" s="41"/>
      <c r="AEI62" s="41"/>
      <c r="AEJ62" s="41"/>
      <c r="AEK62" s="41"/>
      <c r="AEL62" s="41"/>
      <c r="AEM62" s="41"/>
      <c r="AEN62" s="41"/>
      <c r="AEO62" s="41"/>
      <c r="AEP62" s="41"/>
      <c r="AEQ62" s="41"/>
      <c r="AER62" s="41"/>
      <c r="AES62" s="41"/>
      <c r="AET62" s="41"/>
      <c r="AEU62" s="41"/>
      <c r="AEV62" s="41"/>
      <c r="AEW62" s="41"/>
      <c r="AEX62" s="41"/>
      <c r="AEY62" s="41"/>
      <c r="AEZ62" s="41"/>
      <c r="AFA62" s="41"/>
      <c r="AFB62" s="41"/>
      <c r="AFC62" s="41"/>
      <c r="AFD62" s="41"/>
      <c r="AFE62" s="41"/>
      <c r="AFF62" s="41"/>
      <c r="AFG62" s="41"/>
      <c r="AFH62" s="41"/>
      <c r="AFI62" s="41"/>
      <c r="AFJ62" s="41"/>
      <c r="AFK62" s="41"/>
      <c r="AFL62" s="41"/>
      <c r="AFM62" s="41"/>
      <c r="AFN62" s="41"/>
      <c r="AFO62" s="41"/>
      <c r="AFP62" s="41"/>
      <c r="AFQ62" s="41"/>
      <c r="AFR62" s="41"/>
      <c r="AFS62" s="41"/>
      <c r="AFT62" s="41"/>
      <c r="AFU62" s="41"/>
      <c r="AFV62" s="41"/>
      <c r="AFW62" s="41"/>
      <c r="AFX62" s="41"/>
      <c r="AFY62" s="41"/>
      <c r="AFZ62" s="41"/>
      <c r="AGA62" s="41"/>
      <c r="AGB62" s="41"/>
      <c r="AGC62" s="41"/>
      <c r="AGD62" s="41"/>
      <c r="AGE62" s="41"/>
      <c r="AGF62" s="41"/>
      <c r="AGG62" s="41"/>
      <c r="AGH62" s="41"/>
      <c r="AGI62" s="41"/>
      <c r="AGJ62" s="41"/>
      <c r="AGK62" s="41"/>
      <c r="AGL62" s="41"/>
      <c r="AGM62" s="41"/>
      <c r="AGN62" s="41"/>
      <c r="AGO62" s="41"/>
      <c r="AGP62" s="41"/>
      <c r="AGQ62" s="41"/>
      <c r="AGR62" s="41"/>
      <c r="AGS62" s="41"/>
      <c r="AGT62" s="41"/>
      <c r="AGU62" s="41"/>
      <c r="AGV62" s="41"/>
      <c r="AGW62" s="41"/>
      <c r="AGX62" s="41"/>
      <c r="AGY62" s="41"/>
      <c r="AGZ62" s="41"/>
      <c r="AHA62" s="41"/>
      <c r="AHB62" s="41"/>
      <c r="AHC62" s="41"/>
      <c r="AHD62" s="41"/>
      <c r="AHE62" s="41"/>
      <c r="AHF62" s="41"/>
      <c r="AHG62" s="41"/>
      <c r="AHH62" s="41"/>
      <c r="AHI62" s="41"/>
      <c r="AHJ62" s="41"/>
      <c r="AHK62" s="41"/>
      <c r="AHL62" s="41"/>
      <c r="AHM62" s="41"/>
      <c r="AHN62" s="41"/>
      <c r="AHO62" s="41"/>
      <c r="AHP62" s="41"/>
      <c r="AHQ62" s="41"/>
      <c r="AHR62" s="41"/>
      <c r="AHS62" s="41"/>
      <c r="AHT62" s="41"/>
      <c r="AHU62" s="41"/>
      <c r="AHV62" s="41"/>
      <c r="AHW62" s="41"/>
      <c r="AHX62" s="41"/>
      <c r="AHY62" s="41"/>
      <c r="AHZ62" s="41"/>
      <c r="AIA62" s="41"/>
      <c r="AIB62" s="41"/>
      <c r="AIC62" s="41"/>
      <c r="AID62" s="41"/>
      <c r="AIE62" s="41"/>
      <c r="AIF62" s="41"/>
      <c r="AIG62" s="41"/>
      <c r="AIH62" s="41"/>
      <c r="AII62" s="41"/>
      <c r="AIJ62" s="41"/>
      <c r="AIK62" s="41"/>
      <c r="AIL62" s="41"/>
      <c r="AIM62" s="41"/>
      <c r="AIN62" s="41"/>
      <c r="AIO62" s="41"/>
      <c r="AIP62" s="41"/>
      <c r="AIQ62" s="41"/>
      <c r="AIR62" s="41"/>
      <c r="AIS62" s="41"/>
      <c r="AIT62" s="41"/>
      <c r="AIU62" s="41"/>
      <c r="AIV62" s="41"/>
      <c r="AIW62" s="41"/>
      <c r="AIX62" s="41"/>
      <c r="AIY62" s="41"/>
      <c r="AIZ62" s="41"/>
      <c r="AJA62" s="41"/>
      <c r="AJB62" s="41"/>
      <c r="AJC62" s="41"/>
      <c r="AJD62" s="41"/>
      <c r="AJE62" s="41"/>
      <c r="AJF62" s="41"/>
      <c r="AJG62" s="41"/>
      <c r="AJH62" s="41"/>
      <c r="AJI62" s="41"/>
      <c r="AJJ62" s="41"/>
      <c r="AJK62" s="41"/>
      <c r="AJL62" s="41"/>
      <c r="AJM62" s="41"/>
      <c r="AJN62" s="41"/>
      <c r="AJO62" s="41"/>
      <c r="AJP62" s="41"/>
      <c r="AJQ62" s="41"/>
      <c r="AJR62" s="41"/>
      <c r="AJS62" s="41"/>
      <c r="AJT62" s="41"/>
      <c r="AJU62" s="41"/>
      <c r="AJV62" s="41"/>
      <c r="AJW62" s="41"/>
      <c r="AJX62" s="41"/>
      <c r="AJY62" s="41"/>
      <c r="AJZ62" s="41"/>
      <c r="AKA62" s="41"/>
      <c r="AKB62" s="41"/>
      <c r="AKC62" s="41"/>
      <c r="AKD62" s="41"/>
      <c r="AKE62" s="41"/>
      <c r="AKF62" s="41"/>
      <c r="AKG62" s="41"/>
      <c r="AKH62" s="41"/>
      <c r="AKI62" s="41"/>
      <c r="AKJ62" s="41"/>
      <c r="AKK62" s="41"/>
      <c r="AKL62" s="41"/>
      <c r="AKM62" s="41"/>
      <c r="AKN62" s="41"/>
      <c r="AKO62" s="41"/>
      <c r="AKP62" s="41"/>
      <c r="AKQ62" s="41"/>
      <c r="AKR62" s="41"/>
      <c r="AKS62" s="41"/>
      <c r="AKT62" s="41"/>
      <c r="AKU62" s="41"/>
      <c r="AKV62" s="41"/>
      <c r="AKW62" s="41"/>
      <c r="AKX62" s="41"/>
      <c r="AKY62" s="41"/>
      <c r="AKZ62" s="41"/>
      <c r="ALA62" s="41"/>
      <c r="ALB62" s="41"/>
      <c r="ALC62" s="41"/>
      <c r="ALD62" s="41"/>
      <c r="ALE62" s="41"/>
      <c r="ALF62" s="41"/>
      <c r="ALG62" s="41"/>
      <c r="ALH62" s="41"/>
      <c r="ALI62" s="41"/>
      <c r="ALJ62" s="41"/>
      <c r="ALK62" s="41"/>
      <c r="ALL62" s="41"/>
      <c r="ALM62" s="41"/>
      <c r="ALN62" s="41"/>
      <c r="ALO62" s="41"/>
      <c r="ALP62" s="41"/>
      <c r="ALQ62" s="41"/>
      <c r="ALR62" s="41"/>
      <c r="ALS62" s="41"/>
      <c r="ALT62" s="41"/>
      <c r="ALU62" s="41"/>
      <c r="ALV62" s="41"/>
      <c r="ALW62" s="41"/>
      <c r="ALX62" s="41"/>
      <c r="ALY62" s="41"/>
      <c r="ALZ62" s="41"/>
      <c r="AMA62" s="41"/>
      <c r="AMB62" s="41"/>
      <c r="AMC62" s="41"/>
      <c r="AMD62" s="41"/>
      <c r="AME62" s="41"/>
      <c r="AMF62" s="41"/>
      <c r="AMG62" s="41"/>
      <c r="AMH62" s="41"/>
      <c r="AMI62" s="41"/>
      <c r="AMJ62" s="41"/>
      <c r="AMK62" s="41"/>
      <c r="AML62" s="41"/>
      <c r="AMM62" s="41"/>
      <c r="AMN62" s="41"/>
      <c r="AMO62" s="41"/>
      <c r="AMP62" s="41"/>
      <c r="AMQ62" s="41"/>
      <c r="AMR62" s="41"/>
      <c r="AMS62" s="41"/>
      <c r="AMT62" s="41"/>
      <c r="AMU62" s="41"/>
      <c r="AMV62" s="41"/>
      <c r="AMW62" s="41"/>
      <c r="AMX62" s="41"/>
      <c r="AMY62" s="41"/>
      <c r="AMZ62" s="41"/>
      <c r="ANA62" s="41"/>
      <c r="ANB62" s="41"/>
      <c r="ANC62" s="41"/>
      <c r="AND62" s="41"/>
      <c r="ANE62" s="41"/>
      <c r="ANF62" s="41"/>
      <c r="ANG62" s="41"/>
      <c r="ANH62" s="41"/>
      <c r="ANI62" s="41"/>
      <c r="ANJ62" s="41"/>
      <c r="ANK62" s="41"/>
    </row>
    <row r="63" customFormat="false" ht="15" hidden="false" customHeight="false" outlineLevel="0" collapsed="false">
      <c r="A63" s="68" t="s">
        <v>85</v>
      </c>
      <c r="B63" s="35"/>
      <c r="C63" s="35"/>
      <c r="D63" s="35"/>
      <c r="E63" s="69"/>
      <c r="F63" s="36" t="n">
        <v>0</v>
      </c>
    </row>
    <row r="64" customFormat="false" ht="15" hidden="false" customHeight="false" outlineLevel="0" collapsed="false">
      <c r="A64" s="70" t="s">
        <v>86</v>
      </c>
      <c r="B64" s="61" t="n">
        <v>0.06</v>
      </c>
      <c r="C64" s="61" t="n">
        <v>0.06</v>
      </c>
      <c r="D64" s="61" t="n">
        <v>0.06</v>
      </c>
      <c r="E64" s="71" t="n">
        <v>0.075</v>
      </c>
      <c r="F64" s="63" t="n">
        <v>0.1</v>
      </c>
    </row>
    <row r="65" customFormat="false" ht="15" hidden="false" customHeight="false" outlineLevel="0" collapsed="false">
      <c r="E65" s="2"/>
    </row>
    <row r="66" customFormat="false" ht="14.25" hidden="true" customHeight="true" outlineLevel="0" collapsed="false">
      <c r="D66" s="72"/>
      <c r="E66" s="2" t="n">
        <v>0</v>
      </c>
    </row>
    <row r="67" customFormat="false" ht="14.25" hidden="true" customHeight="true" outlineLevel="0" collapsed="false">
      <c r="D67" s="72"/>
      <c r="E67" s="2" t="n">
        <v>0</v>
      </c>
    </row>
    <row r="68" customFormat="false" ht="14.25" hidden="true" customHeight="true" outlineLevel="0" collapsed="false">
      <c r="D68" s="72"/>
      <c r="E68" s="2" t="n">
        <v>0</v>
      </c>
    </row>
    <row r="69" customFormat="false" ht="14.25" hidden="true" customHeight="true" outlineLevel="0" collapsed="false">
      <c r="D69" s="72"/>
      <c r="E69" s="2" t="n">
        <v>0</v>
      </c>
    </row>
    <row r="70" customFormat="false" ht="14.25" hidden="true" customHeight="true" outlineLevel="0" collapsed="false">
      <c r="D70" s="72"/>
      <c r="E70" s="2" t="n">
        <v>0</v>
      </c>
    </row>
    <row r="71" customFormat="false" ht="14.25" hidden="true" customHeight="true" outlineLevel="0" collapsed="false">
      <c r="D71" s="72"/>
      <c r="E71" s="2" t="n">
        <v>0</v>
      </c>
    </row>
    <row r="72" customFormat="false" ht="14.25" hidden="true" customHeight="true" outlineLevel="0" collapsed="false">
      <c r="D72" s="72"/>
      <c r="E72" s="2" t="n">
        <v>0</v>
      </c>
    </row>
    <row r="73" customFormat="false" ht="14.25" hidden="true" customHeight="true" outlineLevel="0" collapsed="false">
      <c r="D73" s="72"/>
      <c r="E73" s="2" t="n">
        <v>0</v>
      </c>
    </row>
    <row r="74" customFormat="false" ht="14.25" hidden="true" customHeight="true" outlineLevel="0" collapsed="false">
      <c r="D74" s="72"/>
      <c r="E74" s="2" t="n">
        <v>0</v>
      </c>
    </row>
    <row r="75" customFormat="false" ht="14.25" hidden="true" customHeight="true" outlineLevel="0" collapsed="false">
      <c r="D75" s="72"/>
      <c r="E75" s="2" t="n">
        <v>0</v>
      </c>
    </row>
    <row r="76" customFormat="false" ht="14.25" hidden="true" customHeight="true" outlineLevel="0" collapsed="false">
      <c r="D76" s="72"/>
      <c r="E76" s="2" t="n">
        <v>0</v>
      </c>
    </row>
    <row r="77" customFormat="false" ht="14.25" hidden="true" customHeight="true" outlineLevel="0" collapsed="false">
      <c r="D77" s="72"/>
      <c r="E77" s="2" t="n">
        <v>0</v>
      </c>
    </row>
    <row r="78" customFormat="false" ht="14.25" hidden="true" customHeight="true" outlineLevel="0" collapsed="false">
      <c r="D78" s="72"/>
      <c r="E78" s="2" t="n">
        <v>0</v>
      </c>
    </row>
    <row r="79" customFormat="false" ht="14.25" hidden="true" customHeight="true" outlineLevel="0" collapsed="false">
      <c r="D79" s="72"/>
      <c r="E79" s="2" t="n">
        <v>0</v>
      </c>
    </row>
    <row r="80" customFormat="false" ht="14.25" hidden="true" customHeight="true" outlineLevel="0" collapsed="false">
      <c r="D80" s="72"/>
      <c r="E80" s="2" t="n">
        <v>0</v>
      </c>
    </row>
    <row r="81" customFormat="false" ht="14.25" hidden="true" customHeight="true" outlineLevel="0" collapsed="false">
      <c r="D81" s="72"/>
      <c r="E81" s="2" t="n">
        <v>0</v>
      </c>
    </row>
    <row r="82" customFormat="false" ht="14.25" hidden="true" customHeight="true" outlineLevel="0" collapsed="false">
      <c r="D82" s="72"/>
      <c r="E82" s="2" t="n">
        <v>0</v>
      </c>
    </row>
    <row r="83" customFormat="false" ht="14.25" hidden="true" customHeight="true" outlineLevel="0" collapsed="false">
      <c r="D83" s="72"/>
      <c r="E83" s="2" t="n">
        <v>0</v>
      </c>
    </row>
    <row r="84" customFormat="false" ht="14.25" hidden="true" customHeight="true" outlineLevel="0" collapsed="false">
      <c r="D84" s="72"/>
      <c r="E84" s="2" t="n">
        <v>0</v>
      </c>
    </row>
    <row r="85" customFormat="false" ht="14.25" hidden="true" customHeight="true" outlineLevel="0" collapsed="false">
      <c r="D85" s="72"/>
      <c r="E85" s="2" t="n">
        <v>0</v>
      </c>
    </row>
    <row r="86" customFormat="false" ht="14.25" hidden="true" customHeight="true" outlineLevel="0" collapsed="false">
      <c r="D86" s="72"/>
      <c r="E86" s="2" t="n">
        <v>0</v>
      </c>
    </row>
    <row r="87" customFormat="false" ht="14.25" hidden="true" customHeight="true" outlineLevel="0" collapsed="false">
      <c r="D87" s="72"/>
      <c r="E87" s="2" t="n">
        <v>0</v>
      </c>
    </row>
    <row r="88" customFormat="false" ht="14.25" hidden="true" customHeight="true" outlineLevel="0" collapsed="false">
      <c r="D88" s="72"/>
      <c r="E88" s="2" t="n">
        <v>0</v>
      </c>
    </row>
    <row r="89" customFormat="false" ht="14.25" hidden="true" customHeight="true" outlineLevel="0" collapsed="false">
      <c r="D89" s="72"/>
      <c r="E89" s="2" t="n">
        <v>0</v>
      </c>
    </row>
    <row r="90" customFormat="false" ht="14.25" hidden="true" customHeight="true" outlineLevel="0" collapsed="false">
      <c r="D90" s="72"/>
      <c r="E90" s="2" t="n">
        <v>0</v>
      </c>
    </row>
    <row r="91" customFormat="false" ht="14.25" hidden="true" customHeight="true" outlineLevel="0" collapsed="false">
      <c r="D91" s="72"/>
      <c r="E91" s="2" t="n">
        <v>0</v>
      </c>
    </row>
    <row r="92" customFormat="false" ht="14.25" hidden="true" customHeight="true" outlineLevel="0" collapsed="false">
      <c r="D92" s="72"/>
      <c r="E92" s="2" t="n">
        <v>0</v>
      </c>
    </row>
    <row r="93" customFormat="false" ht="14.25" hidden="true" customHeight="true" outlineLevel="0" collapsed="false">
      <c r="D93" s="72"/>
      <c r="E93" s="2" t="n">
        <v>0</v>
      </c>
    </row>
    <row r="94" customFormat="false" ht="14.25" hidden="true" customHeight="true" outlineLevel="0" collapsed="false">
      <c r="D94" s="72"/>
      <c r="E94" s="2" t="n">
        <v>0</v>
      </c>
    </row>
    <row r="95" customFormat="false" ht="14.25" hidden="true" customHeight="true" outlineLevel="0" collapsed="false">
      <c r="D95" s="72"/>
      <c r="E95" s="2" t="n">
        <v>0</v>
      </c>
    </row>
    <row r="96" customFormat="false" ht="14.25" hidden="true" customHeight="true" outlineLevel="0" collapsed="false">
      <c r="D96" s="72"/>
      <c r="E96" s="2" t="n">
        <v>0</v>
      </c>
    </row>
    <row r="97" customFormat="false" ht="14.25" hidden="true" customHeight="true" outlineLevel="0" collapsed="false">
      <c r="E97" s="2" t="n">
        <v>0</v>
      </c>
    </row>
    <row r="98" customFormat="false" ht="15" hidden="false" customHeight="false" outlineLevel="0" collapsed="false">
      <c r="A98" s="73" t="s">
        <v>87</v>
      </c>
      <c r="B98" s="74" t="str">
        <f aca="false">+D98</f>
        <v>kg/installed MW</v>
      </c>
      <c r="C98" s="75" t="str">
        <f aca="false">+B98</f>
        <v>kg/installed MW</v>
      </c>
      <c r="D98" s="76" t="str">
        <f aca="false">+E98</f>
        <v>kg/installed MW</v>
      </c>
      <c r="E98" s="77" t="s">
        <v>88</v>
      </c>
      <c r="I98" s="78"/>
      <c r="J98" s="79"/>
    </row>
    <row r="99" customFormat="false" ht="15" hidden="false" customHeight="false" outlineLevel="0" collapsed="false">
      <c r="A99" s="55" t="s">
        <v>27</v>
      </c>
      <c r="B99" s="80" t="n">
        <v>0</v>
      </c>
      <c r="C99" s="69" t="n">
        <v>0</v>
      </c>
      <c r="D99" s="69" t="n">
        <v>0</v>
      </c>
      <c r="E99" s="81" t="n">
        <v>0</v>
      </c>
      <c r="I99" s="78"/>
      <c r="J99" s="79"/>
    </row>
    <row r="100" customFormat="false" ht="15" hidden="false" customHeight="false" outlineLevel="0" collapsed="false">
      <c r="A100" s="55" t="s">
        <v>28</v>
      </c>
      <c r="B100" s="82" t="n">
        <v>10.8</v>
      </c>
      <c r="C100" s="83" t="n">
        <v>10.8</v>
      </c>
      <c r="D100" s="83" t="n">
        <v>0</v>
      </c>
      <c r="E100" s="45" t="n">
        <v>0.78</v>
      </c>
      <c r="I100" s="78"/>
      <c r="J100" s="79"/>
    </row>
    <row r="101" customFormat="false" ht="15" hidden="false" customHeight="false" outlineLevel="0" collapsed="false">
      <c r="A101" s="55" t="s">
        <v>29</v>
      </c>
      <c r="B101" s="82" t="n">
        <v>0</v>
      </c>
      <c r="C101" s="83" t="n">
        <v>0</v>
      </c>
      <c r="D101" s="83" t="n">
        <v>0</v>
      </c>
      <c r="E101" s="45" t="n">
        <v>0</v>
      </c>
      <c r="I101" s="78"/>
      <c r="J101" s="79"/>
    </row>
    <row r="102" customFormat="false" ht="15" hidden="false" customHeight="false" outlineLevel="0" collapsed="false">
      <c r="A102" s="55" t="s">
        <v>30</v>
      </c>
      <c r="B102" s="82" t="n">
        <v>0</v>
      </c>
      <c r="C102" s="83" t="n">
        <v>0</v>
      </c>
      <c r="D102" s="83" t="n">
        <v>0</v>
      </c>
      <c r="E102" s="45" t="n">
        <v>0</v>
      </c>
      <c r="I102" s="78"/>
      <c r="J102" s="79"/>
    </row>
    <row r="103" customFormat="false" ht="15" hidden="false" customHeight="false" outlineLevel="0" collapsed="false">
      <c r="A103" s="55" t="s">
        <v>31</v>
      </c>
      <c r="B103" s="82" t="n">
        <v>29.8</v>
      </c>
      <c r="C103" s="83" t="n">
        <v>59.6</v>
      </c>
      <c r="D103" s="83" t="n">
        <v>0</v>
      </c>
      <c r="E103" s="45" t="n">
        <v>0</v>
      </c>
      <c r="I103" s="78"/>
      <c r="J103" s="79"/>
    </row>
    <row r="104" customFormat="false" ht="15" hidden="false" customHeight="false" outlineLevel="0" collapsed="false">
      <c r="A104" s="55" t="s">
        <v>32</v>
      </c>
      <c r="B104" s="82" t="n">
        <v>0</v>
      </c>
      <c r="C104" s="83" t="n">
        <v>0</v>
      </c>
      <c r="D104" s="83" t="n">
        <v>0</v>
      </c>
      <c r="E104" s="45" t="n">
        <v>0</v>
      </c>
      <c r="I104" s="78"/>
      <c r="J104" s="79"/>
    </row>
    <row r="105" customFormat="false" ht="15" hidden="false" customHeight="false" outlineLevel="0" collapsed="false">
      <c r="A105" s="55" t="s">
        <v>33</v>
      </c>
      <c r="B105" s="82" t="n">
        <v>0</v>
      </c>
      <c r="C105" s="83" t="n">
        <v>0</v>
      </c>
      <c r="D105" s="83" t="n">
        <v>0</v>
      </c>
      <c r="E105" s="45" t="n">
        <v>0</v>
      </c>
      <c r="I105" s="78"/>
      <c r="J105" s="79"/>
    </row>
    <row r="106" customFormat="false" ht="15" hidden="false" customHeight="false" outlineLevel="0" collapsed="false">
      <c r="A106" s="55" t="s">
        <v>34</v>
      </c>
      <c r="B106" s="82" t="n">
        <v>5.8</v>
      </c>
      <c r="C106" s="83" t="n">
        <v>5.8</v>
      </c>
      <c r="D106" s="83" t="n">
        <v>0</v>
      </c>
      <c r="E106" s="45" t="n">
        <v>0</v>
      </c>
      <c r="I106" s="78"/>
      <c r="J106" s="79"/>
    </row>
    <row r="107" customFormat="false" ht="15" hidden="false" customHeight="false" outlineLevel="0" collapsed="false">
      <c r="A107" s="42" t="s">
        <v>35</v>
      </c>
      <c r="B107" s="82" t="n">
        <v>65</v>
      </c>
      <c r="C107" s="83" t="n">
        <v>356</v>
      </c>
      <c r="D107" s="83" t="n">
        <v>1294</v>
      </c>
      <c r="E107" s="45" t="n">
        <v>3450</v>
      </c>
      <c r="I107" s="78"/>
      <c r="J107" s="79"/>
    </row>
    <row r="108" customFormat="false" ht="15" hidden="false" customHeight="false" outlineLevel="0" collapsed="false">
      <c r="A108" s="42" t="s">
        <v>36</v>
      </c>
      <c r="B108" s="82" t="n">
        <v>0</v>
      </c>
      <c r="C108" s="83" t="n">
        <v>0</v>
      </c>
      <c r="D108" s="83" t="n">
        <v>0</v>
      </c>
      <c r="E108" s="45" t="n">
        <v>0</v>
      </c>
      <c r="I108" s="78"/>
      <c r="J108" s="79"/>
    </row>
    <row r="109" customFormat="false" ht="15" hidden="false" customHeight="false" outlineLevel="0" collapsed="false">
      <c r="A109" s="42" t="s">
        <v>37</v>
      </c>
      <c r="B109" s="82" t="n">
        <v>0</v>
      </c>
      <c r="C109" s="83" t="n">
        <v>0</v>
      </c>
      <c r="D109" s="83" t="n">
        <v>0</v>
      </c>
      <c r="E109" s="45" t="n">
        <v>0</v>
      </c>
      <c r="I109" s="78"/>
      <c r="J109" s="79"/>
    </row>
    <row r="110" customFormat="false" ht="15" hidden="false" customHeight="false" outlineLevel="0" collapsed="false">
      <c r="A110" s="42" t="s">
        <v>38</v>
      </c>
      <c r="B110" s="82" t="n">
        <v>0</v>
      </c>
      <c r="C110" s="83" t="n">
        <v>0</v>
      </c>
      <c r="D110" s="83" t="n">
        <v>0</v>
      </c>
      <c r="E110" s="45" t="n">
        <v>0</v>
      </c>
      <c r="I110" s="78"/>
      <c r="J110" s="79"/>
    </row>
    <row r="111" customFormat="false" ht="15" hidden="false" customHeight="false" outlineLevel="0" collapsed="false">
      <c r="A111" s="55" t="s">
        <v>39</v>
      </c>
      <c r="B111" s="82" t="n">
        <v>122</v>
      </c>
      <c r="C111" s="83" t="n">
        <v>122</v>
      </c>
      <c r="D111" s="83" t="n">
        <v>0</v>
      </c>
      <c r="E111" s="45" t="n">
        <v>0</v>
      </c>
      <c r="I111" s="78"/>
      <c r="J111" s="79"/>
    </row>
    <row r="112" customFormat="false" ht="15" hidden="false" customHeight="false" outlineLevel="0" collapsed="false">
      <c r="A112" s="55" t="s">
        <v>40</v>
      </c>
      <c r="B112" s="82" t="n">
        <v>0</v>
      </c>
      <c r="C112" s="83" t="n">
        <v>0</v>
      </c>
      <c r="D112" s="83" t="n">
        <v>0</v>
      </c>
      <c r="E112" s="45" t="n">
        <v>0</v>
      </c>
      <c r="I112" s="78"/>
      <c r="J112" s="79"/>
    </row>
    <row r="113" customFormat="false" ht="15" hidden="false" customHeight="false" outlineLevel="0" collapsed="false">
      <c r="A113" s="55" t="s">
        <v>89</v>
      </c>
      <c r="B113" s="82" t="n">
        <v>0</v>
      </c>
      <c r="C113" s="83" t="n">
        <v>0</v>
      </c>
      <c r="D113" s="83" t="n">
        <v>0</v>
      </c>
      <c r="E113" s="45" t="n">
        <v>0</v>
      </c>
      <c r="I113" s="78"/>
      <c r="J113" s="79"/>
    </row>
    <row r="114" customFormat="false" ht="15" hidden="false" customHeight="false" outlineLevel="0" collapsed="false">
      <c r="A114" s="55" t="s">
        <v>42</v>
      </c>
      <c r="B114" s="82" t="n">
        <v>0</v>
      </c>
      <c r="C114" s="83" t="n">
        <v>0</v>
      </c>
      <c r="D114" s="83" t="n">
        <v>0</v>
      </c>
      <c r="E114" s="45" t="n">
        <v>140</v>
      </c>
      <c r="I114" s="78"/>
      <c r="J114" s="79"/>
    </row>
    <row r="115" customFormat="false" ht="15" hidden="false" customHeight="false" outlineLevel="0" collapsed="false">
      <c r="A115" s="55" t="s">
        <v>43</v>
      </c>
      <c r="B115" s="82" t="n">
        <v>19</v>
      </c>
      <c r="C115" s="83" t="n">
        <v>19</v>
      </c>
      <c r="D115" s="83" t="n">
        <v>0</v>
      </c>
      <c r="E115" s="45" t="n">
        <v>0</v>
      </c>
      <c r="I115" s="78"/>
      <c r="J115" s="79"/>
    </row>
    <row r="116" customFormat="false" ht="15" hidden="false" customHeight="false" outlineLevel="0" collapsed="false">
      <c r="A116" s="55" t="s">
        <v>44</v>
      </c>
      <c r="B116" s="82" t="n">
        <v>0</v>
      </c>
      <c r="C116" s="83" t="n">
        <v>0</v>
      </c>
      <c r="D116" s="83" t="n">
        <v>0</v>
      </c>
      <c r="E116" s="45" t="n">
        <v>0</v>
      </c>
      <c r="I116" s="78"/>
      <c r="J116" s="79"/>
    </row>
    <row r="117" customFormat="false" ht="15" hidden="false" customHeight="false" outlineLevel="0" collapsed="false">
      <c r="A117" s="55" t="s">
        <v>45</v>
      </c>
      <c r="B117" s="82" t="n">
        <v>0</v>
      </c>
      <c r="C117" s="83" t="n">
        <v>0</v>
      </c>
      <c r="D117" s="83" t="n">
        <v>0</v>
      </c>
      <c r="E117" s="45" t="n">
        <v>0</v>
      </c>
      <c r="I117" s="78"/>
      <c r="J117" s="79"/>
    </row>
    <row r="118" customFormat="false" ht="15" hidden="false" customHeight="false" outlineLevel="0" collapsed="false">
      <c r="A118" s="55" t="s">
        <v>46</v>
      </c>
      <c r="B118" s="82" t="n">
        <v>0</v>
      </c>
      <c r="C118" s="83" t="n">
        <v>0</v>
      </c>
      <c r="D118" s="83" t="n">
        <v>0</v>
      </c>
      <c r="E118" s="45" t="n">
        <v>0</v>
      </c>
      <c r="I118" s="78"/>
      <c r="J118" s="79"/>
    </row>
    <row r="119" customFormat="false" ht="15" hidden="false" customHeight="false" outlineLevel="0" collapsed="false">
      <c r="A119" s="55" t="s">
        <v>47</v>
      </c>
      <c r="B119" s="82" t="n">
        <v>0</v>
      </c>
      <c r="C119" s="83" t="n">
        <v>0</v>
      </c>
      <c r="D119" s="83" t="n">
        <v>0</v>
      </c>
      <c r="E119" s="45" t="n">
        <v>0</v>
      </c>
      <c r="I119" s="78"/>
      <c r="J119" s="79"/>
    </row>
    <row r="120" customFormat="false" ht="15" hidden="false" customHeight="false" outlineLevel="0" collapsed="false">
      <c r="A120" s="55" t="s">
        <v>48</v>
      </c>
      <c r="B120" s="82" t="n">
        <v>0</v>
      </c>
      <c r="C120" s="83" t="n">
        <v>0</v>
      </c>
      <c r="D120" s="83" t="n">
        <v>0</v>
      </c>
      <c r="E120" s="45" t="n">
        <v>0</v>
      </c>
      <c r="I120" s="78"/>
      <c r="J120" s="79"/>
    </row>
    <row r="121" customFormat="false" ht="15" hidden="false" customHeight="false" outlineLevel="0" collapsed="false">
      <c r="A121" s="55" t="s">
        <v>49</v>
      </c>
      <c r="B121" s="82" t="n">
        <v>0</v>
      </c>
      <c r="C121" s="83" t="n">
        <v>0</v>
      </c>
      <c r="D121" s="83" t="n">
        <v>0</v>
      </c>
      <c r="E121" s="45" t="n">
        <v>11</v>
      </c>
      <c r="I121" s="78"/>
      <c r="J121" s="79"/>
    </row>
    <row r="122" customFormat="false" ht="15" hidden="false" customHeight="false" outlineLevel="0" collapsed="false">
      <c r="A122" s="55" t="s">
        <v>50</v>
      </c>
      <c r="B122" s="82" t="n">
        <v>0</v>
      </c>
      <c r="C122" s="83" t="n">
        <v>0</v>
      </c>
      <c r="D122" s="83" t="n">
        <v>0</v>
      </c>
      <c r="E122" s="45" t="n">
        <v>0</v>
      </c>
      <c r="I122" s="78"/>
      <c r="J122" s="79"/>
    </row>
    <row r="123" customFormat="false" ht="15" hidden="false" customHeight="false" outlineLevel="0" collapsed="false">
      <c r="A123" s="55" t="s">
        <v>51</v>
      </c>
      <c r="B123" s="82" t="n">
        <v>0</v>
      </c>
      <c r="C123" s="83" t="n">
        <v>0</v>
      </c>
      <c r="D123" s="83" t="n">
        <v>0</v>
      </c>
      <c r="E123" s="45" t="n">
        <v>0</v>
      </c>
      <c r="I123" s="78"/>
      <c r="J123" s="79"/>
    </row>
    <row r="124" customFormat="false" ht="15" hidden="false" customHeight="false" outlineLevel="0" collapsed="false">
      <c r="A124" s="55" t="s">
        <v>52</v>
      </c>
      <c r="B124" s="82" t="n">
        <v>25.6</v>
      </c>
      <c r="C124" s="83" t="n">
        <v>25.6</v>
      </c>
      <c r="D124" s="83" t="n">
        <v>0</v>
      </c>
      <c r="E124" s="45" t="n">
        <v>0</v>
      </c>
      <c r="I124" s="78"/>
      <c r="J124" s="79"/>
    </row>
    <row r="125" customFormat="false" ht="15" hidden="false" customHeight="false" outlineLevel="0" collapsed="false">
      <c r="A125" s="55" t="s">
        <v>53</v>
      </c>
      <c r="B125" s="82" t="n">
        <v>0</v>
      </c>
      <c r="C125" s="83" t="n">
        <v>0</v>
      </c>
      <c r="D125" s="83" t="n">
        <v>0</v>
      </c>
      <c r="E125" s="45" t="n">
        <v>3.2</v>
      </c>
      <c r="I125" s="78"/>
      <c r="J125" s="79"/>
    </row>
    <row r="126" customFormat="false" ht="15" hidden="false" customHeight="false" outlineLevel="0" collapsed="false">
      <c r="A126" s="55" t="s">
        <v>54</v>
      </c>
      <c r="B126" s="82" t="n">
        <v>0</v>
      </c>
      <c r="C126" s="83" t="n">
        <v>0</v>
      </c>
      <c r="D126" s="83" t="n">
        <v>0</v>
      </c>
      <c r="E126" s="45" t="n">
        <v>0</v>
      </c>
      <c r="I126" s="78"/>
      <c r="J126" s="79"/>
    </row>
    <row r="127" customFormat="false" ht="15" hidden="false" customHeight="false" outlineLevel="0" collapsed="false">
      <c r="A127" s="55" t="s">
        <v>55</v>
      </c>
      <c r="B127" s="82" t="n">
        <v>0</v>
      </c>
      <c r="C127" s="83" t="n">
        <v>0</v>
      </c>
      <c r="D127" s="83" t="n">
        <v>0</v>
      </c>
      <c r="E127" s="45" t="n">
        <v>0</v>
      </c>
      <c r="I127" s="78"/>
      <c r="J127" s="79"/>
    </row>
    <row r="128" customFormat="false" ht="15" hidden="false" customHeight="false" outlineLevel="0" collapsed="false">
      <c r="A128" s="55" t="s">
        <v>56</v>
      </c>
      <c r="B128" s="82" t="n">
        <v>0</v>
      </c>
      <c r="C128" s="83" t="n">
        <v>0</v>
      </c>
      <c r="D128" s="83" t="n">
        <v>0</v>
      </c>
      <c r="E128" s="45" t="n">
        <v>0</v>
      </c>
      <c r="I128" s="78"/>
      <c r="J128" s="79"/>
    </row>
    <row r="129" customFormat="false" ht="15" hidden="false" customHeight="false" outlineLevel="0" collapsed="false">
      <c r="A129" s="55" t="s">
        <v>57</v>
      </c>
      <c r="B129" s="82" t="n">
        <v>0</v>
      </c>
      <c r="C129" s="83" t="n">
        <v>0</v>
      </c>
      <c r="D129" s="83" t="n">
        <v>0</v>
      </c>
      <c r="E129" s="45" t="n">
        <v>0</v>
      </c>
      <c r="I129" s="78"/>
      <c r="J129" s="79"/>
    </row>
    <row r="130" customFormat="false" ht="15" hidden="false" customHeight="false" outlineLevel="0" collapsed="false">
      <c r="A130" s="55" t="s">
        <v>58</v>
      </c>
      <c r="B130" s="82" t="n">
        <v>0</v>
      </c>
      <c r="C130" s="83" t="n">
        <v>0</v>
      </c>
      <c r="D130" s="83" t="n">
        <v>0</v>
      </c>
      <c r="E130" s="45" t="n">
        <v>0</v>
      </c>
      <c r="I130" s="78"/>
      <c r="J130" s="79"/>
    </row>
    <row r="131" customFormat="false" ht="15" hidden="false" customHeight="false" outlineLevel="0" collapsed="false">
      <c r="A131" s="55" t="s">
        <v>59</v>
      </c>
      <c r="B131" s="82" t="n">
        <v>0</v>
      </c>
      <c r="C131" s="83" t="n">
        <v>0</v>
      </c>
      <c r="D131" s="83" t="n">
        <v>0</v>
      </c>
      <c r="E131" s="45" t="n">
        <v>0</v>
      </c>
      <c r="I131" s="78"/>
      <c r="J131" s="79"/>
    </row>
    <row r="132" customFormat="false" ht="15" hidden="false" customHeight="false" outlineLevel="0" collapsed="false">
      <c r="A132" s="55" t="s">
        <v>60</v>
      </c>
      <c r="B132" s="82" t="n">
        <v>0</v>
      </c>
      <c r="C132" s="83" t="n">
        <v>0</v>
      </c>
      <c r="D132" s="83" t="n">
        <v>0</v>
      </c>
      <c r="E132" s="45" t="n">
        <v>0</v>
      </c>
      <c r="I132" s="78"/>
      <c r="J132" s="79"/>
    </row>
    <row r="133" customFormat="false" ht="15" hidden="false" customHeight="false" outlineLevel="0" collapsed="false">
      <c r="A133" s="55" t="s">
        <v>61</v>
      </c>
      <c r="B133" s="82" t="n">
        <v>0</v>
      </c>
      <c r="C133" s="83" t="n">
        <v>0</v>
      </c>
      <c r="D133" s="83" t="n">
        <v>0</v>
      </c>
      <c r="E133" s="45" t="n">
        <v>0</v>
      </c>
      <c r="I133" s="78"/>
      <c r="J133" s="79"/>
    </row>
    <row r="134" customFormat="false" ht="15" hidden="false" customHeight="false" outlineLevel="0" collapsed="false">
      <c r="A134" s="55" t="s">
        <v>62</v>
      </c>
      <c r="B134" s="82" t="n">
        <v>0</v>
      </c>
      <c r="C134" s="83" t="n">
        <v>0</v>
      </c>
      <c r="D134" s="83" t="n">
        <v>0</v>
      </c>
      <c r="E134" s="45" t="n">
        <v>0</v>
      </c>
      <c r="I134" s="78"/>
      <c r="J134" s="79"/>
    </row>
    <row r="135" customFormat="false" ht="15" hidden="false" customHeight="false" outlineLevel="0" collapsed="false">
      <c r="A135" s="55" t="s">
        <v>63</v>
      </c>
      <c r="B135" s="82" t="n">
        <v>0</v>
      </c>
      <c r="C135" s="83" t="n">
        <v>0</v>
      </c>
      <c r="D135" s="83" t="n">
        <v>0</v>
      </c>
      <c r="E135" s="45" t="n">
        <v>0</v>
      </c>
      <c r="I135" s="78"/>
      <c r="J135" s="79"/>
    </row>
    <row r="136" customFormat="false" ht="15" hidden="false" customHeight="false" outlineLevel="0" collapsed="false">
      <c r="A136" s="55" t="s">
        <v>64</v>
      </c>
      <c r="B136" s="82" t="n">
        <v>0</v>
      </c>
      <c r="C136" s="83" t="n">
        <v>0</v>
      </c>
      <c r="D136" s="83" t="n">
        <v>0</v>
      </c>
      <c r="E136" s="45" t="n">
        <v>0</v>
      </c>
      <c r="I136" s="78"/>
      <c r="J136" s="79"/>
    </row>
    <row r="137" customFormat="false" ht="15" hidden="false" customHeight="false" outlineLevel="0" collapsed="false">
      <c r="A137" s="55" t="s">
        <v>65</v>
      </c>
      <c r="B137" s="82" t="n">
        <v>0</v>
      </c>
      <c r="C137" s="83" t="n">
        <v>0</v>
      </c>
      <c r="D137" s="83" t="n">
        <v>0</v>
      </c>
      <c r="E137" s="45" t="n">
        <v>0</v>
      </c>
      <c r="I137" s="78"/>
      <c r="J137" s="79"/>
    </row>
    <row r="138" customFormat="false" ht="15" hidden="false" customHeight="false" outlineLevel="0" collapsed="false">
      <c r="A138" s="55" t="s">
        <v>66</v>
      </c>
      <c r="B138" s="82" t="n">
        <v>9.2</v>
      </c>
      <c r="C138" s="83" t="n">
        <v>9.2</v>
      </c>
      <c r="D138" s="83" t="n">
        <v>0</v>
      </c>
      <c r="E138" s="45" t="n">
        <v>0</v>
      </c>
      <c r="I138" s="78"/>
      <c r="J138" s="79"/>
    </row>
    <row r="139" customFormat="false" ht="15" hidden="false" customHeight="false" outlineLevel="0" collapsed="false">
      <c r="A139" s="55" t="s">
        <v>67</v>
      </c>
      <c r="B139" s="82" t="n">
        <v>0</v>
      </c>
      <c r="C139" s="83" t="n">
        <v>0</v>
      </c>
      <c r="D139" s="83" t="n">
        <v>0</v>
      </c>
      <c r="E139" s="45" t="n">
        <v>0</v>
      </c>
      <c r="I139" s="78"/>
      <c r="J139" s="79"/>
    </row>
    <row r="140" customFormat="false" ht="15" hidden="false" customHeight="false" outlineLevel="0" collapsed="false">
      <c r="A140" s="55" t="s">
        <v>68</v>
      </c>
      <c r="B140" s="82" t="n">
        <v>0</v>
      </c>
      <c r="C140" s="83" t="n">
        <v>0</v>
      </c>
      <c r="D140" s="83" t="n">
        <v>0</v>
      </c>
      <c r="E140" s="45" t="n">
        <v>0</v>
      </c>
      <c r="I140" s="78"/>
      <c r="J140" s="79"/>
    </row>
    <row r="141" customFormat="false" ht="15" hidden="false" customHeight="false" outlineLevel="0" collapsed="false">
      <c r="A141" s="55" t="s">
        <v>69</v>
      </c>
      <c r="B141" s="82" t="n">
        <v>0</v>
      </c>
      <c r="C141" s="83" t="n">
        <v>0</v>
      </c>
      <c r="D141" s="83" t="n">
        <v>0</v>
      </c>
      <c r="E141" s="45" t="n">
        <v>0</v>
      </c>
      <c r="I141" s="78"/>
      <c r="J141" s="79"/>
    </row>
    <row r="142" customFormat="false" ht="15" hidden="false" customHeight="false" outlineLevel="0" collapsed="false">
      <c r="A142" s="55" t="s">
        <v>70</v>
      </c>
      <c r="B142" s="82" t="n">
        <v>0</v>
      </c>
      <c r="C142" s="83" t="n">
        <v>0</v>
      </c>
      <c r="D142" s="83" t="n">
        <v>0</v>
      </c>
      <c r="E142" s="45" t="n">
        <v>0</v>
      </c>
      <c r="I142" s="84"/>
      <c r="J142" s="79"/>
    </row>
    <row r="143" customFormat="false" ht="15" hidden="false" customHeight="false" outlineLevel="0" collapsed="false">
      <c r="A143" s="42" t="s">
        <v>71</v>
      </c>
      <c r="B143" s="82" t="n">
        <v>0</v>
      </c>
      <c r="C143" s="83" t="n">
        <v>0</v>
      </c>
      <c r="D143" s="83" t="n">
        <v>0</v>
      </c>
      <c r="E143" s="45" t="n">
        <v>98</v>
      </c>
      <c r="I143" s="78"/>
      <c r="J143" s="79"/>
    </row>
    <row r="144" customFormat="false" ht="15" hidden="false" customHeight="false" outlineLevel="0" collapsed="false">
      <c r="A144" s="42" t="s">
        <v>90</v>
      </c>
      <c r="B144" s="82" t="n">
        <v>0</v>
      </c>
      <c r="C144" s="83" t="n">
        <v>0</v>
      </c>
      <c r="D144" s="83" t="n">
        <v>2.56</v>
      </c>
      <c r="E144" s="45" t="n">
        <v>0</v>
      </c>
      <c r="I144" s="78"/>
      <c r="J144" s="79"/>
    </row>
    <row r="145" customFormat="false" ht="15" hidden="false" customHeight="false" outlineLevel="0" collapsed="false">
      <c r="A145" s="55" t="s">
        <v>73</v>
      </c>
      <c r="B145" s="82" t="n">
        <v>0</v>
      </c>
      <c r="C145" s="83" t="n">
        <v>0</v>
      </c>
      <c r="D145" s="83" t="n">
        <v>0.04</v>
      </c>
      <c r="E145" s="45" t="n">
        <v>0.014</v>
      </c>
      <c r="I145" s="78"/>
      <c r="J145" s="79"/>
    </row>
    <row r="146" customFormat="false" ht="15" hidden="false" customHeight="false" outlineLevel="0" collapsed="false">
      <c r="A146" s="55" t="s">
        <v>74</v>
      </c>
      <c r="B146" s="82" t="n">
        <v>0</v>
      </c>
      <c r="C146" s="83" t="n">
        <v>0</v>
      </c>
      <c r="D146" s="83" t="n">
        <v>0</v>
      </c>
      <c r="E146" s="45" t="n">
        <v>0</v>
      </c>
      <c r="I146" s="78"/>
      <c r="J146" s="79"/>
    </row>
    <row r="147" customFormat="false" ht="15" hidden="false" customHeight="false" outlineLevel="0" collapsed="false">
      <c r="A147" s="55" t="s">
        <v>75</v>
      </c>
      <c r="B147" s="82" t="n">
        <v>0</v>
      </c>
      <c r="C147" s="83" t="n">
        <v>0</v>
      </c>
      <c r="D147" s="83" t="n">
        <v>0</v>
      </c>
      <c r="E147" s="45" t="n">
        <v>0</v>
      </c>
      <c r="I147" s="78"/>
      <c r="J147" s="79"/>
    </row>
    <row r="148" customFormat="false" ht="15" hidden="false" customHeight="false" outlineLevel="0" collapsed="false">
      <c r="A148" s="55" t="s">
        <v>76</v>
      </c>
      <c r="B148" s="82" t="n">
        <v>0</v>
      </c>
      <c r="C148" s="83" t="n">
        <v>0</v>
      </c>
      <c r="D148" s="83" t="n">
        <v>0</v>
      </c>
      <c r="E148" s="45" t="n">
        <v>0</v>
      </c>
      <c r="I148" s="78"/>
      <c r="J148" s="79"/>
    </row>
    <row r="149" customFormat="false" ht="15" hidden="false" customHeight="false" outlineLevel="0" collapsed="false">
      <c r="A149" s="55" t="s">
        <v>77</v>
      </c>
      <c r="B149" s="82" t="n">
        <v>0</v>
      </c>
      <c r="C149" s="83" t="n">
        <v>0</v>
      </c>
      <c r="D149" s="83" t="n">
        <v>0</v>
      </c>
      <c r="E149" s="45" t="n">
        <v>0</v>
      </c>
      <c r="I149" s="78"/>
      <c r="J149" s="79"/>
    </row>
    <row r="150" customFormat="false" ht="15" hidden="false" customHeight="false" outlineLevel="0" collapsed="false">
      <c r="A150" s="42" t="s">
        <v>91</v>
      </c>
      <c r="B150" s="82" t="n">
        <v>0</v>
      </c>
      <c r="C150" s="83" t="n">
        <v>0</v>
      </c>
      <c r="D150" s="83" t="n">
        <v>0</v>
      </c>
      <c r="E150" s="45" t="n">
        <v>2000</v>
      </c>
      <c r="I150" s="78"/>
      <c r="J150" s="79"/>
    </row>
    <row r="151" customFormat="false" ht="15" hidden="false" customHeight="false" outlineLevel="0" collapsed="false">
      <c r="A151" s="42" t="s">
        <v>79</v>
      </c>
      <c r="B151" s="82" t="n">
        <v>0</v>
      </c>
      <c r="C151" s="83" t="n">
        <v>0</v>
      </c>
      <c r="D151" s="83" t="n">
        <v>0</v>
      </c>
      <c r="E151" s="45" t="n">
        <v>0</v>
      </c>
      <c r="I151" s="78"/>
      <c r="J151" s="79"/>
    </row>
    <row r="152" customFormat="false" ht="15" hidden="false" customHeight="false" outlineLevel="0" collapsed="false">
      <c r="A152" s="42" t="s">
        <v>80</v>
      </c>
      <c r="B152" s="82" t="n">
        <v>0</v>
      </c>
      <c r="C152" s="83" t="n">
        <v>0</v>
      </c>
      <c r="D152" s="83" t="n">
        <v>0</v>
      </c>
      <c r="E152" s="45" t="n">
        <v>0</v>
      </c>
      <c r="I152" s="78"/>
      <c r="J152" s="79"/>
    </row>
    <row r="153" customFormat="false" ht="15" hidden="false" customHeight="false" outlineLevel="0" collapsed="false">
      <c r="A153" s="42" t="s">
        <v>81</v>
      </c>
      <c r="B153" s="82" t="n">
        <v>0</v>
      </c>
      <c r="C153" s="83" t="n">
        <v>0</v>
      </c>
      <c r="D153" s="83" t="n">
        <v>0</v>
      </c>
      <c r="E153" s="45" t="n">
        <v>0</v>
      </c>
      <c r="I153" s="78"/>
      <c r="J153" s="79"/>
    </row>
    <row r="154" customFormat="false" ht="15" hidden="false" customHeight="false" outlineLevel="0" collapsed="false">
      <c r="A154" s="42" t="s">
        <v>82</v>
      </c>
      <c r="B154" s="82" t="n">
        <v>0</v>
      </c>
      <c r="C154" s="83" t="n">
        <v>0</v>
      </c>
      <c r="D154" s="83" t="n">
        <v>0</v>
      </c>
      <c r="E154" s="45" t="n">
        <v>0</v>
      </c>
      <c r="I154" s="78"/>
      <c r="J154" s="79"/>
    </row>
    <row r="155" customFormat="false" ht="15" hidden="false" customHeight="false" outlineLevel="0" collapsed="false">
      <c r="A155" s="42" t="s">
        <v>83</v>
      </c>
      <c r="B155" s="82" t="n">
        <v>0</v>
      </c>
      <c r="C155" s="83" t="n">
        <v>0</v>
      </c>
      <c r="D155" s="83" t="n">
        <v>0</v>
      </c>
      <c r="E155" s="45" t="n">
        <v>0</v>
      </c>
      <c r="I155" s="78"/>
      <c r="J155" s="79"/>
    </row>
    <row r="156" customFormat="false" ht="15" hidden="false" customHeight="false" outlineLevel="0" collapsed="false">
      <c r="A156" s="85" t="s">
        <v>84</v>
      </c>
      <c r="B156" s="86" t="n">
        <v>0</v>
      </c>
      <c r="C156" s="87" t="n">
        <v>0</v>
      </c>
      <c r="D156" s="87" t="n">
        <v>0</v>
      </c>
      <c r="E156" s="88" t="n">
        <v>0</v>
      </c>
      <c r="I156" s="78"/>
      <c r="J156" s="79"/>
    </row>
    <row r="157" customFormat="false" ht="15" hidden="false" customHeight="false" outlineLevel="0" collapsed="false">
      <c r="A157" s="89" t="s">
        <v>92</v>
      </c>
      <c r="B157" s="80" t="n">
        <v>0</v>
      </c>
      <c r="C157" s="69" t="n">
        <v>0</v>
      </c>
      <c r="D157" s="69" t="n">
        <v>0</v>
      </c>
      <c r="E157" s="90" t="n">
        <v>12000000</v>
      </c>
      <c r="I157" s="91" t="n">
        <v>0.0025</v>
      </c>
      <c r="J157" s="79"/>
    </row>
    <row r="158" customFormat="false" ht="15" hidden="false" customHeight="false" outlineLevel="0" collapsed="false">
      <c r="A158" s="92" t="s">
        <v>93</v>
      </c>
      <c r="B158" s="93" t="n">
        <v>0</v>
      </c>
      <c r="C158" s="71" t="n">
        <v>0</v>
      </c>
      <c r="D158" s="71" t="n">
        <v>20000</v>
      </c>
      <c r="E158" s="62" t="n">
        <v>500000</v>
      </c>
      <c r="I158" s="94" t="n">
        <v>0.025</v>
      </c>
      <c r="J158" s="79"/>
    </row>
    <row r="159" customFormat="false" ht="15" hidden="false" customHeight="false" outlineLevel="0" collapsed="false">
      <c r="A159" s="95"/>
      <c r="E159" s="2"/>
      <c r="J159" s="96"/>
    </row>
    <row r="160" customFormat="false" ht="15" hidden="false" customHeight="false" outlineLevel="0" collapsed="false">
      <c r="A160" s="97" t="s">
        <v>94</v>
      </c>
      <c r="B160" s="98" t="n">
        <v>0.02</v>
      </c>
      <c r="C160" s="98" t="n">
        <v>0.02</v>
      </c>
      <c r="D160" s="99" t="n">
        <v>0.005</v>
      </c>
      <c r="E160" s="98" t="n">
        <v>0.1</v>
      </c>
    </row>
    <row r="161" customFormat="false" ht="15" hidden="false" customHeight="false" outlineLevel="0" collapsed="false">
      <c r="A161" s="97" t="s">
        <v>95</v>
      </c>
      <c r="B161" s="98" t="n">
        <f aca="false">D161</f>
        <v>0.1</v>
      </c>
      <c r="C161" s="98" t="n">
        <f aca="false">B161</f>
        <v>0.1</v>
      </c>
      <c r="D161" s="98" t="n">
        <f aca="false">E161</f>
        <v>0.1</v>
      </c>
      <c r="E161" s="98" t="n">
        <v>0.1</v>
      </c>
      <c r="F161" s="98" t="n">
        <v>0.1</v>
      </c>
    </row>
    <row r="162" customFormat="false" ht="15" hidden="false" customHeight="false" outlineLevel="0" collapsed="false">
      <c r="A162" s="100"/>
    </row>
    <row r="164" customFormat="false" ht="15" hidden="false" customHeight="false" outlineLevel="0" collapsed="false">
      <c r="A164" s="3"/>
    </row>
  </sheetData>
  <mergeCells count="1">
    <mergeCell ref="B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2021-10-19T08:10:42Z</dcterms:created>
  <dc:creator>Roger</dc:creator>
  <dc:description/>
  <dc:language>ca-ES</dc:language>
  <cp:lastModifiedBy/>
  <dcterms:modified xsi:type="dcterms:W3CDTF">2025-12-16T10:24:15Z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