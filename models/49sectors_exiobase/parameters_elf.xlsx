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Feina_CREAF\06.Git_Repos\pymedeas2_vensim\models_for_pymedeas2\"/>
    </mc:Choice>
  </mc:AlternateContent>
  <xr:revisionPtr revIDLastSave="0" documentId="13_ncr:1_{EFBD39AE-6D6F-4FD1-B81F-CAF34AA400EF}" xr6:coauthVersionLast="47" xr6:coauthVersionMax="47" xr10:uidLastSave="{00000000-0000-0000-0000-000000000000}"/>
  <bookViews>
    <workbookView xWindow="-120" yWindow="-120" windowWidth="29040" windowHeight="13995" tabRatio="500" activeTab="1" xr2:uid="{00000000-000D-0000-FFFF-FFFF00000000}"/>
  </bookViews>
  <sheets>
    <sheet name="Global" sheetId="1" r:id="rId1"/>
    <sheet name="World" sheetId="2" r:id="rId2"/>
    <sheet name="Europe" sheetId="3" r:id="rId3"/>
    <sheet name="Catalonia" sheetId="4" r:id="rId4"/>
  </sheets>
  <definedNames>
    <definedName name="accessible_runnoff_water" localSheetId="3">Catalonia!$C$17</definedName>
    <definedName name="accessible_runnoff_water" localSheetId="2">Europe!$C$22</definedName>
    <definedName name="accessible_runnoff_water" localSheetId="1">World!$C$22</definedName>
    <definedName name="afforestation" localSheetId="3">Catalonia!$C$10:$X$10</definedName>
    <definedName name="afforestation" localSheetId="2">Europe!$C$14:$X$14</definedName>
    <definedName name="afforestation" localSheetId="1">World!#REF!</definedName>
    <definedName name="average_solar_I" localSheetId="2">Europe!$C$28</definedName>
    <definedName name="co2_luc" localSheetId="1">World!#REF!</definedName>
    <definedName name="cumulative_emissions_to_1995" localSheetId="3">Catalonia!#REF!</definedName>
    <definedName name="cumulative_emissions_to_1995" localSheetId="2">Europe!$C$16</definedName>
    <definedName name="cumulative_emissions_to_1995" localSheetId="1">World!$C$16</definedName>
    <definedName name="daily_working_hours" localSheetId="3">Catalonia!$C$13</definedName>
    <definedName name="daily_working_hours" localSheetId="2">Europe!$C$18</definedName>
    <definedName name="daily_working_hours" localSheetId="1">World!$C$18</definedName>
    <definedName name="damage_function_parameter_a" localSheetId="3">Catalonia!#REF!</definedName>
    <definedName name="damage_function_parameter_a" localSheetId="2">Europe!$O$9</definedName>
    <definedName name="damage_function_parameter_a" localSheetId="1">World!$C$27</definedName>
    <definedName name="damage_function_parameter_b" localSheetId="3">Catalonia!#REF!</definedName>
    <definedName name="damage_function_parameter_b" localSheetId="2">Europe!$O$10</definedName>
    <definedName name="damage_function_parameter_b" localSheetId="1">World!$C$28</definedName>
    <definedName name="employment_factor_biofuels" localSheetId="0">Global!$C$21</definedName>
    <definedName name="employment_factor_fuel_supply_solids_bioe" localSheetId="0">Global!$E$8</definedName>
    <definedName name="employment_factors_new_res_elec" localSheetId="0">Global!$C$6:$C$13</definedName>
    <definedName name="employment_factors_new_res_heat" localSheetId="0">Global!$C$17:$C$19</definedName>
    <definedName name="employment_factors_o_m_res_elec" localSheetId="0">Global!$D$6:$D$13</definedName>
    <definedName name="employment_factors_o_m_res_heat" localSheetId="0">Global!$D$17:$D$19</definedName>
    <definedName name="end_historical_year" localSheetId="0">Global!$C$43</definedName>
    <definedName name="eol_rr_minerals_alt_techn_res_vs_total_economy" localSheetId="0">Global!$C$23</definedName>
    <definedName name="gch4_coal" localSheetId="0">Global!$C$37</definedName>
    <definedName name="gch4_conv_gas" localSheetId="0">Global!$C$35</definedName>
    <definedName name="gch4_ctl" localSheetId="0">Global!$C$39</definedName>
    <definedName name="gch4_gtl" localSheetId="0">Global!$C$40</definedName>
    <definedName name="gch4_oil" localSheetId="0">Global!$C$38</definedName>
    <definedName name="gch4_unconventional_gas" localSheetId="0">Global!$C$36</definedName>
    <definedName name="gco2_coal" localSheetId="0">Global!$C$29</definedName>
    <definedName name="gco2_conventional_gas" localSheetId="0">Global!$C$30</definedName>
    <definedName name="gco2_conventional_oil" localSheetId="0">Global!$C$31</definedName>
    <definedName name="gco2_ctl" localSheetId="0">Global!$C$27</definedName>
    <definedName name="gco2_gtl" localSheetId="0">Global!$C$28</definedName>
    <definedName name="gco2_shale_oil" localSheetId="0">Global!$C$34</definedName>
    <definedName name="gco2_unconventional_gas" localSheetId="0">Global!$C$32</definedName>
    <definedName name="gco2_unconventional_oil" localSheetId="0">Global!$C$33</definedName>
    <definedName name="global_arable_land" localSheetId="3">Catalonia!#REF!</definedName>
    <definedName name="global_arable_land" localSheetId="2">Europe!$C$9</definedName>
    <definedName name="global_arable_land" localSheetId="1">World!$C$9</definedName>
    <definedName name="historic_population" localSheetId="3">Catalonia!$C$2:$X$2</definedName>
    <definedName name="historic_population" localSheetId="2">Europe!$C$2:$X$2</definedName>
    <definedName name="historic_population" localSheetId="1">World!$C$2:$X$2</definedName>
    <definedName name="initial_population" localSheetId="3">Catalonia!$C$2</definedName>
    <definedName name="initial_population" localSheetId="2">Europe!$C$2</definedName>
    <definedName name="initial_population" localSheetId="1">World!$C$2</definedName>
    <definedName name="input_population" localSheetId="3">Catalonia!#REF!</definedName>
    <definedName name="input_population" localSheetId="2">Europe!$C$4:$H$4</definedName>
    <definedName name="input_population" localSheetId="1">World!$C$4:$H$4</definedName>
    <definedName name="maximum_recycling_rate_minerals" localSheetId="0">Global!$C$24</definedName>
    <definedName name="people_relying_on_traditional_biomass" localSheetId="3">Catalonia!$C$5</definedName>
    <definedName name="people_relying_on_traditional_biomass" localSheetId="2">Europe!$C$7</definedName>
    <definedName name="people_relying_on_traditional_biomass" localSheetId="1">World!$C$7</definedName>
    <definedName name="ratio_total_vs_direct_jobs_res_elec" localSheetId="0">Global!$B$6:$B$13</definedName>
    <definedName name="ratio_total_vs_direct_jobs_res_heat" localSheetId="0">Global!$B$17:$B$19</definedName>
    <definedName name="renewable_water_resources" localSheetId="3">Catalonia!$C$16</definedName>
    <definedName name="renewable_water_resources" localSheetId="2">Europe!$C$21</definedName>
    <definedName name="renewable_water_resources" localSheetId="1">World!$C$21</definedName>
    <definedName name="time_afforestation" localSheetId="3">Catalonia!$C$9:$X$9</definedName>
    <definedName name="time_afforestation" localSheetId="2">Europe!$C$13:$X$13</definedName>
    <definedName name="time_afforestation" localSheetId="1">World!#REF!</definedName>
    <definedName name="time_historic_population" localSheetId="3">Catalonia!$C$1:$X$1</definedName>
    <definedName name="time_historic_population" localSheetId="2">Europe!$C$1:$X$1</definedName>
    <definedName name="time_historic_population" localSheetId="1">World!$C$1:$X$1</definedName>
    <definedName name="time_index_projection" localSheetId="3">Catalonia!#REF!</definedName>
    <definedName name="time_index_projection" localSheetId="2">Europe!$C$3:$H$3</definedName>
    <definedName name="time_index_projection" localSheetId="1">World!$C$3:$H$3</definedName>
    <definedName name="tped_acceptable_standard_living" localSheetId="1">World!$C$13</definedName>
    <definedName name="tpefpc_threshold_high_development" localSheetId="1">World!$C$12</definedName>
    <definedName name="urban_surface_2008" localSheetId="3">Catalonia!#REF!</definedName>
    <definedName name="urban_surface_2008" localSheetId="2">Europe!$C$10</definedName>
    <definedName name="urban_surface_2008" localSheetId="1">World!$C$10</definedName>
    <definedName name="years_co2_luc" localSheetId="1">World!#REF!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7" i="4" l="1"/>
  <c r="E9" i="4"/>
  <c r="F9" i="4" s="1"/>
  <c r="G9" i="4" s="1"/>
  <c r="H9" i="4" s="1"/>
  <c r="I9" i="4" s="1"/>
  <c r="J9" i="4" s="1"/>
  <c r="K9" i="4" s="1"/>
  <c r="L9" i="4" s="1"/>
  <c r="M9" i="4" s="1"/>
  <c r="N9" i="4" s="1"/>
  <c r="O9" i="4" s="1"/>
  <c r="P9" i="4" s="1"/>
  <c r="Q9" i="4" s="1"/>
  <c r="R9" i="4" s="1"/>
  <c r="S9" i="4" s="1"/>
  <c r="T9" i="4" s="1"/>
  <c r="U9" i="4" s="1"/>
  <c r="V9" i="4" s="1"/>
  <c r="W9" i="4" s="1"/>
  <c r="X9" i="4" s="1"/>
  <c r="E13" i="3"/>
  <c r="F13" i="3" s="1"/>
  <c r="G13" i="3" s="1"/>
  <c r="H13" i="3" s="1"/>
  <c r="I13" i="3" s="1"/>
  <c r="J13" i="3" s="1"/>
  <c r="K13" i="3" s="1"/>
  <c r="L13" i="3" s="1"/>
  <c r="M13" i="3" s="1"/>
  <c r="N13" i="3" s="1"/>
  <c r="O13" i="3" s="1"/>
  <c r="P13" i="3" s="1"/>
  <c r="Q13" i="3" s="1"/>
  <c r="R13" i="3" s="1"/>
  <c r="S13" i="3" s="1"/>
  <c r="T13" i="3" s="1"/>
  <c r="U13" i="3" s="1"/>
  <c r="V13" i="3" s="1"/>
  <c r="W13" i="3" s="1"/>
  <c r="X13" i="3" s="1"/>
  <c r="D3" i="3"/>
  <c r="E3" i="3" s="1"/>
  <c r="F3" i="3" s="1"/>
  <c r="G3" i="3" s="1"/>
  <c r="H3" i="3" s="1"/>
  <c r="D3" i="2"/>
  <c r="E3" i="2" s="1"/>
  <c r="F3" i="2" s="1"/>
  <c r="G3" i="2" s="1"/>
  <c r="H3" i="2" s="1"/>
  <c r="C23" i="1"/>
  <c r="D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derived from MEDEAS results for direct jobs and taking IRENA 2017 as a reference for the total jobs (direct+indirect)</t>
        </r>
      </text>
    </comment>
    <comment ref="C3" authorId="0" shapeId="0" xr:uid="{00000000-0006-0000-0000-000002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Energy [G]eneration 2015, Greenpeace
and REN21 (2017)</t>
        </r>
      </text>
    </comment>
    <comment ref="C4" authorId="0" shapeId="0" xr:uid="{00000000-0006-0000-0000-000003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Construction+installation+manufacturing</t>
        </r>
      </text>
    </comment>
    <comment ref="C6" authorId="0" shapeId="0" xr:uid="{00000000-0006-0000-0000-000004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Hydro large</t>
        </r>
      </text>
    </comment>
    <comment ref="D6" authorId="0" shapeId="0" xr:uid="{00000000-0006-0000-0000-000005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hydro large</t>
        </r>
      </text>
    </comment>
    <comment ref="B8" authorId="0" shapeId="0" xr:uid="{00000000-0006-0000-0000-000006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discrepancia con datos de IRENA, quizás por incluir datos comercial+no-comercial en MEDEAS</t>
        </r>
      </text>
    </comment>
    <comment ref="E8" authorId="0" shapeId="0" xr:uid="{00000000-0006-0000-0000-000007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Greenpeace Energy [R]evolution 2015</t>
        </r>
      </text>
    </comment>
    <comment ref="B9" authorId="0" shapeId="0" xr:uid="{00000000-0006-0000-0000-000008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no data available in IRENA (2017)</t>
        </r>
      </text>
    </comment>
    <comment ref="B19" authorId="0" shapeId="0" xr:uid="{00000000-0006-0000-0000-000009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discrepancia con datos de IRENA, quizás por incluir datos comercial+no-comercial en MEDEAS</t>
        </r>
      </text>
    </comment>
    <comment ref="C21" authorId="0" shapeId="0" xr:uid="{00000000-0006-0000-0000-00000A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direct+indirect jobs. Derived from ÏRENA 2017</t>
        </r>
      </text>
    </comment>
    <comment ref="C24" authorId="0" shapeId="0" xr:uid="{00000000-0006-0000-0000-00000B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scenario 1 from (Ragnarsdóttir et al., 2012)</t>
        </r>
      </text>
    </comment>
    <comment ref="A27" authorId="0" shapeId="0" xr:uid="{00000000-0006-0000-0000-00000C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Brandt and Farrell (2007)</t>
        </r>
      </text>
    </comment>
    <comment ref="A28" authorId="0" shapeId="0" xr:uid="{00000000-0006-0000-0000-00000D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Brandt and Farrell (2007)</t>
        </r>
      </text>
    </comment>
    <comment ref="A29" authorId="0" shapeId="0" xr:uid="{00000000-0006-0000-0000-00000E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BP Statistical Review of World Energy (2013)</t>
        </r>
      </text>
    </comment>
    <comment ref="A30" authorId="0" shapeId="0" xr:uid="{00000000-0006-0000-0000-00000F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BP Statistical Review of World Energy (2013)</t>
        </r>
      </text>
    </comment>
    <comment ref="A31" authorId="0" shapeId="0" xr:uid="{00000000-0006-0000-0000-000010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BP Statistical Review of World Energy (2013)</t>
        </r>
      </text>
    </comment>
    <comment ref="A32" authorId="0" shapeId="0" xr:uid="{00000000-0006-0000-0000-000011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Howarth (2015) Fig. 2
Same as for conventional gas</t>
        </r>
      </text>
    </comment>
    <comment ref="A33" authorId="0" shapeId="0" xr:uid="{00000000-0006-0000-0000-000012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Brandt and Farrell (2007)</t>
        </r>
      </text>
    </comment>
    <comment ref="A34" authorId="0" shapeId="0" xr:uid="{00000000-0006-0000-0000-000013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Brandt and Farrell (2007)</t>
        </r>
      </text>
    </comment>
    <comment ref="A35" authorId="0" shapeId="0" xr:uid="{00000000-0006-0000-0000-000014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Howarth (2015) Fig. 2</t>
        </r>
      </text>
    </comment>
    <comment ref="A36" authorId="0" shapeId="0" xr:uid="{00000000-0006-0000-0000-000015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Howarth (2015) Fig. 2</t>
        </r>
      </text>
    </comment>
    <comment ref="A43" authorId="0" shapeId="0" xr:uid="{00000000-0006-0000-0000-000016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Brandt and Farrell (2007)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100-000001000000}">
      <text>
        <r>
          <rPr>
            <sz val="11"/>
            <color rgb="FF000000"/>
            <rFont val="Calibri"/>
            <family val="2"/>
            <charset val="1"/>
          </rPr>
          <t xml:space="preserve">IdB: World Bank
</t>
        </r>
      </text>
    </comment>
    <comment ref="A7" authorId="0" shapeId="0" xr:uid="{00000000-0006-0000-0100-000002000000}">
      <text>
        <r>
          <rPr>
            <sz val="11"/>
            <color rgb="FF000000"/>
            <rFont val="Calibri"/>
            <family val="2"/>
            <charset val="1"/>
          </rPr>
          <t xml:space="preserve">IdB:
</t>
        </r>
        <r>
          <rPr>
            <sz val="9"/>
            <color rgb="FF000000"/>
            <rFont val="Tahoma"/>
            <family val="2"/>
            <charset val="1"/>
          </rPr>
          <t xml:space="preserve">(WEO, 2010)
</t>
        </r>
      </text>
    </comment>
    <comment ref="A9" authorId="0" shapeId="0" xr:uid="{00000000-0006-0000-0100-000003000000}">
      <text>
        <r>
          <rPr>
            <sz val="11"/>
            <color rgb="FF000000"/>
            <rFont val="Calibri"/>
            <family val="2"/>
            <charset val="1"/>
          </rPr>
          <t xml:space="preserve">IdB:
</t>
        </r>
        <r>
          <rPr>
            <sz val="9"/>
            <color rgb="FF000000"/>
            <rFont val="Tahoma"/>
            <family val="2"/>
            <charset val="1"/>
          </rPr>
          <t>FAOSTAT).</t>
        </r>
      </text>
    </comment>
    <comment ref="A10" authorId="0" shapeId="0" xr:uid="{00000000-0006-0000-0100-000004000000}">
      <text>
        <r>
          <rPr>
            <sz val="11"/>
            <color rgb="FF000000"/>
            <rFont val="Calibri"/>
            <family val="2"/>
            <charset val="1"/>
          </rPr>
          <t xml:space="preserve">IdB:
</t>
        </r>
        <r>
          <rPr>
            <sz val="9"/>
            <color rgb="FF000000"/>
            <rFont val="Tahoma"/>
            <family val="2"/>
            <charset val="1"/>
          </rPr>
          <t>(Wackernagel et al., 2002; WWF, 2008; Young, 1999).</t>
        </r>
      </text>
    </comment>
    <comment ref="A12" authorId="0" shapeId="0" xr:uid="{00000000-0006-0000-0100-000005000000}">
      <text>
        <r>
          <rPr>
            <sz val="11"/>
            <color rgb="FF000000"/>
            <rFont val="Calibri"/>
            <family val="2"/>
            <charset val="1"/>
          </rPr>
          <t xml:space="preserve">IdB:
</t>
        </r>
        <r>
          <rPr>
            <sz val="9"/>
            <color rgb="FF000000"/>
            <rFont val="Tahoma"/>
            <family val="2"/>
            <charset val="1"/>
          </rPr>
          <t>Arto et al., (2016)</t>
        </r>
      </text>
    </comment>
    <comment ref="A13" authorId="0" shapeId="0" xr:uid="{00000000-0006-0000-0100-000006000000}">
      <text>
        <r>
          <rPr>
            <sz val="11"/>
            <color rgb="FF000000"/>
            <rFont val="Calibri"/>
            <family val="2"/>
            <charset val="1"/>
          </rPr>
          <t xml:space="preserve">IdB:
</t>
        </r>
        <r>
          <rPr>
            <sz val="9"/>
            <color rgb="FF000000"/>
            <rFont val="Tahoma"/>
            <family val="2"/>
            <charset val="1"/>
          </rPr>
          <t>(Goldemberg, 2011; Rao et al, 2014, WBGU,2003)</t>
        </r>
      </text>
    </comment>
    <comment ref="A16" authorId="0" shapeId="0" xr:uid="{00000000-0006-0000-0100-000007000000}">
      <text>
        <r>
          <rPr>
            <sz val="11"/>
            <color rgb="FF000000"/>
            <rFont val="Calibri"/>
            <family val="2"/>
            <charset val="1"/>
          </rPr>
          <t xml:space="preserve">IdB:  Data from CDIAC and World Resources Institute
</t>
        </r>
      </text>
    </comment>
    <comment ref="A21" authorId="0" shapeId="0" xr:uid="{00000000-0006-0000-0100-000008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 xml:space="preserve">Reference: http://unesdoc.unesco.org/images/0018/001819/181993e.pdf </t>
        </r>
      </text>
    </comment>
    <comment ref="A22" authorId="0" shapeId="0" xr:uid="{00000000-0006-0000-0100-000009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</rPr>
          <t>Accessible runoff UN (2003)</t>
        </r>
      </text>
    </comment>
    <comment ref="A27" authorId="0" shapeId="0" xr:uid="{00000000-0006-0000-0100-00000A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a: cuando el daño equivalente al nivel del ppm es del 50%</t>
        </r>
      </text>
    </comment>
    <comment ref="C27" authorId="0" shapeId="0" xr:uid="{00000000-0006-0000-0100-00000B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own estimation</t>
        </r>
      </text>
    </comment>
    <comment ref="A28" authorId="0" shapeId="0" xr:uid="{00000000-0006-0000-0100-00000C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b: cuanto más pequeño es b más bruscamente se alcanza el 100% de damage</t>
        </r>
      </text>
    </comment>
    <comment ref="C28" authorId="0" shapeId="0" xr:uid="{00000000-0006-0000-0100-00000D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own estimation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200-000001000000}">
      <text>
        <r>
          <rPr>
            <sz val="11"/>
            <color rgb="FF000000"/>
            <rFont val="Calibri"/>
            <family val="2"/>
            <charset val="1"/>
          </rPr>
          <t xml:space="preserve">Enric: European comission
</t>
        </r>
      </text>
    </comment>
    <comment ref="A7" authorId="0" shapeId="0" xr:uid="{00000000-0006-0000-0200-000002000000}">
      <text>
        <r>
          <rPr>
            <sz val="11"/>
            <color rgb="FF000000"/>
            <rFont val="Calibri"/>
            <family val="2"/>
            <charset val="1"/>
          </rPr>
          <t xml:space="preserve">IdB:
</t>
        </r>
        <r>
          <rPr>
            <sz val="9"/>
            <color rgb="FF000000"/>
            <rFont val="Tahoma"/>
            <family val="2"/>
            <charset val="1"/>
          </rPr>
          <t xml:space="preserve">(WEO, 2010)
</t>
        </r>
      </text>
    </comment>
    <comment ref="A14" authorId="0" shapeId="0" xr:uid="{00000000-0006-0000-0200-000003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Nilsson &amp; Schopfhauser (1995)</t>
        </r>
      </text>
    </comment>
    <comment ref="C16" authorId="0" shapeId="0" xr:uid="{00000000-0006-0000-0200-000004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not found</t>
        </r>
      </text>
    </comment>
    <comment ref="A21" authorId="0" shapeId="0" xr:uid="{00000000-0006-0000-0200-000005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 xml:space="preserve">Reference: http://unesdoc.unesco.org/images/0018/001819/181993e.pdf </t>
        </r>
      </text>
    </comment>
    <comment ref="A22" authorId="0" shapeId="0" xr:uid="{00000000-0006-0000-0200-000006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</rPr>
          <t>Accessible runoff UN (2003)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300-000001000000}">
      <text>
        <r>
          <rPr>
            <sz val="11"/>
            <color rgb="FF000000"/>
            <rFont val="Calibri"/>
            <family val="2"/>
          </rPr>
          <t xml:space="preserve">Enric: From IDESCAT
</t>
        </r>
      </text>
    </comment>
    <comment ref="A16" authorId="0" shapeId="0" xr:uid="{00000000-0006-0000-0300-000002000000}">
      <text>
        <r>
          <rPr>
            <sz val="11"/>
            <color rgb="FF000000"/>
            <rFont val="Calibri"/>
            <family val="2"/>
            <charset val="1"/>
          </rPr>
          <t xml:space="preserve">Enric: From CEDEX, 2000
</t>
        </r>
      </text>
    </comment>
    <comment ref="A17" authorId="0" shapeId="0" xr:uid="{00000000-0006-0000-0300-000003000000}">
      <text>
        <r>
          <rPr>
            <sz val="11"/>
            <color rgb="FF000000"/>
            <rFont val="Calibri"/>
            <family val="2"/>
            <charset val="1"/>
          </rPr>
          <t xml:space="preserve">ENRIC: Own calculation from CEDEX data
</t>
        </r>
      </text>
    </comment>
  </commentList>
</comments>
</file>

<file path=xl/sharedStrings.xml><?xml version="1.0" encoding="utf-8"?>
<sst xmlns="http://schemas.openxmlformats.org/spreadsheetml/2006/main" count="144" uniqueCount="88">
  <si>
    <t>Jobs</t>
  </si>
  <si>
    <t>ratio total vs direct jobs</t>
  </si>
  <si>
    <t>Employment factors RES (direct jobs)</t>
  </si>
  <si>
    <t>Type</t>
  </si>
  <si>
    <t>C+I+M</t>
  </si>
  <si>
    <t>O&amp;M</t>
  </si>
  <si>
    <t>Fuel supply</t>
  </si>
  <si>
    <t>Dmnl</t>
  </si>
  <si>
    <t>job year/MW</t>
  </si>
  <si>
    <t>jobs/EJ</t>
  </si>
  <si>
    <t>Hydro</t>
  </si>
  <si>
    <t>Geothermal</t>
  </si>
  <si>
    <t>Solid bioenergy for electricity</t>
  </si>
  <si>
    <t>Oceanic</t>
  </si>
  <si>
    <t>Wind onshore</t>
  </si>
  <si>
    <t>Wind offshore</t>
  </si>
  <si>
    <t>Solar PV</t>
  </si>
  <si>
    <t>CSP</t>
  </si>
  <si>
    <t>Nuclear</t>
  </si>
  <si>
    <t>-</t>
  </si>
  <si>
    <t>solar for heat</t>
  </si>
  <si>
    <t>geothermal for heat</t>
  </si>
  <si>
    <t>Solid bioenergy for heat</t>
  </si>
  <si>
    <t>jobs/EJ of final fuel</t>
  </si>
  <si>
    <t>EOL-RR minerals alt techn RES vs. total economy</t>
  </si>
  <si>
    <t>Max recycling rates minerals</t>
  </si>
  <si>
    <t>Emissions and climate parameters</t>
  </si>
  <si>
    <t>GtCO2 per Mtoe CTL</t>
  </si>
  <si>
    <t>gCO2/MJ</t>
  </si>
  <si>
    <t>GtCO2 per Mtoe GTL</t>
  </si>
  <si>
    <t>GtCO2 per Mtoe coal</t>
  </si>
  <si>
    <t>GTCO2 per Mtoe conv gas</t>
  </si>
  <si>
    <t>GTCO2 per Mtoe conv oil</t>
  </si>
  <si>
    <t>GtCO2 per Mtoe unconv gas</t>
  </si>
  <si>
    <t>GtCO2 per Mtoe unconv oil</t>
  </si>
  <si>
    <t>GtCO2 per Mtoe shale oil</t>
  </si>
  <si>
    <t>gCH4/MJ conventional gas</t>
  </si>
  <si>
    <t>gCH4/MJ</t>
  </si>
  <si>
    <t>gCH4/MJ unconventional gas</t>
  </si>
  <si>
    <t>gCH4/MJ coal</t>
  </si>
  <si>
    <t>gCH4/MJ oil</t>
  </si>
  <si>
    <t>gCH4/MJ CTL</t>
  </si>
  <si>
    <t>gCH4/MJ GTL</t>
  </si>
  <si>
    <t>End Historicall data</t>
  </si>
  <si>
    <t>Last year historical data</t>
  </si>
  <si>
    <t>Year</t>
  </si>
  <si>
    <t>Historic pop</t>
  </si>
  <si>
    <t>people</t>
  </si>
  <si>
    <t>Population projection</t>
  </si>
  <si>
    <t>Based on SSP2</t>
  </si>
  <si>
    <t>Mpleople</t>
  </si>
  <si>
    <t>BioEnergy</t>
  </si>
  <si>
    <t>People relying trad biomass ref</t>
  </si>
  <si>
    <t>Land use</t>
  </si>
  <si>
    <t>Global arable land</t>
  </si>
  <si>
    <t>MHa</t>
  </si>
  <si>
    <t>urban surface 2008</t>
  </si>
  <si>
    <t>Others</t>
  </si>
  <si>
    <t>TPEFpc threshold high development</t>
  </si>
  <si>
    <t>GJ/people</t>
  </si>
  <si>
    <t>TPED acceptable standard living</t>
  </si>
  <si>
    <t>Afforestation program</t>
  </si>
  <si>
    <t>MtC/yr</t>
  </si>
  <si>
    <t>Cumulative emissions 1751-1995</t>
  </si>
  <si>
    <t>GtC</t>
  </si>
  <si>
    <t>Working hours per day</t>
  </si>
  <si>
    <t>hours</t>
  </si>
  <si>
    <t>Water</t>
  </si>
  <si>
    <t>Renewable water resources</t>
  </si>
  <si>
    <t>km3</t>
  </si>
  <si>
    <t>AR water</t>
  </si>
  <si>
    <t>Equation</t>
  </si>
  <si>
    <t>1-1/(1+EXP((CLIMATE VARIABLE-a logistic)/b logistic))</t>
  </si>
  <si>
    <t>Damage function</t>
  </si>
  <si>
    <t>Climate variable</t>
  </si>
  <si>
    <t>Logistic equation</t>
  </si>
  <si>
    <t>Concentrations</t>
  </si>
  <si>
    <t>Temp. Change</t>
  </si>
  <si>
    <t>a logistic</t>
  </si>
  <si>
    <t>b logistic</t>
  </si>
  <si>
    <t>in Europe, urban surface 2015 is defined in the Land tab</t>
  </si>
  <si>
    <t>in Europe, TPEFpc threshold high developmen is defined in the Result comparison tab</t>
  </si>
  <si>
    <t>in Europe, TPEDpc acceptable standard living is defined in the Results comparison tab</t>
  </si>
  <si>
    <t>in Europe, Past trends CO2 LUCF (here called Land use change emissions GtCO2) is defined in the Constants tab, and is not a projection</t>
  </si>
  <si>
    <t>Total cumulative emissions GtC is noy well estimated in the model</t>
  </si>
  <si>
    <t>Solar irradiance</t>
  </si>
  <si>
    <t>Average solar irradiance</t>
  </si>
  <si>
    <t>We/m2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</si>
</sst>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"/>
    <numFmt numFmtId="165" formatCode="0.0"/>
    <numFmt numFmtId="166" formatCode="0.00000"/>
    <numFmt numFmtId="167" formatCode="0.0000"/>
  </numFmts>
  <fonts count="10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i/>
      <sz val="11"/>
      <color rgb="FF000000"/>
      <name val="Calibri"/>
      <family val="2"/>
      <charset val="1"/>
    </font>
    <font>
      <sz val="9"/>
      <color rgb="FF000000"/>
      <name val="Tahoma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B4C7E7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F6F6F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6">
    <xf numFmtId="0" fontId="0" fillId="0" borderId="0" xfId="0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3" borderId="2" xfId="0" applyFill="1" applyBorder="1"/>
    <xf numFmtId="0" fontId="1" fillId="0" borderId="0" xfId="1"/>
    <xf numFmtId="0" fontId="0" fillId="3" borderId="3" xfId="0" applyFill="1" applyBorder="1"/>
    <xf numFmtId="0" fontId="0" fillId="0" borderId="2" xfId="0" applyBorder="1"/>
    <xf numFmtId="0" fontId="0" fillId="0" borderId="4" xfId="0" applyBorder="1"/>
    <xf numFmtId="0" fontId="0" fillId="3" borderId="5" xfId="0" applyFill="1" applyBorder="1"/>
    <xf numFmtId="0" fontId="3" fillId="0" borderId="2" xfId="0" applyFont="1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center"/>
    </xf>
    <xf numFmtId="164" fontId="0" fillId="0" borderId="8" xfId="0" applyNumberFormat="1" applyBorder="1"/>
    <xf numFmtId="165" fontId="2" fillId="0" borderId="1" xfId="0" applyNumberFormat="1" applyFont="1" applyBorder="1"/>
    <xf numFmtId="166" fontId="2" fillId="0" borderId="1" xfId="0" applyNumberFormat="1" applyFont="1" applyBorder="1"/>
    <xf numFmtId="166" fontId="0" fillId="0" borderId="1" xfId="0" applyNumberFormat="1" applyBorder="1"/>
    <xf numFmtId="0" fontId="0" fillId="3" borderId="10" xfId="0" applyFill="1" applyBorder="1"/>
    <xf numFmtId="0" fontId="2" fillId="0" borderId="10" xfId="0" applyFont="1" applyBorder="1"/>
    <xf numFmtId="0" fontId="0" fillId="0" borderId="10" xfId="0" applyBorder="1"/>
    <xf numFmtId="0" fontId="0" fillId="0" borderId="11" xfId="0" applyBorder="1"/>
    <xf numFmtId="0" fontId="2" fillId="0" borderId="11" xfId="0" applyFont="1" applyBorder="1"/>
    <xf numFmtId="0" fontId="0" fillId="3" borderId="1" xfId="0" applyFill="1" applyBorder="1" applyAlignment="1">
      <alignment horizontal="left"/>
    </xf>
    <xf numFmtId="0" fontId="0" fillId="0" borderId="2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/>
    <xf numFmtId="0" fontId="1" fillId="0" borderId="1" xfId="1" applyBorder="1"/>
    <xf numFmtId="1" fontId="0" fillId="0" borderId="0" xfId="0" applyNumberFormat="1" applyAlignment="1">
      <alignment horizontal="center"/>
    </xf>
    <xf numFmtId="1" fontId="0" fillId="0" borderId="0" xfId="0" applyNumberFormat="1"/>
    <xf numFmtId="0" fontId="0" fillId="0" borderId="1" xfId="0" applyBorder="1" applyAlignment="1">
      <alignment horizontal="center"/>
    </xf>
    <xf numFmtId="167" fontId="0" fillId="4" borderId="1" xfId="0" applyNumberFormat="1" applyFill="1" applyBorder="1"/>
    <xf numFmtId="0" fontId="4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3" borderId="1" xfId="0" applyFont="1" applyFill="1" applyBorder="1"/>
    <xf numFmtId="0" fontId="3" fillId="3" borderId="10" xfId="0" applyFont="1" applyFill="1" applyBorder="1"/>
    <xf numFmtId="0" fontId="0" fillId="0" borderId="12" xfId="0" applyBorder="1"/>
    <xf numFmtId="0" fontId="3" fillId="0" borderId="0" xfId="0" applyFont="1"/>
    <xf numFmtId="0" fontId="0" fillId="2" borderId="1" xfId="0" applyFill="1" applyBorder="1"/>
    <xf numFmtId="11" fontId="0" fillId="0" borderId="1" xfId="0" applyNumberFormat="1" applyBorder="1" applyAlignment="1">
      <alignment horizontal="center"/>
    </xf>
    <xf numFmtId="164" fontId="0" fillId="0" borderId="1" xfId="0" applyNumberFormat="1" applyBorder="1"/>
    <xf numFmtId="0" fontId="4" fillId="0" borderId="1" xfId="0" applyFont="1" applyBorder="1"/>
    <xf numFmtId="0" fontId="3" fillId="0" borderId="0" xfId="0" applyFont="1" applyAlignment="1">
      <alignment wrapText="1"/>
    </xf>
    <xf numFmtId="0" fontId="0" fillId="3" borderId="5" xfId="0" applyFill="1" applyBorder="1" applyAlignment="1">
      <alignment horizontal="left"/>
    </xf>
    <xf numFmtId="3" fontId="0" fillId="0" borderId="1" xfId="0" applyNumberFormat="1" applyBorder="1" applyAlignment="1">
      <alignment horizontal="center"/>
    </xf>
    <xf numFmtId="3" fontId="0" fillId="0" borderId="1" xfId="0" applyNumberFormat="1" applyBorder="1"/>
    <xf numFmtId="3" fontId="0" fillId="0" borderId="0" xfId="0" applyNumberFormat="1" applyAlignment="1">
      <alignment horizontal="center"/>
    </xf>
    <xf numFmtId="3" fontId="0" fillId="0" borderId="0" xfId="0" applyNumberFormat="1"/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1" xfId="0" applyFont="1" applyBorder="1"/>
    <xf numFmtId="1" fontId="0" fillId="0" borderId="8" xfId="0" applyNumberFormat="1" applyBorder="1"/>
    <xf numFmtId="1" fontId="0" fillId="0" borderId="2" xfId="0" applyNumberFormat="1" applyBorder="1"/>
    <xf numFmtId="2" fontId="2" fillId="0" borderId="1" xfId="0" applyNumberFormat="1" applyFont="1" applyBorder="1"/>
    <xf numFmtId="3" fontId="9" fillId="5" borderId="0" xfId="0" applyNumberFormat="1" applyFont="1" applyFill="1" applyAlignment="1">
      <alignment horizontal="right" vertical="center" wrapText="1"/>
    </xf>
    <xf numFmtId="0" fontId="4" fillId="2" borderId="9" xfId="0" applyFon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3"/>
  <sheetViews>
    <sheetView topLeftCell="A19" zoomScaleNormal="100" workbookViewId="0">
      <selection activeCell="E39" sqref="E39"/>
    </sheetView>
  </sheetViews>
  <sheetFormatPr baseColWidth="10" defaultColWidth="11.42578125" defaultRowHeight="15" x14ac:dyDescent="0.25"/>
  <cols>
    <col min="1" max="1" width="44.7109375" customWidth="1"/>
    <col min="2" max="5" width="14.7109375" customWidth="1"/>
  </cols>
  <sheetData>
    <row r="2" spans="1:5" x14ac:dyDescent="0.25">
      <c r="B2" s="60" t="s">
        <v>0</v>
      </c>
      <c r="C2" s="60"/>
      <c r="D2" s="60"/>
      <c r="E2" s="60"/>
    </row>
    <row r="3" spans="1:5" ht="15" customHeight="1" x14ac:dyDescent="0.25">
      <c r="B3" s="61" t="s">
        <v>1</v>
      </c>
      <c r="C3" s="62" t="s">
        <v>2</v>
      </c>
      <c r="D3" s="62"/>
      <c r="E3" s="62"/>
    </row>
    <row r="4" spans="1:5" x14ac:dyDescent="0.25">
      <c r="A4" s="1" t="s">
        <v>3</v>
      </c>
      <c r="B4" s="61"/>
      <c r="C4" s="1" t="s">
        <v>4</v>
      </c>
      <c r="D4" s="1" t="s">
        <v>5</v>
      </c>
      <c r="E4" s="1" t="s">
        <v>6</v>
      </c>
    </row>
    <row r="5" spans="1:5" x14ac:dyDescent="0.25">
      <c r="A5" s="1"/>
      <c r="B5" s="1" t="s">
        <v>7</v>
      </c>
      <c r="C5" s="1" t="s">
        <v>8</v>
      </c>
      <c r="D5" s="1" t="str">
        <f>+C5</f>
        <v>job year/MW</v>
      </c>
      <c r="E5" s="1" t="s">
        <v>9</v>
      </c>
    </row>
    <row r="6" spans="1:5" x14ac:dyDescent="0.25">
      <c r="A6" s="2" t="s">
        <v>10</v>
      </c>
      <c r="B6" s="3">
        <v>2.6</v>
      </c>
      <c r="C6" s="4">
        <v>10.9</v>
      </c>
      <c r="D6" s="4">
        <v>0.2</v>
      </c>
      <c r="E6" s="5"/>
    </row>
    <row r="7" spans="1:5" x14ac:dyDescent="0.25">
      <c r="A7" s="6" t="s">
        <v>11</v>
      </c>
      <c r="B7" s="5">
        <v>1.9</v>
      </c>
      <c r="C7" s="4">
        <v>16.600000000000001</v>
      </c>
      <c r="D7" s="4">
        <v>0.4</v>
      </c>
      <c r="E7" s="5"/>
    </row>
    <row r="8" spans="1:5" x14ac:dyDescent="0.25">
      <c r="A8" s="6" t="s">
        <v>12</v>
      </c>
      <c r="B8" s="3">
        <v>1</v>
      </c>
      <c r="C8" s="4">
        <v>16.899999999999999</v>
      </c>
      <c r="D8" s="4">
        <v>1.5</v>
      </c>
      <c r="E8" s="4">
        <v>2.9000000000000001E-2</v>
      </c>
    </row>
    <row r="9" spans="1:5" x14ac:dyDescent="0.25">
      <c r="A9" s="6" t="s">
        <v>13</v>
      </c>
      <c r="B9" s="3">
        <v>1</v>
      </c>
      <c r="C9" s="4">
        <v>20.399999999999999</v>
      </c>
      <c r="D9" s="4">
        <v>0.6</v>
      </c>
      <c r="E9" s="5"/>
    </row>
    <row r="10" spans="1:5" x14ac:dyDescent="0.25">
      <c r="A10" s="6" t="s">
        <v>14</v>
      </c>
      <c r="B10" s="5">
        <v>1.25</v>
      </c>
      <c r="C10" s="4">
        <v>7.9</v>
      </c>
      <c r="D10" s="4">
        <v>0.3</v>
      </c>
      <c r="E10" s="5"/>
    </row>
    <row r="11" spans="1:5" x14ac:dyDescent="0.25">
      <c r="A11" s="6" t="s">
        <v>15</v>
      </c>
      <c r="B11" s="5">
        <v>1.25</v>
      </c>
      <c r="C11" s="4">
        <v>23.6</v>
      </c>
      <c r="D11" s="4">
        <v>0.2</v>
      </c>
      <c r="E11" s="5"/>
    </row>
    <row r="12" spans="1:5" x14ac:dyDescent="0.25">
      <c r="A12" s="6" t="s">
        <v>16</v>
      </c>
      <c r="B12" s="5">
        <v>1.5</v>
      </c>
      <c r="C12" s="4">
        <v>19.7</v>
      </c>
      <c r="D12" s="4">
        <v>0.7</v>
      </c>
      <c r="E12" s="5"/>
    </row>
    <row r="13" spans="1:5" x14ac:dyDescent="0.25">
      <c r="A13" s="6" t="s">
        <v>17</v>
      </c>
      <c r="B13" s="5">
        <v>1.7</v>
      </c>
      <c r="C13" s="4">
        <v>9.3000000000000007</v>
      </c>
      <c r="D13" s="4">
        <v>0.6</v>
      </c>
      <c r="E13" s="5"/>
    </row>
    <row r="15" spans="1:5" x14ac:dyDescent="0.25">
      <c r="A15" s="7" t="s">
        <v>18</v>
      </c>
      <c r="B15" s="5" t="s">
        <v>19</v>
      </c>
      <c r="C15" s="4" t="s">
        <v>19</v>
      </c>
      <c r="D15" s="4" t="s">
        <v>19</v>
      </c>
      <c r="E15" s="5" t="s">
        <v>19</v>
      </c>
    </row>
    <row r="16" spans="1:5" x14ac:dyDescent="0.25">
      <c r="A16" s="8"/>
    </row>
    <row r="17" spans="1:5" x14ac:dyDescent="0.25">
      <c r="A17" s="9" t="s">
        <v>20</v>
      </c>
      <c r="B17" s="10">
        <v>1</v>
      </c>
      <c r="C17" s="4">
        <v>8.4</v>
      </c>
      <c r="D17" s="4">
        <v>0</v>
      </c>
      <c r="E17" s="11"/>
    </row>
    <row r="18" spans="1:5" x14ac:dyDescent="0.25">
      <c r="A18" s="12" t="s">
        <v>21</v>
      </c>
      <c r="B18" s="10">
        <v>1.9</v>
      </c>
      <c r="C18" s="4">
        <v>6.9</v>
      </c>
      <c r="D18" s="4">
        <v>0</v>
      </c>
      <c r="E18" s="11"/>
    </row>
    <row r="19" spans="1:5" x14ac:dyDescent="0.25">
      <c r="A19" s="12" t="s">
        <v>22</v>
      </c>
      <c r="B19" s="13">
        <v>1</v>
      </c>
      <c r="C19" s="4">
        <v>16.899999999999999</v>
      </c>
      <c r="D19" s="4">
        <v>1.5</v>
      </c>
      <c r="E19" s="14"/>
    </row>
    <row r="20" spans="1:5" x14ac:dyDescent="0.25">
      <c r="C20" s="63" t="s">
        <v>23</v>
      </c>
      <c r="D20" s="63"/>
      <c r="E20" s="15"/>
    </row>
    <row r="21" spans="1:5" x14ac:dyDescent="0.25">
      <c r="C21" s="64">
        <v>740231.85916702403</v>
      </c>
      <c r="D21" s="64"/>
    </row>
    <row r="23" spans="1:5" x14ac:dyDescent="0.25">
      <c r="A23" s="12" t="s">
        <v>24</v>
      </c>
      <c r="B23" s="5" t="s">
        <v>7</v>
      </c>
      <c r="C23" s="17">
        <f>1/3</f>
        <v>0.33333333333333331</v>
      </c>
    </row>
    <row r="24" spans="1:5" x14ac:dyDescent="0.25">
      <c r="A24" s="12" t="s">
        <v>25</v>
      </c>
      <c r="B24" s="5" t="s">
        <v>7</v>
      </c>
      <c r="C24" s="17">
        <v>0.95</v>
      </c>
    </row>
    <row r="26" spans="1:5" x14ac:dyDescent="0.25">
      <c r="A26" s="59" t="s">
        <v>26</v>
      </c>
      <c r="B26" s="59"/>
      <c r="C26" s="59"/>
    </row>
    <row r="27" spans="1:5" x14ac:dyDescent="0.25">
      <c r="A27" s="6" t="s">
        <v>27</v>
      </c>
      <c r="B27" s="3" t="s">
        <v>28</v>
      </c>
      <c r="C27" s="5">
        <v>165.2</v>
      </c>
    </row>
    <row r="28" spans="1:5" x14ac:dyDescent="0.25">
      <c r="A28" s="6" t="s">
        <v>29</v>
      </c>
      <c r="B28" s="3" t="s">
        <v>28</v>
      </c>
      <c r="C28" s="5">
        <v>103.3</v>
      </c>
    </row>
    <row r="29" spans="1:5" x14ac:dyDescent="0.25">
      <c r="A29" s="6" t="s">
        <v>30</v>
      </c>
      <c r="B29" s="3" t="s">
        <v>28</v>
      </c>
      <c r="C29" s="5">
        <v>94.6</v>
      </c>
    </row>
    <row r="30" spans="1:5" x14ac:dyDescent="0.25">
      <c r="A30" s="6" t="s">
        <v>31</v>
      </c>
      <c r="B30" s="3" t="s">
        <v>28</v>
      </c>
      <c r="C30" s="5">
        <v>56.1</v>
      </c>
    </row>
    <row r="31" spans="1:5" x14ac:dyDescent="0.25">
      <c r="A31" s="6" t="s">
        <v>32</v>
      </c>
      <c r="B31" s="3" t="s">
        <v>28</v>
      </c>
      <c r="C31" s="5">
        <v>73.3</v>
      </c>
    </row>
    <row r="32" spans="1:5" x14ac:dyDescent="0.25">
      <c r="A32" s="6" t="s">
        <v>33</v>
      </c>
      <c r="B32" s="3" t="s">
        <v>28</v>
      </c>
      <c r="C32" s="18">
        <v>56.1</v>
      </c>
    </row>
    <row r="33" spans="1:3" x14ac:dyDescent="0.25">
      <c r="A33" s="6" t="s">
        <v>34</v>
      </c>
      <c r="B33" s="3" t="s">
        <v>28</v>
      </c>
      <c r="C33" s="5">
        <v>91.4</v>
      </c>
    </row>
    <row r="34" spans="1:3" x14ac:dyDescent="0.25">
      <c r="A34" s="6" t="s">
        <v>35</v>
      </c>
      <c r="B34" s="3" t="s">
        <v>28</v>
      </c>
      <c r="C34" s="5">
        <v>146.1</v>
      </c>
    </row>
    <row r="35" spans="1:3" x14ac:dyDescent="0.25">
      <c r="A35" s="6" t="s">
        <v>36</v>
      </c>
      <c r="B35" s="3" t="s">
        <v>37</v>
      </c>
      <c r="C35" s="3">
        <v>0.78</v>
      </c>
    </row>
    <row r="36" spans="1:3" x14ac:dyDescent="0.25">
      <c r="A36" s="6" t="s">
        <v>38</v>
      </c>
      <c r="B36" s="3" t="s">
        <v>37</v>
      </c>
      <c r="C36" s="19">
        <v>2.48</v>
      </c>
    </row>
    <row r="37" spans="1:3" x14ac:dyDescent="0.25">
      <c r="A37" s="6" t="s">
        <v>39</v>
      </c>
      <c r="B37" s="3" t="s">
        <v>37</v>
      </c>
      <c r="C37" s="20">
        <v>9.4E-2</v>
      </c>
    </row>
    <row r="38" spans="1:3" x14ac:dyDescent="0.25">
      <c r="A38" s="6" t="s">
        <v>40</v>
      </c>
      <c r="B38" s="3" t="s">
        <v>37</v>
      </c>
      <c r="C38" s="20">
        <v>9.4E-2</v>
      </c>
    </row>
    <row r="39" spans="1:3" x14ac:dyDescent="0.25">
      <c r="A39" s="6" t="s">
        <v>41</v>
      </c>
      <c r="B39" s="3" t="s">
        <v>37</v>
      </c>
      <c r="C39" s="5">
        <v>9.4E-2</v>
      </c>
    </row>
    <row r="40" spans="1:3" x14ac:dyDescent="0.25">
      <c r="A40" s="21" t="s">
        <v>42</v>
      </c>
      <c r="B40" s="22" t="s">
        <v>37</v>
      </c>
      <c r="C40" s="23">
        <v>9.4E-2</v>
      </c>
    </row>
    <row r="41" spans="1:3" x14ac:dyDescent="0.25">
      <c r="A41" s="24"/>
      <c r="B41" s="25"/>
      <c r="C41" s="24"/>
    </row>
    <row r="42" spans="1:3" x14ac:dyDescent="0.25">
      <c r="A42" s="59" t="s">
        <v>43</v>
      </c>
      <c r="B42" s="59"/>
      <c r="C42" s="59"/>
    </row>
    <row r="43" spans="1:3" x14ac:dyDescent="0.25">
      <c r="A43" s="6" t="s">
        <v>44</v>
      </c>
      <c r="B43" s="3" t="s">
        <v>45</v>
      </c>
      <c r="C43" s="5">
        <v>2019</v>
      </c>
    </row>
  </sheetData>
  <mergeCells count="7">
    <mergeCell ref="A26:C26"/>
    <mergeCell ref="A42:C42"/>
    <mergeCell ref="B2:E2"/>
    <mergeCell ref="B3:B4"/>
    <mergeCell ref="C3:E3"/>
    <mergeCell ref="C20:D20"/>
    <mergeCell ref="C21:D21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95959"/>
  </sheetPr>
  <dimension ref="A1:X34"/>
  <sheetViews>
    <sheetView tabSelected="1" zoomScale="80" zoomScaleNormal="80" workbookViewId="0">
      <selection activeCell="E17" sqref="E17"/>
    </sheetView>
  </sheetViews>
  <sheetFormatPr baseColWidth="10" defaultColWidth="10.7109375" defaultRowHeight="15" x14ac:dyDescent="0.25"/>
  <cols>
    <col min="1" max="1" width="44.7109375" customWidth="1"/>
    <col min="2" max="24" width="14.7109375" customWidth="1"/>
    <col min="25" max="113" width="5.5703125" customWidth="1"/>
  </cols>
  <sheetData>
    <row r="1" spans="1:24" x14ac:dyDescent="0.25">
      <c r="C1" s="5">
        <v>1995</v>
      </c>
      <c r="D1" s="5">
        <v>1996</v>
      </c>
      <c r="E1" s="5">
        <v>1997</v>
      </c>
      <c r="F1" s="5">
        <v>1998</v>
      </c>
      <c r="G1" s="5">
        <v>1999</v>
      </c>
      <c r="H1" s="5">
        <v>2000</v>
      </c>
      <c r="I1" s="5">
        <v>2001</v>
      </c>
      <c r="J1" s="5">
        <v>2002</v>
      </c>
      <c r="K1" s="5">
        <v>2003</v>
      </c>
      <c r="L1" s="5">
        <v>2004</v>
      </c>
      <c r="M1" s="5">
        <v>2005</v>
      </c>
      <c r="N1" s="5">
        <v>2006</v>
      </c>
      <c r="O1" s="5">
        <v>2007</v>
      </c>
      <c r="P1" s="5">
        <v>2008</v>
      </c>
      <c r="Q1" s="5">
        <v>2009</v>
      </c>
      <c r="R1" s="5">
        <v>2010</v>
      </c>
      <c r="S1" s="5">
        <v>2011</v>
      </c>
      <c r="T1" s="5">
        <v>2012</v>
      </c>
      <c r="U1" s="5">
        <v>2013</v>
      </c>
      <c r="V1" s="5">
        <v>2014</v>
      </c>
      <c r="W1" s="5">
        <v>2015</v>
      </c>
      <c r="X1" s="5">
        <v>2016</v>
      </c>
    </row>
    <row r="2" spans="1:24" x14ac:dyDescent="0.25">
      <c r="A2" s="26" t="s">
        <v>46</v>
      </c>
      <c r="B2" s="27" t="s">
        <v>47</v>
      </c>
      <c r="C2" s="28">
        <v>5709757338</v>
      </c>
      <c r="D2" s="28">
        <v>5792568347</v>
      </c>
      <c r="E2" s="28">
        <v>5875398158</v>
      </c>
      <c r="F2" s="28">
        <v>5957237460</v>
      </c>
      <c r="G2" s="28">
        <v>6038067278</v>
      </c>
      <c r="H2" s="28">
        <v>6118075293</v>
      </c>
      <c r="I2" s="28">
        <v>6197638117</v>
      </c>
      <c r="J2" s="28">
        <v>6276824417.8828697</v>
      </c>
      <c r="K2" s="28">
        <v>6356259573.8989296</v>
      </c>
      <c r="L2" s="28">
        <v>6436346997.9913702</v>
      </c>
      <c r="M2" s="28">
        <v>6517020798.2439699</v>
      </c>
      <c r="N2" s="28">
        <v>6598421257.4849901</v>
      </c>
      <c r="O2" s="28">
        <v>6680423046.9909296</v>
      </c>
      <c r="P2" s="28">
        <v>6763745673.2955303</v>
      </c>
      <c r="Q2" s="28">
        <v>6847214549.1101999</v>
      </c>
      <c r="R2" s="28">
        <v>6930656699.3622303</v>
      </c>
      <c r="S2" s="28">
        <v>7012843635.3578196</v>
      </c>
      <c r="T2" s="29">
        <v>7097400665.0772305</v>
      </c>
      <c r="U2" s="29">
        <v>7182860114.6100798</v>
      </c>
      <c r="V2" s="29">
        <v>7268986175.7391596</v>
      </c>
      <c r="W2" s="29">
        <v>7355220411.6820297</v>
      </c>
      <c r="X2" s="5">
        <v>7442135578</v>
      </c>
    </row>
    <row r="3" spans="1:24" x14ac:dyDescent="0.25">
      <c r="A3" s="8" t="s">
        <v>48</v>
      </c>
      <c r="B3" s="8"/>
      <c r="C3" s="30">
        <v>2010</v>
      </c>
      <c r="D3" s="30">
        <f>10+C3</f>
        <v>2020</v>
      </c>
      <c r="E3" s="30">
        <f>10+D3</f>
        <v>2030</v>
      </c>
      <c r="F3" s="30">
        <f>10+E3</f>
        <v>2040</v>
      </c>
      <c r="G3" s="30">
        <f>10+F3</f>
        <v>2050</v>
      </c>
      <c r="H3" s="30">
        <f>10+G3</f>
        <v>2060</v>
      </c>
      <c r="N3" s="31"/>
      <c r="O3" s="31"/>
      <c r="P3" s="31"/>
      <c r="Q3" s="31"/>
      <c r="R3" s="31"/>
    </row>
    <row r="4" spans="1:24" x14ac:dyDescent="0.25">
      <c r="A4" s="26" t="s">
        <v>49</v>
      </c>
      <c r="B4" s="33" t="s">
        <v>50</v>
      </c>
      <c r="C4" s="34">
        <v>6867.39</v>
      </c>
      <c r="D4" s="34">
        <v>7611.25</v>
      </c>
      <c r="E4" s="34">
        <v>8261.99</v>
      </c>
      <c r="F4" s="34">
        <v>8787.1200000000008</v>
      </c>
      <c r="G4" s="34">
        <v>9169.11</v>
      </c>
      <c r="H4" s="34">
        <v>9384.7000000000007</v>
      </c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2"/>
      <c r="U4" s="32"/>
      <c r="V4" s="32"/>
      <c r="W4" s="32"/>
    </row>
    <row r="6" spans="1:24" x14ac:dyDescent="0.25">
      <c r="A6" s="35" t="s">
        <v>51</v>
      </c>
      <c r="B6" s="36"/>
      <c r="C6" s="37"/>
    </row>
    <row r="7" spans="1:24" x14ac:dyDescent="0.25">
      <c r="A7" s="6" t="s">
        <v>52</v>
      </c>
      <c r="B7" s="5" t="s">
        <v>47</v>
      </c>
      <c r="C7" s="5">
        <v>2500000000</v>
      </c>
    </row>
    <row r="8" spans="1:24" x14ac:dyDescent="0.25">
      <c r="A8" s="35" t="s">
        <v>53</v>
      </c>
      <c r="B8" s="36"/>
      <c r="C8" s="37"/>
    </row>
    <row r="9" spans="1:24" x14ac:dyDescent="0.25">
      <c r="A9" s="6" t="s">
        <v>54</v>
      </c>
      <c r="B9" s="5" t="s">
        <v>55</v>
      </c>
      <c r="C9" s="5">
        <v>1526</v>
      </c>
    </row>
    <row r="10" spans="1:24" x14ac:dyDescent="0.25">
      <c r="A10" s="38" t="s">
        <v>56</v>
      </c>
      <c r="B10" s="5" t="s">
        <v>55</v>
      </c>
      <c r="C10" s="5">
        <v>300</v>
      </c>
    </row>
    <row r="11" spans="1:24" x14ac:dyDescent="0.25">
      <c r="A11" s="35" t="s">
        <v>57</v>
      </c>
      <c r="B11" s="36"/>
      <c r="C11" s="37"/>
    </row>
    <row r="12" spans="1:24" x14ac:dyDescent="0.25">
      <c r="A12" s="38" t="s">
        <v>58</v>
      </c>
      <c r="B12" s="5" t="s">
        <v>59</v>
      </c>
      <c r="C12" s="5">
        <v>106</v>
      </c>
    </row>
    <row r="13" spans="1:24" x14ac:dyDescent="0.25">
      <c r="A13" s="39" t="s">
        <v>60</v>
      </c>
      <c r="B13" s="23" t="s">
        <v>59</v>
      </c>
      <c r="C13" s="23">
        <v>40</v>
      </c>
    </row>
    <row r="14" spans="1:24" x14ac:dyDescent="0.25">
      <c r="A14" s="40"/>
      <c r="B14" s="40"/>
      <c r="C14" s="24"/>
    </row>
    <row r="16" spans="1:24" x14ac:dyDescent="0.25">
      <c r="A16" s="26" t="s">
        <v>63</v>
      </c>
      <c r="B16" s="43" t="s">
        <v>64</v>
      </c>
      <c r="C16" s="33">
        <v>378.66</v>
      </c>
    </row>
    <row r="18" spans="1:4" x14ac:dyDescent="0.25">
      <c r="A18" s="6" t="s">
        <v>65</v>
      </c>
      <c r="B18" s="5" t="s">
        <v>66</v>
      </c>
      <c r="C18" s="44">
        <v>8</v>
      </c>
    </row>
    <row r="20" spans="1:4" x14ac:dyDescent="0.25">
      <c r="A20" s="60" t="s">
        <v>67</v>
      </c>
      <c r="B20" s="60"/>
      <c r="C20" s="60"/>
    </row>
    <row r="21" spans="1:4" x14ac:dyDescent="0.25">
      <c r="A21" s="6" t="s">
        <v>68</v>
      </c>
      <c r="B21" s="5" t="s">
        <v>69</v>
      </c>
      <c r="C21" s="5">
        <v>43659</v>
      </c>
    </row>
    <row r="22" spans="1:4" x14ac:dyDescent="0.25">
      <c r="A22" s="6" t="s">
        <v>70</v>
      </c>
      <c r="B22" s="5" t="s">
        <v>69</v>
      </c>
      <c r="C22" s="5">
        <v>7091</v>
      </c>
    </row>
    <row r="23" spans="1:4" x14ac:dyDescent="0.25">
      <c r="A23" s="16"/>
    </row>
    <row r="24" spans="1:4" x14ac:dyDescent="0.25">
      <c r="A24" t="s">
        <v>71</v>
      </c>
      <c r="B24" t="s">
        <v>72</v>
      </c>
    </row>
    <row r="25" spans="1:4" x14ac:dyDescent="0.25">
      <c r="A25" s="60" t="s">
        <v>73</v>
      </c>
      <c r="B25" s="60"/>
      <c r="C25" s="65" t="s">
        <v>74</v>
      </c>
      <c r="D25" s="65"/>
    </row>
    <row r="26" spans="1:4" x14ac:dyDescent="0.25">
      <c r="A26" s="6" t="s">
        <v>75</v>
      </c>
      <c r="B26" s="5"/>
      <c r="C26" s="45" t="s">
        <v>76</v>
      </c>
      <c r="D26" s="45" t="s">
        <v>77</v>
      </c>
    </row>
    <row r="27" spans="1:4" x14ac:dyDescent="0.25">
      <c r="A27" s="6" t="s">
        <v>78</v>
      </c>
      <c r="B27" s="5" t="s">
        <v>7</v>
      </c>
      <c r="C27" s="5">
        <v>2.01E-2</v>
      </c>
      <c r="D27" s="5"/>
    </row>
    <row r="28" spans="1:4" x14ac:dyDescent="0.25">
      <c r="A28" s="6" t="s">
        <v>79</v>
      </c>
      <c r="B28" s="5" t="s">
        <v>7</v>
      </c>
      <c r="C28" s="5">
        <v>2.5</v>
      </c>
      <c r="D28" s="5"/>
    </row>
    <row r="31" spans="1:4" ht="30" x14ac:dyDescent="0.25">
      <c r="A31" s="46" t="s">
        <v>80</v>
      </c>
    </row>
    <row r="32" spans="1:4" x14ac:dyDescent="0.25">
      <c r="A32" s="41" t="s">
        <v>81</v>
      </c>
    </row>
    <row r="33" spans="1:1" x14ac:dyDescent="0.25">
      <c r="A33" s="41" t="s">
        <v>82</v>
      </c>
    </row>
    <row r="34" spans="1:1" x14ac:dyDescent="0.25">
      <c r="A34" s="41" t="s">
        <v>83</v>
      </c>
    </row>
  </sheetData>
  <mergeCells count="3">
    <mergeCell ref="A20:C20"/>
    <mergeCell ref="A25:B25"/>
    <mergeCell ref="C25:D25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95959"/>
  </sheetPr>
  <dimension ref="A1:AD43"/>
  <sheetViews>
    <sheetView zoomScale="80" zoomScaleNormal="80" workbookViewId="0">
      <selection activeCell="J22" sqref="J22"/>
    </sheetView>
  </sheetViews>
  <sheetFormatPr baseColWidth="10" defaultColWidth="10.7109375" defaultRowHeight="15" x14ac:dyDescent="0.25"/>
  <cols>
    <col min="1" max="1" width="44.7109375" customWidth="1"/>
    <col min="2" max="24" width="14.7109375" customWidth="1"/>
    <col min="25" max="26" width="12.140625" customWidth="1"/>
    <col min="28" max="28" width="13" customWidth="1"/>
  </cols>
  <sheetData>
    <row r="1" spans="1:30" x14ac:dyDescent="0.25">
      <c r="C1" s="5">
        <v>1995</v>
      </c>
      <c r="D1" s="5">
        <v>1996</v>
      </c>
      <c r="E1" s="5">
        <v>1997</v>
      </c>
      <c r="F1" s="5">
        <v>1998</v>
      </c>
      <c r="G1" s="5">
        <v>1999</v>
      </c>
      <c r="H1" s="5">
        <v>2000</v>
      </c>
      <c r="I1" s="5">
        <v>2001</v>
      </c>
      <c r="J1" s="5">
        <v>2002</v>
      </c>
      <c r="K1" s="5">
        <v>2003</v>
      </c>
      <c r="L1" s="5">
        <v>2004</v>
      </c>
      <c r="M1" s="5">
        <v>2005</v>
      </c>
      <c r="N1" s="5">
        <v>2006</v>
      </c>
      <c r="O1" s="5">
        <v>2007</v>
      </c>
      <c r="P1" s="5">
        <v>2008</v>
      </c>
      <c r="Q1" s="5">
        <v>2009</v>
      </c>
      <c r="R1" s="5">
        <v>2010</v>
      </c>
      <c r="S1" s="5">
        <v>2011</v>
      </c>
      <c r="T1" s="5">
        <v>2012</v>
      </c>
      <c r="U1" s="5">
        <v>2013</v>
      </c>
      <c r="V1" s="5">
        <v>2014</v>
      </c>
      <c r="W1" s="5">
        <v>2015</v>
      </c>
      <c r="X1" s="5">
        <v>2016</v>
      </c>
    </row>
    <row r="2" spans="1:30" x14ac:dyDescent="0.25">
      <c r="A2" s="47" t="s">
        <v>46</v>
      </c>
      <c r="B2" s="33" t="s">
        <v>47</v>
      </c>
      <c r="C2" s="48">
        <v>423960534</v>
      </c>
      <c r="D2" s="48">
        <v>424641798</v>
      </c>
      <c r="E2" s="48">
        <v>425273491</v>
      </c>
      <c r="F2" s="48">
        <v>427482962</v>
      </c>
      <c r="G2" s="48">
        <v>427998269</v>
      </c>
      <c r="H2" s="48">
        <v>428473834</v>
      </c>
      <c r="I2" s="48">
        <v>429240746</v>
      </c>
      <c r="J2" s="48">
        <v>429723142</v>
      </c>
      <c r="K2" s="48">
        <v>431190184</v>
      </c>
      <c r="L2" s="48">
        <v>432762039</v>
      </c>
      <c r="M2" s="48">
        <v>434416272</v>
      </c>
      <c r="N2" s="48">
        <v>435816236</v>
      </c>
      <c r="O2" s="48">
        <v>437227496</v>
      </c>
      <c r="P2" s="48">
        <v>438725386</v>
      </c>
      <c r="Q2" s="48">
        <v>440047892</v>
      </c>
      <c r="R2" s="48">
        <v>440660421</v>
      </c>
      <c r="S2" s="48">
        <v>439942305</v>
      </c>
      <c r="T2" s="49">
        <v>440552661</v>
      </c>
      <c r="U2" s="49">
        <v>441257711</v>
      </c>
      <c r="V2" s="49">
        <v>442266046</v>
      </c>
      <c r="W2" s="49">
        <v>442911027</v>
      </c>
      <c r="X2" s="49">
        <v>443987823</v>
      </c>
      <c r="Y2">
        <v>444655529</v>
      </c>
      <c r="Z2">
        <v>445287011</v>
      </c>
      <c r="AA2">
        <v>446135629</v>
      </c>
      <c r="AB2">
        <v>447015600</v>
      </c>
      <c r="AC2">
        <v>445872542</v>
      </c>
      <c r="AD2">
        <v>445837374</v>
      </c>
    </row>
    <row r="3" spans="1:30" x14ac:dyDescent="0.25">
      <c r="A3" s="8" t="s">
        <v>48</v>
      </c>
      <c r="B3" s="8"/>
      <c r="C3" s="30">
        <v>2010</v>
      </c>
      <c r="D3" s="30">
        <f>10+C3</f>
        <v>2020</v>
      </c>
      <c r="E3" s="30">
        <f>10+D3</f>
        <v>2030</v>
      </c>
      <c r="F3" s="30">
        <f>10+E3</f>
        <v>2040</v>
      </c>
      <c r="G3" s="30">
        <f>10+F3</f>
        <v>2050</v>
      </c>
      <c r="H3" s="30">
        <f>10+G3</f>
        <v>2060</v>
      </c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1"/>
      <c r="U3" s="51"/>
      <c r="V3" s="51"/>
      <c r="W3" s="51"/>
      <c r="X3" s="51"/>
    </row>
    <row r="4" spans="1:30" x14ac:dyDescent="0.25">
      <c r="A4" s="26" t="s">
        <v>49</v>
      </c>
      <c r="B4" s="33" t="s">
        <v>50</v>
      </c>
      <c r="C4" s="34">
        <v>511.5</v>
      </c>
      <c r="D4" s="34">
        <v>519.42439291895403</v>
      </c>
      <c r="E4" s="34">
        <v>534.44001325370596</v>
      </c>
      <c r="F4" s="34">
        <v>545.22150656972997</v>
      </c>
      <c r="G4" s="34">
        <v>551.86696075163104</v>
      </c>
      <c r="H4" s="34">
        <v>553.37097498222204</v>
      </c>
    </row>
    <row r="6" spans="1:30" x14ac:dyDescent="0.25">
      <c r="A6" s="35" t="s">
        <v>51</v>
      </c>
      <c r="B6" s="36"/>
      <c r="C6" s="37"/>
    </row>
    <row r="7" spans="1:30" x14ac:dyDescent="0.25">
      <c r="A7" s="6" t="s">
        <v>52</v>
      </c>
      <c r="B7" s="5" t="s">
        <v>47</v>
      </c>
      <c r="C7" s="5">
        <v>0</v>
      </c>
    </row>
    <row r="8" spans="1:30" x14ac:dyDescent="0.25">
      <c r="A8" s="52"/>
      <c r="B8" s="53"/>
      <c r="C8" s="16"/>
    </row>
    <row r="11" spans="1:30" x14ac:dyDescent="0.25">
      <c r="A11" s="52"/>
      <c r="B11" s="53"/>
      <c r="C11" s="16"/>
    </row>
    <row r="13" spans="1:30" x14ac:dyDescent="0.25">
      <c r="A13" s="42" t="s">
        <v>61</v>
      </c>
      <c r="B13" s="42"/>
      <c r="C13" s="5">
        <v>1980</v>
      </c>
      <c r="D13" s="5">
        <v>2020</v>
      </c>
      <c r="E13" s="5">
        <f t="shared" ref="E13:X13" si="0">D13+5</f>
        <v>2025</v>
      </c>
      <c r="F13" s="5">
        <f t="shared" si="0"/>
        <v>2030</v>
      </c>
      <c r="G13" s="5">
        <f t="shared" si="0"/>
        <v>2035</v>
      </c>
      <c r="H13" s="5">
        <f t="shared" si="0"/>
        <v>2040</v>
      </c>
      <c r="I13" s="5">
        <f t="shared" si="0"/>
        <v>2045</v>
      </c>
      <c r="J13" s="5">
        <f t="shared" si="0"/>
        <v>2050</v>
      </c>
      <c r="K13" s="5">
        <f t="shared" si="0"/>
        <v>2055</v>
      </c>
      <c r="L13" s="5">
        <f t="shared" si="0"/>
        <v>2060</v>
      </c>
      <c r="M13" s="5">
        <f t="shared" si="0"/>
        <v>2065</v>
      </c>
      <c r="N13" s="5">
        <f t="shared" si="0"/>
        <v>2070</v>
      </c>
      <c r="O13" s="5">
        <f t="shared" si="0"/>
        <v>2075</v>
      </c>
      <c r="P13" s="5">
        <f t="shared" si="0"/>
        <v>2080</v>
      </c>
      <c r="Q13" s="5">
        <f t="shared" si="0"/>
        <v>2085</v>
      </c>
      <c r="R13" s="5">
        <f t="shared" si="0"/>
        <v>2090</v>
      </c>
      <c r="S13" s="5">
        <f t="shared" si="0"/>
        <v>2095</v>
      </c>
      <c r="T13" s="5">
        <f t="shared" si="0"/>
        <v>2100</v>
      </c>
      <c r="U13" s="5">
        <f t="shared" si="0"/>
        <v>2105</v>
      </c>
      <c r="V13" s="5">
        <f t="shared" si="0"/>
        <v>2110</v>
      </c>
      <c r="W13" s="5">
        <f t="shared" si="0"/>
        <v>2115</v>
      </c>
      <c r="X13" s="5">
        <f t="shared" si="0"/>
        <v>2120</v>
      </c>
    </row>
    <row r="14" spans="1:30" x14ac:dyDescent="0.25">
      <c r="A14" s="6" t="s">
        <v>61</v>
      </c>
      <c r="B14" s="5" t="s">
        <v>62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6" spans="1:30" x14ac:dyDescent="0.25">
      <c r="A16" s="26" t="s">
        <v>63</v>
      </c>
      <c r="B16" s="43" t="s">
        <v>64</v>
      </c>
      <c r="C16" s="54">
        <v>0</v>
      </c>
      <c r="D16" s="41" t="s">
        <v>84</v>
      </c>
      <c r="I16" s="58"/>
    </row>
    <row r="17" spans="1:9" x14ac:dyDescent="0.25">
      <c r="I17" s="58"/>
    </row>
    <row r="18" spans="1:9" x14ac:dyDescent="0.25">
      <c r="A18" s="6" t="s">
        <v>65</v>
      </c>
      <c r="B18" s="5" t="s">
        <v>66</v>
      </c>
      <c r="C18" s="44">
        <v>8</v>
      </c>
      <c r="I18" s="58"/>
    </row>
    <row r="19" spans="1:9" x14ac:dyDescent="0.25">
      <c r="I19" s="58"/>
    </row>
    <row r="20" spans="1:9" x14ac:dyDescent="0.25">
      <c r="A20" s="60" t="s">
        <v>67</v>
      </c>
      <c r="B20" s="60"/>
      <c r="C20" s="60"/>
      <c r="I20" s="58"/>
    </row>
    <row r="21" spans="1:9" x14ac:dyDescent="0.25">
      <c r="A21" s="6" t="s">
        <v>68</v>
      </c>
      <c r="B21" s="5" t="s">
        <v>69</v>
      </c>
      <c r="C21" s="55">
        <v>1505</v>
      </c>
      <c r="I21" s="58"/>
    </row>
    <row r="22" spans="1:9" x14ac:dyDescent="0.25">
      <c r="A22" s="6" t="s">
        <v>70</v>
      </c>
      <c r="B22" s="5" t="s">
        <v>69</v>
      </c>
      <c r="C22" s="55">
        <v>1130</v>
      </c>
      <c r="I22" s="58"/>
    </row>
    <row r="23" spans="1:9" x14ac:dyDescent="0.25">
      <c r="I23" s="58"/>
    </row>
    <row r="24" spans="1:9" x14ac:dyDescent="0.25">
      <c r="I24" s="58"/>
    </row>
    <row r="25" spans="1:9" x14ac:dyDescent="0.25">
      <c r="I25" s="58"/>
    </row>
    <row r="26" spans="1:9" x14ac:dyDescent="0.25">
      <c r="I26" s="58"/>
    </row>
    <row r="27" spans="1:9" x14ac:dyDescent="0.25">
      <c r="A27" s="60" t="s">
        <v>85</v>
      </c>
      <c r="B27" s="60"/>
      <c r="C27" s="60"/>
      <c r="I27" s="58"/>
    </row>
    <row r="28" spans="1:9" x14ac:dyDescent="0.25">
      <c r="A28" s="6" t="s">
        <v>86</v>
      </c>
      <c r="B28" s="5" t="s">
        <v>87</v>
      </c>
      <c r="C28" s="55">
        <v>135</v>
      </c>
      <c r="I28" s="58"/>
    </row>
    <row r="29" spans="1:9" x14ac:dyDescent="0.25">
      <c r="I29" s="58"/>
    </row>
    <row r="30" spans="1:9" x14ac:dyDescent="0.25">
      <c r="I30" s="58"/>
    </row>
    <row r="31" spans="1:9" x14ac:dyDescent="0.25">
      <c r="I31" s="58"/>
    </row>
    <row r="32" spans="1:9" x14ac:dyDescent="0.25">
      <c r="I32" s="58"/>
    </row>
    <row r="33" spans="9:9" x14ac:dyDescent="0.25">
      <c r="I33" s="58"/>
    </row>
    <row r="34" spans="9:9" x14ac:dyDescent="0.25">
      <c r="I34" s="58"/>
    </row>
    <row r="35" spans="9:9" x14ac:dyDescent="0.25">
      <c r="I35" s="58"/>
    </row>
    <row r="36" spans="9:9" x14ac:dyDescent="0.25">
      <c r="I36" s="58"/>
    </row>
    <row r="37" spans="9:9" x14ac:dyDescent="0.25">
      <c r="I37" s="58"/>
    </row>
    <row r="38" spans="9:9" x14ac:dyDescent="0.25">
      <c r="I38" s="58"/>
    </row>
    <row r="39" spans="9:9" x14ac:dyDescent="0.25">
      <c r="I39" s="58"/>
    </row>
    <row r="40" spans="9:9" x14ac:dyDescent="0.25">
      <c r="I40" s="58"/>
    </row>
    <row r="41" spans="9:9" x14ac:dyDescent="0.25">
      <c r="I41" s="58"/>
    </row>
    <row r="42" spans="9:9" x14ac:dyDescent="0.25">
      <c r="I42" s="58"/>
    </row>
    <row r="43" spans="9:9" x14ac:dyDescent="0.25">
      <c r="I43" s="58"/>
    </row>
  </sheetData>
  <mergeCells count="2">
    <mergeCell ref="A20:C20"/>
    <mergeCell ref="A27:C27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95959"/>
  </sheetPr>
  <dimension ref="A1:X17"/>
  <sheetViews>
    <sheetView zoomScale="80" zoomScaleNormal="80" workbookViewId="0">
      <selection activeCell="E16" sqref="E16"/>
    </sheetView>
  </sheetViews>
  <sheetFormatPr baseColWidth="10" defaultColWidth="10.7109375" defaultRowHeight="15" x14ac:dyDescent="0.25"/>
  <cols>
    <col min="1" max="1" width="44.7109375" customWidth="1"/>
    <col min="2" max="24" width="14.7109375" customWidth="1"/>
    <col min="25" max="26" width="12.140625" customWidth="1"/>
    <col min="28" max="28" width="13" customWidth="1"/>
  </cols>
  <sheetData>
    <row r="1" spans="1:24" x14ac:dyDescent="0.25">
      <c r="C1" s="5">
        <v>1995</v>
      </c>
      <c r="D1" s="5">
        <v>1996</v>
      </c>
      <c r="E1" s="5">
        <v>1997</v>
      </c>
      <c r="F1" s="5">
        <v>1998</v>
      </c>
      <c r="G1" s="5">
        <v>1999</v>
      </c>
      <c r="H1" s="5">
        <v>2000</v>
      </c>
      <c r="I1" s="5">
        <v>2001</v>
      </c>
      <c r="J1" s="5">
        <v>2002</v>
      </c>
      <c r="K1" s="5">
        <v>2003</v>
      </c>
      <c r="L1" s="5">
        <v>2004</v>
      </c>
      <c r="M1" s="5">
        <v>2005</v>
      </c>
      <c r="N1" s="5">
        <v>2006</v>
      </c>
      <c r="O1" s="5">
        <v>2007</v>
      </c>
      <c r="P1" s="5">
        <v>2008</v>
      </c>
      <c r="Q1" s="5">
        <v>2009</v>
      </c>
      <c r="R1" s="5">
        <v>2010</v>
      </c>
      <c r="S1" s="5">
        <v>2011</v>
      </c>
      <c r="T1" s="5">
        <v>2012</v>
      </c>
      <c r="U1" s="5">
        <v>2013</v>
      </c>
      <c r="V1" s="5">
        <v>2014</v>
      </c>
      <c r="W1" s="5">
        <v>2015</v>
      </c>
      <c r="X1" s="5">
        <v>2016</v>
      </c>
    </row>
    <row r="2" spans="1:24" x14ac:dyDescent="0.25">
      <c r="A2" s="26" t="s">
        <v>46</v>
      </c>
      <c r="B2" s="33" t="s">
        <v>47</v>
      </c>
      <c r="C2" s="28">
        <v>6100983</v>
      </c>
      <c r="D2" s="28">
        <v>6104729</v>
      </c>
      <c r="E2" s="28">
        <v>6110000</v>
      </c>
      <c r="F2" s="28">
        <v>6125339</v>
      </c>
      <c r="G2" s="28">
        <v>6147717</v>
      </c>
      <c r="H2" s="28">
        <v>6174547</v>
      </c>
      <c r="I2" s="28">
        <v>6253305</v>
      </c>
      <c r="J2" s="28">
        <v>6398166</v>
      </c>
      <c r="K2" s="28">
        <v>6558740</v>
      </c>
      <c r="L2" s="28">
        <v>6693297</v>
      </c>
      <c r="M2" s="28">
        <v>6846692</v>
      </c>
      <c r="N2" s="28">
        <v>6994937</v>
      </c>
      <c r="O2" s="28">
        <v>7146734</v>
      </c>
      <c r="P2" s="28">
        <v>7298313</v>
      </c>
      <c r="Q2" s="28">
        <v>7416605</v>
      </c>
      <c r="R2" s="28">
        <v>7462044</v>
      </c>
      <c r="S2" s="28">
        <v>7501853</v>
      </c>
      <c r="T2" s="29">
        <v>7515398</v>
      </c>
      <c r="U2" s="29">
        <v>7478968</v>
      </c>
      <c r="V2" s="56">
        <v>7433894</v>
      </c>
      <c r="W2" s="29">
        <v>7424754</v>
      </c>
      <c r="X2" s="32">
        <v>7448332</v>
      </c>
    </row>
    <row r="4" spans="1:24" x14ac:dyDescent="0.25">
      <c r="A4" s="35" t="s">
        <v>51</v>
      </c>
      <c r="B4" s="36"/>
      <c r="C4" s="37"/>
    </row>
    <row r="5" spans="1:24" x14ac:dyDescent="0.25">
      <c r="A5" s="6" t="s">
        <v>52</v>
      </c>
      <c r="B5" s="5" t="s">
        <v>47</v>
      </c>
      <c r="C5" s="5">
        <v>0</v>
      </c>
    </row>
    <row r="6" spans="1:24" x14ac:dyDescent="0.25">
      <c r="A6" s="52"/>
      <c r="B6" s="53"/>
      <c r="C6" s="16"/>
    </row>
    <row r="7" spans="1:24" x14ac:dyDescent="0.25">
      <c r="A7" s="52"/>
      <c r="B7" s="53"/>
      <c r="C7" s="16"/>
    </row>
    <row r="9" spans="1:24" x14ac:dyDescent="0.25">
      <c r="A9" s="42" t="s">
        <v>61</v>
      </c>
      <c r="B9" s="42"/>
      <c r="C9" s="5">
        <v>1980</v>
      </c>
      <c r="D9" s="5">
        <v>2020</v>
      </c>
      <c r="E9" s="5">
        <f t="shared" ref="E9:X9" si="0">D9+5</f>
        <v>2025</v>
      </c>
      <c r="F9" s="5">
        <f t="shared" si="0"/>
        <v>2030</v>
      </c>
      <c r="G9" s="5">
        <f t="shared" si="0"/>
        <v>2035</v>
      </c>
      <c r="H9" s="5">
        <f t="shared" si="0"/>
        <v>2040</v>
      </c>
      <c r="I9" s="5">
        <f t="shared" si="0"/>
        <v>2045</v>
      </c>
      <c r="J9" s="5">
        <f t="shared" si="0"/>
        <v>2050</v>
      </c>
      <c r="K9" s="5">
        <f t="shared" si="0"/>
        <v>2055</v>
      </c>
      <c r="L9" s="5">
        <f t="shared" si="0"/>
        <v>2060</v>
      </c>
      <c r="M9" s="5">
        <f t="shared" si="0"/>
        <v>2065</v>
      </c>
      <c r="N9" s="5">
        <f t="shared" si="0"/>
        <v>2070</v>
      </c>
      <c r="O9" s="5">
        <f t="shared" si="0"/>
        <v>2075</v>
      </c>
      <c r="P9" s="5">
        <f t="shared" si="0"/>
        <v>2080</v>
      </c>
      <c r="Q9" s="5">
        <f t="shared" si="0"/>
        <v>2085</v>
      </c>
      <c r="R9" s="5">
        <f t="shared" si="0"/>
        <v>2090</v>
      </c>
      <c r="S9" s="5">
        <f t="shared" si="0"/>
        <v>2095</v>
      </c>
      <c r="T9" s="5">
        <f t="shared" si="0"/>
        <v>2100</v>
      </c>
      <c r="U9" s="5">
        <f t="shared" si="0"/>
        <v>2105</v>
      </c>
      <c r="V9" s="5">
        <f t="shared" si="0"/>
        <v>2110</v>
      </c>
      <c r="W9" s="5">
        <f t="shared" si="0"/>
        <v>2115</v>
      </c>
      <c r="X9" s="5">
        <f t="shared" si="0"/>
        <v>2120</v>
      </c>
    </row>
    <row r="10" spans="1:24" x14ac:dyDescent="0.25">
      <c r="A10" s="6" t="s">
        <v>61</v>
      </c>
      <c r="B10" s="5" t="s">
        <v>62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3" spans="1:24" x14ac:dyDescent="0.25">
      <c r="A13" s="6" t="s">
        <v>65</v>
      </c>
      <c r="B13" s="5" t="s">
        <v>66</v>
      </c>
      <c r="C13" s="44">
        <v>8</v>
      </c>
    </row>
    <row r="15" spans="1:24" x14ac:dyDescent="0.25">
      <c r="A15" s="60" t="s">
        <v>67</v>
      </c>
      <c r="B15" s="60"/>
      <c r="C15" s="60"/>
    </row>
    <row r="16" spans="1:24" x14ac:dyDescent="0.25">
      <c r="A16" s="6" t="s">
        <v>68</v>
      </c>
      <c r="B16" s="5" t="s">
        <v>69</v>
      </c>
      <c r="C16" s="57">
        <v>2.7869999999999999</v>
      </c>
    </row>
    <row r="17" spans="1:3" x14ac:dyDescent="0.25">
      <c r="A17" s="6" t="s">
        <v>70</v>
      </c>
      <c r="B17" s="5" t="s">
        <v>69</v>
      </c>
      <c r="C17" s="57">
        <f>C16*0.61</f>
        <v>1.70007</v>
      </c>
    </row>
  </sheetData>
  <mergeCells count="1">
    <mergeCell ref="A15:C15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67</vt:i4>
      </vt:variant>
    </vt:vector>
  </HeadingPairs>
  <TitlesOfParts>
    <vt:vector size="71" baseType="lpstr">
      <vt:lpstr>Global</vt:lpstr>
      <vt:lpstr>World</vt:lpstr>
      <vt:lpstr>Europe</vt:lpstr>
      <vt:lpstr>Catalonia</vt:lpstr>
      <vt:lpstr>Catalonia!accessible_runnoff_water</vt:lpstr>
      <vt:lpstr>Europe!accessible_runnoff_water</vt:lpstr>
      <vt:lpstr>World!accessible_runnoff_water</vt:lpstr>
      <vt:lpstr>Catalonia!afforestation</vt:lpstr>
      <vt:lpstr>Europe!afforestation</vt:lpstr>
      <vt:lpstr>Europe!average_solar_I</vt:lpstr>
      <vt:lpstr>Europe!cumulative_emissions_to_1995</vt:lpstr>
      <vt:lpstr>World!cumulative_emissions_to_1995</vt:lpstr>
      <vt:lpstr>Catalonia!daily_working_hours</vt:lpstr>
      <vt:lpstr>Europe!daily_working_hours</vt:lpstr>
      <vt:lpstr>World!daily_working_hours</vt:lpstr>
      <vt:lpstr>Europe!damage_function_parameter_a</vt:lpstr>
      <vt:lpstr>World!damage_function_parameter_a</vt:lpstr>
      <vt:lpstr>Europe!damage_function_parameter_b</vt:lpstr>
      <vt:lpstr>World!damage_function_parameter_b</vt:lpstr>
      <vt:lpstr>Global!employment_factor_biofuels</vt:lpstr>
      <vt:lpstr>Global!employment_factor_fuel_supply_solids_bioe</vt:lpstr>
      <vt:lpstr>Global!employment_factors_new_res_elec</vt:lpstr>
      <vt:lpstr>Global!employment_factors_new_res_heat</vt:lpstr>
      <vt:lpstr>Global!employment_factors_o_m_res_elec</vt:lpstr>
      <vt:lpstr>Global!employment_factors_o_m_res_heat</vt:lpstr>
      <vt:lpstr>Global!end_historical_year</vt:lpstr>
      <vt:lpstr>Global!eol_rr_minerals_alt_techn_res_vs_total_economy</vt:lpstr>
      <vt:lpstr>Global!gch4_coal</vt:lpstr>
      <vt:lpstr>Global!gch4_conv_gas</vt:lpstr>
      <vt:lpstr>Global!gch4_ctl</vt:lpstr>
      <vt:lpstr>Global!gch4_gtl</vt:lpstr>
      <vt:lpstr>Global!gch4_oil</vt:lpstr>
      <vt:lpstr>Global!gch4_unconventional_gas</vt:lpstr>
      <vt:lpstr>Global!gco2_coal</vt:lpstr>
      <vt:lpstr>Global!gco2_conventional_gas</vt:lpstr>
      <vt:lpstr>Global!gco2_conventional_oil</vt:lpstr>
      <vt:lpstr>Global!gco2_ctl</vt:lpstr>
      <vt:lpstr>Global!gco2_gtl</vt:lpstr>
      <vt:lpstr>Global!gco2_shale_oil</vt:lpstr>
      <vt:lpstr>Global!gco2_unconventional_gas</vt:lpstr>
      <vt:lpstr>Global!gco2_unconventional_oil</vt:lpstr>
      <vt:lpstr>Europe!global_arable_land</vt:lpstr>
      <vt:lpstr>World!global_arable_land</vt:lpstr>
      <vt:lpstr>Catalonia!historic_population</vt:lpstr>
      <vt:lpstr>Europe!historic_population</vt:lpstr>
      <vt:lpstr>World!historic_population</vt:lpstr>
      <vt:lpstr>Catalonia!initial_population</vt:lpstr>
      <vt:lpstr>Europe!initial_population</vt:lpstr>
      <vt:lpstr>World!initial_population</vt:lpstr>
      <vt:lpstr>Europe!input_population</vt:lpstr>
      <vt:lpstr>World!input_population</vt:lpstr>
      <vt:lpstr>Global!maximum_recycling_rate_minerals</vt:lpstr>
      <vt:lpstr>Catalonia!people_relying_on_traditional_biomass</vt:lpstr>
      <vt:lpstr>Europe!people_relying_on_traditional_biomass</vt:lpstr>
      <vt:lpstr>World!people_relying_on_traditional_biomass</vt:lpstr>
      <vt:lpstr>Global!ratio_total_vs_direct_jobs_res_elec</vt:lpstr>
      <vt:lpstr>Global!ratio_total_vs_direct_jobs_res_heat</vt:lpstr>
      <vt:lpstr>Catalonia!renewable_water_resources</vt:lpstr>
      <vt:lpstr>Europe!renewable_water_resources</vt:lpstr>
      <vt:lpstr>World!renewable_water_resources</vt:lpstr>
      <vt:lpstr>Catalonia!time_afforestation</vt:lpstr>
      <vt:lpstr>Europe!time_afforestation</vt:lpstr>
      <vt:lpstr>Catalonia!time_historic_population</vt:lpstr>
      <vt:lpstr>Europe!time_historic_population</vt:lpstr>
      <vt:lpstr>World!time_historic_population</vt:lpstr>
      <vt:lpstr>Europe!time_index_projection</vt:lpstr>
      <vt:lpstr>World!time_index_projection</vt:lpstr>
      <vt:lpstr>World!tped_acceptable_standard_living</vt:lpstr>
      <vt:lpstr>World!tpefpc_threshold_high_development</vt:lpstr>
      <vt:lpstr>Europe!urban_surface_2008</vt:lpstr>
      <vt:lpstr>World!urban_surface_2008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Roger</dc:creator>
  <dc:description/>
  <cp:lastModifiedBy>Joan Enric Alcover</cp:lastModifiedBy>
  <cp:revision>3</cp:revision>
  <dcterms:created xsi:type="dcterms:W3CDTF">2021-10-25T09:36:54Z</dcterms:created>
  <dcterms:modified xsi:type="dcterms:W3CDTF">2025-10-30T11:48:47Z</dcterms:modified>
  <dc:language>ca-ES</dc:language>
</cp:coreProperties>
</file>