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E4E8E760-A076-42FE-A7AA-3CF07FB04337}" xr6:coauthVersionLast="47" xr6:coauthVersionMax="47" xr10:uidLastSave="{00000000-0000-0000-0000-000000000000}"/>
  <bookViews>
    <workbookView xWindow="735" yWindow="735" windowWidth="28800" windowHeight="14415" tabRatio="500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  <sheet name="Hoja1" sheetId="5" r:id="rId5"/>
  </sheets>
  <definedNames>
    <definedName name="alpha_pkm" localSheetId="2">Europe!#REF!</definedName>
    <definedName name="bateries_ratio_2w_E" localSheetId="0">Global!$B$55</definedName>
    <definedName name="bateries_ratio_bus_E" localSheetId="0">Global!$B$53</definedName>
    <definedName name="bateries_ratio_hib_bus" localSheetId="0">Global!$B$54</definedName>
    <definedName name="bateries_ratio_hib_hv" localSheetId="0">Global!$B$52</definedName>
    <definedName name="bateries_ratio_hib_lv" localSheetId="0">Global!#REF!</definedName>
    <definedName name="beta_pkm" localSheetId="2">Europe!$C$5</definedName>
    <definedName name="beta_tkm" localSheetId="2">Europe!$B$5</definedName>
    <definedName name="cicles_over_lifetime" localSheetId="0">Global!$B$66:$B$70</definedName>
    <definedName name="cp_evs_transport" localSheetId="0">Global!$B$73:$B$76</definedName>
    <definedName name="efficiency_pkm" localSheetId="0">Global!$B$24:$F$27</definedName>
    <definedName name="efficiency_pkm_improvment" localSheetId="0">Global!$B$29:$F$32</definedName>
    <definedName name="efficiency_tkm" localSheetId="0">Global!$B$40:$F$43</definedName>
    <definedName name="efficiency_tkm_improvment" localSheetId="0">Global!$B$45:$F$48</definedName>
    <definedName name="efficiency_tkm_liquids">World!$B$39:$D$39</definedName>
    <definedName name="EJ_pkm_liquids" localSheetId="0">Global!$B$24:$F$24</definedName>
    <definedName name="EJ_tkm_liquids" localSheetId="0">Global!$B$40:$F$40</definedName>
    <definedName name="elec_2w" localSheetId="1">World!$B$94</definedName>
    <definedName name="end_historical_data" localSheetId="3">Catalonia!$B$9</definedName>
    <definedName name="end_historical_data" localSheetId="2">Europe!$B$9</definedName>
    <definedName name="end_historical_data" localSheetId="1">World!$B$7</definedName>
    <definedName name="end_historicla_data">World!$B$7</definedName>
    <definedName name="energy_initial_inland_transport" localSheetId="3">Catalonia!$B$99:$B$111</definedName>
    <definedName name="energy_initial_inland_transport" localSheetId="2">Europe!#REF!</definedName>
    <definedName name="energy_initial_inland_transport" localSheetId="1">World!$B$96:$B$108</definedName>
    <definedName name="H_4_wheels_hyb" localSheetId="3">Catalonia!$B$46</definedName>
    <definedName name="H_4_wheels_hyb" localSheetId="1">World!$B$51</definedName>
    <definedName name="H_4wheels_elec" localSheetId="3">Catalonia!$B$45</definedName>
    <definedName name="H_4wheels_elec" localSheetId="2">Europe!#REF!</definedName>
    <definedName name="H_4wheels_elec" localSheetId="1">World!$B$50</definedName>
    <definedName name="H_4wheels_hyb" localSheetId="2">Europe!#REF!</definedName>
    <definedName name="H_4wheels_hyb" localSheetId="1">World!$B$45</definedName>
    <definedName name="historic_fuel_share_households_pkm" localSheetId="2">Europe!$C$31:$AE$34</definedName>
    <definedName name="historic_fuel_share_inland_pkm" localSheetId="2">Europe!$C$27:$AE$30</definedName>
    <definedName name="historic_fuel_share_maritime_pkm" localSheetId="2">Europe!$C$39:$AE$42</definedName>
    <definedName name="historic_fuel_share_rail_pkm" localSheetId="2">Europe!$C$35:$AE$38</definedName>
    <definedName name="historic_fuel_share_rail_tkm" localSheetId="2">Europe!$C$53:$AE$56</definedName>
    <definedName name="historic_fuel_share_road_heavy_tkm" localSheetId="2">Europe!$C$45:$AE$48</definedName>
    <definedName name="historic_fuel_share_road_light_tkm" localSheetId="2">Europe!$C$49:$AE$52</definedName>
    <definedName name="historic_heavy_truck_vehicles" localSheetId="2">Europe!$C$66:$AE$69</definedName>
    <definedName name="historic_household_vehicles" localSheetId="2">Europe!$C$79:$AE$82</definedName>
    <definedName name="historic_light_truck_vehicles" localSheetId="2">Europe!$C$70:$AE$73</definedName>
    <definedName name="historic_pkm" localSheetId="2">Europe!$C$19:$AE$19</definedName>
    <definedName name="historic_pkm_GDP" localSheetId="3">Catalonia!$B$18:$V$18</definedName>
    <definedName name="historic_pkm_GDP" localSheetId="1">World!$B$15:$V$15</definedName>
    <definedName name="historic_share_batteries_bus" localSheetId="2">Europe!$C$95:$L$99</definedName>
    <definedName name="historic_share_batteries_ev" localSheetId="2">Europe!$C$90:$L$94</definedName>
    <definedName name="historic_share_batteries_heavy_trucks" localSheetId="2">Europe!$C$105:$L$109</definedName>
    <definedName name="historic_share_batteries_trucks" localSheetId="2">Europe!$C$100:$L$104</definedName>
    <definedName name="historic_tkm" localSheetId="2">Europe!$C$12:$AE$12</definedName>
    <definedName name="historic_tkm_GDP" localSheetId="3">Catalonia!$B$12:$V$12</definedName>
    <definedName name="historic_tkm_GDP" localSheetId="1">World!$B$10:$V$10</definedName>
    <definedName name="initial_com_veh_electr_hyb" localSheetId="1">World!$B$75:$B$76</definedName>
    <definedName name="initial_economy_transport_pkm" localSheetId="3">Catalonia!$B$117</definedName>
    <definedName name="initial_economy_transport_pkm" localSheetId="2">Europe!#REF!</definedName>
    <definedName name="initial_economy_transport_pkm" localSheetId="1">World!#REF!</definedName>
    <definedName name="initial_economy_transport_tkm" localSheetId="3">Catalonia!$B$116</definedName>
    <definedName name="initial_economy_transport_tkm" localSheetId="2">Europe!#REF!</definedName>
    <definedName name="initial_economy_transport_tkm" localSheetId="1">World!$B$113</definedName>
    <definedName name="initial_ei_households_transport" localSheetId="3">Catalonia!$B$123:$B$127</definedName>
    <definedName name="initial_ei_households_transport" localSheetId="2">Europe!$B$114:$B$118</definedName>
    <definedName name="initial_ei_households_transport" localSheetId="1">World!$B$128:$B$132</definedName>
    <definedName name="initial_energy_intensity_households_transport" localSheetId="3">Catalonia!$B$123:$B$126</definedName>
    <definedName name="initial_energy_intensity_households_transport" localSheetId="1">World!$B$121:$B$125</definedName>
    <definedName name="initial_fuel_share_air_pkm" localSheetId="3">Catalonia!$D$35:$D$38</definedName>
    <definedName name="initial_fuel_share_air_pkm" localSheetId="2">Europe!$D$61:$D$85</definedName>
    <definedName name="initial_fuel_share_air_pkm" localSheetId="1">World!$D$31:$D$34</definedName>
    <definedName name="initial_fuel_share_air_tkm" localSheetId="3">Catalonia!$C$35:$C$38</definedName>
    <definedName name="initial_fuel_share_air_tkm" localSheetId="2">Europe!$C$58:$C$61</definedName>
    <definedName name="initial_fuel_share_air_tkm" localSheetId="1">World!$C$31:$C$34</definedName>
    <definedName name="initial_fuel_share_households_pkm" localSheetId="3">Catalonia!$D$39:$D$42</definedName>
    <definedName name="initial_fuel_share_households_pkm" localSheetId="1">World!$D$35:$D$38</definedName>
    <definedName name="initial_fuel_share_inland_pkm" localSheetId="3">Catalonia!$D$27:$D$30</definedName>
    <definedName name="initial_fuel_share_inland_pkm" localSheetId="1">World!$D$23:$D$26</definedName>
    <definedName name="initial_fuel_share_inland_tkm" localSheetId="3">Catalonia!$C$27:$C$30</definedName>
    <definedName name="initial_fuel_share_inland_tkm" localSheetId="1">World!$C$23:$C$26</definedName>
    <definedName name="initial_fuel_share_maritime_pkm" localSheetId="3">Catalonia!$D$31:$D$34</definedName>
    <definedName name="initial_fuel_share_maritime_pkm" localSheetId="1">World!$D$27:$D$30</definedName>
    <definedName name="initial_fuel_share_maritime_tkm" localSheetId="3">Catalonia!$C$31:$C$34</definedName>
    <definedName name="initial_fuel_share_maritime_tkm" localSheetId="2">Europe!$C$57:$C$60</definedName>
    <definedName name="initial_fuel_share_maritime_tkm" localSheetId="1">World!$C$27:$C$30</definedName>
    <definedName name="initial_household_vehicles" localSheetId="3">Catalonia!$B$50</definedName>
    <definedName name="initial_household_vehicles" localSheetId="1">World!$B$55</definedName>
    <definedName name="initial_households_demand" localSheetId="3">Catalonia!$B$119</definedName>
    <definedName name="initial_households_demand" localSheetId="2">Europe!#REF!</definedName>
    <definedName name="initial_households_demand" localSheetId="1">World!$B$117</definedName>
    <definedName name="initial_mode_share" localSheetId="1">World!$V$12:$V$13</definedName>
    <definedName name="initial_percent_T_vehicles" localSheetId="3">Catalonia!$B$76:$B$88</definedName>
    <definedName name="initial_percent_T_vehicles" localSheetId="2">Europe!#REF!</definedName>
    <definedName name="initial_percent_T_vehicles" localSheetId="1">World!#REF!</definedName>
    <definedName name="initial_pkm" localSheetId="2">Europe!$AE$19</definedName>
    <definedName name="initial_pkm" localSheetId="1">World!$B$56</definedName>
    <definedName name="initial_pkm__commercial_inland" localSheetId="2">Europe!#REF!</definedName>
    <definedName name="initial_pkm__commercial_inland" localSheetId="1">World!$B$73</definedName>
    <definedName name="initial_pkm_gdp_2015" localSheetId="2">Europe!$W$16</definedName>
    <definedName name="initial_pkm_households" localSheetId="3">Catalonia!$B$51</definedName>
    <definedName name="initial_pkm_vehicles_com" localSheetId="2">Europe!$C$75:$AE$78</definedName>
    <definedName name="initial_pkm_vehicles_com" localSheetId="1">World!$B$71</definedName>
    <definedName name="initial_share_comercial_pkm" localSheetId="2">Europe!$AE$20</definedName>
    <definedName name="initial_share_pkm_2015" localSheetId="2">Europe!$V$17:$V$20</definedName>
    <definedName name="initial_share_private_pkm" localSheetId="2">Europe!$AE$21</definedName>
    <definedName name="initial_share_road_heavy_tkm" localSheetId="2">Europe!$AE$13</definedName>
    <definedName name="initial_share_road_light_tkm" localSheetId="2">Europe!$AE$14</definedName>
    <definedName name="initial_share_road_tkm" localSheetId="2">Europe!$AE$13</definedName>
    <definedName name="initial_share_transport_sector" localSheetId="1">World!$B$42:$B$46</definedName>
    <definedName name="initial_vehicles_inland" localSheetId="3">Catalonia!$B$53:$B$65</definedName>
    <definedName name="initial_vehicles_inland" localSheetId="2">Europe!#REF!</definedName>
    <definedName name="initial_vehicles_inland" localSheetId="1">World!$B$58:$B$70</definedName>
    <definedName name="initial_Xt_inland" localSheetId="3">Catalonia!$B$116</definedName>
    <definedName name="liq_2w" localSheetId="3">Catalonia!$B$96</definedName>
    <definedName name="liq_4w" localSheetId="3">Catalonia!$B$92</definedName>
    <definedName name="liq_4w" localSheetId="1">World!$B$89</definedName>
    <definedName name="occupancy_pkm" localSheetId="0">#REF!</definedName>
    <definedName name="occupancy_tkm">Global!#REF!</definedName>
    <definedName name="percent_H_vehicles_initial" localSheetId="3">Catalonia!$B$67:$B$72</definedName>
    <definedName name="percent_H_vehicles_initial" localSheetId="1">World!$B$78:$B$83</definedName>
    <definedName name="phi_pkm" localSheetId="2">Europe!$C$6</definedName>
    <definedName name="phi_tkm" localSheetId="2">Europe!$B$6</definedName>
    <definedName name="pkm_2023" localSheetId="2">Europe!$AE$19</definedName>
    <definedName name="pkm_GDP" localSheetId="2">Europe!$C$16:$W$16</definedName>
    <definedName name="pkm_gdp_2015" localSheetId="3">Catalonia!#REF!</definedName>
    <definedName name="pkm_gdp_2015" localSheetId="1">World!$C$6</definedName>
    <definedName name="pkm_gdp_slope" localSheetId="3">Catalonia!$C$5</definedName>
    <definedName name="pkm_gdp_slope" localSheetId="2">Europe!$C$5</definedName>
    <definedName name="pkm_gdp_slope" localSheetId="1">World!$C$5</definedName>
    <definedName name="res0_pkm" localSheetId="2">Europe!$C$7</definedName>
    <definedName name="res0_tkm">Europe!$B$7</definedName>
    <definedName name="saving_ratio_2wE" localSheetId="0">Global!$B$8</definedName>
    <definedName name="saving_ratios_vehicles_pkm" localSheetId="0">Global!$B$17:$E$21</definedName>
    <definedName name="saving_ratios_vehicles_tkm" localSheetId="0">Global!$B$11:$E$14</definedName>
    <definedName name="share_hybrid_electricity_pkm" localSheetId="2">Europe!$C$43:$AE$43</definedName>
    <definedName name="share_transport_mode_hist_pkm" localSheetId="3">Catalonia!$B$20:$V$23</definedName>
    <definedName name="share_transport_mode_hist_pkm" localSheetId="2">Europe!$C$20:$AE$24</definedName>
    <definedName name="share_transport_mode_hist_pkm" localSheetId="1">World!$B$16:$V$19</definedName>
    <definedName name="share_transport_mode_hist_tkm" localSheetId="3">Catalonia!$B$13:$AD$16</definedName>
    <definedName name="share_transport_mode_hist_tkm" localSheetId="2">Europe!$C$13:$AE$17</definedName>
    <definedName name="share_transport_mode_hist_tkm" localSheetId="1">World!$B$11:$V$13</definedName>
    <definedName name="t_cycle" localSheetId="0">Global!$B$79:$B$82</definedName>
    <definedName name="time_index_2015" localSheetId="3">Catalonia!$B$11:$V$11</definedName>
    <definedName name="time_index_2015" localSheetId="2">Europe!$B$9:$V$9</definedName>
    <definedName name="time_index_2015" localSheetId="1">World!$B$9:$V$9</definedName>
    <definedName name="time_index_2023" localSheetId="2">Europe!$C$11:$AE$11</definedName>
    <definedName name="tkm_gdp_2015" localSheetId="3">Catalonia!#REF!</definedName>
    <definedName name="tkm_gdp_2015" localSheetId="1">World!$B$6</definedName>
    <definedName name="tkm_gdp_slope" localSheetId="3">Catalonia!$B$5</definedName>
    <definedName name="tkm_gdp_slope" localSheetId="1">World!$B$5</definedName>
    <definedName name="tkm_initial" localSheetId="2">Europe!$AE$12</definedName>
    <definedName name="year_hist_batteries" localSheetId="2">Europe!$C$89:$L$89</definedName>
    <definedName name="year0_pkm" localSheetId="2">Europe!$C$8</definedName>
    <definedName name="year0_tkm" localSheetId="2">Europe!$B$8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9" i="4" l="1"/>
  <c r="B108" i="2"/>
  <c r="B107" i="2"/>
  <c r="B76" i="2"/>
  <c r="B75" i="2"/>
  <c r="B72" i="2"/>
  <c r="B71" i="2"/>
  <c r="B55" i="2"/>
  <c r="D38" i="2" s="1"/>
  <c r="D36" i="2"/>
  <c r="D25" i="2"/>
  <c r="D23" i="2" s="1"/>
  <c r="C70" i="1"/>
  <c r="C69" i="1"/>
  <c r="C68" i="1"/>
  <c r="C67" i="1"/>
  <c r="C66" i="1"/>
  <c r="B52" i="1"/>
  <c r="D35" i="2" l="1"/>
  <c r="D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B4" authorId="0" shapeId="0" xr:uid="{00000000-0006-0000-0000-000002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EABEV, 2008. Energy Consumption, CO2 Emissions and other considerations related to Battery Electric Vehicles. http://www.going-electric.org/.
La realidad es menor, claro. Los cáluclos que hemos hecho para el coche eléctrico tipo leaf arrojan una necesidad de 72MJ/100Km (de rpoducción eléctrica en una planta). Un coche equivalente de gasolina (en tamaño y prestaciones -ignorando paradas y desgaste de batería-) para un consumo de 5l/100 reales (yo saco exactamente eso a mi furgoneta partner que es mucho más grande), daría 162MJ/100Km, un factor 0,44. De forma más realista probablemente ande por 0,5 (la batería va perdiendo potencia con el uso y mi coche de gasolina no).</t>
        </r>
      </text>
    </comment>
    <comment ref="B5" authorId="0" shapeId="0" xr:uid="{00000000-0006-0000-00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tomado de los datos de wiki para convencionales https://es.wikipedia.org/wiki/Consumo_de_energ%C3%ADa_del_tren_y_de_otros_medios_de_transporte   y de los fabricantes de prius para hibridos  https://www.toyota.com/prius/features/mpg/1221/1223/1224/1225
Pues lo mismo digo. El prius no ahorra, en equivalente en prestaciones, 2/3 de la gasolina o diesel de un vehículo normal, quizás un 75% es más creíble. Lo que sería una mejora ya sustancial</t>
        </r>
      </text>
    </comment>
    <comment ref="B6" authorId="0" shapeId="0" xr:uid="{00000000-0006-0000-0000-000004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>Hekkert MP, Hendriks FHJF, Faaij APC, Neelis ML. Natural gas as an alternative to crude oil in automotive fuel chains well-towheel analysis and transition strategy development. Energy Policy 2005;33:579?94</t>
        </r>
      </text>
    </comment>
    <comment ref="B8" authorId="0" shapeId="0" xr:uid="{00000000-0006-0000-00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comparing data from Energy Production and the Potential for Electric Motorcycles in Solo and Central Java, Indonesia  By: Erick Guerra and Lucia Artavia , January 9, 2016 , Kleinman Center for Energy Policyh  http://kleinmanenergy.upenn.edu/policy-digests/energy-production-and-potential-electric-motorcycles-solo-and-central-java-indonesia
and from conventional motorbikes in Las Cuentas Ecológicas del Transporte en España, Libros en Acción,  Alfonso Sanz Alduán; Pilar Vega Pindado; Miguel Mateos Arribas 2014
7KWh/100Km corresponds with a saving ratio of: 7kWh/ 23,2 KWh = 0,3
For lighter scooters which are the majority in in-development countries (and which currently represent the majority of 2w electric vehicles): 4kWh/ 23,2 Kwh = 0,17 </t>
        </r>
      </text>
    </comment>
    <comment ref="B11" authorId="0" shapeId="0" xr:uid="{00000000-0006-0000-00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3" authorId="0" shapeId="0" xr:uid="{00000000-0006-0000-00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same data as bus since there are no data of real performance</t>
        </r>
      </text>
    </comment>
    <comment ref="B17" authorId="0" shapeId="0" xr:uid="{00000000-0006-0000-0000-000009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9" authorId="0" shapeId="0" xr:uid="{00000000-0006-0000-00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same data as bus since there are no data of real performance</t>
        </r>
      </text>
    </comment>
    <comment ref="A57" authorId="0" shapeId="0" xr:uid="{00000000-0006-0000-0000-000001000000}">
      <text>
        <r>
          <rPr>
            <sz val="10"/>
            <rFont val="Arial"/>
            <family val="2"/>
          </rPr>
          <t>https://www.iea.org/data-and-statistics/charts/ghg-intensity-of-passenger-transport-modes-2019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48" authorId="0" shapeId="0" xr:uid="{00000000-0006-0000-0100-000001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Data of number of vehicle from 'International Energy Agency (2016), Energy Technology Perspectives 2016, OECD/IEA, Paris, except the number of buses taken from Global Transportation Roadmap  
https://onedrive.live.com/?authkey=%21AOvHG9y4Oi%5F0Cts&amp;id=5F88C4E00B2E665B%21409962&amp;cid=5F88C4E00B2E665B
 </t>
        </r>
      </text>
    </comment>
    <comment ref="A50" authorId="0" shapeId="0" xr:uid="{00000000-0006-0000-0100-000002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>elec= batery electric vehicle+plug in hybrid</t>
        </r>
      </text>
    </comment>
    <comment ref="A53" authorId="0" shapeId="0" xr:uid="{00000000-0006-0000-01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Two and three  wheelers gasoline</t>
        </r>
      </text>
    </comment>
    <comment ref="A54" authorId="0" shapeId="0" xr:uid="{00000000-0006-0000-0100-00000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</comment>
    <comment ref="A58" authorId="0" shapeId="0" xr:uid="{00000000-0006-0000-01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heavy vehicles</t>
        </r>
      </text>
    </comment>
    <comment ref="A61" authorId="0" shapeId="0" xr:uid="{00000000-0006-0000-01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light cargo vehicles</t>
        </r>
      </text>
    </comment>
    <comment ref="B65" authorId="0" shapeId="0" xr:uid="{00000000-0006-0000-0100-000007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</comment>
    <comment ref="B68" authorId="0" shapeId="0" xr:uid="{00000000-0006-0000-01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for number of trains found</t>
        </r>
      </text>
    </comment>
    <comment ref="B89" authorId="0" shapeId="0" xr:uid="{00000000-0006-0000-0100-000009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Data from 'International Energy Agency (2016), Energy Technology Perspectives 2016, OECD/IEA, Paris,</t>
        </r>
      </text>
    </comment>
    <comment ref="B93" authorId="0" shapeId="0" xr:uid="{00000000-0006-0000-01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</comment>
    <comment ref="B107" authorId="0" shapeId="0" xr:uid="{00000000-0006-0000-0100-00000B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08" authorId="0" shapeId="0" xr:uid="{00000000-0006-0000-0100-00000C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C108" authorId="0" shapeId="0" xr:uid="{00000000-0006-0000-0100-00000E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09" authorId="0" shapeId="0" xr:uid="{00000000-0006-0000-0100-00000D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both types of energy liquids+electricity mixed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43" authorId="0" shapeId="0" xr:uid="{00000000-0006-0000-0300-000001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no data provided by AEA estimation based on Pocketbook 2017 :
pocketbook 2017  https://ec.europa.eu/transport/sites/transport/files/pocketbook2017.pdf
 </t>
        </r>
      </text>
    </comment>
    <comment ref="A45" authorId="0" shapeId="0" xr:uid="{00000000-0006-0000-0300-000002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>elec= batery electric vehicle+plug in hybrid</t>
        </r>
      </text>
    </comment>
    <comment ref="A48" authorId="0" shapeId="0" xr:uid="{00000000-0006-0000-03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Two and three  wheelers gasoline</t>
        </r>
      </text>
    </comment>
    <comment ref="A49" authorId="0" shapeId="0" xr:uid="{00000000-0006-0000-0300-00000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</comment>
    <comment ref="A52" authorId="0" shapeId="0" xr:uid="{00000000-0006-0000-03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provided by AEA estimation based on Pocketbook 2017 :
pocketbook 2017  https://ec.europa.eu/transport/sites/transport/files/pocketbook2017.pdf</t>
        </r>
      </text>
    </comment>
    <comment ref="A53" authorId="0" shapeId="0" xr:uid="{00000000-0006-0000-03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heavy vehicles</t>
        </r>
      </text>
    </comment>
    <comment ref="A56" authorId="0" shapeId="0" xr:uid="{00000000-0006-0000-0300-000007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light cargo vehicles</t>
        </r>
      </text>
    </comment>
    <comment ref="B60" authorId="0" shapeId="0" xr:uid="{00000000-0006-0000-0300-000009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</comment>
    <comment ref="B62" authorId="0" shapeId="0" xr:uid="{00000000-0006-0000-03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for number of trains found</t>
        </r>
      </text>
    </comment>
    <comment ref="B64" authorId="0" shapeId="0" xr:uid="{00000000-0006-0000-0300-00000B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</t>
        </r>
      </text>
    </comment>
    <comment ref="B65" authorId="0" shapeId="0" xr:uid="{00000000-0006-0000-0300-00000C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</t>
        </r>
      </text>
    </comment>
    <comment ref="A79" authorId="0" shapeId="0" xr:uid="{00000000-0006-0000-03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LV not consider
</t>
        </r>
      </text>
    </comment>
    <comment ref="B87" authorId="0" shapeId="0" xr:uid="{00000000-0006-0000-0300-00000D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available for number to trains</t>
        </r>
      </text>
    </comment>
    <comment ref="B88" authorId="0" shapeId="0" xr:uid="{00000000-0006-0000-0300-00000E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 a boleo no tengo datos de los tresnes, no se como desegregarlos</t>
        </r>
      </text>
    </comment>
    <comment ref="B91" authorId="0" shapeId="0" xr:uid="{00000000-0006-0000-0300-00000F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provided by AEA  estimation based on Pocketbook 2017 tkm and pkm and energy ratios of Las Cuentas Ecologicas del Transporte en España https://www.ecologistasenaccion.org/wp-content/uploads/adjuntos-spip/pdf/info_cuentas-ecologicas.pdf</t>
        </r>
      </text>
    </comment>
    <comment ref="B92" authorId="0" shapeId="0" xr:uid="{00000000-0006-0000-0300-000010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Data from 'International Energy Agency (2016), Energy Technology Perspectives 2016, OECD/IEA, Paris,</t>
        </r>
      </text>
    </comment>
    <comment ref="B96" authorId="0" shapeId="0" xr:uid="{00000000-0006-0000-0300-000011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</comment>
    <comment ref="B110" authorId="0" shapeId="0" xr:uid="{00000000-0006-0000-0300-000012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11" authorId="0" shapeId="0" xr:uid="{00000000-0006-0000-0300-00001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C111" authorId="0" shapeId="0" xr:uid="{00000000-0006-0000-0300-00001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12" authorId="0" shapeId="0" xr:uid="{00000000-0006-0000-0300-00001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both types of energy liquids+electricity mixed</t>
        </r>
      </text>
    </comment>
  </commentList>
</comments>
</file>

<file path=xl/sharedStrings.xml><?xml version="1.0" encoding="utf-8"?>
<sst xmlns="http://schemas.openxmlformats.org/spreadsheetml/2006/main" count="666" uniqueCount="204">
  <si>
    <t>TECHNOLOGICAL CONSTANTS</t>
  </si>
  <si>
    <t>Saving ratios of alternative HOUSEHOLDS vehicles relative to liquids vehicles</t>
  </si>
  <si>
    <t>H liq</t>
  </si>
  <si>
    <t>Dmnl</t>
  </si>
  <si>
    <t>Not used</t>
  </si>
  <si>
    <t>H elec</t>
  </si>
  <si>
    <t>H hyb</t>
  </si>
  <si>
    <t>H gas</t>
  </si>
  <si>
    <t>H2w liq</t>
  </si>
  <si>
    <t>H2w elec</t>
  </si>
  <si>
    <t>Different value in world model (cannonical modified)</t>
  </si>
  <si>
    <t>Saving ratios of alternative vehicles relative to liquids vehicles (tkm)</t>
  </si>
  <si>
    <t>Liquid</t>
  </si>
  <si>
    <t>Gas</t>
  </si>
  <si>
    <t>Electricity</t>
  </si>
  <si>
    <t>Hybrids</t>
  </si>
  <si>
    <t>Road</t>
  </si>
  <si>
    <t>Rail</t>
  </si>
  <si>
    <t>Maritime</t>
  </si>
  <si>
    <t>Air</t>
  </si>
  <si>
    <t>Saving ratios of alternative vehicles relative to liquids vehicles (pkm)</t>
  </si>
  <si>
    <t>Households</t>
  </si>
  <si>
    <t>Passenger Transport parameters</t>
  </si>
  <si>
    <t>Road heavy</t>
  </si>
  <si>
    <t>Road light</t>
  </si>
  <si>
    <t>MJ/pkm liquids</t>
  </si>
  <si>
    <t>MJ/pkm gas</t>
  </si>
  <si>
    <t>MJ/pkm electric</t>
  </si>
  <si>
    <t>MJ/pkm hybrid</t>
  </si>
  <si>
    <t>Improvement</t>
  </si>
  <si>
    <t>Freight Transport parameters</t>
  </si>
  <si>
    <t>MJ/tkm liquids</t>
  </si>
  <si>
    <t>MJ/tkm gas</t>
  </si>
  <si>
    <t>MJ/tkm electricity</t>
  </si>
  <si>
    <t>MJ/tkm hybrid</t>
  </si>
  <si>
    <t>Bateries ratio</t>
  </si>
  <si>
    <t>HV hyb</t>
  </si>
  <si>
    <t>bus hib</t>
  </si>
  <si>
    <t>2 wheels elec</t>
  </si>
  <si>
    <t xml:space="preserve">gCO2eq/pkm </t>
  </si>
  <si>
    <t>Urban</t>
  </si>
  <si>
    <t>Non-Urban</t>
  </si>
  <si>
    <t>min</t>
  </si>
  <si>
    <t>max</t>
  </si>
  <si>
    <t>Two/three-wheelers</t>
  </si>
  <si>
    <t>Buses and minibuses</t>
  </si>
  <si>
    <t>Small and medium cars</t>
  </si>
  <si>
    <t>Large cars</t>
  </si>
  <si>
    <t>Chemical</t>
  </si>
  <si>
    <t>Mean cycles</t>
  </si>
  <si>
    <t>NCM111</t>
  </si>
  <si>
    <t>LFP</t>
  </si>
  <si>
    <t>NCM 811</t>
  </si>
  <si>
    <t>NCM 622</t>
  </si>
  <si>
    <t>NCA</t>
  </si>
  <si>
    <t>Cp vehicles</t>
  </si>
  <si>
    <t>Capacity factor</t>
  </si>
  <si>
    <t>cp_evs_transport</t>
  </si>
  <si>
    <t>Private car</t>
  </si>
  <si>
    <t>Electric bus</t>
  </si>
  <si>
    <t>Heavy Truck</t>
  </si>
  <si>
    <t>Light Truck</t>
  </si>
  <si>
    <t>T cycle</t>
  </si>
  <si>
    <t>Hours to complete a discharging cycle</t>
  </si>
  <si>
    <t>PARAMETERS OF THE ALTERNATIVE TRANSPORTATIONS MODULE</t>
  </si>
  <si>
    <t>INITIAL VALUES  (dates in calibration year, 2015)</t>
  </si>
  <si>
    <t>TKM</t>
  </si>
  <si>
    <t>PKM/GDP</t>
  </si>
  <si>
    <t>Slope</t>
  </si>
  <si>
    <t>Initial value (time=0)</t>
  </si>
  <si>
    <t>End historicla data</t>
  </si>
  <si>
    <t>Historical Data tkm</t>
  </si>
  <si>
    <t>Year</t>
  </si>
  <si>
    <t>tkm</t>
  </si>
  <si>
    <t>Share Inland</t>
  </si>
  <si>
    <t>Share Maritime</t>
  </si>
  <si>
    <t>Share Air</t>
  </si>
  <si>
    <t>Historical Data pkm</t>
  </si>
  <si>
    <t>pkm/gdp</t>
  </si>
  <si>
    <t xml:space="preserve">Share Households (share of inland transport) </t>
  </si>
  <si>
    <t>Initial fuel share by Mode (2015)</t>
  </si>
  <si>
    <t>pkm</t>
  </si>
  <si>
    <t>Inland</t>
  </si>
  <si>
    <t>Hybrid</t>
  </si>
  <si>
    <t xml:space="preserve">Gas </t>
  </si>
  <si>
    <t>Initial fuel share respect transport storage and communication sector (2009)</t>
  </si>
  <si>
    <t>Share elec</t>
  </si>
  <si>
    <t>Share heat</t>
  </si>
  <si>
    <t>Share liquids</t>
  </si>
  <si>
    <t>Share gases</t>
  </si>
  <si>
    <t>Share solids</t>
  </si>
  <si>
    <t>Initial 2015 number of HOUSEHOLDS vehicles (vehicles)</t>
  </si>
  <si>
    <t xml:space="preserve"> vehicles</t>
  </si>
  <si>
    <t>TYPES OF HOUSEHOLD VEHICLES</t>
  </si>
  <si>
    <t>4wheeler electric= batery electric vehicles+plug in hybrids</t>
  </si>
  <si>
    <t>H hib</t>
  </si>
  <si>
    <t>4wheeler hybrid= non plug in hybrids</t>
  </si>
  <si>
    <t>4wheeler gas= natural gas and LPG vehicles</t>
  </si>
  <si>
    <t>2wheeler elec= electric 2 and 2 wheelers</t>
  </si>
  <si>
    <t>H2w E</t>
  </si>
  <si>
    <t>total households 4W vehicles</t>
  </si>
  <si>
    <t>TYPES OF INLAND TRANSPORT SECTOR VEHICLES</t>
  </si>
  <si>
    <t xml:space="preserve">Initial households pkm </t>
  </si>
  <si>
    <t>Initial 2015 number of COMERCIAL vehicles (vehicles)</t>
  </si>
  <si>
    <t>HV= heavy vehicles</t>
  </si>
  <si>
    <t>HV liq</t>
  </si>
  <si>
    <t>LV= light cargo vehicles</t>
  </si>
  <si>
    <t>bus= buses and coaches (urban and non urban)</t>
  </si>
  <si>
    <t>HV gas</t>
  </si>
  <si>
    <t>trains= all railway vehicles</t>
  </si>
  <si>
    <t>LV liq</t>
  </si>
  <si>
    <t>LV elec</t>
  </si>
  <si>
    <t>Clasifications based on 'International Energy Agency (2016), Energy Technology Perspectives 2016, OECD/IEA, Paris'</t>
  </si>
  <si>
    <t>LV hyb</t>
  </si>
  <si>
    <t>LV gas</t>
  </si>
  <si>
    <t>bus liq</t>
  </si>
  <si>
    <t>bus elec</t>
  </si>
  <si>
    <t>bus hyb</t>
  </si>
  <si>
    <t>vehicle</t>
  </si>
  <si>
    <t>bus gas</t>
  </si>
  <si>
    <t>train liq</t>
  </si>
  <si>
    <t>vehicles</t>
  </si>
  <si>
    <t>train elec</t>
  </si>
  <si>
    <t>initial commercial pkm vehicles inland</t>
  </si>
  <si>
    <t>initial tkm vehicles inland</t>
  </si>
  <si>
    <t>initial pkm  commercial inland</t>
  </si>
  <si>
    <t>initial tkm inland</t>
  </si>
  <si>
    <t>initial EV commercial</t>
  </si>
  <si>
    <t>Initial hybrid vehicles commercial</t>
  </si>
  <si>
    <t>Initial percentage of HOUSEHOLD  vehicles (2015) as a function of all 2wheerlers+4 wheelers</t>
  </si>
  <si>
    <t>H 4w liq</t>
  </si>
  <si>
    <t>H 4w elec</t>
  </si>
  <si>
    <t>H4w  hyb</t>
  </si>
  <si>
    <t>H 4w gas</t>
  </si>
  <si>
    <t>Energy used initially for HOUSEHOLDS vehicles (2015) EJ</t>
  </si>
  <si>
    <t>EJ</t>
  </si>
  <si>
    <t>H 4w hyb</t>
  </si>
  <si>
    <t>Energy used initially COMMERCIAL vehicles (2015)</t>
  </si>
  <si>
    <t>HV hib</t>
  </si>
  <si>
    <t xml:space="preserve">train liq </t>
  </si>
  <si>
    <t>train liq+E</t>
  </si>
  <si>
    <t>Initial economic activity of transport sector (T$)  (2015)</t>
  </si>
  <si>
    <t>Xt(0)</t>
  </si>
  <si>
    <t>T$US1995</t>
  </si>
  <si>
    <t>Initial transport storage and communication</t>
  </si>
  <si>
    <t>D_tsc</t>
  </si>
  <si>
    <t>Initial households demand (2015) T$</t>
  </si>
  <si>
    <t>DH(0)</t>
  </si>
  <si>
    <t xml:space="preserve"> </t>
  </si>
  <si>
    <t>Initial energy intensity of households transport (EJ/T$)</t>
  </si>
  <si>
    <t>electricity</t>
  </si>
  <si>
    <t>EJ/T$</t>
  </si>
  <si>
    <t>heat</t>
  </si>
  <si>
    <t>liquids</t>
  </si>
  <si>
    <t>gases</t>
  </si>
  <si>
    <t>solids</t>
  </si>
  <si>
    <t>1. TRANSPORT QUANTITIES</t>
  </si>
  <si>
    <t>PKM</t>
  </si>
  <si>
    <t>beta</t>
  </si>
  <si>
    <t>AR(1)</t>
  </si>
  <si>
    <t>Last residual</t>
  </si>
  <si>
    <t>reference year</t>
  </si>
  <si>
    <t>tkm (1e9)</t>
  </si>
  <si>
    <t>Share road heavy</t>
  </si>
  <si>
    <t>Share road light</t>
  </si>
  <si>
    <t>Share rail</t>
  </si>
  <si>
    <t>pkm (1e9)</t>
  </si>
  <si>
    <t>Share road</t>
  </si>
  <si>
    <t>Share Households</t>
  </si>
  <si>
    <t>Historical fuel share pkm</t>
  </si>
  <si>
    <t>Share hybrid electricity</t>
  </si>
  <si>
    <t>Historical fuel share tkm</t>
  </si>
  <si>
    <t>road heavy</t>
  </si>
  <si>
    <t>gas</t>
  </si>
  <si>
    <t>hybrid</t>
  </si>
  <si>
    <t>road light</t>
  </si>
  <si>
    <t>Historic share maritime and air</t>
  </si>
  <si>
    <t>Air and maritime</t>
  </si>
  <si>
    <t>2. VEHICLES QUANTITIES</t>
  </si>
  <si>
    <t>Historical vehicles tkm</t>
  </si>
  <si>
    <t>Historical vehicles pkm</t>
  </si>
  <si>
    <t>Road collective</t>
  </si>
  <si>
    <t>Road private</t>
  </si>
  <si>
    <t>Initial share EV batteries</t>
  </si>
  <si>
    <t>NCM 111</t>
  </si>
  <si>
    <t>Initial share batteries buses</t>
  </si>
  <si>
    <t>Initial share batteries light trucks</t>
  </si>
  <si>
    <t>Initial share batteries heavy trucks</t>
  </si>
  <si>
    <t>alpha</t>
  </si>
  <si>
    <t>H 4 wheels liq</t>
  </si>
  <si>
    <t>H 4wheels elec</t>
  </si>
  <si>
    <t>H 4 wheels hyb</t>
  </si>
  <si>
    <t>H 4wheels gas</t>
  </si>
  <si>
    <t>4wheeler gas= natural gas (no LPG)</t>
  </si>
  <si>
    <t>H 2wheels liq</t>
  </si>
  <si>
    <t>H 2wheels E</t>
  </si>
  <si>
    <t>total households</t>
  </si>
  <si>
    <t>initial pkm households</t>
  </si>
  <si>
    <t xml:space="preserve">Clasifications based on </t>
  </si>
  <si>
    <t>dmnl</t>
  </si>
  <si>
    <t>Initial percentage of COMERCIAL  vehicles (2015) realtive to each type (HV, LV, bus, train)</t>
  </si>
  <si>
    <t>Energy used initially for HOUSEHOLDS vehicles (2015)</t>
  </si>
  <si>
    <t>Initial economic activity of inland transport sector (T$)  (2015)</t>
  </si>
  <si>
    <t>Xt(0)_pkm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</si>
</sst>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0"/>
      <color rgb="FFFF0000"/>
      <name val="Calibri"/>
      <family val="2"/>
      <charset val="1"/>
    </font>
    <font>
      <b/>
      <u/>
      <sz val="11"/>
      <name val="Calibri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8F200"/>
        <bgColor rgb="FFFFFF00"/>
      </patternFill>
    </fill>
    <fill>
      <patternFill patternType="solid">
        <fgColor rgb="FF8FAADC"/>
        <bgColor rgb="FF969696"/>
      </patternFill>
    </fill>
    <fill>
      <patternFill patternType="solid">
        <fgColor rgb="FFDAE3F3"/>
        <bgColor rgb="FFE7E6E6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8F200"/>
      </patternFill>
    </fill>
    <fill>
      <patternFill patternType="solid">
        <fgColor rgb="FF92D050"/>
        <bgColor rgb="FF969696"/>
      </patternFill>
    </fill>
    <fill>
      <patternFill patternType="solid">
        <fgColor rgb="FF595959"/>
        <bgColor rgb="FF333333"/>
      </patternFill>
    </fill>
    <fill>
      <patternFill patternType="solid">
        <fgColor rgb="FFEDEDED"/>
        <bgColor rgb="FFE7E6E6"/>
      </patternFill>
    </fill>
    <fill>
      <patternFill patternType="solid">
        <fgColor rgb="FFB4C7E7"/>
        <bgColor rgb="FF99CCFF"/>
      </patternFill>
    </fill>
    <fill>
      <patternFill patternType="solid">
        <fgColor rgb="FFE7E6E6"/>
        <bgColor rgb="FFEDEDED"/>
      </patternFill>
    </fill>
  </fills>
  <borders count="4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</borders>
  <cellStyleXfs count="8">
    <xf numFmtId="0" fontId="0" fillId="0" borderId="0"/>
    <xf numFmtId="9" fontId="16" fillId="0" borderId="0" applyBorder="0" applyProtection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86">
    <xf numFmtId="0" fontId="0" fillId="0" borderId="0" xfId="0"/>
    <xf numFmtId="0" fontId="0" fillId="0" borderId="3" xfId="0" applyBorder="1" applyAlignment="1">
      <alignment horizontal="center" vertical="center"/>
    </xf>
    <xf numFmtId="0" fontId="0" fillId="2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4" borderId="3" xfId="0" applyFill="1" applyBorder="1"/>
    <xf numFmtId="2" fontId="0" fillId="4" borderId="3" xfId="0" applyNumberFormat="1" applyFill="1" applyBorder="1"/>
    <xf numFmtId="0" fontId="2" fillId="0" borderId="0" xfId="0" applyFont="1"/>
    <xf numFmtId="0" fontId="0" fillId="4" borderId="6" xfId="0" applyFill="1" applyBorder="1"/>
    <xf numFmtId="2" fontId="0" fillId="4" borderId="6" xfId="0" applyNumberFormat="1" applyFill="1" applyBorder="1"/>
    <xf numFmtId="0" fontId="0" fillId="0" borderId="8" xfId="0" applyBorder="1"/>
    <xf numFmtId="0" fontId="0" fillId="4" borderId="4" xfId="0" applyFill="1" applyBorder="1"/>
    <xf numFmtId="0" fontId="0" fillId="4" borderId="2" xfId="0" applyFill="1" applyBorder="1"/>
    <xf numFmtId="11" fontId="2" fillId="4" borderId="3" xfId="0" applyNumberFormat="1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0" fillId="4" borderId="9" xfId="0" applyFill="1" applyBorder="1"/>
    <xf numFmtId="11" fontId="2" fillId="4" borderId="6" xfId="0" applyNumberFormat="1" applyFont="1" applyFill="1" applyBorder="1"/>
    <xf numFmtId="0" fontId="2" fillId="4" borderId="6" xfId="0" applyFont="1" applyFill="1" applyBorder="1"/>
    <xf numFmtId="0" fontId="2" fillId="4" borderId="10" xfId="0" applyFont="1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8" xfId="0" applyFill="1" applyBorder="1"/>
    <xf numFmtId="0" fontId="3" fillId="4" borderId="14" xfId="0" applyFont="1" applyFill="1" applyBorder="1"/>
    <xf numFmtId="0" fontId="3" fillId="4" borderId="15" xfId="0" applyFont="1" applyFill="1" applyBorder="1"/>
    <xf numFmtId="0" fontId="3" fillId="4" borderId="16" xfId="0" applyFont="1" applyFill="1" applyBorder="1"/>
    <xf numFmtId="0" fontId="0" fillId="4" borderId="7" xfId="0" applyFill="1" applyBorder="1"/>
    <xf numFmtId="2" fontId="4" fillId="4" borderId="17" xfId="0" applyNumberFormat="1" applyFont="1" applyFill="1" applyBorder="1"/>
    <xf numFmtId="2" fontId="4" fillId="4" borderId="12" xfId="0" applyNumberFormat="1" applyFont="1" applyFill="1" applyBorder="1"/>
    <xf numFmtId="2" fontId="4" fillId="4" borderId="13" xfId="0" applyNumberFormat="1" applyFont="1" applyFill="1" applyBorder="1"/>
    <xf numFmtId="0" fontId="0" fillId="4" borderId="18" xfId="0" applyFill="1" applyBorder="1"/>
    <xf numFmtId="2" fontId="4" fillId="4" borderId="19" xfId="0" applyNumberFormat="1" applyFont="1" applyFill="1" applyBorder="1"/>
    <xf numFmtId="2" fontId="4" fillId="4" borderId="3" xfId="0" applyNumberFormat="1" applyFont="1" applyFill="1" applyBorder="1"/>
    <xf numFmtId="2" fontId="4" fillId="4" borderId="4" xfId="0" applyNumberFormat="1" applyFont="1" applyFill="1" applyBorder="1"/>
    <xf numFmtId="0" fontId="0" fillId="4" borderId="20" xfId="0" applyFill="1" applyBorder="1"/>
    <xf numFmtId="2" fontId="4" fillId="4" borderId="21" xfId="0" applyNumberFormat="1" applyFont="1" applyFill="1" applyBorder="1"/>
    <xf numFmtId="2" fontId="4" fillId="4" borderId="22" xfId="0" applyNumberFormat="1" applyFont="1" applyFill="1" applyBorder="1"/>
    <xf numFmtId="2" fontId="4" fillId="4" borderId="23" xfId="0" applyNumberFormat="1" applyFont="1" applyFill="1" applyBorder="1"/>
    <xf numFmtId="0" fontId="0" fillId="4" borderId="24" xfId="0" applyFill="1" applyBorder="1"/>
    <xf numFmtId="11" fontId="2" fillId="4" borderId="25" xfId="0" applyNumberFormat="1" applyFont="1" applyFill="1" applyBorder="1"/>
    <xf numFmtId="11" fontId="2" fillId="4" borderId="26" xfId="0" applyNumberFormat="1" applyFont="1" applyFill="1" applyBorder="1"/>
    <xf numFmtId="11" fontId="2" fillId="4" borderId="10" xfId="0" applyNumberFormat="1" applyFont="1" applyFill="1" applyBorder="1"/>
    <xf numFmtId="0" fontId="0" fillId="4" borderId="27" xfId="0" applyFill="1" applyBorder="1"/>
    <xf numFmtId="11" fontId="2" fillId="4" borderId="22" xfId="0" applyNumberFormat="1" applyFont="1" applyFill="1" applyBorder="1"/>
    <xf numFmtId="11" fontId="2" fillId="4" borderId="23" xfId="0" applyNumberFormat="1" applyFont="1" applyFill="1" applyBorder="1"/>
    <xf numFmtId="2" fontId="2" fillId="4" borderId="19" xfId="0" applyNumberFormat="1" applyFont="1" applyFill="1" applyBorder="1"/>
    <xf numFmtId="0" fontId="0" fillId="3" borderId="28" xfId="0" applyFill="1" applyBorder="1"/>
    <xf numFmtId="0" fontId="0" fillId="3" borderId="29" xfId="0" applyFill="1" applyBorder="1"/>
    <xf numFmtId="0" fontId="0" fillId="3" borderId="17" xfId="0" applyFill="1" applyBorder="1"/>
    <xf numFmtId="0" fontId="0" fillId="3" borderId="30" xfId="0" applyFill="1" applyBorder="1"/>
    <xf numFmtId="0" fontId="7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31" xfId="0" applyFill="1" applyBorder="1"/>
    <xf numFmtId="0" fontId="0" fillId="7" borderId="32" xfId="0" applyFill="1" applyBorder="1"/>
    <xf numFmtId="0" fontId="0" fillId="7" borderId="33" xfId="0" applyFill="1" applyBorder="1"/>
    <xf numFmtId="0" fontId="3" fillId="0" borderId="2" xfId="0" applyFont="1" applyBorder="1"/>
    <xf numFmtId="11" fontId="4" fillId="0" borderId="22" xfId="0" applyNumberFormat="1" applyFont="1" applyBorder="1"/>
    <xf numFmtId="11" fontId="0" fillId="0" borderId="22" xfId="0" applyNumberFormat="1" applyBorder="1"/>
    <xf numFmtId="0" fontId="3" fillId="0" borderId="34" xfId="0" applyFont="1" applyBorder="1"/>
    <xf numFmtId="0" fontId="0" fillId="0" borderId="35" xfId="0" applyBorder="1"/>
    <xf numFmtId="0" fontId="3" fillId="0" borderId="3" xfId="0" applyFont="1" applyBorder="1"/>
    <xf numFmtId="0" fontId="0" fillId="0" borderId="3" xfId="0" applyBorder="1"/>
    <xf numFmtId="11" fontId="0" fillId="0" borderId="3" xfId="0" applyNumberFormat="1" applyBorder="1"/>
    <xf numFmtId="11" fontId="0" fillId="0" borderId="0" xfId="0" applyNumberFormat="1"/>
    <xf numFmtId="0" fontId="3" fillId="0" borderId="0" xfId="0" applyFont="1"/>
    <xf numFmtId="0" fontId="0" fillId="0" borderId="2" xfId="0" applyBorder="1"/>
    <xf numFmtId="0" fontId="0" fillId="0" borderId="4" xfId="0" applyBorder="1"/>
    <xf numFmtId="2" fontId="0" fillId="0" borderId="4" xfId="0" applyNumberFormat="1" applyBorder="1"/>
    <xf numFmtId="2" fontId="4" fillId="0" borderId="3" xfId="0" applyNumberFormat="1" applyFont="1" applyBorder="1"/>
    <xf numFmtId="2" fontId="4" fillId="0" borderId="4" xfId="0" applyNumberFormat="1" applyFont="1" applyBorder="1"/>
    <xf numFmtId="0" fontId="0" fillId="8" borderId="3" xfId="0" applyFill="1" applyBorder="1"/>
    <xf numFmtId="0" fontId="0" fillId="3" borderId="0" xfId="0" applyFill="1"/>
    <xf numFmtId="3" fontId="0" fillId="0" borderId="12" xfId="0" applyNumberFormat="1" applyBorder="1" applyAlignment="1">
      <alignment horizontal="center"/>
    </xf>
    <xf numFmtId="0" fontId="0" fillId="4" borderId="19" xfId="0" applyFill="1" applyBorder="1"/>
    <xf numFmtId="0" fontId="0" fillId="4" borderId="36" xfId="0" applyFill="1" applyBorder="1"/>
    <xf numFmtId="0" fontId="3" fillId="4" borderId="3" xfId="0" applyFont="1" applyFill="1" applyBorder="1"/>
    <xf numFmtId="0" fontId="0" fillId="4" borderId="0" xfId="0" applyFill="1"/>
    <xf numFmtId="0" fontId="0" fillId="3" borderId="5" xfId="0" applyFill="1" applyBorder="1"/>
    <xf numFmtId="0" fontId="0" fillId="3" borderId="37" xfId="0" applyFill="1" applyBorder="1"/>
    <xf numFmtId="0" fontId="0" fillId="4" borderId="5" xfId="0" applyFill="1" applyBorder="1"/>
    <xf numFmtId="0" fontId="0" fillId="4" borderId="37" xfId="0" applyFill="1" applyBorder="1"/>
    <xf numFmtId="164" fontId="0" fillId="4" borderId="3" xfId="0" applyNumberFormat="1" applyFill="1" applyBorder="1"/>
    <xf numFmtId="0" fontId="0" fillId="0" borderId="37" xfId="0" applyBorder="1"/>
    <xf numFmtId="11" fontId="0" fillId="4" borderId="3" xfId="0" applyNumberFormat="1" applyFill="1" applyBorder="1"/>
    <xf numFmtId="0" fontId="0" fillId="9" borderId="3" xfId="0" applyFill="1" applyBorder="1"/>
    <xf numFmtId="0" fontId="0" fillId="10" borderId="2" xfId="0" applyFill="1" applyBorder="1" applyAlignment="1">
      <alignment horizontal="left"/>
    </xf>
    <xf numFmtId="0" fontId="0" fillId="0" borderId="12" xfId="0" applyBorder="1" applyAlignment="1">
      <alignment horizontal="center"/>
    </xf>
    <xf numFmtId="0" fontId="0" fillId="10" borderId="3" xfId="0" applyFill="1" applyBorder="1" applyAlignment="1">
      <alignment horizontal="left"/>
    </xf>
    <xf numFmtId="0" fontId="0" fillId="0" borderId="3" xfId="0" applyBorder="1" applyAlignment="1">
      <alignment horizontal="center"/>
    </xf>
    <xf numFmtId="0" fontId="8" fillId="6" borderId="0" xfId="0" applyFont="1" applyFill="1"/>
    <xf numFmtId="0" fontId="9" fillId="0" borderId="0" xfId="0" applyFont="1" applyAlignment="1">
      <alignment horizontal="right" wrapText="1"/>
    </xf>
    <xf numFmtId="0" fontId="2" fillId="0" borderId="3" xfId="0" applyFont="1" applyBorder="1"/>
    <xf numFmtId="0" fontId="3" fillId="0" borderId="38" xfId="0" applyFont="1" applyBorder="1"/>
    <xf numFmtId="0" fontId="0" fillId="0" borderId="39" xfId="0" applyBorder="1"/>
    <xf numFmtId="0" fontId="3" fillId="0" borderId="4" xfId="0" applyFont="1" applyBorder="1"/>
    <xf numFmtId="0" fontId="10" fillId="0" borderId="2" xfId="0" applyFont="1" applyBorder="1"/>
    <xf numFmtId="0" fontId="11" fillId="0" borderId="3" xfId="0" applyFont="1" applyBorder="1" applyAlignment="1">
      <alignment horizontal="right" wrapText="1"/>
    </xf>
    <xf numFmtId="0" fontId="9" fillId="0" borderId="3" xfId="0" applyFont="1" applyBorder="1" applyAlignment="1">
      <alignment horizontal="right" wrapText="1"/>
    </xf>
    <xf numFmtId="0" fontId="10" fillId="0" borderId="3" xfId="0" applyFont="1" applyBorder="1"/>
    <xf numFmtId="0" fontId="12" fillId="0" borderId="9" xfId="0" applyFont="1" applyBorder="1"/>
    <xf numFmtId="11" fontId="9" fillId="0" borderId="3" xfId="0" applyNumberFormat="1" applyFont="1" applyBorder="1" applyAlignment="1">
      <alignment horizontal="right" wrapText="1"/>
    </xf>
    <xf numFmtId="0" fontId="11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right" wrapText="1"/>
    </xf>
    <xf numFmtId="0" fontId="0" fillId="0" borderId="1" xfId="0" applyBorder="1"/>
    <xf numFmtId="0" fontId="0" fillId="0" borderId="43" xfId="0" applyBorder="1"/>
    <xf numFmtId="0" fontId="0" fillId="0" borderId="22" xfId="0" applyBorder="1"/>
    <xf numFmtId="0" fontId="0" fillId="0" borderId="0" xfId="0" applyAlignment="1">
      <alignment horizontal="center" vertical="center"/>
    </xf>
    <xf numFmtId="2" fontId="4" fillId="0" borderId="0" xfId="0" applyNumberFormat="1" applyFont="1"/>
    <xf numFmtId="0" fontId="0" fillId="0" borderId="32" xfId="0" applyBorder="1"/>
    <xf numFmtId="0" fontId="11" fillId="0" borderId="32" xfId="0" applyFont="1" applyBorder="1" applyAlignment="1">
      <alignment horizontal="right" wrapText="1"/>
    </xf>
    <xf numFmtId="0" fontId="9" fillId="0" borderId="32" xfId="0" applyFont="1" applyBorder="1" applyAlignment="1">
      <alignment horizontal="right" wrapText="1"/>
    </xf>
    <xf numFmtId="0" fontId="9" fillId="0" borderId="33" xfId="0" applyFont="1" applyBorder="1" applyAlignment="1">
      <alignment horizontal="right" wrapText="1"/>
    </xf>
    <xf numFmtId="0" fontId="9" fillId="0" borderId="4" xfId="0" applyFont="1" applyBorder="1" applyAlignment="1">
      <alignment horizontal="right" wrapText="1"/>
    </xf>
    <xf numFmtId="0" fontId="11" fillId="0" borderId="22" xfId="0" applyFont="1" applyBorder="1" applyAlignment="1">
      <alignment horizontal="right" wrapText="1"/>
    </xf>
    <xf numFmtId="0" fontId="9" fillId="0" borderId="22" xfId="0" applyFont="1" applyBorder="1" applyAlignment="1">
      <alignment horizontal="right" wrapText="1"/>
    </xf>
    <xf numFmtId="0" fontId="9" fillId="0" borderId="23" xfId="0" applyFont="1" applyBorder="1" applyAlignment="1">
      <alignment horizontal="right" wrapText="1"/>
    </xf>
    <xf numFmtId="0" fontId="3" fillId="3" borderId="31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10" borderId="19" xfId="0" applyFill="1" applyBorder="1" applyAlignment="1">
      <alignment horizontal="left"/>
    </xf>
    <xf numFmtId="9" fontId="13" fillId="0" borderId="3" xfId="0" applyNumberFormat="1" applyFont="1" applyBorder="1" applyAlignment="1">
      <alignment vertical="center" wrapText="1"/>
    </xf>
    <xf numFmtId="9" fontId="14" fillId="0" borderId="3" xfId="0" applyNumberFormat="1" applyFont="1" applyBorder="1" applyAlignment="1">
      <alignment vertical="center" wrapText="1"/>
    </xf>
    <xf numFmtId="9" fontId="14" fillId="0" borderId="4" xfId="0" applyNumberFormat="1" applyFont="1" applyBorder="1" applyAlignment="1">
      <alignment vertical="center" wrapText="1"/>
    </xf>
    <xf numFmtId="9" fontId="14" fillId="0" borderId="3" xfId="1" applyFont="1" applyBorder="1" applyAlignment="1" applyProtection="1">
      <alignment vertical="center" wrapText="1"/>
    </xf>
    <xf numFmtId="9" fontId="13" fillId="0" borderId="4" xfId="0" applyNumberFormat="1" applyFont="1" applyBorder="1" applyAlignment="1">
      <alignment vertical="center" wrapText="1"/>
    </xf>
    <xf numFmtId="0" fontId="0" fillId="10" borderId="21" xfId="0" applyFill="1" applyBorder="1" applyAlignment="1">
      <alignment horizontal="left"/>
    </xf>
    <xf numFmtId="9" fontId="14" fillId="0" borderId="22" xfId="0" applyNumberFormat="1" applyFont="1" applyBorder="1" applyAlignment="1">
      <alignment vertical="center" wrapText="1"/>
    </xf>
    <xf numFmtId="9" fontId="14" fillId="0" borderId="23" xfId="0" applyNumberFormat="1" applyFont="1" applyBorder="1" applyAlignment="1">
      <alignment vertical="center" wrapText="1"/>
    </xf>
    <xf numFmtId="9" fontId="15" fillId="0" borderId="3" xfId="0" applyNumberFormat="1" applyFont="1" applyBorder="1" applyAlignment="1">
      <alignment vertical="center" wrapText="1"/>
    </xf>
    <xf numFmtId="9" fontId="15" fillId="0" borderId="4" xfId="0" applyNumberFormat="1" applyFont="1" applyBorder="1" applyAlignment="1">
      <alignment vertical="center" wrapText="1"/>
    </xf>
    <xf numFmtId="9" fontId="15" fillId="0" borderId="22" xfId="0" applyNumberFormat="1" applyFont="1" applyBorder="1" applyAlignment="1">
      <alignment vertical="center" wrapText="1"/>
    </xf>
    <xf numFmtId="9" fontId="15" fillId="0" borderId="23" xfId="0" applyNumberFormat="1" applyFont="1" applyBorder="1" applyAlignment="1">
      <alignment vertical="center" wrapText="1"/>
    </xf>
    <xf numFmtId="0" fontId="9" fillId="3" borderId="44" xfId="0" applyFont="1" applyFill="1" applyBorder="1" applyAlignment="1">
      <alignment horizontal="left" wrapText="1"/>
    </xf>
    <xf numFmtId="0" fontId="9" fillId="10" borderId="44" xfId="0" applyFont="1" applyFill="1" applyBorder="1" applyAlignment="1">
      <alignment horizontal="left" wrapText="1"/>
    </xf>
    <xf numFmtId="0" fontId="9" fillId="0" borderId="45" xfId="0" applyFont="1" applyBorder="1" applyAlignment="1">
      <alignment horizontal="center" wrapText="1"/>
    </xf>
    <xf numFmtId="11" fontId="4" fillId="0" borderId="3" xfId="0" applyNumberFormat="1" applyFont="1" applyBorder="1"/>
    <xf numFmtId="0" fontId="3" fillId="0" borderId="40" xfId="0" applyFont="1" applyBorder="1"/>
    <xf numFmtId="0" fontId="0" fillId="0" borderId="46" xfId="0" applyBorder="1"/>
    <xf numFmtId="0" fontId="3" fillId="0" borderId="14" xfId="0" applyFont="1" applyBorder="1"/>
    <xf numFmtId="0" fontId="10" fillId="0" borderId="9" xfId="0" applyFont="1" applyBorder="1"/>
    <xf numFmtId="2" fontId="2" fillId="0" borderId="4" xfId="0" applyNumberFormat="1" applyFont="1" applyBorder="1"/>
    <xf numFmtId="2" fontId="0" fillId="0" borderId="0" xfId="0" applyNumberFormat="1"/>
    <xf numFmtId="0" fontId="0" fillId="8" borderId="22" xfId="0" applyFill="1" applyBorder="1"/>
    <xf numFmtId="2" fontId="2" fillId="0" borderId="23" xfId="0" applyNumberFormat="1" applyFont="1" applyBorder="1"/>
    <xf numFmtId="0" fontId="0" fillId="3" borderId="31" xfId="0" applyFill="1" applyBorder="1"/>
    <xf numFmtId="0" fontId="0" fillId="3" borderId="32" xfId="0" applyFill="1" applyBorder="1"/>
    <xf numFmtId="0" fontId="0" fillId="3" borderId="33" xfId="0" applyFill="1" applyBorder="1"/>
    <xf numFmtId="0" fontId="0" fillId="0" borderId="13" xfId="0" applyBorder="1" applyAlignment="1">
      <alignment horizontal="center"/>
    </xf>
    <xf numFmtId="3" fontId="0" fillId="3" borderId="3" xfId="0" applyNumberFormat="1" applyFill="1" applyBorder="1"/>
    <xf numFmtId="2" fontId="0" fillId="0" borderId="12" xfId="0" applyNumberFormat="1" applyBorder="1" applyAlignment="1">
      <alignment horizontal="center"/>
    </xf>
    <xf numFmtId="0" fontId="0" fillId="10" borderId="27" xfId="0" applyFill="1" applyBorder="1" applyAlignment="1">
      <alignment horizontal="left"/>
    </xf>
    <xf numFmtId="0" fontId="0" fillId="0" borderId="4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11" borderId="2" xfId="0" applyFill="1" applyBorder="1" applyAlignment="1">
      <alignment horizontal="left"/>
    </xf>
    <xf numFmtId="0" fontId="0" fillId="11" borderId="12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11" fontId="0" fillId="0" borderId="12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7" borderId="40" xfId="0" applyFill="1" applyBorder="1" applyAlignment="1">
      <alignment horizontal="left"/>
    </xf>
    <xf numFmtId="0" fontId="0" fillId="7" borderId="32" xfId="0" applyFill="1" applyBorder="1" applyAlignment="1">
      <alignment horizontal="center"/>
    </xf>
    <xf numFmtId="0" fontId="4" fillId="7" borderId="41" xfId="0" applyFont="1" applyFill="1" applyBorder="1" applyAlignment="1">
      <alignment horizontal="left" vertical="center"/>
    </xf>
    <xf numFmtId="0" fontId="0" fillId="7" borderId="42" xfId="0" applyFill="1" applyBorder="1" applyAlignment="1">
      <alignment horizontal="center"/>
    </xf>
    <xf numFmtId="0" fontId="4" fillId="7" borderId="3" xfId="0" applyFont="1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7" borderId="1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4" fillId="7" borderId="6" xfId="0" applyFont="1" applyFill="1" applyBorder="1" applyAlignment="1">
      <alignment horizontal="left" vertical="center"/>
    </xf>
    <xf numFmtId="0" fontId="0" fillId="0" borderId="31" xfId="0" applyBorder="1" applyAlignment="1">
      <alignment horizontal="center" vertical="center"/>
    </xf>
    <xf numFmtId="0" fontId="4" fillId="7" borderId="18" xfId="0" applyFont="1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4" borderId="11" xfId="0" applyFill="1" applyBorder="1" applyAlignment="1">
      <alignment horizontal="left"/>
    </xf>
    <xf numFmtId="0" fontId="0" fillId="3" borderId="7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4" fillId="7" borderId="3" xfId="0" applyFont="1" applyFill="1" applyBorder="1" applyAlignment="1">
      <alignment horizontal="left"/>
    </xf>
    <xf numFmtId="0" fontId="0" fillId="7" borderId="47" xfId="0" applyFill="1" applyBorder="1" applyAlignment="1">
      <alignment horizontal="center"/>
    </xf>
  </cellXfs>
  <cellStyles count="8">
    <cellStyle name="Normal" xfId="0" builtinId="0"/>
    <cellStyle name="Normal 2" xfId="2" xr:uid="{00000000-0005-0000-0000-000006000000}"/>
    <cellStyle name="Normal 2 2" xfId="3" xr:uid="{00000000-0005-0000-0000-000007000000}"/>
    <cellStyle name="Normal 2 2 2" xfId="4" xr:uid="{00000000-0005-0000-0000-000008000000}"/>
    <cellStyle name="Normal 3" xfId="5" xr:uid="{00000000-0005-0000-0000-000009000000}"/>
    <cellStyle name="Normal 4" xfId="6" xr:uid="{00000000-0005-0000-0000-00000A000000}"/>
    <cellStyle name="Normal 8" xfId="7" xr:uid="{00000000-0005-0000-0000-00000B000000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E7E6E6"/>
      <rgbColor rgb="FFCCFFFF"/>
      <rgbColor rgb="FF660066"/>
      <rgbColor rgb="FFFF8080"/>
      <rgbColor rgb="FF0070C0"/>
      <rgbColor rgb="FFDAE3F3"/>
      <rgbColor rgb="FF000080"/>
      <rgbColor rgb="FFFF00FF"/>
      <rgbColor rgb="FFF8F2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59595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F82"/>
  <sheetViews>
    <sheetView tabSelected="1" topLeftCell="A15" zoomScaleNormal="100" workbookViewId="0">
      <selection activeCell="R24" sqref="R23:R24"/>
    </sheetView>
  </sheetViews>
  <sheetFormatPr baseColWidth="10" defaultColWidth="9.140625" defaultRowHeight="15" x14ac:dyDescent="0.25"/>
  <cols>
    <col min="1" max="1" width="23.85546875" customWidth="1"/>
    <col min="2" max="2" width="31.85546875" customWidth="1"/>
    <col min="3" max="3" width="8.85546875" customWidth="1"/>
    <col min="5" max="5" width="11.85546875" customWidth="1"/>
    <col min="6" max="6" width="16.85546875" customWidth="1"/>
  </cols>
  <sheetData>
    <row r="1" spans="1:5" x14ac:dyDescent="0.25">
      <c r="A1" s="2" t="s">
        <v>0</v>
      </c>
      <c r="B1" s="2"/>
      <c r="C1" s="2"/>
    </row>
    <row r="2" spans="1:5" s="6" customFormat="1" x14ac:dyDescent="0.25">
      <c r="A2" s="3" t="s">
        <v>1</v>
      </c>
      <c r="B2" s="4"/>
      <c r="C2" s="5"/>
    </row>
    <row r="3" spans="1:5" x14ac:dyDescent="0.25">
      <c r="A3" s="7" t="s">
        <v>2</v>
      </c>
      <c r="B3" s="8">
        <v>1</v>
      </c>
      <c r="C3" s="7" t="s">
        <v>3</v>
      </c>
      <c r="D3" s="9" t="s">
        <v>4</v>
      </c>
    </row>
    <row r="4" spans="1:5" x14ac:dyDescent="0.25">
      <c r="A4" s="7" t="s">
        <v>5</v>
      </c>
      <c r="B4" s="8">
        <v>0.33300000000000002</v>
      </c>
      <c r="C4" s="7" t="s">
        <v>3</v>
      </c>
      <c r="D4" s="9" t="s">
        <v>4</v>
      </c>
    </row>
    <row r="5" spans="1:5" x14ac:dyDescent="0.25">
      <c r="A5" s="7" t="s">
        <v>6</v>
      </c>
      <c r="B5" s="8">
        <v>0.66</v>
      </c>
      <c r="C5" s="7" t="s">
        <v>3</v>
      </c>
      <c r="D5" s="9" t="s">
        <v>4</v>
      </c>
    </row>
    <row r="6" spans="1:5" x14ac:dyDescent="0.25">
      <c r="A6" s="7" t="s">
        <v>7</v>
      </c>
      <c r="B6" s="8">
        <v>1</v>
      </c>
      <c r="C6" s="7" t="s">
        <v>3</v>
      </c>
      <c r="D6" s="9" t="s">
        <v>4</v>
      </c>
    </row>
    <row r="7" spans="1:5" x14ac:dyDescent="0.25">
      <c r="A7" s="7" t="s">
        <v>8</v>
      </c>
      <c r="B7" s="8">
        <v>1</v>
      </c>
      <c r="C7" s="7" t="s">
        <v>3</v>
      </c>
      <c r="D7" s="9" t="s">
        <v>4</v>
      </c>
    </row>
    <row r="8" spans="1:5" x14ac:dyDescent="0.25">
      <c r="A8" s="10" t="s">
        <v>9</v>
      </c>
      <c r="B8" s="11">
        <v>0.3</v>
      </c>
      <c r="C8" s="10" t="s">
        <v>3</v>
      </c>
      <c r="D8" s="9" t="s">
        <v>10</v>
      </c>
    </row>
    <row r="9" spans="1:5" x14ac:dyDescent="0.25">
      <c r="A9" s="177" t="s">
        <v>11</v>
      </c>
      <c r="B9" s="177"/>
      <c r="C9" s="177"/>
      <c r="D9" s="177"/>
      <c r="E9" s="177"/>
    </row>
    <row r="10" spans="1:5" x14ac:dyDescent="0.25">
      <c r="A10" s="12"/>
      <c r="B10" s="7" t="s">
        <v>12</v>
      </c>
      <c r="C10" s="7" t="s">
        <v>13</v>
      </c>
      <c r="D10" s="7" t="s">
        <v>14</v>
      </c>
      <c r="E10" s="13" t="s">
        <v>15</v>
      </c>
    </row>
    <row r="11" spans="1:5" x14ac:dyDescent="0.25">
      <c r="A11" s="14" t="s">
        <v>16</v>
      </c>
      <c r="B11" s="15">
        <v>1</v>
      </c>
      <c r="C11" s="16">
        <v>1</v>
      </c>
      <c r="D11" s="15">
        <v>0.33</v>
      </c>
      <c r="E11" s="17">
        <v>0.66</v>
      </c>
    </row>
    <row r="12" spans="1:5" x14ac:dyDescent="0.25">
      <c r="A12" s="14" t="s">
        <v>17</v>
      </c>
      <c r="B12" s="15">
        <v>1</v>
      </c>
      <c r="C12" s="16">
        <v>1</v>
      </c>
      <c r="D12" s="15">
        <v>0.33</v>
      </c>
      <c r="E12" s="17">
        <v>0.66</v>
      </c>
    </row>
    <row r="13" spans="1:5" x14ac:dyDescent="0.25">
      <c r="A13" s="14" t="s">
        <v>18</v>
      </c>
      <c r="B13" s="15">
        <v>1</v>
      </c>
      <c r="C13" s="16">
        <v>1</v>
      </c>
      <c r="D13" s="16">
        <v>0.33</v>
      </c>
      <c r="E13" s="17">
        <v>0.66</v>
      </c>
    </row>
    <row r="14" spans="1:5" x14ac:dyDescent="0.25">
      <c r="A14" s="18" t="s">
        <v>19</v>
      </c>
      <c r="B14" s="19">
        <v>1</v>
      </c>
      <c r="C14" s="20">
        <v>1</v>
      </c>
      <c r="D14" s="20">
        <v>0.33</v>
      </c>
      <c r="E14" s="21">
        <v>0.66</v>
      </c>
    </row>
    <row r="15" spans="1:5" x14ac:dyDescent="0.25">
      <c r="A15" s="178" t="s">
        <v>20</v>
      </c>
      <c r="B15" s="178"/>
      <c r="C15" s="178"/>
      <c r="D15" s="178"/>
      <c r="E15" s="178"/>
    </row>
    <row r="16" spans="1:5" x14ac:dyDescent="0.25">
      <c r="A16" s="12"/>
      <c r="B16" s="22" t="s">
        <v>12</v>
      </c>
      <c r="C16" s="22" t="s">
        <v>13</v>
      </c>
      <c r="D16" s="22" t="s">
        <v>14</v>
      </c>
      <c r="E16" s="23" t="s">
        <v>15</v>
      </c>
    </row>
    <row r="17" spans="1:6" x14ac:dyDescent="0.25">
      <c r="A17" s="14" t="s">
        <v>16</v>
      </c>
      <c r="B17" s="15">
        <v>1</v>
      </c>
      <c r="C17" s="16">
        <v>1</v>
      </c>
      <c r="D17" s="15">
        <v>0.33</v>
      </c>
      <c r="E17" s="17">
        <v>0.66</v>
      </c>
    </row>
    <row r="18" spans="1:6" x14ac:dyDescent="0.25">
      <c r="A18" s="14" t="s">
        <v>17</v>
      </c>
      <c r="B18" s="15">
        <v>1</v>
      </c>
      <c r="C18" s="16">
        <v>1</v>
      </c>
      <c r="D18" s="15">
        <v>0.33</v>
      </c>
      <c r="E18" s="17">
        <v>0.66</v>
      </c>
    </row>
    <row r="19" spans="1:6" x14ac:dyDescent="0.25">
      <c r="A19" s="14" t="s">
        <v>18</v>
      </c>
      <c r="B19" s="15">
        <v>1</v>
      </c>
      <c r="C19" s="16">
        <v>1</v>
      </c>
      <c r="D19" s="16">
        <v>0.33</v>
      </c>
      <c r="E19" s="17">
        <v>0.66</v>
      </c>
    </row>
    <row r="20" spans="1:6" x14ac:dyDescent="0.25">
      <c r="A20" s="18" t="s">
        <v>19</v>
      </c>
      <c r="B20" s="19">
        <v>1</v>
      </c>
      <c r="C20" s="20">
        <v>1</v>
      </c>
      <c r="D20" s="20">
        <v>0.33</v>
      </c>
      <c r="E20" s="21">
        <v>0.66</v>
      </c>
    </row>
    <row r="21" spans="1:6" x14ac:dyDescent="0.25">
      <c r="A21" s="18" t="s">
        <v>21</v>
      </c>
      <c r="B21" s="19">
        <v>1</v>
      </c>
      <c r="C21" s="20">
        <v>1</v>
      </c>
      <c r="D21" s="20">
        <v>0.33</v>
      </c>
      <c r="E21" s="21">
        <v>0.66</v>
      </c>
    </row>
    <row r="22" spans="1:6" x14ac:dyDescent="0.25">
      <c r="A22" s="178" t="s">
        <v>22</v>
      </c>
      <c r="B22" s="178"/>
      <c r="C22" s="178"/>
      <c r="D22" s="178"/>
      <c r="E22" s="178"/>
      <c r="F22" s="178"/>
    </row>
    <row r="23" spans="1:6" x14ac:dyDescent="0.25">
      <c r="A23" s="24"/>
      <c r="B23" s="25" t="s">
        <v>23</v>
      </c>
      <c r="C23" s="26" t="s">
        <v>24</v>
      </c>
      <c r="D23" s="27" t="s">
        <v>17</v>
      </c>
      <c r="E23" s="27" t="s">
        <v>18</v>
      </c>
      <c r="F23" s="26" t="s">
        <v>19</v>
      </c>
    </row>
    <row r="24" spans="1:6" x14ac:dyDescent="0.25">
      <c r="A24" s="28" t="s">
        <v>25</v>
      </c>
      <c r="B24" s="29">
        <v>1.3811387438502101</v>
      </c>
      <c r="C24" s="30">
        <v>1.58411736689963</v>
      </c>
      <c r="D24" s="30">
        <v>0.70982814189919896</v>
      </c>
      <c r="E24" s="30">
        <v>0.51752065549999604</v>
      </c>
      <c r="F24" s="31">
        <v>2.2446076276916598</v>
      </c>
    </row>
    <row r="25" spans="1:6" x14ac:dyDescent="0.25">
      <c r="A25" s="32" t="s">
        <v>26</v>
      </c>
      <c r="B25" s="33">
        <v>1.3221417855391699</v>
      </c>
      <c r="C25" s="34">
        <v>1.55219332307528</v>
      </c>
      <c r="D25" s="47">
        <v>0.70982814189919896</v>
      </c>
      <c r="E25" s="35">
        <v>0.29697949706916599</v>
      </c>
      <c r="F25" s="35">
        <v>0</v>
      </c>
    </row>
    <row r="26" spans="1:6" x14ac:dyDescent="0.25">
      <c r="A26" s="32" t="s">
        <v>27</v>
      </c>
      <c r="B26" s="33">
        <v>0.75518266462540296</v>
      </c>
      <c r="C26" s="34">
        <v>0.46405884884052501</v>
      </c>
      <c r="D26" s="34">
        <v>0.29725434680408502</v>
      </c>
      <c r="E26" s="34">
        <v>0</v>
      </c>
      <c r="F26" s="35">
        <v>0</v>
      </c>
    </row>
    <row r="27" spans="1:6" ht="15.75" thickBot="1" x14ac:dyDescent="0.3">
      <c r="A27" s="36" t="s">
        <v>28</v>
      </c>
      <c r="B27" s="37">
        <v>0.77378299603487799</v>
      </c>
      <c r="C27" s="34">
        <v>0.87728343032796197</v>
      </c>
      <c r="D27" s="38">
        <v>0</v>
      </c>
      <c r="E27" s="38">
        <v>0</v>
      </c>
      <c r="F27" s="39">
        <v>0</v>
      </c>
    </row>
    <row r="28" spans="1:6" ht="15.75" thickBot="1" x14ac:dyDescent="0.3">
      <c r="A28" s="176" t="s">
        <v>29</v>
      </c>
      <c r="B28" s="176"/>
      <c r="C28" s="176"/>
      <c r="D28" s="176"/>
      <c r="E28" s="176"/>
      <c r="F28" s="176"/>
    </row>
    <row r="29" spans="1:6" x14ac:dyDescent="0.25">
      <c r="A29" s="40" t="s">
        <v>25</v>
      </c>
      <c r="B29" s="41">
        <v>0</v>
      </c>
      <c r="C29" s="41">
        <v>0</v>
      </c>
      <c r="D29" s="41">
        <v>0</v>
      </c>
      <c r="E29" s="41">
        <v>0</v>
      </c>
      <c r="F29" s="42">
        <v>0</v>
      </c>
    </row>
    <row r="30" spans="1:6" x14ac:dyDescent="0.25">
      <c r="A30" s="14" t="s">
        <v>26</v>
      </c>
      <c r="B30" s="19">
        <v>0</v>
      </c>
      <c r="C30" s="19">
        <v>0</v>
      </c>
      <c r="D30" s="19">
        <v>0</v>
      </c>
      <c r="E30" s="19">
        <v>0</v>
      </c>
      <c r="F30" s="43">
        <v>0</v>
      </c>
    </row>
    <row r="31" spans="1:6" x14ac:dyDescent="0.25">
      <c r="A31" s="14" t="s">
        <v>27</v>
      </c>
      <c r="B31" s="19">
        <v>0</v>
      </c>
      <c r="C31" s="19">
        <v>0</v>
      </c>
      <c r="D31" s="19">
        <v>0</v>
      </c>
      <c r="E31" s="19">
        <v>0</v>
      </c>
      <c r="F31" s="43">
        <v>0</v>
      </c>
    </row>
    <row r="32" spans="1:6" x14ac:dyDescent="0.25">
      <c r="A32" s="44" t="s">
        <v>28</v>
      </c>
      <c r="B32" s="45">
        <v>0</v>
      </c>
      <c r="C32" s="45">
        <v>0</v>
      </c>
      <c r="D32" s="45">
        <v>0</v>
      </c>
      <c r="E32" s="45">
        <v>0</v>
      </c>
      <c r="F32" s="46">
        <v>0</v>
      </c>
    </row>
    <row r="38" spans="1:6" x14ac:dyDescent="0.25">
      <c r="A38" s="178" t="s">
        <v>30</v>
      </c>
      <c r="B38" s="178"/>
      <c r="C38" s="178"/>
      <c r="D38" s="178"/>
      <c r="E38" s="178"/>
      <c r="F38" s="178"/>
    </row>
    <row r="39" spans="1:6" x14ac:dyDescent="0.25">
      <c r="A39" s="40"/>
      <c r="B39" s="22" t="s">
        <v>23</v>
      </c>
      <c r="C39" s="22" t="s">
        <v>24</v>
      </c>
      <c r="D39" s="22" t="s">
        <v>17</v>
      </c>
      <c r="E39" s="22" t="s">
        <v>18</v>
      </c>
      <c r="F39" s="22" t="s">
        <v>19</v>
      </c>
    </row>
    <row r="40" spans="1:6" x14ac:dyDescent="0.25">
      <c r="A40" s="7" t="s">
        <v>31</v>
      </c>
      <c r="B40" s="33">
        <v>1.24448558869519</v>
      </c>
      <c r="C40" s="33">
        <v>13.8197697116518</v>
      </c>
      <c r="D40" s="33">
        <v>0.19497979846020499</v>
      </c>
      <c r="E40" s="33">
        <v>0.84575223992882098</v>
      </c>
      <c r="F40" s="33">
        <v>16.593983629313801</v>
      </c>
    </row>
    <row r="41" spans="1:6" x14ac:dyDescent="0.25">
      <c r="A41" s="7" t="s">
        <v>32</v>
      </c>
      <c r="B41" s="33">
        <v>0.70545052064778402</v>
      </c>
      <c r="C41" s="33">
        <v>22.614992723969898</v>
      </c>
      <c r="D41" s="47">
        <v>0.19497979846020499</v>
      </c>
      <c r="E41" s="47">
        <v>0.84575223992882098</v>
      </c>
      <c r="F41" s="33">
        <v>0</v>
      </c>
    </row>
    <row r="42" spans="1:6" ht="14.25" customHeight="1" x14ac:dyDescent="0.25">
      <c r="A42" s="7" t="s">
        <v>33</v>
      </c>
      <c r="B42" s="33">
        <v>0.52553632329611999</v>
      </c>
      <c r="C42" s="33">
        <v>4.60914907935845</v>
      </c>
      <c r="D42" s="33">
        <v>0.110290420502064</v>
      </c>
      <c r="E42" s="47">
        <v>0</v>
      </c>
      <c r="F42" s="33">
        <v>0</v>
      </c>
    </row>
    <row r="43" spans="1:6" ht="15.75" thickBot="1" x14ac:dyDescent="0.3">
      <c r="A43" s="10" t="s">
        <v>34</v>
      </c>
      <c r="B43" s="33">
        <v>0</v>
      </c>
      <c r="C43" s="33">
        <v>6.2892382095714296</v>
      </c>
      <c r="D43" s="33">
        <v>0</v>
      </c>
      <c r="E43" s="47">
        <v>0</v>
      </c>
      <c r="F43" s="33">
        <v>0</v>
      </c>
    </row>
    <row r="44" spans="1:6" ht="15.75" thickBot="1" x14ac:dyDescent="0.3">
      <c r="A44" s="176" t="s">
        <v>29</v>
      </c>
      <c r="B44" s="176"/>
      <c r="C44" s="176"/>
      <c r="D44" s="176"/>
      <c r="E44" s="176"/>
      <c r="F44" s="176"/>
    </row>
    <row r="45" spans="1:6" x14ac:dyDescent="0.25">
      <c r="A45" s="22" t="s">
        <v>31</v>
      </c>
      <c r="B45" s="41">
        <v>0</v>
      </c>
      <c r="C45" s="41">
        <v>0</v>
      </c>
      <c r="D45" s="41">
        <v>0</v>
      </c>
      <c r="E45" s="41">
        <v>0</v>
      </c>
      <c r="F45" s="41">
        <v>0</v>
      </c>
    </row>
    <row r="46" spans="1:6" x14ac:dyDescent="0.25">
      <c r="A46" s="7" t="s">
        <v>32</v>
      </c>
      <c r="B46" s="19">
        <v>0</v>
      </c>
      <c r="C46" s="19">
        <v>0</v>
      </c>
      <c r="D46" s="19">
        <v>0</v>
      </c>
      <c r="E46" s="19">
        <v>0</v>
      </c>
      <c r="F46" s="19">
        <v>0</v>
      </c>
    </row>
    <row r="47" spans="1:6" x14ac:dyDescent="0.25">
      <c r="A47" s="7" t="s">
        <v>33</v>
      </c>
      <c r="B47" s="19">
        <v>0</v>
      </c>
      <c r="C47" s="19">
        <v>0</v>
      </c>
      <c r="D47" s="19">
        <v>0</v>
      </c>
      <c r="E47" s="19">
        <v>0</v>
      </c>
      <c r="F47" s="19">
        <v>0</v>
      </c>
    </row>
    <row r="48" spans="1:6" x14ac:dyDescent="0.25">
      <c r="A48" s="7" t="s">
        <v>34</v>
      </c>
      <c r="B48" s="19">
        <v>0</v>
      </c>
      <c r="C48" s="19">
        <v>0</v>
      </c>
      <c r="D48" s="19">
        <v>0</v>
      </c>
      <c r="E48" s="19">
        <v>0</v>
      </c>
      <c r="F48" s="19">
        <v>0</v>
      </c>
    </row>
    <row r="51" spans="1:6" x14ac:dyDescent="0.25">
      <c r="A51" s="48" t="s">
        <v>35</v>
      </c>
      <c r="B51" s="49"/>
      <c r="C51" s="50"/>
    </row>
    <row r="52" spans="1:6" x14ac:dyDescent="0.25">
      <c r="A52" s="7" t="s">
        <v>36</v>
      </c>
      <c r="B52" s="7">
        <f>12/66</f>
        <v>0.18181818181818182</v>
      </c>
      <c r="C52" s="7" t="s">
        <v>3</v>
      </c>
    </row>
    <row r="53" spans="1:6" x14ac:dyDescent="0.25">
      <c r="A53" s="7" t="s">
        <v>37</v>
      </c>
      <c r="B53" s="7">
        <v>0.65739263165198103</v>
      </c>
      <c r="C53" s="7" t="s">
        <v>3</v>
      </c>
    </row>
    <row r="54" spans="1:6" x14ac:dyDescent="0.25">
      <c r="A54" s="7" t="s">
        <v>38</v>
      </c>
      <c r="B54" s="7">
        <v>0.29780564263322901</v>
      </c>
      <c r="C54" s="7" t="s">
        <v>3</v>
      </c>
    </row>
    <row r="57" spans="1:6" x14ac:dyDescent="0.25">
      <c r="A57" s="51" t="s">
        <v>39</v>
      </c>
      <c r="B57" s="51" t="s">
        <v>40</v>
      </c>
      <c r="C57" s="51" t="s">
        <v>41</v>
      </c>
      <c r="D57" s="51" t="s">
        <v>42</v>
      </c>
      <c r="E57" s="51" t="s">
        <v>43</v>
      </c>
      <c r="F57" s="51"/>
    </row>
    <row r="58" spans="1:6" x14ac:dyDescent="0.25">
      <c r="A58" s="7" t="s">
        <v>17</v>
      </c>
      <c r="B58" s="7">
        <v>54</v>
      </c>
      <c r="C58" s="7">
        <v>14</v>
      </c>
      <c r="D58" s="7">
        <v>6</v>
      </c>
      <c r="E58" s="7">
        <v>118</v>
      </c>
      <c r="F58" s="7" t="s">
        <v>39</v>
      </c>
    </row>
    <row r="59" spans="1:6" x14ac:dyDescent="0.25">
      <c r="A59" s="7" t="s">
        <v>44</v>
      </c>
      <c r="B59" s="7">
        <v>37</v>
      </c>
      <c r="C59" s="7"/>
      <c r="D59" s="7">
        <v>17</v>
      </c>
      <c r="E59" s="7">
        <v>64</v>
      </c>
      <c r="F59" s="7" t="s">
        <v>39</v>
      </c>
    </row>
    <row r="60" spans="1:6" x14ac:dyDescent="0.25">
      <c r="A60" s="7" t="s">
        <v>45</v>
      </c>
      <c r="B60" s="7">
        <v>54</v>
      </c>
      <c r="C60" s="7">
        <v>22</v>
      </c>
      <c r="D60" s="7">
        <v>25</v>
      </c>
      <c r="E60" s="7">
        <v>92</v>
      </c>
      <c r="F60" s="7" t="s">
        <v>39</v>
      </c>
    </row>
    <row r="61" spans="1:6" x14ac:dyDescent="0.25">
      <c r="A61" s="7" t="s">
        <v>46</v>
      </c>
      <c r="B61" s="7">
        <v>130</v>
      </c>
      <c r="C61" s="7">
        <v>91</v>
      </c>
      <c r="D61" s="7">
        <v>57</v>
      </c>
      <c r="E61" s="7">
        <v>177</v>
      </c>
      <c r="F61" s="7" t="s">
        <v>39</v>
      </c>
    </row>
    <row r="62" spans="1:6" x14ac:dyDescent="0.25">
      <c r="A62" s="7" t="s">
        <v>47</v>
      </c>
      <c r="B62" s="7">
        <v>198</v>
      </c>
      <c r="C62" s="7">
        <v>132</v>
      </c>
      <c r="D62" s="7">
        <v>61</v>
      </c>
      <c r="E62" s="7">
        <v>322</v>
      </c>
      <c r="F62" s="7" t="s">
        <v>39</v>
      </c>
    </row>
    <row r="63" spans="1:6" x14ac:dyDescent="0.25">
      <c r="A63" s="7" t="s">
        <v>19</v>
      </c>
      <c r="B63" s="7"/>
      <c r="C63" s="7">
        <v>144</v>
      </c>
      <c r="D63" s="7">
        <v>126</v>
      </c>
      <c r="E63" s="7">
        <v>153</v>
      </c>
      <c r="F63" s="7" t="s">
        <v>39</v>
      </c>
    </row>
    <row r="65" spans="1:3" x14ac:dyDescent="0.25">
      <c r="A65" s="51" t="s">
        <v>48</v>
      </c>
      <c r="B65" s="51" t="s">
        <v>49</v>
      </c>
    </row>
    <row r="66" spans="1:3" x14ac:dyDescent="0.25">
      <c r="A66" s="51" t="s">
        <v>50</v>
      </c>
      <c r="B66" s="7">
        <v>1200</v>
      </c>
      <c r="C66">
        <f>B66/47</f>
        <v>25.531914893617021</v>
      </c>
    </row>
    <row r="67" spans="1:3" x14ac:dyDescent="0.25">
      <c r="A67" s="51" t="s">
        <v>51</v>
      </c>
      <c r="B67" s="7">
        <v>4500</v>
      </c>
      <c r="C67">
        <f>B67/47</f>
        <v>95.744680851063833</v>
      </c>
    </row>
    <row r="68" spans="1:3" x14ac:dyDescent="0.25">
      <c r="A68" s="51" t="s">
        <v>52</v>
      </c>
      <c r="B68" s="7">
        <v>1800</v>
      </c>
      <c r="C68">
        <f>B68/47</f>
        <v>38.297872340425535</v>
      </c>
    </row>
    <row r="69" spans="1:3" x14ac:dyDescent="0.25">
      <c r="A69" s="51" t="s">
        <v>53</v>
      </c>
      <c r="B69" s="7">
        <v>2200</v>
      </c>
      <c r="C69">
        <f>B69/47</f>
        <v>46.808510638297875</v>
      </c>
    </row>
    <row r="70" spans="1:3" x14ac:dyDescent="0.25">
      <c r="A70" s="51" t="s">
        <v>54</v>
      </c>
      <c r="B70" s="7">
        <v>1900</v>
      </c>
      <c r="C70">
        <f>B70/47</f>
        <v>40.425531914893618</v>
      </c>
    </row>
    <row r="72" spans="1:3" x14ac:dyDescent="0.25">
      <c r="A72" s="51" t="s">
        <v>55</v>
      </c>
      <c r="B72" s="51" t="s">
        <v>56</v>
      </c>
      <c r="C72" t="s">
        <v>57</v>
      </c>
    </row>
    <row r="73" spans="1:3" x14ac:dyDescent="0.25">
      <c r="A73" s="51" t="s">
        <v>58</v>
      </c>
      <c r="B73" s="7">
        <v>4.4999999999999998E-2</v>
      </c>
    </row>
    <row r="74" spans="1:3" x14ac:dyDescent="0.25">
      <c r="A74" s="51" t="s">
        <v>59</v>
      </c>
      <c r="B74" s="7">
        <v>0.52</v>
      </c>
    </row>
    <row r="75" spans="1:3" x14ac:dyDescent="0.25">
      <c r="A75" s="51" t="s">
        <v>60</v>
      </c>
      <c r="B75" s="7">
        <v>0.4</v>
      </c>
    </row>
    <row r="76" spans="1:3" x14ac:dyDescent="0.25">
      <c r="A76" s="51" t="s">
        <v>61</v>
      </c>
      <c r="B76" s="7">
        <v>0.3</v>
      </c>
    </row>
    <row r="78" spans="1:3" x14ac:dyDescent="0.25">
      <c r="A78" s="51" t="s">
        <v>62</v>
      </c>
      <c r="B78" s="51" t="s">
        <v>63</v>
      </c>
    </row>
    <row r="79" spans="1:3" x14ac:dyDescent="0.25">
      <c r="A79" s="51" t="s">
        <v>58</v>
      </c>
      <c r="B79" s="7">
        <v>8.3000000000000007</v>
      </c>
    </row>
    <row r="80" spans="1:3" x14ac:dyDescent="0.25">
      <c r="A80" s="51" t="s">
        <v>59</v>
      </c>
      <c r="B80" s="7">
        <v>18</v>
      </c>
    </row>
    <row r="81" spans="1:2" x14ac:dyDescent="0.25">
      <c r="A81" s="51" t="s">
        <v>60</v>
      </c>
      <c r="B81" s="7">
        <v>6.1</v>
      </c>
    </row>
    <row r="82" spans="1:2" x14ac:dyDescent="0.25">
      <c r="A82" s="51" t="s">
        <v>61</v>
      </c>
      <c r="B82" s="7">
        <v>6.3</v>
      </c>
    </row>
  </sheetData>
  <mergeCells count="6">
    <mergeCell ref="A44:F44"/>
    <mergeCell ref="A9:E9"/>
    <mergeCell ref="A15:E15"/>
    <mergeCell ref="A22:F22"/>
    <mergeCell ref="A28:F28"/>
    <mergeCell ref="A38:F38"/>
  </mergeCells>
  <pageMargins left="0.7" right="0.7" top="0.75" bottom="0.75" header="0.511811023622047" footer="0.511811023622047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DF132"/>
  <sheetViews>
    <sheetView topLeftCell="A17" zoomScale="85" zoomScaleNormal="85" workbookViewId="0">
      <selection activeCell="A21" activeCellId="1" sqref="C12:G17 A21"/>
    </sheetView>
  </sheetViews>
  <sheetFormatPr baseColWidth="10" defaultColWidth="10.7109375" defaultRowHeight="15" x14ac:dyDescent="0.25"/>
  <cols>
    <col min="1" max="1" width="30.5703125" customWidth="1"/>
    <col min="2" max="2" width="18.28515625" customWidth="1"/>
    <col min="3" max="3" width="15.85546875" customWidth="1"/>
    <col min="4" max="4" width="16.42578125" customWidth="1"/>
    <col min="5" max="5" width="12.85546875" customWidth="1"/>
    <col min="6" max="14" width="12.28515625" customWidth="1"/>
    <col min="15" max="15" width="12.42578125" customWidth="1"/>
    <col min="16" max="19" width="12.28515625" customWidth="1"/>
  </cols>
  <sheetData>
    <row r="1" spans="1:27" s="53" customFormat="1" ht="31.5" customHeight="1" x14ac:dyDescent="0.35">
      <c r="A1" s="52" t="s">
        <v>64</v>
      </c>
      <c r="B1" s="52"/>
      <c r="C1" s="52"/>
      <c r="D1" s="52"/>
      <c r="E1" s="52"/>
      <c r="F1" s="52"/>
    </row>
    <row r="2" spans="1:27" s="54" customFormat="1" x14ac:dyDescent="0.25">
      <c r="A2" s="54" t="s">
        <v>65</v>
      </c>
    </row>
    <row r="4" spans="1:27" x14ac:dyDescent="0.25">
      <c r="A4" s="55"/>
      <c r="B4" s="56" t="s">
        <v>66</v>
      </c>
      <c r="C4" s="57" t="s">
        <v>67</v>
      </c>
    </row>
    <row r="5" spans="1:27" x14ac:dyDescent="0.25">
      <c r="A5" s="58" t="s">
        <v>68</v>
      </c>
      <c r="B5" s="59">
        <v>2939375330000</v>
      </c>
      <c r="C5" s="60">
        <v>-5148695470</v>
      </c>
    </row>
    <row r="6" spans="1:27" x14ac:dyDescent="0.25">
      <c r="A6" s="58" t="s">
        <v>69</v>
      </c>
      <c r="B6" s="59">
        <v>-57131355000000</v>
      </c>
      <c r="C6" s="60">
        <v>10799571900000</v>
      </c>
    </row>
    <row r="7" spans="1:27" x14ac:dyDescent="0.25">
      <c r="A7" s="61" t="s">
        <v>70</v>
      </c>
      <c r="B7" s="62">
        <v>2015</v>
      </c>
    </row>
    <row r="8" spans="1:27" x14ac:dyDescent="0.25">
      <c r="A8" s="181" t="s">
        <v>71</v>
      </c>
      <c r="B8" s="181"/>
      <c r="C8" s="18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</row>
    <row r="9" spans="1:27" x14ac:dyDescent="0.25">
      <c r="A9" s="63" t="s">
        <v>72</v>
      </c>
      <c r="B9" s="64">
        <v>1995</v>
      </c>
      <c r="C9" s="64">
        <v>1996</v>
      </c>
      <c r="D9" s="64">
        <v>1997</v>
      </c>
      <c r="E9" s="64">
        <v>1998</v>
      </c>
      <c r="F9" s="64">
        <v>1999</v>
      </c>
      <c r="G9" s="64">
        <v>2000</v>
      </c>
      <c r="H9" s="64">
        <v>2001</v>
      </c>
      <c r="I9" s="64">
        <v>2002</v>
      </c>
      <c r="J9" s="64">
        <v>2003</v>
      </c>
      <c r="K9" s="64">
        <v>2004</v>
      </c>
      <c r="L9" s="64">
        <v>2005</v>
      </c>
      <c r="M9" s="64">
        <v>2006</v>
      </c>
      <c r="N9" s="64">
        <v>2007</v>
      </c>
      <c r="O9" s="64">
        <v>2008</v>
      </c>
      <c r="P9" s="64">
        <v>2009</v>
      </c>
      <c r="Q9" s="64">
        <v>2010</v>
      </c>
      <c r="R9" s="64">
        <v>2011</v>
      </c>
      <c r="S9" s="64">
        <v>2012</v>
      </c>
      <c r="T9" s="64">
        <v>2013</v>
      </c>
      <c r="U9" s="64">
        <v>2014</v>
      </c>
      <c r="V9" s="64">
        <v>2015</v>
      </c>
    </row>
    <row r="10" spans="1:27" x14ac:dyDescent="0.25">
      <c r="A10" s="63" t="s">
        <v>73</v>
      </c>
      <c r="B10" s="65">
        <v>54491475335221.797</v>
      </c>
      <c r="C10" s="65">
        <v>54823957946164.703</v>
      </c>
      <c r="D10" s="65">
        <v>55156440557107.5</v>
      </c>
      <c r="E10" s="65">
        <v>55488923168050.398</v>
      </c>
      <c r="F10" s="65">
        <v>55821405778993.203</v>
      </c>
      <c r="G10" s="65">
        <v>56153888389936</v>
      </c>
      <c r="H10" s="65">
        <v>56486371000878.898</v>
      </c>
      <c r="I10" s="65">
        <v>56924115539421</v>
      </c>
      <c r="J10" s="65">
        <v>60539072480053.203</v>
      </c>
      <c r="K10" s="65">
        <v>65094167575529.898</v>
      </c>
      <c r="L10" s="65">
        <v>67623928838457.703</v>
      </c>
      <c r="M10" s="65">
        <v>71662253075963.906</v>
      </c>
      <c r="N10" s="65">
        <v>74349192700752.297</v>
      </c>
      <c r="O10" s="65">
        <v>76474289664888.406</v>
      </c>
      <c r="P10" s="65">
        <v>73757204721427.094</v>
      </c>
      <c r="Q10" s="65">
        <v>81452151555847.797</v>
      </c>
      <c r="R10" s="65">
        <v>85758059199375</v>
      </c>
      <c r="S10" s="65">
        <v>89815427014431.5</v>
      </c>
      <c r="T10" s="64">
        <v>93044955044363.906</v>
      </c>
      <c r="U10" s="64">
        <v>97288073829446.297</v>
      </c>
      <c r="V10" s="64">
        <v>101531192614529</v>
      </c>
      <c r="W10">
        <v>105774311399611</v>
      </c>
      <c r="X10">
        <v>110017430184694</v>
      </c>
      <c r="Y10">
        <v>114260548969776</v>
      </c>
      <c r="Z10">
        <v>118503667754859</v>
      </c>
      <c r="AA10">
        <v>122746786539941</v>
      </c>
    </row>
    <row r="11" spans="1:27" s="6" customFormat="1" x14ac:dyDescent="0.25">
      <c r="A11" s="63" t="s">
        <v>74</v>
      </c>
      <c r="B11" s="64">
        <v>8.7484371694824203E-2</v>
      </c>
      <c r="C11" s="64">
        <v>8.9411588484867299E-2</v>
      </c>
      <c r="D11" s="64">
        <v>9.1338805274910395E-2</v>
      </c>
      <c r="E11" s="64">
        <v>9.3266022064953602E-2</v>
      </c>
      <c r="F11" s="64">
        <v>9.5193238854996698E-2</v>
      </c>
      <c r="G11" s="64">
        <v>0.101968511159456</v>
      </c>
      <c r="H11" s="64">
        <v>0.10419435254191201</v>
      </c>
      <c r="I11" s="64">
        <v>0.105396785344275</v>
      </c>
      <c r="J11" s="64">
        <v>0.103517956260696</v>
      </c>
      <c r="K11" s="64">
        <v>0.10142122997224901</v>
      </c>
      <c r="L11" s="64">
        <v>9.7446220896147601E-2</v>
      </c>
      <c r="M11" s="64">
        <v>0.10097528058870001</v>
      </c>
      <c r="N11" s="64">
        <v>0.10656509612204799</v>
      </c>
      <c r="O11" s="64">
        <v>0.110554715577439</v>
      </c>
      <c r="P11" s="64">
        <v>0.118120764726347</v>
      </c>
      <c r="Q11" s="64">
        <v>0.11649238621111201</v>
      </c>
      <c r="R11" s="64">
        <v>0.11897430012490599</v>
      </c>
      <c r="S11" s="64">
        <v>0.12118083391658099</v>
      </c>
      <c r="T11" s="64">
        <v>0.124814364422156</v>
      </c>
      <c r="U11" s="64">
        <v>0.127541799766101</v>
      </c>
      <c r="V11" s="64">
        <v>0.12602870749568701</v>
      </c>
      <c r="W11" s="6">
        <v>0.12795592428572999</v>
      </c>
      <c r="X11" s="6">
        <v>0.12988314107577301</v>
      </c>
      <c r="Y11" s="6">
        <v>0.13181035786581599</v>
      </c>
      <c r="Z11" s="6">
        <v>0.133737574655859</v>
      </c>
      <c r="AA11" s="6">
        <v>0.13566479144590199</v>
      </c>
    </row>
    <row r="12" spans="1:27" s="6" customFormat="1" x14ac:dyDescent="0.25">
      <c r="A12" s="63" t="s">
        <v>75</v>
      </c>
      <c r="B12" s="64">
        <v>0.91038306517353695</v>
      </c>
      <c r="C12" s="64">
        <v>0.90846034864002401</v>
      </c>
      <c r="D12" s="64">
        <v>0.90653763210651095</v>
      </c>
      <c r="E12" s="64">
        <v>0.904614915572998</v>
      </c>
      <c r="F12" s="64">
        <v>0.90269219903948505</v>
      </c>
      <c r="G12" s="64">
        <v>0.89592554009165604</v>
      </c>
      <c r="H12" s="64">
        <v>0.89384303536182896</v>
      </c>
      <c r="I12" s="64">
        <v>0.89253894590272898</v>
      </c>
      <c r="J12" s="64">
        <v>0.89443042329135403</v>
      </c>
      <c r="K12" s="64">
        <v>0.89644289602892202</v>
      </c>
      <c r="L12" s="64">
        <v>0.90046156699151003</v>
      </c>
      <c r="M12" s="64">
        <v>0.89694639229197004</v>
      </c>
      <c r="N12" s="64">
        <v>0.89130702675846896</v>
      </c>
      <c r="O12" s="64">
        <v>0.88737285099827501</v>
      </c>
      <c r="P12" s="64">
        <v>0.87949968002454504</v>
      </c>
      <c r="Q12" s="64">
        <v>0.88127285849266801</v>
      </c>
      <c r="R12" s="64">
        <v>0.878891355514134</v>
      </c>
      <c r="S12" s="64">
        <v>0.87687015411445302</v>
      </c>
      <c r="T12" s="64">
        <v>0.87329590864176598</v>
      </c>
      <c r="U12" s="64">
        <v>0.87055836706641898</v>
      </c>
      <c r="V12" s="64">
        <v>0.87192873450327502</v>
      </c>
      <c r="W12" s="6">
        <v>0.87000601796976196</v>
      </c>
      <c r="X12" s="6">
        <v>0.86808330143624901</v>
      </c>
      <c r="Y12" s="6">
        <v>0.86616058490273595</v>
      </c>
      <c r="Z12" s="6">
        <v>0.86423786836922301</v>
      </c>
      <c r="AA12" s="6">
        <v>0.86231515183570995</v>
      </c>
    </row>
    <row r="13" spans="1:27" s="6" customFormat="1" x14ac:dyDescent="0.25">
      <c r="A13" s="63" t="s">
        <v>76</v>
      </c>
      <c r="B13" s="64">
        <v>2.1325631316382902E-3</v>
      </c>
      <c r="C13" s="64">
        <v>2.1280628751082901E-3</v>
      </c>
      <c r="D13" s="64">
        <v>2.1235626185783E-3</v>
      </c>
      <c r="E13" s="64">
        <v>2.1190623620482999E-3</v>
      </c>
      <c r="F13" s="64">
        <v>2.1145621055183002E-3</v>
      </c>
      <c r="G13" s="64">
        <v>2.1059487488883201E-3</v>
      </c>
      <c r="H13" s="64">
        <v>1.9626120962589399E-3</v>
      </c>
      <c r="I13" s="64">
        <v>2.0642687529966899E-3</v>
      </c>
      <c r="J13" s="64">
        <v>2.0516204479499298E-3</v>
      </c>
      <c r="K13" s="64">
        <v>2.13587399882912E-3</v>
      </c>
      <c r="L13" s="64">
        <v>2.0922121123423702E-3</v>
      </c>
      <c r="M13" s="64">
        <v>2.0783271193290901E-3</v>
      </c>
      <c r="N13" s="64">
        <v>2.1278771194834902E-3</v>
      </c>
      <c r="O13" s="64">
        <v>2.07243342428542E-3</v>
      </c>
      <c r="P13" s="64">
        <v>2.37955524910787E-3</v>
      </c>
      <c r="Q13" s="64">
        <v>2.2347552962203102E-3</v>
      </c>
      <c r="R13" s="64">
        <v>2.1343443609595698E-3</v>
      </c>
      <c r="S13" s="64">
        <v>1.9490119689651499E-3</v>
      </c>
      <c r="T13" s="64">
        <v>1.8897269360784901E-3</v>
      </c>
      <c r="U13" s="64">
        <v>1.8998331674799399E-3</v>
      </c>
      <c r="V13" s="64">
        <v>2.0425580010383299E-3</v>
      </c>
      <c r="W13" s="6">
        <v>2.0380577445083298E-3</v>
      </c>
      <c r="X13" s="6">
        <v>2.0335574879783301E-3</v>
      </c>
      <c r="Y13" s="6">
        <v>2.02905723144833E-3</v>
      </c>
      <c r="Z13" s="6">
        <v>2.0245569749183299E-3</v>
      </c>
      <c r="AA13" s="6">
        <v>2.0200567183883398E-3</v>
      </c>
    </row>
    <row r="14" spans="1:27" s="6" customFormat="1" x14ac:dyDescent="0.25">
      <c r="A14" s="181" t="s">
        <v>77</v>
      </c>
      <c r="B14" s="181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</row>
    <row r="15" spans="1:27" s="6" customFormat="1" x14ac:dyDescent="0.25">
      <c r="A15" s="63" t="s">
        <v>78</v>
      </c>
      <c r="B15" s="65">
        <v>508120854254.69702</v>
      </c>
      <c r="C15" s="65">
        <v>502304716128.39203</v>
      </c>
      <c r="D15" s="65">
        <v>496488578002.19</v>
      </c>
      <c r="E15" s="65">
        <v>490672439875.987</v>
      </c>
      <c r="F15" s="65">
        <v>484856301750.27197</v>
      </c>
      <c r="G15" s="65">
        <v>479040163622.487</v>
      </c>
      <c r="H15" s="65">
        <v>484334874123.56097</v>
      </c>
      <c r="I15" s="65">
        <v>486884077649.98499</v>
      </c>
      <c r="J15" s="65">
        <v>495889909593.396</v>
      </c>
      <c r="K15" s="65">
        <v>487603517494.18597</v>
      </c>
      <c r="L15" s="65">
        <v>480762591007.00897</v>
      </c>
      <c r="M15" s="65">
        <v>473468047356.09698</v>
      </c>
      <c r="N15" s="65">
        <v>469181678496.95502</v>
      </c>
      <c r="O15" s="65">
        <v>461180620146.70203</v>
      </c>
      <c r="P15" s="65">
        <v>453410327807.909</v>
      </c>
      <c r="Q15" s="65">
        <v>449157197450.85797</v>
      </c>
      <c r="R15" s="65">
        <v>444367464076.51501</v>
      </c>
      <c r="S15" s="65">
        <v>439380091917.51099</v>
      </c>
      <c r="T15" s="65">
        <v>434167189156.55798</v>
      </c>
      <c r="U15" s="65">
        <v>429354199142.01599</v>
      </c>
      <c r="V15" s="65">
        <v>424541209127.35999</v>
      </c>
      <c r="W15" s="66"/>
      <c r="X15" s="66"/>
      <c r="Y15" s="66"/>
      <c r="Z15" s="66"/>
      <c r="AA15" s="66"/>
    </row>
    <row r="16" spans="1:27" s="6" customFormat="1" x14ac:dyDescent="0.25">
      <c r="A16" s="63" t="s">
        <v>74</v>
      </c>
      <c r="B16" s="64">
        <v>0.88742393786843898</v>
      </c>
      <c r="C16" s="64">
        <v>0.87980361240023797</v>
      </c>
      <c r="D16" s="64">
        <v>0.87092432261356401</v>
      </c>
      <c r="E16" s="64">
        <v>0.86183453322811598</v>
      </c>
      <c r="F16" s="64">
        <v>0.852526669042455</v>
      </c>
      <c r="G16" s="64">
        <v>0.84299278696504998</v>
      </c>
      <c r="H16" s="64">
        <v>0.83705045329991401</v>
      </c>
      <c r="I16" s="64">
        <v>0.83028499154128399</v>
      </c>
      <c r="J16" s="64">
        <v>0.82588691390215896</v>
      </c>
      <c r="K16" s="64">
        <v>0.81532063149551903</v>
      </c>
      <c r="L16" s="64">
        <v>0.80497713713060803</v>
      </c>
      <c r="M16" s="64">
        <v>0.79413798973512595</v>
      </c>
      <c r="N16" s="64">
        <v>0.78435118881949195</v>
      </c>
      <c r="O16" s="64">
        <v>0.78062137814153798</v>
      </c>
      <c r="P16" s="64">
        <v>0.77636452822492696</v>
      </c>
      <c r="Q16" s="64">
        <v>0.76591434171183204</v>
      </c>
      <c r="R16" s="64">
        <v>0.75617638631314199</v>
      </c>
      <c r="S16" s="64">
        <v>0.746561879303138</v>
      </c>
      <c r="T16" s="64">
        <v>0.73710929594159402</v>
      </c>
      <c r="U16" s="64">
        <v>0.72674941974127405</v>
      </c>
      <c r="V16" s="64">
        <v>0.72200642629482004</v>
      </c>
    </row>
    <row r="17" spans="1:22" s="6" customFormat="1" x14ac:dyDescent="0.25">
      <c r="A17" s="63" t="s">
        <v>75</v>
      </c>
      <c r="B17" s="64">
        <v>0</v>
      </c>
      <c r="C17" s="64">
        <v>0</v>
      </c>
      <c r="D17" s="64">
        <v>0</v>
      </c>
      <c r="E17" s="64">
        <v>0</v>
      </c>
      <c r="F17" s="64">
        <v>0</v>
      </c>
      <c r="G17" s="64">
        <v>0</v>
      </c>
      <c r="H17" s="64">
        <v>0</v>
      </c>
      <c r="I17" s="64">
        <v>0</v>
      </c>
      <c r="J17" s="64">
        <v>0</v>
      </c>
      <c r="K17" s="64">
        <v>0</v>
      </c>
      <c r="L17" s="64">
        <v>0</v>
      </c>
      <c r="M17" s="64">
        <v>0</v>
      </c>
      <c r="N17" s="64">
        <v>0</v>
      </c>
      <c r="O17" s="64">
        <v>0</v>
      </c>
      <c r="P17" s="64">
        <v>0</v>
      </c>
      <c r="Q17" s="64">
        <v>0</v>
      </c>
      <c r="R17" s="64">
        <v>0</v>
      </c>
      <c r="S17" s="64">
        <v>0</v>
      </c>
      <c r="T17" s="64">
        <v>0</v>
      </c>
      <c r="U17" s="64">
        <v>0</v>
      </c>
      <c r="V17" s="64">
        <v>0</v>
      </c>
    </row>
    <row r="18" spans="1:22" s="6" customFormat="1" x14ac:dyDescent="0.25">
      <c r="A18" s="63" t="s">
        <v>76</v>
      </c>
      <c r="B18" s="64">
        <v>0.11257606213156</v>
      </c>
      <c r="C18" s="64">
        <v>0.12019638759976201</v>
      </c>
      <c r="D18" s="64">
        <v>0.12907567738643599</v>
      </c>
      <c r="E18" s="64">
        <v>0.13816546677188399</v>
      </c>
      <c r="F18" s="64">
        <v>0.147473330957545</v>
      </c>
      <c r="G18" s="64">
        <v>0.15700721303494999</v>
      </c>
      <c r="H18" s="64">
        <v>0.16294954670008599</v>
      </c>
      <c r="I18" s="64">
        <v>0.16971500845871601</v>
      </c>
      <c r="J18" s="64">
        <v>0.17411308609784101</v>
      </c>
      <c r="K18" s="64">
        <v>0.184679368504481</v>
      </c>
      <c r="L18" s="64">
        <v>0.19502286286939199</v>
      </c>
      <c r="M18" s="64">
        <v>0.205862010264874</v>
      </c>
      <c r="N18" s="64">
        <v>0.21564881118050799</v>
      </c>
      <c r="O18" s="64">
        <v>0.21937862185846199</v>
      </c>
      <c r="P18" s="64">
        <v>0.22363547177507301</v>
      </c>
      <c r="Q18" s="64">
        <v>0.23408565828816799</v>
      </c>
      <c r="R18" s="64">
        <v>0.24382361368685801</v>
      </c>
      <c r="S18" s="64">
        <v>0.253438120696862</v>
      </c>
      <c r="T18" s="64">
        <v>0.26289070405840598</v>
      </c>
      <c r="U18" s="64">
        <v>0.27325058025872601</v>
      </c>
      <c r="V18" s="64">
        <v>0.27799357370518002</v>
      </c>
    </row>
    <row r="19" spans="1:22" s="6" customFormat="1" x14ac:dyDescent="0.25">
      <c r="A19" s="63" t="s">
        <v>79</v>
      </c>
      <c r="B19" s="64">
        <v>0.83205510937663696</v>
      </c>
      <c r="C19" s="64">
        <v>0.78834388241197995</v>
      </c>
      <c r="D19" s="64">
        <v>0.78371461962601396</v>
      </c>
      <c r="E19" s="64">
        <v>0.77908535684004898</v>
      </c>
      <c r="F19" s="64">
        <v>0.774456094054083</v>
      </c>
      <c r="G19" s="64">
        <v>0.78433587986887898</v>
      </c>
      <c r="H19" s="64">
        <v>0.76519756848215104</v>
      </c>
      <c r="I19" s="64">
        <v>0.76056830569618605</v>
      </c>
      <c r="J19" s="64">
        <v>0.75593904291021996</v>
      </c>
      <c r="K19" s="64">
        <v>0.75130978012425398</v>
      </c>
      <c r="L19" s="64">
        <v>0.78388811763065103</v>
      </c>
      <c r="M19" s="64">
        <v>0.67610057261962397</v>
      </c>
      <c r="N19" s="64">
        <v>0.65495346775941998</v>
      </c>
      <c r="O19" s="64">
        <v>0.71147637457131896</v>
      </c>
      <c r="P19" s="64">
        <v>0.73786000717450295</v>
      </c>
      <c r="Q19" s="64">
        <v>0.71798699789141396</v>
      </c>
      <c r="R19" s="64">
        <v>0.71942091131474095</v>
      </c>
      <c r="S19" s="64">
        <v>0.71890032564788398</v>
      </c>
      <c r="T19" s="64">
        <v>0.71499472324077396</v>
      </c>
      <c r="U19" s="64">
        <v>0.72025440063104595</v>
      </c>
      <c r="V19" s="64">
        <v>0.72261438857125404</v>
      </c>
    </row>
    <row r="20" spans="1:22" s="6" customFormat="1" x14ac:dyDescent="0.25">
      <c r="A20" s="67"/>
      <c r="O20" s="9"/>
      <c r="P20" s="9"/>
      <c r="Q20" s="9"/>
      <c r="R20" s="9"/>
      <c r="S20" s="9"/>
      <c r="T20" s="9"/>
      <c r="U20" s="9"/>
      <c r="V20" s="9"/>
    </row>
    <row r="21" spans="1:22" s="6" customFormat="1" x14ac:dyDescent="0.25">
      <c r="A21" s="182" t="s">
        <v>80</v>
      </c>
      <c r="B21" s="182"/>
      <c r="C21" s="182"/>
      <c r="D21" s="182"/>
    </row>
    <row r="22" spans="1:22" s="6" customFormat="1" x14ac:dyDescent="0.25">
      <c r="A22" s="68"/>
      <c r="B22" s="64"/>
      <c r="C22" s="64" t="s">
        <v>73</v>
      </c>
      <c r="D22" s="69" t="s">
        <v>81</v>
      </c>
    </row>
    <row r="23" spans="1:22" s="6" customFormat="1" x14ac:dyDescent="0.25">
      <c r="A23" s="167" t="s">
        <v>82</v>
      </c>
      <c r="B23" s="64" t="s">
        <v>12</v>
      </c>
      <c r="C23" s="70">
        <v>0.99437684755003997</v>
      </c>
      <c r="D23" s="70">
        <f>1-SUM(D24:D26)</f>
        <v>0.99464261151467026</v>
      </c>
    </row>
    <row r="24" spans="1:22" s="6" customFormat="1" x14ac:dyDescent="0.25">
      <c r="A24" s="167"/>
      <c r="B24" s="64" t="s">
        <v>13</v>
      </c>
      <c r="C24" s="70">
        <v>1.75741954757482E-3</v>
      </c>
      <c r="D24" s="70">
        <v>1.75741954757482E-3</v>
      </c>
    </row>
    <row r="25" spans="1:22" s="6" customFormat="1" x14ac:dyDescent="0.25">
      <c r="A25" s="167"/>
      <c r="B25" s="64" t="s">
        <v>14</v>
      </c>
      <c r="C25" s="70">
        <v>8.1970293722188805E-4</v>
      </c>
      <c r="D25" s="6">
        <f>(B62+B66+B70)/SUM(initial_vehicles_inland)</f>
        <v>5.5393897259177201E-4</v>
      </c>
    </row>
    <row r="26" spans="1:22" s="6" customFormat="1" x14ac:dyDescent="0.25">
      <c r="A26" s="167"/>
      <c r="B26" s="64" t="s">
        <v>83</v>
      </c>
      <c r="C26" s="70">
        <v>3.04602996516314E-3</v>
      </c>
      <c r="D26" s="70">
        <v>3.04602996516314E-3</v>
      </c>
    </row>
    <row r="27" spans="1:22" s="6" customFormat="1" x14ac:dyDescent="0.25">
      <c r="A27" s="167" t="s">
        <v>18</v>
      </c>
      <c r="B27" s="64" t="s">
        <v>12</v>
      </c>
      <c r="C27" s="71">
        <v>1</v>
      </c>
      <c r="D27" s="72">
        <v>1</v>
      </c>
    </row>
    <row r="28" spans="1:22" s="6" customFormat="1" x14ac:dyDescent="0.25">
      <c r="A28" s="167"/>
      <c r="B28" s="64" t="s">
        <v>84</v>
      </c>
      <c r="C28" s="71">
        <v>0</v>
      </c>
      <c r="D28" s="72">
        <v>0</v>
      </c>
    </row>
    <row r="29" spans="1:22" s="6" customFormat="1" x14ac:dyDescent="0.25">
      <c r="A29" s="167"/>
      <c r="B29" s="64" t="s">
        <v>14</v>
      </c>
      <c r="C29" s="71">
        <v>0</v>
      </c>
      <c r="D29" s="72">
        <v>0</v>
      </c>
    </row>
    <row r="30" spans="1:22" s="6" customFormat="1" x14ac:dyDescent="0.25">
      <c r="A30" s="167"/>
      <c r="B30" s="64" t="s">
        <v>83</v>
      </c>
      <c r="C30" s="71">
        <v>0</v>
      </c>
      <c r="D30" s="72">
        <v>0</v>
      </c>
    </row>
    <row r="31" spans="1:22" s="6" customFormat="1" x14ac:dyDescent="0.25">
      <c r="A31" s="167" t="s">
        <v>19</v>
      </c>
      <c r="B31" s="64" t="s">
        <v>12</v>
      </c>
      <c r="C31" s="71">
        <v>1</v>
      </c>
      <c r="D31" s="72">
        <v>1</v>
      </c>
    </row>
    <row r="32" spans="1:22" x14ac:dyDescent="0.25">
      <c r="A32" s="167"/>
      <c r="B32" s="64" t="s">
        <v>13</v>
      </c>
      <c r="C32" s="71">
        <v>0</v>
      </c>
      <c r="D32" s="72">
        <v>0</v>
      </c>
    </row>
    <row r="33" spans="1:110" x14ac:dyDescent="0.25">
      <c r="A33" s="167"/>
      <c r="B33" s="64" t="s">
        <v>14</v>
      </c>
      <c r="C33" s="71">
        <v>0</v>
      </c>
      <c r="D33" s="71">
        <v>0</v>
      </c>
    </row>
    <row r="34" spans="1:110" s="6" customFormat="1" x14ac:dyDescent="0.25">
      <c r="A34" s="167"/>
      <c r="B34" s="64" t="s">
        <v>83</v>
      </c>
      <c r="C34" s="71">
        <v>0</v>
      </c>
      <c r="D34" s="71">
        <v>0</v>
      </c>
    </row>
    <row r="35" spans="1:110" s="6" customFormat="1" x14ac:dyDescent="0.25">
      <c r="A35" s="168" t="s">
        <v>21</v>
      </c>
      <c r="B35" s="64" t="s">
        <v>12</v>
      </c>
      <c r="C35" s="73"/>
      <c r="D35" s="64">
        <f>1-D36-D37-D38</f>
        <v>0.96305917233151705</v>
      </c>
    </row>
    <row r="36" spans="1:110" s="6" customFormat="1" x14ac:dyDescent="0.25">
      <c r="A36" s="168"/>
      <c r="B36" s="64" t="s">
        <v>13</v>
      </c>
      <c r="C36" s="73"/>
      <c r="D36" s="64">
        <f>(B52)/initial_household_vehicles</f>
        <v>3.3099180689230637E-2</v>
      </c>
    </row>
    <row r="37" spans="1:110" s="6" customFormat="1" x14ac:dyDescent="0.25">
      <c r="A37" s="168"/>
      <c r="B37" s="64" t="s">
        <v>14</v>
      </c>
      <c r="C37" s="73"/>
      <c r="D37" s="64">
        <f>(H_4wheels_elec)/initial_household_vehicles</f>
        <v>1.4255728267791199E-3</v>
      </c>
    </row>
    <row r="38" spans="1:110" s="6" customFormat="1" x14ac:dyDescent="0.25">
      <c r="A38" s="168"/>
      <c r="B38" s="64" t="s">
        <v>83</v>
      </c>
      <c r="C38" s="73"/>
      <c r="D38" s="64">
        <f>H_4_wheels_hyb/initial_household_vehicles</f>
        <v>2.4160741524731364E-3</v>
      </c>
    </row>
    <row r="39" spans="1:110" s="6" customFormat="1" x14ac:dyDescent="0.25"/>
    <row r="40" spans="1:110" s="6" customFormat="1" x14ac:dyDescent="0.25"/>
    <row r="41" spans="1:110" s="6" customFormat="1" x14ac:dyDescent="0.25">
      <c r="A41" s="179" t="s">
        <v>85</v>
      </c>
      <c r="B41" s="179"/>
    </row>
    <row r="42" spans="1:110" s="6" customFormat="1" x14ac:dyDescent="0.25">
      <c r="A42" s="64" t="s">
        <v>86</v>
      </c>
      <c r="B42" s="64">
        <v>0.44975595300115101</v>
      </c>
    </row>
    <row r="43" spans="1:110" s="6" customFormat="1" x14ac:dyDescent="0.25">
      <c r="A43" s="64" t="s">
        <v>87</v>
      </c>
      <c r="B43" s="64">
        <v>0</v>
      </c>
    </row>
    <row r="44" spans="1:110" s="6" customFormat="1" x14ac:dyDescent="0.25">
      <c r="A44" s="64" t="s">
        <v>88</v>
      </c>
      <c r="B44" s="64">
        <v>0.89481486454143699</v>
      </c>
    </row>
    <row r="45" spans="1:110" x14ac:dyDescent="0.25">
      <c r="A45" s="64" t="s">
        <v>89</v>
      </c>
      <c r="B45" s="64">
        <v>0.84362487140706999</v>
      </c>
    </row>
    <row r="46" spans="1:110" x14ac:dyDescent="0.25">
      <c r="A46" s="64" t="s">
        <v>90</v>
      </c>
      <c r="B46" s="64">
        <v>0.73254033574128696</v>
      </c>
    </row>
    <row r="47" spans="1:110" x14ac:dyDescent="0.25">
      <c r="A47" s="74" t="s">
        <v>78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74"/>
      <c r="BJ47" s="74"/>
      <c r="BK47" s="74"/>
      <c r="BL47" s="74"/>
      <c r="BM47" s="74"/>
      <c r="BN47" s="74"/>
      <c r="BO47" s="74"/>
      <c r="BP47" s="74"/>
      <c r="BQ47" s="74"/>
      <c r="BR47" s="74"/>
      <c r="BS47" s="74"/>
      <c r="BT47" s="74"/>
      <c r="BU47" s="74"/>
      <c r="BV47" s="74"/>
      <c r="BW47" s="74"/>
      <c r="BX47" s="74"/>
      <c r="BY47" s="74"/>
      <c r="BZ47" s="74"/>
      <c r="CA47" s="74"/>
      <c r="CB47" s="74"/>
      <c r="CC47" s="74"/>
      <c r="CD47" s="74"/>
      <c r="CE47" s="74"/>
      <c r="CF47" s="74"/>
      <c r="CG47" s="74"/>
      <c r="CH47" s="74"/>
      <c r="CI47" s="74"/>
      <c r="CJ47" s="74"/>
      <c r="CK47" s="74"/>
      <c r="CL47" s="74"/>
      <c r="CM47" s="74"/>
      <c r="CN47" s="74"/>
      <c r="CO47" s="74"/>
      <c r="CP47" s="74"/>
      <c r="CQ47" s="74"/>
      <c r="CR47" s="74"/>
      <c r="CS47" s="74"/>
      <c r="CT47" s="74"/>
      <c r="CU47" s="74"/>
      <c r="CV47" s="74"/>
      <c r="CW47" s="74"/>
      <c r="CX47" s="74"/>
      <c r="CY47" s="74"/>
      <c r="CZ47" s="74"/>
      <c r="DA47" s="74"/>
      <c r="DB47" s="74"/>
      <c r="DC47" s="74"/>
      <c r="DD47" s="74"/>
      <c r="DE47" s="74"/>
      <c r="DF47" s="74"/>
    </row>
    <row r="48" spans="1:110" x14ac:dyDescent="0.25">
      <c r="A48" s="4" t="s">
        <v>91</v>
      </c>
      <c r="B48" s="4"/>
      <c r="C48" s="4"/>
      <c r="D48" s="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74"/>
      <c r="BQ48" s="74"/>
      <c r="BR48" s="74"/>
      <c r="BS48" s="74"/>
      <c r="BT48" s="74"/>
      <c r="BU48" s="74"/>
      <c r="BV48" s="74"/>
      <c r="BW48" s="74"/>
      <c r="BX48" s="74"/>
      <c r="BY48" s="74"/>
      <c r="BZ48" s="74"/>
      <c r="CA48" s="74"/>
      <c r="CB48" s="74"/>
      <c r="CC48" s="74"/>
      <c r="CD48" s="74"/>
      <c r="CE48" s="74"/>
      <c r="CF48" s="74"/>
      <c r="CG48" s="74"/>
      <c r="CH48" s="74"/>
      <c r="CI48" s="74"/>
      <c r="CJ48" s="74"/>
      <c r="CK48" s="74"/>
      <c r="CL48" s="74"/>
      <c r="CM48" s="74"/>
      <c r="CN48" s="74"/>
      <c r="CO48" s="74"/>
      <c r="CP48" s="74"/>
      <c r="CQ48" s="74"/>
      <c r="CR48" s="74"/>
      <c r="CS48" s="74"/>
      <c r="CT48" s="74"/>
      <c r="CU48" s="74"/>
      <c r="CV48" s="74"/>
      <c r="CW48" s="74"/>
      <c r="CX48" s="74"/>
      <c r="CY48" s="74"/>
      <c r="CZ48" s="74"/>
      <c r="DA48" s="74"/>
      <c r="DB48" s="74"/>
      <c r="DC48" s="74"/>
      <c r="DD48" s="74"/>
      <c r="DE48" s="74"/>
      <c r="DF48" s="74"/>
    </row>
    <row r="49" spans="1:110" x14ac:dyDescent="0.25">
      <c r="A49" s="7" t="s">
        <v>2</v>
      </c>
      <c r="B49" s="75">
        <v>1629395547.0876801</v>
      </c>
      <c r="C49" s="7" t="s">
        <v>92</v>
      </c>
      <c r="D49" s="9" t="s">
        <v>4</v>
      </c>
      <c r="E49" s="7" t="s">
        <v>93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6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</row>
    <row r="50" spans="1:110" x14ac:dyDescent="0.25">
      <c r="A50" s="7" t="s">
        <v>5</v>
      </c>
      <c r="B50" s="75">
        <v>2411920.3500026502</v>
      </c>
      <c r="C50" s="7" t="s">
        <v>92</v>
      </c>
      <c r="D50" s="9"/>
      <c r="E50" s="7" t="s">
        <v>94</v>
      </c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7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7"/>
    </row>
    <row r="51" spans="1:110" x14ac:dyDescent="0.25">
      <c r="A51" s="7" t="s">
        <v>95</v>
      </c>
      <c r="B51" s="75">
        <v>4087745.1547891102</v>
      </c>
      <c r="C51" s="7" t="s">
        <v>92</v>
      </c>
      <c r="D51" s="9"/>
      <c r="E51" s="7" t="s">
        <v>96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6"/>
    </row>
    <row r="52" spans="1:110" x14ac:dyDescent="0.25">
      <c r="A52" s="7" t="s">
        <v>7</v>
      </c>
      <c r="B52" s="75">
        <v>56000357.170906901</v>
      </c>
      <c r="C52" s="7" t="s">
        <v>92</v>
      </c>
      <c r="D52" s="9" t="s">
        <v>4</v>
      </c>
      <c r="E52" s="7" t="s">
        <v>97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6"/>
    </row>
    <row r="53" spans="1:110" x14ac:dyDescent="0.25">
      <c r="A53" s="7" t="s">
        <v>8</v>
      </c>
      <c r="B53" s="75">
        <v>669400763.87932503</v>
      </c>
      <c r="C53" s="7" t="s">
        <v>92</v>
      </c>
      <c r="D53" s="9" t="s">
        <v>4</v>
      </c>
      <c r="E53" s="7" t="s">
        <v>98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6"/>
    </row>
    <row r="54" spans="1:110" x14ac:dyDescent="0.25">
      <c r="A54" s="7" t="s">
        <v>99</v>
      </c>
      <c r="B54" s="75">
        <v>173337638.115601</v>
      </c>
      <c r="C54" s="7" t="s">
        <v>92</v>
      </c>
      <c r="D54" s="9" t="s">
        <v>4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6"/>
    </row>
    <row r="55" spans="1:110" x14ac:dyDescent="0.25">
      <c r="A55" s="7" t="s">
        <v>100</v>
      </c>
      <c r="B55" s="75">
        <f>SUM(B49:B52)</f>
        <v>1691895569.7633791</v>
      </c>
      <c r="C55" s="7" t="s">
        <v>92</v>
      </c>
      <c r="D55" s="10"/>
      <c r="E55" s="10" t="s">
        <v>101</v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10"/>
      <c r="DF55" s="77"/>
    </row>
    <row r="56" spans="1:110" x14ac:dyDescent="0.25">
      <c r="A56" s="7" t="s">
        <v>102</v>
      </c>
      <c r="B56" s="75">
        <v>11960600000000</v>
      </c>
      <c r="C56" s="78" t="s">
        <v>81</v>
      </c>
      <c r="D56" s="7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79"/>
      <c r="AW56" s="79"/>
      <c r="AX56" s="79"/>
      <c r="AY56" s="79"/>
      <c r="AZ56" s="79"/>
      <c r="BA56" s="79"/>
      <c r="BB56" s="79"/>
      <c r="BC56" s="79"/>
      <c r="BD56" s="79"/>
      <c r="BE56" s="79"/>
      <c r="BF56" s="79"/>
      <c r="BG56" s="79"/>
      <c r="BH56" s="79"/>
      <c r="BI56" s="79"/>
      <c r="BJ56" s="79"/>
      <c r="BK56" s="79"/>
      <c r="BL56" s="79"/>
      <c r="BM56" s="79"/>
      <c r="BN56" s="79"/>
      <c r="BO56" s="79"/>
      <c r="BP56" s="79"/>
      <c r="BQ56" s="79"/>
      <c r="BR56" s="79"/>
      <c r="BS56" s="79"/>
      <c r="BT56" s="79"/>
      <c r="BU56" s="79"/>
      <c r="BV56" s="79"/>
      <c r="BW56" s="79"/>
      <c r="BX56" s="79"/>
      <c r="BY56" s="79"/>
      <c r="BZ56" s="79"/>
      <c r="CA56" s="79"/>
      <c r="CB56" s="79"/>
      <c r="CC56" s="79"/>
      <c r="CD56" s="79"/>
      <c r="CE56" s="79"/>
      <c r="CF56" s="79"/>
      <c r="CG56" s="79"/>
      <c r="CH56" s="79"/>
      <c r="CI56" s="79"/>
      <c r="CJ56" s="79"/>
      <c r="CK56" s="79"/>
      <c r="CL56" s="79"/>
      <c r="CM56" s="79"/>
      <c r="CN56" s="79"/>
      <c r="CO56" s="79"/>
      <c r="CP56" s="79"/>
      <c r="CQ56" s="79"/>
      <c r="CR56" s="79"/>
      <c r="CS56" s="79"/>
      <c r="CT56" s="79"/>
      <c r="CU56" s="79"/>
      <c r="CV56" s="79"/>
      <c r="CW56" s="79"/>
      <c r="CX56" s="79"/>
      <c r="CY56" s="79"/>
      <c r="CZ56" s="79"/>
      <c r="DA56" s="79"/>
      <c r="DB56" s="79"/>
      <c r="DC56" s="79"/>
      <c r="DD56" s="79"/>
      <c r="DE56" s="79"/>
      <c r="DF56" s="79"/>
    </row>
    <row r="57" spans="1:110" x14ac:dyDescent="0.25">
      <c r="A57" s="4" t="s">
        <v>103</v>
      </c>
      <c r="B57" s="4"/>
      <c r="C57" s="4"/>
      <c r="D57" s="80"/>
      <c r="E57" s="80"/>
      <c r="F57" s="80" t="s">
        <v>104</v>
      </c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  <c r="AY57" s="80"/>
      <c r="AZ57" s="80"/>
      <c r="BA57" s="80"/>
      <c r="BB57" s="80"/>
      <c r="BC57" s="80"/>
      <c r="BD57" s="80"/>
      <c r="BE57" s="80"/>
      <c r="BF57" s="80"/>
      <c r="BG57" s="80"/>
      <c r="BH57" s="80"/>
      <c r="BI57" s="80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0"/>
      <c r="BX57" s="80"/>
      <c r="BY57" s="80"/>
      <c r="BZ57" s="80"/>
      <c r="CA57" s="80"/>
      <c r="CB57" s="80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80"/>
      <c r="CU57" s="80"/>
      <c r="CV57" s="80"/>
      <c r="CW57" s="80"/>
      <c r="CX57" s="80"/>
      <c r="CY57" s="80"/>
      <c r="CZ57" s="80"/>
      <c r="DA57" s="80"/>
      <c r="DB57" s="80"/>
      <c r="DC57" s="80"/>
      <c r="DD57" s="80"/>
      <c r="DE57" s="80"/>
      <c r="DF57" s="81"/>
    </row>
    <row r="58" spans="1:110" x14ac:dyDescent="0.25">
      <c r="A58" s="7" t="s">
        <v>105</v>
      </c>
      <c r="B58" s="7">
        <v>58453889.674797401</v>
      </c>
      <c r="C58" s="7" t="s">
        <v>92</v>
      </c>
      <c r="D58" s="82"/>
      <c r="E58" s="82" t="s">
        <v>106</v>
      </c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  <c r="AI58" s="82"/>
      <c r="AJ58" s="82"/>
      <c r="AK58" s="82"/>
      <c r="AL58" s="82"/>
      <c r="AM58" s="82"/>
      <c r="AN58" s="82"/>
      <c r="AO58" s="82"/>
      <c r="AP58" s="82"/>
      <c r="AQ58" s="82"/>
      <c r="AR58" s="82"/>
      <c r="AS58" s="82"/>
      <c r="AT58" s="82"/>
      <c r="AU58" s="82"/>
      <c r="AV58" s="82"/>
      <c r="AW58" s="82"/>
      <c r="AX58" s="82"/>
      <c r="AY58" s="82"/>
      <c r="AZ58" s="82"/>
      <c r="BA58" s="82"/>
      <c r="BB58" s="82"/>
      <c r="BC58" s="82"/>
      <c r="BD58" s="82"/>
      <c r="BE58" s="82"/>
      <c r="BF58" s="82"/>
      <c r="BG58" s="82"/>
      <c r="BH58" s="82"/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/>
      <c r="CE58" s="82"/>
      <c r="CF58" s="82"/>
      <c r="CG58" s="82"/>
      <c r="CH58" s="82"/>
      <c r="CI58" s="82"/>
      <c r="CJ58" s="82"/>
      <c r="CK58" s="82"/>
      <c r="CL58" s="82"/>
      <c r="CM58" s="82"/>
      <c r="CN58" s="82"/>
      <c r="CO58" s="82"/>
      <c r="CP58" s="82"/>
      <c r="CQ58" s="82"/>
      <c r="CR58" s="82"/>
      <c r="CS58" s="82"/>
      <c r="CT58" s="82"/>
      <c r="CU58" s="82"/>
      <c r="CV58" s="82"/>
      <c r="CW58" s="82"/>
      <c r="CX58" s="82"/>
      <c r="CY58" s="82"/>
      <c r="CZ58" s="82"/>
      <c r="DA58" s="82"/>
      <c r="DB58" s="82"/>
      <c r="DC58" s="82"/>
      <c r="DD58" s="82"/>
      <c r="DE58" s="82"/>
      <c r="DF58" s="83"/>
    </row>
    <row r="59" spans="1:110" x14ac:dyDescent="0.25">
      <c r="A59" s="7" t="s">
        <v>36</v>
      </c>
      <c r="B59" s="7">
        <v>26420.048323860701</v>
      </c>
      <c r="C59" s="7" t="s">
        <v>92</v>
      </c>
      <c r="D59" s="82"/>
      <c r="E59" s="82" t="s">
        <v>107</v>
      </c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2"/>
      <c r="AN59" s="82"/>
      <c r="AO59" s="82"/>
      <c r="AP59" s="82"/>
      <c r="AQ59" s="82"/>
      <c r="AR59" s="82"/>
      <c r="AS59" s="82"/>
      <c r="AT59" s="82"/>
      <c r="AU59" s="82"/>
      <c r="AV59" s="82"/>
      <c r="AW59" s="82"/>
      <c r="AX59" s="82"/>
      <c r="AY59" s="82"/>
      <c r="AZ59" s="82"/>
      <c r="BA59" s="82"/>
      <c r="BB59" s="82"/>
      <c r="BC59" s="82"/>
      <c r="BD59" s="82"/>
      <c r="BE59" s="82"/>
      <c r="BF59" s="82"/>
      <c r="BG59" s="82"/>
      <c r="BH59" s="82"/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/>
      <c r="CE59" s="82"/>
      <c r="CF59" s="82"/>
      <c r="CG59" s="82"/>
      <c r="CH59" s="82"/>
      <c r="CI59" s="82"/>
      <c r="CJ59" s="82"/>
      <c r="CK59" s="82"/>
      <c r="CL59" s="82"/>
      <c r="CM59" s="82"/>
      <c r="CN59" s="82"/>
      <c r="CO59" s="82"/>
      <c r="CP59" s="82"/>
      <c r="CQ59" s="82"/>
      <c r="CR59" s="82"/>
      <c r="CS59" s="82"/>
      <c r="CT59" s="82"/>
      <c r="CU59" s="82"/>
      <c r="CV59" s="82"/>
      <c r="CW59" s="82"/>
      <c r="CX59" s="82"/>
      <c r="CY59" s="82"/>
      <c r="CZ59" s="82"/>
      <c r="DA59" s="82"/>
      <c r="DB59" s="82"/>
      <c r="DC59" s="82"/>
      <c r="DD59" s="82"/>
      <c r="DE59" s="82"/>
      <c r="DF59" s="83"/>
    </row>
    <row r="60" spans="1:110" x14ac:dyDescent="0.25">
      <c r="A60" s="7" t="s">
        <v>108</v>
      </c>
      <c r="B60" s="7">
        <v>26420.048323860701</v>
      </c>
      <c r="C60" s="7" t="s">
        <v>92</v>
      </c>
      <c r="D60" s="82"/>
      <c r="E60" s="82" t="s">
        <v>109</v>
      </c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  <c r="AI60" s="82"/>
      <c r="AJ60" s="82"/>
      <c r="AK60" s="82"/>
      <c r="AL60" s="82"/>
      <c r="AM60" s="82"/>
      <c r="AN60" s="82"/>
      <c r="AO60" s="82"/>
      <c r="AP60" s="82"/>
      <c r="AQ60" s="82"/>
      <c r="AR60" s="82"/>
      <c r="AS60" s="82"/>
      <c r="AT60" s="82"/>
      <c r="AU60" s="82"/>
      <c r="AV60" s="82"/>
      <c r="AW60" s="82"/>
      <c r="AX60" s="82"/>
      <c r="AY60" s="82"/>
      <c r="AZ60" s="82"/>
      <c r="BA60" s="82"/>
      <c r="BB60" s="82"/>
      <c r="BC60" s="82"/>
      <c r="BD60" s="82"/>
      <c r="BE60" s="82"/>
      <c r="BF60" s="82"/>
      <c r="BG60" s="82"/>
      <c r="BH60" s="82"/>
      <c r="BI60" s="82"/>
      <c r="BJ60" s="82"/>
      <c r="BK60" s="82"/>
      <c r="BL60" s="82"/>
      <c r="BM60" s="82"/>
      <c r="BN60" s="82"/>
      <c r="BO60" s="82"/>
      <c r="BP60" s="82"/>
      <c r="BQ60" s="82"/>
      <c r="BR60" s="82"/>
      <c r="BS60" s="82"/>
      <c r="BT60" s="82"/>
      <c r="BU60" s="82"/>
      <c r="BV60" s="82"/>
      <c r="BW60" s="82"/>
      <c r="BX60" s="82"/>
      <c r="BY60" s="82"/>
      <c r="BZ60" s="82"/>
      <c r="CA60" s="82"/>
      <c r="CB60" s="82"/>
      <c r="CC60" s="82"/>
      <c r="CD60" s="82"/>
      <c r="CE60" s="82"/>
      <c r="CF60" s="82"/>
      <c r="CG60" s="82"/>
      <c r="CH60" s="82"/>
      <c r="CI60" s="82"/>
      <c r="CJ60" s="82"/>
      <c r="CK60" s="82"/>
      <c r="CL60" s="82"/>
      <c r="CM60" s="82"/>
      <c r="CN60" s="82"/>
      <c r="CO60" s="82"/>
      <c r="CP60" s="82"/>
      <c r="CQ60" s="82"/>
      <c r="CR60" s="82"/>
      <c r="CS60" s="82"/>
      <c r="CT60" s="82"/>
      <c r="CU60" s="82"/>
      <c r="CV60" s="82"/>
      <c r="CW60" s="82"/>
      <c r="CX60" s="82"/>
      <c r="CY60" s="82"/>
      <c r="CZ60" s="82"/>
      <c r="DA60" s="82"/>
      <c r="DB60" s="82"/>
      <c r="DC60" s="82"/>
      <c r="DD60" s="82"/>
      <c r="DE60" s="82"/>
      <c r="DF60" s="83"/>
    </row>
    <row r="61" spans="1:110" x14ac:dyDescent="0.25">
      <c r="A61" s="7" t="s">
        <v>110</v>
      </c>
      <c r="B61" s="84">
        <v>209702760.67399499</v>
      </c>
      <c r="C61" s="7" t="s">
        <v>92</v>
      </c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2"/>
      <c r="AM61" s="82"/>
      <c r="AN61" s="82"/>
      <c r="AO61" s="82"/>
      <c r="AP61" s="82"/>
      <c r="AQ61" s="82"/>
      <c r="AR61" s="82"/>
      <c r="AS61" s="82"/>
      <c r="AT61" s="82"/>
      <c r="AU61" s="82"/>
      <c r="AV61" s="82"/>
      <c r="AW61" s="82"/>
      <c r="AX61" s="82"/>
      <c r="AY61" s="82"/>
      <c r="AZ61" s="82"/>
      <c r="BA61" s="82"/>
      <c r="BB61" s="82"/>
      <c r="BC61" s="82"/>
      <c r="BD61" s="82"/>
      <c r="BE61" s="82"/>
      <c r="BF61" s="82"/>
      <c r="BG61" s="82"/>
      <c r="BH61" s="82"/>
      <c r="BI61" s="82"/>
      <c r="BJ61" s="82"/>
      <c r="BK61" s="82"/>
      <c r="BL61" s="82"/>
      <c r="BM61" s="82"/>
      <c r="BN61" s="82"/>
      <c r="BO61" s="82"/>
      <c r="BP61" s="82"/>
      <c r="BQ61" s="82"/>
      <c r="BR61" s="82"/>
      <c r="BS61" s="82"/>
      <c r="BT61" s="82"/>
      <c r="BU61" s="82"/>
      <c r="BV61" s="82"/>
      <c r="BW61" s="82"/>
      <c r="BX61" s="82"/>
      <c r="BY61" s="82"/>
      <c r="BZ61" s="82"/>
      <c r="CA61" s="82"/>
      <c r="CB61" s="82"/>
      <c r="CC61" s="82"/>
      <c r="CD61" s="82"/>
      <c r="CE61" s="82"/>
      <c r="CF61" s="82"/>
      <c r="CG61" s="82"/>
      <c r="CH61" s="82"/>
      <c r="CI61" s="82"/>
      <c r="CJ61" s="82"/>
      <c r="CK61" s="82"/>
      <c r="CL61" s="82"/>
      <c r="CM61" s="82"/>
      <c r="CN61" s="82"/>
      <c r="CO61" s="82"/>
      <c r="CP61" s="82"/>
      <c r="CQ61" s="82"/>
      <c r="CR61" s="82"/>
      <c r="CS61" s="82"/>
      <c r="CT61" s="82"/>
      <c r="CU61" s="82"/>
      <c r="CV61" s="82"/>
      <c r="CW61" s="82"/>
      <c r="CX61" s="82"/>
      <c r="CY61" s="82"/>
      <c r="CZ61" s="82"/>
      <c r="DA61" s="82"/>
      <c r="DB61" s="82"/>
      <c r="DC61" s="82"/>
      <c r="DD61" s="82"/>
      <c r="DE61" s="82"/>
      <c r="DF61" s="83"/>
    </row>
    <row r="62" spans="1:110" x14ac:dyDescent="0.25">
      <c r="A62" s="7" t="s">
        <v>111</v>
      </c>
      <c r="B62" s="7">
        <v>159229.974932376</v>
      </c>
      <c r="C62" s="7" t="s">
        <v>92</v>
      </c>
      <c r="D62" s="82"/>
      <c r="E62" s="82" t="s">
        <v>112</v>
      </c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3"/>
    </row>
    <row r="63" spans="1:110" x14ac:dyDescent="0.25">
      <c r="A63" s="7" t="s">
        <v>113</v>
      </c>
      <c r="B63" s="7">
        <v>76996.061816091693</v>
      </c>
      <c r="C63" s="7" t="s">
        <v>92</v>
      </c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2"/>
      <c r="AN63" s="82"/>
      <c r="AO63" s="82"/>
      <c r="AP63" s="82"/>
      <c r="AQ63" s="82"/>
      <c r="AR63" s="82"/>
      <c r="AS63" s="82"/>
      <c r="AT63" s="82"/>
      <c r="AU63" s="82"/>
      <c r="AV63" s="82"/>
      <c r="AW63" s="82"/>
      <c r="AX63" s="82"/>
      <c r="AY63" s="82"/>
      <c r="AZ63" s="82"/>
      <c r="BA63" s="82"/>
      <c r="BB63" s="82"/>
      <c r="BC63" s="82"/>
      <c r="BD63" s="82"/>
      <c r="BE63" s="82"/>
      <c r="BF63" s="82"/>
      <c r="BG63" s="82"/>
      <c r="BH63" s="82"/>
      <c r="BI63" s="82"/>
      <c r="BJ63" s="82"/>
      <c r="BK63" s="82"/>
      <c r="BL63" s="82"/>
      <c r="BM63" s="82"/>
      <c r="BN63" s="82"/>
      <c r="BO63" s="82"/>
      <c r="BP63" s="82"/>
      <c r="BQ63" s="82"/>
      <c r="BR63" s="82"/>
      <c r="BS63" s="82"/>
      <c r="BT63" s="82"/>
      <c r="BU63" s="82"/>
      <c r="BV63" s="82"/>
      <c r="BW63" s="82"/>
      <c r="BX63" s="82"/>
      <c r="BY63" s="82"/>
      <c r="BZ63" s="82"/>
      <c r="CA63" s="82"/>
      <c r="CB63" s="82"/>
      <c r="CC63" s="82"/>
      <c r="CD63" s="82"/>
      <c r="CE63" s="82"/>
      <c r="CF63" s="82"/>
      <c r="CG63" s="82"/>
      <c r="CH63" s="82"/>
      <c r="CI63" s="82"/>
      <c r="CJ63" s="82"/>
      <c r="CK63" s="82"/>
      <c r="CL63" s="82"/>
      <c r="CM63" s="82"/>
      <c r="CN63" s="82"/>
      <c r="CO63" s="82"/>
      <c r="CP63" s="82"/>
      <c r="CQ63" s="82"/>
      <c r="CR63" s="82"/>
      <c r="CS63" s="82"/>
      <c r="CT63" s="82"/>
      <c r="CU63" s="82"/>
      <c r="CV63" s="82"/>
      <c r="CW63" s="82"/>
      <c r="CX63" s="82"/>
      <c r="CY63" s="82"/>
      <c r="CZ63" s="82"/>
      <c r="DA63" s="82"/>
      <c r="DB63" s="82"/>
      <c r="DC63" s="82"/>
      <c r="DD63" s="82"/>
      <c r="DE63" s="82"/>
      <c r="DF63" s="83"/>
    </row>
    <row r="64" spans="1:110" x14ac:dyDescent="0.25">
      <c r="A64" s="7" t="s">
        <v>114</v>
      </c>
      <c r="B64" s="7">
        <v>3406478.9816682399</v>
      </c>
      <c r="C64" s="7" t="s">
        <v>92</v>
      </c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  <c r="AI64" s="82"/>
      <c r="AJ64" s="82"/>
      <c r="AK64" s="82"/>
      <c r="AL64" s="82"/>
      <c r="AM64" s="82"/>
      <c r="AN64" s="82"/>
      <c r="AO64" s="82"/>
      <c r="AP64" s="82"/>
      <c r="AQ64" s="82"/>
      <c r="AR64" s="82"/>
      <c r="AS64" s="82"/>
      <c r="AT64" s="82"/>
      <c r="AU64" s="82"/>
      <c r="AV64" s="82"/>
      <c r="AW64" s="82"/>
      <c r="AX64" s="82"/>
      <c r="AY64" s="82"/>
      <c r="AZ64" s="82"/>
      <c r="BA64" s="82"/>
      <c r="BB64" s="82"/>
      <c r="BC64" s="82"/>
      <c r="BD64" s="82"/>
      <c r="BE64" s="82"/>
      <c r="BF64" s="82"/>
      <c r="BG64" s="82"/>
      <c r="BH64" s="82"/>
      <c r="BI64" s="82"/>
      <c r="BJ64" s="82"/>
      <c r="BK64" s="82"/>
      <c r="BL64" s="82"/>
      <c r="BM64" s="82"/>
      <c r="BN64" s="82"/>
      <c r="BO64" s="82"/>
      <c r="BP64" s="82"/>
      <c r="BQ64" s="82"/>
      <c r="BR64" s="82"/>
      <c r="BS64" s="82"/>
      <c r="BT64" s="82"/>
      <c r="BU64" s="82"/>
      <c r="BV64" s="82"/>
      <c r="BW64" s="82"/>
      <c r="BX64" s="82"/>
      <c r="BY64" s="82"/>
      <c r="BZ64" s="82"/>
      <c r="CA64" s="82"/>
      <c r="CB64" s="82"/>
      <c r="CC64" s="82"/>
      <c r="CD64" s="82"/>
      <c r="CE64" s="82"/>
      <c r="CF64" s="82"/>
      <c r="CG64" s="82"/>
      <c r="CH64" s="82"/>
      <c r="CI64" s="82"/>
      <c r="CJ64" s="82"/>
      <c r="CK64" s="82"/>
      <c r="CL64" s="82"/>
      <c r="CM64" s="82"/>
      <c r="CN64" s="82"/>
      <c r="CO64" s="82"/>
      <c r="CP64" s="82"/>
      <c r="CQ64" s="82"/>
      <c r="CR64" s="82"/>
      <c r="CS64" s="82"/>
      <c r="CT64" s="82"/>
      <c r="CU64" s="82"/>
      <c r="CV64" s="82"/>
      <c r="CW64" s="82"/>
      <c r="CX64" s="82"/>
      <c r="CY64" s="82"/>
      <c r="CZ64" s="82"/>
      <c r="DA64" s="82"/>
      <c r="DB64" s="82"/>
      <c r="DC64" s="82"/>
      <c r="DD64" s="82"/>
      <c r="DE64" s="82"/>
      <c r="DF64" s="83"/>
    </row>
    <row r="65" spans="1:110" x14ac:dyDescent="0.25">
      <c r="A65" s="7" t="s">
        <v>115</v>
      </c>
      <c r="B65" s="7">
        <v>15600000</v>
      </c>
      <c r="C65" s="7" t="s">
        <v>92</v>
      </c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2"/>
      <c r="AN65" s="82"/>
      <c r="AO65" s="82"/>
      <c r="AP65" s="82"/>
      <c r="AQ65" s="82"/>
      <c r="AR65" s="82"/>
      <c r="AS65" s="82"/>
      <c r="AT65" s="82"/>
      <c r="AU65" s="82"/>
      <c r="AV65" s="82"/>
      <c r="AW65" s="82"/>
      <c r="AX65" s="82"/>
      <c r="AY65" s="82"/>
      <c r="AZ65" s="82"/>
      <c r="BA65" s="82"/>
      <c r="BB65" s="82"/>
      <c r="BC65" s="82"/>
      <c r="BD65" s="82"/>
      <c r="BE65" s="82"/>
      <c r="BF65" s="82"/>
      <c r="BG65" s="82"/>
      <c r="BH65" s="82"/>
      <c r="BI65" s="82"/>
      <c r="BJ65" s="82"/>
      <c r="BK65" s="82"/>
      <c r="BL65" s="82"/>
      <c r="BM65" s="82"/>
      <c r="BN65" s="82"/>
      <c r="BO65" s="82"/>
      <c r="BP65" s="82"/>
      <c r="BQ65" s="82"/>
      <c r="BR65" s="82"/>
      <c r="BS65" s="82"/>
      <c r="BT65" s="82"/>
      <c r="BU65" s="82"/>
      <c r="BV65" s="82"/>
      <c r="BW65" s="82"/>
      <c r="BX65" s="82"/>
      <c r="BY65" s="82"/>
      <c r="BZ65" s="82"/>
      <c r="CA65" s="82"/>
      <c r="CB65" s="82"/>
      <c r="CC65" s="82"/>
      <c r="CD65" s="82"/>
      <c r="CE65" s="82"/>
      <c r="CF65" s="82"/>
      <c r="CG65" s="82"/>
      <c r="CH65" s="82"/>
      <c r="CI65" s="82"/>
      <c r="CJ65" s="82"/>
      <c r="CK65" s="82"/>
      <c r="CL65" s="82"/>
      <c r="CM65" s="82"/>
      <c r="CN65" s="82"/>
      <c r="CO65" s="82"/>
      <c r="CP65" s="82"/>
      <c r="CQ65" s="82"/>
      <c r="CR65" s="82"/>
      <c r="CS65" s="82"/>
      <c r="CT65" s="82"/>
      <c r="CU65" s="82"/>
      <c r="CV65" s="82"/>
      <c r="CW65" s="82"/>
      <c r="CX65" s="82"/>
      <c r="CY65" s="82"/>
      <c r="CZ65" s="82"/>
      <c r="DA65" s="82"/>
      <c r="DB65" s="82"/>
      <c r="DC65" s="82"/>
      <c r="DD65" s="82"/>
      <c r="DE65" s="82"/>
      <c r="DF65" s="83"/>
    </row>
    <row r="66" spans="1:110" x14ac:dyDescent="0.25">
      <c r="A66" s="7" t="s">
        <v>116</v>
      </c>
      <c r="B66" s="7">
        <v>0</v>
      </c>
      <c r="C66" s="7" t="s">
        <v>92</v>
      </c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  <c r="AI66" s="82"/>
      <c r="AJ66" s="82"/>
      <c r="AK66" s="82"/>
      <c r="AL66" s="82"/>
      <c r="AM66" s="82"/>
      <c r="AN66" s="82"/>
      <c r="AO66" s="82"/>
      <c r="AP66" s="82"/>
      <c r="AQ66" s="82"/>
      <c r="AR66" s="82"/>
      <c r="AS66" s="82"/>
      <c r="AT66" s="82"/>
      <c r="AU66" s="82"/>
      <c r="AV66" s="82"/>
      <c r="AW66" s="82"/>
      <c r="AX66" s="82"/>
      <c r="AY66" s="82"/>
      <c r="AZ66" s="82"/>
      <c r="BA66" s="82"/>
      <c r="BB66" s="82"/>
      <c r="BC66" s="82"/>
      <c r="BD66" s="82"/>
      <c r="BE66" s="82"/>
      <c r="BF66" s="82"/>
      <c r="BG66" s="82"/>
      <c r="BH66" s="82"/>
      <c r="BI66" s="82"/>
      <c r="BJ66" s="82"/>
      <c r="BK66" s="82"/>
      <c r="BL66" s="82"/>
      <c r="BM66" s="82"/>
      <c r="BN66" s="82"/>
      <c r="BO66" s="82"/>
      <c r="BP66" s="82"/>
      <c r="BQ66" s="82"/>
      <c r="BR66" s="82"/>
      <c r="BS66" s="82"/>
      <c r="BT66" s="82"/>
      <c r="BU66" s="82"/>
      <c r="BV66" s="82"/>
      <c r="BW66" s="82"/>
      <c r="BX66" s="82"/>
      <c r="BY66" s="82"/>
      <c r="BZ66" s="82"/>
      <c r="CA66" s="82"/>
      <c r="CB66" s="82"/>
      <c r="CC66" s="82"/>
      <c r="CD66" s="82"/>
      <c r="CE66" s="82"/>
      <c r="CF66" s="82"/>
      <c r="CG66" s="82"/>
      <c r="CH66" s="82"/>
      <c r="CI66" s="82"/>
      <c r="CJ66" s="82"/>
      <c r="CK66" s="82"/>
      <c r="CL66" s="82"/>
      <c r="CM66" s="82"/>
      <c r="CN66" s="82"/>
      <c r="CO66" s="82"/>
      <c r="CP66" s="82"/>
      <c r="CQ66" s="82"/>
      <c r="CR66" s="82"/>
      <c r="CS66" s="82"/>
      <c r="CT66" s="82"/>
      <c r="CU66" s="82"/>
      <c r="CV66" s="82"/>
      <c r="CW66" s="82"/>
      <c r="CX66" s="82"/>
      <c r="CY66" s="82"/>
      <c r="CZ66" s="82"/>
      <c r="DA66" s="82"/>
      <c r="DB66" s="82"/>
      <c r="DC66" s="82"/>
      <c r="DD66" s="82"/>
      <c r="DE66" s="82"/>
      <c r="DF66" s="83"/>
    </row>
    <row r="67" spans="1:110" x14ac:dyDescent="0.25">
      <c r="A67" s="82" t="s">
        <v>117</v>
      </c>
      <c r="B67" s="82">
        <v>0</v>
      </c>
      <c r="C67" s="82" t="s">
        <v>118</v>
      </c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  <c r="AP67" s="82"/>
      <c r="AQ67" s="82"/>
      <c r="AR67" s="82"/>
      <c r="AS67" s="82"/>
      <c r="AT67" s="82"/>
      <c r="AU67" s="82"/>
      <c r="AV67" s="82"/>
      <c r="AW67" s="82"/>
      <c r="AX67" s="82"/>
      <c r="AY67" s="82"/>
      <c r="AZ67" s="82"/>
      <c r="BA67" s="82"/>
      <c r="BB67" s="82"/>
      <c r="BC67" s="82"/>
      <c r="BD67" s="82"/>
      <c r="BE67" s="82"/>
      <c r="BF67" s="82"/>
      <c r="BG67" s="82"/>
      <c r="BH67" s="82"/>
      <c r="BI67" s="82"/>
      <c r="BJ67" s="82"/>
      <c r="BK67" s="82"/>
      <c r="BL67" s="82"/>
      <c r="BM67" s="82"/>
      <c r="BN67" s="82"/>
      <c r="BO67" s="82"/>
      <c r="BP67" s="82"/>
      <c r="BQ67" s="82"/>
      <c r="BR67" s="82"/>
      <c r="BS67" s="82"/>
      <c r="BT67" s="82"/>
      <c r="BU67" s="82"/>
      <c r="BV67" s="82"/>
      <c r="BW67" s="82"/>
      <c r="BX67" s="82"/>
      <c r="BY67" s="82"/>
      <c r="BZ67" s="82"/>
      <c r="CA67" s="82"/>
      <c r="CB67" s="82"/>
      <c r="CC67" s="82"/>
      <c r="CD67" s="82"/>
      <c r="CE67" s="82"/>
      <c r="CF67" s="82"/>
      <c r="CG67" s="82"/>
      <c r="CH67" s="82"/>
      <c r="CI67" s="82"/>
      <c r="CJ67" s="82"/>
      <c r="CK67" s="82"/>
      <c r="CL67" s="82"/>
      <c r="CM67" s="82"/>
      <c r="CN67" s="82"/>
      <c r="CO67" s="82"/>
      <c r="CP67" s="82"/>
      <c r="CQ67" s="82"/>
      <c r="CR67" s="82"/>
      <c r="CS67" s="82"/>
      <c r="CT67" s="82"/>
      <c r="CU67" s="82"/>
      <c r="CV67" s="82"/>
      <c r="CW67" s="82"/>
      <c r="CX67" s="82"/>
      <c r="CY67" s="82"/>
      <c r="CZ67" s="82"/>
      <c r="DA67" s="82"/>
      <c r="DB67" s="82"/>
      <c r="DC67" s="82"/>
      <c r="DD67" s="82"/>
      <c r="DE67" s="82"/>
      <c r="DF67" s="83"/>
    </row>
    <row r="68" spans="1:110" x14ac:dyDescent="0.25">
      <c r="A68" s="7" t="s">
        <v>119</v>
      </c>
      <c r="B68" s="7">
        <v>0</v>
      </c>
      <c r="C68" s="7" t="s">
        <v>118</v>
      </c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  <c r="AP68" s="82"/>
      <c r="AQ68" s="82"/>
      <c r="AR68" s="82"/>
      <c r="AS68" s="82"/>
      <c r="AT68" s="82"/>
      <c r="AU68" s="82"/>
      <c r="AV68" s="82"/>
      <c r="AW68" s="82"/>
      <c r="AX68" s="82"/>
      <c r="AY68" s="82"/>
      <c r="AZ68" s="82"/>
      <c r="BA68" s="82"/>
      <c r="BB68" s="82"/>
      <c r="BC68" s="82"/>
      <c r="BD68" s="82"/>
      <c r="BE68" s="82"/>
      <c r="BF68" s="82"/>
      <c r="BG68" s="82"/>
      <c r="BH68" s="82"/>
      <c r="BI68" s="82"/>
      <c r="BJ68" s="82"/>
      <c r="BK68" s="82"/>
      <c r="BL68" s="82"/>
      <c r="BM68" s="82"/>
      <c r="BN68" s="82"/>
      <c r="BO68" s="82"/>
      <c r="BP68" s="82"/>
      <c r="BQ68" s="82"/>
      <c r="BR68" s="82"/>
      <c r="BS68" s="82"/>
      <c r="BT68" s="82"/>
      <c r="BU68" s="82"/>
      <c r="BV68" s="82"/>
      <c r="BW68" s="82"/>
      <c r="BX68" s="82"/>
      <c r="BY68" s="82"/>
      <c r="BZ68" s="82"/>
      <c r="CA68" s="82"/>
      <c r="CB68" s="82"/>
      <c r="CC68" s="82"/>
      <c r="CD68" s="82"/>
      <c r="CE68" s="82"/>
      <c r="CF68" s="82"/>
      <c r="CG68" s="82"/>
      <c r="CH68" s="82"/>
      <c r="CI68" s="82"/>
      <c r="CJ68" s="82"/>
      <c r="CK68" s="82"/>
      <c r="CL68" s="82"/>
      <c r="CM68" s="82"/>
      <c r="CN68" s="82"/>
      <c r="CO68" s="82"/>
      <c r="CP68" s="82"/>
      <c r="CQ68" s="82"/>
      <c r="CR68" s="82"/>
      <c r="CS68" s="82"/>
      <c r="CT68" s="82"/>
      <c r="CU68" s="82"/>
      <c r="CV68" s="82"/>
      <c r="CW68" s="82"/>
      <c r="CX68" s="82"/>
      <c r="CY68" s="82"/>
      <c r="CZ68" s="82"/>
      <c r="DA68" s="82"/>
      <c r="DB68" s="82"/>
      <c r="DC68" s="82"/>
      <c r="DD68" s="82"/>
      <c r="DE68" s="82"/>
      <c r="DF68" s="83"/>
    </row>
    <row r="69" spans="1:110" x14ac:dyDescent="0.25">
      <c r="A69" s="7" t="s">
        <v>120</v>
      </c>
      <c r="B69" s="7">
        <v>1</v>
      </c>
      <c r="C69" s="7" t="s">
        <v>121</v>
      </c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82"/>
      <c r="AR69" s="82"/>
      <c r="AS69" s="82"/>
      <c r="AT69" s="82"/>
      <c r="AU69" s="82"/>
      <c r="AV69" s="82"/>
      <c r="AW69" s="82"/>
      <c r="AX69" s="82"/>
      <c r="AY69" s="82"/>
      <c r="AZ69" s="82"/>
      <c r="BA69" s="82"/>
      <c r="BB69" s="82"/>
      <c r="BC69" s="82"/>
      <c r="BD69" s="82"/>
      <c r="BE69" s="82"/>
      <c r="BF69" s="82"/>
      <c r="BG69" s="82"/>
      <c r="BH69" s="82"/>
      <c r="BI69" s="82"/>
      <c r="BJ69" s="82"/>
      <c r="BK69" s="82"/>
      <c r="BL69" s="82"/>
      <c r="BM69" s="82"/>
      <c r="BN69" s="82"/>
      <c r="BO69" s="82"/>
      <c r="BP69" s="82"/>
      <c r="BQ69" s="82"/>
      <c r="BR69" s="82"/>
      <c r="BS69" s="82"/>
      <c r="BT69" s="82"/>
      <c r="BU69" s="82"/>
      <c r="BV69" s="82"/>
      <c r="BW69" s="82"/>
      <c r="BX69" s="82"/>
      <c r="BY69" s="82"/>
      <c r="BZ69" s="82"/>
      <c r="CA69" s="82"/>
      <c r="CB69" s="82"/>
      <c r="CC69" s="82"/>
      <c r="CD69" s="82"/>
      <c r="CE69" s="82"/>
      <c r="CF69" s="82"/>
      <c r="CG69" s="82"/>
      <c r="CH69" s="82"/>
      <c r="CI69" s="82"/>
      <c r="CJ69" s="82"/>
      <c r="CK69" s="82"/>
      <c r="CL69" s="82"/>
      <c r="CM69" s="82"/>
      <c r="CN69" s="82"/>
      <c r="CO69" s="82"/>
      <c r="CP69" s="82"/>
      <c r="CQ69" s="82"/>
      <c r="CR69" s="82"/>
      <c r="CS69" s="82"/>
      <c r="CT69" s="82"/>
      <c r="CU69" s="82"/>
      <c r="CV69" s="82"/>
      <c r="CW69" s="82"/>
      <c r="CX69" s="82"/>
      <c r="CY69" s="82"/>
      <c r="CZ69" s="82"/>
      <c r="DA69" s="82"/>
      <c r="DB69" s="82"/>
      <c r="DC69" s="82"/>
      <c r="DD69" s="82"/>
      <c r="DE69" s="82"/>
      <c r="DF69" s="83"/>
    </row>
    <row r="70" spans="1:110" x14ac:dyDescent="0.25">
      <c r="A70" s="7" t="s">
        <v>122</v>
      </c>
      <c r="B70" s="7">
        <v>1</v>
      </c>
      <c r="C70" s="7" t="s">
        <v>92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85"/>
    </row>
    <row r="71" spans="1:110" x14ac:dyDescent="0.25">
      <c r="A71" s="7" t="s">
        <v>123</v>
      </c>
      <c r="B71" s="7">
        <f>SUM(B65:B70)</f>
        <v>15600002</v>
      </c>
      <c r="C71" s="7" t="s">
        <v>92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85"/>
    </row>
    <row r="72" spans="1:110" x14ac:dyDescent="0.25">
      <c r="A72" s="7" t="s">
        <v>124</v>
      </c>
      <c r="B72" s="7">
        <f>SUM(B58:B64)</f>
        <v>271852195.46385682</v>
      </c>
      <c r="C72" s="7" t="s">
        <v>92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85"/>
    </row>
    <row r="73" spans="1:110" x14ac:dyDescent="0.25">
      <c r="A73" s="7" t="s">
        <v>125</v>
      </c>
      <c r="B73" s="86">
        <v>4591240000000</v>
      </c>
      <c r="C73" s="7" t="s">
        <v>81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85"/>
    </row>
    <row r="74" spans="1:110" x14ac:dyDescent="0.25">
      <c r="A74" s="7" t="s">
        <v>126</v>
      </c>
      <c r="B74" s="86">
        <v>29277400000000</v>
      </c>
      <c r="C74" s="7" t="s">
        <v>73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85"/>
    </row>
    <row r="75" spans="1:110" x14ac:dyDescent="0.25">
      <c r="A75" s="7" t="s">
        <v>127</v>
      </c>
      <c r="B75" s="86">
        <f>B66+B70</f>
        <v>1</v>
      </c>
      <c r="C75" s="7" t="s">
        <v>92</v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85"/>
    </row>
    <row r="76" spans="1:110" x14ac:dyDescent="0.25">
      <c r="A76" s="7" t="s">
        <v>128</v>
      </c>
      <c r="B76" s="86">
        <f>B67</f>
        <v>0</v>
      </c>
      <c r="C76" s="7" t="s">
        <v>121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85"/>
    </row>
    <row r="77" spans="1:110" x14ac:dyDescent="0.25">
      <c r="A77" s="4" t="s">
        <v>129</v>
      </c>
      <c r="B77" s="4"/>
      <c r="C77" s="4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85"/>
    </row>
    <row r="78" spans="1:110" x14ac:dyDescent="0.25">
      <c r="A78" s="7" t="s">
        <v>130</v>
      </c>
      <c r="B78" s="7">
        <v>0.642852406005333</v>
      </c>
      <c r="C78" s="7" t="s">
        <v>3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85"/>
    </row>
    <row r="79" spans="1:110" x14ac:dyDescent="0.25">
      <c r="A79" s="7" t="s">
        <v>131</v>
      </c>
      <c r="B79" s="7">
        <v>9.5158526906726198E-4</v>
      </c>
      <c r="C79" s="7" t="s">
        <v>3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85"/>
    </row>
    <row r="80" spans="1:110" x14ac:dyDescent="0.25">
      <c r="A80" s="7" t="s">
        <v>132</v>
      </c>
      <c r="B80" s="7">
        <v>1.61275560902918E-3</v>
      </c>
      <c r="C80" s="7" t="s">
        <v>3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85"/>
    </row>
    <row r="81" spans="1:110" x14ac:dyDescent="0.25">
      <c r="A81" s="7" t="s">
        <v>133</v>
      </c>
      <c r="B81" s="7">
        <v>2.2094060836744301E-2</v>
      </c>
      <c r="C81" s="7" t="s">
        <v>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85"/>
    </row>
    <row r="82" spans="1:110" x14ac:dyDescent="0.25">
      <c r="A82" s="7" t="s">
        <v>8</v>
      </c>
      <c r="B82" s="7">
        <v>0.264101551284328</v>
      </c>
      <c r="C82" s="7" t="s">
        <v>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85"/>
    </row>
    <row r="83" spans="1:110" x14ac:dyDescent="0.25">
      <c r="A83" s="7" t="s">
        <v>99</v>
      </c>
      <c r="B83" s="7">
        <v>6.8387640995498294E-2</v>
      </c>
      <c r="C83" s="7" t="s">
        <v>3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85"/>
    </row>
    <row r="84" spans="1:110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85"/>
    </row>
    <row r="85" spans="1:110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85"/>
    </row>
    <row r="86" spans="1:110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85"/>
    </row>
    <row r="87" spans="1:110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85"/>
    </row>
    <row r="88" spans="1:110" x14ac:dyDescent="0.25">
      <c r="A88" s="4" t="s">
        <v>134</v>
      </c>
      <c r="B88" s="4"/>
      <c r="C88" s="4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85"/>
    </row>
    <row r="89" spans="1:110" x14ac:dyDescent="0.25">
      <c r="A89" s="7" t="s">
        <v>130</v>
      </c>
      <c r="B89" s="7">
        <v>41.971116314345103</v>
      </c>
      <c r="C89" s="7" t="s">
        <v>135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85"/>
    </row>
    <row r="90" spans="1:110" x14ac:dyDescent="0.25">
      <c r="A90" s="7" t="s">
        <v>131</v>
      </c>
      <c r="B90" s="7">
        <v>0</v>
      </c>
      <c r="C90" s="7" t="s">
        <v>135</v>
      </c>
      <c r="D90" s="6"/>
      <c r="E90" s="9" t="s">
        <v>4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85"/>
    </row>
    <row r="91" spans="1:110" x14ac:dyDescent="0.25">
      <c r="A91" s="7" t="s">
        <v>136</v>
      </c>
      <c r="B91" s="7">
        <v>0</v>
      </c>
      <c r="C91" s="7" t="s">
        <v>135</v>
      </c>
      <c r="D91" s="6"/>
      <c r="E91" s="9" t="s">
        <v>4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85"/>
    </row>
    <row r="92" spans="1:110" x14ac:dyDescent="0.25">
      <c r="A92" s="7" t="s">
        <v>133</v>
      </c>
      <c r="B92" s="7">
        <v>0</v>
      </c>
      <c r="C92" s="7" t="s">
        <v>135</v>
      </c>
      <c r="D92" s="6"/>
      <c r="E92" s="9" t="s">
        <v>4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85"/>
    </row>
    <row r="93" spans="1:110" x14ac:dyDescent="0.25">
      <c r="A93" s="7" t="s">
        <v>8</v>
      </c>
      <c r="B93" s="7">
        <v>3.9625146931614301</v>
      </c>
      <c r="C93" s="7" t="s">
        <v>135</v>
      </c>
      <c r="D93" s="6"/>
      <c r="E93" s="9" t="s">
        <v>4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85"/>
    </row>
    <row r="94" spans="1:110" x14ac:dyDescent="0.25">
      <c r="A94" s="7" t="s">
        <v>99</v>
      </c>
      <c r="B94" s="7">
        <v>0.34202377956193802</v>
      </c>
      <c r="C94" s="7" t="s">
        <v>135</v>
      </c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85"/>
    </row>
    <row r="95" spans="1:110" x14ac:dyDescent="0.25">
      <c r="A95" s="4" t="s">
        <v>137</v>
      </c>
      <c r="B95" s="4"/>
      <c r="C95" s="4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/>
      <c r="DC95" s="6"/>
      <c r="DD95" s="6"/>
      <c r="DE95" s="6"/>
      <c r="DF95" s="85"/>
    </row>
    <row r="96" spans="1:110" x14ac:dyDescent="0.25">
      <c r="A96" s="7" t="s">
        <v>105</v>
      </c>
      <c r="B96" s="7">
        <v>22.281473546186799</v>
      </c>
      <c r="C96" s="7" t="s">
        <v>135</v>
      </c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85"/>
    </row>
    <row r="97" spans="1:110" x14ac:dyDescent="0.25">
      <c r="A97" s="7" t="s">
        <v>138</v>
      </c>
      <c r="B97" s="7">
        <v>0</v>
      </c>
      <c r="C97" s="7" t="s">
        <v>135</v>
      </c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85"/>
    </row>
    <row r="98" spans="1:110" x14ac:dyDescent="0.25">
      <c r="A98" s="7" t="s">
        <v>108</v>
      </c>
      <c r="B98" s="7">
        <v>0</v>
      </c>
      <c r="C98" s="7" t="s">
        <v>135</v>
      </c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85"/>
    </row>
    <row r="99" spans="1:110" x14ac:dyDescent="0.25">
      <c r="A99" s="7" t="s">
        <v>110</v>
      </c>
      <c r="B99" s="7">
        <v>8.1030587910233205</v>
      </c>
      <c r="C99" s="7" t="s">
        <v>135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85"/>
    </row>
    <row r="100" spans="1:110" x14ac:dyDescent="0.25">
      <c r="A100" s="7" t="s">
        <v>111</v>
      </c>
      <c r="B100" s="7">
        <v>0</v>
      </c>
      <c r="C100" s="7" t="s">
        <v>135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85"/>
    </row>
    <row r="101" spans="1:110" x14ac:dyDescent="0.25">
      <c r="A101" s="7" t="s">
        <v>113</v>
      </c>
      <c r="B101" s="7">
        <v>0</v>
      </c>
      <c r="C101" s="7" t="s">
        <v>135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85"/>
    </row>
    <row r="102" spans="1:110" x14ac:dyDescent="0.25">
      <c r="A102" s="7" t="s">
        <v>114</v>
      </c>
      <c r="B102" s="7">
        <v>0</v>
      </c>
      <c r="C102" s="7" t="s">
        <v>135</v>
      </c>
    </row>
    <row r="103" spans="1:110" x14ac:dyDescent="0.25">
      <c r="A103" s="7" t="s">
        <v>115</v>
      </c>
      <c r="B103" s="7">
        <v>2.66129086007169</v>
      </c>
      <c r="C103" s="7" t="s">
        <v>135</v>
      </c>
    </row>
    <row r="104" spans="1:110" x14ac:dyDescent="0.25">
      <c r="A104" s="7" t="s">
        <v>116</v>
      </c>
      <c r="B104" s="7">
        <v>0</v>
      </c>
      <c r="C104" s="7" t="s">
        <v>135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</row>
    <row r="105" spans="1:110" x14ac:dyDescent="0.25">
      <c r="A105" s="7" t="s">
        <v>117</v>
      </c>
      <c r="B105" s="7">
        <v>0</v>
      </c>
      <c r="C105" s="7" t="s">
        <v>135</v>
      </c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</row>
    <row r="106" spans="1:110" x14ac:dyDescent="0.25">
      <c r="A106" s="7" t="s">
        <v>119</v>
      </c>
      <c r="B106" s="7">
        <v>0</v>
      </c>
      <c r="C106" s="7" t="s">
        <v>135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</row>
    <row r="107" spans="1:110" x14ac:dyDescent="0.25">
      <c r="A107" s="7" t="s">
        <v>139</v>
      </c>
      <c r="B107" s="7">
        <f>B109*0.8</f>
        <v>1.3036665738425199</v>
      </c>
      <c r="C107" s="7" t="s">
        <v>135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</row>
    <row r="108" spans="1:110" x14ac:dyDescent="0.25">
      <c r="A108" s="7" t="s">
        <v>122</v>
      </c>
      <c r="B108" s="7">
        <f>B109*0.2</f>
        <v>0.32591664346062998</v>
      </c>
      <c r="C108" s="7" t="s">
        <v>135</v>
      </c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</row>
    <row r="109" spans="1:110" x14ac:dyDescent="0.25">
      <c r="A109" s="87" t="s">
        <v>140</v>
      </c>
      <c r="B109" s="87">
        <v>1.6295832173031499</v>
      </c>
      <c r="C109" s="87" t="s">
        <v>135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</row>
    <row r="110" spans="1:110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</row>
    <row r="111" spans="1:110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</row>
    <row r="112" spans="1:110" x14ac:dyDescent="0.25">
      <c r="A112" s="4" t="s">
        <v>141</v>
      </c>
      <c r="B112" s="4"/>
      <c r="C112" s="4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</row>
    <row r="113" spans="1:110" x14ac:dyDescent="0.25">
      <c r="A113" s="7" t="s">
        <v>142</v>
      </c>
      <c r="B113" s="7">
        <v>3.2511730000000001</v>
      </c>
      <c r="C113" s="7" t="s">
        <v>143</v>
      </c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</row>
    <row r="114" spans="1:110" x14ac:dyDescent="0.25">
      <c r="A114" s="180" t="s">
        <v>144</v>
      </c>
      <c r="B114" s="180"/>
      <c r="C114" s="180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</row>
    <row r="115" spans="1:110" x14ac:dyDescent="0.25">
      <c r="A115" s="7" t="s">
        <v>145</v>
      </c>
      <c r="B115" s="7">
        <v>7.1396899999999999</v>
      </c>
      <c r="C115" s="7" t="s">
        <v>143</v>
      </c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</row>
    <row r="116" spans="1:110" x14ac:dyDescent="0.25">
      <c r="A116" s="4" t="s">
        <v>146</v>
      </c>
      <c r="B116" s="4"/>
      <c r="C116" s="4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</row>
    <row r="117" spans="1:110" x14ac:dyDescent="0.25">
      <c r="A117" s="7" t="s">
        <v>147</v>
      </c>
      <c r="B117" s="7">
        <v>30.3</v>
      </c>
      <c r="C117" s="7" t="s">
        <v>143</v>
      </c>
      <c r="D117" s="6"/>
      <c r="E117" s="6"/>
      <c r="F117" s="6"/>
      <c r="G117" s="6"/>
      <c r="H117" s="6"/>
      <c r="I117" s="6"/>
      <c r="J117" s="6" t="s">
        <v>148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</row>
    <row r="118" spans="1:110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</row>
    <row r="119" spans="1:110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</row>
    <row r="120" spans="1:110" x14ac:dyDescent="0.25">
      <c r="A120" s="3" t="s">
        <v>149</v>
      </c>
      <c r="B120" s="3"/>
      <c r="C120" s="3"/>
    </row>
    <row r="121" spans="1:110" x14ac:dyDescent="0.25">
      <c r="A121" s="88" t="s">
        <v>150</v>
      </c>
      <c r="B121" s="89">
        <v>4.7200000000000002E-3</v>
      </c>
      <c r="C121" s="89" t="s">
        <v>151</v>
      </c>
    </row>
    <row r="122" spans="1:110" x14ac:dyDescent="0.25">
      <c r="A122" s="88" t="s">
        <v>152</v>
      </c>
      <c r="B122" s="89">
        <v>0</v>
      </c>
      <c r="C122" s="89" t="s">
        <v>151</v>
      </c>
    </row>
    <row r="123" spans="1:110" x14ac:dyDescent="0.25">
      <c r="A123" s="88" t="s">
        <v>153</v>
      </c>
      <c r="B123" s="89">
        <v>1.2450000000000001</v>
      </c>
      <c r="C123" s="89" t="s">
        <v>151</v>
      </c>
    </row>
    <row r="124" spans="1:110" x14ac:dyDescent="0.25">
      <c r="A124" s="88" t="s">
        <v>154</v>
      </c>
      <c r="B124" s="89">
        <v>1.711E-2</v>
      </c>
      <c r="C124" s="89" t="s">
        <v>151</v>
      </c>
    </row>
    <row r="125" spans="1:110" x14ac:dyDescent="0.25">
      <c r="A125" s="88" t="s">
        <v>155</v>
      </c>
      <c r="B125" s="89">
        <v>0</v>
      </c>
      <c r="C125" s="89" t="s">
        <v>151</v>
      </c>
    </row>
    <row r="127" spans="1:110" x14ac:dyDescent="0.25">
      <c r="A127" s="3" t="s">
        <v>149</v>
      </c>
      <c r="B127" s="3"/>
      <c r="C127" s="3"/>
    </row>
    <row r="128" spans="1:110" x14ac:dyDescent="0.25">
      <c r="A128" s="90" t="s">
        <v>150</v>
      </c>
      <c r="B128" s="91">
        <v>4.7200000000000002E-3</v>
      </c>
      <c r="C128" s="91" t="s">
        <v>151</v>
      </c>
      <c r="D128" s="66"/>
    </row>
    <row r="129" spans="1:3" x14ac:dyDescent="0.25">
      <c r="A129" s="90" t="s">
        <v>152</v>
      </c>
      <c r="B129" s="91">
        <v>0</v>
      </c>
      <c r="C129" s="91" t="s">
        <v>151</v>
      </c>
    </row>
    <row r="130" spans="1:3" x14ac:dyDescent="0.25">
      <c r="A130" s="90" t="s">
        <v>153</v>
      </c>
      <c r="B130" s="91">
        <v>1.2450000000000001</v>
      </c>
      <c r="C130" s="91" t="s">
        <v>151</v>
      </c>
    </row>
    <row r="131" spans="1:3" x14ac:dyDescent="0.25">
      <c r="A131" s="90" t="s">
        <v>154</v>
      </c>
      <c r="B131" s="91">
        <v>1.711E-2</v>
      </c>
      <c r="C131" s="91" t="s">
        <v>151</v>
      </c>
    </row>
    <row r="132" spans="1:3" x14ac:dyDescent="0.25">
      <c r="A132" s="90" t="s">
        <v>155</v>
      </c>
      <c r="B132" s="91">
        <v>0</v>
      </c>
      <c r="C132" s="91" t="s">
        <v>151</v>
      </c>
    </row>
  </sheetData>
  <mergeCells count="9">
    <mergeCell ref="A31:A34"/>
    <mergeCell ref="A35:A38"/>
    <mergeCell ref="A41:B41"/>
    <mergeCell ref="A114:C114"/>
    <mergeCell ref="A8:V8"/>
    <mergeCell ref="A14:V14"/>
    <mergeCell ref="A21:D21"/>
    <mergeCell ref="A23:A26"/>
    <mergeCell ref="A27:A30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DE118"/>
  <sheetViews>
    <sheetView topLeftCell="A48" zoomScale="85" zoomScaleNormal="85" workbookViewId="0">
      <selection activeCell="B114" sqref="B114"/>
    </sheetView>
  </sheetViews>
  <sheetFormatPr baseColWidth="10" defaultColWidth="11.5703125" defaultRowHeight="15" x14ac:dyDescent="0.25"/>
  <cols>
    <col min="1" max="1" width="47.7109375" customWidth="1"/>
    <col min="2" max="2" width="16.28515625" customWidth="1"/>
    <col min="3" max="3" width="14.85546875" customWidth="1"/>
    <col min="4" max="4" width="21.140625" customWidth="1"/>
    <col min="5" max="5" width="11.85546875" customWidth="1"/>
    <col min="6" max="6" width="17" customWidth="1"/>
    <col min="7" max="7" width="12.28515625" customWidth="1"/>
    <col min="8" max="8" width="17" customWidth="1"/>
    <col min="9" max="9" width="11.42578125" customWidth="1"/>
    <col min="10" max="14" width="17" customWidth="1"/>
    <col min="15" max="15" width="18" customWidth="1"/>
    <col min="18" max="18" width="18" customWidth="1"/>
    <col min="30" max="30" width="21.140625" customWidth="1"/>
  </cols>
  <sheetData>
    <row r="1" spans="1:109" s="53" customFormat="1" ht="31.5" customHeight="1" x14ac:dyDescent="0.35">
      <c r="A1" s="52" t="s">
        <v>64</v>
      </c>
      <c r="B1" s="52"/>
      <c r="C1" s="52"/>
      <c r="D1" s="52"/>
      <c r="E1" s="52"/>
    </row>
    <row r="2" spans="1:109" s="54" customFormat="1" x14ac:dyDescent="0.25">
      <c r="A2" s="54" t="s">
        <v>65</v>
      </c>
    </row>
    <row r="3" spans="1:109" s="54" customFormat="1" ht="18.75" x14ac:dyDescent="0.3">
      <c r="A3" s="92" t="s">
        <v>156</v>
      </c>
    </row>
    <row r="4" spans="1:109" s="74" customFormat="1" x14ac:dyDescent="0.25">
      <c r="A4" s="55"/>
      <c r="B4" s="56" t="s">
        <v>66</v>
      </c>
      <c r="C4" s="57" t="s">
        <v>157</v>
      </c>
    </row>
    <row r="5" spans="1:109" s="74" customFormat="1" x14ac:dyDescent="0.25">
      <c r="A5" s="58" t="s">
        <v>158</v>
      </c>
      <c r="B5" s="93">
        <v>0.77366574353155604</v>
      </c>
      <c r="C5" s="93">
        <v>0.46797116661580401</v>
      </c>
    </row>
    <row r="6" spans="1:109" s="7" customFormat="1" x14ac:dyDescent="0.25">
      <c r="A6" s="63" t="s">
        <v>159</v>
      </c>
      <c r="B6" s="93">
        <v>0.29637625888882302</v>
      </c>
      <c r="C6" s="93">
        <v>0.44894879858757902</v>
      </c>
      <c r="CM6" s="77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76"/>
    </row>
    <row r="7" spans="1:109" s="7" customFormat="1" x14ac:dyDescent="0.25">
      <c r="A7" s="63" t="s">
        <v>160</v>
      </c>
      <c r="B7" s="94">
        <v>-5.9550888179722997E-2</v>
      </c>
      <c r="C7" s="94">
        <v>-4.5856778395714601E-2</v>
      </c>
      <c r="CM7" s="77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76"/>
    </row>
    <row r="8" spans="1:109" s="7" customFormat="1" x14ac:dyDescent="0.25">
      <c r="A8" s="63" t="s">
        <v>161</v>
      </c>
      <c r="B8" s="64">
        <v>2000</v>
      </c>
      <c r="C8" s="64">
        <v>2000</v>
      </c>
      <c r="CM8" s="77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76"/>
    </row>
    <row r="9" spans="1:109" s="7" customFormat="1" x14ac:dyDescent="0.25">
      <c r="A9" s="95" t="s">
        <v>70</v>
      </c>
      <c r="B9" s="96">
        <v>2023</v>
      </c>
      <c r="DE9" s="76"/>
    </row>
    <row r="10" spans="1:109" s="7" customFormat="1" x14ac:dyDescent="0.25">
      <c r="A10" s="162" t="s">
        <v>71</v>
      </c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DE10" s="76"/>
    </row>
    <row r="11" spans="1:109" s="82" customFormat="1" x14ac:dyDescent="0.25">
      <c r="A11" s="58" t="s">
        <v>72</v>
      </c>
      <c r="B11" s="163"/>
      <c r="C11" s="63">
        <v>1995</v>
      </c>
      <c r="D11" s="63">
        <v>1996</v>
      </c>
      <c r="E11" s="63">
        <v>1997</v>
      </c>
      <c r="F11" s="63">
        <v>1998</v>
      </c>
      <c r="G11" s="63">
        <v>1999</v>
      </c>
      <c r="H11" s="63">
        <v>2000</v>
      </c>
      <c r="I11" s="63">
        <v>2001</v>
      </c>
      <c r="J11" s="63">
        <v>2002</v>
      </c>
      <c r="K11" s="63">
        <v>2003</v>
      </c>
      <c r="L11" s="63">
        <v>2004</v>
      </c>
      <c r="M11" s="63">
        <v>2005</v>
      </c>
      <c r="N11" s="63">
        <v>2006</v>
      </c>
      <c r="O11" s="63">
        <v>2007</v>
      </c>
      <c r="P11" s="63">
        <v>2008</v>
      </c>
      <c r="Q11" s="63">
        <v>2009</v>
      </c>
      <c r="R11" s="63">
        <v>2010</v>
      </c>
      <c r="S11" s="63">
        <v>2011</v>
      </c>
      <c r="T11" s="63">
        <v>2012</v>
      </c>
      <c r="U11" s="63">
        <v>2013</v>
      </c>
      <c r="V11" s="63">
        <v>2014</v>
      </c>
      <c r="W11" s="97">
        <v>2015</v>
      </c>
      <c r="X11" s="63">
        <v>2016</v>
      </c>
      <c r="Y11" s="63">
        <v>2017</v>
      </c>
      <c r="Z11" s="63">
        <v>2018</v>
      </c>
      <c r="AA11" s="97">
        <v>2019</v>
      </c>
      <c r="AB11" s="63">
        <v>2020</v>
      </c>
      <c r="AC11" s="63">
        <v>2021</v>
      </c>
      <c r="AD11" s="63">
        <v>2022</v>
      </c>
      <c r="AE11" s="97">
        <v>2023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6"/>
    </row>
    <row r="12" spans="1:109" s="82" customFormat="1" x14ac:dyDescent="0.25">
      <c r="A12" s="98" t="s">
        <v>162</v>
      </c>
      <c r="B12" s="163"/>
      <c r="C12" s="99">
        <v>1973.5655968169699</v>
      </c>
      <c r="D12" s="99">
        <v>1973.5655968169699</v>
      </c>
      <c r="E12" s="99">
        <v>1973.5655968169699</v>
      </c>
      <c r="F12" s="99">
        <v>1973.5655968169699</v>
      </c>
      <c r="G12" s="99">
        <v>1973.5655968169699</v>
      </c>
      <c r="H12" s="100">
        <v>1973.5655968169699</v>
      </c>
      <c r="I12" s="100">
        <v>1988.64197964496</v>
      </c>
      <c r="J12" s="100">
        <v>2039.0835629969099</v>
      </c>
      <c r="K12" s="100">
        <v>2044.41916203811</v>
      </c>
      <c r="L12" s="100">
        <v>2218.0881186476199</v>
      </c>
      <c r="M12" s="100">
        <v>2274.8182457390299</v>
      </c>
      <c r="N12" s="100">
        <v>2357.8890072356999</v>
      </c>
      <c r="O12" s="100">
        <v>2436.5111653318399</v>
      </c>
      <c r="P12" s="100">
        <v>2408.6673910909799</v>
      </c>
      <c r="Q12" s="100">
        <v>2149.7717120707498</v>
      </c>
      <c r="R12" s="100">
        <v>2250.48442288042</v>
      </c>
      <c r="S12" s="100">
        <v>2250.5716860540401</v>
      </c>
      <c r="T12" s="100">
        <v>2180.5745424822899</v>
      </c>
      <c r="U12" s="100">
        <v>2206.9427296710901</v>
      </c>
      <c r="V12" s="100">
        <v>2232.0422993894599</v>
      </c>
      <c r="W12" s="100">
        <v>2273.9286930552298</v>
      </c>
      <c r="X12" s="100">
        <v>2358.2058365856801</v>
      </c>
      <c r="Y12" s="100">
        <v>2449.48567640491</v>
      </c>
      <c r="Z12" s="100">
        <v>2443.31490704001</v>
      </c>
      <c r="AA12" s="100">
        <v>2504.59168185933</v>
      </c>
      <c r="AB12" s="100">
        <v>2425.9363923730102</v>
      </c>
      <c r="AC12" s="100">
        <v>2587.6523440968099</v>
      </c>
      <c r="AD12" s="100">
        <v>2580.4373008727398</v>
      </c>
      <c r="AE12" s="100">
        <v>2498.4344113524398</v>
      </c>
      <c r="AF12" s="76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6"/>
    </row>
    <row r="13" spans="1:109" s="82" customFormat="1" x14ac:dyDescent="0.25">
      <c r="A13" s="101" t="s">
        <v>163</v>
      </c>
      <c r="B13" s="163"/>
      <c r="C13" s="99">
        <v>0.66255490525495797</v>
      </c>
      <c r="D13" s="99">
        <v>0.66255490525495797</v>
      </c>
      <c r="E13" s="99">
        <v>0.66255490525495797</v>
      </c>
      <c r="F13" s="99">
        <v>0.66255490525495797</v>
      </c>
      <c r="G13" s="99">
        <v>0.66255490525495797</v>
      </c>
      <c r="H13" s="100">
        <v>0.66255490525495797</v>
      </c>
      <c r="I13" s="100">
        <v>0.67969330144652895</v>
      </c>
      <c r="J13" s="100">
        <v>0.68623009745847297</v>
      </c>
      <c r="K13" s="100">
        <v>0.68543211561867101</v>
      </c>
      <c r="L13" s="100">
        <v>0.69669271556318602</v>
      </c>
      <c r="M13" s="100">
        <v>0.698355811302378</v>
      </c>
      <c r="N13" s="100">
        <v>0.69521553900856203</v>
      </c>
      <c r="O13" s="100">
        <v>0.69696529464068802</v>
      </c>
      <c r="P13" s="100">
        <v>0.69623649194989401</v>
      </c>
      <c r="Q13" s="100">
        <v>0.70512126861562596</v>
      </c>
      <c r="R13" s="100">
        <v>0.69261214362100598</v>
      </c>
      <c r="S13" s="100">
        <v>0.68517010235083198</v>
      </c>
      <c r="T13" s="100">
        <v>0.67966130784588596</v>
      </c>
      <c r="U13" s="100">
        <v>0.68725282350445405</v>
      </c>
      <c r="V13" s="100">
        <v>0.68447686395190499</v>
      </c>
      <c r="W13" s="100">
        <v>0.687056442663185</v>
      </c>
      <c r="X13" s="100">
        <v>0.68699869984305995</v>
      </c>
      <c r="Y13" s="100">
        <v>0.69714512053427802</v>
      </c>
      <c r="Z13" s="100">
        <v>0.69897355631701397</v>
      </c>
      <c r="AA13" s="100">
        <v>0.70475228111924704</v>
      </c>
      <c r="AB13" s="100">
        <v>0.71958222258048299</v>
      </c>
      <c r="AC13" s="100">
        <v>0.71978436566707804</v>
      </c>
      <c r="AD13" s="100">
        <v>0.72337456152541602</v>
      </c>
      <c r="AE13" s="100">
        <v>0.72356380173457202</v>
      </c>
      <c r="AF13" s="77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77"/>
    </row>
    <row r="14" spans="1:109" s="82" customFormat="1" x14ac:dyDescent="0.25">
      <c r="A14" s="101" t="s">
        <v>164</v>
      </c>
      <c r="B14" s="163"/>
      <c r="C14" s="99">
        <v>3.4112364712135801E-2</v>
      </c>
      <c r="D14" s="99">
        <v>3.4112364712135801E-2</v>
      </c>
      <c r="E14" s="99">
        <v>3.4112364712135801E-2</v>
      </c>
      <c r="F14" s="99">
        <v>3.4112364712135801E-2</v>
      </c>
      <c r="G14" s="99">
        <v>3.4112364712135801E-2</v>
      </c>
      <c r="H14" s="100">
        <v>3.4112364712135801E-2</v>
      </c>
      <c r="I14" s="100">
        <v>3.5620279270116302E-2</v>
      </c>
      <c r="J14" s="100">
        <v>3.5318258811923103E-2</v>
      </c>
      <c r="K14" s="100">
        <v>3.6802641480866601E-2</v>
      </c>
      <c r="L14" s="100">
        <v>3.48888433810155E-2</v>
      </c>
      <c r="M14" s="100">
        <v>3.4759842518676497E-2</v>
      </c>
      <c r="N14" s="100">
        <v>3.38029096978162E-2</v>
      </c>
      <c r="O14" s="100">
        <v>3.4346920531851198E-2</v>
      </c>
      <c r="P14" s="100">
        <v>3.4629443568786202E-2</v>
      </c>
      <c r="Q14" s="100">
        <v>3.8504365939506E-2</v>
      </c>
      <c r="R14" s="100">
        <v>3.74806109398753E-2</v>
      </c>
      <c r="S14" s="100">
        <v>3.8123219988179802E-2</v>
      </c>
      <c r="T14" s="100">
        <v>3.8049091901374198E-2</v>
      </c>
      <c r="U14" s="100">
        <v>3.7662574294750499E-2</v>
      </c>
      <c r="V14" s="100">
        <v>3.7948710704481102E-2</v>
      </c>
      <c r="W14" s="100">
        <v>3.81725740228702E-2</v>
      </c>
      <c r="X14" s="100">
        <v>3.72635900907312E-2</v>
      </c>
      <c r="Y14" s="100">
        <v>3.6883828727420201E-2</v>
      </c>
      <c r="Z14" s="100">
        <v>3.7485206647999599E-2</v>
      </c>
      <c r="AA14" s="100">
        <v>3.7614649653447803E-2</v>
      </c>
      <c r="AB14" s="100">
        <v>3.6067178761410398E-2</v>
      </c>
      <c r="AC14" s="100">
        <v>3.7452451958673E-2</v>
      </c>
      <c r="AD14" s="100">
        <v>3.7910176572360003E-2</v>
      </c>
      <c r="AE14" s="100">
        <v>3.9463732417278199E-2</v>
      </c>
      <c r="AF14" s="77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77"/>
    </row>
    <row r="15" spans="1:109" s="82" customFormat="1" x14ac:dyDescent="0.25">
      <c r="A15" s="101" t="s">
        <v>165</v>
      </c>
      <c r="B15" s="163"/>
      <c r="C15" s="99">
        <v>0.19655832837169099</v>
      </c>
      <c r="D15" s="99">
        <v>0.19655832837169099</v>
      </c>
      <c r="E15" s="99">
        <v>0.19655832837169099</v>
      </c>
      <c r="F15" s="99">
        <v>0.19655832837169099</v>
      </c>
      <c r="G15" s="99">
        <v>0.19655832837169099</v>
      </c>
      <c r="H15" s="100">
        <v>0.19655832837169099</v>
      </c>
      <c r="I15" s="100">
        <v>0.185681136188316</v>
      </c>
      <c r="J15" s="100">
        <v>0.18055228301283099</v>
      </c>
      <c r="K15" s="100">
        <v>0.18406659247875401</v>
      </c>
      <c r="L15" s="100">
        <v>0.175842878703037</v>
      </c>
      <c r="M15" s="100">
        <v>0.173463089079368</v>
      </c>
      <c r="N15" s="100">
        <v>0.17653333075588301</v>
      </c>
      <c r="O15" s="100">
        <v>0.176778997005473</v>
      </c>
      <c r="P15" s="100">
        <v>0.17520185707701999</v>
      </c>
      <c r="Q15" s="100">
        <v>0.160103976653626</v>
      </c>
      <c r="R15" s="100">
        <v>0.16661079551934499</v>
      </c>
      <c r="S15" s="100">
        <v>0.178161398939048</v>
      </c>
      <c r="T15" s="100">
        <v>0.17998054749058801</v>
      </c>
      <c r="U15" s="100">
        <v>0.176147298601599</v>
      </c>
      <c r="V15" s="100">
        <v>0.17719915079933199</v>
      </c>
      <c r="W15" s="100">
        <v>0.17714275791946199</v>
      </c>
      <c r="X15" s="100">
        <v>0.181133891441151</v>
      </c>
      <c r="Y15" s="100">
        <v>0.17397366480029899</v>
      </c>
      <c r="Z15" s="100">
        <v>0.17684908267656399</v>
      </c>
      <c r="AA15" s="100">
        <v>0.169502279782723</v>
      </c>
      <c r="AB15" s="100">
        <v>0.15817751908352501</v>
      </c>
      <c r="AC15" s="100">
        <v>0.160348820020808</v>
      </c>
      <c r="AD15" s="100">
        <v>0.16019924214403</v>
      </c>
      <c r="AE15" s="100">
        <v>0.15840319769922201</v>
      </c>
      <c r="AF15" s="77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77"/>
    </row>
    <row r="16" spans="1:109" s="82" customFormat="1" x14ac:dyDescent="0.25">
      <c r="A16" s="98" t="s">
        <v>75</v>
      </c>
      <c r="B16" s="163"/>
      <c r="C16" s="99">
        <v>0.106563997639195</v>
      </c>
      <c r="D16" s="99">
        <v>0.106563997639195</v>
      </c>
      <c r="E16" s="99">
        <v>0.106563997639195</v>
      </c>
      <c r="F16" s="99">
        <v>0.106563997639195</v>
      </c>
      <c r="G16" s="99">
        <v>0.106563997639195</v>
      </c>
      <c r="H16" s="100">
        <v>0.106563997639195</v>
      </c>
      <c r="I16" s="100">
        <v>9.8779437229355394E-2</v>
      </c>
      <c r="J16" s="100">
        <v>9.7695706353110104E-2</v>
      </c>
      <c r="K16" s="100">
        <v>9.3513352716479994E-2</v>
      </c>
      <c r="L16" s="100">
        <v>9.2404099402942405E-2</v>
      </c>
      <c r="M16" s="100">
        <v>9.3262748704161402E-2</v>
      </c>
      <c r="N16" s="100">
        <v>9.4301423187292899E-2</v>
      </c>
      <c r="O16" s="100">
        <v>9.1772551335526503E-2</v>
      </c>
      <c r="P16" s="100">
        <v>9.3803743030565004E-2</v>
      </c>
      <c r="Q16" s="100">
        <v>9.6140645929756505E-2</v>
      </c>
      <c r="R16" s="100">
        <v>0.103182752850513</v>
      </c>
      <c r="S16" s="100">
        <v>9.8432190528624799E-2</v>
      </c>
      <c r="T16" s="100">
        <v>0.102201681556048</v>
      </c>
      <c r="U16" s="100">
        <v>9.8836288802341701E-2</v>
      </c>
      <c r="V16" s="100">
        <v>0.10026301251603301</v>
      </c>
      <c r="W16" s="100">
        <v>9.75201762822447E-2</v>
      </c>
      <c r="X16" s="100">
        <v>9.4498156837168695E-2</v>
      </c>
      <c r="Y16" s="100">
        <v>9.1895575263663501E-2</v>
      </c>
      <c r="Z16" s="100">
        <v>8.6588623581918697E-2</v>
      </c>
      <c r="AA16" s="100">
        <v>8.8025897633075001E-2</v>
      </c>
      <c r="AB16" s="100">
        <v>8.6078242470213895E-2</v>
      </c>
      <c r="AC16" s="100">
        <v>8.2309362185336798E-2</v>
      </c>
      <c r="AD16" s="100">
        <v>7.84345478696757E-2</v>
      </c>
      <c r="AE16" s="100">
        <v>7.8485973499641495E-2</v>
      </c>
      <c r="AF16" s="81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1"/>
    </row>
    <row r="17" spans="1:109" s="82" customFormat="1" x14ac:dyDescent="0.25">
      <c r="A17" s="102" t="s">
        <v>76</v>
      </c>
      <c r="B17" s="163"/>
      <c r="C17" s="99">
        <v>2.10404022020358E-4</v>
      </c>
      <c r="D17" s="99">
        <v>2.10404022020358E-4</v>
      </c>
      <c r="E17" s="99">
        <v>2.10404022020358E-4</v>
      </c>
      <c r="F17" s="99">
        <v>2.10404022020358E-4</v>
      </c>
      <c r="G17" s="99">
        <v>2.10404022020358E-4</v>
      </c>
      <c r="H17" s="100">
        <v>2.10404022020358E-4</v>
      </c>
      <c r="I17" s="100">
        <v>2.2584586568368301E-4</v>
      </c>
      <c r="J17" s="100">
        <v>2.0365436366326801E-4</v>
      </c>
      <c r="K17" s="100">
        <v>1.8529770522860201E-4</v>
      </c>
      <c r="L17" s="100">
        <v>1.7146294981963499E-4</v>
      </c>
      <c r="M17" s="100">
        <v>1.5850839541626101E-4</v>
      </c>
      <c r="N17" s="100">
        <v>1.46797350447007E-4</v>
      </c>
      <c r="O17" s="100">
        <v>1.3623648646078699E-4</v>
      </c>
      <c r="P17" s="100">
        <v>1.2846437373547701E-4</v>
      </c>
      <c r="Q17" s="100">
        <v>1.2974286148594E-4</v>
      </c>
      <c r="R17" s="100">
        <v>1.13697069260911E-4</v>
      </c>
      <c r="S17" s="100">
        <v>1.13088193315607E-4</v>
      </c>
      <c r="T17" s="100">
        <v>1.07371206103749E-4</v>
      </c>
      <c r="U17" s="100">
        <v>1.01014796855731E-4</v>
      </c>
      <c r="V17" s="100">
        <v>1.12262028249436E-4</v>
      </c>
      <c r="W17" s="100">
        <v>1.08049112238068E-4</v>
      </c>
      <c r="X17" s="100">
        <v>1.05661787888392E-4</v>
      </c>
      <c r="Y17" s="100">
        <v>1.01810674339705E-4</v>
      </c>
      <c r="Z17" s="100">
        <v>1.03530776503367E-4</v>
      </c>
      <c r="AA17" s="100">
        <v>1.04891811508137E-4</v>
      </c>
      <c r="AB17" s="103">
        <v>9.4837104367648896E-5</v>
      </c>
      <c r="AC17" s="100">
        <v>1.050001681042E-4</v>
      </c>
      <c r="AD17" s="103">
        <v>8.1471888517891105E-5</v>
      </c>
      <c r="AE17" s="103">
        <v>8.3294649286442895E-5</v>
      </c>
      <c r="AF17" s="83"/>
      <c r="DE17" s="83"/>
    </row>
    <row r="18" spans="1:109" s="82" customFormat="1" x14ac:dyDescent="0.25">
      <c r="A18" s="164" t="s">
        <v>77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DE18" s="83"/>
    </row>
    <row r="19" spans="1:109" s="6" customFormat="1" x14ac:dyDescent="0.25">
      <c r="A19" s="101" t="s">
        <v>166</v>
      </c>
      <c r="B19" s="165"/>
      <c r="C19" s="99">
        <v>4747.1845382983201</v>
      </c>
      <c r="D19" s="99">
        <v>4747.1845382983201</v>
      </c>
      <c r="E19" s="99">
        <v>4747.1845382983201</v>
      </c>
      <c r="F19" s="99">
        <v>4747.1845382983201</v>
      </c>
      <c r="G19" s="99">
        <v>4747.1845382983201</v>
      </c>
      <c r="H19" s="100">
        <v>4747.1845382983201</v>
      </c>
      <c r="I19" s="100">
        <v>4823.0863911885999</v>
      </c>
      <c r="J19" s="100">
        <v>4870.1975278752998</v>
      </c>
      <c r="K19" s="100">
        <v>4910.3632332164098</v>
      </c>
      <c r="L19" s="100">
        <v>4981.2269022835399</v>
      </c>
      <c r="M19" s="100">
        <v>5011.7004934523102</v>
      </c>
      <c r="N19" s="100">
        <v>5057.4436846881599</v>
      </c>
      <c r="O19" s="100">
        <v>5132.3919763785598</v>
      </c>
      <c r="P19" s="100">
        <v>5170.4467687647502</v>
      </c>
      <c r="Q19" s="100">
        <v>5207.7504770762898</v>
      </c>
      <c r="R19" s="100">
        <v>5166.7728748078898</v>
      </c>
      <c r="S19" s="100">
        <v>5155.18114442151</v>
      </c>
      <c r="T19" s="100">
        <v>5107.1592704363402</v>
      </c>
      <c r="U19" s="100">
        <v>5161.8674668389003</v>
      </c>
      <c r="V19" s="100">
        <v>5204.7790431380499</v>
      </c>
      <c r="W19" s="100">
        <v>5324.0423575468603</v>
      </c>
      <c r="X19" s="100">
        <v>5433.7946035495897</v>
      </c>
      <c r="Y19" s="100">
        <v>5453.8411069807398</v>
      </c>
      <c r="Z19" s="100">
        <v>5488.9903470342497</v>
      </c>
      <c r="AA19" s="100">
        <v>5570.9912773351198</v>
      </c>
      <c r="AB19" s="100">
        <v>4246.9368131377496</v>
      </c>
      <c r="AC19" s="100">
        <v>4725.52852367784</v>
      </c>
      <c r="AD19" s="100">
        <v>5202.48075383384</v>
      </c>
      <c r="AE19" s="100">
        <v>5443.0909179722403</v>
      </c>
      <c r="AF19" s="83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  <c r="CA19" s="82"/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  <c r="CO19" s="82"/>
      <c r="CP19" s="82"/>
      <c r="CQ19" s="82"/>
      <c r="CR19" s="82"/>
      <c r="CS19" s="82"/>
      <c r="CT19" s="82"/>
      <c r="CU19" s="82"/>
      <c r="CV19" s="82"/>
      <c r="CW19" s="82"/>
      <c r="CX19" s="82"/>
      <c r="CY19" s="82"/>
      <c r="CZ19" s="82"/>
      <c r="DA19" s="82"/>
      <c r="DB19" s="82"/>
      <c r="DC19" s="82"/>
      <c r="DD19" s="82"/>
      <c r="DE19" s="83"/>
    </row>
    <row r="20" spans="1:109" s="6" customFormat="1" x14ac:dyDescent="0.25">
      <c r="A20" s="101" t="s">
        <v>167</v>
      </c>
      <c r="B20" s="165"/>
      <c r="C20" s="99">
        <v>0.10467931813706501</v>
      </c>
      <c r="D20" s="99">
        <v>0.10467931813706501</v>
      </c>
      <c r="E20" s="99">
        <v>0.10467931813706501</v>
      </c>
      <c r="F20" s="99">
        <v>0.10467931813706501</v>
      </c>
      <c r="G20" s="99">
        <v>0.10467931813706501</v>
      </c>
      <c r="H20" s="100">
        <v>0.10467931813706501</v>
      </c>
      <c r="I20" s="100">
        <v>0.102850821510215</v>
      </c>
      <c r="J20" s="100">
        <v>0.10128678490828399</v>
      </c>
      <c r="K20" s="100">
        <v>0.10101659802700701</v>
      </c>
      <c r="L20" s="100">
        <v>0.10050458398201199</v>
      </c>
      <c r="M20" s="100">
        <v>9.9409763910401294E-2</v>
      </c>
      <c r="N20" s="100">
        <v>9.8526311526320701E-2</v>
      </c>
      <c r="O20" s="100">
        <v>9.9049540471872893E-2</v>
      </c>
      <c r="P20" s="100">
        <v>9.9526787173527406E-2</v>
      </c>
      <c r="Q20" s="100">
        <v>9.4124151039384304E-2</v>
      </c>
      <c r="R20" s="100">
        <v>9.3413315962491306E-2</v>
      </c>
      <c r="S20" s="100">
        <v>9.4291101150049697E-2</v>
      </c>
      <c r="T20" s="100">
        <v>9.4446895184285298E-2</v>
      </c>
      <c r="U20" s="100">
        <v>9.3168538016572502E-2</v>
      </c>
      <c r="V20" s="100">
        <v>9.1494822756503197E-2</v>
      </c>
      <c r="W20" s="100">
        <v>9.2195419141347296E-2</v>
      </c>
      <c r="X20" s="100">
        <v>9.0892031726735295E-2</v>
      </c>
      <c r="Y20" s="100">
        <v>8.7066596984935601E-2</v>
      </c>
      <c r="Z20" s="100">
        <v>8.7259240993162193E-2</v>
      </c>
      <c r="AA20" s="100">
        <v>8.6966536616023493E-2</v>
      </c>
      <c r="AB20" s="100">
        <v>6.86953411602306E-2</v>
      </c>
      <c r="AC20" s="100">
        <v>7.0009557583996407E-2</v>
      </c>
      <c r="AD20" s="100">
        <v>7.7649084529790802E-2</v>
      </c>
      <c r="AE20" s="100">
        <v>7.8657508792363898E-2</v>
      </c>
      <c r="AF20" s="83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  <c r="DA20" s="82"/>
      <c r="DB20" s="82"/>
      <c r="DC20" s="82"/>
      <c r="DD20" s="82"/>
      <c r="DE20" s="83"/>
    </row>
    <row r="21" spans="1:109" s="6" customFormat="1" x14ac:dyDescent="0.25">
      <c r="A21" s="63" t="s">
        <v>168</v>
      </c>
      <c r="B21" s="165"/>
      <c r="C21" s="99">
        <v>0.79236886621211799</v>
      </c>
      <c r="D21" s="99">
        <v>0.79236886621211799</v>
      </c>
      <c r="E21" s="99">
        <v>0.79236886621211799</v>
      </c>
      <c r="F21" s="99">
        <v>0.79236886621211799</v>
      </c>
      <c r="G21" s="99">
        <v>0.79236886621211799</v>
      </c>
      <c r="H21" s="100">
        <v>0.79236886621211799</v>
      </c>
      <c r="I21" s="100">
        <v>0.79600434157616995</v>
      </c>
      <c r="J21" s="100">
        <v>0.79983010564744195</v>
      </c>
      <c r="K21" s="100">
        <v>0.80133832804018301</v>
      </c>
      <c r="L21" s="100">
        <v>0.80105004221057396</v>
      </c>
      <c r="M21" s="100">
        <v>0.80025161823859803</v>
      </c>
      <c r="N21" s="100">
        <v>0.79919071171813105</v>
      </c>
      <c r="O21" s="100">
        <v>0.79775531913791897</v>
      </c>
      <c r="P21" s="100">
        <v>0.79566783775483796</v>
      </c>
      <c r="Q21" s="100">
        <v>0.80380592056614797</v>
      </c>
      <c r="R21" s="100">
        <v>0.80290665574722997</v>
      </c>
      <c r="S21" s="100">
        <v>0.80001945868102398</v>
      </c>
      <c r="T21" s="100">
        <v>0.79913928370986198</v>
      </c>
      <c r="U21" s="100">
        <v>0.80150933984634098</v>
      </c>
      <c r="V21" s="100">
        <v>0.803161965950552</v>
      </c>
      <c r="W21" s="100">
        <v>0.803428454615156</v>
      </c>
      <c r="X21" s="100">
        <v>0.80405020859272303</v>
      </c>
      <c r="Y21" s="100">
        <v>0.80446240555950099</v>
      </c>
      <c r="Z21" s="100">
        <v>0.80258356953485099</v>
      </c>
      <c r="AA21" s="100">
        <v>0.80162842485383201</v>
      </c>
      <c r="AB21" s="100">
        <v>0.85524643771309194</v>
      </c>
      <c r="AC21" s="100">
        <v>0.848640966236339</v>
      </c>
      <c r="AD21" s="100">
        <v>0.81246201240801497</v>
      </c>
      <c r="AE21" s="100">
        <v>0.80645089937507197</v>
      </c>
      <c r="AF21" s="83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  <c r="DA21" s="82"/>
      <c r="DB21" s="82"/>
      <c r="DC21" s="82"/>
      <c r="DD21" s="82"/>
      <c r="DE21" s="83"/>
    </row>
    <row r="22" spans="1:109" s="6" customFormat="1" x14ac:dyDescent="0.25">
      <c r="A22" s="101" t="s">
        <v>165</v>
      </c>
      <c r="B22" s="165"/>
      <c r="C22" s="99">
        <v>8.5607191279278197E-2</v>
      </c>
      <c r="D22" s="99">
        <v>8.5607191279278197E-2</v>
      </c>
      <c r="E22" s="99">
        <v>8.5607191279278197E-2</v>
      </c>
      <c r="F22" s="99">
        <v>8.5607191279278197E-2</v>
      </c>
      <c r="G22" s="99">
        <v>8.5607191279278197E-2</v>
      </c>
      <c r="H22" s="100">
        <v>8.5607191279278197E-2</v>
      </c>
      <c r="I22" s="100">
        <v>8.4674802291788295E-2</v>
      </c>
      <c r="J22" s="100">
        <v>8.2388057787456101E-2</v>
      </c>
      <c r="K22" s="100">
        <v>8.0843954355880807E-2</v>
      </c>
      <c r="L22" s="100">
        <v>8.1186897327972199E-2</v>
      </c>
      <c r="M22" s="100">
        <v>8.2410326717449897E-2</v>
      </c>
      <c r="N22" s="100">
        <v>8.3826515347956806E-2</v>
      </c>
      <c r="O22" s="100">
        <v>8.3714859626461802E-2</v>
      </c>
      <c r="P22" s="100">
        <v>8.62038310161449E-2</v>
      </c>
      <c r="Q22" s="100">
        <v>8.4046651752849005E-2</v>
      </c>
      <c r="R22" s="100">
        <v>8.4966056308951404E-2</v>
      </c>
      <c r="S22" s="100">
        <v>8.6365161861585493E-2</v>
      </c>
      <c r="T22" s="100">
        <v>8.8041604380149893E-2</v>
      </c>
      <c r="U22" s="100">
        <v>8.8012355384004495E-2</v>
      </c>
      <c r="V22" s="100">
        <v>8.8194951607906094E-2</v>
      </c>
      <c r="W22" s="100">
        <v>8.6747071710380694E-2</v>
      </c>
      <c r="X22" s="100">
        <v>8.6686462950861395E-2</v>
      </c>
      <c r="Y22" s="100">
        <v>8.9085794837997806E-2</v>
      </c>
      <c r="Z22" s="100">
        <v>8.9776654128424505E-2</v>
      </c>
      <c r="AA22" s="100">
        <v>9.0819653542878895E-2</v>
      </c>
      <c r="AB22" s="100">
        <v>6.5105745027718501E-2</v>
      </c>
      <c r="AC22" s="100">
        <v>6.6721232732379607E-2</v>
      </c>
      <c r="AD22" s="100">
        <v>8.9143991768873596E-2</v>
      </c>
      <c r="AE22" s="100">
        <v>9.3917508144637396E-2</v>
      </c>
      <c r="AF22" s="83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3"/>
    </row>
    <row r="23" spans="1:109" s="6" customFormat="1" x14ac:dyDescent="0.25">
      <c r="A23" s="101" t="s">
        <v>75</v>
      </c>
      <c r="B23" s="165"/>
      <c r="C23" s="99">
        <v>0</v>
      </c>
      <c r="D23" s="99">
        <v>0</v>
      </c>
      <c r="E23" s="99">
        <v>0</v>
      </c>
      <c r="F23" s="99">
        <v>0</v>
      </c>
      <c r="G23" s="99">
        <v>0</v>
      </c>
      <c r="H23" s="100">
        <v>0</v>
      </c>
      <c r="I23" s="100">
        <v>0</v>
      </c>
      <c r="J23" s="100">
        <v>0</v>
      </c>
      <c r="K23" s="100">
        <v>0</v>
      </c>
      <c r="L23" s="100">
        <v>0</v>
      </c>
      <c r="M23" s="100">
        <v>0</v>
      </c>
      <c r="N23" s="100">
        <v>0</v>
      </c>
      <c r="O23" s="100">
        <v>0</v>
      </c>
      <c r="P23" s="100">
        <v>0</v>
      </c>
      <c r="Q23" s="100">
        <v>0</v>
      </c>
      <c r="R23" s="100">
        <v>0</v>
      </c>
      <c r="S23" s="100">
        <v>0</v>
      </c>
      <c r="T23" s="100">
        <v>0</v>
      </c>
      <c r="U23" s="100">
        <v>0</v>
      </c>
      <c r="V23" s="100">
        <v>0</v>
      </c>
      <c r="W23" s="100">
        <v>0</v>
      </c>
      <c r="X23" s="100">
        <v>0</v>
      </c>
      <c r="Y23" s="100">
        <v>0</v>
      </c>
      <c r="Z23" s="100">
        <v>0</v>
      </c>
      <c r="AA23" s="100">
        <v>0</v>
      </c>
      <c r="AB23" s="100">
        <v>0</v>
      </c>
      <c r="AC23" s="100">
        <v>0</v>
      </c>
      <c r="AD23" s="100">
        <v>0</v>
      </c>
      <c r="AE23" s="100">
        <v>0</v>
      </c>
      <c r="AF23" s="83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  <c r="CA23" s="82"/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  <c r="CO23" s="82"/>
      <c r="CP23" s="82"/>
      <c r="CQ23" s="82"/>
      <c r="CR23" s="82"/>
      <c r="CS23" s="82"/>
      <c r="CT23" s="82"/>
      <c r="CU23" s="82"/>
      <c r="CV23" s="82"/>
      <c r="CW23" s="82"/>
      <c r="CX23" s="82"/>
      <c r="CY23" s="82"/>
      <c r="CZ23" s="82"/>
      <c r="DA23" s="82"/>
      <c r="DB23" s="82"/>
      <c r="DC23" s="82"/>
      <c r="DD23" s="82"/>
      <c r="DE23" s="83"/>
    </row>
    <row r="24" spans="1:109" s="6" customFormat="1" x14ac:dyDescent="0.25">
      <c r="A24" s="101" t="s">
        <v>76</v>
      </c>
      <c r="B24" s="165"/>
      <c r="C24" s="99">
        <v>1.7344624371538098E-2</v>
      </c>
      <c r="D24" s="99">
        <v>1.7344624371538098E-2</v>
      </c>
      <c r="E24" s="99">
        <v>1.7344624371538098E-2</v>
      </c>
      <c r="F24" s="99">
        <v>1.7344624371538098E-2</v>
      </c>
      <c r="G24" s="99">
        <v>1.7344624371538098E-2</v>
      </c>
      <c r="H24" s="100">
        <v>1.7344624371538098E-2</v>
      </c>
      <c r="I24" s="100">
        <v>1.6470034621826699E-2</v>
      </c>
      <c r="J24" s="100">
        <v>1.64950516568181E-2</v>
      </c>
      <c r="K24" s="100">
        <v>1.6801119576929601E-2</v>
      </c>
      <c r="L24" s="100">
        <v>1.7258476479441599E-2</v>
      </c>
      <c r="M24" s="100">
        <v>1.79282911335511E-2</v>
      </c>
      <c r="N24" s="100">
        <v>1.8456461407591301E-2</v>
      </c>
      <c r="O24" s="100">
        <v>1.94802807637461E-2</v>
      </c>
      <c r="P24" s="100">
        <v>1.8601544055489399E-2</v>
      </c>
      <c r="Q24" s="100">
        <v>1.8023276641618301E-2</v>
      </c>
      <c r="R24" s="100">
        <v>1.8713971981327099E-2</v>
      </c>
      <c r="S24" s="100">
        <v>1.93242783073409E-2</v>
      </c>
      <c r="T24" s="100">
        <v>1.8372216725703001E-2</v>
      </c>
      <c r="U24" s="100">
        <v>1.7309766753081501E-2</v>
      </c>
      <c r="V24" s="100">
        <v>1.7148259685038102E-2</v>
      </c>
      <c r="W24" s="100">
        <v>1.7629054533115401E-2</v>
      </c>
      <c r="X24" s="100">
        <v>1.8371296729679999E-2</v>
      </c>
      <c r="Y24" s="100">
        <v>1.9385202617565999E-2</v>
      </c>
      <c r="Z24" s="100">
        <v>2.0380535343562298E-2</v>
      </c>
      <c r="AA24" s="100">
        <v>2.0585384987266201E-2</v>
      </c>
      <c r="AB24" s="100">
        <v>1.0952476098959101E-2</v>
      </c>
      <c r="AC24" s="100">
        <v>1.46282434472848E-2</v>
      </c>
      <c r="AD24" s="100">
        <v>2.0744911293320699E-2</v>
      </c>
      <c r="AE24" s="100">
        <v>2.09740836879262E-2</v>
      </c>
      <c r="AF24" s="83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  <c r="CO24" s="82"/>
      <c r="CP24" s="82"/>
      <c r="CQ24" s="82"/>
      <c r="CR24" s="82"/>
      <c r="CS24" s="82"/>
      <c r="CT24" s="82"/>
      <c r="CU24" s="82"/>
      <c r="CV24" s="82"/>
      <c r="CW24" s="82"/>
      <c r="CX24" s="82"/>
      <c r="CY24" s="82"/>
      <c r="CZ24" s="82"/>
      <c r="DA24" s="82"/>
      <c r="DB24" s="82"/>
      <c r="DC24" s="82"/>
      <c r="DD24" s="82"/>
      <c r="DE24" s="83"/>
    </row>
    <row r="25" spans="1:109" s="6" customFormat="1" x14ac:dyDescent="0.25">
      <c r="A25" s="166" t="s">
        <v>169</v>
      </c>
      <c r="B25" s="166"/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</row>
    <row r="26" spans="1:109" s="6" customFormat="1" x14ac:dyDescent="0.25">
      <c r="C26" s="63">
        <v>1995</v>
      </c>
      <c r="D26" s="63">
        <v>1996</v>
      </c>
      <c r="E26" s="63">
        <v>1997</v>
      </c>
      <c r="F26" s="63">
        <v>1998</v>
      </c>
      <c r="G26" s="63">
        <v>1999</v>
      </c>
      <c r="H26" s="63">
        <v>2000</v>
      </c>
      <c r="I26" s="63">
        <v>2001</v>
      </c>
      <c r="J26" s="63">
        <v>2002</v>
      </c>
      <c r="K26" s="63">
        <v>2003</v>
      </c>
      <c r="L26" s="63">
        <v>2004</v>
      </c>
      <c r="M26" s="63">
        <v>2005</v>
      </c>
      <c r="N26" s="63">
        <v>2006</v>
      </c>
      <c r="O26" s="63">
        <v>2007</v>
      </c>
      <c r="P26" s="63">
        <v>2008</v>
      </c>
      <c r="Q26" s="63">
        <v>2009</v>
      </c>
      <c r="R26" s="63">
        <v>2010</v>
      </c>
      <c r="S26" s="63">
        <v>2011</v>
      </c>
      <c r="T26" s="63">
        <v>2012</v>
      </c>
      <c r="U26" s="63">
        <v>2013</v>
      </c>
      <c r="V26" s="63">
        <v>2014</v>
      </c>
      <c r="W26" s="97">
        <v>2015</v>
      </c>
      <c r="X26" s="63">
        <v>2016</v>
      </c>
      <c r="Y26" s="63">
        <v>2017</v>
      </c>
      <c r="Z26" s="63">
        <v>2018</v>
      </c>
      <c r="AA26" s="97">
        <v>2019</v>
      </c>
      <c r="AB26" s="63">
        <v>2020</v>
      </c>
      <c r="AC26" s="63">
        <v>2021</v>
      </c>
      <c r="AD26" s="63">
        <v>2022</v>
      </c>
      <c r="AE26" s="97">
        <v>2023</v>
      </c>
    </row>
    <row r="27" spans="1:109" s="6" customFormat="1" x14ac:dyDescent="0.25">
      <c r="A27" s="167" t="s">
        <v>16</v>
      </c>
      <c r="B27" s="64" t="s">
        <v>12</v>
      </c>
      <c r="C27" s="99">
        <v>0.994880091922688</v>
      </c>
      <c r="D27" s="99">
        <v>0.994880091922688</v>
      </c>
      <c r="E27" s="99">
        <v>0.994880091922688</v>
      </c>
      <c r="F27" s="99">
        <v>0.994880091922688</v>
      </c>
      <c r="G27" s="99">
        <v>0.994880091922688</v>
      </c>
      <c r="H27" s="100">
        <v>0.994880091922688</v>
      </c>
      <c r="I27" s="100">
        <v>0.99278235355629396</v>
      </c>
      <c r="J27" s="100">
        <v>0.99123926623469705</v>
      </c>
      <c r="K27" s="100">
        <v>0.989708534164642</v>
      </c>
      <c r="L27" s="100">
        <v>0.98834438534768598</v>
      </c>
      <c r="M27" s="100">
        <v>0.98896631314671701</v>
      </c>
      <c r="N27" s="100">
        <v>0.98660498949667896</v>
      </c>
      <c r="O27" s="100">
        <v>0.98478384083933601</v>
      </c>
      <c r="P27" s="100">
        <v>0.98192675303027699</v>
      </c>
      <c r="Q27" s="100">
        <v>0.980678011053149</v>
      </c>
      <c r="R27" s="100">
        <v>0.978341131049556</v>
      </c>
      <c r="S27" s="100">
        <v>0.96729672091625896</v>
      </c>
      <c r="T27" s="100">
        <v>0.96159572217299105</v>
      </c>
      <c r="U27" s="100">
        <v>0.95614457480886095</v>
      </c>
      <c r="V27" s="100">
        <v>0.95651209093328804</v>
      </c>
      <c r="W27" s="100">
        <v>0.95437611245674103</v>
      </c>
      <c r="X27" s="100">
        <v>0.95397417473728097</v>
      </c>
      <c r="Y27" s="100">
        <v>0.95087012299976603</v>
      </c>
      <c r="Z27" s="100">
        <v>0.94623095485985198</v>
      </c>
      <c r="AA27" s="100">
        <v>0.94150844746100104</v>
      </c>
      <c r="AB27" s="100">
        <v>0.93178735766338905</v>
      </c>
      <c r="AC27" s="100">
        <v>0.91419477071263899</v>
      </c>
      <c r="AD27" s="100">
        <v>0.908339229213178</v>
      </c>
      <c r="AE27" s="100">
        <v>0.89787922270795195</v>
      </c>
    </row>
    <row r="28" spans="1:109" s="6" customFormat="1" x14ac:dyDescent="0.25">
      <c r="A28" s="167"/>
      <c r="B28" s="64" t="s">
        <v>13</v>
      </c>
      <c r="C28" s="99">
        <v>3.47141687915184E-3</v>
      </c>
      <c r="D28" s="99">
        <v>3.47141687915184E-3</v>
      </c>
      <c r="E28" s="99">
        <v>3.47141687915184E-3</v>
      </c>
      <c r="F28" s="99">
        <v>3.47141687915184E-3</v>
      </c>
      <c r="G28" s="99">
        <v>3.47141687915184E-3</v>
      </c>
      <c r="H28" s="100">
        <v>3.47141687915184E-3</v>
      </c>
      <c r="I28" s="100">
        <v>5.5222932790864199E-3</v>
      </c>
      <c r="J28" s="100">
        <v>7.0263421669820398E-3</v>
      </c>
      <c r="K28" s="100">
        <v>8.6323961061251005E-3</v>
      </c>
      <c r="L28" s="100">
        <v>9.9839347660507591E-3</v>
      </c>
      <c r="M28" s="100">
        <v>9.0105941566793607E-3</v>
      </c>
      <c r="N28" s="100">
        <v>1.1400714589017201E-2</v>
      </c>
      <c r="O28" s="100">
        <v>1.3239252801026599E-2</v>
      </c>
      <c r="P28" s="100">
        <v>1.60896868928674E-2</v>
      </c>
      <c r="Q28" s="100">
        <v>1.7280467105580299E-2</v>
      </c>
      <c r="R28" s="100">
        <v>1.9288744333666799E-2</v>
      </c>
      <c r="S28" s="100">
        <v>3.02731865839505E-2</v>
      </c>
      <c r="T28" s="100">
        <v>3.5940651370572001E-2</v>
      </c>
      <c r="U28" s="100">
        <v>3.9752641143275598E-2</v>
      </c>
      <c r="V28" s="100">
        <v>3.9194502342228897E-2</v>
      </c>
      <c r="W28" s="100">
        <v>4.1142870434575797E-2</v>
      </c>
      <c r="X28" s="100">
        <v>4.1287991704739402E-2</v>
      </c>
      <c r="Y28" s="100">
        <v>4.3988617748478398E-2</v>
      </c>
      <c r="Z28" s="100">
        <v>4.82287115373096E-2</v>
      </c>
      <c r="AA28" s="100">
        <v>5.1766480916198697E-2</v>
      </c>
      <c r="AB28" s="100">
        <v>5.9812100691516899E-2</v>
      </c>
      <c r="AC28" s="100">
        <v>7.4727759359367596E-2</v>
      </c>
      <c r="AD28" s="100">
        <v>7.8267373415034105E-2</v>
      </c>
      <c r="AE28" s="100">
        <v>8.4611958637931001E-2</v>
      </c>
    </row>
    <row r="29" spans="1:109" s="6" customFormat="1" x14ac:dyDescent="0.25">
      <c r="A29" s="167"/>
      <c r="B29" s="64" t="s">
        <v>14</v>
      </c>
      <c r="C29" s="99">
        <v>1.6484911981602499E-3</v>
      </c>
      <c r="D29" s="99">
        <v>1.6484911981602499E-3</v>
      </c>
      <c r="E29" s="99">
        <v>1.6484911981602499E-3</v>
      </c>
      <c r="F29" s="99">
        <v>1.6484911981602499E-3</v>
      </c>
      <c r="G29" s="99">
        <v>1.6484911981602499E-3</v>
      </c>
      <c r="H29" s="100">
        <v>1.6484911981602499E-3</v>
      </c>
      <c r="I29" s="100">
        <v>1.6953531646191899E-3</v>
      </c>
      <c r="J29" s="100">
        <v>1.7343915983210299E-3</v>
      </c>
      <c r="K29" s="100">
        <v>1.65906972923333E-3</v>
      </c>
      <c r="L29" s="100">
        <v>1.67167988626315E-3</v>
      </c>
      <c r="M29" s="100">
        <v>2.0230926966034301E-3</v>
      </c>
      <c r="N29" s="100">
        <v>1.9942959143036901E-3</v>
      </c>
      <c r="O29" s="100">
        <v>1.97690635963732E-3</v>
      </c>
      <c r="P29" s="100">
        <v>1.9835600768559002E-3</v>
      </c>
      <c r="Q29" s="100">
        <v>2.04152184127034E-3</v>
      </c>
      <c r="R29" s="100">
        <v>2.3701246167772798E-3</v>
      </c>
      <c r="S29" s="100">
        <v>2.43009249979059E-3</v>
      </c>
      <c r="T29" s="100">
        <v>2.4636264564373198E-3</v>
      </c>
      <c r="U29" s="100">
        <v>4.1027840478637797E-3</v>
      </c>
      <c r="V29" s="100">
        <v>4.2934067244830704E-3</v>
      </c>
      <c r="W29" s="100">
        <v>4.4810171086835599E-3</v>
      </c>
      <c r="X29" s="100">
        <v>4.7378335579797799E-3</v>
      </c>
      <c r="Y29" s="100">
        <v>5.14125925175623E-3</v>
      </c>
      <c r="Z29" s="100">
        <v>5.5403336028383701E-3</v>
      </c>
      <c r="AA29" s="100">
        <v>6.7250716228001196E-3</v>
      </c>
      <c r="AB29" s="100">
        <v>8.4005416450941492E-3</v>
      </c>
      <c r="AC29" s="100">
        <v>1.1077469927992901E-2</v>
      </c>
      <c r="AD29" s="100">
        <v>1.33933973717878E-2</v>
      </c>
      <c r="AE29" s="100">
        <v>1.75088186541171E-2</v>
      </c>
    </row>
    <row r="30" spans="1:109" s="6" customFormat="1" x14ac:dyDescent="0.25">
      <c r="A30" s="167"/>
      <c r="B30" s="64" t="s">
        <v>83</v>
      </c>
      <c r="C30" s="99">
        <v>0</v>
      </c>
      <c r="D30" s="99">
        <v>0</v>
      </c>
      <c r="E30" s="99">
        <v>0</v>
      </c>
      <c r="F30" s="99">
        <v>0</v>
      </c>
      <c r="G30" s="99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0</v>
      </c>
      <c r="M30" s="100">
        <v>0</v>
      </c>
      <c r="N30" s="100">
        <v>0</v>
      </c>
      <c r="O30" s="100">
        <v>0</v>
      </c>
      <c r="P30" s="100">
        <v>0</v>
      </c>
      <c r="Q30" s="100">
        <v>0</v>
      </c>
      <c r="R30" s="100">
        <v>0</v>
      </c>
      <c r="S30" s="100">
        <v>0</v>
      </c>
      <c r="T30" s="100">
        <v>0</v>
      </c>
      <c r="U30" s="100">
        <v>0</v>
      </c>
      <c r="V30" s="100">
        <v>0</v>
      </c>
      <c r="W30" s="100">
        <v>0</v>
      </c>
      <c r="X30" s="100">
        <v>0</v>
      </c>
      <c r="Y30" s="100">
        <v>0</v>
      </c>
      <c r="Z30" s="100">
        <v>0</v>
      </c>
      <c r="AA30" s="100">
        <v>0</v>
      </c>
      <c r="AB30" s="100">
        <v>0</v>
      </c>
      <c r="AC30" s="100">
        <v>0</v>
      </c>
      <c r="AD30" s="100">
        <v>0</v>
      </c>
      <c r="AE30" s="100">
        <v>0</v>
      </c>
    </row>
    <row r="31" spans="1:109" s="6" customFormat="1" x14ac:dyDescent="0.25">
      <c r="A31" s="167" t="s">
        <v>21</v>
      </c>
      <c r="B31" s="64" t="s">
        <v>12</v>
      </c>
      <c r="C31" s="99">
        <v>0.99797414078903002</v>
      </c>
      <c r="D31" s="99">
        <v>0.99797414078903002</v>
      </c>
      <c r="E31" s="99">
        <v>0.99797414078903002</v>
      </c>
      <c r="F31" s="99">
        <v>0.99797414078903002</v>
      </c>
      <c r="G31" s="99">
        <v>0.99797414078903002</v>
      </c>
      <c r="H31" s="100">
        <v>0.99797414078903002</v>
      </c>
      <c r="I31" s="100">
        <v>0.99772187947592295</v>
      </c>
      <c r="J31" s="100">
        <v>0.99781027029216096</v>
      </c>
      <c r="K31" s="100">
        <v>0.997802852293874</v>
      </c>
      <c r="L31" s="100">
        <v>0.99784106787632099</v>
      </c>
      <c r="M31" s="100">
        <v>0.99732286885230104</v>
      </c>
      <c r="N31" s="100">
        <v>0.99699566660856698</v>
      </c>
      <c r="O31" s="100">
        <v>0.99668403209372902</v>
      </c>
      <c r="P31" s="100">
        <v>0.99653171212738301</v>
      </c>
      <c r="Q31" s="100">
        <v>0.99591421182539297</v>
      </c>
      <c r="R31" s="100">
        <v>0.99530431018300902</v>
      </c>
      <c r="S31" s="100">
        <v>0.99525452212199295</v>
      </c>
      <c r="T31" s="100">
        <v>0.99499527352517403</v>
      </c>
      <c r="U31" s="100">
        <v>0.99454306363714196</v>
      </c>
      <c r="V31" s="100">
        <v>0.99390487589860899</v>
      </c>
      <c r="W31" s="100">
        <v>0.99364324718744501</v>
      </c>
      <c r="X31" s="100">
        <v>0.99344866711011603</v>
      </c>
      <c r="Y31" s="100">
        <v>0.99357263232214399</v>
      </c>
      <c r="Z31" s="100">
        <v>0.99326564315931098</v>
      </c>
      <c r="AA31" s="100">
        <v>0.99179987409652304</v>
      </c>
      <c r="AB31" s="100">
        <v>0.98990642362504</v>
      </c>
      <c r="AC31" s="100">
        <v>0.98709815809826995</v>
      </c>
      <c r="AD31" s="100">
        <v>0.98515134364874901</v>
      </c>
      <c r="AE31" s="100">
        <v>0.982269154777755</v>
      </c>
    </row>
    <row r="32" spans="1:109" s="6" customFormat="1" x14ac:dyDescent="0.25">
      <c r="A32" s="167"/>
      <c r="B32" s="64" t="s">
        <v>13</v>
      </c>
      <c r="C32" s="99">
        <v>2.02585921097009E-3</v>
      </c>
      <c r="D32" s="99">
        <v>2.02585921097009E-3</v>
      </c>
      <c r="E32" s="99">
        <v>2.02585921097009E-3</v>
      </c>
      <c r="F32" s="99">
        <v>2.02585921097009E-3</v>
      </c>
      <c r="G32" s="99">
        <v>2.02585921097009E-3</v>
      </c>
      <c r="H32" s="100">
        <v>2.02585921097009E-3</v>
      </c>
      <c r="I32" s="100">
        <v>2.2781205240766998E-3</v>
      </c>
      <c r="J32" s="100">
        <v>2.1897297078392101E-3</v>
      </c>
      <c r="K32" s="100">
        <v>2.1971408836727801E-3</v>
      </c>
      <c r="L32" s="100">
        <v>2.15892232643069E-3</v>
      </c>
      <c r="M32" s="100">
        <v>2.6771193994825299E-3</v>
      </c>
      <c r="N32" s="100">
        <v>3.0042766745611098E-3</v>
      </c>
      <c r="O32" s="100">
        <v>3.3158835289686401E-3</v>
      </c>
      <c r="P32" s="100">
        <v>3.4629815007621001E-3</v>
      </c>
      <c r="Q32" s="100">
        <v>4.0794552589384298E-3</v>
      </c>
      <c r="R32" s="100">
        <v>4.6813389007663497E-3</v>
      </c>
      <c r="S32" s="100">
        <v>4.7127588137304598E-3</v>
      </c>
      <c r="T32" s="100">
        <v>4.94136190734002E-3</v>
      </c>
      <c r="U32" s="100">
        <v>5.2894781321313599E-3</v>
      </c>
      <c r="V32" s="100">
        <v>5.7793168173420799E-3</v>
      </c>
      <c r="W32" s="100">
        <v>5.8254980529667396E-3</v>
      </c>
      <c r="X32" s="100">
        <v>5.8889838638616398E-3</v>
      </c>
      <c r="Y32" s="100">
        <v>5.5342406804095596E-3</v>
      </c>
      <c r="Z32" s="100">
        <v>5.4373920273601004E-3</v>
      </c>
      <c r="AA32" s="100">
        <v>6.28041959627811E-3</v>
      </c>
      <c r="AB32" s="100">
        <v>6.3905811295281402E-3</v>
      </c>
      <c r="AC32" s="100">
        <v>6.2078903545165296E-3</v>
      </c>
      <c r="AD32" s="100">
        <v>5.2612614089817397E-3</v>
      </c>
      <c r="AE32" s="100">
        <v>5.1354128517256204E-3</v>
      </c>
    </row>
    <row r="33" spans="1:31" s="6" customFormat="1" x14ac:dyDescent="0.25">
      <c r="A33" s="167"/>
      <c r="B33" s="64" t="s">
        <v>14</v>
      </c>
      <c r="C33" s="99">
        <v>0</v>
      </c>
      <c r="D33" s="99">
        <v>0</v>
      </c>
      <c r="E33" s="99">
        <v>0</v>
      </c>
      <c r="F33" s="99">
        <v>0</v>
      </c>
      <c r="G33" s="99">
        <v>0</v>
      </c>
      <c r="H33" s="100">
        <v>0</v>
      </c>
      <c r="I33" s="100">
        <v>0</v>
      </c>
      <c r="J33" s="100">
        <v>0</v>
      </c>
      <c r="K33" s="103">
        <v>6.8224531671946203E-9</v>
      </c>
      <c r="L33" s="103">
        <v>9.7972484239626197E-9</v>
      </c>
      <c r="M33" s="103">
        <v>1.1748216400685101E-8</v>
      </c>
      <c r="N33" s="103">
        <v>5.6716871698272898E-8</v>
      </c>
      <c r="O33" s="103">
        <v>8.4377302238654404E-8</v>
      </c>
      <c r="P33" s="103">
        <v>4.9478081147314196E-6</v>
      </c>
      <c r="Q33" s="103">
        <v>5.9033998254715701E-6</v>
      </c>
      <c r="R33" s="103">
        <v>1.3108944867404701E-5</v>
      </c>
      <c r="S33" s="100">
        <v>3.04904018023577E-5</v>
      </c>
      <c r="T33" s="100">
        <v>4.3276387453944102E-5</v>
      </c>
      <c r="U33" s="100">
        <v>6.8923461655376407E-5</v>
      </c>
      <c r="V33" s="100">
        <v>1.01829613968236E-4</v>
      </c>
      <c r="W33" s="100">
        <v>1.54452600803306E-4</v>
      </c>
      <c r="X33" s="100">
        <v>2.1654091542200001E-4</v>
      </c>
      <c r="Y33" s="100">
        <v>3.14857591372706E-4</v>
      </c>
      <c r="Z33" s="100">
        <v>4.9611664710000499E-4</v>
      </c>
      <c r="AA33" s="100">
        <v>8.5246882319470001E-4</v>
      </c>
      <c r="AB33" s="100">
        <v>1.6579395527191001E-3</v>
      </c>
      <c r="AC33" s="100">
        <v>3.0925625015426699E-3</v>
      </c>
      <c r="AD33" s="100">
        <v>4.4546988189236199E-3</v>
      </c>
      <c r="AE33" s="100">
        <v>6.21747210093103E-3</v>
      </c>
    </row>
    <row r="34" spans="1:31" s="6" customFormat="1" x14ac:dyDescent="0.25">
      <c r="A34" s="167"/>
      <c r="B34" s="64" t="s">
        <v>83</v>
      </c>
      <c r="C34" s="99">
        <v>0</v>
      </c>
      <c r="D34" s="99">
        <v>0</v>
      </c>
      <c r="E34" s="99">
        <v>0</v>
      </c>
      <c r="F34" s="99">
        <v>0</v>
      </c>
      <c r="G34" s="99">
        <v>0</v>
      </c>
      <c r="H34" s="100">
        <v>0</v>
      </c>
      <c r="I34" s="100">
        <v>0</v>
      </c>
      <c r="J34" s="100">
        <v>0</v>
      </c>
      <c r="K34" s="100">
        <v>0</v>
      </c>
      <c r="L34" s="100">
        <v>0</v>
      </c>
      <c r="M34" s="100">
        <v>0</v>
      </c>
      <c r="N34" s="100">
        <v>0</v>
      </c>
      <c r="O34" s="100">
        <v>0</v>
      </c>
      <c r="P34" s="103">
        <v>3.58563740013115E-7</v>
      </c>
      <c r="Q34" s="103">
        <v>4.2951584348217499E-7</v>
      </c>
      <c r="R34" s="103">
        <v>1.2419713574623001E-6</v>
      </c>
      <c r="S34" s="103">
        <v>2.2286624744640101E-6</v>
      </c>
      <c r="T34" s="103">
        <v>2.0088180032169201E-5</v>
      </c>
      <c r="U34" s="100">
        <v>9.8534769071512003E-5</v>
      </c>
      <c r="V34" s="100">
        <v>2.1397767008073001E-4</v>
      </c>
      <c r="W34" s="100">
        <v>3.76802158785239E-4</v>
      </c>
      <c r="X34" s="100">
        <v>4.45808110600599E-4</v>
      </c>
      <c r="Y34" s="100">
        <v>5.7826940607422098E-4</v>
      </c>
      <c r="Z34" s="100">
        <v>8.0084816622864896E-4</v>
      </c>
      <c r="AA34" s="100">
        <v>1.0672374840042099E-3</v>
      </c>
      <c r="AB34" s="100">
        <v>2.0450556927122999E-3</v>
      </c>
      <c r="AC34" s="100">
        <v>3.6013890456706799E-3</v>
      </c>
      <c r="AD34" s="100">
        <v>5.1326961233460503E-3</v>
      </c>
      <c r="AE34" s="100">
        <v>6.3779602695884603E-3</v>
      </c>
    </row>
    <row r="35" spans="1:31" s="6" customFormat="1" x14ac:dyDescent="0.25">
      <c r="A35" s="168" t="s">
        <v>17</v>
      </c>
      <c r="B35" s="64" t="s">
        <v>12</v>
      </c>
      <c r="C35" s="99">
        <v>0.38331950150566901</v>
      </c>
      <c r="D35" s="99">
        <v>0.38331950150566901</v>
      </c>
      <c r="E35" s="99">
        <v>0.38331950150566901</v>
      </c>
      <c r="F35" s="99">
        <v>0.38331950150566901</v>
      </c>
      <c r="G35" s="99">
        <v>0.38331950150566901</v>
      </c>
      <c r="H35" s="100">
        <v>0.38331950150566901</v>
      </c>
      <c r="I35" s="100">
        <v>0.35441542444944601</v>
      </c>
      <c r="J35" s="100">
        <v>0.35359574964205298</v>
      </c>
      <c r="K35" s="100">
        <v>0.36977328922404201</v>
      </c>
      <c r="L35" s="100">
        <v>0.37251795980625801</v>
      </c>
      <c r="M35" s="100">
        <v>0.35552602349929202</v>
      </c>
      <c r="N35" s="100">
        <v>0.34269668502651401</v>
      </c>
      <c r="O35" s="100">
        <v>0.36004480196592498</v>
      </c>
      <c r="P35" s="100">
        <v>0.349933845801219</v>
      </c>
      <c r="Q35" s="100">
        <v>0.31759289081922198</v>
      </c>
      <c r="R35" s="100">
        <v>0.30716164686737901</v>
      </c>
      <c r="S35" s="100">
        <v>0.30702259438235902</v>
      </c>
      <c r="T35" s="100">
        <v>0.31334555573315798</v>
      </c>
      <c r="U35" s="100">
        <v>0.23819232983806801</v>
      </c>
      <c r="V35" s="100">
        <v>0.233661320032055</v>
      </c>
      <c r="W35" s="100">
        <v>0.224515670385149</v>
      </c>
      <c r="X35" s="100">
        <v>0.21778513432076099</v>
      </c>
      <c r="Y35" s="100">
        <v>0.21089765660477899</v>
      </c>
      <c r="Z35" s="100">
        <v>0.19895063418393699</v>
      </c>
      <c r="AA35" s="100">
        <v>0.19853307767644199</v>
      </c>
      <c r="AB35" s="100">
        <v>0.195591723094033</v>
      </c>
      <c r="AC35" s="100">
        <v>0.20568720630873</v>
      </c>
      <c r="AD35" s="100">
        <v>0.17191114803671401</v>
      </c>
      <c r="AE35" s="100">
        <v>0.17223949132678501</v>
      </c>
    </row>
    <row r="36" spans="1:31" s="6" customFormat="1" x14ac:dyDescent="0.25">
      <c r="A36" s="168"/>
      <c r="B36" s="64" t="s">
        <v>13</v>
      </c>
      <c r="C36" s="99">
        <v>0</v>
      </c>
      <c r="D36" s="99">
        <v>0</v>
      </c>
      <c r="E36" s="99">
        <v>0</v>
      </c>
      <c r="F36" s="99">
        <v>0</v>
      </c>
      <c r="G36" s="99">
        <v>0</v>
      </c>
      <c r="H36" s="100">
        <v>0</v>
      </c>
      <c r="I36" s="100">
        <v>0</v>
      </c>
      <c r="J36" s="100">
        <v>0</v>
      </c>
      <c r="K36" s="100">
        <v>0</v>
      </c>
      <c r="L36" s="100">
        <v>0</v>
      </c>
      <c r="M36" s="100">
        <v>0</v>
      </c>
      <c r="N36" s="100">
        <v>0</v>
      </c>
      <c r="O36" s="100">
        <v>0</v>
      </c>
      <c r="P36" s="100">
        <v>0</v>
      </c>
      <c r="Q36" s="100">
        <v>0</v>
      </c>
      <c r="R36" s="100">
        <v>0</v>
      </c>
      <c r="S36" s="100">
        <v>0</v>
      </c>
      <c r="T36" s="100">
        <v>0</v>
      </c>
      <c r="U36" s="100">
        <v>0</v>
      </c>
      <c r="V36" s="100">
        <v>0</v>
      </c>
      <c r="W36" s="100">
        <v>0</v>
      </c>
      <c r="X36" s="100">
        <v>0</v>
      </c>
      <c r="Y36" s="100">
        <v>0</v>
      </c>
      <c r="Z36" s="100">
        <v>0</v>
      </c>
      <c r="AA36" s="100">
        <v>0</v>
      </c>
      <c r="AB36" s="100">
        <v>0</v>
      </c>
      <c r="AC36" s="100">
        <v>0</v>
      </c>
      <c r="AD36" s="100">
        <v>0</v>
      </c>
      <c r="AE36" s="100">
        <v>0</v>
      </c>
    </row>
    <row r="37" spans="1:31" s="6" customFormat="1" x14ac:dyDescent="0.25">
      <c r="A37" s="168"/>
      <c r="B37" s="64" t="s">
        <v>14</v>
      </c>
      <c r="C37" s="99">
        <v>0.61668049849433104</v>
      </c>
      <c r="D37" s="99">
        <v>0.61668049849433104</v>
      </c>
      <c r="E37" s="99">
        <v>0.61668049849433104</v>
      </c>
      <c r="F37" s="99">
        <v>0.61668049849433104</v>
      </c>
      <c r="G37" s="99">
        <v>0.61668049849433104</v>
      </c>
      <c r="H37" s="100">
        <v>0.61668049849433104</v>
      </c>
      <c r="I37" s="100">
        <v>0.64558457555055404</v>
      </c>
      <c r="J37" s="100">
        <v>0.64640425035794702</v>
      </c>
      <c r="K37" s="100">
        <v>0.63022671077595804</v>
      </c>
      <c r="L37" s="100">
        <v>0.62748204019374199</v>
      </c>
      <c r="M37" s="100">
        <v>0.64447397650070803</v>
      </c>
      <c r="N37" s="100">
        <v>0.65730331497348604</v>
      </c>
      <c r="O37" s="100">
        <v>0.63995519803407497</v>
      </c>
      <c r="P37" s="100">
        <v>0.650066154198781</v>
      </c>
      <c r="Q37" s="100">
        <v>0.68240710918077796</v>
      </c>
      <c r="R37" s="100">
        <v>0.69283835313262199</v>
      </c>
      <c r="S37" s="100">
        <v>0.69297740561764098</v>
      </c>
      <c r="T37" s="100">
        <v>0.68665444426684197</v>
      </c>
      <c r="U37" s="100">
        <v>0.76180767016193196</v>
      </c>
      <c r="V37" s="100">
        <v>0.76633867996794502</v>
      </c>
      <c r="W37" s="100">
        <v>0.77548432961485103</v>
      </c>
      <c r="X37" s="100">
        <v>0.78221486567923904</v>
      </c>
      <c r="Y37" s="100">
        <v>0.78910234339522101</v>
      </c>
      <c r="Z37" s="100">
        <v>0.80104936581606301</v>
      </c>
      <c r="AA37" s="100">
        <v>0.80146692232355798</v>
      </c>
      <c r="AB37" s="100">
        <v>0.80440827690596695</v>
      </c>
      <c r="AC37" s="100">
        <v>0.79431279369126995</v>
      </c>
      <c r="AD37" s="100">
        <v>0.82808885196328597</v>
      </c>
      <c r="AE37" s="100">
        <v>0.82776050867321505</v>
      </c>
    </row>
    <row r="38" spans="1:31" s="6" customFormat="1" x14ac:dyDescent="0.25">
      <c r="A38" s="168"/>
      <c r="B38" s="64" t="s">
        <v>83</v>
      </c>
      <c r="C38" s="99">
        <v>0</v>
      </c>
      <c r="D38" s="99">
        <v>0</v>
      </c>
      <c r="E38" s="99">
        <v>0</v>
      </c>
      <c r="F38" s="99">
        <v>0</v>
      </c>
      <c r="G38" s="99">
        <v>0</v>
      </c>
      <c r="H38" s="100">
        <v>0</v>
      </c>
      <c r="I38" s="100">
        <v>0</v>
      </c>
      <c r="J38" s="100">
        <v>0</v>
      </c>
      <c r="K38" s="100">
        <v>0</v>
      </c>
      <c r="L38" s="100">
        <v>0</v>
      </c>
      <c r="M38" s="100">
        <v>0</v>
      </c>
      <c r="N38" s="100">
        <v>0</v>
      </c>
      <c r="O38" s="100">
        <v>0</v>
      </c>
      <c r="P38" s="100">
        <v>0</v>
      </c>
      <c r="Q38" s="100">
        <v>0</v>
      </c>
      <c r="R38" s="100">
        <v>0</v>
      </c>
      <c r="S38" s="100">
        <v>0</v>
      </c>
      <c r="T38" s="100">
        <v>0</v>
      </c>
      <c r="U38" s="100">
        <v>0</v>
      </c>
      <c r="V38" s="100">
        <v>0</v>
      </c>
      <c r="W38" s="100">
        <v>0</v>
      </c>
      <c r="X38" s="100">
        <v>0</v>
      </c>
      <c r="Y38" s="100">
        <v>0</v>
      </c>
      <c r="Z38" s="100">
        <v>0</v>
      </c>
      <c r="AA38" s="100">
        <v>0</v>
      </c>
      <c r="AB38" s="100">
        <v>0</v>
      </c>
      <c r="AC38" s="100">
        <v>0</v>
      </c>
      <c r="AD38" s="100">
        <v>0</v>
      </c>
      <c r="AE38" s="100">
        <v>0</v>
      </c>
    </row>
    <row r="39" spans="1:31" s="6" customFormat="1" x14ac:dyDescent="0.25">
      <c r="A39" s="168" t="s">
        <v>18</v>
      </c>
      <c r="B39" s="64" t="s">
        <v>12</v>
      </c>
      <c r="C39" s="99">
        <v>1</v>
      </c>
      <c r="D39" s="99">
        <v>1</v>
      </c>
      <c r="E39" s="99">
        <v>1</v>
      </c>
      <c r="F39" s="99">
        <v>1</v>
      </c>
      <c r="G39" s="99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  <c r="P39" s="100">
        <v>1</v>
      </c>
      <c r="Q39" s="100">
        <v>1</v>
      </c>
      <c r="R39" s="100">
        <v>1</v>
      </c>
      <c r="S39" s="100">
        <v>1</v>
      </c>
      <c r="T39" s="100">
        <v>1</v>
      </c>
      <c r="U39" s="100">
        <v>1</v>
      </c>
      <c r="V39" s="100">
        <v>1</v>
      </c>
      <c r="W39" s="100">
        <v>1</v>
      </c>
      <c r="X39" s="100">
        <v>1</v>
      </c>
      <c r="Y39" s="100">
        <v>1</v>
      </c>
      <c r="Z39" s="100">
        <v>1</v>
      </c>
      <c r="AA39" s="100">
        <v>1</v>
      </c>
      <c r="AB39" s="100">
        <v>1</v>
      </c>
      <c r="AC39" s="100">
        <v>1</v>
      </c>
      <c r="AD39" s="100">
        <v>1</v>
      </c>
      <c r="AE39" s="100">
        <v>1</v>
      </c>
    </row>
    <row r="40" spans="1:31" s="6" customFormat="1" x14ac:dyDescent="0.25">
      <c r="A40" s="168"/>
      <c r="B40" s="64" t="s">
        <v>13</v>
      </c>
      <c r="C40" s="99">
        <v>0</v>
      </c>
      <c r="D40" s="99">
        <v>0</v>
      </c>
      <c r="E40" s="99">
        <v>0</v>
      </c>
      <c r="F40" s="99">
        <v>0</v>
      </c>
      <c r="G40" s="99">
        <v>0</v>
      </c>
      <c r="H40" s="100">
        <v>0</v>
      </c>
      <c r="I40" s="100">
        <v>0</v>
      </c>
      <c r="J40" s="100">
        <v>0</v>
      </c>
      <c r="K40" s="100">
        <v>0</v>
      </c>
      <c r="L40" s="100">
        <v>0</v>
      </c>
      <c r="M40" s="100">
        <v>0</v>
      </c>
      <c r="N40" s="100">
        <v>0</v>
      </c>
      <c r="O40" s="100">
        <v>0</v>
      </c>
      <c r="P40" s="100">
        <v>0</v>
      </c>
      <c r="Q40" s="100">
        <v>0</v>
      </c>
      <c r="R40" s="100">
        <v>0</v>
      </c>
      <c r="S40" s="100">
        <v>0</v>
      </c>
      <c r="T40" s="100">
        <v>0</v>
      </c>
      <c r="U40" s="100">
        <v>0</v>
      </c>
      <c r="V40" s="100">
        <v>0</v>
      </c>
      <c r="W40" s="100">
        <v>0</v>
      </c>
      <c r="X40" s="100">
        <v>0</v>
      </c>
      <c r="Y40" s="100">
        <v>0</v>
      </c>
      <c r="Z40" s="100">
        <v>0</v>
      </c>
      <c r="AA40" s="100">
        <v>0</v>
      </c>
      <c r="AB40" s="100">
        <v>0</v>
      </c>
      <c r="AC40" s="100">
        <v>0</v>
      </c>
      <c r="AD40" s="100">
        <v>0</v>
      </c>
      <c r="AE40" s="100">
        <v>0</v>
      </c>
    </row>
    <row r="41" spans="1:31" s="6" customFormat="1" x14ac:dyDescent="0.25">
      <c r="A41" s="168"/>
      <c r="B41" s="64" t="s">
        <v>14</v>
      </c>
      <c r="C41" s="99">
        <v>0</v>
      </c>
      <c r="D41" s="99">
        <v>0</v>
      </c>
      <c r="E41" s="99">
        <v>0</v>
      </c>
      <c r="F41" s="99">
        <v>0</v>
      </c>
      <c r="G41" s="99">
        <v>0</v>
      </c>
      <c r="H41" s="100">
        <v>0</v>
      </c>
      <c r="I41" s="100">
        <v>0</v>
      </c>
      <c r="J41" s="100">
        <v>0</v>
      </c>
      <c r="K41" s="100">
        <v>0</v>
      </c>
      <c r="L41" s="100">
        <v>0</v>
      </c>
      <c r="M41" s="100">
        <v>0</v>
      </c>
      <c r="N41" s="100">
        <v>0</v>
      </c>
      <c r="O41" s="100">
        <v>0</v>
      </c>
      <c r="P41" s="100">
        <v>0</v>
      </c>
      <c r="Q41" s="100">
        <v>0</v>
      </c>
      <c r="R41" s="100">
        <v>0</v>
      </c>
      <c r="S41" s="100">
        <v>0</v>
      </c>
      <c r="T41" s="100">
        <v>0</v>
      </c>
      <c r="U41" s="100">
        <v>0</v>
      </c>
      <c r="V41" s="100">
        <v>0</v>
      </c>
      <c r="W41" s="100">
        <v>0</v>
      </c>
      <c r="X41" s="100">
        <v>0</v>
      </c>
      <c r="Y41" s="100">
        <v>0</v>
      </c>
      <c r="Z41" s="100">
        <v>0</v>
      </c>
      <c r="AA41" s="100">
        <v>0</v>
      </c>
      <c r="AB41" s="100">
        <v>0</v>
      </c>
      <c r="AC41" s="100">
        <v>0</v>
      </c>
      <c r="AD41" s="100">
        <v>0</v>
      </c>
      <c r="AE41" s="100">
        <v>0</v>
      </c>
    </row>
    <row r="42" spans="1:31" s="106" customFormat="1" x14ac:dyDescent="0.25">
      <c r="A42" s="168"/>
      <c r="B42" s="64" t="s">
        <v>83</v>
      </c>
      <c r="C42" s="104">
        <v>0</v>
      </c>
      <c r="D42" s="104">
        <v>0</v>
      </c>
      <c r="E42" s="104">
        <v>0</v>
      </c>
      <c r="F42" s="104">
        <v>0</v>
      </c>
      <c r="G42" s="104">
        <v>0</v>
      </c>
      <c r="H42" s="105">
        <v>0</v>
      </c>
      <c r="I42" s="105">
        <v>0</v>
      </c>
      <c r="J42" s="105">
        <v>0</v>
      </c>
      <c r="K42" s="105">
        <v>0</v>
      </c>
      <c r="L42" s="105">
        <v>0</v>
      </c>
      <c r="M42" s="105">
        <v>0</v>
      </c>
      <c r="N42" s="105">
        <v>0</v>
      </c>
      <c r="O42" s="105">
        <v>0</v>
      </c>
      <c r="P42" s="105">
        <v>0</v>
      </c>
      <c r="Q42" s="105">
        <v>0</v>
      </c>
      <c r="R42" s="105">
        <v>0</v>
      </c>
      <c r="S42" s="105">
        <v>0</v>
      </c>
      <c r="T42" s="105">
        <v>0</v>
      </c>
      <c r="U42" s="105">
        <v>0</v>
      </c>
      <c r="V42" s="105">
        <v>0</v>
      </c>
      <c r="W42" s="105">
        <v>0</v>
      </c>
      <c r="X42" s="105">
        <v>0</v>
      </c>
      <c r="Y42" s="105">
        <v>0</v>
      </c>
      <c r="Z42" s="105">
        <v>0</v>
      </c>
      <c r="AA42" s="105">
        <v>0</v>
      </c>
      <c r="AB42" s="105">
        <v>0</v>
      </c>
      <c r="AC42" s="105">
        <v>0</v>
      </c>
      <c r="AD42" s="105">
        <v>0</v>
      </c>
      <c r="AE42" s="105">
        <v>0</v>
      </c>
    </row>
    <row r="43" spans="1:31" s="64" customFormat="1" x14ac:dyDescent="0.25">
      <c r="A43" s="1" t="s">
        <v>170</v>
      </c>
      <c r="B43" s="64" t="s">
        <v>3</v>
      </c>
      <c r="C43" s="99">
        <v>0</v>
      </c>
      <c r="D43" s="99">
        <v>0</v>
      </c>
      <c r="E43" s="99">
        <v>0</v>
      </c>
      <c r="F43" s="99">
        <v>0</v>
      </c>
      <c r="G43" s="99">
        <v>0</v>
      </c>
      <c r="H43" s="100">
        <v>0</v>
      </c>
      <c r="I43" s="100">
        <v>0</v>
      </c>
      <c r="J43" s="100">
        <v>0</v>
      </c>
      <c r="K43" s="100">
        <v>0</v>
      </c>
      <c r="L43" s="100">
        <v>0</v>
      </c>
      <c r="M43" s="100">
        <v>0</v>
      </c>
      <c r="N43" s="100">
        <v>0</v>
      </c>
      <c r="O43" s="100">
        <v>0</v>
      </c>
      <c r="P43" s="100">
        <v>0.22800770414273799</v>
      </c>
      <c r="Q43" s="100">
        <v>0.22984555744933</v>
      </c>
      <c r="R43" s="100">
        <v>0.27700577479099397</v>
      </c>
      <c r="S43" s="100">
        <v>0.28134228058458099</v>
      </c>
      <c r="T43" s="100">
        <v>0.32310642814253998</v>
      </c>
      <c r="U43" s="100">
        <v>0.33941525976484499</v>
      </c>
      <c r="V43" s="100">
        <v>0.30445488648248198</v>
      </c>
      <c r="W43" s="100">
        <v>0.33459800307995902</v>
      </c>
      <c r="X43" s="100">
        <v>0.36210440221183798</v>
      </c>
      <c r="Y43" s="100">
        <v>0.36014966947801003</v>
      </c>
      <c r="Z43" s="100">
        <v>0.35880641439865102</v>
      </c>
      <c r="AA43" s="100">
        <v>0.373263943534756</v>
      </c>
      <c r="AB43" s="100">
        <v>0.44107305880633202</v>
      </c>
      <c r="AC43" s="100">
        <v>0.47242045411574701</v>
      </c>
      <c r="AD43" s="100">
        <v>0.50225576516030002</v>
      </c>
      <c r="AE43" s="100">
        <v>0.52910850023390799</v>
      </c>
    </row>
    <row r="44" spans="1:31" s="107" customFormat="1" x14ac:dyDescent="0.25">
      <c r="A44" s="169" t="s">
        <v>171</v>
      </c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</row>
    <row r="45" spans="1:31" s="6" customFormat="1" x14ac:dyDescent="0.25">
      <c r="A45" s="170" t="s">
        <v>172</v>
      </c>
      <c r="B45" s="64" t="s">
        <v>153</v>
      </c>
      <c r="C45" s="94">
        <v>1</v>
      </c>
      <c r="D45" s="94">
        <v>1</v>
      </c>
      <c r="E45" s="94">
        <v>1</v>
      </c>
      <c r="F45" s="94">
        <v>1</v>
      </c>
      <c r="G45" s="94">
        <v>1</v>
      </c>
      <c r="H45" s="64">
        <v>1</v>
      </c>
      <c r="I45" s="64">
        <v>1</v>
      </c>
      <c r="J45" s="64">
        <v>1</v>
      </c>
      <c r="K45" s="64">
        <v>1</v>
      </c>
      <c r="L45" s="64">
        <v>1</v>
      </c>
      <c r="M45" s="64">
        <v>1</v>
      </c>
      <c r="N45" s="64">
        <v>1</v>
      </c>
      <c r="O45" s="64">
        <v>1</v>
      </c>
      <c r="P45" s="64">
        <v>1</v>
      </c>
      <c r="Q45" s="64">
        <v>1</v>
      </c>
      <c r="R45" s="64">
        <v>1</v>
      </c>
      <c r="S45" s="64">
        <v>1</v>
      </c>
      <c r="T45" s="64">
        <v>1</v>
      </c>
      <c r="U45" s="64">
        <v>1</v>
      </c>
      <c r="V45" s="64">
        <v>1</v>
      </c>
      <c r="W45" s="64">
        <v>1</v>
      </c>
      <c r="X45" s="64">
        <v>1</v>
      </c>
      <c r="Y45" s="64">
        <v>1</v>
      </c>
      <c r="Z45" s="64">
        <v>1</v>
      </c>
      <c r="AA45" s="64">
        <v>1</v>
      </c>
      <c r="AB45" s="64">
        <v>1</v>
      </c>
      <c r="AC45" s="64">
        <v>1</v>
      </c>
      <c r="AD45" s="64">
        <v>1</v>
      </c>
      <c r="AE45" s="64">
        <v>1</v>
      </c>
    </row>
    <row r="46" spans="1:31" s="6" customFormat="1" x14ac:dyDescent="0.25">
      <c r="A46" s="170"/>
      <c r="B46" s="64" t="s">
        <v>173</v>
      </c>
      <c r="C46" s="94">
        <v>0</v>
      </c>
      <c r="D46" s="94">
        <v>0</v>
      </c>
      <c r="E46" s="94">
        <v>0</v>
      </c>
      <c r="F46" s="94">
        <v>0</v>
      </c>
      <c r="G46" s="94">
        <v>0</v>
      </c>
      <c r="H46" s="64">
        <v>0</v>
      </c>
      <c r="I46" s="64">
        <v>0</v>
      </c>
      <c r="J46" s="64">
        <v>0</v>
      </c>
      <c r="K46" s="64">
        <v>0</v>
      </c>
      <c r="L46" s="64">
        <v>0</v>
      </c>
      <c r="M46" s="64">
        <v>0</v>
      </c>
      <c r="N46" s="64">
        <v>0</v>
      </c>
      <c r="O46" s="64">
        <v>0</v>
      </c>
      <c r="P46" s="64">
        <v>0</v>
      </c>
      <c r="Q46" s="64">
        <v>0</v>
      </c>
      <c r="R46" s="64">
        <v>0</v>
      </c>
      <c r="S46" s="64">
        <v>0</v>
      </c>
      <c r="T46" s="64">
        <v>0</v>
      </c>
      <c r="U46" s="64">
        <v>0</v>
      </c>
      <c r="V46" s="64">
        <v>0</v>
      </c>
      <c r="W46" s="64">
        <v>0</v>
      </c>
      <c r="X46" s="64">
        <v>0</v>
      </c>
      <c r="Y46" s="64">
        <v>0</v>
      </c>
      <c r="Z46" s="64">
        <v>0</v>
      </c>
      <c r="AA46" s="64">
        <v>0</v>
      </c>
      <c r="AB46" s="64">
        <v>0</v>
      </c>
      <c r="AC46" s="64">
        <v>0</v>
      </c>
      <c r="AD46" s="64">
        <v>0</v>
      </c>
      <c r="AE46" s="64">
        <v>0</v>
      </c>
    </row>
    <row r="47" spans="1:31" s="6" customFormat="1" x14ac:dyDescent="0.25">
      <c r="A47" s="170"/>
      <c r="B47" s="64" t="s">
        <v>150</v>
      </c>
      <c r="C47" s="94">
        <v>0</v>
      </c>
      <c r="D47" s="94">
        <v>0</v>
      </c>
      <c r="E47" s="94">
        <v>0</v>
      </c>
      <c r="F47" s="94">
        <v>0</v>
      </c>
      <c r="G47" s="94">
        <v>0</v>
      </c>
      <c r="H47" s="64">
        <v>0</v>
      </c>
      <c r="I47" s="64">
        <v>0</v>
      </c>
      <c r="J47" s="64">
        <v>0</v>
      </c>
      <c r="K47" s="64">
        <v>0</v>
      </c>
      <c r="L47" s="64">
        <v>0</v>
      </c>
      <c r="M47" s="64">
        <v>0</v>
      </c>
      <c r="N47" s="64">
        <v>0</v>
      </c>
      <c r="O47" s="64">
        <v>0</v>
      </c>
      <c r="P47" s="64">
        <v>0</v>
      </c>
      <c r="Q47" s="64">
        <v>0</v>
      </c>
      <c r="R47" s="64">
        <v>0</v>
      </c>
      <c r="S47" s="64">
        <v>0</v>
      </c>
      <c r="T47" s="64">
        <v>0</v>
      </c>
      <c r="U47" s="64">
        <v>0</v>
      </c>
      <c r="V47" s="64">
        <v>0</v>
      </c>
      <c r="W47" s="64">
        <v>0</v>
      </c>
      <c r="X47" s="64">
        <v>0</v>
      </c>
      <c r="Y47" s="64">
        <v>0</v>
      </c>
      <c r="Z47" s="64">
        <v>0</v>
      </c>
      <c r="AA47" s="64">
        <v>0</v>
      </c>
      <c r="AB47" s="64">
        <v>0</v>
      </c>
      <c r="AC47" s="64">
        <v>0</v>
      </c>
      <c r="AD47" s="64">
        <v>0</v>
      </c>
      <c r="AE47" s="64">
        <v>0</v>
      </c>
    </row>
    <row r="48" spans="1:31" s="6" customFormat="1" x14ac:dyDescent="0.25">
      <c r="A48" s="170"/>
      <c r="B48" s="64" t="s">
        <v>174</v>
      </c>
      <c r="C48" s="94">
        <v>0</v>
      </c>
      <c r="D48" s="94">
        <v>0</v>
      </c>
      <c r="E48" s="94">
        <v>0</v>
      </c>
      <c r="F48" s="94">
        <v>0</v>
      </c>
      <c r="G48" s="94">
        <v>0</v>
      </c>
      <c r="H48" s="64">
        <v>0</v>
      </c>
      <c r="I48" s="64">
        <v>0</v>
      </c>
      <c r="J48" s="64">
        <v>0</v>
      </c>
      <c r="K48" s="64">
        <v>0</v>
      </c>
      <c r="L48" s="64">
        <v>0</v>
      </c>
      <c r="M48" s="64">
        <v>0</v>
      </c>
      <c r="N48" s="64">
        <v>0</v>
      </c>
      <c r="O48" s="64">
        <v>0</v>
      </c>
      <c r="P48" s="64">
        <v>0</v>
      </c>
      <c r="Q48" s="64">
        <v>0</v>
      </c>
      <c r="R48" s="64">
        <v>0</v>
      </c>
      <c r="S48" s="64">
        <v>0</v>
      </c>
      <c r="T48" s="64">
        <v>0</v>
      </c>
      <c r="U48" s="64">
        <v>0</v>
      </c>
      <c r="V48" s="64">
        <v>0</v>
      </c>
      <c r="W48" s="64">
        <v>0</v>
      </c>
      <c r="X48" s="64">
        <v>0</v>
      </c>
      <c r="Y48" s="64">
        <v>0</v>
      </c>
      <c r="Z48" s="64">
        <v>0</v>
      </c>
      <c r="AA48" s="64">
        <v>0</v>
      </c>
      <c r="AB48" s="64">
        <v>0</v>
      </c>
      <c r="AC48" s="64">
        <v>0</v>
      </c>
      <c r="AD48" s="64">
        <v>0</v>
      </c>
      <c r="AE48" s="64">
        <v>0</v>
      </c>
    </row>
    <row r="49" spans="1:31" s="6" customFormat="1" x14ac:dyDescent="0.25">
      <c r="A49" s="170" t="s">
        <v>175</v>
      </c>
      <c r="B49" s="64" t="s">
        <v>153</v>
      </c>
      <c r="C49" s="94">
        <v>0.99950910202392396</v>
      </c>
      <c r="D49" s="94">
        <v>0.99950910202392396</v>
      </c>
      <c r="E49" s="94">
        <v>0.99950910202392396</v>
      </c>
      <c r="F49" s="94">
        <v>0.99950910202392396</v>
      </c>
      <c r="G49" s="94">
        <v>0.99950910202392396</v>
      </c>
      <c r="H49" s="64">
        <v>0.99950910202392396</v>
      </c>
      <c r="I49" s="64">
        <v>0.99946788573623802</v>
      </c>
      <c r="J49" s="64">
        <v>0.999405193137204</v>
      </c>
      <c r="K49" s="64">
        <v>0.99934244934419603</v>
      </c>
      <c r="L49" s="64">
        <v>0.99928186369345495</v>
      </c>
      <c r="M49" s="64">
        <v>0.99920112199490496</v>
      </c>
      <c r="N49" s="64">
        <v>0.99861409702348702</v>
      </c>
      <c r="O49" s="64">
        <v>0.99852815948539098</v>
      </c>
      <c r="P49" s="64">
        <v>0.99811452825110103</v>
      </c>
      <c r="Q49" s="64">
        <v>0.99766431129483102</v>
      </c>
      <c r="R49" s="64">
        <v>0.99674678956051699</v>
      </c>
      <c r="S49" s="64">
        <v>0.99688101315357502</v>
      </c>
      <c r="T49" s="64">
        <v>0.99600905284299901</v>
      </c>
      <c r="U49" s="64">
        <v>0.99578013001892096</v>
      </c>
      <c r="V49" s="64">
        <v>0.99560942673282804</v>
      </c>
      <c r="W49" s="64">
        <v>0.99535165707666595</v>
      </c>
      <c r="X49" s="64">
        <v>0.99508085928742496</v>
      </c>
      <c r="Y49" s="64">
        <v>0.99516823205367499</v>
      </c>
      <c r="Z49" s="64">
        <v>0.99477127066131099</v>
      </c>
      <c r="AA49" s="64">
        <v>0.99386434793482403</v>
      </c>
      <c r="AB49" s="64">
        <v>0.99308449157704004</v>
      </c>
      <c r="AC49" s="64">
        <v>0.99253617020254403</v>
      </c>
      <c r="AD49" s="64">
        <v>0.99263011797633505</v>
      </c>
      <c r="AE49" s="64">
        <v>0.99196617755663097</v>
      </c>
    </row>
    <row r="50" spans="1:31" s="6" customFormat="1" x14ac:dyDescent="0.25">
      <c r="A50" s="170"/>
      <c r="B50" s="64" t="s">
        <v>173</v>
      </c>
      <c r="C50" s="94">
        <v>4.6896123736666002E-4</v>
      </c>
      <c r="D50" s="94">
        <v>4.6896123736666002E-4</v>
      </c>
      <c r="E50" s="94">
        <v>4.6896123736666002E-4</v>
      </c>
      <c r="F50" s="94">
        <v>4.6896123736666002E-4</v>
      </c>
      <c r="G50" s="94">
        <v>4.6896123736666002E-4</v>
      </c>
      <c r="H50" s="64">
        <v>4.6896123736666002E-4</v>
      </c>
      <c r="I50" s="64">
        <v>5.0852682228545601E-4</v>
      </c>
      <c r="J50" s="64">
        <v>5.70463882447359E-4</v>
      </c>
      <c r="K50" s="64">
        <v>6.3356921273638705E-4</v>
      </c>
      <c r="L50" s="64">
        <v>6.9406735398281803E-4</v>
      </c>
      <c r="M50" s="64">
        <v>7.75753604734684E-4</v>
      </c>
      <c r="N50" s="64">
        <v>1.3621455310386401E-3</v>
      </c>
      <c r="O50" s="64">
        <v>1.4486677642836E-3</v>
      </c>
      <c r="P50" s="64">
        <v>1.8630166837319999E-3</v>
      </c>
      <c r="Q50" s="64">
        <v>2.3114084716866902E-3</v>
      </c>
      <c r="R50" s="64">
        <v>3.2297419912810901E-3</v>
      </c>
      <c r="S50" s="64">
        <v>3.0860854163401201E-3</v>
      </c>
      <c r="T50" s="64">
        <v>3.9361951167589601E-3</v>
      </c>
      <c r="U50" s="64">
        <v>4.1480681077838604E-3</v>
      </c>
      <c r="V50" s="64">
        <v>4.2869146115477597E-3</v>
      </c>
      <c r="W50" s="64">
        <v>4.5166806460834501E-3</v>
      </c>
      <c r="X50" s="64">
        <v>4.7271284560765096E-3</v>
      </c>
      <c r="Y50" s="64">
        <v>4.5713298897901902E-3</v>
      </c>
      <c r="Z50" s="64">
        <v>4.83875393258139E-3</v>
      </c>
      <c r="AA50" s="64">
        <v>5.5946892520487802E-3</v>
      </c>
      <c r="AB50" s="64">
        <v>6.1676989410977597E-3</v>
      </c>
      <c r="AC50" s="64">
        <v>6.3208358237679899E-3</v>
      </c>
      <c r="AD50" s="64">
        <v>5.6991946555679804E-3</v>
      </c>
      <c r="AE50" s="64">
        <v>5.67489304298412E-3</v>
      </c>
    </row>
    <row r="51" spans="1:31" s="6" customFormat="1" x14ac:dyDescent="0.25">
      <c r="A51" s="170"/>
      <c r="B51" s="64" t="s">
        <v>150</v>
      </c>
      <c r="C51" s="94">
        <v>2.19367387092662E-5</v>
      </c>
      <c r="D51" s="94">
        <v>2.19367387092662E-5</v>
      </c>
      <c r="E51" s="94">
        <v>2.19367387092662E-5</v>
      </c>
      <c r="F51" s="94">
        <v>2.19367387092662E-5</v>
      </c>
      <c r="G51" s="94">
        <v>2.19367387092662E-5</v>
      </c>
      <c r="H51" s="64">
        <v>2.19367387092662E-5</v>
      </c>
      <c r="I51" s="64">
        <v>2.3587441476998001E-5</v>
      </c>
      <c r="J51" s="64">
        <v>2.43429803486534E-5</v>
      </c>
      <c r="K51" s="64">
        <v>2.3981443067406199E-5</v>
      </c>
      <c r="L51" s="64">
        <v>2.4068952562073701E-5</v>
      </c>
      <c r="M51" s="64">
        <v>2.3124400360237398E-5</v>
      </c>
      <c r="N51" s="64">
        <v>2.3757445474514302E-5</v>
      </c>
      <c r="O51" s="64">
        <v>2.3172750325029099E-5</v>
      </c>
      <c r="P51" s="64">
        <v>2.2455065167555699E-5</v>
      </c>
      <c r="Q51" s="64">
        <v>2.4280233482037701E-5</v>
      </c>
      <c r="R51" s="64">
        <v>2.34684482018593E-5</v>
      </c>
      <c r="S51" s="64">
        <v>3.2901430085288403E-5</v>
      </c>
      <c r="T51" s="64">
        <v>5.4752040241984401E-5</v>
      </c>
      <c r="U51" s="64">
        <v>7.1801873295182194E-5</v>
      </c>
      <c r="V51" s="64">
        <v>1.0365865562433601E-4</v>
      </c>
      <c r="W51" s="64">
        <v>1.3166227725045E-4</v>
      </c>
      <c r="X51" s="64">
        <v>1.9201225649839401E-4</v>
      </c>
      <c r="Y51" s="64">
        <v>2.6043805653476102E-4</v>
      </c>
      <c r="Z51" s="64">
        <v>3.8997540610736001E-4</v>
      </c>
      <c r="AA51" s="64">
        <v>5.4096281312750205E-4</v>
      </c>
      <c r="AB51" s="64">
        <v>7.4780948186270598E-4</v>
      </c>
      <c r="AC51" s="64">
        <v>1.1429939736884E-3</v>
      </c>
      <c r="AD51" s="64">
        <v>1.67068736809729E-3</v>
      </c>
      <c r="AE51" s="64">
        <v>2.3589294003847302E-3</v>
      </c>
    </row>
    <row r="52" spans="1:31" s="6" customFormat="1" x14ac:dyDescent="0.25">
      <c r="A52" s="170"/>
      <c r="B52" s="64" t="s">
        <v>174</v>
      </c>
      <c r="C52" s="94">
        <v>0</v>
      </c>
      <c r="D52" s="94">
        <v>0</v>
      </c>
      <c r="E52" s="94">
        <v>0</v>
      </c>
      <c r="F52" s="94">
        <v>0</v>
      </c>
      <c r="G52" s="94">
        <v>0</v>
      </c>
      <c r="H52" s="64">
        <v>0</v>
      </c>
      <c r="I52" s="64">
        <v>0</v>
      </c>
      <c r="J52" s="64">
        <v>0</v>
      </c>
      <c r="K52" s="64">
        <v>0</v>
      </c>
      <c r="L52" s="64">
        <v>0</v>
      </c>
      <c r="M52" s="64">
        <v>0</v>
      </c>
      <c r="N52" s="64">
        <v>0</v>
      </c>
      <c r="O52" s="64">
        <v>0</v>
      </c>
      <c r="P52" s="64">
        <v>0</v>
      </c>
      <c r="Q52" s="64">
        <v>0</v>
      </c>
      <c r="R52" s="64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4">
        <v>0</v>
      </c>
      <c r="Y52" s="64">
        <v>0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4">
        <v>0</v>
      </c>
    </row>
    <row r="53" spans="1:31" s="6" customFormat="1" x14ac:dyDescent="0.25">
      <c r="A53" s="170" t="s">
        <v>17</v>
      </c>
      <c r="B53" s="64" t="s">
        <v>153</v>
      </c>
      <c r="C53" s="94">
        <v>0.43570521715553401</v>
      </c>
      <c r="D53" s="94">
        <v>0.43570521715553401</v>
      </c>
      <c r="E53" s="94">
        <v>0.43570521715553401</v>
      </c>
      <c r="F53" s="94">
        <v>0.43570521715553401</v>
      </c>
      <c r="G53" s="94">
        <v>0.43570521715553401</v>
      </c>
      <c r="H53" s="64">
        <v>0.43570521715553401</v>
      </c>
      <c r="I53" s="64">
        <v>0.40740636154877002</v>
      </c>
      <c r="J53" s="64">
        <v>0.40083718090628701</v>
      </c>
      <c r="K53" s="64">
        <v>0.40701593114395601</v>
      </c>
      <c r="L53" s="64">
        <v>0.408491995722572</v>
      </c>
      <c r="M53" s="64">
        <v>0.41235020911729198</v>
      </c>
      <c r="N53" s="64">
        <v>0.43765914566432002</v>
      </c>
      <c r="O53" s="64">
        <v>0.45336473811103001</v>
      </c>
      <c r="P53" s="64">
        <v>0.474973616466348</v>
      </c>
      <c r="Q53" s="64">
        <v>0.47500414250969403</v>
      </c>
      <c r="R53" s="64">
        <v>0.48603239674454801</v>
      </c>
      <c r="S53" s="64">
        <v>0.43057596939412002</v>
      </c>
      <c r="T53" s="64">
        <v>0.42827034109979001</v>
      </c>
      <c r="U53" s="64">
        <v>0.36507639700403499</v>
      </c>
      <c r="V53" s="64">
        <v>0.35922666433851402</v>
      </c>
      <c r="W53" s="64">
        <v>0.36439776006920099</v>
      </c>
      <c r="X53" s="64">
        <v>0.34403863498869802</v>
      </c>
      <c r="Y53" s="64">
        <v>0.34039380623464099</v>
      </c>
      <c r="Z53" s="64">
        <v>0.33935299912652001</v>
      </c>
      <c r="AA53" s="64">
        <v>0.352575457008378</v>
      </c>
      <c r="AB53" s="64">
        <v>0.3298405190066</v>
      </c>
      <c r="AC53" s="64">
        <v>0.35974392371894898</v>
      </c>
      <c r="AD53" s="64">
        <v>0.31819489825587799</v>
      </c>
      <c r="AE53" s="64">
        <v>0.30515229106048603</v>
      </c>
    </row>
    <row r="54" spans="1:31" s="6" customFormat="1" x14ac:dyDescent="0.25">
      <c r="A54" s="170"/>
      <c r="B54" s="64" t="s">
        <v>173</v>
      </c>
      <c r="C54" s="94">
        <v>0</v>
      </c>
      <c r="D54" s="94">
        <v>0</v>
      </c>
      <c r="E54" s="94">
        <v>0</v>
      </c>
      <c r="F54" s="94">
        <v>0</v>
      </c>
      <c r="G54" s="94">
        <v>0</v>
      </c>
      <c r="H54" s="64">
        <v>0</v>
      </c>
      <c r="I54" s="64">
        <v>0</v>
      </c>
      <c r="J54" s="64">
        <v>0</v>
      </c>
      <c r="K54" s="64">
        <v>0</v>
      </c>
      <c r="L54" s="64">
        <v>0</v>
      </c>
      <c r="M54" s="64">
        <v>0</v>
      </c>
      <c r="N54" s="64">
        <v>0</v>
      </c>
      <c r="O54" s="64">
        <v>0</v>
      </c>
      <c r="P54" s="64">
        <v>0</v>
      </c>
      <c r="Q54" s="64">
        <v>0</v>
      </c>
      <c r="R54" s="64">
        <v>0</v>
      </c>
      <c r="S54" s="64">
        <v>0</v>
      </c>
      <c r="T54" s="64">
        <v>0</v>
      </c>
      <c r="U54" s="64">
        <v>0</v>
      </c>
      <c r="V54" s="64">
        <v>0</v>
      </c>
      <c r="W54" s="64">
        <v>0</v>
      </c>
      <c r="X54" s="64">
        <v>0</v>
      </c>
      <c r="Y54" s="64">
        <v>0</v>
      </c>
      <c r="Z54" s="64">
        <v>0</v>
      </c>
      <c r="AA54" s="64">
        <v>0</v>
      </c>
      <c r="AB54" s="64">
        <v>0</v>
      </c>
      <c r="AC54" s="64">
        <v>0</v>
      </c>
      <c r="AD54" s="64">
        <v>0</v>
      </c>
      <c r="AE54" s="64">
        <v>0</v>
      </c>
    </row>
    <row r="55" spans="1:31" s="6" customFormat="1" x14ac:dyDescent="0.25">
      <c r="A55" s="170"/>
      <c r="B55" s="64" t="s">
        <v>150</v>
      </c>
      <c r="C55" s="94">
        <v>0.56429478284446599</v>
      </c>
      <c r="D55" s="94">
        <v>0.56429478284446599</v>
      </c>
      <c r="E55" s="94">
        <v>0.56429478284446599</v>
      </c>
      <c r="F55" s="94">
        <v>0.56429478284446599</v>
      </c>
      <c r="G55" s="94">
        <v>0.56429478284446599</v>
      </c>
      <c r="H55" s="64">
        <v>0.56429478284446599</v>
      </c>
      <c r="I55" s="64">
        <v>0.59259363845123103</v>
      </c>
      <c r="J55" s="64">
        <v>0.59916281909371305</v>
      </c>
      <c r="K55" s="64">
        <v>0.59298406885604404</v>
      </c>
      <c r="L55" s="64">
        <v>0.591508004277428</v>
      </c>
      <c r="M55" s="64">
        <v>0.58764979088270797</v>
      </c>
      <c r="N55" s="64">
        <v>0.56234085433568004</v>
      </c>
      <c r="O55" s="64">
        <v>0.54663526188897105</v>
      </c>
      <c r="P55" s="64">
        <v>0.52502638353365205</v>
      </c>
      <c r="Q55" s="64">
        <v>0.52499585749030597</v>
      </c>
      <c r="R55" s="64">
        <v>0.51396760325545199</v>
      </c>
      <c r="S55" s="64">
        <v>0.56942403060587998</v>
      </c>
      <c r="T55" s="64">
        <v>0.57172965890021099</v>
      </c>
      <c r="U55" s="64">
        <v>0.63492360299596495</v>
      </c>
      <c r="V55" s="64">
        <v>0.64077333566148598</v>
      </c>
      <c r="W55" s="64">
        <v>0.63560223993079901</v>
      </c>
      <c r="X55" s="64">
        <v>0.65596136501130198</v>
      </c>
      <c r="Y55" s="64">
        <v>0.65960619376535901</v>
      </c>
      <c r="Z55" s="64">
        <v>0.66064700087348105</v>
      </c>
      <c r="AA55" s="64">
        <v>0.647424542991622</v>
      </c>
      <c r="AB55" s="64">
        <v>0.67015948099339995</v>
      </c>
      <c r="AC55" s="64">
        <v>0.64025607628105097</v>
      </c>
      <c r="AD55" s="64">
        <v>0.68180510174412201</v>
      </c>
      <c r="AE55" s="64">
        <v>0.69484770893951397</v>
      </c>
    </row>
    <row r="56" spans="1:31" s="6" customFormat="1" x14ac:dyDescent="0.25">
      <c r="A56" s="170"/>
      <c r="B56" s="64" t="s">
        <v>174</v>
      </c>
      <c r="C56" s="94">
        <v>0</v>
      </c>
      <c r="D56" s="94">
        <v>0</v>
      </c>
      <c r="E56" s="94">
        <v>0</v>
      </c>
      <c r="F56" s="94">
        <v>0</v>
      </c>
      <c r="G56" s="94">
        <v>0</v>
      </c>
      <c r="H56" s="64">
        <v>0</v>
      </c>
      <c r="I56" s="64">
        <v>0</v>
      </c>
      <c r="J56" s="64">
        <v>0</v>
      </c>
      <c r="K56" s="64">
        <v>0</v>
      </c>
      <c r="L56" s="64">
        <v>0</v>
      </c>
      <c r="M56" s="64">
        <v>0</v>
      </c>
      <c r="N56" s="64">
        <v>0</v>
      </c>
      <c r="O56" s="64">
        <v>0</v>
      </c>
      <c r="P56" s="64">
        <v>0</v>
      </c>
      <c r="Q56" s="64">
        <v>0</v>
      </c>
      <c r="R56" s="64">
        <v>0</v>
      </c>
      <c r="S56" s="64">
        <v>0</v>
      </c>
      <c r="T56" s="64">
        <v>0</v>
      </c>
      <c r="U56" s="64">
        <v>0</v>
      </c>
      <c r="V56" s="64">
        <v>0</v>
      </c>
      <c r="W56" s="64">
        <v>0</v>
      </c>
      <c r="X56" s="64">
        <v>0</v>
      </c>
      <c r="Y56" s="64">
        <v>0</v>
      </c>
      <c r="Z56" s="64">
        <v>0</v>
      </c>
      <c r="AA56" s="64">
        <v>0</v>
      </c>
      <c r="AB56" s="64">
        <v>0</v>
      </c>
      <c r="AC56" s="64">
        <v>0</v>
      </c>
      <c r="AD56" s="64">
        <v>0</v>
      </c>
      <c r="AE56" s="64">
        <v>0</v>
      </c>
    </row>
    <row r="57" spans="1:31" x14ac:dyDescent="0.25">
      <c r="A57" s="166" t="s">
        <v>176</v>
      </c>
      <c r="B57" s="166"/>
      <c r="C57" s="166"/>
      <c r="D57" s="166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</row>
    <row r="58" spans="1:31" x14ac:dyDescent="0.25">
      <c r="A58" s="168" t="s">
        <v>177</v>
      </c>
      <c r="B58" s="64" t="s">
        <v>12</v>
      </c>
      <c r="C58" s="71">
        <v>1</v>
      </c>
    </row>
    <row r="59" spans="1:31" s="6" customFormat="1" x14ac:dyDescent="0.25">
      <c r="A59" s="168"/>
      <c r="B59" s="64" t="s">
        <v>13</v>
      </c>
      <c r="C59" s="71">
        <v>0</v>
      </c>
    </row>
    <row r="60" spans="1:31" x14ac:dyDescent="0.25">
      <c r="A60" s="168"/>
      <c r="B60" s="64" t="s">
        <v>14</v>
      </c>
      <c r="C60" s="71">
        <v>0</v>
      </c>
    </row>
    <row r="61" spans="1:31" s="6" customFormat="1" x14ac:dyDescent="0.25">
      <c r="A61" s="168"/>
      <c r="B61" s="108" t="s">
        <v>83</v>
      </c>
      <c r="C61" s="71">
        <v>0</v>
      </c>
    </row>
    <row r="62" spans="1:31" x14ac:dyDescent="0.25">
      <c r="A62" s="109"/>
      <c r="C62" s="110"/>
    </row>
    <row r="63" spans="1:31" ht="18.75" x14ac:dyDescent="0.3">
      <c r="A63" s="92" t="s">
        <v>178</v>
      </c>
      <c r="C63" s="110"/>
    </row>
    <row r="64" spans="1:31" x14ac:dyDescent="0.25">
      <c r="A64" s="109"/>
      <c r="C64" s="110"/>
    </row>
    <row r="65" spans="1:31" x14ac:dyDescent="0.25">
      <c r="A65" s="171" t="s">
        <v>179</v>
      </c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</row>
    <row r="66" spans="1:31" x14ac:dyDescent="0.25">
      <c r="A66" s="172" t="s">
        <v>172</v>
      </c>
      <c r="B66" s="111" t="s">
        <v>12</v>
      </c>
      <c r="C66" s="112">
        <v>4558818</v>
      </c>
      <c r="D66" s="112">
        <v>4558818</v>
      </c>
      <c r="E66" s="112">
        <v>4558818</v>
      </c>
      <c r="F66" s="112">
        <v>4558818</v>
      </c>
      <c r="G66" s="112">
        <v>4558818</v>
      </c>
      <c r="H66" s="113">
        <v>4558818</v>
      </c>
      <c r="I66" s="113">
        <v>4686389</v>
      </c>
      <c r="J66" s="113">
        <v>4778166</v>
      </c>
      <c r="K66" s="113">
        <v>4821627</v>
      </c>
      <c r="L66" s="113">
        <v>4810887</v>
      </c>
      <c r="M66" s="113">
        <v>4859466</v>
      </c>
      <c r="N66" s="113">
        <v>4986293</v>
      </c>
      <c r="O66" s="113">
        <v>4996372</v>
      </c>
      <c r="P66" s="113">
        <v>5085013</v>
      </c>
      <c r="Q66" s="113">
        <v>5030816</v>
      </c>
      <c r="R66" s="113">
        <v>5025317</v>
      </c>
      <c r="S66" s="113">
        <v>5035683</v>
      </c>
      <c r="T66" s="113">
        <v>4941991</v>
      </c>
      <c r="U66" s="113">
        <v>4720453</v>
      </c>
      <c r="V66" s="113">
        <v>4773182</v>
      </c>
      <c r="W66" s="113">
        <v>4799062</v>
      </c>
      <c r="X66" s="113">
        <v>4792440</v>
      </c>
      <c r="Y66" s="113">
        <v>4841582</v>
      </c>
      <c r="Z66" s="113">
        <v>4977180</v>
      </c>
      <c r="AA66" s="113">
        <v>5092648</v>
      </c>
      <c r="AB66" s="113">
        <v>5105252</v>
      </c>
      <c r="AC66" s="113">
        <v>5170979</v>
      </c>
      <c r="AD66" s="113">
        <v>5256238</v>
      </c>
      <c r="AE66" s="114">
        <v>5390897</v>
      </c>
    </row>
    <row r="67" spans="1:31" x14ac:dyDescent="0.25">
      <c r="A67" s="172"/>
      <c r="B67" s="64" t="s">
        <v>13</v>
      </c>
      <c r="C67" s="99">
        <v>0</v>
      </c>
      <c r="D67" s="99">
        <v>0</v>
      </c>
      <c r="E67" s="99">
        <v>0</v>
      </c>
      <c r="F67" s="99">
        <v>0</v>
      </c>
      <c r="G67" s="99">
        <v>0</v>
      </c>
      <c r="H67" s="100">
        <v>0</v>
      </c>
      <c r="I67" s="100">
        <v>0</v>
      </c>
      <c r="J67" s="100">
        <v>0</v>
      </c>
      <c r="K67" s="100">
        <v>0</v>
      </c>
      <c r="L67" s="100">
        <v>0</v>
      </c>
      <c r="M67" s="100">
        <v>0</v>
      </c>
      <c r="N67" s="100">
        <v>0</v>
      </c>
      <c r="O67" s="100">
        <v>0</v>
      </c>
      <c r="P67" s="100">
        <v>0</v>
      </c>
      <c r="Q67" s="100">
        <v>0</v>
      </c>
      <c r="R67" s="100">
        <v>0</v>
      </c>
      <c r="S67" s="100">
        <v>0</v>
      </c>
      <c r="T67" s="100">
        <v>0</v>
      </c>
      <c r="U67" s="100">
        <v>0</v>
      </c>
      <c r="V67" s="100">
        <v>0</v>
      </c>
      <c r="W67" s="100">
        <v>0</v>
      </c>
      <c r="X67" s="100">
        <v>0</v>
      </c>
      <c r="Y67" s="100">
        <v>0</v>
      </c>
      <c r="Z67" s="100">
        <v>0</v>
      </c>
      <c r="AA67" s="100">
        <v>0</v>
      </c>
      <c r="AB67" s="100">
        <v>0</v>
      </c>
      <c r="AC67" s="100">
        <v>0</v>
      </c>
      <c r="AD67" s="100">
        <v>0</v>
      </c>
      <c r="AE67" s="115">
        <v>0</v>
      </c>
    </row>
    <row r="68" spans="1:31" x14ac:dyDescent="0.25">
      <c r="A68" s="172"/>
      <c r="B68" s="64" t="s">
        <v>14</v>
      </c>
      <c r="C68" s="99">
        <v>0</v>
      </c>
      <c r="D68" s="99">
        <v>0</v>
      </c>
      <c r="E68" s="99">
        <v>0</v>
      </c>
      <c r="F68" s="99">
        <v>0</v>
      </c>
      <c r="G68" s="99">
        <v>0</v>
      </c>
      <c r="H68" s="100">
        <v>0</v>
      </c>
      <c r="I68" s="100">
        <v>0</v>
      </c>
      <c r="J68" s="100">
        <v>0</v>
      </c>
      <c r="K68" s="100">
        <v>0</v>
      </c>
      <c r="L68" s="100">
        <v>0</v>
      </c>
      <c r="M68" s="100">
        <v>0</v>
      </c>
      <c r="N68" s="100">
        <v>0</v>
      </c>
      <c r="O68" s="100">
        <v>0</v>
      </c>
      <c r="P68" s="100">
        <v>0</v>
      </c>
      <c r="Q68" s="100">
        <v>0</v>
      </c>
      <c r="R68" s="100">
        <v>0</v>
      </c>
      <c r="S68" s="100">
        <v>0</v>
      </c>
      <c r="T68" s="100">
        <v>0</v>
      </c>
      <c r="U68" s="100">
        <v>0</v>
      </c>
      <c r="V68" s="100">
        <v>0</v>
      </c>
      <c r="W68" s="100">
        <v>0</v>
      </c>
      <c r="X68" s="100">
        <v>0</v>
      </c>
      <c r="Y68" s="100">
        <v>0</v>
      </c>
      <c r="Z68" s="100">
        <v>0</v>
      </c>
      <c r="AA68" s="100">
        <v>0</v>
      </c>
      <c r="AB68" s="100">
        <v>0</v>
      </c>
      <c r="AC68" s="100">
        <v>0</v>
      </c>
      <c r="AD68" s="100">
        <v>0</v>
      </c>
      <c r="AE68" s="115">
        <v>0</v>
      </c>
    </row>
    <row r="69" spans="1:31" x14ac:dyDescent="0.25">
      <c r="A69" s="172"/>
      <c r="B69" s="64" t="s">
        <v>83</v>
      </c>
      <c r="C69" s="99">
        <v>0</v>
      </c>
      <c r="D69" s="99">
        <v>0</v>
      </c>
      <c r="E69" s="99">
        <v>0</v>
      </c>
      <c r="F69" s="99">
        <v>0</v>
      </c>
      <c r="G69" s="99">
        <v>0</v>
      </c>
      <c r="H69" s="100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 s="100">
        <v>0</v>
      </c>
      <c r="Y69" s="100">
        <v>0</v>
      </c>
      <c r="Z69" s="100">
        <v>0</v>
      </c>
      <c r="AA69" s="100">
        <v>0</v>
      </c>
      <c r="AB69" s="100">
        <v>0</v>
      </c>
      <c r="AC69" s="100">
        <v>0</v>
      </c>
      <c r="AD69" s="100">
        <v>0</v>
      </c>
      <c r="AE69" s="115">
        <v>0</v>
      </c>
    </row>
    <row r="70" spans="1:31" x14ac:dyDescent="0.25">
      <c r="A70" s="167" t="s">
        <v>175</v>
      </c>
      <c r="B70" s="64" t="s">
        <v>12</v>
      </c>
      <c r="C70" s="99">
        <v>20483399</v>
      </c>
      <c r="D70" s="99">
        <v>20483399</v>
      </c>
      <c r="E70" s="99">
        <v>20483399</v>
      </c>
      <c r="F70" s="99">
        <v>20483399</v>
      </c>
      <c r="G70" s="99">
        <v>20483399</v>
      </c>
      <c r="H70" s="100">
        <v>20483399</v>
      </c>
      <c r="I70" s="100">
        <v>21142512</v>
      </c>
      <c r="J70" s="100">
        <v>21439653</v>
      </c>
      <c r="K70" s="100">
        <v>21839912</v>
      </c>
      <c r="L70" s="100">
        <v>22319417</v>
      </c>
      <c r="M70" s="100">
        <v>22831736</v>
      </c>
      <c r="N70" s="100">
        <v>23356131</v>
      </c>
      <c r="O70" s="100">
        <v>24476621</v>
      </c>
      <c r="P70" s="100">
        <v>24676789</v>
      </c>
      <c r="Q70" s="100">
        <v>24393828</v>
      </c>
      <c r="R70" s="100">
        <v>24461473</v>
      </c>
      <c r="S70" s="100">
        <v>24552625</v>
      </c>
      <c r="T70" s="100">
        <v>24251666</v>
      </c>
      <c r="U70" s="100">
        <v>24329650</v>
      </c>
      <c r="V70" s="100">
        <v>24741539</v>
      </c>
      <c r="W70" s="100">
        <v>25396318</v>
      </c>
      <c r="X70" s="100">
        <v>25670667</v>
      </c>
      <c r="Y70" s="100">
        <v>26002584</v>
      </c>
      <c r="Z70" s="100">
        <v>26461307</v>
      </c>
      <c r="AA70" s="100">
        <v>26997767</v>
      </c>
      <c r="AB70" s="100">
        <v>27318570</v>
      </c>
      <c r="AC70" s="100">
        <v>27742579</v>
      </c>
      <c r="AD70" s="100">
        <v>28053848</v>
      </c>
      <c r="AE70" s="115">
        <v>28460713</v>
      </c>
    </row>
    <row r="71" spans="1:31" x14ac:dyDescent="0.25">
      <c r="A71" s="167"/>
      <c r="B71" s="64" t="s">
        <v>13</v>
      </c>
      <c r="C71" s="99">
        <v>7509</v>
      </c>
      <c r="D71" s="99">
        <v>7509</v>
      </c>
      <c r="E71" s="99">
        <v>7509</v>
      </c>
      <c r="F71" s="99">
        <v>7509</v>
      </c>
      <c r="G71" s="99">
        <v>7509</v>
      </c>
      <c r="H71" s="100">
        <v>7509</v>
      </c>
      <c r="I71" s="100">
        <v>8885</v>
      </c>
      <c r="J71" s="100">
        <v>10724</v>
      </c>
      <c r="K71" s="100">
        <v>12990</v>
      </c>
      <c r="L71" s="100">
        <v>14937</v>
      </c>
      <c r="M71" s="100">
        <v>17506</v>
      </c>
      <c r="N71" s="100">
        <v>30914</v>
      </c>
      <c r="O71" s="100">
        <v>33448</v>
      </c>
      <c r="P71" s="100">
        <v>44143</v>
      </c>
      <c r="Q71" s="100">
        <v>58687</v>
      </c>
      <c r="R71" s="100">
        <v>82199</v>
      </c>
      <c r="S71" s="100">
        <v>82440</v>
      </c>
      <c r="T71" s="100">
        <v>105390</v>
      </c>
      <c r="U71" s="100">
        <v>110219</v>
      </c>
      <c r="V71" s="100">
        <v>116520</v>
      </c>
      <c r="W71" s="100">
        <v>127013</v>
      </c>
      <c r="X71" s="100">
        <v>135211</v>
      </c>
      <c r="Y71" s="100">
        <v>140019</v>
      </c>
      <c r="Z71" s="100">
        <v>157685</v>
      </c>
      <c r="AA71" s="100">
        <v>165774</v>
      </c>
      <c r="AB71" s="100">
        <v>171926</v>
      </c>
      <c r="AC71" s="100">
        <v>172086</v>
      </c>
      <c r="AD71" s="100">
        <v>169957</v>
      </c>
      <c r="AE71" s="115">
        <v>167920</v>
      </c>
    </row>
    <row r="72" spans="1:31" x14ac:dyDescent="0.25">
      <c r="A72" s="167"/>
      <c r="B72" s="64" t="s">
        <v>14</v>
      </c>
      <c r="C72" s="99">
        <v>5196</v>
      </c>
      <c r="D72" s="99">
        <v>5196</v>
      </c>
      <c r="E72" s="99">
        <v>5196</v>
      </c>
      <c r="F72" s="99">
        <v>5196</v>
      </c>
      <c r="G72" s="99">
        <v>5196</v>
      </c>
      <c r="H72" s="100">
        <v>5196</v>
      </c>
      <c r="I72" s="100">
        <v>5904</v>
      </c>
      <c r="J72" s="100">
        <v>6175</v>
      </c>
      <c r="K72" s="100">
        <v>6297</v>
      </c>
      <c r="L72" s="100">
        <v>6483</v>
      </c>
      <c r="M72" s="100">
        <v>6350</v>
      </c>
      <c r="N72" s="100">
        <v>6465</v>
      </c>
      <c r="O72" s="100">
        <v>6648</v>
      </c>
      <c r="P72" s="100">
        <v>6259</v>
      </c>
      <c r="Q72" s="100">
        <v>6652</v>
      </c>
      <c r="R72" s="100">
        <v>6390</v>
      </c>
      <c r="S72" s="100">
        <v>9131</v>
      </c>
      <c r="T72" s="100">
        <v>12900</v>
      </c>
      <c r="U72" s="100">
        <v>16675</v>
      </c>
      <c r="V72" s="100">
        <v>23954</v>
      </c>
      <c r="W72" s="100">
        <v>29612</v>
      </c>
      <c r="X72" s="100">
        <v>41083</v>
      </c>
      <c r="Y72" s="100">
        <v>52245</v>
      </c>
      <c r="Z72" s="100">
        <v>76495</v>
      </c>
      <c r="AA72" s="100">
        <v>98125</v>
      </c>
      <c r="AB72" s="100">
        <v>121318</v>
      </c>
      <c r="AC72" s="100">
        <v>167414</v>
      </c>
      <c r="AD72" s="100">
        <v>225112</v>
      </c>
      <c r="AE72" s="115">
        <v>308125</v>
      </c>
    </row>
    <row r="73" spans="1:31" x14ac:dyDescent="0.25">
      <c r="A73" s="167"/>
      <c r="B73" s="64" t="s">
        <v>83</v>
      </c>
      <c r="C73" s="99">
        <v>0</v>
      </c>
      <c r="D73" s="99">
        <v>0</v>
      </c>
      <c r="E73" s="99">
        <v>0</v>
      </c>
      <c r="F73" s="99">
        <v>0</v>
      </c>
      <c r="G73" s="99">
        <v>0</v>
      </c>
      <c r="H73" s="100">
        <v>0</v>
      </c>
      <c r="I73" s="100">
        <v>0</v>
      </c>
      <c r="J73" s="100">
        <v>0</v>
      </c>
      <c r="K73" s="100">
        <v>0</v>
      </c>
      <c r="L73" s="100">
        <v>0</v>
      </c>
      <c r="M73" s="100">
        <v>0</v>
      </c>
      <c r="N73" s="100">
        <v>0</v>
      </c>
      <c r="O73" s="100">
        <v>0</v>
      </c>
      <c r="P73" s="100">
        <v>0</v>
      </c>
      <c r="Q73" s="100">
        <v>0</v>
      </c>
      <c r="R73" s="100">
        <v>0</v>
      </c>
      <c r="S73" s="100">
        <v>0</v>
      </c>
      <c r="T73" s="100">
        <v>0</v>
      </c>
      <c r="U73" s="100">
        <v>0</v>
      </c>
      <c r="V73" s="100">
        <v>0</v>
      </c>
      <c r="W73" s="100">
        <v>0</v>
      </c>
      <c r="X73" s="100">
        <v>0</v>
      </c>
      <c r="Y73" s="100">
        <v>0</v>
      </c>
      <c r="Z73" s="100">
        <v>0</v>
      </c>
      <c r="AA73" s="100">
        <v>0</v>
      </c>
      <c r="AB73" s="100">
        <v>0</v>
      </c>
      <c r="AC73" s="100">
        <v>0</v>
      </c>
      <c r="AD73" s="100">
        <v>0</v>
      </c>
      <c r="AE73" s="115">
        <v>0</v>
      </c>
    </row>
    <row r="74" spans="1:31" x14ac:dyDescent="0.25">
      <c r="A74" s="173" t="s">
        <v>180</v>
      </c>
      <c r="B74" s="173"/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3"/>
      <c r="R74" s="173"/>
      <c r="S74" s="173"/>
      <c r="T74" s="173"/>
      <c r="U74" s="173"/>
      <c r="V74" s="173"/>
      <c r="W74" s="173"/>
      <c r="X74" s="173"/>
      <c r="Y74" s="173"/>
      <c r="Z74" s="173"/>
      <c r="AA74" s="173"/>
      <c r="AB74" s="173"/>
      <c r="AC74" s="173"/>
      <c r="AD74" s="173"/>
      <c r="AE74" s="173"/>
    </row>
    <row r="75" spans="1:31" x14ac:dyDescent="0.25">
      <c r="A75" s="167" t="s">
        <v>181</v>
      </c>
      <c r="B75" s="64" t="s">
        <v>12</v>
      </c>
      <c r="C75" s="99">
        <v>614309</v>
      </c>
      <c r="D75" s="99">
        <v>614309</v>
      </c>
      <c r="E75" s="99">
        <v>614309</v>
      </c>
      <c r="F75" s="99">
        <v>614309</v>
      </c>
      <c r="G75" s="99">
        <v>614309</v>
      </c>
      <c r="H75" s="100">
        <v>614309</v>
      </c>
      <c r="I75" s="100">
        <v>620502</v>
      </c>
      <c r="J75" s="100">
        <v>614656</v>
      </c>
      <c r="K75" s="100">
        <v>616848</v>
      </c>
      <c r="L75" s="100">
        <v>619355</v>
      </c>
      <c r="M75" s="100">
        <v>611860</v>
      </c>
      <c r="N75" s="100">
        <v>611580</v>
      </c>
      <c r="O75" s="100">
        <v>611210</v>
      </c>
      <c r="P75" s="100">
        <v>618423</v>
      </c>
      <c r="Q75" s="100">
        <v>617304</v>
      </c>
      <c r="R75" s="100">
        <v>616213</v>
      </c>
      <c r="S75" s="100">
        <v>615460</v>
      </c>
      <c r="T75" s="100">
        <v>611159</v>
      </c>
      <c r="U75" s="100">
        <v>599555</v>
      </c>
      <c r="V75" s="100">
        <v>607099</v>
      </c>
      <c r="W75" s="100">
        <v>618677</v>
      </c>
      <c r="X75" s="100">
        <v>623593</v>
      </c>
      <c r="Y75" s="100">
        <v>613396</v>
      </c>
      <c r="Z75" s="100">
        <v>615406</v>
      </c>
      <c r="AA75" s="100">
        <v>631161</v>
      </c>
      <c r="AB75" s="100">
        <v>608573</v>
      </c>
      <c r="AC75" s="100">
        <v>613770</v>
      </c>
      <c r="AD75" s="100">
        <v>618632</v>
      </c>
      <c r="AE75" s="115">
        <v>619380</v>
      </c>
    </row>
    <row r="76" spans="1:31" x14ac:dyDescent="0.25">
      <c r="A76" s="167"/>
      <c r="B76" s="64" t="s">
        <v>13</v>
      </c>
      <c r="C76" s="99">
        <v>2803</v>
      </c>
      <c r="D76" s="99">
        <v>2803</v>
      </c>
      <c r="E76" s="99">
        <v>2803</v>
      </c>
      <c r="F76" s="99">
        <v>2803</v>
      </c>
      <c r="G76" s="99">
        <v>2803</v>
      </c>
      <c r="H76" s="100">
        <v>2803</v>
      </c>
      <c r="I76" s="100">
        <v>4054</v>
      </c>
      <c r="J76" s="100">
        <v>4530</v>
      </c>
      <c r="K76" s="100">
        <v>5526</v>
      </c>
      <c r="L76" s="100">
        <v>5843</v>
      </c>
      <c r="M76" s="100">
        <v>7161</v>
      </c>
      <c r="N76" s="100">
        <v>8045</v>
      </c>
      <c r="O76" s="100">
        <v>9142</v>
      </c>
      <c r="P76" s="100">
        <v>9953</v>
      </c>
      <c r="Q76" s="100">
        <v>11278</v>
      </c>
      <c r="R76" s="100">
        <v>12225</v>
      </c>
      <c r="S76" s="100">
        <v>15077</v>
      </c>
      <c r="T76" s="100">
        <v>16284</v>
      </c>
      <c r="U76" s="100">
        <v>22019</v>
      </c>
      <c r="V76" s="100">
        <v>23047</v>
      </c>
      <c r="W76" s="100">
        <v>25465</v>
      </c>
      <c r="X76" s="100">
        <v>26604</v>
      </c>
      <c r="Y76" s="100">
        <v>28442</v>
      </c>
      <c r="Z76" s="100">
        <v>35683</v>
      </c>
      <c r="AA76" s="100">
        <v>32442</v>
      </c>
      <c r="AB76" s="100">
        <v>38203</v>
      </c>
      <c r="AC76" s="100">
        <v>43549</v>
      </c>
      <c r="AD76" s="100">
        <v>46538</v>
      </c>
      <c r="AE76" s="115">
        <v>49079</v>
      </c>
    </row>
    <row r="77" spans="1:31" x14ac:dyDescent="0.25">
      <c r="A77" s="167"/>
      <c r="B77" s="64" t="s">
        <v>14</v>
      </c>
      <c r="C77" s="99">
        <v>1654</v>
      </c>
      <c r="D77" s="99">
        <v>1654</v>
      </c>
      <c r="E77" s="99">
        <v>1654</v>
      </c>
      <c r="F77" s="99">
        <v>1654</v>
      </c>
      <c r="G77" s="99">
        <v>1654</v>
      </c>
      <c r="H77" s="100">
        <v>1654</v>
      </c>
      <c r="I77" s="100">
        <v>1714</v>
      </c>
      <c r="J77" s="100">
        <v>1745</v>
      </c>
      <c r="K77" s="100">
        <v>1687</v>
      </c>
      <c r="L77" s="100">
        <v>1690</v>
      </c>
      <c r="M77" s="100">
        <v>2083</v>
      </c>
      <c r="N77" s="100">
        <v>2083</v>
      </c>
      <c r="O77" s="100">
        <v>2070</v>
      </c>
      <c r="P77" s="100">
        <v>2082</v>
      </c>
      <c r="Q77" s="100">
        <v>2135</v>
      </c>
      <c r="R77" s="100">
        <v>2469</v>
      </c>
      <c r="S77" s="100">
        <v>2572</v>
      </c>
      <c r="T77" s="100">
        <v>2571</v>
      </c>
      <c r="U77" s="100">
        <v>4343</v>
      </c>
      <c r="V77" s="100">
        <v>4623</v>
      </c>
      <c r="W77" s="100">
        <v>4945</v>
      </c>
      <c r="X77" s="100">
        <v>5307</v>
      </c>
      <c r="Y77" s="100">
        <v>5645</v>
      </c>
      <c r="Z77" s="100">
        <v>6079</v>
      </c>
      <c r="AA77" s="100">
        <v>7425</v>
      </c>
      <c r="AB77" s="100">
        <v>9068</v>
      </c>
      <c r="AC77" s="100">
        <v>11672</v>
      </c>
      <c r="AD77" s="100">
        <v>14809</v>
      </c>
      <c r="AE77" s="115">
        <v>20033</v>
      </c>
    </row>
    <row r="78" spans="1:31" x14ac:dyDescent="0.25">
      <c r="A78" s="167"/>
      <c r="B78" s="64" t="s">
        <v>83</v>
      </c>
      <c r="C78" s="99">
        <v>0</v>
      </c>
      <c r="D78" s="99">
        <v>0</v>
      </c>
      <c r="E78" s="99">
        <v>0</v>
      </c>
      <c r="F78" s="99">
        <v>0</v>
      </c>
      <c r="G78" s="99">
        <v>0</v>
      </c>
      <c r="H78" s="100">
        <v>0</v>
      </c>
      <c r="I78" s="100">
        <v>0</v>
      </c>
      <c r="J78" s="100">
        <v>0</v>
      </c>
      <c r="K78" s="100">
        <v>0</v>
      </c>
      <c r="L78" s="100">
        <v>0</v>
      </c>
      <c r="M78" s="100">
        <v>0</v>
      </c>
      <c r="N78" s="100">
        <v>0</v>
      </c>
      <c r="O78" s="100">
        <v>0</v>
      </c>
      <c r="P78" s="100">
        <v>0</v>
      </c>
      <c r="Q78" s="100">
        <v>0</v>
      </c>
      <c r="R78" s="100">
        <v>0</v>
      </c>
      <c r="S78" s="100">
        <v>0</v>
      </c>
      <c r="T78" s="100">
        <v>0</v>
      </c>
      <c r="U78" s="100">
        <v>0</v>
      </c>
      <c r="V78" s="100">
        <v>0</v>
      </c>
      <c r="W78" s="100">
        <v>0</v>
      </c>
      <c r="X78" s="100">
        <v>0</v>
      </c>
      <c r="Y78" s="100">
        <v>0</v>
      </c>
      <c r="Z78" s="100">
        <v>0</v>
      </c>
      <c r="AA78" s="100">
        <v>0</v>
      </c>
      <c r="AB78" s="100">
        <v>0</v>
      </c>
      <c r="AC78" s="100">
        <v>0</v>
      </c>
      <c r="AD78" s="100">
        <v>0</v>
      </c>
      <c r="AE78" s="115">
        <v>0</v>
      </c>
    </row>
    <row r="79" spans="1:31" x14ac:dyDescent="0.25">
      <c r="A79" s="168" t="s">
        <v>182</v>
      </c>
      <c r="B79" s="64" t="s">
        <v>12</v>
      </c>
      <c r="C79" s="99">
        <v>175807826</v>
      </c>
      <c r="D79" s="99">
        <v>175807826</v>
      </c>
      <c r="E79" s="99">
        <v>175807826</v>
      </c>
      <c r="F79" s="99">
        <v>175807826</v>
      </c>
      <c r="G79" s="99">
        <v>175807826</v>
      </c>
      <c r="H79" s="100">
        <v>175807826</v>
      </c>
      <c r="I79" s="100">
        <v>179960723</v>
      </c>
      <c r="J79" s="100">
        <v>183153191</v>
      </c>
      <c r="K79" s="100">
        <v>186130036</v>
      </c>
      <c r="L79" s="100">
        <v>188593766</v>
      </c>
      <c r="M79" s="100">
        <v>192403683</v>
      </c>
      <c r="N79" s="100">
        <v>197055973</v>
      </c>
      <c r="O79" s="100">
        <v>201530856</v>
      </c>
      <c r="P79" s="100">
        <v>206317391</v>
      </c>
      <c r="Q79" s="100">
        <v>208772790</v>
      </c>
      <c r="R79" s="100">
        <v>212873554</v>
      </c>
      <c r="S79" s="100">
        <v>217091964</v>
      </c>
      <c r="T79" s="100">
        <v>219023668</v>
      </c>
      <c r="U79" s="100">
        <v>221230717</v>
      </c>
      <c r="V79" s="100">
        <v>224342237</v>
      </c>
      <c r="W79" s="100">
        <v>228236064</v>
      </c>
      <c r="X79" s="100">
        <v>232760565</v>
      </c>
      <c r="Y79" s="100">
        <v>238553938</v>
      </c>
      <c r="Z79" s="100">
        <v>242507151</v>
      </c>
      <c r="AA79" s="100">
        <v>246922936</v>
      </c>
      <c r="AB79" s="100">
        <v>248847531</v>
      </c>
      <c r="AC79" s="100">
        <v>250134379</v>
      </c>
      <c r="AD79" s="100">
        <v>250513956</v>
      </c>
      <c r="AE79" s="115">
        <v>252053030</v>
      </c>
    </row>
    <row r="80" spans="1:31" x14ac:dyDescent="0.25">
      <c r="A80" s="168"/>
      <c r="B80" s="64" t="s">
        <v>13</v>
      </c>
      <c r="C80" s="99">
        <v>289200</v>
      </c>
      <c r="D80" s="99">
        <v>289200</v>
      </c>
      <c r="E80" s="99">
        <v>289200</v>
      </c>
      <c r="F80" s="99">
        <v>289200</v>
      </c>
      <c r="G80" s="99">
        <v>289200</v>
      </c>
      <c r="H80" s="100">
        <v>289200</v>
      </c>
      <c r="I80" s="100">
        <v>338214</v>
      </c>
      <c r="J80" s="100">
        <v>339532</v>
      </c>
      <c r="K80" s="100">
        <v>349364</v>
      </c>
      <c r="L80" s="100">
        <v>335602</v>
      </c>
      <c r="M80" s="100">
        <v>420862</v>
      </c>
      <c r="N80" s="100">
        <v>483242</v>
      </c>
      <c r="O80" s="100">
        <v>553242</v>
      </c>
      <c r="P80" s="100">
        <v>605633</v>
      </c>
      <c r="Q80" s="100">
        <v>764039</v>
      </c>
      <c r="R80" s="100">
        <v>849985</v>
      </c>
      <c r="S80" s="100">
        <v>874684</v>
      </c>
      <c r="T80" s="100">
        <v>934994</v>
      </c>
      <c r="U80" s="100">
        <v>1004586</v>
      </c>
      <c r="V80" s="100">
        <v>1106815</v>
      </c>
      <c r="W80" s="100">
        <v>1161042</v>
      </c>
      <c r="X80" s="100">
        <v>1186655</v>
      </c>
      <c r="Y80" s="100">
        <v>1209398</v>
      </c>
      <c r="Z80" s="100">
        <v>1257688</v>
      </c>
      <c r="AA80" s="100">
        <v>1299808</v>
      </c>
      <c r="AB80" s="100">
        <v>1332591</v>
      </c>
      <c r="AC80" s="100">
        <v>1326853</v>
      </c>
      <c r="AD80" s="100">
        <v>1314245</v>
      </c>
      <c r="AE80" s="115">
        <v>1324235</v>
      </c>
    </row>
    <row r="81" spans="1:31" x14ac:dyDescent="0.25">
      <c r="A81" s="168"/>
      <c r="B81" s="64" t="s">
        <v>14</v>
      </c>
      <c r="C81" s="99">
        <v>0</v>
      </c>
      <c r="D81" s="99">
        <v>0</v>
      </c>
      <c r="E81" s="99">
        <v>0</v>
      </c>
      <c r="F81" s="99">
        <v>0</v>
      </c>
      <c r="G81" s="99">
        <v>0</v>
      </c>
      <c r="H81" s="100">
        <v>0</v>
      </c>
      <c r="I81" s="100">
        <v>0</v>
      </c>
      <c r="J81" s="100">
        <v>0</v>
      </c>
      <c r="K81" s="100">
        <v>9</v>
      </c>
      <c r="L81" s="100">
        <v>13</v>
      </c>
      <c r="M81" s="100">
        <v>15</v>
      </c>
      <c r="N81" s="100">
        <v>50</v>
      </c>
      <c r="O81" s="100">
        <v>76</v>
      </c>
      <c r="P81" s="100">
        <v>4109</v>
      </c>
      <c r="Q81" s="100">
        <v>4826</v>
      </c>
      <c r="R81" s="100">
        <v>10790</v>
      </c>
      <c r="S81" s="100">
        <v>24790</v>
      </c>
      <c r="T81" s="100">
        <v>33975</v>
      </c>
      <c r="U81" s="100">
        <v>54080</v>
      </c>
      <c r="V81" s="100">
        <v>80852</v>
      </c>
      <c r="W81" s="100">
        <v>121438</v>
      </c>
      <c r="X81" s="100">
        <v>172975</v>
      </c>
      <c r="Y81" s="100">
        <v>259104</v>
      </c>
      <c r="Z81" s="100">
        <v>394115</v>
      </c>
      <c r="AA81" s="100">
        <v>640507</v>
      </c>
      <c r="AB81" s="100">
        <v>1153299</v>
      </c>
      <c r="AC81" s="100">
        <v>2049970</v>
      </c>
      <c r="AD81" s="100">
        <v>3039112</v>
      </c>
      <c r="AE81" s="115">
        <v>4306401</v>
      </c>
    </row>
    <row r="82" spans="1:31" x14ac:dyDescent="0.25">
      <c r="A82" s="168"/>
      <c r="B82" s="108" t="s">
        <v>83</v>
      </c>
      <c r="C82" s="116">
        <v>0</v>
      </c>
      <c r="D82" s="116">
        <v>0</v>
      </c>
      <c r="E82" s="116">
        <v>0</v>
      </c>
      <c r="F82" s="116">
        <v>0</v>
      </c>
      <c r="G82" s="116">
        <v>0</v>
      </c>
      <c r="H82" s="117">
        <v>0</v>
      </c>
      <c r="I82" s="117">
        <v>0</v>
      </c>
      <c r="J82" s="117">
        <v>0</v>
      </c>
      <c r="K82" s="117">
        <v>0</v>
      </c>
      <c r="L82" s="117">
        <v>0</v>
      </c>
      <c r="M82" s="117">
        <v>0</v>
      </c>
      <c r="N82" s="117">
        <v>0</v>
      </c>
      <c r="O82" s="117">
        <v>0</v>
      </c>
      <c r="P82" s="117">
        <v>130</v>
      </c>
      <c r="Q82" s="117">
        <v>160</v>
      </c>
      <c r="R82" s="117">
        <v>378</v>
      </c>
      <c r="S82" s="117">
        <v>918</v>
      </c>
      <c r="T82" s="117">
        <v>9376</v>
      </c>
      <c r="U82" s="117">
        <v>48400</v>
      </c>
      <c r="V82" s="117">
        <v>94991</v>
      </c>
      <c r="W82" s="117">
        <v>170532</v>
      </c>
      <c r="X82" s="117">
        <v>228307</v>
      </c>
      <c r="Y82" s="117">
        <v>296493</v>
      </c>
      <c r="Z82" s="117">
        <v>395630</v>
      </c>
      <c r="AA82" s="117">
        <v>533349</v>
      </c>
      <c r="AB82" s="117">
        <v>1027123</v>
      </c>
      <c r="AC82" s="117">
        <v>1925274</v>
      </c>
      <c r="AD82" s="117">
        <v>2819072</v>
      </c>
      <c r="AE82" s="118">
        <v>3515624</v>
      </c>
    </row>
    <row r="83" spans="1:31" x14ac:dyDescent="0.25">
      <c r="A83" s="109"/>
      <c r="C83" s="110"/>
    </row>
    <row r="84" spans="1:31" x14ac:dyDescent="0.25">
      <c r="A84" s="109"/>
      <c r="C84" s="110"/>
    </row>
    <row r="85" spans="1:31" x14ac:dyDescent="0.25">
      <c r="A85" s="109"/>
      <c r="C85" s="110"/>
    </row>
    <row r="89" spans="1:31" x14ac:dyDescent="0.25">
      <c r="A89" s="119"/>
      <c r="B89" s="120"/>
      <c r="C89" s="120">
        <v>1995</v>
      </c>
      <c r="D89" s="120">
        <v>2015</v>
      </c>
      <c r="E89" s="120">
        <v>2016</v>
      </c>
      <c r="F89" s="120">
        <v>2017</v>
      </c>
      <c r="G89" s="120">
        <v>2018</v>
      </c>
      <c r="H89" s="120">
        <v>2019</v>
      </c>
      <c r="I89" s="120">
        <v>2020</v>
      </c>
      <c r="J89" s="120">
        <v>2021</v>
      </c>
      <c r="K89" s="120">
        <v>2022</v>
      </c>
      <c r="L89" s="121">
        <v>2023</v>
      </c>
    </row>
    <row r="90" spans="1:31" x14ac:dyDescent="0.25">
      <c r="A90" s="174" t="s">
        <v>183</v>
      </c>
      <c r="B90" s="122" t="s">
        <v>184</v>
      </c>
      <c r="C90" s="123">
        <v>0.85</v>
      </c>
      <c r="D90" s="123">
        <v>0.85</v>
      </c>
      <c r="E90" s="123">
        <v>0.84</v>
      </c>
      <c r="F90" s="123">
        <v>0.8</v>
      </c>
      <c r="G90" s="123">
        <v>0.6</v>
      </c>
      <c r="H90" s="124">
        <v>0.4</v>
      </c>
      <c r="I90" s="124">
        <v>0.15</v>
      </c>
      <c r="J90" s="124">
        <v>0.05</v>
      </c>
      <c r="K90" s="124">
        <v>0.02</v>
      </c>
      <c r="L90" s="125">
        <v>0</v>
      </c>
    </row>
    <row r="91" spans="1:31" x14ac:dyDescent="0.25">
      <c r="A91" s="174"/>
      <c r="B91" s="122" t="s">
        <v>51</v>
      </c>
      <c r="C91" s="126">
        <v>0.01</v>
      </c>
      <c r="D91" s="126">
        <v>0.01</v>
      </c>
      <c r="E91" s="124">
        <v>0.01</v>
      </c>
      <c r="F91" s="124">
        <v>0.01</v>
      </c>
      <c r="G91" s="124">
        <v>0.02</v>
      </c>
      <c r="H91" s="124">
        <v>0.03</v>
      </c>
      <c r="I91" s="124">
        <v>0.05</v>
      </c>
      <c r="J91" s="124">
        <v>0.15</v>
      </c>
      <c r="K91" s="124">
        <v>0.28000000000000003</v>
      </c>
      <c r="L91" s="127">
        <v>0.32</v>
      </c>
    </row>
    <row r="92" spans="1:31" x14ac:dyDescent="0.25">
      <c r="A92" s="174"/>
      <c r="B92" s="122" t="s">
        <v>53</v>
      </c>
      <c r="C92" s="124">
        <v>0</v>
      </c>
      <c r="D92" s="124">
        <v>0</v>
      </c>
      <c r="E92" s="124">
        <v>0</v>
      </c>
      <c r="F92" s="124">
        <v>0.05</v>
      </c>
      <c r="G92" s="124">
        <v>0.2</v>
      </c>
      <c r="H92" s="123">
        <v>0.4</v>
      </c>
      <c r="I92" s="123">
        <v>0.55000000000000004</v>
      </c>
      <c r="J92" s="124">
        <v>0.4</v>
      </c>
      <c r="K92" s="124">
        <v>0.2</v>
      </c>
      <c r="L92" s="125">
        <v>0.15</v>
      </c>
    </row>
    <row r="93" spans="1:31" x14ac:dyDescent="0.25">
      <c r="A93" s="174"/>
      <c r="B93" s="122" t="s">
        <v>52</v>
      </c>
      <c r="C93" s="124">
        <v>0</v>
      </c>
      <c r="D93" s="124">
        <v>0</v>
      </c>
      <c r="E93" s="124">
        <v>0</v>
      </c>
      <c r="F93" s="124">
        <v>0</v>
      </c>
      <c r="G93" s="124">
        <v>0</v>
      </c>
      <c r="H93" s="124">
        <v>0.02</v>
      </c>
      <c r="I93" s="124">
        <v>0.1</v>
      </c>
      <c r="J93" s="124">
        <v>0.25</v>
      </c>
      <c r="K93" s="123">
        <v>0.38</v>
      </c>
      <c r="L93" s="127">
        <v>0.43</v>
      </c>
    </row>
    <row r="94" spans="1:31" x14ac:dyDescent="0.25">
      <c r="A94" s="174"/>
      <c r="B94" s="128" t="s">
        <v>54</v>
      </c>
      <c r="C94" s="129">
        <v>0.14000000000000001</v>
      </c>
      <c r="D94" s="129">
        <v>0.14000000000000001</v>
      </c>
      <c r="E94" s="129">
        <v>0.15</v>
      </c>
      <c r="F94" s="129">
        <v>0.14000000000000001</v>
      </c>
      <c r="G94" s="129">
        <v>0.18</v>
      </c>
      <c r="H94" s="129">
        <v>0.15</v>
      </c>
      <c r="I94" s="129">
        <v>0.15</v>
      </c>
      <c r="J94" s="129">
        <v>0.15</v>
      </c>
      <c r="K94" s="129">
        <v>0.12</v>
      </c>
      <c r="L94" s="130">
        <v>0.1</v>
      </c>
    </row>
    <row r="95" spans="1:31" x14ac:dyDescent="0.25">
      <c r="A95" s="174" t="s">
        <v>185</v>
      </c>
      <c r="B95" s="122" t="s">
        <v>184</v>
      </c>
      <c r="C95" s="131">
        <v>0.95</v>
      </c>
      <c r="D95" s="131">
        <v>0.85</v>
      </c>
      <c r="E95" s="131">
        <v>0.8</v>
      </c>
      <c r="F95" s="131">
        <v>0.6</v>
      </c>
      <c r="G95" s="131">
        <v>0.4</v>
      </c>
      <c r="H95" s="131">
        <v>0.2</v>
      </c>
      <c r="I95" s="131">
        <v>0.05</v>
      </c>
      <c r="J95" s="131">
        <v>0</v>
      </c>
      <c r="K95" s="131">
        <v>0</v>
      </c>
      <c r="L95" s="132">
        <v>0</v>
      </c>
    </row>
    <row r="96" spans="1:31" x14ac:dyDescent="0.25">
      <c r="A96" s="174"/>
      <c r="B96" s="122" t="s">
        <v>51</v>
      </c>
      <c r="C96" s="131">
        <v>0.05</v>
      </c>
      <c r="D96" s="131">
        <v>0.15</v>
      </c>
      <c r="E96" s="131">
        <v>0.2</v>
      </c>
      <c r="F96" s="131">
        <v>0.25</v>
      </c>
      <c r="G96" s="131">
        <v>0.3</v>
      </c>
      <c r="H96" s="131">
        <v>0.35</v>
      </c>
      <c r="I96" s="131">
        <v>0.4</v>
      </c>
      <c r="J96" s="131">
        <v>0.45</v>
      </c>
      <c r="K96" s="131">
        <v>0.5</v>
      </c>
      <c r="L96" s="132">
        <v>0.55000000000000004</v>
      </c>
    </row>
    <row r="97" spans="1:12" x14ac:dyDescent="0.25">
      <c r="A97" s="174"/>
      <c r="B97" s="122" t="s">
        <v>53</v>
      </c>
      <c r="C97" s="131">
        <v>0</v>
      </c>
      <c r="D97" s="131">
        <v>0</v>
      </c>
      <c r="E97" s="131">
        <v>0</v>
      </c>
      <c r="F97" s="131">
        <v>0.15</v>
      </c>
      <c r="G97" s="131">
        <v>0.3</v>
      </c>
      <c r="H97" s="131">
        <v>0.45</v>
      </c>
      <c r="I97" s="131">
        <v>0.5</v>
      </c>
      <c r="J97" s="131">
        <v>0.45</v>
      </c>
      <c r="K97" s="131">
        <v>0.35</v>
      </c>
      <c r="L97" s="132">
        <v>0.25</v>
      </c>
    </row>
    <row r="98" spans="1:12" x14ac:dyDescent="0.25">
      <c r="A98" s="174"/>
      <c r="B98" s="122" t="s">
        <v>52</v>
      </c>
      <c r="C98" s="131">
        <v>0</v>
      </c>
      <c r="D98" s="131">
        <v>0</v>
      </c>
      <c r="E98" s="131">
        <v>0</v>
      </c>
      <c r="F98" s="131">
        <v>0</v>
      </c>
      <c r="G98" s="131">
        <v>0</v>
      </c>
      <c r="H98" s="131">
        <v>0</v>
      </c>
      <c r="I98" s="131">
        <v>0.05</v>
      </c>
      <c r="J98" s="131">
        <v>0.1</v>
      </c>
      <c r="K98" s="131">
        <v>0.15</v>
      </c>
      <c r="L98" s="132">
        <v>0.2</v>
      </c>
    </row>
    <row r="99" spans="1:12" x14ac:dyDescent="0.25">
      <c r="A99" s="174"/>
      <c r="B99" s="128" t="s">
        <v>54</v>
      </c>
      <c r="C99" s="131">
        <v>0</v>
      </c>
      <c r="D99" s="131">
        <v>0</v>
      </c>
      <c r="E99" s="131">
        <v>0</v>
      </c>
      <c r="F99" s="131">
        <v>0</v>
      </c>
      <c r="G99" s="131">
        <v>0</v>
      </c>
      <c r="H99" s="131">
        <v>0</v>
      </c>
      <c r="I99" s="131">
        <v>0</v>
      </c>
      <c r="J99" s="131">
        <v>0</v>
      </c>
      <c r="K99" s="131">
        <v>0</v>
      </c>
      <c r="L99" s="132">
        <v>0</v>
      </c>
    </row>
    <row r="100" spans="1:12" x14ac:dyDescent="0.25">
      <c r="A100" s="174" t="s">
        <v>186</v>
      </c>
      <c r="B100" s="122" t="s">
        <v>184</v>
      </c>
      <c r="C100" s="131">
        <v>0.95</v>
      </c>
      <c r="D100" s="131">
        <v>0.85</v>
      </c>
      <c r="E100" s="131">
        <v>0.8</v>
      </c>
      <c r="F100" s="131">
        <v>0.6</v>
      </c>
      <c r="G100" s="131">
        <v>0.4</v>
      </c>
      <c r="H100" s="131">
        <v>0.2</v>
      </c>
      <c r="I100" s="131">
        <v>0.05</v>
      </c>
      <c r="J100" s="131">
        <v>0</v>
      </c>
      <c r="K100" s="131">
        <v>0</v>
      </c>
      <c r="L100" s="132">
        <v>0</v>
      </c>
    </row>
    <row r="101" spans="1:12" x14ac:dyDescent="0.25">
      <c r="A101" s="174"/>
      <c r="B101" s="122" t="s">
        <v>51</v>
      </c>
      <c r="C101" s="131">
        <v>0.05</v>
      </c>
      <c r="D101" s="131">
        <v>0.05</v>
      </c>
      <c r="E101" s="131">
        <v>0.05</v>
      </c>
      <c r="F101" s="131">
        <v>0.05</v>
      </c>
      <c r="G101" s="131">
        <v>0.05</v>
      </c>
      <c r="H101" s="131">
        <v>0.05</v>
      </c>
      <c r="I101" s="131">
        <v>0.05</v>
      </c>
      <c r="J101" s="131">
        <v>0.1</v>
      </c>
      <c r="K101" s="131">
        <v>0.12</v>
      </c>
      <c r="L101" s="132">
        <v>0.15</v>
      </c>
    </row>
    <row r="102" spans="1:12" x14ac:dyDescent="0.25">
      <c r="A102" s="174"/>
      <c r="B102" s="122" t="s">
        <v>53</v>
      </c>
      <c r="C102" s="131">
        <v>0</v>
      </c>
      <c r="D102" s="131">
        <v>0.1</v>
      </c>
      <c r="E102" s="131">
        <v>0.15</v>
      </c>
      <c r="F102" s="131">
        <v>0.35</v>
      </c>
      <c r="G102" s="131">
        <v>0.55000000000000004</v>
      </c>
      <c r="H102" s="131">
        <v>0.75</v>
      </c>
      <c r="I102" s="131">
        <v>0.85</v>
      </c>
      <c r="J102" s="131">
        <v>0.7</v>
      </c>
      <c r="K102" s="131">
        <v>0.5</v>
      </c>
      <c r="L102" s="132">
        <v>0.35</v>
      </c>
    </row>
    <row r="103" spans="1:12" x14ac:dyDescent="0.25">
      <c r="A103" s="174"/>
      <c r="B103" s="122" t="s">
        <v>52</v>
      </c>
      <c r="C103" s="131">
        <v>0</v>
      </c>
      <c r="D103" s="131">
        <v>0</v>
      </c>
      <c r="E103" s="131">
        <v>0</v>
      </c>
      <c r="F103" s="131">
        <v>0</v>
      </c>
      <c r="G103" s="131">
        <v>0</v>
      </c>
      <c r="H103" s="131">
        <v>0</v>
      </c>
      <c r="I103" s="131">
        <v>0.05</v>
      </c>
      <c r="J103" s="131">
        <v>0.2</v>
      </c>
      <c r="K103" s="131">
        <v>0.38</v>
      </c>
      <c r="L103" s="132">
        <v>0.5</v>
      </c>
    </row>
    <row r="104" spans="1:12" x14ac:dyDescent="0.25">
      <c r="A104" s="174"/>
      <c r="B104" s="128" t="s">
        <v>54</v>
      </c>
      <c r="C104" s="131">
        <v>0</v>
      </c>
      <c r="D104" s="131">
        <v>0</v>
      </c>
      <c r="E104" s="131">
        <v>0</v>
      </c>
      <c r="F104" s="131">
        <v>0</v>
      </c>
      <c r="G104" s="131">
        <v>0</v>
      </c>
      <c r="H104" s="131">
        <v>0</v>
      </c>
      <c r="I104" s="131">
        <v>0</v>
      </c>
      <c r="J104" s="131">
        <v>0</v>
      </c>
      <c r="K104" s="131">
        <v>0</v>
      </c>
      <c r="L104" s="132">
        <v>0</v>
      </c>
    </row>
    <row r="105" spans="1:12" x14ac:dyDescent="0.25">
      <c r="A105" s="175" t="s">
        <v>187</v>
      </c>
      <c r="B105" s="122" t="s">
        <v>184</v>
      </c>
      <c r="C105" s="131">
        <v>0.95</v>
      </c>
      <c r="D105" s="131">
        <v>0.85</v>
      </c>
      <c r="E105" s="131">
        <v>0.8</v>
      </c>
      <c r="F105" s="131">
        <v>0.6</v>
      </c>
      <c r="G105" s="131">
        <v>0.4</v>
      </c>
      <c r="H105" s="131">
        <v>0.2</v>
      </c>
      <c r="I105" s="131">
        <v>0.05</v>
      </c>
      <c r="J105" s="131">
        <v>0</v>
      </c>
      <c r="K105" s="131">
        <v>0</v>
      </c>
      <c r="L105" s="132">
        <v>0</v>
      </c>
    </row>
    <row r="106" spans="1:12" x14ac:dyDescent="0.25">
      <c r="A106" s="175"/>
      <c r="B106" s="122" t="s">
        <v>51</v>
      </c>
      <c r="C106" s="131">
        <v>0.05</v>
      </c>
      <c r="D106" s="131">
        <v>0.05</v>
      </c>
      <c r="E106" s="131">
        <v>0.05</v>
      </c>
      <c r="F106" s="131">
        <v>0.05</v>
      </c>
      <c r="G106" s="131">
        <v>0.05</v>
      </c>
      <c r="H106" s="131">
        <v>0.05</v>
      </c>
      <c r="I106" s="131">
        <v>0.05</v>
      </c>
      <c r="J106" s="131">
        <v>0.05</v>
      </c>
      <c r="K106" s="131">
        <v>0.08</v>
      </c>
      <c r="L106" s="132">
        <v>0.1</v>
      </c>
    </row>
    <row r="107" spans="1:12" x14ac:dyDescent="0.25">
      <c r="A107" s="175"/>
      <c r="B107" s="122" t="s">
        <v>53</v>
      </c>
      <c r="C107" s="131">
        <v>0</v>
      </c>
      <c r="D107" s="131">
        <v>0.1</v>
      </c>
      <c r="E107" s="131">
        <v>0.15</v>
      </c>
      <c r="F107" s="131">
        <v>0.35</v>
      </c>
      <c r="G107" s="131">
        <v>0.55000000000000004</v>
      </c>
      <c r="H107" s="131">
        <v>0.75</v>
      </c>
      <c r="I107" s="131">
        <v>0.85</v>
      </c>
      <c r="J107" s="131">
        <v>0.7</v>
      </c>
      <c r="K107" s="131">
        <v>0.5</v>
      </c>
      <c r="L107" s="132">
        <v>0.35</v>
      </c>
    </row>
    <row r="108" spans="1:12" x14ac:dyDescent="0.25">
      <c r="A108" s="175"/>
      <c r="B108" s="122" t="s">
        <v>52</v>
      </c>
      <c r="C108" s="131">
        <v>0</v>
      </c>
      <c r="D108" s="131">
        <v>0</v>
      </c>
      <c r="E108" s="131">
        <v>0</v>
      </c>
      <c r="F108" s="131">
        <v>0</v>
      </c>
      <c r="G108" s="131">
        <v>0</v>
      </c>
      <c r="H108" s="131">
        <v>0</v>
      </c>
      <c r="I108" s="131">
        <v>0.05</v>
      </c>
      <c r="J108" s="131">
        <v>0.25</v>
      </c>
      <c r="K108" s="131">
        <v>0.42</v>
      </c>
      <c r="L108" s="132">
        <v>0.55000000000000004</v>
      </c>
    </row>
    <row r="109" spans="1:12" x14ac:dyDescent="0.25">
      <c r="A109" s="175"/>
      <c r="B109" s="128" t="s">
        <v>54</v>
      </c>
      <c r="C109" s="133">
        <v>0</v>
      </c>
      <c r="D109" s="133">
        <v>0</v>
      </c>
      <c r="E109" s="133">
        <v>0</v>
      </c>
      <c r="F109" s="133">
        <v>0</v>
      </c>
      <c r="G109" s="133">
        <v>0</v>
      </c>
      <c r="H109" s="133">
        <v>0</v>
      </c>
      <c r="I109" s="133">
        <v>0</v>
      </c>
      <c r="J109" s="133">
        <v>0</v>
      </c>
      <c r="K109" s="133">
        <v>0</v>
      </c>
      <c r="L109" s="134">
        <v>0</v>
      </c>
    </row>
    <row r="113" spans="1:3" x14ac:dyDescent="0.25">
      <c r="A113" s="135" t="s">
        <v>149</v>
      </c>
      <c r="B113" s="135"/>
      <c r="C113" s="135"/>
    </row>
    <row r="114" spans="1:3" x14ac:dyDescent="0.25">
      <c r="A114" s="136" t="s">
        <v>150</v>
      </c>
      <c r="B114" s="137">
        <v>4.7200000000000002E-3</v>
      </c>
      <c r="C114" s="137" t="s">
        <v>151</v>
      </c>
    </row>
    <row r="115" spans="1:3" x14ac:dyDescent="0.25">
      <c r="A115" s="136" t="s">
        <v>152</v>
      </c>
      <c r="B115" s="137">
        <v>0</v>
      </c>
      <c r="C115" s="137" t="s">
        <v>151</v>
      </c>
    </row>
    <row r="116" spans="1:3" x14ac:dyDescent="0.25">
      <c r="A116" s="136" t="s">
        <v>153</v>
      </c>
      <c r="B116" s="137">
        <v>1.2789999999999999</v>
      </c>
      <c r="C116" s="137" t="s">
        <v>151</v>
      </c>
    </row>
    <row r="117" spans="1:3" x14ac:dyDescent="0.25">
      <c r="A117" s="136" t="s">
        <v>154</v>
      </c>
      <c r="B117" s="137">
        <v>1.711E-2</v>
      </c>
      <c r="C117" s="137" t="s">
        <v>151</v>
      </c>
    </row>
    <row r="118" spans="1:3" x14ac:dyDescent="0.25">
      <c r="A118" s="136" t="s">
        <v>155</v>
      </c>
      <c r="B118" s="137">
        <v>0</v>
      </c>
      <c r="C118" s="137" t="s">
        <v>151</v>
      </c>
    </row>
  </sheetData>
  <mergeCells count="25">
    <mergeCell ref="A79:A82"/>
    <mergeCell ref="A90:A94"/>
    <mergeCell ref="A95:A99"/>
    <mergeCell ref="A100:A104"/>
    <mergeCell ref="A105:A109"/>
    <mergeCell ref="A65:AE65"/>
    <mergeCell ref="A66:A69"/>
    <mergeCell ref="A70:A73"/>
    <mergeCell ref="A74:AE74"/>
    <mergeCell ref="A75:A78"/>
    <mergeCell ref="A45:A48"/>
    <mergeCell ref="A49:A52"/>
    <mergeCell ref="A53:A56"/>
    <mergeCell ref="A57:AE57"/>
    <mergeCell ref="A58:A61"/>
    <mergeCell ref="A27:A30"/>
    <mergeCell ref="A31:A34"/>
    <mergeCell ref="A35:A38"/>
    <mergeCell ref="A39:A42"/>
    <mergeCell ref="A44:AE44"/>
    <mergeCell ref="A10:AE10"/>
    <mergeCell ref="B11:B17"/>
    <mergeCell ref="A18:AE18"/>
    <mergeCell ref="B19:B24"/>
    <mergeCell ref="A25:AE2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DE127"/>
  <sheetViews>
    <sheetView topLeftCell="A72" zoomScale="85" zoomScaleNormal="85" workbookViewId="0">
      <selection activeCell="A23" activeCellId="1" sqref="C12:G17 A23"/>
    </sheetView>
  </sheetViews>
  <sheetFormatPr baseColWidth="10" defaultColWidth="11.5703125" defaultRowHeight="15" x14ac:dyDescent="0.25"/>
  <cols>
    <col min="1" max="1" width="47.7109375" customWidth="1"/>
    <col min="2" max="2" width="16.28515625" customWidth="1"/>
    <col min="3" max="3" width="14.85546875" customWidth="1"/>
    <col min="8" max="8" width="11.85546875" customWidth="1"/>
  </cols>
  <sheetData>
    <row r="1" spans="1:109" s="53" customFormat="1" ht="31.5" customHeight="1" x14ac:dyDescent="0.35">
      <c r="A1" s="52" t="s">
        <v>64</v>
      </c>
      <c r="B1" s="52"/>
      <c r="C1" s="52"/>
      <c r="D1" s="52"/>
      <c r="E1" s="52"/>
    </row>
    <row r="2" spans="1:109" s="54" customFormat="1" x14ac:dyDescent="0.25">
      <c r="A2" s="54" t="s">
        <v>65</v>
      </c>
    </row>
    <row r="3" spans="1:109" s="74" customFormat="1" x14ac:dyDescent="0.25">
      <c r="A3" s="55"/>
      <c r="B3" s="56" t="s">
        <v>66</v>
      </c>
      <c r="C3" s="57" t="s">
        <v>157</v>
      </c>
    </row>
    <row r="4" spans="1:109" s="74" customFormat="1" x14ac:dyDescent="0.25">
      <c r="A4" s="58" t="s">
        <v>158</v>
      </c>
      <c r="B4" s="64">
        <v>0.39350260607798998</v>
      </c>
      <c r="C4" s="64">
        <v>-1.10516667780001E-2</v>
      </c>
    </row>
    <row r="5" spans="1:109" s="7" customFormat="1" x14ac:dyDescent="0.25">
      <c r="A5" s="58" t="s">
        <v>188</v>
      </c>
      <c r="B5" s="138"/>
      <c r="C5" s="64">
        <v>3.9773691243187201</v>
      </c>
      <c r="CM5" s="76"/>
    </row>
    <row r="6" spans="1:109" s="7" customFormat="1" x14ac:dyDescent="0.25">
      <c r="A6" s="139" t="s">
        <v>159</v>
      </c>
      <c r="B6" s="64">
        <v>0.708469069137734</v>
      </c>
      <c r="C6" s="64">
        <v>0.876056414122109</v>
      </c>
      <c r="CM6" s="77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76"/>
    </row>
    <row r="7" spans="1:109" s="7" customFormat="1" x14ac:dyDescent="0.25">
      <c r="A7" s="139" t="s">
        <v>160</v>
      </c>
      <c r="B7" s="64">
        <v>-5.4321643019749604E-3</v>
      </c>
      <c r="C7" s="64">
        <v>-1.2099053842619599E-2</v>
      </c>
      <c r="CM7" s="77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76"/>
    </row>
    <row r="8" spans="1:109" s="7" customFormat="1" x14ac:dyDescent="0.25">
      <c r="A8" s="139" t="s">
        <v>161</v>
      </c>
      <c r="B8" s="140">
        <v>1997</v>
      </c>
      <c r="C8" s="140">
        <v>1995</v>
      </c>
      <c r="CM8" s="77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76"/>
    </row>
    <row r="9" spans="1:109" s="7" customFormat="1" x14ac:dyDescent="0.25">
      <c r="A9" s="141" t="s">
        <v>70</v>
      </c>
      <c r="B9" s="96">
        <v>2023</v>
      </c>
      <c r="DE9" s="76"/>
    </row>
    <row r="10" spans="1:109" s="7" customFormat="1" x14ac:dyDescent="0.25">
      <c r="A10" s="183" t="s">
        <v>71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DE10" s="76"/>
    </row>
    <row r="11" spans="1:109" s="6" customFormat="1" x14ac:dyDescent="0.25">
      <c r="A11" s="58" t="s">
        <v>72</v>
      </c>
      <c r="B11" s="64">
        <v>1995</v>
      </c>
      <c r="C11" s="64">
        <v>1996</v>
      </c>
      <c r="D11" s="64">
        <v>1997</v>
      </c>
      <c r="E11" s="64">
        <v>1998</v>
      </c>
      <c r="F11" s="64">
        <v>1999</v>
      </c>
      <c r="G11" s="64">
        <v>2000</v>
      </c>
      <c r="H11" s="64">
        <v>2001</v>
      </c>
      <c r="I11" s="64">
        <v>2002</v>
      </c>
      <c r="J11" s="64">
        <v>2003</v>
      </c>
      <c r="K11" s="64">
        <v>2004</v>
      </c>
      <c r="L11" s="64">
        <v>2005</v>
      </c>
      <c r="M11" s="64">
        <v>2006</v>
      </c>
      <c r="N11" s="64">
        <v>2007</v>
      </c>
      <c r="O11" s="64">
        <v>2008</v>
      </c>
      <c r="P11" s="64">
        <v>2009</v>
      </c>
      <c r="Q11" s="64">
        <v>2010</v>
      </c>
      <c r="R11" s="64">
        <v>2011</v>
      </c>
      <c r="S11" s="64">
        <v>2012</v>
      </c>
      <c r="T11" s="64">
        <v>2013</v>
      </c>
      <c r="U11" s="64">
        <v>2014</v>
      </c>
      <c r="V11" s="69">
        <v>2015</v>
      </c>
      <c r="W11" s="64">
        <v>2016</v>
      </c>
      <c r="X11" s="64">
        <v>2017</v>
      </c>
      <c r="Y11" s="64">
        <v>2018</v>
      </c>
      <c r="Z11" s="69">
        <v>2019</v>
      </c>
      <c r="AA11" s="64">
        <v>2020</v>
      </c>
      <c r="AB11" s="64">
        <v>2021</v>
      </c>
      <c r="AC11" s="64">
        <v>2022</v>
      </c>
      <c r="AD11" s="69">
        <v>2023</v>
      </c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6"/>
    </row>
    <row r="12" spans="1:109" s="6" customFormat="1" x14ac:dyDescent="0.25">
      <c r="A12" s="98" t="s">
        <v>73</v>
      </c>
      <c r="B12" s="7">
        <v>2296.6799216990498</v>
      </c>
      <c r="C12" s="7">
        <v>2315.76835626414</v>
      </c>
      <c r="D12" s="7">
        <v>2404.99559689428</v>
      </c>
      <c r="E12" s="7">
        <v>2473.49850163775</v>
      </c>
      <c r="F12" s="7">
        <v>2534.55900492713</v>
      </c>
      <c r="G12" s="7">
        <v>2637.0254482790601</v>
      </c>
      <c r="H12" s="7">
        <v>2674.1691190165102</v>
      </c>
      <c r="I12" s="7">
        <v>2734.8817496520101</v>
      </c>
      <c r="J12" s="7">
        <v>2749.2792454085302</v>
      </c>
      <c r="K12" s="7">
        <v>2952.8287139013801</v>
      </c>
      <c r="L12" s="7">
        <v>2967.66314130916</v>
      </c>
      <c r="M12" s="7">
        <v>3038.3130199038701</v>
      </c>
      <c r="N12" s="7">
        <v>3118.6494593535799</v>
      </c>
      <c r="O12" s="7">
        <v>3088.3981583668701</v>
      </c>
      <c r="P12" s="7">
        <v>2763.67409313997</v>
      </c>
      <c r="Q12" s="7">
        <v>2922.2179343026201</v>
      </c>
      <c r="R12" s="7">
        <v>2936.3962691843599</v>
      </c>
      <c r="S12" s="7">
        <v>2864.2043063532201</v>
      </c>
      <c r="T12" s="7">
        <v>2910.4991759722602</v>
      </c>
      <c r="U12" s="7">
        <v>2950.8766250180802</v>
      </c>
      <c r="V12" s="7">
        <v>2990.1140128366201</v>
      </c>
      <c r="W12" s="7">
        <v>3108.9827140894699</v>
      </c>
      <c r="X12" s="7">
        <v>3204.8071175670302</v>
      </c>
      <c r="Y12" s="7">
        <v>3251.7598424667199</v>
      </c>
      <c r="Z12" s="7">
        <v>3311.4314730924898</v>
      </c>
      <c r="AA12" s="7">
        <v>3191.5285131590599</v>
      </c>
      <c r="AB12" s="7">
        <v>3371.6147370930198</v>
      </c>
      <c r="AC12" s="7">
        <v>3386.6179648996299</v>
      </c>
      <c r="AD12" s="7">
        <v>3342.6639969223902</v>
      </c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6"/>
    </row>
    <row r="13" spans="1:109" s="6" customFormat="1" x14ac:dyDescent="0.25">
      <c r="A13" s="101" t="s">
        <v>167</v>
      </c>
      <c r="B13" s="10">
        <v>0.49077800931273902</v>
      </c>
      <c r="C13" s="10">
        <v>0.49071358839760598</v>
      </c>
      <c r="D13" s="10">
        <v>0.49167574424128202</v>
      </c>
      <c r="E13" s="10">
        <v>0.50220527692962502</v>
      </c>
      <c r="F13" s="10">
        <v>0.51068528982114403</v>
      </c>
      <c r="G13" s="10">
        <v>0.509614725514696</v>
      </c>
      <c r="H13" s="10">
        <v>0.51950828020590301</v>
      </c>
      <c r="I13" s="10">
        <v>0.52609221593696898</v>
      </c>
      <c r="J13" s="10">
        <v>0.52397005593585799</v>
      </c>
      <c r="K13" s="10">
        <v>0.53787948908879701</v>
      </c>
      <c r="L13" s="10">
        <v>0.53515307834895598</v>
      </c>
      <c r="M13" s="10">
        <v>0.539376480139799</v>
      </c>
      <c r="N13" s="10">
        <v>0.54435231054387501</v>
      </c>
      <c r="O13" s="10">
        <v>0.54282561862721201</v>
      </c>
      <c r="P13" s="10">
        <v>0.54829785821161103</v>
      </c>
      <c r="Q13" s="10">
        <v>0.53325678284776701</v>
      </c>
      <c r="R13" s="10">
        <v>0.52500788655543995</v>
      </c>
      <c r="S13" s="10">
        <v>0.51731310114998996</v>
      </c>
      <c r="T13" s="10">
        <v>0.52099792789733601</v>
      </c>
      <c r="U13" s="10">
        <v>0.51762063199461295</v>
      </c>
      <c r="V13" s="10">
        <v>0.52238398805706598</v>
      </c>
      <c r="W13" s="10">
        <v>0.52098962234647195</v>
      </c>
      <c r="X13" s="10">
        <v>0.53273529444510404</v>
      </c>
      <c r="Y13" s="10">
        <v>0.52509904873686097</v>
      </c>
      <c r="Z13" s="10">
        <v>0.53293810073982795</v>
      </c>
      <c r="AA13" s="10">
        <v>0.54686398470318698</v>
      </c>
      <c r="AB13" s="10">
        <v>0.55232378109890301</v>
      </c>
      <c r="AC13" s="10">
        <v>0.55107928303194698</v>
      </c>
      <c r="AD13" s="10">
        <v>0.54072081479446599</v>
      </c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77"/>
    </row>
    <row r="14" spans="1:109" s="6" customFormat="1" x14ac:dyDescent="0.25">
      <c r="A14" s="101" t="s">
        <v>165</v>
      </c>
      <c r="B14" s="10">
        <v>0.16319995853959199</v>
      </c>
      <c r="C14" s="10">
        <v>0.16355824146894901</v>
      </c>
      <c r="D14" s="10">
        <v>0.16397202577387299</v>
      </c>
      <c r="E14" s="10">
        <v>0.15243086856545801</v>
      </c>
      <c r="F14" s="10">
        <v>0.144841771009981</v>
      </c>
      <c r="G14" s="10">
        <v>0.14710542702399201</v>
      </c>
      <c r="H14" s="10">
        <v>0.13808150712175599</v>
      </c>
      <c r="I14" s="10">
        <v>0.134616859613721</v>
      </c>
      <c r="J14" s="10">
        <v>0.13687560817370001</v>
      </c>
      <c r="K14" s="10">
        <v>0.132088596322498</v>
      </c>
      <c r="L14" s="10">
        <v>0.13296556287245101</v>
      </c>
      <c r="M14" s="10">
        <v>0.136999050878955</v>
      </c>
      <c r="N14" s="10">
        <v>0.13811234818589699</v>
      </c>
      <c r="O14" s="10">
        <v>0.136641384420185</v>
      </c>
      <c r="P14" s="10">
        <v>0.12453964845361</v>
      </c>
      <c r="Q14" s="10">
        <v>0.12831178523633399</v>
      </c>
      <c r="R14" s="10">
        <v>0.13655003046008299</v>
      </c>
      <c r="S14" s="10">
        <v>0.13702269741354201</v>
      </c>
      <c r="T14" s="10">
        <v>0.133567122509196</v>
      </c>
      <c r="U14" s="10">
        <v>0.134033390839434</v>
      </c>
      <c r="V14" s="10">
        <v>0.13471392671675</v>
      </c>
      <c r="W14" s="10">
        <v>0.13739252973784999</v>
      </c>
      <c r="X14" s="10">
        <v>0.132970872931509</v>
      </c>
      <c r="Y14" s="10">
        <v>0.132881276887969</v>
      </c>
      <c r="Z14" s="10">
        <v>0.128202562381137</v>
      </c>
      <c r="AA14" s="10">
        <v>0.12023348637426901</v>
      </c>
      <c r="AB14" s="10">
        <v>0.12306477232856899</v>
      </c>
      <c r="AC14" s="10">
        <v>0.122063989586216</v>
      </c>
      <c r="AD14" s="10">
        <v>0.118396584390288</v>
      </c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77"/>
    </row>
    <row r="15" spans="1:109" x14ac:dyDescent="0.25">
      <c r="A15" s="98" t="s">
        <v>75</v>
      </c>
      <c r="B15" s="80">
        <v>0.34540452097776297</v>
      </c>
      <c r="C15" s="80">
        <v>0.34509737635540899</v>
      </c>
      <c r="D15" s="80">
        <v>0.343709457165293</v>
      </c>
      <c r="E15" s="80">
        <v>0.34471881522453901</v>
      </c>
      <c r="F15" s="80">
        <v>0.34382945076399801</v>
      </c>
      <c r="G15" s="80">
        <v>0.342621027029685</v>
      </c>
      <c r="H15" s="80">
        <v>0.34175789141144303</v>
      </c>
      <c r="I15" s="80">
        <v>0.33866864138108199</v>
      </c>
      <c r="J15" s="80">
        <v>0.33853015307440598</v>
      </c>
      <c r="K15" s="80">
        <v>0.32942914579252403</v>
      </c>
      <c r="L15" s="80">
        <v>0.33126487678087901</v>
      </c>
      <c r="M15" s="80">
        <v>0.32300365081348298</v>
      </c>
      <c r="N15" s="80">
        <v>0.31691005135057998</v>
      </c>
      <c r="O15" s="80">
        <v>0.31991553251479499</v>
      </c>
      <c r="P15" s="80">
        <v>0.32650860978809598</v>
      </c>
      <c r="Q15" s="80">
        <v>0.33780383795885199</v>
      </c>
      <c r="R15" s="80">
        <v>0.33781852518647598</v>
      </c>
      <c r="S15" s="80">
        <v>0.34503290463834702</v>
      </c>
      <c r="T15" s="80">
        <v>0.34480919789193198</v>
      </c>
      <c r="U15" s="80">
        <v>0.34763463160241997</v>
      </c>
      <c r="V15" s="80">
        <v>0.34219111242634398</v>
      </c>
      <c r="W15" s="80">
        <v>0.34093301351024502</v>
      </c>
      <c r="X15" s="80">
        <v>0.33362411232384698</v>
      </c>
      <c r="Y15" s="80">
        <v>0.34134631523771097</v>
      </c>
      <c r="Z15" s="80">
        <v>0.33816509347241702</v>
      </c>
      <c r="AA15" s="80">
        <v>0.33226231698291903</v>
      </c>
      <c r="AB15" s="80">
        <v>0.32390976677494998</v>
      </c>
      <c r="AC15" s="80">
        <v>0.32617698062755401</v>
      </c>
      <c r="AD15" s="80">
        <v>0.34022861219317702</v>
      </c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1"/>
    </row>
    <row r="16" spans="1:109" x14ac:dyDescent="0.25">
      <c r="A16" s="142" t="s">
        <v>76</v>
      </c>
      <c r="B16" s="82">
        <v>6.1751116990483202E-4</v>
      </c>
      <c r="C16" s="82">
        <v>6.3079377803669403E-4</v>
      </c>
      <c r="D16" s="82">
        <v>6.4277281955221603E-4</v>
      </c>
      <c r="E16" s="82">
        <v>6.4503928037840997E-4</v>
      </c>
      <c r="F16" s="82">
        <v>6.4348840487697104E-4</v>
      </c>
      <c r="G16" s="82">
        <v>6.5882043162754096E-4</v>
      </c>
      <c r="H16" s="82">
        <v>6.5232126089927395E-4</v>
      </c>
      <c r="I16" s="82">
        <v>6.2228306822806497E-4</v>
      </c>
      <c r="J16" s="82">
        <v>6.2418281603578802E-4</v>
      </c>
      <c r="K16" s="82">
        <v>6.0276879618146001E-4</v>
      </c>
      <c r="L16" s="82">
        <v>6.1648199771366103E-4</v>
      </c>
      <c r="M16" s="82">
        <v>6.2081816776368996E-4</v>
      </c>
      <c r="N16" s="82">
        <v>6.2528991964810898E-4</v>
      </c>
      <c r="O16" s="82">
        <v>6.17464437807212E-4</v>
      </c>
      <c r="P16" s="82">
        <v>6.5388354668415895E-4</v>
      </c>
      <c r="Q16" s="82">
        <v>6.2759395704747899E-4</v>
      </c>
      <c r="R16" s="82">
        <v>6.2355779800081501E-4</v>
      </c>
      <c r="S16" s="82">
        <v>6.3129679812113401E-4</v>
      </c>
      <c r="T16" s="82">
        <v>6.2575170153677401E-4</v>
      </c>
      <c r="U16" s="82">
        <v>7.1134556353280804E-4</v>
      </c>
      <c r="V16" s="82">
        <v>7.1097279984063896E-4</v>
      </c>
      <c r="W16" s="82">
        <v>6.8483440543330395E-4</v>
      </c>
      <c r="X16" s="82">
        <v>6.69720299540428E-4</v>
      </c>
      <c r="Y16" s="82">
        <v>6.73359137458768E-4</v>
      </c>
      <c r="Z16" s="82">
        <v>6.9424340661825696E-4</v>
      </c>
      <c r="AA16" s="82">
        <v>6.4021193962508695E-4</v>
      </c>
      <c r="AB16" s="82">
        <v>7.0167979757752299E-4</v>
      </c>
      <c r="AC16" s="82">
        <v>6.7974675428340305E-4</v>
      </c>
      <c r="AD16" s="82">
        <v>6.5398862206897401E-4</v>
      </c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82"/>
      <c r="BQ16" s="82"/>
      <c r="BR16" s="82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  <c r="CO16" s="82"/>
      <c r="CP16" s="82"/>
      <c r="CQ16" s="82"/>
      <c r="CR16" s="82"/>
      <c r="CS16" s="82"/>
      <c r="CT16" s="82"/>
      <c r="CU16" s="82"/>
      <c r="CV16" s="82"/>
      <c r="CW16" s="82"/>
      <c r="CX16" s="82"/>
      <c r="CY16" s="82"/>
      <c r="CZ16" s="82"/>
      <c r="DA16" s="82"/>
      <c r="DB16" s="82"/>
      <c r="DC16" s="82"/>
      <c r="DD16" s="82"/>
      <c r="DE16" s="83"/>
    </row>
    <row r="17" spans="1:109" x14ac:dyDescent="0.25">
      <c r="A17" s="184" t="s">
        <v>77</v>
      </c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83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  <c r="BY17" s="82"/>
      <c r="BZ17" s="82"/>
      <c r="CA17" s="82"/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  <c r="CO17" s="82"/>
      <c r="CP17" s="82"/>
      <c r="CQ17" s="82"/>
      <c r="CR17" s="82"/>
      <c r="CS17" s="82"/>
      <c r="CT17" s="82"/>
      <c r="CU17" s="82"/>
      <c r="CV17" s="82"/>
      <c r="CW17" s="82"/>
      <c r="CX17" s="82"/>
      <c r="CY17" s="82"/>
      <c r="CZ17" s="82"/>
      <c r="DA17" s="82"/>
      <c r="DB17" s="82"/>
      <c r="DC17" s="82"/>
      <c r="DD17" s="82"/>
      <c r="DE17" s="83"/>
    </row>
    <row r="18" spans="1:109" x14ac:dyDescent="0.25">
      <c r="A18" s="101" t="s">
        <v>81</v>
      </c>
      <c r="B18" s="82">
        <v>376.45162730609098</v>
      </c>
      <c r="C18" s="82">
        <v>380.38112852527701</v>
      </c>
      <c r="D18" s="82">
        <v>378.47264143880699</v>
      </c>
      <c r="E18" s="82">
        <v>377.69592213072599</v>
      </c>
      <c r="F18" s="82">
        <v>383.51739991877901</v>
      </c>
      <c r="G18" s="82">
        <v>406.39313480813598</v>
      </c>
      <c r="H18" s="82">
        <v>408.39388661010997</v>
      </c>
      <c r="I18" s="82">
        <v>401.24611536291701</v>
      </c>
      <c r="J18" s="82">
        <v>396.97318109694203</v>
      </c>
      <c r="K18" s="82">
        <v>404.41035708302701</v>
      </c>
      <c r="L18" s="82">
        <v>413.01587507541001</v>
      </c>
      <c r="M18" s="82">
        <v>423.94788065594003</v>
      </c>
      <c r="N18" s="82">
        <v>429.657473850511</v>
      </c>
      <c r="O18" s="82">
        <v>445.71231953257001</v>
      </c>
      <c r="P18" s="82">
        <v>437.693990762564</v>
      </c>
      <c r="Q18" s="82">
        <v>439.00031501648999</v>
      </c>
      <c r="R18" s="82">
        <v>445.22805396375799</v>
      </c>
      <c r="S18" s="82">
        <v>449.64249599417099</v>
      </c>
      <c r="T18" s="82">
        <v>454.30811393655603</v>
      </c>
      <c r="U18" s="82">
        <v>459.03523583940301</v>
      </c>
      <c r="V18" s="82">
        <v>461.845084179222</v>
      </c>
      <c r="W18" s="82">
        <v>471.03643458319198</v>
      </c>
      <c r="X18" s="82">
        <v>485.85976993552498</v>
      </c>
      <c r="Y18" s="82">
        <v>492.78318789995501</v>
      </c>
      <c r="Z18" s="82">
        <v>505.95549769797498</v>
      </c>
      <c r="AA18" s="82">
        <v>276.499985304978</v>
      </c>
      <c r="AB18" s="82">
        <v>315.29308841180801</v>
      </c>
      <c r="AC18" s="82">
        <v>463.76990149748798</v>
      </c>
      <c r="AD18" s="82">
        <v>511.20153562066002</v>
      </c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  <c r="CO18" s="82"/>
      <c r="CP18" s="82"/>
      <c r="CQ18" s="82"/>
      <c r="CR18" s="82"/>
      <c r="CS18" s="82"/>
      <c r="CT18" s="82"/>
      <c r="CU18" s="82"/>
      <c r="CV18" s="82"/>
      <c r="CW18" s="82"/>
      <c r="CX18" s="82"/>
      <c r="CY18" s="82"/>
      <c r="CZ18" s="82"/>
      <c r="DA18" s="82"/>
      <c r="DB18" s="82"/>
      <c r="DC18" s="82"/>
      <c r="DD18" s="82"/>
      <c r="DE18" s="83"/>
    </row>
    <row r="19" spans="1:109" x14ac:dyDescent="0.25">
      <c r="A19" s="101" t="s">
        <v>167</v>
      </c>
      <c r="B19" s="82">
        <v>0.104097177859985</v>
      </c>
      <c r="C19" s="82">
        <v>0.10326909665573</v>
      </c>
      <c r="D19" s="82">
        <v>0.10188573516362801</v>
      </c>
      <c r="E19" s="82">
        <v>9.9995959455269803E-2</v>
      </c>
      <c r="F19" s="82">
        <v>9.7703234469556199E-2</v>
      </c>
      <c r="G19" s="82">
        <v>9.9395191007480399E-2</v>
      </c>
      <c r="H19" s="82">
        <v>9.7730612037377804E-2</v>
      </c>
      <c r="I19" s="82">
        <v>9.6398243346401902E-2</v>
      </c>
      <c r="J19" s="82">
        <v>9.5991570481901795E-2</v>
      </c>
      <c r="K19" s="82">
        <v>9.5266379132769696E-2</v>
      </c>
      <c r="L19" s="82">
        <v>9.39227808919465E-2</v>
      </c>
      <c r="M19" s="82">
        <v>9.2931922552871499E-2</v>
      </c>
      <c r="N19" s="82">
        <v>9.3346885504389396E-2</v>
      </c>
      <c r="O19" s="82">
        <v>9.4037685116411196E-2</v>
      </c>
      <c r="P19" s="82">
        <v>8.9264521976637395E-2</v>
      </c>
      <c r="Q19" s="82">
        <v>8.8342836512541795E-2</v>
      </c>
      <c r="R19" s="82">
        <v>8.8745074120734097E-2</v>
      </c>
      <c r="S19" s="82">
        <v>8.8862302601573004E-2</v>
      </c>
      <c r="T19" s="82">
        <v>8.7567004400801896E-2</v>
      </c>
      <c r="U19" s="82">
        <v>8.5731747227954805E-2</v>
      </c>
      <c r="V19" s="82">
        <v>8.6190605810451695E-2</v>
      </c>
      <c r="W19" s="82">
        <v>8.4600820586904504E-2</v>
      </c>
      <c r="X19" s="82">
        <v>8.0513911825724496E-2</v>
      </c>
      <c r="Y19" s="82">
        <v>8.0361465366367194E-2</v>
      </c>
      <c r="Z19" s="82">
        <v>8.0043537352789504E-2</v>
      </c>
      <c r="AA19" s="82">
        <v>6.6503819522614901E-2</v>
      </c>
      <c r="AB19" s="82">
        <v>6.6965514300920306E-2</v>
      </c>
      <c r="AC19" s="82">
        <v>7.1814502499235197E-2</v>
      </c>
      <c r="AD19" s="82">
        <v>7.2178885323517197E-2</v>
      </c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  <c r="CA19" s="82"/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  <c r="CO19" s="82"/>
      <c r="CP19" s="82"/>
      <c r="CQ19" s="82"/>
      <c r="CR19" s="82"/>
      <c r="CS19" s="82"/>
      <c r="CT19" s="82"/>
      <c r="CU19" s="82"/>
      <c r="CV19" s="82"/>
      <c r="CW19" s="82"/>
      <c r="CX19" s="82"/>
      <c r="CY19" s="82"/>
      <c r="CZ19" s="82"/>
      <c r="DA19" s="82"/>
      <c r="DB19" s="82"/>
      <c r="DC19" s="82"/>
      <c r="DD19" s="82"/>
      <c r="DE19" s="83"/>
    </row>
    <row r="20" spans="1:109" x14ac:dyDescent="0.25">
      <c r="A20" s="101" t="s">
        <v>165</v>
      </c>
      <c r="B20" s="82">
        <v>8.3665183003772403E-2</v>
      </c>
      <c r="C20" s="82">
        <v>8.3004510139191703E-2</v>
      </c>
      <c r="D20" s="82">
        <v>8.09941434300811E-2</v>
      </c>
      <c r="E20" s="82">
        <v>7.8916024582689398E-2</v>
      </c>
      <c r="F20" s="82">
        <v>7.8098136517119193E-2</v>
      </c>
      <c r="G20" s="82">
        <v>8.1285809654169705E-2</v>
      </c>
      <c r="H20" s="82">
        <v>8.0459447290836997E-2</v>
      </c>
      <c r="I20" s="82">
        <v>7.8411651141106098E-2</v>
      </c>
      <c r="J20" s="82">
        <v>7.6822406358541595E-2</v>
      </c>
      <c r="K20" s="82">
        <v>7.6955512226627595E-2</v>
      </c>
      <c r="L20" s="82">
        <v>7.7861638083087006E-2</v>
      </c>
      <c r="M20" s="82">
        <v>7.9066790500041603E-2</v>
      </c>
      <c r="N20" s="82">
        <v>7.8895079970476498E-2</v>
      </c>
      <c r="O20" s="82">
        <v>8.1449516729509702E-2</v>
      </c>
      <c r="P20" s="82">
        <v>7.9707323886680004E-2</v>
      </c>
      <c r="Q20" s="82">
        <v>8.0354094534349704E-2</v>
      </c>
      <c r="R20" s="82">
        <v>8.1285323825614805E-2</v>
      </c>
      <c r="S20" s="82">
        <v>8.2835753093751199E-2</v>
      </c>
      <c r="T20" s="82">
        <v>8.2720824811752899E-2</v>
      </c>
      <c r="U20" s="82">
        <v>8.2639728350020605E-2</v>
      </c>
      <c r="V20" s="82">
        <v>8.1097116674935396E-2</v>
      </c>
      <c r="W20" s="82">
        <v>8.0686345767557302E-2</v>
      </c>
      <c r="X20" s="82">
        <v>8.2381143617593702E-2</v>
      </c>
      <c r="Y20" s="82">
        <v>8.2679878937006401E-2</v>
      </c>
      <c r="Z20" s="82">
        <v>8.3589925660985998E-2</v>
      </c>
      <c r="AA20" s="82">
        <v>6.3028738835573E-2</v>
      </c>
      <c r="AB20" s="82">
        <v>6.3820167115818796E-2</v>
      </c>
      <c r="AC20" s="82">
        <v>8.2445677994071598E-2</v>
      </c>
      <c r="AD20" s="82">
        <v>8.6181995264263303E-2</v>
      </c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  <c r="DA20" s="82"/>
      <c r="DB20" s="82"/>
      <c r="DC20" s="82"/>
      <c r="DD20" s="82"/>
      <c r="DE20" s="83"/>
    </row>
    <row r="21" spans="1:109" x14ac:dyDescent="0.25">
      <c r="A21" s="101" t="s">
        <v>75</v>
      </c>
      <c r="B21" s="82">
        <v>5.0575839411318201E-3</v>
      </c>
      <c r="C21" s="82">
        <v>4.9210745886901896E-3</v>
      </c>
      <c r="D21" s="82">
        <v>4.7822266766061796E-3</v>
      </c>
      <c r="E21" s="82">
        <v>4.6155633543255E-3</v>
      </c>
      <c r="F21" s="82">
        <v>4.44620764436875E-3</v>
      </c>
      <c r="G21" s="82">
        <v>4.2749296380247999E-3</v>
      </c>
      <c r="H21" s="82">
        <v>4.2410329420095498E-3</v>
      </c>
      <c r="I21" s="82">
        <v>4.3383331466314698E-3</v>
      </c>
      <c r="J21" s="82">
        <v>4.2763221842931501E-3</v>
      </c>
      <c r="K21" s="82">
        <v>4.1555826465333404E-3</v>
      </c>
      <c r="L21" s="82">
        <v>4.0157473130174497E-3</v>
      </c>
      <c r="M21" s="82">
        <v>3.9867019611424899E-3</v>
      </c>
      <c r="N21" s="82">
        <v>3.91767649442527E-3</v>
      </c>
      <c r="O21" s="82">
        <v>3.99664520516845E-3</v>
      </c>
      <c r="P21" s="82">
        <v>4.0877850997550601E-3</v>
      </c>
      <c r="Q21" s="82">
        <v>4.1164129666431699E-3</v>
      </c>
      <c r="R21" s="82">
        <v>3.6532041708421002E-3</v>
      </c>
      <c r="S21" s="82">
        <v>3.4126262652084201E-3</v>
      </c>
      <c r="T21" s="82">
        <v>3.5078166272366298E-3</v>
      </c>
      <c r="U21" s="82">
        <v>3.5000197917974302E-3</v>
      </c>
      <c r="V21" s="82">
        <v>3.4015992080469E-3</v>
      </c>
      <c r="W21" s="82">
        <v>3.1574571072709701E-3</v>
      </c>
      <c r="X21" s="82">
        <v>3.3361044400697201E-3</v>
      </c>
      <c r="Y21" s="82">
        <v>3.4917074538226801E-3</v>
      </c>
      <c r="Z21" s="82">
        <v>3.4928307905190501E-3</v>
      </c>
      <c r="AA21" s="82">
        <v>2.4227568752673901E-3</v>
      </c>
      <c r="AB21" s="82">
        <v>2.7904079819656398E-3</v>
      </c>
      <c r="AC21" s="82">
        <v>3.4660681241285201E-3</v>
      </c>
      <c r="AD21" s="82">
        <v>3.4911431732069799E-3</v>
      </c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  <c r="DA21" s="82"/>
      <c r="DB21" s="82"/>
      <c r="DC21" s="82"/>
      <c r="DD21" s="82"/>
      <c r="DE21" s="83"/>
    </row>
    <row r="22" spans="1:109" x14ac:dyDescent="0.25">
      <c r="A22" s="101" t="s">
        <v>76</v>
      </c>
      <c r="B22" s="82">
        <v>5.2724195647014298E-2</v>
      </c>
      <c r="C22" s="82">
        <v>5.4759830012964403E-2</v>
      </c>
      <c r="D22" s="82">
        <v>5.7224500463155498E-2</v>
      </c>
      <c r="E22" s="82">
        <v>5.8592831950454997E-2</v>
      </c>
      <c r="F22" s="82">
        <v>5.9339352995574399E-2</v>
      </c>
      <c r="G22" s="82">
        <v>6.2673341583714501E-2</v>
      </c>
      <c r="H22" s="82">
        <v>6.11919498760898E-2</v>
      </c>
      <c r="I22" s="82">
        <v>5.9624952600607399E-2</v>
      </c>
      <c r="J22" s="82">
        <v>6.1433605973989502E-2</v>
      </c>
      <c r="K22" s="82">
        <v>6.4322462235667094E-2</v>
      </c>
      <c r="L22" s="82">
        <v>6.81185953942159E-2</v>
      </c>
      <c r="M22" s="82">
        <v>7.0202449163496494E-2</v>
      </c>
      <c r="N22" s="82">
        <v>7.2014816172374402E-2</v>
      </c>
      <c r="O22" s="82">
        <v>6.8730993305507804E-2</v>
      </c>
      <c r="P22" s="82">
        <v>6.4634940844481695E-2</v>
      </c>
      <c r="Q22" s="82">
        <v>6.7861813562602694E-2</v>
      </c>
      <c r="R22" s="82">
        <v>7.3352594377163696E-2</v>
      </c>
      <c r="S22" s="82">
        <v>7.3002697401824607E-2</v>
      </c>
      <c r="T22" s="82">
        <v>7.2883830045900197E-2</v>
      </c>
      <c r="U22" s="82">
        <v>7.5556101367268702E-2</v>
      </c>
      <c r="V22" s="82">
        <v>7.8210614186576197E-2</v>
      </c>
      <c r="W22" s="82">
        <v>8.3158557282134699E-2</v>
      </c>
      <c r="X22" s="82">
        <v>8.9850765547388994E-2</v>
      </c>
      <c r="Y22" s="82">
        <v>9.4326990197049501E-2</v>
      </c>
      <c r="Z22" s="82">
        <v>9.5059171265461304E-2</v>
      </c>
      <c r="AA22" s="82">
        <v>4.0082354564767497E-2</v>
      </c>
      <c r="AB22" s="82">
        <v>5.4682189584663997E-2</v>
      </c>
      <c r="AC22" s="82">
        <v>9.0860446590492402E-2</v>
      </c>
      <c r="AD22" s="82">
        <v>9.8120382195869493E-2</v>
      </c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3"/>
    </row>
    <row r="23" spans="1:109" x14ac:dyDescent="0.25">
      <c r="A23" s="63" t="s">
        <v>168</v>
      </c>
      <c r="B23" s="82">
        <v>0.75445585954809702</v>
      </c>
      <c r="C23" s="82">
        <v>0.75404548860342402</v>
      </c>
      <c r="D23" s="82">
        <v>0.75511339426652901</v>
      </c>
      <c r="E23" s="82">
        <v>0.75787962065726</v>
      </c>
      <c r="F23" s="82">
        <v>0.76041306837338196</v>
      </c>
      <c r="G23" s="82">
        <v>0.75237072811660999</v>
      </c>
      <c r="H23" s="82">
        <v>0.75637695785368597</v>
      </c>
      <c r="I23" s="82">
        <v>0.76122681976525297</v>
      </c>
      <c r="J23" s="82">
        <v>0.761476095001274</v>
      </c>
      <c r="K23" s="82">
        <v>0.75930006375840198</v>
      </c>
      <c r="L23" s="82">
        <v>0.756081238317733</v>
      </c>
      <c r="M23" s="82">
        <v>0.75381213582244799</v>
      </c>
      <c r="N23" s="82">
        <v>0.75182554185833494</v>
      </c>
      <c r="O23" s="82">
        <v>0.75178515964340298</v>
      </c>
      <c r="P23" s="82">
        <v>0.76230542819244596</v>
      </c>
      <c r="Q23" s="82">
        <v>0.759324842423863</v>
      </c>
      <c r="R23" s="82">
        <v>0.75296380350564496</v>
      </c>
      <c r="S23" s="82">
        <v>0.751886620637643</v>
      </c>
      <c r="T23" s="82">
        <v>0.75332052411430805</v>
      </c>
      <c r="U23" s="82">
        <v>0.75257240326295805</v>
      </c>
      <c r="V23" s="82">
        <v>0.75110006411998997</v>
      </c>
      <c r="W23" s="82">
        <v>0.74839681925613299</v>
      </c>
      <c r="X23" s="82">
        <v>0.74391807456922299</v>
      </c>
      <c r="Y23" s="82">
        <v>0.73913995804575405</v>
      </c>
      <c r="Z23" s="82">
        <v>0.73781453493024396</v>
      </c>
      <c r="AA23" s="82">
        <v>0.82796233020177801</v>
      </c>
      <c r="AB23" s="82">
        <v>0.811741721016631</v>
      </c>
      <c r="AC23" s="82">
        <v>0.75141330479207202</v>
      </c>
      <c r="AD23" s="82">
        <v>0.740027594043143</v>
      </c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  <c r="CA23" s="82"/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  <c r="CO23" s="82"/>
      <c r="CP23" s="82"/>
      <c r="CQ23" s="82"/>
      <c r="CR23" s="82"/>
      <c r="CS23" s="82"/>
      <c r="CT23" s="82"/>
      <c r="CU23" s="82"/>
      <c r="CV23" s="82"/>
      <c r="CW23" s="82"/>
      <c r="CX23" s="82"/>
      <c r="CY23" s="82"/>
      <c r="CZ23" s="82"/>
      <c r="DA23" s="82"/>
      <c r="DB23" s="82"/>
      <c r="DC23" s="82"/>
      <c r="DD23" s="82"/>
      <c r="DE23" s="83"/>
    </row>
    <row r="24" spans="1:109" x14ac:dyDescent="0.25">
      <c r="A24" s="67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  <c r="CO24" s="82"/>
      <c r="CP24" s="82"/>
      <c r="CQ24" s="82"/>
      <c r="CR24" s="82"/>
      <c r="CS24" s="82"/>
      <c r="CT24" s="82"/>
      <c r="CU24" s="82"/>
      <c r="CV24" s="82"/>
      <c r="CW24" s="82"/>
      <c r="CX24" s="82"/>
      <c r="CY24" s="82"/>
      <c r="CZ24" s="82"/>
      <c r="DA24" s="82"/>
      <c r="DB24" s="82"/>
      <c r="DC24" s="82"/>
      <c r="DD24" s="82"/>
      <c r="DE24" s="83"/>
    </row>
    <row r="25" spans="1:109" x14ac:dyDescent="0.25">
      <c r="A25" s="185" t="s">
        <v>80</v>
      </c>
      <c r="B25" s="185"/>
      <c r="C25" s="185"/>
      <c r="D25" s="185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  <c r="BY25" s="82"/>
      <c r="BZ25" s="82"/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82"/>
      <c r="CX25" s="82"/>
      <c r="CY25" s="82"/>
      <c r="CZ25" s="82"/>
      <c r="DA25" s="82"/>
      <c r="DB25" s="82"/>
      <c r="DC25" s="82"/>
      <c r="DD25" s="82"/>
      <c r="DE25" s="83"/>
    </row>
    <row r="26" spans="1:109" x14ac:dyDescent="0.25">
      <c r="A26" s="64"/>
      <c r="B26" s="64"/>
      <c r="C26" s="64" t="s">
        <v>73</v>
      </c>
      <c r="D26" s="64" t="s">
        <v>81</v>
      </c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82"/>
      <c r="BQ26" s="82"/>
      <c r="BR26" s="82"/>
      <c r="BS26" s="82"/>
      <c r="BT26" s="82"/>
      <c r="BU26" s="82"/>
      <c r="BV26" s="82"/>
      <c r="BW26" s="82"/>
      <c r="BX26" s="82"/>
      <c r="BY26" s="82"/>
      <c r="BZ26" s="82"/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  <c r="CO26" s="82"/>
      <c r="CP26" s="82"/>
      <c r="CQ26" s="82"/>
      <c r="CR26" s="82"/>
      <c r="CS26" s="82"/>
      <c r="CT26" s="82"/>
      <c r="CU26" s="82"/>
      <c r="CV26" s="82"/>
      <c r="CW26" s="82"/>
      <c r="CX26" s="82"/>
      <c r="CY26" s="82"/>
      <c r="CZ26" s="82"/>
      <c r="DA26" s="82"/>
      <c r="DB26" s="82"/>
      <c r="DC26" s="82"/>
      <c r="DD26" s="82"/>
      <c r="DE26" s="83"/>
    </row>
    <row r="27" spans="1:109" x14ac:dyDescent="0.25">
      <c r="A27" s="167" t="s">
        <v>82</v>
      </c>
      <c r="B27" s="64" t="s">
        <v>12</v>
      </c>
      <c r="C27" s="143">
        <v>0.85</v>
      </c>
      <c r="D27" s="143">
        <v>0.85</v>
      </c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  <c r="BY27" s="82"/>
      <c r="BZ27" s="82"/>
      <c r="CA27" s="82"/>
      <c r="CB27" s="82"/>
      <c r="CC27" s="82"/>
      <c r="CD27" s="82"/>
      <c r="CE27" s="82"/>
      <c r="CF27" s="82"/>
      <c r="CG27" s="82"/>
      <c r="CH27" s="82"/>
      <c r="CI27" s="82"/>
      <c r="CJ27" s="82"/>
      <c r="CK27" s="82"/>
      <c r="CL27" s="82"/>
      <c r="CM27" s="82"/>
      <c r="CN27" s="82"/>
      <c r="CO27" s="82"/>
      <c r="CP27" s="82"/>
      <c r="CQ27" s="82"/>
      <c r="CR27" s="82"/>
      <c r="CS27" s="82"/>
      <c r="CT27" s="82"/>
      <c r="CU27" s="82"/>
      <c r="CV27" s="82"/>
      <c r="CW27" s="82"/>
      <c r="CX27" s="82"/>
      <c r="CY27" s="82"/>
      <c r="CZ27" s="82"/>
      <c r="DA27" s="82"/>
      <c r="DB27" s="82"/>
      <c r="DC27" s="82"/>
      <c r="DD27" s="82"/>
      <c r="DE27" s="83"/>
    </row>
    <row r="28" spans="1:109" x14ac:dyDescent="0.25">
      <c r="A28" s="167"/>
      <c r="B28" s="64" t="s">
        <v>13</v>
      </c>
      <c r="C28" s="143">
        <v>0.05</v>
      </c>
      <c r="D28" s="143">
        <v>0.05</v>
      </c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82"/>
      <c r="BQ28" s="82"/>
      <c r="BR28" s="82"/>
      <c r="BS28" s="82"/>
      <c r="BT28" s="82"/>
      <c r="BU28" s="82"/>
      <c r="BV28" s="82"/>
      <c r="BW28" s="82"/>
      <c r="BX28" s="82"/>
      <c r="BY28" s="82"/>
      <c r="BZ28" s="82"/>
      <c r="CA28" s="82"/>
      <c r="CB28" s="82"/>
      <c r="CC28" s="82"/>
      <c r="CD28" s="82"/>
      <c r="CE28" s="82"/>
      <c r="CF28" s="82"/>
      <c r="CG28" s="82"/>
      <c r="CH28" s="82"/>
      <c r="CI28" s="82"/>
      <c r="CJ28" s="82"/>
      <c r="CK28" s="82"/>
      <c r="CL28" s="82"/>
      <c r="CM28" s="82"/>
      <c r="CN28" s="82"/>
      <c r="CO28" s="82"/>
      <c r="CP28" s="82"/>
      <c r="CQ28" s="82"/>
      <c r="CR28" s="82"/>
      <c r="CS28" s="82"/>
      <c r="CT28" s="82"/>
      <c r="CU28" s="82"/>
      <c r="CV28" s="82"/>
      <c r="CW28" s="82"/>
      <c r="CX28" s="82"/>
      <c r="CY28" s="82"/>
      <c r="CZ28" s="82"/>
      <c r="DA28" s="82"/>
      <c r="DB28" s="82"/>
      <c r="DC28" s="82"/>
      <c r="DD28" s="82"/>
      <c r="DE28" s="83"/>
    </row>
    <row r="29" spans="1:109" x14ac:dyDescent="0.25">
      <c r="A29" s="167"/>
      <c r="B29" s="64" t="s">
        <v>14</v>
      </c>
      <c r="C29" s="143">
        <v>0.1</v>
      </c>
      <c r="D29" s="143">
        <v>0.1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85"/>
    </row>
    <row r="30" spans="1:109" x14ac:dyDescent="0.25">
      <c r="A30" s="167"/>
      <c r="B30" s="64" t="s">
        <v>83</v>
      </c>
      <c r="C30" s="143">
        <v>0</v>
      </c>
      <c r="D30" s="143">
        <v>0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85"/>
    </row>
    <row r="31" spans="1:109" x14ac:dyDescent="0.25">
      <c r="A31" s="167" t="s">
        <v>18</v>
      </c>
      <c r="B31" s="64" t="s">
        <v>12</v>
      </c>
      <c r="C31" s="71">
        <v>1</v>
      </c>
      <c r="D31" s="72">
        <v>1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85"/>
    </row>
    <row r="32" spans="1:109" x14ac:dyDescent="0.25">
      <c r="A32" s="167"/>
      <c r="B32" s="64" t="s">
        <v>84</v>
      </c>
      <c r="C32" s="71">
        <v>0</v>
      </c>
      <c r="D32" s="72">
        <v>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85"/>
    </row>
    <row r="33" spans="1:109" x14ac:dyDescent="0.25">
      <c r="A33" s="167"/>
      <c r="B33" s="64" t="s">
        <v>14</v>
      </c>
      <c r="C33" s="71">
        <v>0</v>
      </c>
      <c r="D33" s="72">
        <v>0</v>
      </c>
      <c r="E33" s="6"/>
      <c r="F33" s="6"/>
      <c r="G33" s="6"/>
      <c r="H33" s="144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85"/>
    </row>
    <row r="34" spans="1:109" x14ac:dyDescent="0.25">
      <c r="A34" s="167"/>
      <c r="B34" s="64" t="s">
        <v>83</v>
      </c>
      <c r="C34" s="71">
        <v>0</v>
      </c>
      <c r="D34" s="72">
        <v>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85"/>
    </row>
    <row r="35" spans="1:109" x14ac:dyDescent="0.25">
      <c r="A35" s="168" t="s">
        <v>19</v>
      </c>
      <c r="B35" s="64" t="s">
        <v>12</v>
      </c>
      <c r="C35" s="71">
        <v>1</v>
      </c>
      <c r="D35" s="72">
        <v>1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85"/>
    </row>
    <row r="36" spans="1:109" x14ac:dyDescent="0.25">
      <c r="A36" s="168"/>
      <c r="B36" s="64" t="s">
        <v>13</v>
      </c>
      <c r="C36" s="71">
        <v>0</v>
      </c>
      <c r="D36" s="72">
        <v>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85"/>
    </row>
    <row r="37" spans="1:109" x14ac:dyDescent="0.25">
      <c r="A37" s="168"/>
      <c r="B37" s="64" t="s">
        <v>14</v>
      </c>
      <c r="C37" s="71">
        <v>0</v>
      </c>
      <c r="D37" s="71">
        <v>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85"/>
    </row>
    <row r="38" spans="1:109" x14ac:dyDescent="0.25">
      <c r="A38" s="168"/>
      <c r="B38" s="108" t="s">
        <v>83</v>
      </c>
      <c r="C38" s="71">
        <v>0</v>
      </c>
      <c r="D38" s="71">
        <v>0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85"/>
    </row>
    <row r="39" spans="1:109" x14ac:dyDescent="0.25">
      <c r="A39" s="168" t="s">
        <v>21</v>
      </c>
      <c r="B39" s="64" t="s">
        <v>12</v>
      </c>
      <c r="C39" s="73"/>
      <c r="D39" s="143">
        <f>1-D40-D41-D42</f>
        <v>0.85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85"/>
    </row>
    <row r="40" spans="1:109" x14ac:dyDescent="0.25">
      <c r="A40" s="168"/>
      <c r="B40" s="64" t="s">
        <v>13</v>
      </c>
      <c r="C40" s="73"/>
      <c r="D40" s="143">
        <v>0.05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85"/>
    </row>
    <row r="41" spans="1:109" x14ac:dyDescent="0.25">
      <c r="A41" s="168"/>
      <c r="B41" s="64" t="s">
        <v>14</v>
      </c>
      <c r="C41" s="73"/>
      <c r="D41" s="143">
        <v>0.1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85"/>
    </row>
    <row r="42" spans="1:109" x14ac:dyDescent="0.25">
      <c r="A42" s="168"/>
      <c r="B42" s="108" t="s">
        <v>83</v>
      </c>
      <c r="C42" s="145"/>
      <c r="D42" s="146">
        <v>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85"/>
    </row>
    <row r="43" spans="1:109" x14ac:dyDescent="0.25">
      <c r="A43" s="147" t="s">
        <v>91</v>
      </c>
      <c r="B43" s="148"/>
      <c r="C43" s="149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85"/>
    </row>
    <row r="44" spans="1:109" x14ac:dyDescent="0.25">
      <c r="A44" s="88" t="s">
        <v>189</v>
      </c>
      <c r="B44" s="75">
        <v>4716663.2</v>
      </c>
      <c r="C44" s="150" t="s">
        <v>92</v>
      </c>
      <c r="D44" s="9" t="s">
        <v>4</v>
      </c>
      <c r="E44" s="7"/>
      <c r="F44" s="7"/>
      <c r="G44" s="7" t="s">
        <v>93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85"/>
    </row>
    <row r="45" spans="1:109" x14ac:dyDescent="0.25">
      <c r="A45" s="88" t="s">
        <v>190</v>
      </c>
      <c r="B45" s="75">
        <v>4513.9009184416</v>
      </c>
      <c r="C45" s="150" t="s">
        <v>92</v>
      </c>
      <c r="D45" s="9" t="s">
        <v>4</v>
      </c>
      <c r="E45" s="7"/>
      <c r="F45" s="7"/>
      <c r="G45" s="7" t="s">
        <v>94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85"/>
    </row>
    <row r="46" spans="1:109" x14ac:dyDescent="0.25">
      <c r="A46" s="88" t="s">
        <v>191</v>
      </c>
      <c r="B46" s="75">
        <v>16769.936000000002</v>
      </c>
      <c r="C46" s="150" t="s">
        <v>92</v>
      </c>
      <c r="D46" s="9" t="s">
        <v>4</v>
      </c>
      <c r="E46" s="7"/>
      <c r="F46" s="7"/>
      <c r="G46" s="7" t="s">
        <v>96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85"/>
    </row>
    <row r="47" spans="1:109" x14ac:dyDescent="0.25">
      <c r="A47" s="88" t="s">
        <v>192</v>
      </c>
      <c r="B47" s="75">
        <v>9677.7139260919994</v>
      </c>
      <c r="C47" s="150" t="s">
        <v>92</v>
      </c>
      <c r="D47" s="9" t="s">
        <v>4</v>
      </c>
      <c r="E47" s="7"/>
      <c r="F47" s="7"/>
      <c r="G47" s="7" t="s">
        <v>193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85"/>
    </row>
    <row r="48" spans="1:109" x14ac:dyDescent="0.25">
      <c r="A48" s="88" t="s">
        <v>194</v>
      </c>
      <c r="B48" s="75">
        <v>799900</v>
      </c>
      <c r="C48" s="150" t="s">
        <v>92</v>
      </c>
      <c r="D48" s="9" t="s">
        <v>4</v>
      </c>
      <c r="E48" s="7"/>
      <c r="F48" s="7"/>
      <c r="G48" s="7" t="s">
        <v>98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85"/>
    </row>
    <row r="49" spans="1:109" x14ac:dyDescent="0.25">
      <c r="A49" s="88" t="s">
        <v>195</v>
      </c>
      <c r="B49" s="75">
        <v>1E-4</v>
      </c>
      <c r="C49" s="150" t="s">
        <v>92</v>
      </c>
      <c r="D49" s="9" t="s">
        <v>4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85"/>
    </row>
    <row r="50" spans="1:109" x14ac:dyDescent="0.25">
      <c r="A50" s="88" t="s">
        <v>196</v>
      </c>
      <c r="B50" s="75">
        <v>5547900</v>
      </c>
      <c r="C50" s="150" t="s">
        <v>92</v>
      </c>
      <c r="D50" s="10"/>
      <c r="E50" s="10"/>
      <c r="F50" s="10"/>
      <c r="G50" s="10" t="s">
        <v>101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85"/>
    </row>
    <row r="51" spans="1:109" x14ac:dyDescent="0.25">
      <c r="A51" s="88" t="s">
        <v>197</v>
      </c>
      <c r="B51" s="75">
        <v>65495770.539390199</v>
      </c>
      <c r="C51" s="150" t="s">
        <v>81</v>
      </c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85"/>
    </row>
    <row r="52" spans="1:109" x14ac:dyDescent="0.25">
      <c r="A52" s="3" t="s">
        <v>103</v>
      </c>
      <c r="B52" s="151"/>
      <c r="C52" s="5"/>
      <c r="D52" s="80"/>
      <c r="E52" s="80"/>
      <c r="F52" s="80"/>
      <c r="G52" s="80" t="s">
        <v>104</v>
      </c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85"/>
    </row>
    <row r="53" spans="1:109" x14ac:dyDescent="0.25">
      <c r="A53" s="88" t="s">
        <v>105</v>
      </c>
      <c r="B53" s="75">
        <v>444000</v>
      </c>
      <c r="C53" s="150" t="s">
        <v>92</v>
      </c>
      <c r="D53" s="82"/>
      <c r="E53" s="82"/>
      <c r="F53" s="82"/>
      <c r="G53" s="82" t="s">
        <v>106</v>
      </c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85"/>
    </row>
    <row r="54" spans="1:109" x14ac:dyDescent="0.25">
      <c r="A54" s="88" t="s">
        <v>36</v>
      </c>
      <c r="B54" s="75">
        <v>1E-4</v>
      </c>
      <c r="C54" s="150" t="s">
        <v>92</v>
      </c>
      <c r="D54" s="82"/>
      <c r="E54" s="82"/>
      <c r="F54" s="82"/>
      <c r="G54" s="82" t="s">
        <v>107</v>
      </c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85"/>
    </row>
    <row r="55" spans="1:109" x14ac:dyDescent="0.25">
      <c r="A55" s="88" t="s">
        <v>108</v>
      </c>
      <c r="B55" s="75">
        <v>0</v>
      </c>
      <c r="C55" s="150" t="s">
        <v>92</v>
      </c>
      <c r="D55" s="82"/>
      <c r="E55" s="82"/>
      <c r="F55" s="82"/>
      <c r="G55" s="82" t="s">
        <v>109</v>
      </c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</row>
    <row r="56" spans="1:109" x14ac:dyDescent="0.25">
      <c r="A56" s="88" t="s">
        <v>110</v>
      </c>
      <c r="B56" s="75">
        <v>0</v>
      </c>
      <c r="C56" s="150" t="s">
        <v>92</v>
      </c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85"/>
    </row>
    <row r="57" spans="1:109" x14ac:dyDescent="0.25">
      <c r="A57" s="88" t="s">
        <v>111</v>
      </c>
      <c r="B57" s="75">
        <v>0</v>
      </c>
      <c r="C57" s="150" t="s">
        <v>92</v>
      </c>
      <c r="D57" s="82"/>
      <c r="E57" s="82"/>
      <c r="F57" s="82"/>
      <c r="G57" s="82" t="s">
        <v>198</v>
      </c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85"/>
    </row>
    <row r="58" spans="1:109" x14ac:dyDescent="0.25">
      <c r="A58" s="88" t="s">
        <v>113</v>
      </c>
      <c r="B58" s="75">
        <v>0</v>
      </c>
      <c r="C58" s="150" t="s">
        <v>92</v>
      </c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85"/>
    </row>
    <row r="59" spans="1:109" x14ac:dyDescent="0.25">
      <c r="A59" s="88" t="s">
        <v>114</v>
      </c>
      <c r="B59" s="75">
        <v>0</v>
      </c>
      <c r="C59" s="150" t="s">
        <v>92</v>
      </c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85"/>
    </row>
    <row r="60" spans="1:109" x14ac:dyDescent="0.25">
      <c r="A60" s="88" t="s">
        <v>115</v>
      </c>
      <c r="B60" s="75">
        <v>9700</v>
      </c>
      <c r="C60" s="150" t="s">
        <v>92</v>
      </c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85"/>
    </row>
    <row r="61" spans="1:109" x14ac:dyDescent="0.25">
      <c r="A61" s="88" t="s">
        <v>116</v>
      </c>
      <c r="B61" s="75">
        <v>0</v>
      </c>
      <c r="C61" s="150" t="s">
        <v>118</v>
      </c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85"/>
    </row>
    <row r="62" spans="1:109" x14ac:dyDescent="0.25">
      <c r="A62" s="88" t="s">
        <v>117</v>
      </c>
      <c r="B62" s="75">
        <v>1.0000000000000001E-5</v>
      </c>
      <c r="C62" s="150" t="s">
        <v>118</v>
      </c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85"/>
    </row>
    <row r="63" spans="1:109" x14ac:dyDescent="0.25">
      <c r="A63" s="88" t="s">
        <v>119</v>
      </c>
      <c r="B63" s="75">
        <v>0</v>
      </c>
      <c r="C63" s="150" t="s">
        <v>92</v>
      </c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85"/>
    </row>
    <row r="64" spans="1:109" x14ac:dyDescent="0.25">
      <c r="A64" s="88" t="s">
        <v>120</v>
      </c>
      <c r="B64" s="75">
        <v>1026.306</v>
      </c>
      <c r="C64" s="150" t="s">
        <v>199</v>
      </c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85"/>
    </row>
    <row r="65" spans="1:109" x14ac:dyDescent="0.25">
      <c r="A65" s="88" t="s">
        <v>122</v>
      </c>
      <c r="B65" s="75">
        <v>1026.306</v>
      </c>
      <c r="C65" s="150" t="s">
        <v>199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85"/>
    </row>
    <row r="66" spans="1:109" x14ac:dyDescent="0.25">
      <c r="A66" s="3" t="s">
        <v>129</v>
      </c>
      <c r="B66" s="4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85"/>
    </row>
    <row r="67" spans="1:109" x14ac:dyDescent="0.25">
      <c r="A67" s="88" t="s">
        <v>130</v>
      </c>
      <c r="B67" s="152">
        <v>85.017091151606905</v>
      </c>
      <c r="C67" s="150" t="s">
        <v>3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85"/>
    </row>
    <row r="68" spans="1:109" x14ac:dyDescent="0.25">
      <c r="A68" s="88" t="s">
        <v>131</v>
      </c>
      <c r="B68" s="152">
        <v>8.1362333827963707E-2</v>
      </c>
      <c r="C68" s="150" t="s">
        <v>3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85"/>
    </row>
    <row r="69" spans="1:109" x14ac:dyDescent="0.25">
      <c r="A69" s="88" t="s">
        <v>132</v>
      </c>
      <c r="B69" s="152">
        <v>0.30227538347843302</v>
      </c>
      <c r="C69" s="150" t="s">
        <v>3</v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85"/>
    </row>
    <row r="70" spans="1:109" x14ac:dyDescent="0.25">
      <c r="A70" s="88" t="s">
        <v>133</v>
      </c>
      <c r="B70" s="152">
        <v>0.17443922792573799</v>
      </c>
      <c r="C70" s="150" t="s">
        <v>3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109" x14ac:dyDescent="0.25">
      <c r="A71" s="88" t="s">
        <v>8</v>
      </c>
      <c r="B71" s="152">
        <v>14.4180680978388</v>
      </c>
      <c r="C71" s="150" t="s">
        <v>3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</row>
    <row r="72" spans="1:109" x14ac:dyDescent="0.25">
      <c r="A72" s="88" t="s">
        <v>99</v>
      </c>
      <c r="B72" s="152">
        <v>0</v>
      </c>
      <c r="C72" s="150" t="s">
        <v>3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</row>
    <row r="73" spans="1:109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</row>
    <row r="74" spans="1:109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</row>
    <row r="75" spans="1:109" x14ac:dyDescent="0.25">
      <c r="A75" s="3" t="s">
        <v>200</v>
      </c>
      <c r="B75" s="4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</row>
    <row r="76" spans="1:109" x14ac:dyDescent="0.25">
      <c r="A76" s="88" t="s">
        <v>105</v>
      </c>
      <c r="B76" s="89">
        <v>100</v>
      </c>
      <c r="C76" s="150" t="s">
        <v>3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</row>
    <row r="77" spans="1:109" x14ac:dyDescent="0.25">
      <c r="A77" s="88" t="s">
        <v>36</v>
      </c>
      <c r="B77" s="89">
        <v>0</v>
      </c>
      <c r="C77" s="150" t="s">
        <v>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</row>
    <row r="78" spans="1:109" x14ac:dyDescent="0.25">
      <c r="A78" s="88" t="s">
        <v>108</v>
      </c>
      <c r="B78" s="89">
        <v>0</v>
      </c>
      <c r="C78" s="150" t="s">
        <v>3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</row>
    <row r="79" spans="1:109" x14ac:dyDescent="0.25">
      <c r="A79" s="88" t="s">
        <v>110</v>
      </c>
      <c r="B79" s="89">
        <v>0</v>
      </c>
      <c r="C79" s="150" t="s">
        <v>3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</row>
    <row r="80" spans="1:109" x14ac:dyDescent="0.25">
      <c r="A80" s="88" t="s">
        <v>111</v>
      </c>
      <c r="B80" s="89">
        <v>0</v>
      </c>
      <c r="C80" s="150" t="s">
        <v>3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</row>
    <row r="81" spans="1:109" x14ac:dyDescent="0.25">
      <c r="A81" s="88" t="s">
        <v>113</v>
      </c>
      <c r="B81" s="89">
        <v>0</v>
      </c>
      <c r="C81" s="150" t="s">
        <v>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</row>
    <row r="82" spans="1:109" x14ac:dyDescent="0.25">
      <c r="A82" s="88" t="s">
        <v>114</v>
      </c>
      <c r="B82" s="89">
        <v>0</v>
      </c>
      <c r="C82" s="150" t="s">
        <v>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</row>
    <row r="83" spans="1:109" x14ac:dyDescent="0.25">
      <c r="A83" s="88" t="s">
        <v>115</v>
      </c>
      <c r="B83" s="89">
        <v>100</v>
      </c>
      <c r="C83" s="150" t="s">
        <v>3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</row>
    <row r="84" spans="1:109" x14ac:dyDescent="0.25">
      <c r="A84" s="88" t="s">
        <v>116</v>
      </c>
      <c r="B84" s="89">
        <v>0</v>
      </c>
      <c r="C84" s="150" t="s">
        <v>3</v>
      </c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</row>
    <row r="85" spans="1:109" x14ac:dyDescent="0.25">
      <c r="A85" s="88" t="s">
        <v>117</v>
      </c>
      <c r="B85" s="89">
        <v>0</v>
      </c>
      <c r="C85" s="150" t="s">
        <v>3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109" x14ac:dyDescent="0.25">
      <c r="A86" s="88" t="s">
        <v>119</v>
      </c>
      <c r="B86" s="89">
        <v>0</v>
      </c>
      <c r="C86" s="150" t="s">
        <v>3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109" x14ac:dyDescent="0.25">
      <c r="A87" s="88" t="s">
        <v>120</v>
      </c>
      <c r="B87" s="89">
        <v>0.33</v>
      </c>
      <c r="C87" s="150" t="s">
        <v>3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109" x14ac:dyDescent="0.25">
      <c r="A88" s="153" t="s">
        <v>122</v>
      </c>
      <c r="B88" s="154">
        <v>0.66</v>
      </c>
      <c r="C88" s="155" t="s">
        <v>3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109" x14ac:dyDescent="0.25">
      <c r="A89" s="107"/>
      <c r="B89" s="107"/>
      <c r="C89" s="107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1" spans="1:109" x14ac:dyDescent="0.25">
      <c r="A91" s="147" t="s">
        <v>201</v>
      </c>
      <c r="B91" s="148"/>
      <c r="C91" s="149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109" x14ac:dyDescent="0.25">
      <c r="A92" s="88" t="s">
        <v>130</v>
      </c>
      <c r="B92" s="89">
        <v>0.17060004000000001</v>
      </c>
      <c r="C92" s="150" t="s">
        <v>135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109" x14ac:dyDescent="0.25">
      <c r="A93" s="88" t="s">
        <v>131</v>
      </c>
      <c r="B93" s="89">
        <v>0</v>
      </c>
      <c r="C93" s="150" t="s">
        <v>135</v>
      </c>
      <c r="D93" s="9" t="s">
        <v>4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109" x14ac:dyDescent="0.25">
      <c r="A94" s="88" t="s">
        <v>136</v>
      </c>
      <c r="B94" s="89">
        <v>0</v>
      </c>
      <c r="C94" s="150" t="s">
        <v>135</v>
      </c>
      <c r="D94" s="9" t="s">
        <v>4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109" x14ac:dyDescent="0.25">
      <c r="A95" s="88" t="s">
        <v>133</v>
      </c>
      <c r="B95" s="89">
        <v>0</v>
      </c>
      <c r="C95" s="150" t="s">
        <v>135</v>
      </c>
      <c r="D95" s="9" t="s">
        <v>4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109" x14ac:dyDescent="0.25">
      <c r="A96" s="88" t="s">
        <v>8</v>
      </c>
      <c r="B96" s="89">
        <v>3.4057966837256902E-3</v>
      </c>
      <c r="C96" s="150" t="s">
        <v>135</v>
      </c>
      <c r="D96" s="9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88" t="s">
        <v>99</v>
      </c>
      <c r="B97" s="89">
        <v>0</v>
      </c>
      <c r="C97" s="150" t="s">
        <v>135</v>
      </c>
      <c r="D97" s="9" t="s">
        <v>4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3" t="s">
        <v>137</v>
      </c>
      <c r="B98" s="4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88" t="s">
        <v>105</v>
      </c>
      <c r="B99" s="89">
        <v>2.627968E-2</v>
      </c>
      <c r="C99" s="150" t="s">
        <v>135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88" t="s">
        <v>138</v>
      </c>
      <c r="B100" s="89">
        <v>0</v>
      </c>
      <c r="C100" s="150" t="s">
        <v>135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88" t="s">
        <v>108</v>
      </c>
      <c r="B101" s="89">
        <v>0</v>
      </c>
      <c r="C101" s="150" t="s">
        <v>135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88" t="s">
        <v>110</v>
      </c>
      <c r="B102" s="89">
        <v>0</v>
      </c>
      <c r="C102" s="150" t="s">
        <v>135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88" t="s">
        <v>111</v>
      </c>
      <c r="B103" s="89">
        <v>0</v>
      </c>
      <c r="C103" s="150" t="s">
        <v>135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88" t="s">
        <v>113</v>
      </c>
      <c r="B104" s="89">
        <v>0</v>
      </c>
      <c r="C104" s="150" t="s">
        <v>135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88" t="s">
        <v>114</v>
      </c>
      <c r="B105" s="89">
        <v>0</v>
      </c>
      <c r="C105" s="150" t="s">
        <v>135</v>
      </c>
    </row>
    <row r="106" spans="1:22" x14ac:dyDescent="0.25">
      <c r="A106" s="88" t="s">
        <v>115</v>
      </c>
      <c r="B106" s="89">
        <v>2.0283789999999999E-2</v>
      </c>
      <c r="C106" s="150" t="s">
        <v>135</v>
      </c>
    </row>
    <row r="107" spans="1:22" x14ac:dyDescent="0.25">
      <c r="A107" s="88" t="s">
        <v>116</v>
      </c>
      <c r="B107" s="89">
        <v>0</v>
      </c>
      <c r="C107" s="150" t="s">
        <v>135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88" t="s">
        <v>117</v>
      </c>
      <c r="B108" s="89">
        <v>0</v>
      </c>
      <c r="C108" s="150" t="s">
        <v>135</v>
      </c>
    </row>
    <row r="109" spans="1:22" x14ac:dyDescent="0.25">
      <c r="A109" s="88" t="s">
        <v>119</v>
      </c>
      <c r="B109" s="89">
        <v>0</v>
      </c>
      <c r="C109" s="150" t="s">
        <v>135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88" t="s">
        <v>139</v>
      </c>
      <c r="B110" s="89">
        <v>8.7567145200000002E-3</v>
      </c>
      <c r="C110" s="150" t="s">
        <v>135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153" t="s">
        <v>122</v>
      </c>
      <c r="B111" s="155">
        <v>1.751342904E-2</v>
      </c>
      <c r="C111" s="150" t="s">
        <v>135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156" t="s">
        <v>140</v>
      </c>
      <c r="B112" s="157">
        <v>2.6270143560000001E-2</v>
      </c>
      <c r="C112" s="158" t="s">
        <v>135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107"/>
      <c r="B113" s="107"/>
      <c r="C113" s="107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106"/>
      <c r="B114" s="106"/>
      <c r="C114" s="10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147" t="s">
        <v>202</v>
      </c>
      <c r="B115" s="148"/>
      <c r="C115" s="149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88" t="s">
        <v>142</v>
      </c>
      <c r="B116" s="159">
        <v>1.567E-2</v>
      </c>
      <c r="C116" s="150" t="s">
        <v>143</v>
      </c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88" t="s">
        <v>203</v>
      </c>
      <c r="B117" s="160">
        <v>0.01</v>
      </c>
      <c r="C117" s="150" t="s">
        <v>143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3" t="s">
        <v>146</v>
      </c>
      <c r="B118" s="4"/>
      <c r="C118" s="5"/>
      <c r="D118" s="6"/>
      <c r="E118" s="6"/>
      <c r="F118" s="6"/>
      <c r="G118" s="6"/>
      <c r="H118" s="6"/>
      <c r="I118" s="6" t="s">
        <v>148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153" t="s">
        <v>147</v>
      </c>
      <c r="B119" s="154">
        <v>0.127</v>
      </c>
      <c r="C119" s="155" t="s">
        <v>143</v>
      </c>
      <c r="D119" s="6"/>
      <c r="E119" s="6"/>
      <c r="F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6"/>
      <c r="B120" s="6"/>
      <c r="C120" s="6"/>
    </row>
    <row r="122" spans="1:22" x14ac:dyDescent="0.25">
      <c r="A122" s="3" t="s">
        <v>149</v>
      </c>
      <c r="B122" s="3"/>
      <c r="C122" s="3"/>
    </row>
    <row r="123" spans="1:22" x14ac:dyDescent="0.25">
      <c r="A123" s="88" t="s">
        <v>153</v>
      </c>
      <c r="B123" s="89">
        <v>1.2789999999999999</v>
      </c>
      <c r="C123" s="89" t="s">
        <v>151</v>
      </c>
    </row>
    <row r="124" spans="1:22" x14ac:dyDescent="0.25">
      <c r="A124" s="88" t="s">
        <v>152</v>
      </c>
      <c r="B124" s="89">
        <v>0</v>
      </c>
      <c r="C124" s="89" t="s">
        <v>151</v>
      </c>
    </row>
    <row r="125" spans="1:22" x14ac:dyDescent="0.25">
      <c r="A125" s="88" t="s">
        <v>150</v>
      </c>
      <c r="B125" s="91">
        <v>4.7200000000000002E-3</v>
      </c>
      <c r="C125" s="89" t="s">
        <v>151</v>
      </c>
    </row>
    <row r="126" spans="1:22" x14ac:dyDescent="0.25">
      <c r="A126" s="88" t="s">
        <v>154</v>
      </c>
      <c r="B126" s="91">
        <v>1.711E-2</v>
      </c>
      <c r="C126" s="89" t="s">
        <v>151</v>
      </c>
    </row>
    <row r="127" spans="1:22" x14ac:dyDescent="0.25">
      <c r="A127" s="88" t="s">
        <v>155</v>
      </c>
      <c r="B127" s="161">
        <v>0</v>
      </c>
      <c r="C127" s="89" t="s">
        <v>151</v>
      </c>
    </row>
  </sheetData>
  <mergeCells count="7">
    <mergeCell ref="A35:A38"/>
    <mergeCell ref="A39:A42"/>
    <mergeCell ref="A10:V10"/>
    <mergeCell ref="A17:V17"/>
    <mergeCell ref="A25:D25"/>
    <mergeCell ref="A27:A30"/>
    <mergeCell ref="A31:A34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6"/>
  <sheetViews>
    <sheetView zoomScaleNormal="100" workbookViewId="0">
      <selection activeCellId="1" sqref="C12:G17 A1"/>
    </sheetView>
  </sheetViews>
  <sheetFormatPr baseColWidth="10" defaultColWidth="10.5703125" defaultRowHeight="15" x14ac:dyDescent="0.25"/>
  <sheetData>
    <row r="1" spans="1:1" x14ac:dyDescent="0.25">
      <c r="A1">
        <v>624112574523.47498</v>
      </c>
    </row>
    <row r="2" spans="1:1" x14ac:dyDescent="0.25">
      <c r="A2">
        <v>639292369040.54395</v>
      </c>
    </row>
    <row r="3" spans="1:1" x14ac:dyDescent="0.25">
      <c r="A3">
        <v>654472163557.60706</v>
      </c>
    </row>
    <row r="4" spans="1:1" x14ac:dyDescent="0.25">
      <c r="A4">
        <v>669651958074.67004</v>
      </c>
    </row>
    <row r="5" spans="1:1" x14ac:dyDescent="0.25">
      <c r="A5">
        <v>684831752591.73303</v>
      </c>
    </row>
    <row r="6" spans="1:1" x14ac:dyDescent="0.25">
      <c r="A6">
        <v>700011547108.80798</v>
      </c>
    </row>
    <row r="7" spans="1:1" x14ac:dyDescent="0.25">
      <c r="A7">
        <v>668342910646.78503</v>
      </c>
    </row>
    <row r="8" spans="1:1" x14ac:dyDescent="0.25">
      <c r="A8">
        <v>636674274184.77295</v>
      </c>
    </row>
    <row r="9" spans="1:1" x14ac:dyDescent="0.25">
      <c r="A9">
        <v>605005637722.76099</v>
      </c>
    </row>
    <row r="10" spans="1:1" x14ac:dyDescent="0.25">
      <c r="A10">
        <v>573337001260.74805</v>
      </c>
    </row>
    <row r="11" spans="1:1" x14ac:dyDescent="0.25">
      <c r="A11">
        <v>541668364798.72101</v>
      </c>
    </row>
    <row r="12" spans="1:1" x14ac:dyDescent="0.25">
      <c r="A12">
        <v>523787053379.76398</v>
      </c>
    </row>
    <row r="13" spans="1:1" x14ac:dyDescent="0.25">
      <c r="A13">
        <v>503535720416.70099</v>
      </c>
    </row>
    <row r="14" spans="1:1" x14ac:dyDescent="0.25">
      <c r="A14">
        <v>514681661693.82599</v>
      </c>
    </row>
    <row r="15" spans="1:1" x14ac:dyDescent="0.25">
      <c r="A15">
        <v>544592501918.724</v>
      </c>
    </row>
    <row r="16" spans="1:1" x14ac:dyDescent="0.25">
      <c r="A16">
        <v>560142247167.52002</v>
      </c>
    </row>
    <row r="17" spans="1:1" x14ac:dyDescent="0.25">
      <c r="A17">
        <v>570005456371.97205</v>
      </c>
    </row>
    <row r="18" spans="1:1" x14ac:dyDescent="0.25">
      <c r="A18">
        <v>604501041095.40698</v>
      </c>
    </row>
    <row r="19" spans="1:1" x14ac:dyDescent="0.25">
      <c r="A19">
        <v>575741628384.16003</v>
      </c>
    </row>
    <row r="20" spans="1:1" x14ac:dyDescent="0.25">
      <c r="A20">
        <v>584771448557.86597</v>
      </c>
    </row>
    <row r="21" spans="1:1" x14ac:dyDescent="0.25">
      <c r="A21">
        <v>591827237066.39795</v>
      </c>
    </row>
    <row r="22" spans="1:1" x14ac:dyDescent="0.25">
      <c r="A22">
        <v>598883025574.95496</v>
      </c>
    </row>
    <row r="23" spans="1:1" x14ac:dyDescent="0.25">
      <c r="A23">
        <v>605938814083.51001</v>
      </c>
    </row>
    <row r="24" spans="1:1" x14ac:dyDescent="0.25">
      <c r="A24">
        <v>612994602592.06494</v>
      </c>
    </row>
    <row r="25" spans="1:1" x14ac:dyDescent="0.25">
      <c r="A25">
        <v>620050391100.62097</v>
      </c>
    </row>
    <row r="26" spans="1:1" x14ac:dyDescent="0.25">
      <c r="A26">
        <v>627106179609.17603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133</vt:i4>
      </vt:variant>
    </vt:vector>
  </HeadingPairs>
  <TitlesOfParts>
    <vt:vector size="138" baseType="lpstr">
      <vt:lpstr>Global</vt:lpstr>
      <vt:lpstr>World</vt:lpstr>
      <vt:lpstr>Europe</vt:lpstr>
      <vt:lpstr>Catalonia</vt:lpstr>
      <vt:lpstr>Hoja1</vt:lpstr>
      <vt:lpstr>Global!bateries_ratio_2w_E</vt:lpstr>
      <vt:lpstr>Global!bateries_ratio_bus_E</vt:lpstr>
      <vt:lpstr>Global!bateries_ratio_hib_bus</vt:lpstr>
      <vt:lpstr>Global!bateries_ratio_hib_hv</vt:lpstr>
      <vt:lpstr>Europe!beta_pkm</vt:lpstr>
      <vt:lpstr>Europe!beta_tkm</vt:lpstr>
      <vt:lpstr>Global!cicles_over_lifetime</vt:lpstr>
      <vt:lpstr>Global!cp_evs_transport</vt:lpstr>
      <vt:lpstr>Global!efficiency_pkm</vt:lpstr>
      <vt:lpstr>Global!efficiency_pkm_improvment</vt:lpstr>
      <vt:lpstr>Global!efficiency_tkm</vt:lpstr>
      <vt:lpstr>Global!efficiency_tkm_improvment</vt:lpstr>
      <vt:lpstr>efficiency_tkm_liquids</vt:lpstr>
      <vt:lpstr>Global!EJ_pkm_liquids</vt:lpstr>
      <vt:lpstr>Global!EJ_tkm_liquids</vt:lpstr>
      <vt:lpstr>World!elec_2w</vt:lpstr>
      <vt:lpstr>Catalonia!end_historical_data</vt:lpstr>
      <vt:lpstr>Europe!end_historical_data</vt:lpstr>
      <vt:lpstr>World!end_historical_data</vt:lpstr>
      <vt:lpstr>end_historicla_data</vt:lpstr>
      <vt:lpstr>Catalonia!energy_initial_inland_transport</vt:lpstr>
      <vt:lpstr>World!energy_initial_inland_transport</vt:lpstr>
      <vt:lpstr>Catalonia!H_4_wheels_hyb</vt:lpstr>
      <vt:lpstr>World!H_4_wheels_hyb</vt:lpstr>
      <vt:lpstr>Catalonia!H_4wheels_elec</vt:lpstr>
      <vt:lpstr>World!H_4wheels_elec</vt:lpstr>
      <vt:lpstr>World!H_4wheels_hyb</vt:lpstr>
      <vt:lpstr>Europe!historic_fuel_share_households_pkm</vt:lpstr>
      <vt:lpstr>Europe!historic_fuel_share_inland_pkm</vt:lpstr>
      <vt:lpstr>Europe!historic_fuel_share_maritime_pkm</vt:lpstr>
      <vt:lpstr>Europe!historic_fuel_share_rail_pkm</vt:lpstr>
      <vt:lpstr>Europe!historic_fuel_share_rail_tkm</vt:lpstr>
      <vt:lpstr>Europe!historic_fuel_share_road_heavy_tkm</vt:lpstr>
      <vt:lpstr>Europe!historic_fuel_share_road_light_tkm</vt:lpstr>
      <vt:lpstr>Europe!historic_heavy_truck_vehicles</vt:lpstr>
      <vt:lpstr>Europe!historic_household_vehicles</vt:lpstr>
      <vt:lpstr>Europe!historic_light_truck_vehicles</vt:lpstr>
      <vt:lpstr>Europe!historic_pkm</vt:lpstr>
      <vt:lpstr>Catalonia!historic_pkm_GDP</vt:lpstr>
      <vt:lpstr>World!historic_pkm_GDP</vt:lpstr>
      <vt:lpstr>Europe!historic_share_batteries_bus</vt:lpstr>
      <vt:lpstr>Europe!historic_share_batteries_ev</vt:lpstr>
      <vt:lpstr>Europe!historic_share_batteries_heavy_trucks</vt:lpstr>
      <vt:lpstr>Europe!historic_share_batteries_trucks</vt:lpstr>
      <vt:lpstr>Europe!historic_tkm</vt:lpstr>
      <vt:lpstr>Catalonia!historic_tkm_GDP</vt:lpstr>
      <vt:lpstr>World!historic_tkm_GDP</vt:lpstr>
      <vt:lpstr>World!initial_com_veh_electr_hyb</vt:lpstr>
      <vt:lpstr>Catalonia!initial_economy_transport_pkm</vt:lpstr>
      <vt:lpstr>Catalonia!initial_economy_transport_tkm</vt:lpstr>
      <vt:lpstr>World!initial_economy_transport_tkm</vt:lpstr>
      <vt:lpstr>Catalonia!initial_ei_households_transport</vt:lpstr>
      <vt:lpstr>Europe!initial_ei_households_transport</vt:lpstr>
      <vt:lpstr>World!initial_ei_households_transport</vt:lpstr>
      <vt:lpstr>Catalonia!initial_energy_intensity_households_transport</vt:lpstr>
      <vt:lpstr>World!initial_energy_intensity_households_transport</vt:lpstr>
      <vt:lpstr>Catalonia!initial_fuel_share_air_pkm</vt:lpstr>
      <vt:lpstr>Europe!initial_fuel_share_air_pkm</vt:lpstr>
      <vt:lpstr>World!initial_fuel_share_air_pkm</vt:lpstr>
      <vt:lpstr>Catalonia!initial_fuel_share_air_tkm</vt:lpstr>
      <vt:lpstr>Europe!initial_fuel_share_air_tkm</vt:lpstr>
      <vt:lpstr>World!initial_fuel_share_air_tkm</vt:lpstr>
      <vt:lpstr>Catalonia!initial_fuel_share_households_pkm</vt:lpstr>
      <vt:lpstr>World!initial_fuel_share_households_pkm</vt:lpstr>
      <vt:lpstr>Catalonia!initial_fuel_share_inland_pkm</vt:lpstr>
      <vt:lpstr>World!initial_fuel_share_inland_pkm</vt:lpstr>
      <vt:lpstr>Catalonia!initial_fuel_share_inland_tkm</vt:lpstr>
      <vt:lpstr>World!initial_fuel_share_inland_tkm</vt:lpstr>
      <vt:lpstr>Catalonia!initial_fuel_share_maritime_pkm</vt:lpstr>
      <vt:lpstr>World!initial_fuel_share_maritime_pkm</vt:lpstr>
      <vt:lpstr>Catalonia!initial_fuel_share_maritime_tkm</vt:lpstr>
      <vt:lpstr>Europe!initial_fuel_share_maritime_tkm</vt:lpstr>
      <vt:lpstr>World!initial_fuel_share_maritime_tkm</vt:lpstr>
      <vt:lpstr>Catalonia!initial_household_vehicles</vt:lpstr>
      <vt:lpstr>World!initial_household_vehicles</vt:lpstr>
      <vt:lpstr>Catalonia!initial_households_demand</vt:lpstr>
      <vt:lpstr>World!initial_households_demand</vt:lpstr>
      <vt:lpstr>World!initial_mode_share</vt:lpstr>
      <vt:lpstr>Catalonia!initial_percent_T_vehicles</vt:lpstr>
      <vt:lpstr>Europe!initial_pkm</vt:lpstr>
      <vt:lpstr>World!initial_pkm</vt:lpstr>
      <vt:lpstr>World!initial_pkm__commercial_inland</vt:lpstr>
      <vt:lpstr>Europe!initial_pkm_gdp_2015</vt:lpstr>
      <vt:lpstr>Catalonia!initial_pkm_households</vt:lpstr>
      <vt:lpstr>Europe!initial_pkm_vehicles_com</vt:lpstr>
      <vt:lpstr>World!initial_pkm_vehicles_com</vt:lpstr>
      <vt:lpstr>Europe!initial_share_comercial_pkm</vt:lpstr>
      <vt:lpstr>Europe!initial_share_pkm_2015</vt:lpstr>
      <vt:lpstr>Europe!initial_share_private_pkm</vt:lpstr>
      <vt:lpstr>Europe!initial_share_road_heavy_tkm</vt:lpstr>
      <vt:lpstr>Europe!initial_share_road_light_tkm</vt:lpstr>
      <vt:lpstr>Europe!initial_share_road_tkm</vt:lpstr>
      <vt:lpstr>World!initial_share_transport_sector</vt:lpstr>
      <vt:lpstr>Catalonia!initial_vehicles_inland</vt:lpstr>
      <vt:lpstr>World!initial_vehicles_inland</vt:lpstr>
      <vt:lpstr>Catalonia!initial_Xt_inland</vt:lpstr>
      <vt:lpstr>Catalonia!liq_2w</vt:lpstr>
      <vt:lpstr>Catalonia!liq_4w</vt:lpstr>
      <vt:lpstr>World!liq_4w</vt:lpstr>
      <vt:lpstr>Catalonia!percent_H_vehicles_initial</vt:lpstr>
      <vt:lpstr>World!percent_H_vehicles_initial</vt:lpstr>
      <vt:lpstr>Europe!phi_pkm</vt:lpstr>
      <vt:lpstr>Europe!phi_tkm</vt:lpstr>
      <vt:lpstr>Europe!pkm_2023</vt:lpstr>
      <vt:lpstr>Europe!pkm_GDP</vt:lpstr>
      <vt:lpstr>World!pkm_gdp_2015</vt:lpstr>
      <vt:lpstr>Catalonia!pkm_gdp_slope</vt:lpstr>
      <vt:lpstr>Europe!pkm_gdp_slope</vt:lpstr>
      <vt:lpstr>World!pkm_gdp_slope</vt:lpstr>
      <vt:lpstr>Europe!res0_pkm</vt:lpstr>
      <vt:lpstr>res0_tkm</vt:lpstr>
      <vt:lpstr>Global!saving_ratio_2wE</vt:lpstr>
      <vt:lpstr>Global!saving_ratios_vehicles_pkm</vt:lpstr>
      <vt:lpstr>Global!saving_ratios_vehicles_tkm</vt:lpstr>
      <vt:lpstr>Europe!share_hybrid_electricity_pkm</vt:lpstr>
      <vt:lpstr>Catalonia!share_transport_mode_hist_pkm</vt:lpstr>
      <vt:lpstr>Europe!share_transport_mode_hist_pkm</vt:lpstr>
      <vt:lpstr>World!share_transport_mode_hist_pkm</vt:lpstr>
      <vt:lpstr>Catalonia!share_transport_mode_hist_tkm</vt:lpstr>
      <vt:lpstr>Europe!share_transport_mode_hist_tkm</vt:lpstr>
      <vt:lpstr>World!share_transport_mode_hist_tkm</vt:lpstr>
      <vt:lpstr>Global!t_cycle</vt:lpstr>
      <vt:lpstr>Catalonia!time_index_2015</vt:lpstr>
      <vt:lpstr>Europe!time_index_2015</vt:lpstr>
      <vt:lpstr>World!time_index_2015</vt:lpstr>
      <vt:lpstr>Europe!time_index_2023</vt:lpstr>
      <vt:lpstr>World!tkm_gdp_2015</vt:lpstr>
      <vt:lpstr>Catalonia!tkm_gdp_slope</vt:lpstr>
      <vt:lpstr>World!tkm_gdp_slope</vt:lpstr>
      <vt:lpstr>Europe!tkm_initial</vt:lpstr>
      <vt:lpstr>Europe!year_hist_batteries</vt:lpstr>
      <vt:lpstr>Europe!year0_pkm</vt:lpstr>
      <vt:lpstr>Europe!year0_tkm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IdB</dc:creator>
  <dc:description/>
  <cp:lastModifiedBy>Joan Enric Alcover</cp:lastModifiedBy>
  <cp:revision>30</cp:revision>
  <dcterms:created xsi:type="dcterms:W3CDTF">2017-01-25T13:20:29Z</dcterms:created>
  <dcterms:modified xsi:type="dcterms:W3CDTF">2026-03-23T12:12:52Z</dcterms:modified>
  <dc:language>en-US</dc:language>
</cp:coreProperties>
</file>