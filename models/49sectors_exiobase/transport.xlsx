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lobal" sheetId="1" state="visible" r:id="rId3"/>
    <sheet name="World" sheetId="2" state="visible" r:id="rId4"/>
    <sheet name="Europe" sheetId="3" state="visible" r:id="rId5"/>
    <sheet name="Catalonia" sheetId="4" state="visible" r:id="rId6"/>
    <sheet name="Hoja1" sheetId="5" state="visible" r:id="rId7"/>
  </sheets>
  <definedNames>
    <definedName function="false" hidden="false" name="efficiency_tkm_liquids" vbProcedure="false">World!$B$42:$D$42</definedName>
    <definedName function="false" hidden="false" name="end_historicla_data" vbProcedure="false">World!$B$7</definedName>
    <definedName function="false" hidden="false" name="occupancy_tkm" vbProcedure="false">global!#ref!</definedName>
    <definedName function="false" hidden="false" name="res0_tkm" vbProcedure="false">Europe!$B$7</definedName>
    <definedName function="false" hidden="false" localSheetId="0" name="bateries_ratio_2w_E" vbProcedure="false">Global!$B$55</definedName>
    <definedName function="false" hidden="false" localSheetId="0" name="bateries_ratio_bus_E" vbProcedure="false">Global!$B$53</definedName>
    <definedName function="false" hidden="false" localSheetId="0" name="bateries_ratio_hib_bus" vbProcedure="false">Global!$B$54</definedName>
    <definedName function="false" hidden="false" localSheetId="0" name="bateries_ratio_hib_hv" vbProcedure="false">Global!$B$52</definedName>
    <definedName function="false" hidden="false" localSheetId="0" name="bateries_ratio_hib_lv" vbProcedure="false">global!#ref!</definedName>
    <definedName function="false" hidden="false" localSheetId="0" name="cicles_over_lifetime" vbProcedure="false">Global!$B$66:$B$70</definedName>
    <definedName function="false" hidden="false" localSheetId="0" name="cp_evs_transport" vbProcedure="false">Global!$B$73:$B$76</definedName>
    <definedName function="false" hidden="false" localSheetId="0" name="efficiency_pkm" vbProcedure="false">Global!$B$24:$F$27</definedName>
    <definedName function="false" hidden="false" localSheetId="0" name="efficiency_pkm_improvment" vbProcedure="false">Global!$B$29:$F$32</definedName>
    <definedName function="false" hidden="false" localSheetId="0" name="efficiency_tkm" vbProcedure="false">Global!$B$40:$F$43</definedName>
    <definedName function="false" hidden="false" localSheetId="0" name="efficiency_tkm_improvment" vbProcedure="false">Global!$B$45:$F$48</definedName>
    <definedName function="false" hidden="false" localSheetId="0" name="EJ_pkm_liquids" vbProcedure="false">Global!$B$24:$F$24</definedName>
    <definedName function="false" hidden="false" localSheetId="0" name="EJ_tkm_liquids" vbProcedure="false">Global!$B$40:$F$40</definedName>
    <definedName function="false" hidden="false" localSheetId="0" name="lifetime_pkm" vbProcedure="false">Global!$B$33:$F$33</definedName>
    <definedName function="false" hidden="false" localSheetId="0" name="lifetime_tkm" vbProcedure="false">Global!$B$49:$F$49</definedName>
    <definedName function="false" hidden="false" localSheetId="0" name="occupancy_pkm" vbProcedure="false">#ref!</definedName>
    <definedName function="false" hidden="false" localSheetId="0" name="saving_ratios_vehicles_pkm" vbProcedure="false">Global!$B$17:$E$21</definedName>
    <definedName function="false" hidden="false" localSheetId="0" name="saving_ratios_vehicles_tkm" vbProcedure="false">Global!$B$11:$E$14</definedName>
    <definedName function="false" hidden="false" localSheetId="0" name="saving_ratio_2wE" vbProcedure="false">Global!$B$8</definedName>
    <definedName function="false" hidden="false" localSheetId="0" name="t_cycle" vbProcedure="false">Global!$B$79:$B$82</definedName>
    <definedName function="false" hidden="false" localSheetId="1" name="elec_2w" vbProcedure="false">World!$B$97</definedName>
    <definedName function="false" hidden="false" localSheetId="1" name="end_historical_data" vbProcedure="false">World!$B$7</definedName>
    <definedName function="false" hidden="false" localSheetId="1" name="energy_initial_inland_transport" vbProcedure="false">World!$B$99:$B$111</definedName>
    <definedName function="false" hidden="false" localSheetId="1" name="historic_pkm_GDP" vbProcedure="false">World!$B$17:$V$17</definedName>
    <definedName function="false" hidden="false" localSheetId="1" name="historic_tkm_GDP" vbProcedure="false">World!$B$10:$V$10</definedName>
    <definedName function="false" hidden="false" localSheetId="1" name="H_4wheels_elec" vbProcedure="false">World!$B$53</definedName>
    <definedName function="false" hidden="false" localSheetId="1" name="H_4wheels_hyb" vbProcedure="false">World!$B$48</definedName>
    <definedName function="false" hidden="false" localSheetId="1" name="H_4_wheels_hyb" vbProcedure="false">World!$B$54</definedName>
    <definedName function="false" hidden="false" localSheetId="1" name="initial_com_veh_electr_hyb" vbProcedure="false">World!$B$78:$B$79</definedName>
    <definedName function="false" hidden="false" localSheetId="1" name="initial_economy_transport_pkm" vbProcedure="false">world!#ref!</definedName>
    <definedName function="false" hidden="false" localSheetId="1" name="initial_economy_transport_tkm" vbProcedure="false">World!$B$116</definedName>
    <definedName function="false" hidden="false" localSheetId="1" name="initial_ei_households_transport" vbProcedure="false">World!$B$131:$B$135</definedName>
    <definedName function="false" hidden="false" localSheetId="1" name="initial_energy_intensity_households_transport" vbProcedure="false">World!$B$124:$B$128</definedName>
    <definedName function="false" hidden="false" localSheetId="1" name="initial_fuel_share_air_pkm" vbProcedure="false">World!$D$34:$D$37</definedName>
    <definedName function="false" hidden="false" localSheetId="1" name="initial_fuel_share_air_tkm" vbProcedure="false">World!$C$34:$C$37</definedName>
    <definedName function="false" hidden="false" localSheetId="1" name="initial_fuel_share_households_pkm" vbProcedure="false">World!$D$38:$D$41</definedName>
    <definedName function="false" hidden="false" localSheetId="1" name="initial_fuel_share_inland_pkm" vbProcedure="false">World!$D$26:$D$29</definedName>
    <definedName function="false" hidden="false" localSheetId="1" name="initial_fuel_share_inland_tkm" vbProcedure="false">World!$C$26:$C$29</definedName>
    <definedName function="false" hidden="false" localSheetId="1" name="initial_fuel_share_maritime_pkm" vbProcedure="false">World!$D$30:$D$33</definedName>
    <definedName function="false" hidden="false" localSheetId="1" name="initial_fuel_share_maritime_tkm" vbProcedure="false">World!$C$30:$C$33</definedName>
    <definedName function="false" hidden="false" localSheetId="1" name="initial_households_demand" vbProcedure="false">World!$B$120</definedName>
    <definedName function="false" hidden="false" localSheetId="1" name="initial_household_vehicles" vbProcedure="false">World!$B$58</definedName>
    <definedName function="false" hidden="false" localSheetId="1" name="initial_mode_share" vbProcedure="false">World!$V$12:$V$15</definedName>
    <definedName function="false" hidden="false" localSheetId="1" name="initial_percent_T_vehicles" vbProcedure="false">world!#ref!</definedName>
    <definedName function="false" hidden="false" localSheetId="1" name="initial_pkm" vbProcedure="false">World!$B$59</definedName>
    <definedName function="false" hidden="false" localSheetId="1" name="initial_pkm_vehicles_com" vbProcedure="false">World!$B$74</definedName>
    <definedName function="false" hidden="false" localSheetId="1" name="initial_pkm__commercial_inland" vbProcedure="false">World!$B$76</definedName>
    <definedName function="false" hidden="false" localSheetId="1" name="initial_share_transport_sector" vbProcedure="false">World!$B$45:$B$49</definedName>
    <definedName function="false" hidden="false" localSheetId="1" name="initial_vehicles_inland" vbProcedure="false">World!$B$61:$B$73</definedName>
    <definedName function="false" hidden="false" localSheetId="1" name="liq_4w" vbProcedure="false">World!$B$92</definedName>
    <definedName function="false" hidden="false" localSheetId="1" name="percent_H_vehicles_initial" vbProcedure="false">World!$B$81:$B$86</definedName>
    <definedName function="false" hidden="false" localSheetId="1" name="pkm_gdp_2015" vbProcedure="false">World!$C$6</definedName>
    <definedName function="false" hidden="false" localSheetId="1" name="pkm_gdp_slope" vbProcedure="false">World!$C$5</definedName>
    <definedName function="false" hidden="false" localSheetId="1" name="share_transport_mode_hist_pkm" vbProcedure="false">World!$B$18:$AD$22</definedName>
    <definedName function="false" hidden="false" localSheetId="1" name="share_transport_mode_hist_tkm" vbProcedure="false">World!$B$11:$AD$15</definedName>
    <definedName function="false" hidden="false" localSheetId="1" name="time_index_2015" vbProcedure="false">World!$B$9:$V$9</definedName>
    <definedName function="false" hidden="false" localSheetId="1" name="time_index_2023" vbProcedure="false">World!$B$9:$AD$9</definedName>
    <definedName function="false" hidden="false" localSheetId="1" name="tkm_gdp_2015" vbProcedure="false">World!$B$6</definedName>
    <definedName function="false" hidden="false" localSheetId="1" name="tkm_gdp_slope" vbProcedure="false">World!$B$5</definedName>
    <definedName function="false" hidden="false" localSheetId="2" name="alpha_pkm" vbProcedure="false">europe!#ref!</definedName>
    <definedName function="false" hidden="false" localSheetId="2" name="beta_pkm" vbProcedure="false">Europe!$C$5</definedName>
    <definedName function="false" hidden="false" localSheetId="2" name="beta_tkm" vbProcedure="false">Europe!$B$5</definedName>
    <definedName function="false" hidden="false" localSheetId="2" name="end_historical_data" vbProcedure="false">Europe!$B$9</definedName>
    <definedName function="false" hidden="false" localSheetId="2" name="energy_initial_inland_transport" vbProcedure="false">europe!#ref!</definedName>
    <definedName function="false" hidden="false" localSheetId="2" name="historic_air_pkm_vehicles" vbProcedure="false">Europe!$C$93:$AE$96</definedName>
    <definedName function="false" hidden="false" localSheetId="2" name="historic_air_tkm_vehicles" vbProcedure="false">Europe!$C$76:$AE$79</definedName>
    <definedName function="false" hidden="false" localSheetId="2" name="historic_fuel_share_households_pkm" vbProcedure="false">Europe!$C$31:$AE$34</definedName>
    <definedName function="false" hidden="false" localSheetId="2" name="historic_fuel_share_inland_pkm" vbProcedure="false">Europe!$C$27:$AE$30</definedName>
    <definedName function="false" hidden="false" localSheetId="2" name="historic_fuel_share_maritime_pkm" vbProcedure="false">Europe!$C$39:$AE$42</definedName>
    <definedName function="false" hidden="false" localSheetId="2" name="historic_fuel_share_rail_pkm" vbProcedure="false">Europe!$C$35:$AE$38</definedName>
    <definedName function="false" hidden="false" localSheetId="2" name="historic_fuel_share_rail_tkm" vbProcedure="false">Europe!$C$53:$AE$56</definedName>
    <definedName function="false" hidden="false" localSheetId="2" name="historic_fuel_share_road_heavy_tkm" vbProcedure="false">Europe!$C$45:$AE$48</definedName>
    <definedName function="false" hidden="false" localSheetId="2" name="historic_fuel_share_road_light_tkm" vbProcedure="false">Europe!$C$49:$AE$52</definedName>
    <definedName function="false" hidden="false" localSheetId="2" name="historic_heavy_truck_vehicles" vbProcedure="false">Europe!$C$68:$AE$71</definedName>
    <definedName function="false" hidden="false" localSheetId="2" name="historic_household_vehicles" vbProcedure="false">Europe!$C$97:$AE$100</definedName>
    <definedName function="false" hidden="false" localSheetId="2" name="historic_light_truck_vehicles" vbProcedure="false">Europe!$C$80:$AE$83</definedName>
    <definedName function="false" hidden="false" localSheetId="2" name="historic_pkm" vbProcedure="false">Europe!$C$19:$AE$19</definedName>
    <definedName function="false" hidden="false" localSheetId="2" name="historic_rail_pkm_vehicles" vbProcedure="false">Europe!$C$89:$AE$92</definedName>
    <definedName function="false" hidden="false" localSheetId="2" name="historic_rail_tkm_vehicles" vbProcedure="false">Europe!$C$72:$AE$75</definedName>
    <definedName function="false" hidden="false" localSheetId="2" name="historic_share_batteries_bus" vbProcedure="false">Europe!$C$113:$L$117</definedName>
    <definedName function="false" hidden="false" localSheetId="2" name="historic_share_batteries_ev" vbProcedure="false">Europe!$C$108:$L$112</definedName>
    <definedName function="false" hidden="false" localSheetId="2" name="historic_share_batteries_heavy_trucks" vbProcedure="false">Europe!$C$123:$L$127</definedName>
    <definedName function="false" hidden="false" localSheetId="2" name="historic_share_batteries_trucks" vbProcedure="false">Europe!$C$118:$L$122</definedName>
    <definedName function="false" hidden="false" localSheetId="2" name="historic_tkm" vbProcedure="false">Europe!$C$12:$AE$12</definedName>
    <definedName function="false" hidden="false" localSheetId="2" name="H_4wheels_elec" vbProcedure="false">europe!#ref!</definedName>
    <definedName function="false" hidden="false" localSheetId="2" name="H_4wheels_hyb" vbProcedure="false">europe!#ref!</definedName>
    <definedName function="false" hidden="false" localSheetId="2" name="initial_economy_transport_pkm" vbProcedure="false">europe!#ref!</definedName>
    <definedName function="false" hidden="false" localSheetId="2" name="initial_economy_transport_tkm" vbProcedure="false">europe!#ref!</definedName>
    <definedName function="false" hidden="false" localSheetId="2" name="initial_ei_households_transport" vbProcedure="false">Europe!$B$132:$B$136</definedName>
    <definedName function="false" hidden="false" localSheetId="2" name="initial_fuel_share_air_pkm" vbProcedure="false">Europe!$D$61:$D$103</definedName>
    <definedName function="false" hidden="false" localSheetId="2" name="initial_fuel_share_air_tkm" vbProcedure="false">Europe!$C$58:$C$61</definedName>
    <definedName function="false" hidden="false" localSheetId="2" name="initial_fuel_share_maritime_tkm" vbProcedure="false">Europe!$C$57:$C$60</definedName>
    <definedName function="false" hidden="false" localSheetId="2" name="initial_households_demand" vbProcedure="false">europe!#ref!</definedName>
    <definedName function="false" hidden="false" localSheetId="2" name="initial_percent_T_vehicles" vbProcedure="false">europe!#ref!</definedName>
    <definedName function="false" hidden="false" localSheetId="2" name="initial_pkm" vbProcedure="false">Europe!$AE$19</definedName>
    <definedName function="false" hidden="false" localSheetId="2" name="initial_pkm_gdp_2015" vbProcedure="false">Europe!$W$16</definedName>
    <definedName function="false" hidden="false" localSheetId="2" name="initial_pkm_vehicles_com" vbProcedure="false">Europe!$C$85:$AE$88</definedName>
    <definedName function="false" hidden="false" localSheetId="2" name="initial_pkm__commercial_inland" vbProcedure="false">europe!#ref!</definedName>
    <definedName function="false" hidden="false" localSheetId="2" name="initial_rail_kms" vbProcedure="false">Europe!$AE$63</definedName>
    <definedName function="false" hidden="false" localSheetId="2" name="initial_share_comercial_pkm" vbProcedure="false">Europe!$AE$20</definedName>
    <definedName function="false" hidden="false" localSheetId="2" name="initial_share_pkm_2015" vbProcedure="false">Europe!$V$17:$V$20</definedName>
    <definedName function="false" hidden="false" localSheetId="2" name="initial_share_private_pkm" vbProcedure="false">Europe!$AE$21</definedName>
    <definedName function="false" hidden="false" localSheetId="2" name="initial_share_rail_pkm" vbProcedure="false">Europe!$AE$22</definedName>
    <definedName function="false" hidden="false" localSheetId="2" name="initial_share_rail_tkm" vbProcedure="false">Europe!$C$15</definedName>
    <definedName function="false" hidden="false" localSheetId="2" name="initial_share_road_heavy_tkm" vbProcedure="false">Europe!$AE$13</definedName>
    <definedName function="false" hidden="false" localSheetId="2" name="initial_share_road_light_tkm" vbProcedure="false">Europe!$AE$14</definedName>
    <definedName function="false" hidden="false" localSheetId="2" name="initial_share_road_tkm" vbProcedure="false">Europe!$AE$13</definedName>
    <definedName function="false" hidden="false" localSheetId="2" name="initial_vehicles_inland" vbProcedure="false">europe!#ref!</definedName>
    <definedName function="false" hidden="false" localSheetId="2" name="phi_pkm" vbProcedure="false">Europe!$C$6</definedName>
    <definedName function="false" hidden="false" localSheetId="2" name="phi_tkm" vbProcedure="false">Europe!$B$6</definedName>
    <definedName function="false" hidden="false" localSheetId="2" name="pkm_2023" vbProcedure="false">Europe!$AE$19</definedName>
    <definedName function="false" hidden="false" localSheetId="2" name="pkm_GDP" vbProcedure="false">Europe!$C$16:$W$16</definedName>
    <definedName function="false" hidden="false" localSheetId="2" name="pkm_gdp_slope" vbProcedure="false">Europe!$C$5</definedName>
    <definedName function="false" hidden="false" localSheetId="2" name="res0_pkm" vbProcedure="false">Europe!$C$7</definedName>
    <definedName function="false" hidden="false" localSheetId="2" name="share_hybrid_electricity_pkm" vbProcedure="false">Europe!$C$43:$AE$43</definedName>
    <definedName function="false" hidden="false" localSheetId="2" name="share_transport_mode_hist_pkm" vbProcedure="false">Europe!$C$20:$AE$24</definedName>
    <definedName function="false" hidden="false" localSheetId="2" name="share_transport_mode_hist_tkm" vbProcedure="false">Europe!$C$13:$AE$17</definedName>
    <definedName function="false" hidden="false" localSheetId="2" name="time_index_2015" vbProcedure="false">Europe!$B$9:$V$9</definedName>
    <definedName function="false" hidden="false" localSheetId="2" name="time_index_2023" vbProcedure="false">Europe!$C$11:$AE$11</definedName>
    <definedName function="false" hidden="false" localSheetId="2" name="tkm_initial" vbProcedure="false">Europe!$AE$12</definedName>
    <definedName function="false" hidden="false" localSheetId="2" name="year0_pkm" vbProcedure="false">Europe!$C$8</definedName>
    <definedName function="false" hidden="false" localSheetId="2" name="year0_tkm" vbProcedure="false">Europe!$B$8</definedName>
    <definedName function="false" hidden="false" localSheetId="2" name="year_hist_batteries" vbProcedure="false">Europe!$C$107:$L$107</definedName>
    <definedName function="false" hidden="false" localSheetId="3" name="end_historical_data" vbProcedure="false">Catalonia!$B$9</definedName>
    <definedName function="false" hidden="false" localSheetId="3" name="energy_initial_inland_transport" vbProcedure="false">Catalonia!$B$99:$B$111</definedName>
    <definedName function="false" hidden="false" localSheetId="3" name="historic_pkm_GDP" vbProcedure="false">Catalonia!$B$18:$V$18</definedName>
    <definedName function="false" hidden="false" localSheetId="3" name="historic_tkm_GDP" vbProcedure="false">Catalonia!$B$12:$V$12</definedName>
    <definedName function="false" hidden="false" localSheetId="3" name="H_4wheels_elec" vbProcedure="false">Catalonia!$B$45</definedName>
    <definedName function="false" hidden="false" localSheetId="3" name="H_4_wheels_hyb" vbProcedure="false">Catalonia!$B$46</definedName>
    <definedName function="false" hidden="false" localSheetId="3" name="initial_economy_transport_pkm" vbProcedure="false">Catalonia!$B$117</definedName>
    <definedName function="false" hidden="false" localSheetId="3" name="initial_economy_transport_tkm" vbProcedure="false">Catalonia!$B$116</definedName>
    <definedName function="false" hidden="false" localSheetId="3" name="initial_ei_households_transport" vbProcedure="false">Catalonia!$B$123:$B$127</definedName>
    <definedName function="false" hidden="false" localSheetId="3" name="initial_energy_intensity_households_transport" vbProcedure="false">Catalonia!$B$123:$B$126</definedName>
    <definedName function="false" hidden="false" localSheetId="3" name="initial_fuel_share_air_pkm" vbProcedure="false">Catalonia!$D$35:$D$38</definedName>
    <definedName function="false" hidden="false" localSheetId="3" name="initial_fuel_share_air_tkm" vbProcedure="false">Catalonia!$C$35:$C$38</definedName>
    <definedName function="false" hidden="false" localSheetId="3" name="initial_fuel_share_households_pkm" vbProcedure="false">Catalonia!$D$39:$D$42</definedName>
    <definedName function="false" hidden="false" localSheetId="3" name="initial_fuel_share_inland_pkm" vbProcedure="false">Catalonia!$D$27:$D$30</definedName>
    <definedName function="false" hidden="false" localSheetId="3" name="initial_fuel_share_inland_tkm" vbProcedure="false">Catalonia!$C$27:$C$30</definedName>
    <definedName function="false" hidden="false" localSheetId="3" name="initial_fuel_share_maritime_pkm" vbProcedure="false">Catalonia!$D$31:$D$34</definedName>
    <definedName function="false" hidden="false" localSheetId="3" name="initial_fuel_share_maritime_tkm" vbProcedure="false">Catalonia!$C$31:$C$34</definedName>
    <definedName function="false" hidden="false" localSheetId="3" name="initial_households_demand" vbProcedure="false">Catalonia!$B$119</definedName>
    <definedName function="false" hidden="false" localSheetId="3" name="initial_household_vehicles" vbProcedure="false">Catalonia!$B$50</definedName>
    <definedName function="false" hidden="false" localSheetId="3" name="initial_percent_T_vehicles" vbProcedure="false">Catalonia!$B$76:$B$88</definedName>
    <definedName function="false" hidden="false" localSheetId="3" name="initial_pkm_households" vbProcedure="false">Catalonia!$B$51</definedName>
    <definedName function="false" hidden="false" localSheetId="3" name="initial_vehicles_inland" vbProcedure="false">Catalonia!$B$53:$B$65</definedName>
    <definedName function="false" hidden="false" localSheetId="3" name="initial_Xt_inland" vbProcedure="false">Catalonia!$B$116</definedName>
    <definedName function="false" hidden="false" localSheetId="3" name="liq_2w" vbProcedure="false">Catalonia!$B$96</definedName>
    <definedName function="false" hidden="false" localSheetId="3" name="liq_4w" vbProcedure="false">Catalonia!$B$92</definedName>
    <definedName function="false" hidden="false" localSheetId="3" name="percent_H_vehicles_initial" vbProcedure="false">Catalonia!$B$67:$B$72</definedName>
    <definedName function="false" hidden="false" localSheetId="3" name="pkm_gdp_2015" vbProcedure="false">catalonia!#ref!</definedName>
    <definedName function="false" hidden="false" localSheetId="3" name="pkm_gdp_slope" vbProcedure="false">Catalonia!$C$5</definedName>
    <definedName function="false" hidden="false" localSheetId="3" name="share_transport_mode_hist_pkm" vbProcedure="false">Catalonia!$B$20:$V$23</definedName>
    <definedName function="false" hidden="false" localSheetId="3" name="share_transport_mode_hist_tkm" vbProcedure="false">Catalonia!$B$13:$AD$16</definedName>
    <definedName function="false" hidden="false" localSheetId="3" name="time_index_2015" vbProcedure="false">Catalonia!$B$11:$V$11</definedName>
    <definedName function="false" hidden="false" localSheetId="3" name="tkm_gdp_2015" vbProcedure="false">catalonia!#ref!</definedName>
    <definedName function="false" hidden="false" localSheetId="3" name="tkm_gdp_slope" vbProcedure="false">Catalonia!$B$5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Autoria desconeguda</author>
  </authors>
  <commentList>
    <comment ref="A57" authorId="0">
      <text>
        <r>
          <rPr>
            <sz val="10"/>
            <rFont val="Arial"/>
            <family val="2"/>
          </rPr>
          <t xml:space="preserve">https://www.iea.org/data-and-statistics/charts/ghg-intensity-of-passenger-transport-modes-2019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23</xdr:colOff>
                <xdr:row>51</xdr:row>
                <xdr:rowOff>19</xdr:rowOff>
              </xdr:from>
              <xdr:to>
                <xdr:col>2</xdr:col>
                <xdr:colOff>74</xdr:colOff>
                <xdr:row>62</xdr:row>
                <xdr:rowOff>4</xdr:rowOff>
              </xdr:to>
            </anchor>
          </commentPr>
        </mc:Choice>
        <mc:Fallback/>
      </mc:AlternateContent>
    </comment>
    <comment ref="B4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EABEV, 2008. Energy Consumption, CO2 Emissions and other considerations related to Battery Electric Vehicles. http://www.going-electric.org/.
La realidad es menor, claro. Los cáluclos que hemos hecho para el coche eléctrico tipo leaf arrojan una necesidad de 72MJ/100Km (de rpoducción eléctrica en una planta). Un coche equivalente de gasolina (en tamaño y prestaciones -ignorando paradas y desgaste de batería-) para un consumo de 5l/100 reales (yo saco exactamente eso a mi furgoneta partner que es mucho más grande), daría 162MJ/100Km, un factor 0,44. De forma más realista probablemente ande por 0,5 (la batería va perdiendo potencia con el uso y mi coche de gasolina no).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96</xdr:colOff>
                <xdr:row>2</xdr:row>
                <xdr:rowOff>10</xdr:rowOff>
              </xdr:from>
              <xdr:to>
                <xdr:col>5</xdr:col>
                <xdr:colOff>46</xdr:colOff>
                <xdr:row>13</xdr:row>
                <xdr:rowOff>13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tomado de los datos de wiki para convencionales https://es.wikipedia.org/wiki/Consumo_de_energ%C3%ADa_del_tren_y_de_otros_medios_de_transporte   y de los fabricantes de prius para hibridos  https://www.toyota.com/prius/features/mpg/1221/1223/1224/1225
Pues lo mismo digo. El prius no ahorra, en equivalente en prestaciones, 2/3 de la gasolina o diesel de un vehículo normal, quizás un 75% es más creíble. Lo que sería una mejora ya sustancial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96</xdr:colOff>
                <xdr:row>3</xdr:row>
                <xdr:rowOff>10</xdr:rowOff>
              </xdr:from>
              <xdr:to>
                <xdr:col>5</xdr:col>
                <xdr:colOff>68</xdr:colOff>
                <xdr:row>21</xdr:row>
                <xdr:rowOff>4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marga: 
</t>
        </r>
        <r>
          <rPr>
            <sz val="9"/>
            <color rgb="FF000000"/>
            <rFont val="Tahoma"/>
            <family val="2"/>
            <charset val="1"/>
          </rPr>
          <t xml:space="preserve">Hekkert MP, Hendriks FHJF, Faaij APC, Neelis ML. Natural gas as an alternative to crude oil in automotive fuel chains well-towheel analysis and transition strategy development. Energy Policy 2005;33:579?94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96</xdr:colOff>
                <xdr:row>4</xdr:row>
                <xdr:rowOff>10</xdr:rowOff>
              </xdr:from>
              <xdr:to>
                <xdr:col>2</xdr:col>
                <xdr:colOff>7</xdr:colOff>
                <xdr:row>13</xdr:row>
                <xdr:rowOff>5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comparing data from Energy Production and the Potential for Electric Motorcycles in Solo and Central Java, Indonesia  By: Erick Guerra and Lucia Artavia , January 9, 2016 , Kleinman Center for Energy Policyh  http://kleinmanenergy.upenn.edu/policy-digests/energy-production-and-potential-electric-motorcycles-solo-and-central-java-indonesia
and from conventional motorbikes in Las Cuentas Ecológicas del Transporte en España, Libros en Acción,  Alfonso Sanz Alduán; Pilar Vega Pindado; Miguel Mateos Arribas 2014
7KWh/100Km corresponds with a saving ratio of: 7kWh/ 23,2 KWh = 0,3
For lighter scooters which are the majority in in-development countries (and which currently represent the majority of 2w electric vehicles): 4kWh/ 23,2 Kwh = 0,17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96</xdr:colOff>
                <xdr:row>6</xdr:row>
                <xdr:rowOff>10</xdr:rowOff>
              </xdr:from>
              <xdr:to>
                <xdr:col>9</xdr:col>
                <xdr:colOff>39</xdr:colOff>
                <xdr:row>16</xdr:row>
                <xdr:rowOff>19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as hybrid cars, no better data found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96</xdr:colOff>
                <xdr:row>9</xdr:row>
                <xdr:rowOff>9</xdr:rowOff>
              </xdr:from>
              <xdr:to>
                <xdr:col>2</xdr:col>
                <xdr:colOff>7</xdr:colOff>
                <xdr:row>13</xdr:row>
                <xdr:rowOff>14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as hybrid cars, no better data found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96</xdr:colOff>
                <xdr:row>10</xdr:row>
                <xdr:rowOff>9</xdr:rowOff>
              </xdr:from>
              <xdr:to>
                <xdr:col>2</xdr:col>
                <xdr:colOff>7</xdr:colOff>
                <xdr:row>14</xdr:row>
                <xdr:rowOff>13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same data as bus since there are no data of real performance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96</xdr:colOff>
                <xdr:row>11</xdr:row>
                <xdr:rowOff>9</xdr:rowOff>
              </xdr:from>
              <xdr:to>
                <xdr:col>2</xdr:col>
                <xdr:colOff>7</xdr:colOff>
                <xdr:row>15</xdr:row>
                <xdr:rowOff>13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as hybrid cars, no better data found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96</xdr:colOff>
                <xdr:row>15</xdr:row>
                <xdr:rowOff>7</xdr:rowOff>
              </xdr:from>
              <xdr:to>
                <xdr:col>2</xdr:col>
                <xdr:colOff>7</xdr:colOff>
                <xdr:row>19</xdr:row>
                <xdr:rowOff>12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same data as bus since there are no data of real performance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96</xdr:colOff>
                <xdr:row>17</xdr:row>
                <xdr:rowOff>7</xdr:rowOff>
              </xdr:from>
              <xdr:to>
                <xdr:col>2</xdr:col>
                <xdr:colOff>7</xdr:colOff>
                <xdr:row>21</xdr:row>
                <xdr:rowOff>10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Autoria desconeguda</author>
  </authors>
  <commentList>
    <comment ref="A51" authorId="0">
      <text>
        <r>
          <rPr>
            <sz val="10"/>
            <rFont val="Arial"/>
            <family val="2"/>
          </rPr>
          <t xml:space="preserve">marga: 
</t>
        </r>
        <r>
          <rPr>
            <sz val="9"/>
            <color rgb="FF000000"/>
            <rFont val="Tahoma"/>
            <family val="2"/>
            <charset val="1"/>
          </rPr>
          <t xml:space="preserve">Data of number of vehicle from 'International Energy Agency (2016), Energy Technology Perspectives 2016, OECD/IEA, Paris, except the number of buses taken from Global Transportation Roadmap  
https://onedrive.live.com/?authkey=%21AOvHG9y4Oi%5F0Cts&amp;id=5F88C4E00B2E665B%21409962&amp;cid=5F88C4E00B2E665B
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72</xdr:colOff>
                <xdr:row>49</xdr:row>
                <xdr:rowOff>9</xdr:rowOff>
              </xdr:from>
              <xdr:to>
                <xdr:col>1</xdr:col>
                <xdr:colOff>116</xdr:colOff>
                <xdr:row>64</xdr:row>
                <xdr:rowOff>13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Profesor:
</t>
        </r>
        <r>
          <rPr>
            <sz val="9"/>
            <color rgb="FF000000"/>
            <rFont val="Tahoma"/>
            <family val="2"/>
            <charset val="1"/>
          </rPr>
          <t xml:space="preserve">elec= batery electric vehicle+plug in hybrid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72</xdr:colOff>
                <xdr:row>51</xdr:row>
                <xdr:rowOff>11</xdr:rowOff>
              </xdr:from>
              <xdr:to>
                <xdr:col>2</xdr:col>
                <xdr:colOff>4</xdr:colOff>
                <xdr:row>55</xdr:row>
                <xdr:rowOff>7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Two and three  wheelers gasoline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72</xdr:colOff>
                <xdr:row>54</xdr:row>
                <xdr:rowOff>11</xdr:rowOff>
              </xdr:from>
              <xdr:to>
                <xdr:col>1</xdr:col>
                <xdr:colOff>116</xdr:colOff>
                <xdr:row>58</xdr:row>
                <xdr:rowOff>14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electric two ant three
 wheelers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72</xdr:colOff>
                <xdr:row>55</xdr:row>
                <xdr:rowOff>11</xdr:rowOff>
              </xdr:from>
              <xdr:to>
                <xdr:col>1</xdr:col>
                <xdr:colOff>116</xdr:colOff>
                <xdr:row>59</xdr:row>
                <xdr:rowOff>14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heavy vehicles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72</xdr:colOff>
                <xdr:row>59</xdr:row>
                <xdr:rowOff>11</xdr:rowOff>
              </xdr:from>
              <xdr:to>
                <xdr:col>1</xdr:col>
                <xdr:colOff>116</xdr:colOff>
                <xdr:row>63</xdr:row>
                <xdr:rowOff>14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light cargo vehicles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72</xdr:colOff>
                <xdr:row>62</xdr:row>
                <xdr:rowOff>11</xdr:rowOff>
              </xdr:from>
              <xdr:to>
                <xdr:col>1</xdr:col>
                <xdr:colOff>116</xdr:colOff>
                <xdr:row>66</xdr:row>
                <xdr:rowOff>14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Profesor:
</t>
        </r>
        <r>
          <rPr>
            <sz val="9"/>
            <color rgb="FF000000"/>
            <rFont val="Tahoma"/>
            <family val="2"/>
            <charset val="1"/>
          </rPr>
          <t xml:space="preserve">Data from: Global Transportation
Energy and Climate
Roadmap,International Council on Clean Transportation 2012.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84</xdr:colOff>
                <xdr:row>66</xdr:row>
                <xdr:rowOff>11</xdr:rowOff>
              </xdr:from>
              <xdr:to>
                <xdr:col>1</xdr:col>
                <xdr:colOff>54</xdr:colOff>
                <xdr:row>77</xdr:row>
                <xdr:rowOff>15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no data for number of trains found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84</xdr:colOff>
                <xdr:row>69</xdr:row>
                <xdr:rowOff>11</xdr:rowOff>
              </xdr:from>
              <xdr:to>
                <xdr:col>1</xdr:col>
                <xdr:colOff>54</xdr:colOff>
                <xdr:row>73</xdr:row>
                <xdr:rowOff>14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Data from 'International Energy Agency (2016), Energy Technology Perspectives 2016, OECD/IEA, Paris,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84</xdr:colOff>
                <xdr:row>90</xdr:row>
                <xdr:rowOff>10</xdr:rowOff>
              </xdr:from>
              <xdr:to>
                <xdr:col>1</xdr:col>
                <xdr:colOff>54</xdr:colOff>
                <xdr:row>99</xdr:row>
                <xdr:rowOff>5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datos elaborados, tomado los de la IEA pero prorrateando el consumo entre liquidos y electricidad según el numero de 2wheelers de cada tipo y el ahorro medio de los electricos
Data from 'International Energy Agency (2016), Energy Technology Perspectives 2016, OECD/IEA, Paris,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84</xdr:colOff>
                <xdr:row>94</xdr:row>
                <xdr:rowOff>10</xdr:rowOff>
              </xdr:from>
              <xdr:to>
                <xdr:col>1</xdr:col>
                <xdr:colOff>54</xdr:colOff>
                <xdr:row>114</xdr:row>
                <xdr:rowOff>14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estimation, no world data found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22</xdr:colOff>
                <xdr:row>108</xdr:row>
                <xdr:rowOff>10</xdr:rowOff>
              </xdr:from>
              <xdr:to>
                <xdr:col>6</xdr:col>
                <xdr:colOff>71</xdr:colOff>
                <xdr:row>112</xdr:row>
                <xdr:rowOff>18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estimation, no world data found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19</xdr:colOff>
                <xdr:row>109</xdr:row>
                <xdr:rowOff>10</xdr:rowOff>
              </xdr:from>
              <xdr:to>
                <xdr:col>6</xdr:col>
                <xdr:colOff>71</xdr:colOff>
                <xdr:row>113</xdr:row>
                <xdr:rowOff>18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both types of energy liquids+electricity mixed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22</xdr:colOff>
                <xdr:row>110</xdr:row>
                <xdr:rowOff>10</xdr:rowOff>
              </xdr:from>
              <xdr:to>
                <xdr:col>6</xdr:col>
                <xdr:colOff>71</xdr:colOff>
                <xdr:row>114</xdr:row>
                <xdr:rowOff>18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estimation, no world data found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46</xdr:colOff>
                <xdr:row>109</xdr:row>
                <xdr:rowOff>10</xdr:rowOff>
              </xdr:from>
              <xdr:to>
                <xdr:col>8</xdr:col>
                <xdr:colOff>8</xdr:colOff>
                <xdr:row>113</xdr:row>
                <xdr:rowOff>18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Autoria desconeguda</author>
  </authors>
  <commentList>
    <comment ref="A43" authorId="0">
      <text>
        <r>
          <rPr>
            <sz val="10"/>
            <rFont val="Arial"/>
            <family val="2"/>
          </rPr>
          <t xml:space="preserve">marga: 
</t>
        </r>
        <r>
          <rPr>
            <sz val="9"/>
            <color rgb="FF000000"/>
            <rFont val="Tahoma"/>
            <family val="2"/>
            <charset val="1"/>
          </rPr>
          <t xml:space="preserve">no data provided by AEA estimation based on Pocketbook 2017 :
pocketbook 2017  https://ec.europa.eu/transport/sites/transport/files/pocketbook2017.pdf
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40</xdr:row>
                <xdr:rowOff>13</xdr:rowOff>
              </xdr:from>
              <xdr:to>
                <xdr:col>2</xdr:col>
                <xdr:colOff>32</xdr:colOff>
                <xdr:row>48</xdr:row>
                <xdr:rowOff>11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Profesor:
</t>
        </r>
        <r>
          <rPr>
            <sz val="9"/>
            <color rgb="FF000000"/>
            <rFont val="Tahoma"/>
            <family val="2"/>
            <charset val="1"/>
          </rPr>
          <t xml:space="preserve">elec= batery electric vehicle+plug in hybrid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42</xdr:row>
                <xdr:rowOff>11</xdr:rowOff>
              </xdr:from>
              <xdr:to>
                <xdr:col>2</xdr:col>
                <xdr:colOff>40</xdr:colOff>
                <xdr:row>46</xdr:row>
                <xdr:rowOff>6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Two and three  wheelers gasoline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45</xdr:row>
                <xdr:rowOff>10</xdr:rowOff>
              </xdr:from>
              <xdr:to>
                <xdr:col>2</xdr:col>
                <xdr:colOff>32</xdr:colOff>
                <xdr:row>49</xdr:row>
                <xdr:rowOff>10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electric two ant three
 wheelers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46</xdr:row>
                <xdr:rowOff>10</xdr:rowOff>
              </xdr:from>
              <xdr:to>
                <xdr:col>2</xdr:col>
                <xdr:colOff>32</xdr:colOff>
                <xdr:row>50</xdr:row>
                <xdr:rowOff>10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no data provided by AEA estimation based on Pocketbook 2017 :
pocketbook 2017  https://ec.europa.eu/transport/sites/transport/files/pocketbook2017.pdf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49</xdr:row>
                <xdr:rowOff>10</xdr:rowOff>
              </xdr:from>
              <xdr:to>
                <xdr:col>2</xdr:col>
                <xdr:colOff>36</xdr:colOff>
                <xdr:row>56</xdr:row>
                <xdr:rowOff>12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heavy vehicles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50</xdr:row>
                <xdr:rowOff>10</xdr:rowOff>
              </xdr:from>
              <xdr:to>
                <xdr:col>2</xdr:col>
                <xdr:colOff>32</xdr:colOff>
                <xdr:row>54</xdr:row>
                <xdr:rowOff>10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light cargo vehicles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53</xdr:row>
                <xdr:rowOff>10</xdr:rowOff>
              </xdr:from>
              <xdr:to>
                <xdr:col>2</xdr:col>
                <xdr:colOff>32</xdr:colOff>
                <xdr:row>57</xdr:row>
                <xdr:rowOff>10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LV not consider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76</xdr:row>
                <xdr:rowOff>10</xdr:rowOff>
              </xdr:from>
              <xdr:to>
                <xdr:col>2</xdr:col>
                <xdr:colOff>36</xdr:colOff>
                <xdr:row>80</xdr:row>
                <xdr:rowOff>10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Profesor:
</t>
        </r>
        <r>
          <rPr>
            <sz val="9"/>
            <color rgb="FF000000"/>
            <rFont val="Tahoma"/>
            <family val="2"/>
            <charset val="1"/>
          </rPr>
          <t xml:space="preserve">Data from: Global Transportation
Energy and Climate
Roadmap,International Council on Clean Transportation 2012.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20</xdr:colOff>
                <xdr:row>57</xdr:row>
                <xdr:rowOff>10</xdr:rowOff>
              </xdr:from>
              <xdr:to>
                <xdr:col>3</xdr:col>
                <xdr:colOff>40</xdr:colOff>
                <xdr:row>64</xdr:row>
                <xdr:rowOff>12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no data for number of trains found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20</xdr:colOff>
                <xdr:row>59</xdr:row>
                <xdr:rowOff>10</xdr:rowOff>
              </xdr:from>
              <xdr:to>
                <xdr:col>3</xdr:col>
                <xdr:colOff>32</xdr:colOff>
                <xdr:row>63</xdr:row>
                <xdr:rowOff>10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estimation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25</xdr:colOff>
                <xdr:row>65</xdr:row>
                <xdr:rowOff>11</xdr:rowOff>
              </xdr:from>
              <xdr:to>
                <xdr:col>5</xdr:col>
                <xdr:colOff>15</xdr:colOff>
                <xdr:row>69</xdr:row>
                <xdr:rowOff>10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estimation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62</xdr:row>
                <xdr:rowOff>11</xdr:rowOff>
              </xdr:from>
              <xdr:to>
                <xdr:col>3</xdr:col>
                <xdr:colOff>48</xdr:colOff>
                <xdr:row>66</xdr:row>
                <xdr:rowOff>10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No data available for number to trains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20</xdr:colOff>
                <xdr:row>84</xdr:row>
                <xdr:rowOff>10</xdr:rowOff>
              </xdr:from>
              <xdr:to>
                <xdr:col>3</xdr:col>
                <xdr:colOff>32</xdr:colOff>
                <xdr:row>88</xdr:row>
                <xdr:rowOff>7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dato a boleo no tengo datos de los tresnes, no se como desegregarlos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20</xdr:colOff>
                <xdr:row>85</xdr:row>
                <xdr:rowOff>10</xdr:rowOff>
              </xdr:from>
              <xdr:to>
                <xdr:col>3</xdr:col>
                <xdr:colOff>32</xdr:colOff>
                <xdr:row>90</xdr:row>
                <xdr:rowOff>2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no data provided by AEA  estimation based on Pocketbook 2017 tkm and pkm and energy ratios of Las Cuentas Ecologicas del Transporte en España https://www.ecologistasenaccion.org/wp-content/uploads/adjuntos-spip/pdf/info_cuentas-ecologicas.pdf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51</xdr:colOff>
                <xdr:row>84</xdr:row>
                <xdr:rowOff>0</xdr:rowOff>
              </xdr:from>
              <xdr:to>
                <xdr:col>9</xdr:col>
                <xdr:colOff>31</xdr:colOff>
                <xdr:row>94</xdr:row>
                <xdr:rowOff>8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Data from 'International Energy Agency (2016), Energy Technology Perspectives 2016, OECD/IEA, Paris,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11</xdr:colOff>
                <xdr:row>90</xdr:row>
                <xdr:rowOff>3</xdr:rowOff>
              </xdr:from>
              <xdr:to>
                <xdr:col>5</xdr:col>
                <xdr:colOff>46</xdr:colOff>
                <xdr:row>96</xdr:row>
                <xdr:rowOff>8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datos elaborados, tomado los de la IEA pero prorrateando el consumo entre liquidos y electricidad según el numero de 2wheelers de cada tipo y el ahorro medio de los electricos
Data from 'International Energy Agency (2016), Energy Technology Perspectives 2016, OECD/IEA, Paris,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14</xdr:colOff>
                <xdr:row>94</xdr:row>
                <xdr:rowOff>14</xdr:rowOff>
              </xdr:from>
              <xdr:to>
                <xdr:col>8</xdr:col>
                <xdr:colOff>46</xdr:colOff>
                <xdr:row>109</xdr:row>
                <xdr:rowOff>15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estimation, no world data found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44</xdr:colOff>
                <xdr:row>109</xdr:row>
                <xdr:rowOff>18</xdr:rowOff>
              </xdr:from>
              <xdr:to>
                <xdr:col>5</xdr:col>
                <xdr:colOff>22</xdr:colOff>
                <xdr:row>114</xdr:row>
                <xdr:rowOff>2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estimation, no world data found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108</xdr:row>
                <xdr:rowOff>7</xdr:rowOff>
              </xdr:from>
              <xdr:to>
                <xdr:col>3</xdr:col>
                <xdr:colOff>33</xdr:colOff>
                <xdr:row>112</xdr:row>
                <xdr:rowOff>4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both types of energy liquids+electricity mixed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28</xdr:colOff>
                <xdr:row>107</xdr:row>
                <xdr:rowOff>3</xdr:rowOff>
              </xdr:from>
              <xdr:to>
                <xdr:col>5</xdr:col>
                <xdr:colOff>6</xdr:colOff>
                <xdr:row>111</xdr:row>
                <xdr:rowOff>1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marga:
</t>
        </r>
        <r>
          <rPr>
            <sz val="9"/>
            <color rgb="FF000000"/>
            <rFont val="Tahoma"/>
            <family val="2"/>
            <charset val="1"/>
          </rPr>
          <t xml:space="preserve">estimation, no world data found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58</xdr:colOff>
                <xdr:row>108</xdr:row>
                <xdr:rowOff>18</xdr:rowOff>
              </xdr:from>
              <xdr:to>
                <xdr:col>6</xdr:col>
                <xdr:colOff>25</xdr:colOff>
                <xdr:row>112</xdr:row>
                <xdr:rowOff>15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<sst xmlns="http://schemas.openxmlformats.org/spreadsheetml/2006/main" count="692" uniqueCount="205">
  <si>
    <t xml:space="preserve">TECHNOLOGICAL CONSTANTS</t>
  </si>
  <si>
    <t xml:space="preserve">Saving ratios of alternative HOUSEHOLDS vehicles relative to liquids vehicles</t>
  </si>
  <si>
    <t xml:space="preserve">H liq</t>
  </si>
  <si>
    <t xml:space="preserve">Dmnl</t>
  </si>
  <si>
    <t xml:space="preserve">Not used</t>
  </si>
  <si>
    <t xml:space="preserve">H elec</t>
  </si>
  <si>
    <t xml:space="preserve">H hyb</t>
  </si>
  <si>
    <t xml:space="preserve">H gas</t>
  </si>
  <si>
    <t xml:space="preserve">H2w liq</t>
  </si>
  <si>
    <t xml:space="preserve">H2w elec</t>
  </si>
  <si>
    <t xml:space="preserve">Different value in world model (cannonical modified)</t>
  </si>
  <si>
    <t xml:space="preserve">Saving ratios of alternative vehicles relative to liquids vehicles (tkm)</t>
  </si>
  <si>
    <t xml:space="preserve">Liquid</t>
  </si>
  <si>
    <t xml:space="preserve">Gas</t>
  </si>
  <si>
    <t xml:space="preserve">Electricity</t>
  </si>
  <si>
    <t xml:space="preserve">Hybrids</t>
  </si>
  <si>
    <t xml:space="preserve">Road</t>
  </si>
  <si>
    <t xml:space="preserve">Rail</t>
  </si>
  <si>
    <t xml:space="preserve">Maritime</t>
  </si>
  <si>
    <t xml:space="preserve">Air</t>
  </si>
  <si>
    <t xml:space="preserve">Saving ratios of alternative vehicles relative to liquids vehicles (pkm)</t>
  </si>
  <si>
    <t xml:space="preserve">Households</t>
  </si>
  <si>
    <t xml:space="preserve">Passenger Transport parameters</t>
  </si>
  <si>
    <t xml:space="preserve">Road heavy</t>
  </si>
  <si>
    <t xml:space="preserve">Road light</t>
  </si>
  <si>
    <t xml:space="preserve">MJ/pkm liquids</t>
  </si>
  <si>
    <t xml:space="preserve">MJ/pkm gas</t>
  </si>
  <si>
    <t xml:space="preserve">MJ/pkm electric</t>
  </si>
  <si>
    <t xml:space="preserve">MJ/pkm hybrid</t>
  </si>
  <si>
    <t xml:space="preserve">Improvement</t>
  </si>
  <si>
    <t xml:space="preserve">lifetime (Years)</t>
  </si>
  <si>
    <t xml:space="preserve">Freight Transport parameters</t>
  </si>
  <si>
    <t xml:space="preserve">MJ/tkm liquids</t>
  </si>
  <si>
    <t xml:space="preserve">MJ/tkm gas</t>
  </si>
  <si>
    <t xml:space="preserve">MJ/tkm electricity</t>
  </si>
  <si>
    <t xml:space="preserve">MJ/tkm hybrid</t>
  </si>
  <si>
    <t xml:space="preserve">lifetime(Years)</t>
  </si>
  <si>
    <t xml:space="preserve">Bateries ratio</t>
  </si>
  <si>
    <t xml:space="preserve">HV hyb</t>
  </si>
  <si>
    <t xml:space="preserve">bus hib</t>
  </si>
  <si>
    <t xml:space="preserve">2 wheels elec</t>
  </si>
  <si>
    <t xml:space="preserve">gCO2eq/pkm </t>
  </si>
  <si>
    <t xml:space="preserve">Urban</t>
  </si>
  <si>
    <t xml:space="preserve">Non-Urban</t>
  </si>
  <si>
    <t xml:space="preserve">min</t>
  </si>
  <si>
    <t xml:space="preserve">max</t>
  </si>
  <si>
    <t xml:space="preserve">Two/three-wheelers</t>
  </si>
  <si>
    <t xml:space="preserve">Buses and minibuses</t>
  </si>
  <si>
    <t xml:space="preserve">Small and medium cars</t>
  </si>
  <si>
    <t xml:space="preserve">Large cars</t>
  </si>
  <si>
    <t xml:space="preserve">Chemical</t>
  </si>
  <si>
    <t xml:space="preserve">Mean cycles</t>
  </si>
  <si>
    <t xml:space="preserve">NCM111</t>
  </si>
  <si>
    <t xml:space="preserve">LFP</t>
  </si>
  <si>
    <t xml:space="preserve">NCM 811</t>
  </si>
  <si>
    <t xml:space="preserve">NCM 622</t>
  </si>
  <si>
    <t xml:space="preserve">NCA</t>
  </si>
  <si>
    <t xml:space="preserve">Cp vehicles</t>
  </si>
  <si>
    <t xml:space="preserve">Capacity factor</t>
  </si>
  <si>
    <t xml:space="preserve">cp_evs_transport</t>
  </si>
  <si>
    <t xml:space="preserve">Private car</t>
  </si>
  <si>
    <t xml:space="preserve">Electric bus</t>
  </si>
  <si>
    <t xml:space="preserve">Heavy Truck</t>
  </si>
  <si>
    <t xml:space="preserve">Light Truck</t>
  </si>
  <si>
    <t xml:space="preserve">T cycle</t>
  </si>
  <si>
    <t xml:space="preserve">Hours to complete a discharging cycle</t>
  </si>
  <si>
    <t xml:space="preserve">PARAMETERS OF THE ALTERNATIVE TRANSPORTATIONS MODULE</t>
  </si>
  <si>
    <t xml:space="preserve">INITIAL VALUES  (dates in calibration year, 2015)</t>
  </si>
  <si>
    <t xml:space="preserve">TKM</t>
  </si>
  <si>
    <t xml:space="preserve">PKM/GDP</t>
  </si>
  <si>
    <t xml:space="preserve">Slope</t>
  </si>
  <si>
    <t xml:space="preserve">Initial value (time=0)</t>
  </si>
  <si>
    <t xml:space="preserve">End historicla data</t>
  </si>
  <si>
    <t xml:space="preserve">Historical Data tkm</t>
  </si>
  <si>
    <t xml:space="preserve">Year</t>
  </si>
  <si>
    <t xml:space="preserve">tkm</t>
  </si>
  <si>
    <t xml:space="preserve">Share road heavy</t>
  </si>
  <si>
    <t xml:space="preserve">Share road light</t>
  </si>
  <si>
    <t xml:space="preserve">Share rail</t>
  </si>
  <si>
    <t xml:space="preserve">Share Maritime</t>
  </si>
  <si>
    <t xml:space="preserve">Share Air</t>
  </si>
  <si>
    <t xml:space="preserve">Historical Data pkm</t>
  </si>
  <si>
    <t xml:space="preserve">pkm/gdp</t>
  </si>
  <si>
    <t xml:space="preserve">Share road</t>
  </si>
  <si>
    <t xml:space="preserve">Share Households</t>
  </si>
  <si>
    <t xml:space="preserve">Initial fuel share by Mode (2015)</t>
  </si>
  <si>
    <t xml:space="preserve">pkm</t>
  </si>
  <si>
    <t xml:space="preserve">Inland</t>
  </si>
  <si>
    <t xml:space="preserve">Hybrid</t>
  </si>
  <si>
    <t xml:space="preserve">Gas </t>
  </si>
  <si>
    <t xml:space="preserve">Initial fuel share respect transport storage and communication sector (2009)</t>
  </si>
  <si>
    <t xml:space="preserve">Share elec</t>
  </si>
  <si>
    <t xml:space="preserve">Share heat</t>
  </si>
  <si>
    <t xml:space="preserve">Share liquids</t>
  </si>
  <si>
    <t xml:space="preserve">Share gases</t>
  </si>
  <si>
    <t xml:space="preserve">Share solids</t>
  </si>
  <si>
    <t xml:space="preserve">Initial 2015 number of HOUSEHOLDS vehicles (vehicles)</t>
  </si>
  <si>
    <t xml:space="preserve"> vehicles</t>
  </si>
  <si>
    <t xml:space="preserve">TYPES OF HOUSEHOLD VEHICLES</t>
  </si>
  <si>
    <t xml:space="preserve">4wheeler electric= batery electric vehicles+plug in hybrids</t>
  </si>
  <si>
    <t xml:space="preserve">H hib</t>
  </si>
  <si>
    <t xml:space="preserve">4wheeler hybrid= non plug in hybrids</t>
  </si>
  <si>
    <t xml:space="preserve">4wheeler gas= natural gas and LPG vehicles</t>
  </si>
  <si>
    <t xml:space="preserve">2wheeler elec= electric 2 and 2 wheelers</t>
  </si>
  <si>
    <t xml:space="preserve">H2w E</t>
  </si>
  <si>
    <t xml:space="preserve">total households 4W vehicles</t>
  </si>
  <si>
    <t xml:space="preserve">TYPES OF INLAND TRANSPORT SECTOR VEHICLES</t>
  </si>
  <si>
    <t xml:space="preserve">Initial households pkm </t>
  </si>
  <si>
    <t xml:space="preserve">Initial 2015 number of COMERCIAL vehicles (vehicles)</t>
  </si>
  <si>
    <t xml:space="preserve">HV= heavy vehicles</t>
  </si>
  <si>
    <t xml:space="preserve">HV liq</t>
  </si>
  <si>
    <t xml:space="preserve">LV= light cargo vehicles</t>
  </si>
  <si>
    <t xml:space="preserve">bus= buses and coaches (urban and non urban)</t>
  </si>
  <si>
    <t xml:space="preserve">HV gas</t>
  </si>
  <si>
    <t xml:space="preserve">trains= all railway vehicles</t>
  </si>
  <si>
    <t xml:space="preserve">LV liq</t>
  </si>
  <si>
    <t xml:space="preserve">LV elec</t>
  </si>
  <si>
    <t xml:space="preserve">Clasifications based on 'International Energy Agency (2016), Energy Technology Perspectives 2016, OECD/IEA, Paris'</t>
  </si>
  <si>
    <t xml:space="preserve">LV hyb</t>
  </si>
  <si>
    <t xml:space="preserve">LV gas</t>
  </si>
  <si>
    <t xml:space="preserve">bus liq</t>
  </si>
  <si>
    <t xml:space="preserve">bus elec</t>
  </si>
  <si>
    <t xml:space="preserve">bus hyb</t>
  </si>
  <si>
    <t xml:space="preserve">vehicle</t>
  </si>
  <si>
    <t xml:space="preserve">bus gas</t>
  </si>
  <si>
    <t xml:space="preserve">train liq</t>
  </si>
  <si>
    <t xml:space="preserve">vehicles</t>
  </si>
  <si>
    <t xml:space="preserve">train elec</t>
  </si>
  <si>
    <t xml:space="preserve">initial commercial pkm vehicles inland</t>
  </si>
  <si>
    <t xml:space="preserve">initial tkm vehicles inland</t>
  </si>
  <si>
    <t xml:space="preserve">initial pkm  commercial inland</t>
  </si>
  <si>
    <t xml:space="preserve">initial tkm inland</t>
  </si>
  <si>
    <t xml:space="preserve">initial EV commercial</t>
  </si>
  <si>
    <t xml:space="preserve">Initial hybrid vehicles commercial</t>
  </si>
  <si>
    <t xml:space="preserve">Initial percentage of HOUSEHOLD  vehicles (2015) as a function of all 2wheerlers+4 wheelers</t>
  </si>
  <si>
    <t xml:space="preserve">H 4w liq</t>
  </si>
  <si>
    <t xml:space="preserve">H 4w elec</t>
  </si>
  <si>
    <t xml:space="preserve">H4w  hyb</t>
  </si>
  <si>
    <t xml:space="preserve">H 4w gas</t>
  </si>
  <si>
    <t xml:space="preserve">Energy used initially for HOUSEHOLDS vehicles (2015) EJ</t>
  </si>
  <si>
    <t xml:space="preserve">EJ</t>
  </si>
  <si>
    <t xml:space="preserve">H 4w hyb</t>
  </si>
  <si>
    <t xml:space="preserve">Energy used initially COMMERCIAL vehicles (2015)</t>
  </si>
  <si>
    <t xml:space="preserve">HV hib</t>
  </si>
  <si>
    <t xml:space="preserve">train liq </t>
  </si>
  <si>
    <t xml:space="preserve">train liq+E</t>
  </si>
  <si>
    <t xml:space="preserve">Initial economic activity of transport sector (T$)  (2015)</t>
  </si>
  <si>
    <t xml:space="preserve">Xt(0)</t>
  </si>
  <si>
    <t xml:space="preserve">T$US1995</t>
  </si>
  <si>
    <t xml:space="preserve">Initial transport storage and communication</t>
  </si>
  <si>
    <t xml:space="preserve">D_tsc</t>
  </si>
  <si>
    <t xml:space="preserve">Initial households demand (2015) T$</t>
  </si>
  <si>
    <t xml:space="preserve">DH(0)</t>
  </si>
  <si>
    <t xml:space="preserve"> </t>
  </si>
  <si>
    <t xml:space="preserve">Initial energy intensity of households transport (EJ/T$)</t>
  </si>
  <si>
    <t xml:space="preserve">electricity</t>
  </si>
  <si>
    <t xml:space="preserve">EJ/T$</t>
  </si>
  <si>
    <t xml:space="preserve">heat</t>
  </si>
  <si>
    <t xml:space="preserve">liquids</t>
  </si>
  <si>
    <t xml:space="preserve">gases</t>
  </si>
  <si>
    <t xml:space="preserve">solids</t>
  </si>
  <si>
    <t xml:space="preserve">1. TRANSPORT QUANTITIES</t>
  </si>
  <si>
    <t xml:space="preserve">PKM</t>
  </si>
  <si>
    <t xml:space="preserve">beta</t>
  </si>
  <si>
    <t xml:space="preserve">AR(1)</t>
  </si>
  <si>
    <t xml:space="preserve">Last residual</t>
  </si>
  <si>
    <t xml:space="preserve">reference year</t>
  </si>
  <si>
    <t xml:space="preserve">tkm (1e9)</t>
  </si>
  <si>
    <t xml:space="preserve">pkm (1e9)</t>
  </si>
  <si>
    <t xml:space="preserve">Historical fuel share pkm</t>
  </si>
  <si>
    <t xml:space="preserve">Share hybrid electricity</t>
  </si>
  <si>
    <t xml:space="preserve">Historical fuel share tkm</t>
  </si>
  <si>
    <t xml:space="preserve">road heavy</t>
  </si>
  <si>
    <t xml:space="preserve">gas</t>
  </si>
  <si>
    <t xml:space="preserve">hybrid</t>
  </si>
  <si>
    <t xml:space="preserve">road light</t>
  </si>
  <si>
    <t xml:space="preserve">Historic share maritime and air</t>
  </si>
  <si>
    <t xml:space="preserve">Air and maritime</t>
  </si>
  <si>
    <t xml:space="preserve">Historic rail kms </t>
  </si>
  <si>
    <t xml:space="preserve">2. VEHICLES QUANTITIES</t>
  </si>
  <si>
    <t xml:space="preserve">Historical vehicles tkm</t>
  </si>
  <si>
    <t xml:space="preserve">Historical vehicles pkm</t>
  </si>
  <si>
    <t xml:space="preserve">Road collective</t>
  </si>
  <si>
    <t xml:space="preserve">Road private</t>
  </si>
  <si>
    <t xml:space="preserve">Initial share EV batteries</t>
  </si>
  <si>
    <t xml:space="preserve">NCM 111</t>
  </si>
  <si>
    <t xml:space="preserve">Initial share batteries buses</t>
  </si>
  <si>
    <t xml:space="preserve">Initial share batteries light trucks</t>
  </si>
  <si>
    <t xml:space="preserve">Initial share batteries heavy trucks</t>
  </si>
  <si>
    <t xml:space="preserve">alpha</t>
  </si>
  <si>
    <t xml:space="preserve">H 4 wheels liq</t>
  </si>
  <si>
    <t xml:space="preserve">H 4wheels elec</t>
  </si>
  <si>
    <t xml:space="preserve">H 4 wheels hyb</t>
  </si>
  <si>
    <t xml:space="preserve">H 4wheels gas</t>
  </si>
  <si>
    <t xml:space="preserve">4wheeler gas= natural gas (no LPG)</t>
  </si>
  <si>
    <t xml:space="preserve">H 2wheels liq</t>
  </si>
  <si>
    <t xml:space="preserve">H 2wheels E</t>
  </si>
  <si>
    <t xml:space="preserve">total households</t>
  </si>
  <si>
    <t xml:space="preserve">initial pkm households</t>
  </si>
  <si>
    <t xml:space="preserve">Clasifications based on </t>
  </si>
  <si>
    <t xml:space="preserve">dmnl</t>
  </si>
  <si>
    <t xml:space="preserve">Initial percentage of COMERCIAL  vehicles (2015) realtive to each type (HV, LV, bus, train)</t>
  </si>
  <si>
    <t xml:space="preserve">Energy used initially for HOUSEHOLDS vehicles (2015)</t>
  </si>
  <si>
    <t xml:space="preserve">Initial economic activity of inland transport sector (T$)  (2015)</t>
  </si>
  <si>
    <t xml:space="preserve">Xt(0)_pkm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</si>
</sst>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0E+00"/>
    <numFmt numFmtId="167" formatCode="0"/>
    <numFmt numFmtId="168" formatCode="#,##0"/>
    <numFmt numFmtId="169" formatCode="0.0000"/>
    <numFmt numFmtId="170" formatCode="0%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u val="single"/>
      <sz val="11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8F200"/>
        <bgColor rgb="FFFFFF00"/>
      </patternFill>
    </fill>
    <fill>
      <patternFill patternType="solid">
        <fgColor rgb="FF8FAADC"/>
        <bgColor rgb="FF969696"/>
      </patternFill>
    </fill>
    <fill>
      <patternFill patternType="solid">
        <fgColor rgb="FFDAE3F3"/>
        <bgColor rgb="FFE7E6E6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8F200"/>
      </patternFill>
    </fill>
    <fill>
      <patternFill patternType="solid">
        <fgColor rgb="FF92D050"/>
        <bgColor rgb="FF969696"/>
      </patternFill>
    </fill>
    <fill>
      <patternFill patternType="solid">
        <fgColor rgb="FF595959"/>
        <bgColor rgb="FF333333"/>
      </patternFill>
    </fill>
    <fill>
      <patternFill patternType="solid">
        <fgColor rgb="FFEDEDED"/>
        <bgColor rgb="FFE7E6E6"/>
      </patternFill>
    </fill>
    <fill>
      <patternFill patternType="solid">
        <fgColor rgb="FFB4C7E7"/>
        <bgColor rgb="FF99CCFF"/>
      </patternFill>
    </fill>
    <fill>
      <patternFill patternType="solid">
        <fgColor rgb="FFE7E6E6"/>
        <bgColor rgb="FFEDEDED"/>
      </patternFill>
    </fill>
  </fills>
  <borders count="49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hair"/>
      <top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ck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3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4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14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7" borderId="4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4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4" fillId="0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3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4" fillId="0" borderId="3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4" fillId="0" borderId="3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4" fillId="0" borderId="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7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2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4" fillId="0" borderId="2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4" fillId="0" borderId="2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3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1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7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7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7" fillId="0" borderId="3" xfId="1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6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17" fillId="0" borderId="2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7" fillId="0" borderId="2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8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8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0" borderId="2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8" fillId="0" borderId="2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3" borderId="4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10" borderId="4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4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4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1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2 2" xfId="22"/>
    <cellStyle name="Normal 3" xfId="23"/>
    <cellStyle name="Normal 4" xfId="24"/>
    <cellStyle name="Normal 8" xfId="2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E7E6E6"/>
      <rgbColor rgb="FFCCFFFF"/>
      <rgbColor rgb="FF660066"/>
      <rgbColor rgb="FFFF8080"/>
      <rgbColor rgb="FF0070C0"/>
      <rgbColor rgb="FFDAE3F3"/>
      <rgbColor rgb="FF000080"/>
      <rgbColor rgb="FFFF00FF"/>
      <rgbColor rgb="FFF8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F82"/>
  <sheetViews>
    <sheetView showFormulas="false" showGridLines="true" showRowColHeaders="true" showZeros="true" rightToLeft="false" tabSelected="false" showOutlineSymbols="true" defaultGridColor="true" view="normal" topLeftCell="A32" colorId="64" zoomScale="100" zoomScaleNormal="100" zoomScalePageLayoutView="100" workbookViewId="0">
      <selection pane="topLeft" activeCell="G44" activeCellId="0" sqref="G44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1" width="23.86"/>
    <col collapsed="false" customWidth="true" hidden="false" outlineLevel="0" max="2" min="2" style="1" width="31.86"/>
    <col collapsed="false" customWidth="true" hidden="false" outlineLevel="0" max="3" min="3" style="1" width="8.86"/>
    <col collapsed="false" customWidth="true" hidden="false" outlineLevel="0" max="5" min="5" style="1" width="11.86"/>
    <col collapsed="false" customWidth="true" hidden="false" outlineLevel="0" max="6" min="6" style="1" width="16.86"/>
  </cols>
  <sheetData>
    <row r="1" customFormat="false" ht="15" hidden="false" customHeight="false" outlineLevel="0" collapsed="false">
      <c r="A1" s="2" t="s">
        <v>0</v>
      </c>
      <c r="B1" s="2"/>
      <c r="C1" s="2"/>
    </row>
    <row r="2" s="6" customFormat="true" ht="15" hidden="false" customHeight="false" outlineLevel="0" collapsed="false">
      <c r="A2" s="3" t="s">
        <v>1</v>
      </c>
      <c r="B2" s="4"/>
      <c r="C2" s="5"/>
    </row>
    <row r="3" customFormat="false" ht="15" hidden="false" customHeight="false" outlineLevel="0" collapsed="false">
      <c r="A3" s="7" t="s">
        <v>2</v>
      </c>
      <c r="B3" s="8" t="n">
        <v>1</v>
      </c>
      <c r="C3" s="7" t="s">
        <v>3</v>
      </c>
      <c r="D3" s="9" t="s">
        <v>4</v>
      </c>
    </row>
    <row r="4" customFormat="false" ht="15" hidden="false" customHeight="false" outlineLevel="0" collapsed="false">
      <c r="A4" s="7" t="s">
        <v>5</v>
      </c>
      <c r="B4" s="8" t="n">
        <v>0.333</v>
      </c>
      <c r="C4" s="7" t="s">
        <v>3</v>
      </c>
      <c r="D4" s="9" t="s">
        <v>4</v>
      </c>
    </row>
    <row r="5" customFormat="false" ht="15" hidden="false" customHeight="false" outlineLevel="0" collapsed="false">
      <c r="A5" s="7" t="s">
        <v>6</v>
      </c>
      <c r="B5" s="8" t="n">
        <v>0.66</v>
      </c>
      <c r="C5" s="7" t="s">
        <v>3</v>
      </c>
      <c r="D5" s="9" t="s">
        <v>4</v>
      </c>
    </row>
    <row r="6" customFormat="false" ht="15" hidden="false" customHeight="false" outlineLevel="0" collapsed="false">
      <c r="A6" s="7" t="s">
        <v>7</v>
      </c>
      <c r="B6" s="8" t="n">
        <v>1</v>
      </c>
      <c r="C6" s="7" t="s">
        <v>3</v>
      </c>
      <c r="D6" s="9" t="s">
        <v>4</v>
      </c>
    </row>
    <row r="7" customFormat="false" ht="15" hidden="false" customHeight="false" outlineLevel="0" collapsed="false">
      <c r="A7" s="7" t="s">
        <v>8</v>
      </c>
      <c r="B7" s="8" t="n">
        <v>1</v>
      </c>
      <c r="C7" s="7" t="s">
        <v>3</v>
      </c>
      <c r="D7" s="9" t="s">
        <v>4</v>
      </c>
    </row>
    <row r="8" customFormat="false" ht="15" hidden="false" customHeight="false" outlineLevel="0" collapsed="false">
      <c r="A8" s="10" t="s">
        <v>9</v>
      </c>
      <c r="B8" s="11" t="n">
        <v>0.3</v>
      </c>
      <c r="C8" s="10" t="s">
        <v>3</v>
      </c>
      <c r="D8" s="9" t="s">
        <v>10</v>
      </c>
    </row>
    <row r="9" customFormat="false" ht="15" hidden="false" customHeight="false" outlineLevel="0" collapsed="false">
      <c r="A9" s="12" t="s">
        <v>11</v>
      </c>
      <c r="B9" s="12"/>
      <c r="C9" s="12"/>
      <c r="D9" s="12"/>
      <c r="E9" s="12"/>
    </row>
    <row r="10" customFormat="false" ht="15" hidden="false" customHeight="false" outlineLevel="0" collapsed="false">
      <c r="A10" s="13"/>
      <c r="B10" s="7" t="s">
        <v>12</v>
      </c>
      <c r="C10" s="7" t="s">
        <v>13</v>
      </c>
      <c r="D10" s="7" t="s">
        <v>14</v>
      </c>
      <c r="E10" s="14" t="s">
        <v>15</v>
      </c>
    </row>
    <row r="11" customFormat="false" ht="15" hidden="false" customHeight="false" outlineLevel="0" collapsed="false">
      <c r="A11" s="15" t="s">
        <v>16</v>
      </c>
      <c r="B11" s="16" t="n">
        <v>1</v>
      </c>
      <c r="C11" s="17" t="n">
        <v>1</v>
      </c>
      <c r="D11" s="16" t="n">
        <v>0.33</v>
      </c>
      <c r="E11" s="18" t="n">
        <v>0.66</v>
      </c>
    </row>
    <row r="12" customFormat="false" ht="15" hidden="false" customHeight="false" outlineLevel="0" collapsed="false">
      <c r="A12" s="15" t="s">
        <v>17</v>
      </c>
      <c r="B12" s="16" t="n">
        <v>1</v>
      </c>
      <c r="C12" s="17" t="n">
        <v>1</v>
      </c>
      <c r="D12" s="16" t="n">
        <v>0.33</v>
      </c>
      <c r="E12" s="18" t="n">
        <v>0.66</v>
      </c>
    </row>
    <row r="13" customFormat="false" ht="15" hidden="false" customHeight="false" outlineLevel="0" collapsed="false">
      <c r="A13" s="15" t="s">
        <v>18</v>
      </c>
      <c r="B13" s="16" t="n">
        <v>1</v>
      </c>
      <c r="C13" s="17" t="n">
        <v>1</v>
      </c>
      <c r="D13" s="17" t="n">
        <v>0.33</v>
      </c>
      <c r="E13" s="18" t="n">
        <v>0.66</v>
      </c>
    </row>
    <row r="14" customFormat="false" ht="15" hidden="false" customHeight="false" outlineLevel="0" collapsed="false">
      <c r="A14" s="19" t="s">
        <v>19</v>
      </c>
      <c r="B14" s="20" t="n">
        <v>1</v>
      </c>
      <c r="C14" s="21" t="n">
        <v>1</v>
      </c>
      <c r="D14" s="21" t="n">
        <v>0.33</v>
      </c>
      <c r="E14" s="22" t="n">
        <v>0.66</v>
      </c>
    </row>
    <row r="15" customFormat="false" ht="15" hidden="false" customHeight="false" outlineLevel="0" collapsed="false">
      <c r="A15" s="23" t="s">
        <v>20</v>
      </c>
      <c r="B15" s="23"/>
      <c r="C15" s="23"/>
      <c r="D15" s="23"/>
      <c r="E15" s="23"/>
    </row>
    <row r="16" customFormat="false" ht="15" hidden="false" customHeight="false" outlineLevel="0" collapsed="false">
      <c r="A16" s="13"/>
      <c r="B16" s="24" t="s">
        <v>12</v>
      </c>
      <c r="C16" s="24" t="s">
        <v>13</v>
      </c>
      <c r="D16" s="24" t="s">
        <v>14</v>
      </c>
      <c r="E16" s="25" t="s">
        <v>15</v>
      </c>
    </row>
    <row r="17" customFormat="false" ht="15" hidden="false" customHeight="false" outlineLevel="0" collapsed="false">
      <c r="A17" s="15" t="s">
        <v>16</v>
      </c>
      <c r="B17" s="16" t="n">
        <v>1</v>
      </c>
      <c r="C17" s="17" t="n">
        <v>1</v>
      </c>
      <c r="D17" s="16" t="n">
        <v>0.33</v>
      </c>
      <c r="E17" s="18" t="n">
        <v>0.66</v>
      </c>
    </row>
    <row r="18" customFormat="false" ht="15" hidden="false" customHeight="false" outlineLevel="0" collapsed="false">
      <c r="A18" s="15" t="s">
        <v>17</v>
      </c>
      <c r="B18" s="16" t="n">
        <v>1</v>
      </c>
      <c r="C18" s="17" t="n">
        <v>1</v>
      </c>
      <c r="D18" s="16" t="n">
        <v>0.33</v>
      </c>
      <c r="E18" s="18" t="n">
        <v>0.66</v>
      </c>
    </row>
    <row r="19" customFormat="false" ht="15" hidden="false" customHeight="false" outlineLevel="0" collapsed="false">
      <c r="A19" s="15" t="s">
        <v>18</v>
      </c>
      <c r="B19" s="16" t="n">
        <v>1</v>
      </c>
      <c r="C19" s="17" t="n">
        <v>1</v>
      </c>
      <c r="D19" s="17" t="n">
        <v>0.33</v>
      </c>
      <c r="E19" s="18" t="n">
        <v>0.66</v>
      </c>
    </row>
    <row r="20" customFormat="false" ht="15" hidden="false" customHeight="false" outlineLevel="0" collapsed="false">
      <c r="A20" s="19" t="s">
        <v>19</v>
      </c>
      <c r="B20" s="20" t="n">
        <v>1</v>
      </c>
      <c r="C20" s="21" t="n">
        <v>1</v>
      </c>
      <c r="D20" s="21" t="n">
        <v>0.33</v>
      </c>
      <c r="E20" s="22" t="n">
        <v>0.66</v>
      </c>
    </row>
    <row r="21" customFormat="false" ht="15" hidden="false" customHeight="false" outlineLevel="0" collapsed="false">
      <c r="A21" s="19" t="s">
        <v>21</v>
      </c>
      <c r="B21" s="20" t="n">
        <v>1</v>
      </c>
      <c r="C21" s="21" t="n">
        <v>1</v>
      </c>
      <c r="D21" s="21" t="n">
        <v>0.33</v>
      </c>
      <c r="E21" s="22" t="n">
        <v>0.66</v>
      </c>
    </row>
    <row r="22" customFormat="false" ht="15" hidden="false" customHeight="false" outlineLevel="0" collapsed="false">
      <c r="A22" s="23" t="s">
        <v>22</v>
      </c>
      <c r="B22" s="23"/>
      <c r="C22" s="23"/>
      <c r="D22" s="23"/>
      <c r="E22" s="23"/>
      <c r="F22" s="23"/>
    </row>
    <row r="23" customFormat="false" ht="15" hidden="false" customHeight="false" outlineLevel="0" collapsed="false">
      <c r="A23" s="26"/>
      <c r="B23" s="27" t="s">
        <v>23</v>
      </c>
      <c r="C23" s="28" t="s">
        <v>24</v>
      </c>
      <c r="D23" s="29" t="s">
        <v>17</v>
      </c>
      <c r="E23" s="29" t="s">
        <v>18</v>
      </c>
      <c r="F23" s="28" t="s">
        <v>19</v>
      </c>
    </row>
    <row r="24" customFormat="false" ht="15" hidden="false" customHeight="false" outlineLevel="0" collapsed="false">
      <c r="A24" s="30" t="s">
        <v>25</v>
      </c>
      <c r="B24" s="31" t="n">
        <v>1.38113874385021</v>
      </c>
      <c r="C24" s="32" t="n">
        <v>1.58411736689963</v>
      </c>
      <c r="D24" s="32" t="n">
        <v>0.709828141899199</v>
      </c>
      <c r="E24" s="32" t="n">
        <v>0.517520655499996</v>
      </c>
      <c r="F24" s="33" t="n">
        <v>2.24460762769166</v>
      </c>
    </row>
    <row r="25" customFormat="false" ht="15" hidden="false" customHeight="false" outlineLevel="0" collapsed="false">
      <c r="A25" s="34" t="s">
        <v>26</v>
      </c>
      <c r="B25" s="35" t="n">
        <v>1.32214178553917</v>
      </c>
      <c r="C25" s="36" t="n">
        <v>1.55219332307528</v>
      </c>
      <c r="D25" s="37" t="n">
        <v>0.709828141899199</v>
      </c>
      <c r="E25" s="38" t="n">
        <v>0.296979497069166</v>
      </c>
      <c r="F25" s="38" t="n">
        <v>0</v>
      </c>
    </row>
    <row r="26" customFormat="false" ht="15" hidden="false" customHeight="false" outlineLevel="0" collapsed="false">
      <c r="A26" s="34" t="s">
        <v>27</v>
      </c>
      <c r="B26" s="35" t="n">
        <v>0.755182664625403</v>
      </c>
      <c r="C26" s="36" t="n">
        <v>0.464058848840525</v>
      </c>
      <c r="D26" s="36" t="n">
        <v>0.297254346804085</v>
      </c>
      <c r="E26" s="36" t="n">
        <v>0</v>
      </c>
      <c r="F26" s="38" t="n">
        <v>0</v>
      </c>
    </row>
    <row r="27" customFormat="false" ht="15" hidden="false" customHeight="false" outlineLevel="0" collapsed="false">
      <c r="A27" s="39" t="s">
        <v>28</v>
      </c>
      <c r="B27" s="40" t="n">
        <v>0.773782996034878</v>
      </c>
      <c r="C27" s="36" t="n">
        <v>0.877283430327962</v>
      </c>
      <c r="D27" s="41" t="n">
        <v>0</v>
      </c>
      <c r="E27" s="41" t="n">
        <v>0</v>
      </c>
      <c r="F27" s="42" t="n">
        <v>0</v>
      </c>
    </row>
    <row r="28" customFormat="false" ht="15" hidden="false" customHeight="false" outlineLevel="0" collapsed="false">
      <c r="A28" s="43" t="s">
        <v>29</v>
      </c>
      <c r="B28" s="43"/>
      <c r="C28" s="43"/>
      <c r="D28" s="43"/>
      <c r="E28" s="43"/>
      <c r="F28" s="43"/>
    </row>
    <row r="29" customFormat="false" ht="15" hidden="false" customHeight="false" outlineLevel="0" collapsed="false">
      <c r="A29" s="44" t="s">
        <v>25</v>
      </c>
      <c r="B29" s="45" t="n">
        <v>0</v>
      </c>
      <c r="C29" s="45" t="n">
        <v>0</v>
      </c>
      <c r="D29" s="45" t="n">
        <v>0</v>
      </c>
      <c r="E29" s="45" t="n">
        <v>0</v>
      </c>
      <c r="F29" s="46" t="n">
        <v>0</v>
      </c>
    </row>
    <row r="30" customFormat="false" ht="15" hidden="false" customHeight="false" outlineLevel="0" collapsed="false">
      <c r="A30" s="15" t="s">
        <v>26</v>
      </c>
      <c r="B30" s="20" t="n">
        <v>0</v>
      </c>
      <c r="C30" s="20" t="n">
        <v>0</v>
      </c>
      <c r="D30" s="20" t="n">
        <v>0</v>
      </c>
      <c r="E30" s="20" t="n">
        <v>0</v>
      </c>
      <c r="F30" s="47" t="n">
        <v>0</v>
      </c>
    </row>
    <row r="31" customFormat="false" ht="15" hidden="false" customHeight="false" outlineLevel="0" collapsed="false">
      <c r="A31" s="15" t="s">
        <v>27</v>
      </c>
      <c r="B31" s="20" t="n">
        <v>0</v>
      </c>
      <c r="C31" s="20" t="n">
        <v>0</v>
      </c>
      <c r="D31" s="20" t="n">
        <v>0</v>
      </c>
      <c r="E31" s="20" t="n">
        <v>0</v>
      </c>
      <c r="F31" s="47" t="n">
        <v>0</v>
      </c>
    </row>
    <row r="32" customFormat="false" ht="15" hidden="false" customHeight="false" outlineLevel="0" collapsed="false">
      <c r="A32" s="48" t="s">
        <v>28</v>
      </c>
      <c r="B32" s="49" t="n">
        <v>0</v>
      </c>
      <c r="C32" s="49" t="n">
        <v>0</v>
      </c>
      <c r="D32" s="49" t="n">
        <v>0</v>
      </c>
      <c r="E32" s="49" t="n">
        <v>0</v>
      </c>
      <c r="F32" s="50" t="n">
        <v>0</v>
      </c>
    </row>
    <row r="33" customFormat="false" ht="15" hidden="false" customHeight="false" outlineLevel="0" collapsed="false">
      <c r="A33" s="51" t="s">
        <v>30</v>
      </c>
      <c r="B33" s="52" t="n">
        <v>15</v>
      </c>
      <c r="C33" s="52" t="n">
        <v>18</v>
      </c>
      <c r="D33" s="52" t="n">
        <v>35</v>
      </c>
      <c r="E33" s="52" t="n">
        <v>30</v>
      </c>
      <c r="F33" s="52" t="n">
        <v>25</v>
      </c>
    </row>
    <row r="38" customFormat="false" ht="15" hidden="false" customHeight="false" outlineLevel="0" collapsed="false">
      <c r="A38" s="23" t="s">
        <v>31</v>
      </c>
      <c r="B38" s="23"/>
      <c r="C38" s="23"/>
      <c r="D38" s="23"/>
      <c r="E38" s="23"/>
      <c r="F38" s="23"/>
    </row>
    <row r="39" customFormat="false" ht="15" hidden="false" customHeight="false" outlineLevel="0" collapsed="false">
      <c r="A39" s="44"/>
      <c r="B39" s="24" t="s">
        <v>23</v>
      </c>
      <c r="C39" s="24" t="s">
        <v>24</v>
      </c>
      <c r="D39" s="24" t="s">
        <v>17</v>
      </c>
      <c r="E39" s="24" t="s">
        <v>18</v>
      </c>
      <c r="F39" s="24" t="s">
        <v>19</v>
      </c>
    </row>
    <row r="40" customFormat="false" ht="15" hidden="false" customHeight="false" outlineLevel="0" collapsed="false">
      <c r="A40" s="7" t="s">
        <v>32</v>
      </c>
      <c r="B40" s="35" t="n">
        <v>1.24448558869519</v>
      </c>
      <c r="C40" s="35" t="n">
        <v>13.8197697116518</v>
      </c>
      <c r="D40" s="35" t="n">
        <v>0.194979798460205</v>
      </c>
      <c r="E40" s="35" t="n">
        <v>0.845752239928821</v>
      </c>
      <c r="F40" s="35" t="n">
        <v>16.5939836293138</v>
      </c>
    </row>
    <row r="41" customFormat="false" ht="15" hidden="false" customHeight="false" outlineLevel="0" collapsed="false">
      <c r="A41" s="7" t="s">
        <v>33</v>
      </c>
      <c r="B41" s="35" t="n">
        <v>0.705450520647784</v>
      </c>
      <c r="C41" s="35" t="n">
        <v>22.6149927239699</v>
      </c>
      <c r="D41" s="37" t="n">
        <v>0.194979798460205</v>
      </c>
      <c r="E41" s="37" t="n">
        <v>0.845752239928821</v>
      </c>
      <c r="F41" s="35" t="n">
        <v>0</v>
      </c>
    </row>
    <row r="42" customFormat="false" ht="14.25" hidden="false" customHeight="true" outlineLevel="0" collapsed="false">
      <c r="A42" s="7" t="s">
        <v>34</v>
      </c>
      <c r="B42" s="35" t="n">
        <v>0.52553632329612</v>
      </c>
      <c r="C42" s="35" t="n">
        <v>4.60914907935845</v>
      </c>
      <c r="D42" s="35" t="n">
        <v>0.110290420502064</v>
      </c>
      <c r="E42" s="37" t="n">
        <v>0</v>
      </c>
      <c r="F42" s="35" t="n">
        <v>0</v>
      </c>
    </row>
    <row r="43" customFormat="false" ht="15" hidden="false" customHeight="false" outlineLevel="0" collapsed="false">
      <c r="A43" s="10" t="s">
        <v>35</v>
      </c>
      <c r="B43" s="35" t="n">
        <v>0</v>
      </c>
      <c r="C43" s="35" t="n">
        <v>6.28923820957143</v>
      </c>
      <c r="D43" s="35" t="n">
        <v>0</v>
      </c>
      <c r="E43" s="37" t="n">
        <v>0</v>
      </c>
      <c r="F43" s="35" t="n">
        <v>0</v>
      </c>
    </row>
    <row r="44" customFormat="false" ht="15" hidden="false" customHeight="false" outlineLevel="0" collapsed="false">
      <c r="A44" s="43" t="s">
        <v>29</v>
      </c>
      <c r="B44" s="43"/>
      <c r="C44" s="43"/>
      <c r="D44" s="43"/>
      <c r="E44" s="43"/>
      <c r="F44" s="43"/>
    </row>
    <row r="45" customFormat="false" ht="15" hidden="false" customHeight="false" outlineLevel="0" collapsed="false">
      <c r="A45" s="24" t="s">
        <v>32</v>
      </c>
      <c r="B45" s="45" t="n">
        <v>0</v>
      </c>
      <c r="C45" s="45" t="n">
        <v>0</v>
      </c>
      <c r="D45" s="45" t="n">
        <v>0</v>
      </c>
      <c r="E45" s="45" t="n">
        <v>0</v>
      </c>
      <c r="F45" s="45" t="n">
        <v>0</v>
      </c>
    </row>
    <row r="46" customFormat="false" ht="15" hidden="false" customHeight="false" outlineLevel="0" collapsed="false">
      <c r="A46" s="7" t="s">
        <v>33</v>
      </c>
      <c r="B46" s="20" t="n">
        <v>0</v>
      </c>
      <c r="C46" s="20" t="n">
        <v>0</v>
      </c>
      <c r="D46" s="20" t="n">
        <v>0</v>
      </c>
      <c r="E46" s="20" t="n">
        <v>0</v>
      </c>
      <c r="F46" s="20" t="n">
        <v>0</v>
      </c>
    </row>
    <row r="47" customFormat="false" ht="15" hidden="false" customHeight="false" outlineLevel="0" collapsed="false">
      <c r="A47" s="7" t="s">
        <v>34</v>
      </c>
      <c r="B47" s="20" t="n">
        <v>0</v>
      </c>
      <c r="C47" s="20" t="n">
        <v>0</v>
      </c>
      <c r="D47" s="20" t="n">
        <v>0</v>
      </c>
      <c r="E47" s="20" t="n">
        <v>0</v>
      </c>
      <c r="F47" s="20" t="n">
        <v>0</v>
      </c>
    </row>
    <row r="48" customFormat="false" ht="15" hidden="false" customHeight="false" outlineLevel="0" collapsed="false">
      <c r="A48" s="7" t="s">
        <v>35</v>
      </c>
      <c r="B48" s="20" t="n">
        <v>0</v>
      </c>
      <c r="C48" s="20" t="n">
        <v>0</v>
      </c>
      <c r="D48" s="20" t="n">
        <v>0</v>
      </c>
      <c r="E48" s="20" t="n">
        <v>0</v>
      </c>
      <c r="F48" s="20" t="n">
        <v>0</v>
      </c>
    </row>
    <row r="49" customFormat="false" ht="15" hidden="false" customHeight="false" outlineLevel="0" collapsed="false">
      <c r="A49" s="53" t="s">
        <v>36</v>
      </c>
      <c r="B49" s="52" t="n">
        <v>15</v>
      </c>
      <c r="C49" s="52" t="n">
        <v>14</v>
      </c>
      <c r="D49" s="52" t="n">
        <v>35</v>
      </c>
      <c r="E49" s="52" t="n">
        <v>30</v>
      </c>
      <c r="F49" s="52" t="n">
        <v>25</v>
      </c>
    </row>
    <row r="51" customFormat="false" ht="15" hidden="false" customHeight="false" outlineLevel="0" collapsed="false">
      <c r="A51" s="54" t="s">
        <v>37</v>
      </c>
      <c r="B51" s="55"/>
      <c r="C51" s="56"/>
    </row>
    <row r="52" customFormat="false" ht="15" hidden="false" customHeight="false" outlineLevel="0" collapsed="false">
      <c r="A52" s="7" t="s">
        <v>38</v>
      </c>
      <c r="B52" s="7" t="n">
        <f aca="false">12/66</f>
        <v>0.181818181818182</v>
      </c>
      <c r="C52" s="7" t="s">
        <v>3</v>
      </c>
    </row>
    <row r="53" customFormat="false" ht="15" hidden="false" customHeight="false" outlineLevel="0" collapsed="false">
      <c r="A53" s="7" t="s">
        <v>39</v>
      </c>
      <c r="B53" s="7" t="n">
        <v>0.657392631651981</v>
      </c>
      <c r="C53" s="7" t="s">
        <v>3</v>
      </c>
    </row>
    <row r="54" customFormat="false" ht="15" hidden="false" customHeight="false" outlineLevel="0" collapsed="false">
      <c r="A54" s="7" t="s">
        <v>40</v>
      </c>
      <c r="B54" s="7" t="n">
        <v>0.297805642633229</v>
      </c>
      <c r="C54" s="7" t="s">
        <v>3</v>
      </c>
    </row>
    <row r="57" customFormat="false" ht="15" hidden="false" customHeight="false" outlineLevel="0" collapsed="false">
      <c r="A57" s="57" t="s">
        <v>41</v>
      </c>
      <c r="B57" s="57" t="s">
        <v>42</v>
      </c>
      <c r="C57" s="57" t="s">
        <v>43</v>
      </c>
      <c r="D57" s="57" t="s">
        <v>44</v>
      </c>
      <c r="E57" s="57" t="s">
        <v>45</v>
      </c>
      <c r="F57" s="57"/>
    </row>
    <row r="58" customFormat="false" ht="15" hidden="false" customHeight="false" outlineLevel="0" collapsed="false">
      <c r="A58" s="7" t="s">
        <v>17</v>
      </c>
      <c r="B58" s="7" t="n">
        <v>54</v>
      </c>
      <c r="C58" s="7" t="n">
        <v>14</v>
      </c>
      <c r="D58" s="7" t="n">
        <v>6</v>
      </c>
      <c r="E58" s="7" t="n">
        <v>118</v>
      </c>
      <c r="F58" s="7" t="s">
        <v>41</v>
      </c>
    </row>
    <row r="59" customFormat="false" ht="15" hidden="false" customHeight="false" outlineLevel="0" collapsed="false">
      <c r="A59" s="7" t="s">
        <v>46</v>
      </c>
      <c r="B59" s="7" t="n">
        <v>37</v>
      </c>
      <c r="C59" s="7"/>
      <c r="D59" s="7" t="n">
        <v>17</v>
      </c>
      <c r="E59" s="7" t="n">
        <v>64</v>
      </c>
      <c r="F59" s="7" t="s">
        <v>41</v>
      </c>
    </row>
    <row r="60" customFormat="false" ht="15" hidden="false" customHeight="false" outlineLevel="0" collapsed="false">
      <c r="A60" s="7" t="s">
        <v>47</v>
      </c>
      <c r="B60" s="7" t="n">
        <v>54</v>
      </c>
      <c r="C60" s="7" t="n">
        <v>22</v>
      </c>
      <c r="D60" s="7" t="n">
        <v>25</v>
      </c>
      <c r="E60" s="7" t="n">
        <v>92</v>
      </c>
      <c r="F60" s="7" t="s">
        <v>41</v>
      </c>
    </row>
    <row r="61" customFormat="false" ht="15" hidden="false" customHeight="false" outlineLevel="0" collapsed="false">
      <c r="A61" s="7" t="s">
        <v>48</v>
      </c>
      <c r="B61" s="7" t="n">
        <v>130</v>
      </c>
      <c r="C61" s="7" t="n">
        <v>91</v>
      </c>
      <c r="D61" s="7" t="n">
        <v>57</v>
      </c>
      <c r="E61" s="7" t="n">
        <v>177</v>
      </c>
      <c r="F61" s="7" t="s">
        <v>41</v>
      </c>
    </row>
    <row r="62" customFormat="false" ht="15" hidden="false" customHeight="false" outlineLevel="0" collapsed="false">
      <c r="A62" s="7" t="s">
        <v>49</v>
      </c>
      <c r="B62" s="7" t="n">
        <v>198</v>
      </c>
      <c r="C62" s="7" t="n">
        <v>132</v>
      </c>
      <c r="D62" s="7" t="n">
        <v>61</v>
      </c>
      <c r="E62" s="7" t="n">
        <v>322</v>
      </c>
      <c r="F62" s="7" t="s">
        <v>41</v>
      </c>
    </row>
    <row r="63" customFormat="false" ht="15" hidden="false" customHeight="false" outlineLevel="0" collapsed="false">
      <c r="A63" s="7" t="s">
        <v>19</v>
      </c>
      <c r="B63" s="7"/>
      <c r="C63" s="7" t="n">
        <v>144</v>
      </c>
      <c r="D63" s="7" t="n">
        <v>126</v>
      </c>
      <c r="E63" s="7" t="n">
        <v>153</v>
      </c>
      <c r="F63" s="7" t="s">
        <v>41</v>
      </c>
    </row>
    <row r="65" customFormat="false" ht="15" hidden="false" customHeight="false" outlineLevel="0" collapsed="false">
      <c r="A65" s="57" t="s">
        <v>50</v>
      </c>
      <c r="B65" s="57" t="s">
        <v>51</v>
      </c>
    </row>
    <row r="66" customFormat="false" ht="15" hidden="false" customHeight="false" outlineLevel="0" collapsed="false">
      <c r="A66" s="57" t="s">
        <v>52</v>
      </c>
      <c r="B66" s="7" t="n">
        <v>1200</v>
      </c>
      <c r="C66" s="1" t="n">
        <f aca="false">B66/47</f>
        <v>25.531914893617</v>
      </c>
    </row>
    <row r="67" customFormat="false" ht="15" hidden="false" customHeight="false" outlineLevel="0" collapsed="false">
      <c r="A67" s="57" t="s">
        <v>53</v>
      </c>
      <c r="B67" s="7" t="n">
        <v>4500</v>
      </c>
      <c r="C67" s="1" t="n">
        <f aca="false">B67/47</f>
        <v>95.7446808510638</v>
      </c>
    </row>
    <row r="68" customFormat="false" ht="15" hidden="false" customHeight="false" outlineLevel="0" collapsed="false">
      <c r="A68" s="57" t="s">
        <v>54</v>
      </c>
      <c r="B68" s="7" t="n">
        <v>1800</v>
      </c>
      <c r="C68" s="1" t="n">
        <f aca="false">B68/47</f>
        <v>38.2978723404255</v>
      </c>
    </row>
    <row r="69" customFormat="false" ht="15" hidden="false" customHeight="false" outlineLevel="0" collapsed="false">
      <c r="A69" s="57" t="s">
        <v>55</v>
      </c>
      <c r="B69" s="7" t="n">
        <v>2200</v>
      </c>
      <c r="C69" s="1" t="n">
        <f aca="false">B69/47</f>
        <v>46.8085106382979</v>
      </c>
    </row>
    <row r="70" customFormat="false" ht="15" hidden="false" customHeight="false" outlineLevel="0" collapsed="false">
      <c r="A70" s="57" t="s">
        <v>56</v>
      </c>
      <c r="B70" s="7" t="n">
        <v>1900</v>
      </c>
      <c r="C70" s="1" t="n">
        <f aca="false">B70/47</f>
        <v>40.4255319148936</v>
      </c>
    </row>
    <row r="72" customFormat="false" ht="15" hidden="false" customHeight="false" outlineLevel="0" collapsed="false">
      <c r="A72" s="57" t="s">
        <v>57</v>
      </c>
      <c r="B72" s="57" t="s">
        <v>58</v>
      </c>
      <c r="C72" s="1" t="s">
        <v>59</v>
      </c>
    </row>
    <row r="73" customFormat="false" ht="15" hidden="false" customHeight="false" outlineLevel="0" collapsed="false">
      <c r="A73" s="57" t="s">
        <v>60</v>
      </c>
      <c r="B73" s="7" t="n">
        <v>0.045</v>
      </c>
    </row>
    <row r="74" customFormat="false" ht="15" hidden="false" customHeight="false" outlineLevel="0" collapsed="false">
      <c r="A74" s="57" t="s">
        <v>61</v>
      </c>
      <c r="B74" s="7" t="n">
        <v>0.52</v>
      </c>
    </row>
    <row r="75" customFormat="false" ht="15" hidden="false" customHeight="false" outlineLevel="0" collapsed="false">
      <c r="A75" s="57" t="s">
        <v>62</v>
      </c>
      <c r="B75" s="7" t="n">
        <v>0.4</v>
      </c>
    </row>
    <row r="76" customFormat="false" ht="15" hidden="false" customHeight="false" outlineLevel="0" collapsed="false">
      <c r="A76" s="57" t="s">
        <v>63</v>
      </c>
      <c r="B76" s="7" t="n">
        <v>0.3</v>
      </c>
    </row>
    <row r="78" customFormat="false" ht="15" hidden="false" customHeight="false" outlineLevel="0" collapsed="false">
      <c r="A78" s="57" t="s">
        <v>64</v>
      </c>
      <c r="B78" s="57" t="s">
        <v>65</v>
      </c>
    </row>
    <row r="79" customFormat="false" ht="15" hidden="false" customHeight="false" outlineLevel="0" collapsed="false">
      <c r="A79" s="57" t="s">
        <v>60</v>
      </c>
      <c r="B79" s="7" t="n">
        <v>8.3</v>
      </c>
    </row>
    <row r="80" customFormat="false" ht="15" hidden="false" customHeight="false" outlineLevel="0" collapsed="false">
      <c r="A80" s="57" t="s">
        <v>61</v>
      </c>
      <c r="B80" s="7" t="n">
        <v>18</v>
      </c>
    </row>
    <row r="81" customFormat="false" ht="15" hidden="false" customHeight="false" outlineLevel="0" collapsed="false">
      <c r="A81" s="57" t="s">
        <v>62</v>
      </c>
      <c r="B81" s="7" t="n">
        <v>6.1</v>
      </c>
    </row>
    <row r="82" customFormat="false" ht="15" hidden="false" customHeight="false" outlineLevel="0" collapsed="false">
      <c r="A82" s="57" t="s">
        <v>63</v>
      </c>
      <c r="B82" s="7" t="n">
        <v>6.3</v>
      </c>
    </row>
  </sheetData>
  <mergeCells count="6">
    <mergeCell ref="A9:E9"/>
    <mergeCell ref="A15:E15"/>
    <mergeCell ref="A22:F22"/>
    <mergeCell ref="A28:F28"/>
    <mergeCell ref="A38:F38"/>
    <mergeCell ref="A44:F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DF135"/>
  <sheetViews>
    <sheetView showFormulas="false" showGridLines="true" showRowColHeaders="true" showZeros="true" rightToLeft="false" tabSelected="true" showOutlineSymbols="true" defaultGridColor="true" view="normal" topLeftCell="L1" colorId="64" zoomScale="85" zoomScaleNormal="85" zoomScalePageLayoutView="100" workbookViewId="0">
      <selection pane="topLeft" activeCell="AG18" activeCellId="0" sqref="AG18"/>
    </sheetView>
  </sheetViews>
  <sheetFormatPr defaultColWidth="10.71484375" defaultRowHeight="15" customHeight="false" zeroHeight="false" outlineLevelRow="0" outlineLevelCol="0"/>
  <cols>
    <col collapsed="false" customWidth="true" hidden="false" outlineLevel="0" max="1" min="1" style="1" width="30.57"/>
    <col collapsed="false" customWidth="true" hidden="false" outlineLevel="0" max="2" min="2" style="1" width="18.29"/>
    <col collapsed="false" customWidth="true" hidden="false" outlineLevel="0" max="3" min="3" style="1" width="15.86"/>
    <col collapsed="false" customWidth="true" hidden="false" outlineLevel="0" max="4" min="4" style="1" width="16.43"/>
    <col collapsed="false" customWidth="true" hidden="false" outlineLevel="0" max="5" min="5" style="1" width="12.86"/>
    <col collapsed="false" customWidth="true" hidden="false" outlineLevel="0" max="14" min="6" style="1" width="12.29"/>
    <col collapsed="false" customWidth="true" hidden="false" outlineLevel="0" max="15" min="15" style="1" width="12.43"/>
    <col collapsed="false" customWidth="true" hidden="false" outlineLevel="0" max="19" min="16" style="1" width="12.29"/>
  </cols>
  <sheetData>
    <row r="1" s="59" customFormat="true" ht="31.5" hidden="false" customHeight="true" outlineLevel="0" collapsed="false">
      <c r="A1" s="58" t="s">
        <v>66</v>
      </c>
      <c r="B1" s="58"/>
      <c r="C1" s="58"/>
      <c r="D1" s="58"/>
      <c r="E1" s="58"/>
      <c r="F1" s="58"/>
    </row>
    <row r="2" s="60" customFormat="true" ht="15" hidden="false" customHeight="false" outlineLevel="0" collapsed="false">
      <c r="A2" s="60" t="s">
        <v>67</v>
      </c>
    </row>
    <row r="4" customFormat="false" ht="15" hidden="false" customHeight="false" outlineLevel="0" collapsed="false">
      <c r="A4" s="61"/>
      <c r="B4" s="62" t="s">
        <v>68</v>
      </c>
      <c r="C4" s="63" t="s">
        <v>69</v>
      </c>
    </row>
    <row r="5" customFormat="false" ht="15" hidden="false" customHeight="false" outlineLevel="0" collapsed="false">
      <c r="A5" s="64" t="s">
        <v>70</v>
      </c>
      <c r="B5" s="65" t="n">
        <v>2939375330000</v>
      </c>
      <c r="C5" s="66" t="n">
        <v>-5148695470</v>
      </c>
    </row>
    <row r="6" customFormat="false" ht="15" hidden="false" customHeight="false" outlineLevel="0" collapsed="false">
      <c r="A6" s="64" t="s">
        <v>71</v>
      </c>
      <c r="B6" s="65" t="n">
        <v>-57131355000000</v>
      </c>
      <c r="C6" s="66" t="n">
        <v>10799571900000</v>
      </c>
    </row>
    <row r="7" customFormat="false" ht="15" hidden="false" customHeight="false" outlineLevel="0" collapsed="false">
      <c r="A7" s="67" t="s">
        <v>72</v>
      </c>
      <c r="B7" s="68" t="n">
        <v>2015</v>
      </c>
    </row>
    <row r="8" customFormat="false" ht="15" hidden="false" customHeight="false" outlineLevel="0" collapsed="false">
      <c r="A8" s="69" t="s">
        <v>73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</row>
    <row r="9" customFormat="false" ht="15" hidden="false" customHeight="false" outlineLevel="0" collapsed="false">
      <c r="A9" s="70" t="s">
        <v>74</v>
      </c>
      <c r="B9" s="71" t="n">
        <v>1995</v>
      </c>
      <c r="C9" s="71" t="n">
        <v>1996</v>
      </c>
      <c r="D9" s="71" t="n">
        <v>1997</v>
      </c>
      <c r="E9" s="71" t="n">
        <v>1998</v>
      </c>
      <c r="F9" s="71" t="n">
        <v>1999</v>
      </c>
      <c r="G9" s="71" t="n">
        <v>2000</v>
      </c>
      <c r="H9" s="71" t="n">
        <v>2001</v>
      </c>
      <c r="I9" s="71" t="n">
        <v>2002</v>
      </c>
      <c r="J9" s="71" t="n">
        <v>2003</v>
      </c>
      <c r="K9" s="71" t="n">
        <v>2004</v>
      </c>
      <c r="L9" s="71" t="n">
        <v>2005</v>
      </c>
      <c r="M9" s="71" t="n">
        <v>2006</v>
      </c>
      <c r="N9" s="71" t="n">
        <v>2007</v>
      </c>
      <c r="O9" s="71" t="n">
        <v>2008</v>
      </c>
      <c r="P9" s="71" t="n">
        <v>2009</v>
      </c>
      <c r="Q9" s="71" t="n">
        <v>2010</v>
      </c>
      <c r="R9" s="71" t="n">
        <v>2011</v>
      </c>
      <c r="S9" s="71" t="n">
        <v>2012</v>
      </c>
      <c r="T9" s="71" t="n">
        <v>2013</v>
      </c>
      <c r="U9" s="71" t="n">
        <v>2014</v>
      </c>
      <c r="V9" s="71" t="n">
        <v>2015</v>
      </c>
      <c r="W9" s="71" t="n">
        <v>2016</v>
      </c>
      <c r="X9" s="71" t="n">
        <v>2017</v>
      </c>
      <c r="Y9" s="71" t="n">
        <v>2018</v>
      </c>
      <c r="Z9" s="71" t="n">
        <v>2019</v>
      </c>
      <c r="AA9" s="71" t="n">
        <v>2020</v>
      </c>
      <c r="AB9" s="71" t="n">
        <v>2021</v>
      </c>
      <c r="AC9" s="71" t="n">
        <v>2022</v>
      </c>
      <c r="AD9" s="71" t="n">
        <v>2023</v>
      </c>
    </row>
    <row r="10" customFormat="false" ht="15" hidden="false" customHeight="false" outlineLevel="0" collapsed="false">
      <c r="A10" s="70" t="s">
        <v>75</v>
      </c>
      <c r="B10" s="72" t="n">
        <v>54491475335221.8</v>
      </c>
      <c r="C10" s="72" t="n">
        <v>54823957946164.7</v>
      </c>
      <c r="D10" s="72" t="n">
        <v>55156440557107.5</v>
      </c>
      <c r="E10" s="72" t="n">
        <v>55488923168050.4</v>
      </c>
      <c r="F10" s="72" t="n">
        <v>55821405778993.2</v>
      </c>
      <c r="G10" s="72" t="n">
        <v>56153888389936</v>
      </c>
      <c r="H10" s="72" t="n">
        <v>56486371000878.9</v>
      </c>
      <c r="I10" s="72" t="n">
        <v>56924115539421</v>
      </c>
      <c r="J10" s="72" t="n">
        <v>60539072480053.2</v>
      </c>
      <c r="K10" s="72" t="n">
        <v>65094167575529.9</v>
      </c>
      <c r="L10" s="72" t="n">
        <v>67623928838457.7</v>
      </c>
      <c r="M10" s="72" t="n">
        <v>71662253075963.9</v>
      </c>
      <c r="N10" s="72" t="n">
        <v>74349192700752.3</v>
      </c>
      <c r="O10" s="72" t="n">
        <v>76474289664888.4</v>
      </c>
      <c r="P10" s="72" t="n">
        <v>73757204721427.1</v>
      </c>
      <c r="Q10" s="72" t="n">
        <v>81452151555847.8</v>
      </c>
      <c r="R10" s="72" t="n">
        <v>85758059199375</v>
      </c>
      <c r="S10" s="72" t="n">
        <v>89815427014431.5</v>
      </c>
      <c r="T10" s="71" t="n">
        <v>93044955044363.9</v>
      </c>
      <c r="U10" s="71" t="n">
        <v>97288073829446.3</v>
      </c>
      <c r="V10" s="71" t="n">
        <v>101531192614529</v>
      </c>
      <c r="W10" s="1" t="n">
        <v>105774311399611</v>
      </c>
      <c r="X10" s="1" t="n">
        <v>110017430184694</v>
      </c>
      <c r="Y10" s="1" t="n">
        <v>114260548969776</v>
      </c>
      <c r="Z10" s="1" t="n">
        <v>118503667754859</v>
      </c>
      <c r="AA10" s="1" t="n">
        <v>122746786539941</v>
      </c>
      <c r="AB10" s="1" t="n">
        <v>122746786539941</v>
      </c>
      <c r="AC10" s="1" t="n">
        <v>122746786539941</v>
      </c>
      <c r="AD10" s="1" t="n">
        <v>122746786539941</v>
      </c>
    </row>
    <row r="11" s="6" customFormat="true" ht="15" hidden="false" customHeight="false" outlineLevel="0" collapsed="false">
      <c r="A11" s="73" t="s">
        <v>76</v>
      </c>
      <c r="B11" s="71" t="n">
        <v>0.0874843716948242</v>
      </c>
      <c r="C11" s="71" t="n">
        <v>0.0894115884848673</v>
      </c>
      <c r="D11" s="71" t="n">
        <v>0.0913388052749104</v>
      </c>
      <c r="E11" s="71" t="n">
        <v>0.0932660220649536</v>
      </c>
      <c r="F11" s="71" t="n">
        <v>0.0951932388549967</v>
      </c>
      <c r="G11" s="71" t="n">
        <v>0.101968511159456</v>
      </c>
      <c r="H11" s="71" t="n">
        <v>0.104194352541912</v>
      </c>
      <c r="I11" s="71" t="n">
        <v>0.105396785344275</v>
      </c>
      <c r="J11" s="71" t="n">
        <v>0.103517956260696</v>
      </c>
      <c r="K11" s="71" t="n">
        <v>0.101421229972249</v>
      </c>
      <c r="L11" s="71" t="n">
        <v>0.0974462208961476</v>
      </c>
      <c r="M11" s="71" t="n">
        <v>0.1009752805887</v>
      </c>
      <c r="N11" s="71" t="n">
        <v>0.106565096122048</v>
      </c>
      <c r="O11" s="71" t="n">
        <v>0.110554715577439</v>
      </c>
      <c r="P11" s="71" t="n">
        <v>0.118120764726347</v>
      </c>
      <c r="Q11" s="71" t="n">
        <v>0.116492386211112</v>
      </c>
      <c r="R11" s="71" t="n">
        <v>0.118974300124906</v>
      </c>
      <c r="S11" s="71" t="n">
        <v>0.121180833916581</v>
      </c>
      <c r="T11" s="71" t="n">
        <v>0.124814364422156</v>
      </c>
      <c r="U11" s="71" t="n">
        <v>0.127541799766101</v>
      </c>
      <c r="V11" s="71" t="n">
        <v>0.126028707495687</v>
      </c>
      <c r="W11" s="6" t="n">
        <v>0.12795592428573</v>
      </c>
      <c r="X11" s="6" t="n">
        <v>0.129883141075773</v>
      </c>
      <c r="Y11" s="6" t="n">
        <v>0.131810357865816</v>
      </c>
      <c r="Z11" s="6" t="n">
        <v>0.133737574655859</v>
      </c>
      <c r="AA11" s="6" t="n">
        <v>0.135664791445902</v>
      </c>
      <c r="AB11" s="6" t="n">
        <v>0.135664791445902</v>
      </c>
      <c r="AC11" s="6" t="n">
        <v>0.135664791445902</v>
      </c>
      <c r="AD11" s="6" t="n">
        <v>0.135664791445902</v>
      </c>
    </row>
    <row r="12" s="6" customFormat="true" ht="15" hidden="false" customHeight="false" outlineLevel="0" collapsed="false">
      <c r="A12" s="73" t="s">
        <v>77</v>
      </c>
      <c r="B12" s="71" t="n">
        <v>0.910383065173537</v>
      </c>
      <c r="C12" s="71" t="n">
        <v>0.908460348640024</v>
      </c>
      <c r="D12" s="71" t="n">
        <v>0.906537632106511</v>
      </c>
      <c r="E12" s="71" t="n">
        <v>0.904614915572998</v>
      </c>
      <c r="F12" s="71" t="n">
        <v>0.902692199039485</v>
      </c>
      <c r="G12" s="71" t="n">
        <v>0.895925540091656</v>
      </c>
      <c r="H12" s="71" t="n">
        <v>0.893843035361829</v>
      </c>
      <c r="I12" s="71" t="n">
        <v>0.892538945902729</v>
      </c>
      <c r="J12" s="71" t="n">
        <v>0.894430423291354</v>
      </c>
      <c r="K12" s="71" t="n">
        <v>0.896442896028922</v>
      </c>
      <c r="L12" s="71" t="n">
        <v>0.90046156699151</v>
      </c>
      <c r="M12" s="71" t="n">
        <v>0.89694639229197</v>
      </c>
      <c r="N12" s="71" t="n">
        <v>0.891307026758469</v>
      </c>
      <c r="O12" s="71" t="n">
        <v>0.887372850998275</v>
      </c>
      <c r="P12" s="71" t="n">
        <v>0.879499680024545</v>
      </c>
      <c r="Q12" s="71" t="n">
        <v>0.881272858492668</v>
      </c>
      <c r="R12" s="71" t="n">
        <v>0.878891355514134</v>
      </c>
      <c r="S12" s="71" t="n">
        <v>0.876870154114453</v>
      </c>
      <c r="T12" s="71" t="n">
        <v>0.873295908641766</v>
      </c>
      <c r="U12" s="71" t="n">
        <v>0.870558367066419</v>
      </c>
      <c r="V12" s="71" t="n">
        <v>0.871928734503275</v>
      </c>
      <c r="W12" s="6" t="n">
        <v>0.870006017969762</v>
      </c>
      <c r="X12" s="6" t="n">
        <v>0.868083301436249</v>
      </c>
      <c r="Y12" s="6" t="n">
        <v>0.866160584902736</v>
      </c>
      <c r="Z12" s="6" t="n">
        <v>0.864237868369223</v>
      </c>
      <c r="AA12" s="6" t="n">
        <v>0.86231515183571</v>
      </c>
      <c r="AB12" s="6" t="n">
        <v>0.86231515183571</v>
      </c>
      <c r="AC12" s="6" t="n">
        <v>0.86231515183571</v>
      </c>
      <c r="AD12" s="6" t="n">
        <v>0.86231515183571</v>
      </c>
    </row>
    <row r="13" s="6" customFormat="true" ht="15" hidden="false" customHeight="false" outlineLevel="0" collapsed="false">
      <c r="A13" s="73" t="s">
        <v>78</v>
      </c>
      <c r="B13" s="71" t="n">
        <v>0</v>
      </c>
      <c r="C13" s="71" t="n">
        <v>0</v>
      </c>
      <c r="D13" s="71" t="n">
        <v>0</v>
      </c>
      <c r="E13" s="71" t="n">
        <v>0</v>
      </c>
      <c r="F13" s="71" t="n">
        <v>0</v>
      </c>
      <c r="G13" s="71" t="n">
        <v>0</v>
      </c>
      <c r="H13" s="71" t="n">
        <v>0</v>
      </c>
      <c r="I13" s="71" t="n">
        <v>0</v>
      </c>
      <c r="J13" s="71" t="n">
        <v>0</v>
      </c>
      <c r="K13" s="71" t="n">
        <v>0</v>
      </c>
      <c r="L13" s="71" t="n">
        <v>0</v>
      </c>
      <c r="M13" s="71" t="n">
        <v>0</v>
      </c>
      <c r="N13" s="71" t="n">
        <v>0</v>
      </c>
      <c r="O13" s="71" t="n">
        <v>0</v>
      </c>
      <c r="P13" s="71" t="n">
        <v>0</v>
      </c>
      <c r="Q13" s="71" t="n">
        <v>0</v>
      </c>
      <c r="R13" s="71" t="n">
        <v>0</v>
      </c>
      <c r="S13" s="71" t="n">
        <v>0</v>
      </c>
      <c r="T13" s="71" t="n">
        <v>0</v>
      </c>
      <c r="U13" s="71" t="n">
        <v>0</v>
      </c>
      <c r="V13" s="71" t="n">
        <v>0</v>
      </c>
      <c r="W13" s="71" t="n">
        <v>0</v>
      </c>
      <c r="X13" s="71" t="n">
        <v>0</v>
      </c>
      <c r="Y13" s="71" t="n">
        <v>0</v>
      </c>
      <c r="Z13" s="71" t="n">
        <v>0</v>
      </c>
      <c r="AA13" s="71" t="n">
        <v>0</v>
      </c>
      <c r="AB13" s="71" t="n">
        <v>0</v>
      </c>
      <c r="AC13" s="71" t="n">
        <v>0</v>
      </c>
      <c r="AD13" s="71" t="n">
        <v>0</v>
      </c>
    </row>
    <row r="14" s="6" customFormat="true" ht="15" hidden="false" customHeight="false" outlineLevel="0" collapsed="false">
      <c r="A14" s="74" t="s">
        <v>79</v>
      </c>
      <c r="B14" s="71" t="n">
        <v>0</v>
      </c>
      <c r="C14" s="71" t="n">
        <v>0</v>
      </c>
      <c r="D14" s="71" t="n">
        <v>0</v>
      </c>
      <c r="E14" s="71" t="n">
        <v>0</v>
      </c>
      <c r="F14" s="71" t="n">
        <v>0</v>
      </c>
      <c r="G14" s="71" t="n">
        <v>0</v>
      </c>
      <c r="H14" s="71" t="n">
        <v>0</v>
      </c>
      <c r="I14" s="71" t="n">
        <v>0</v>
      </c>
      <c r="J14" s="71" t="n">
        <v>0</v>
      </c>
      <c r="K14" s="71" t="n">
        <v>0</v>
      </c>
      <c r="L14" s="71" t="n">
        <v>0</v>
      </c>
      <c r="M14" s="71" t="n">
        <v>0</v>
      </c>
      <c r="N14" s="71" t="n">
        <v>0</v>
      </c>
      <c r="O14" s="71" t="n">
        <v>0</v>
      </c>
      <c r="P14" s="71" t="n">
        <v>0</v>
      </c>
      <c r="Q14" s="71" t="n">
        <v>0</v>
      </c>
      <c r="R14" s="71" t="n">
        <v>0</v>
      </c>
      <c r="S14" s="71" t="n">
        <v>0</v>
      </c>
      <c r="T14" s="71" t="n">
        <v>0</v>
      </c>
      <c r="U14" s="71" t="n">
        <v>0</v>
      </c>
      <c r="V14" s="71" t="n">
        <v>0</v>
      </c>
      <c r="W14" s="71" t="n">
        <v>0</v>
      </c>
      <c r="X14" s="71" t="n">
        <v>0</v>
      </c>
      <c r="Y14" s="71" t="n">
        <v>0</v>
      </c>
      <c r="Z14" s="71" t="n">
        <v>0</v>
      </c>
      <c r="AA14" s="71" t="n">
        <v>0</v>
      </c>
      <c r="AB14" s="71" t="n">
        <v>0</v>
      </c>
      <c r="AC14" s="71" t="n">
        <v>0</v>
      </c>
      <c r="AD14" s="71" t="n">
        <v>0</v>
      </c>
    </row>
    <row r="15" s="6" customFormat="true" ht="15" hidden="false" customHeight="false" outlineLevel="0" collapsed="false">
      <c r="A15" s="75" t="s">
        <v>80</v>
      </c>
      <c r="B15" s="71" t="n">
        <v>0.00213256313163829</v>
      </c>
      <c r="C15" s="71" t="n">
        <v>0.00212806287510829</v>
      </c>
      <c r="D15" s="71" t="n">
        <v>0.0021235626185783</v>
      </c>
      <c r="E15" s="71" t="n">
        <v>0.0021190623620483</v>
      </c>
      <c r="F15" s="71" t="n">
        <v>0.0021145621055183</v>
      </c>
      <c r="G15" s="71" t="n">
        <v>0.00210594874888832</v>
      </c>
      <c r="H15" s="71" t="n">
        <v>0.00196261209625894</v>
      </c>
      <c r="I15" s="71" t="n">
        <v>0.00206426875299669</v>
      </c>
      <c r="J15" s="71" t="n">
        <v>0.00205162044794993</v>
      </c>
      <c r="K15" s="71" t="n">
        <v>0.00213587399882912</v>
      </c>
      <c r="L15" s="71" t="n">
        <v>0.00209221211234237</v>
      </c>
      <c r="M15" s="71" t="n">
        <v>0.00207832711932909</v>
      </c>
      <c r="N15" s="71" t="n">
        <v>0.00212787711948349</v>
      </c>
      <c r="O15" s="71" t="n">
        <v>0.00207243342428542</v>
      </c>
      <c r="P15" s="71" t="n">
        <v>0.00237955524910787</v>
      </c>
      <c r="Q15" s="71" t="n">
        <v>0.00223475529622031</v>
      </c>
      <c r="R15" s="71" t="n">
        <v>0.00213434436095957</v>
      </c>
      <c r="S15" s="71" t="n">
        <v>0.00194901196896515</v>
      </c>
      <c r="T15" s="71" t="n">
        <v>0.00188972693607849</v>
      </c>
      <c r="U15" s="71" t="n">
        <v>0.00189983316747994</v>
      </c>
      <c r="V15" s="71" t="n">
        <v>0.00204255800103833</v>
      </c>
      <c r="W15" s="6" t="n">
        <v>0.00203805774450833</v>
      </c>
      <c r="X15" s="6" t="n">
        <v>0.00203355748797833</v>
      </c>
      <c r="Y15" s="6" t="n">
        <v>0.00202905723144833</v>
      </c>
      <c r="Z15" s="6" t="n">
        <v>0.00202455697491833</v>
      </c>
      <c r="AA15" s="6" t="n">
        <v>0.00202005671838834</v>
      </c>
      <c r="AB15" s="6" t="n">
        <v>0.00202005671838834</v>
      </c>
      <c r="AC15" s="6" t="n">
        <v>0.00202005671838834</v>
      </c>
      <c r="AD15" s="6" t="n">
        <v>0.00202005671838834</v>
      </c>
    </row>
    <row r="16" s="6" customFormat="true" ht="15" hidden="false" customHeight="false" outlineLevel="0" collapsed="false">
      <c r="A16" s="69" t="s">
        <v>81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</row>
    <row r="17" s="6" customFormat="true" ht="15" hidden="false" customHeight="false" outlineLevel="0" collapsed="false">
      <c r="A17" s="70" t="s">
        <v>82</v>
      </c>
      <c r="B17" s="72" t="n">
        <v>508120854254.697</v>
      </c>
      <c r="C17" s="72" t="n">
        <v>502304716128.392</v>
      </c>
      <c r="D17" s="72" t="n">
        <v>496488578002.19</v>
      </c>
      <c r="E17" s="72" t="n">
        <v>490672439875.987</v>
      </c>
      <c r="F17" s="72" t="n">
        <v>484856301750.272</v>
      </c>
      <c r="G17" s="72" t="n">
        <v>479040163622.487</v>
      </c>
      <c r="H17" s="72" t="n">
        <v>484334874123.561</v>
      </c>
      <c r="I17" s="72" t="n">
        <v>486884077649.985</v>
      </c>
      <c r="J17" s="72" t="n">
        <v>495889909593.396</v>
      </c>
      <c r="K17" s="72" t="n">
        <v>487603517494.186</v>
      </c>
      <c r="L17" s="72" t="n">
        <v>480762591007.009</v>
      </c>
      <c r="M17" s="72" t="n">
        <v>473468047356.097</v>
      </c>
      <c r="N17" s="72" t="n">
        <v>469181678496.955</v>
      </c>
      <c r="O17" s="72" t="n">
        <v>461180620146.702</v>
      </c>
      <c r="P17" s="72" t="n">
        <v>453410327807.909</v>
      </c>
      <c r="Q17" s="72" t="n">
        <v>449157197450.858</v>
      </c>
      <c r="R17" s="72" t="n">
        <v>444367464076.515</v>
      </c>
      <c r="S17" s="72" t="n">
        <v>439380091917.511</v>
      </c>
      <c r="T17" s="72" t="n">
        <v>434167189156.558</v>
      </c>
      <c r="U17" s="72" t="n">
        <v>429354199142.016</v>
      </c>
      <c r="V17" s="72" t="n">
        <v>424541209127.36</v>
      </c>
      <c r="W17" s="72" t="n">
        <v>424541209127.36</v>
      </c>
      <c r="X17" s="72" t="n">
        <v>424541209127.36</v>
      </c>
      <c r="Y17" s="72" t="n">
        <v>424541209127.36</v>
      </c>
      <c r="Z17" s="72" t="n">
        <v>424541209127.36</v>
      </c>
      <c r="AA17" s="72" t="n">
        <v>424541209127.36</v>
      </c>
      <c r="AB17" s="72" t="n">
        <v>424541209127.36</v>
      </c>
      <c r="AC17" s="72" t="n">
        <v>424541209127.36</v>
      </c>
      <c r="AD17" s="72" t="n">
        <v>424541209127.36</v>
      </c>
    </row>
    <row r="18" s="6" customFormat="true" ht="15" hidden="false" customHeight="false" outlineLevel="0" collapsed="false">
      <c r="A18" s="73" t="s">
        <v>83</v>
      </c>
      <c r="B18" s="71" t="n">
        <v>0.887423937868439</v>
      </c>
      <c r="C18" s="71" t="n">
        <v>0.879803612400238</v>
      </c>
      <c r="D18" s="71" t="n">
        <v>0.870924322613564</v>
      </c>
      <c r="E18" s="71" t="n">
        <v>0.861834533228116</v>
      </c>
      <c r="F18" s="71" t="n">
        <v>0.852526669042455</v>
      </c>
      <c r="G18" s="71" t="n">
        <v>0.84299278696505</v>
      </c>
      <c r="H18" s="71" t="n">
        <v>0.837050453299914</v>
      </c>
      <c r="I18" s="71" t="n">
        <v>0.830284991541284</v>
      </c>
      <c r="J18" s="71" t="n">
        <v>0.825886913902159</v>
      </c>
      <c r="K18" s="71" t="n">
        <v>0.815320631495519</v>
      </c>
      <c r="L18" s="71" t="n">
        <v>0.804977137130608</v>
      </c>
      <c r="M18" s="71" t="n">
        <v>0.794137989735126</v>
      </c>
      <c r="N18" s="71" t="n">
        <v>0.784351188819492</v>
      </c>
      <c r="O18" s="71" t="n">
        <v>0.780621378141538</v>
      </c>
      <c r="P18" s="71" t="n">
        <v>0.776364528224927</v>
      </c>
      <c r="Q18" s="71" t="n">
        <v>0.765914341711832</v>
      </c>
      <c r="R18" s="71" t="n">
        <v>0.756176386313142</v>
      </c>
      <c r="S18" s="71" t="n">
        <v>0.746561879303138</v>
      </c>
      <c r="T18" s="71" t="n">
        <v>0.737109295941594</v>
      </c>
      <c r="U18" s="71" t="n">
        <v>0.726749419741274</v>
      </c>
      <c r="V18" s="71" t="n">
        <v>0.72200642629482</v>
      </c>
      <c r="W18" s="71" t="n">
        <v>0.72200642629482</v>
      </c>
      <c r="X18" s="71" t="n">
        <v>0.72200642629482</v>
      </c>
      <c r="Y18" s="71" t="n">
        <v>0.72200642629482</v>
      </c>
      <c r="Z18" s="71" t="n">
        <v>0.72200642629482</v>
      </c>
      <c r="AA18" s="71" t="n">
        <v>0.72200642629482</v>
      </c>
      <c r="AB18" s="71" t="n">
        <v>0.72200642629482</v>
      </c>
      <c r="AC18" s="71" t="n">
        <v>0.72200642629482</v>
      </c>
      <c r="AD18" s="71" t="n">
        <v>0.72200642629482</v>
      </c>
    </row>
    <row r="19" s="6" customFormat="true" ht="15" hidden="false" customHeight="false" outlineLevel="0" collapsed="false">
      <c r="A19" s="70" t="s">
        <v>84</v>
      </c>
      <c r="B19" s="71" t="n">
        <v>0</v>
      </c>
      <c r="C19" s="71" t="n">
        <v>0</v>
      </c>
      <c r="D19" s="71" t="n">
        <v>0</v>
      </c>
      <c r="E19" s="71" t="n">
        <v>0</v>
      </c>
      <c r="F19" s="71" t="n">
        <v>0</v>
      </c>
      <c r="G19" s="71" t="n">
        <v>0</v>
      </c>
      <c r="H19" s="71" t="n">
        <v>0</v>
      </c>
      <c r="I19" s="71" t="n">
        <v>0</v>
      </c>
      <c r="J19" s="71" t="n">
        <v>0</v>
      </c>
      <c r="K19" s="71" t="n">
        <v>0</v>
      </c>
      <c r="L19" s="71" t="n">
        <v>0</v>
      </c>
      <c r="M19" s="71" t="n">
        <v>0</v>
      </c>
      <c r="N19" s="71" t="n">
        <v>0</v>
      </c>
      <c r="O19" s="71" t="n">
        <v>0</v>
      </c>
      <c r="P19" s="71" t="n">
        <v>0</v>
      </c>
      <c r="Q19" s="71" t="n">
        <v>0</v>
      </c>
      <c r="R19" s="71" t="n">
        <v>0</v>
      </c>
      <c r="S19" s="71" t="n">
        <v>0</v>
      </c>
      <c r="T19" s="71" t="n">
        <v>0</v>
      </c>
      <c r="U19" s="71" t="n">
        <v>0</v>
      </c>
      <c r="V19" s="71" t="n">
        <v>0</v>
      </c>
      <c r="W19" s="71" t="n">
        <v>0</v>
      </c>
      <c r="X19" s="71" t="n">
        <v>0</v>
      </c>
      <c r="Y19" s="71" t="n">
        <v>0</v>
      </c>
      <c r="Z19" s="71" t="n">
        <v>0</v>
      </c>
      <c r="AA19" s="71" t="n">
        <v>0</v>
      </c>
      <c r="AB19" s="71" t="n">
        <v>0</v>
      </c>
      <c r="AC19" s="71" t="n">
        <v>0</v>
      </c>
      <c r="AD19" s="71" t="n">
        <v>0</v>
      </c>
    </row>
    <row r="20" s="6" customFormat="true" ht="15" hidden="false" customHeight="false" outlineLevel="0" collapsed="false">
      <c r="A20" s="73" t="s">
        <v>78</v>
      </c>
      <c r="B20" s="71" t="n">
        <v>0.11257606213156</v>
      </c>
      <c r="C20" s="71" t="n">
        <v>0.120196387599762</v>
      </c>
      <c r="D20" s="71" t="n">
        <v>0.129075677386436</v>
      </c>
      <c r="E20" s="71" t="n">
        <v>0.138165466771884</v>
      </c>
      <c r="F20" s="71" t="n">
        <v>0.147473330957545</v>
      </c>
      <c r="G20" s="71" t="n">
        <v>0.15700721303495</v>
      </c>
      <c r="H20" s="71" t="n">
        <v>0.162949546700086</v>
      </c>
      <c r="I20" s="71" t="n">
        <v>0.169715008458716</v>
      </c>
      <c r="J20" s="71" t="n">
        <v>0.174113086097841</v>
      </c>
      <c r="K20" s="71" t="n">
        <v>0.184679368504481</v>
      </c>
      <c r="L20" s="71" t="n">
        <v>0.195022862869392</v>
      </c>
      <c r="M20" s="71" t="n">
        <v>0.205862010264874</v>
      </c>
      <c r="N20" s="71" t="n">
        <v>0.215648811180508</v>
      </c>
      <c r="O20" s="71" t="n">
        <v>0.219378621858462</v>
      </c>
      <c r="P20" s="71" t="n">
        <v>0.223635471775073</v>
      </c>
      <c r="Q20" s="71" t="n">
        <v>0.234085658288168</v>
      </c>
      <c r="R20" s="71" t="n">
        <v>0.243823613686858</v>
      </c>
      <c r="S20" s="71" t="n">
        <v>0.253438120696862</v>
      </c>
      <c r="T20" s="71" t="n">
        <v>0.262890704058406</v>
      </c>
      <c r="U20" s="71" t="n">
        <v>0.273250580258726</v>
      </c>
      <c r="V20" s="71" t="n">
        <v>0.27799357370518</v>
      </c>
      <c r="W20" s="71" t="n">
        <v>0.27799357370518</v>
      </c>
      <c r="X20" s="71" t="n">
        <v>0.27799357370518</v>
      </c>
      <c r="Y20" s="71" t="n">
        <v>0.27799357370518</v>
      </c>
      <c r="Z20" s="71" t="n">
        <v>0.27799357370518</v>
      </c>
      <c r="AA20" s="71" t="n">
        <v>0.27799357370518</v>
      </c>
      <c r="AB20" s="71" t="n">
        <v>0.27799357370518</v>
      </c>
      <c r="AC20" s="71" t="n">
        <v>0.27799357370518</v>
      </c>
      <c r="AD20" s="71" t="n">
        <v>0.27799357370518</v>
      </c>
    </row>
    <row r="21" s="6" customFormat="true" ht="15" hidden="false" customHeight="false" outlineLevel="0" collapsed="false">
      <c r="A21" s="73" t="s">
        <v>79</v>
      </c>
      <c r="B21" s="71" t="n">
        <v>0.832055109376637</v>
      </c>
      <c r="C21" s="71" t="n">
        <v>0.78834388241198</v>
      </c>
      <c r="D21" s="71" t="n">
        <v>0.783714619626014</v>
      </c>
      <c r="E21" s="71" t="n">
        <v>0.779085356840049</v>
      </c>
      <c r="F21" s="71" t="n">
        <v>0.774456094054083</v>
      </c>
      <c r="G21" s="71" t="n">
        <v>0.784335879868879</v>
      </c>
      <c r="H21" s="71" t="n">
        <v>0.765197568482151</v>
      </c>
      <c r="I21" s="71" t="n">
        <v>0.760568305696186</v>
      </c>
      <c r="J21" s="71" t="n">
        <v>0.75593904291022</v>
      </c>
      <c r="K21" s="71" t="n">
        <v>0.751309780124254</v>
      </c>
      <c r="L21" s="71" t="n">
        <v>0.783888117630651</v>
      </c>
      <c r="M21" s="71" t="n">
        <v>0.676100572619624</v>
      </c>
      <c r="N21" s="71" t="n">
        <v>0.65495346775942</v>
      </c>
      <c r="O21" s="71" t="n">
        <v>0.711476374571319</v>
      </c>
      <c r="P21" s="71" t="n">
        <v>0.737860007174503</v>
      </c>
      <c r="Q21" s="71" t="n">
        <v>0.717986997891414</v>
      </c>
      <c r="R21" s="71" t="n">
        <v>0.719420911314741</v>
      </c>
      <c r="S21" s="71" t="n">
        <v>0.718900325647884</v>
      </c>
      <c r="T21" s="71" t="n">
        <v>0.714994723240774</v>
      </c>
      <c r="U21" s="71" t="n">
        <v>0.720254400631046</v>
      </c>
      <c r="V21" s="71" t="n">
        <v>0.722614388571254</v>
      </c>
      <c r="W21" s="71" t="n">
        <v>0.722614388571254</v>
      </c>
      <c r="X21" s="71" t="n">
        <v>0.722614388571254</v>
      </c>
      <c r="Y21" s="71" t="n">
        <v>0.722614388571254</v>
      </c>
      <c r="Z21" s="71" t="n">
        <v>0.722614388571254</v>
      </c>
      <c r="AA21" s="71" t="n">
        <v>0.722614388571254</v>
      </c>
      <c r="AB21" s="71" t="n">
        <v>0.722614388571254</v>
      </c>
      <c r="AC21" s="71" t="n">
        <v>0.722614388571254</v>
      </c>
      <c r="AD21" s="71" t="n">
        <v>0.722614388571254</v>
      </c>
    </row>
    <row r="22" s="6" customFormat="true" ht="15" hidden="false" customHeight="false" outlineLevel="0" collapsed="false">
      <c r="A22" s="73" t="s">
        <v>80</v>
      </c>
      <c r="B22" s="71" t="n">
        <v>0</v>
      </c>
      <c r="C22" s="71" t="n">
        <v>0</v>
      </c>
      <c r="D22" s="71" t="n">
        <v>0</v>
      </c>
      <c r="E22" s="71" t="n">
        <v>0</v>
      </c>
      <c r="F22" s="71" t="n">
        <v>0</v>
      </c>
      <c r="G22" s="71" t="n">
        <v>0</v>
      </c>
      <c r="H22" s="71" t="n">
        <v>0</v>
      </c>
      <c r="I22" s="71" t="n">
        <v>0</v>
      </c>
      <c r="J22" s="71" t="n">
        <v>0</v>
      </c>
      <c r="K22" s="71" t="n">
        <v>0</v>
      </c>
      <c r="L22" s="71" t="n">
        <v>0</v>
      </c>
      <c r="M22" s="71" t="n">
        <v>0</v>
      </c>
      <c r="N22" s="71" t="n">
        <v>0</v>
      </c>
      <c r="O22" s="71" t="n">
        <v>0</v>
      </c>
      <c r="P22" s="71" t="n">
        <v>0</v>
      </c>
      <c r="Q22" s="71" t="n">
        <v>0</v>
      </c>
      <c r="R22" s="71" t="n">
        <v>0</v>
      </c>
      <c r="S22" s="71" t="n">
        <v>0</v>
      </c>
      <c r="T22" s="71" t="n">
        <v>0</v>
      </c>
      <c r="U22" s="71" t="n">
        <v>0</v>
      </c>
      <c r="V22" s="71" t="n">
        <v>0</v>
      </c>
      <c r="W22" s="71" t="n">
        <v>0</v>
      </c>
      <c r="X22" s="71" t="n">
        <v>0</v>
      </c>
      <c r="Y22" s="71" t="n">
        <v>0</v>
      </c>
      <c r="Z22" s="71" t="n">
        <v>0</v>
      </c>
      <c r="AA22" s="71" t="n">
        <v>0</v>
      </c>
      <c r="AB22" s="71" t="n">
        <v>0</v>
      </c>
      <c r="AC22" s="71" t="n">
        <v>0</v>
      </c>
      <c r="AD22" s="71" t="n">
        <v>0</v>
      </c>
    </row>
    <row r="23" s="6" customFormat="true" ht="15" hidden="false" customHeight="false" outlineLevel="0" collapsed="false">
      <c r="A23" s="76"/>
      <c r="O23" s="9"/>
      <c r="P23" s="9"/>
      <c r="Q23" s="9"/>
      <c r="R23" s="9"/>
      <c r="S23" s="9"/>
      <c r="T23" s="9"/>
      <c r="U23" s="9"/>
      <c r="V23" s="9"/>
    </row>
    <row r="24" s="6" customFormat="true" ht="15" hidden="false" customHeight="false" outlineLevel="0" collapsed="false">
      <c r="A24" s="77" t="s">
        <v>85</v>
      </c>
      <c r="B24" s="77"/>
      <c r="C24" s="77"/>
      <c r="D24" s="77"/>
    </row>
    <row r="25" s="6" customFormat="true" ht="15" hidden="false" customHeight="false" outlineLevel="0" collapsed="false">
      <c r="A25" s="78"/>
      <c r="B25" s="71"/>
      <c r="C25" s="71" t="s">
        <v>75</v>
      </c>
      <c r="D25" s="79" t="s">
        <v>86</v>
      </c>
    </row>
    <row r="26" s="6" customFormat="true" ht="15" hidden="false" customHeight="false" outlineLevel="0" collapsed="false">
      <c r="A26" s="80" t="s">
        <v>87</v>
      </c>
      <c r="B26" s="71" t="s">
        <v>12</v>
      </c>
      <c r="C26" s="81" t="n">
        <v>0.99437684755004</v>
      </c>
      <c r="D26" s="81" t="n">
        <f aca="false">1-SUM(D27:D29)</f>
        <v>0.99464261151467</v>
      </c>
    </row>
    <row r="27" s="6" customFormat="true" ht="15" hidden="false" customHeight="false" outlineLevel="0" collapsed="false">
      <c r="A27" s="80"/>
      <c r="B27" s="71" t="s">
        <v>13</v>
      </c>
      <c r="C27" s="81" t="n">
        <v>0.00175741954757482</v>
      </c>
      <c r="D27" s="81" t="n">
        <v>0.00175741954757482</v>
      </c>
    </row>
    <row r="28" s="6" customFormat="true" ht="15" hidden="false" customHeight="false" outlineLevel="0" collapsed="false">
      <c r="A28" s="80"/>
      <c r="B28" s="71" t="s">
        <v>14</v>
      </c>
      <c r="C28" s="81" t="n">
        <v>0.000819702937221888</v>
      </c>
      <c r="D28" s="6" t="n">
        <f aca="false">(B65+B69+B73)/SUM(initial_vehicles_inland)</f>
        <v>0.000553938972591772</v>
      </c>
    </row>
    <row r="29" s="6" customFormat="true" ht="15" hidden="false" customHeight="false" outlineLevel="0" collapsed="false">
      <c r="A29" s="80"/>
      <c r="B29" s="71" t="s">
        <v>88</v>
      </c>
      <c r="C29" s="81" t="n">
        <v>0.00304602996516314</v>
      </c>
      <c r="D29" s="81" t="n">
        <v>0.00304602996516314</v>
      </c>
    </row>
    <row r="30" s="6" customFormat="true" ht="15" hidden="false" customHeight="false" outlineLevel="0" collapsed="false">
      <c r="A30" s="80" t="s">
        <v>18</v>
      </c>
      <c r="B30" s="71" t="s">
        <v>12</v>
      </c>
      <c r="C30" s="82" t="n">
        <v>1</v>
      </c>
      <c r="D30" s="83" t="n">
        <v>1</v>
      </c>
    </row>
    <row r="31" s="6" customFormat="true" ht="15" hidden="false" customHeight="false" outlineLevel="0" collapsed="false">
      <c r="A31" s="80"/>
      <c r="B31" s="71" t="s">
        <v>89</v>
      </c>
      <c r="C31" s="82" t="n">
        <v>0</v>
      </c>
      <c r="D31" s="83" t="n">
        <v>0</v>
      </c>
    </row>
    <row r="32" s="6" customFormat="true" ht="15" hidden="false" customHeight="false" outlineLevel="0" collapsed="false">
      <c r="A32" s="80"/>
      <c r="B32" s="71" t="s">
        <v>14</v>
      </c>
      <c r="C32" s="82" t="n">
        <v>0</v>
      </c>
      <c r="D32" s="83" t="n">
        <v>0</v>
      </c>
    </row>
    <row r="33" s="6" customFormat="true" ht="15" hidden="false" customHeight="false" outlineLevel="0" collapsed="false">
      <c r="A33" s="80"/>
      <c r="B33" s="71" t="s">
        <v>88</v>
      </c>
      <c r="C33" s="82" t="n">
        <v>0</v>
      </c>
      <c r="D33" s="83" t="n">
        <v>0</v>
      </c>
    </row>
    <row r="34" s="6" customFormat="true" ht="15" hidden="false" customHeight="false" outlineLevel="0" collapsed="false">
      <c r="A34" s="80" t="s">
        <v>19</v>
      </c>
      <c r="B34" s="71" t="s">
        <v>12</v>
      </c>
      <c r="C34" s="82" t="n">
        <v>1</v>
      </c>
      <c r="D34" s="83" t="n">
        <v>1</v>
      </c>
    </row>
    <row r="35" customFormat="false" ht="15" hidden="false" customHeight="false" outlineLevel="0" collapsed="false">
      <c r="A35" s="80"/>
      <c r="B35" s="71" t="s">
        <v>13</v>
      </c>
      <c r="C35" s="82" t="n">
        <v>0</v>
      </c>
      <c r="D35" s="83" t="n">
        <v>0</v>
      </c>
    </row>
    <row r="36" customFormat="false" ht="15" hidden="false" customHeight="false" outlineLevel="0" collapsed="false">
      <c r="A36" s="80"/>
      <c r="B36" s="71" t="s">
        <v>14</v>
      </c>
      <c r="C36" s="82" t="n">
        <v>0</v>
      </c>
      <c r="D36" s="82" t="n">
        <v>0</v>
      </c>
    </row>
    <row r="37" s="6" customFormat="true" ht="15" hidden="false" customHeight="false" outlineLevel="0" collapsed="false">
      <c r="A37" s="80"/>
      <c r="B37" s="71" t="s">
        <v>88</v>
      </c>
      <c r="C37" s="82" t="n">
        <v>0</v>
      </c>
      <c r="D37" s="82" t="n">
        <v>0</v>
      </c>
    </row>
    <row r="38" s="6" customFormat="true" ht="15" hidden="false" customHeight="false" outlineLevel="0" collapsed="false">
      <c r="A38" s="84" t="s">
        <v>21</v>
      </c>
      <c r="B38" s="71" t="s">
        <v>12</v>
      </c>
      <c r="C38" s="85"/>
      <c r="D38" s="71" t="n">
        <f aca="false">1-D39-D40-D41</f>
        <v>0.963059172331517</v>
      </c>
    </row>
    <row r="39" s="6" customFormat="true" ht="15" hidden="false" customHeight="false" outlineLevel="0" collapsed="false">
      <c r="A39" s="84"/>
      <c r="B39" s="71" t="s">
        <v>13</v>
      </c>
      <c r="C39" s="85"/>
      <c r="D39" s="71" t="n">
        <f aca="false">(B55)/initial_household_vehicles</f>
        <v>0.0330991806892306</v>
      </c>
    </row>
    <row r="40" s="6" customFormat="true" ht="15" hidden="false" customHeight="false" outlineLevel="0" collapsed="false">
      <c r="A40" s="84"/>
      <c r="B40" s="71" t="s">
        <v>14</v>
      </c>
      <c r="C40" s="85"/>
      <c r="D40" s="71" t="n">
        <f aca="false">(H_4wheels_elec)/initial_household_vehicles</f>
        <v>0.00142557282677912</v>
      </c>
    </row>
    <row r="41" s="6" customFormat="true" ht="15" hidden="false" customHeight="false" outlineLevel="0" collapsed="false">
      <c r="A41" s="84"/>
      <c r="B41" s="71" t="s">
        <v>88</v>
      </c>
      <c r="C41" s="85"/>
      <c r="D41" s="71" t="n">
        <f aca="false">H_4_wheels_hyb/initial_household_vehicles</f>
        <v>0.00241607415247314</v>
      </c>
    </row>
    <row r="42" s="6" customFormat="true" ht="15" hidden="false" customHeight="false" outlineLevel="0" collapsed="false"/>
    <row r="43" s="6" customFormat="true" ht="15" hidden="false" customHeight="false" outlineLevel="0" collapsed="false"/>
    <row r="44" s="6" customFormat="true" ht="15" hidden="false" customHeight="false" outlineLevel="0" collapsed="false">
      <c r="A44" s="86" t="s">
        <v>90</v>
      </c>
      <c r="B44" s="86"/>
    </row>
    <row r="45" s="6" customFormat="true" ht="15" hidden="false" customHeight="false" outlineLevel="0" collapsed="false">
      <c r="A45" s="71" t="s">
        <v>91</v>
      </c>
      <c r="B45" s="71" t="n">
        <v>0.449755953001151</v>
      </c>
    </row>
    <row r="46" s="6" customFormat="true" ht="15" hidden="false" customHeight="false" outlineLevel="0" collapsed="false">
      <c r="A46" s="71" t="s">
        <v>92</v>
      </c>
      <c r="B46" s="71" t="n">
        <v>0</v>
      </c>
    </row>
    <row r="47" s="6" customFormat="true" ht="15" hidden="false" customHeight="false" outlineLevel="0" collapsed="false">
      <c r="A47" s="71" t="s">
        <v>93</v>
      </c>
      <c r="B47" s="71" t="n">
        <v>0.894814864541437</v>
      </c>
    </row>
    <row r="48" customFormat="false" ht="15" hidden="false" customHeight="false" outlineLevel="0" collapsed="false">
      <c r="A48" s="71" t="s">
        <v>94</v>
      </c>
      <c r="B48" s="71" t="n">
        <v>0.84362487140707</v>
      </c>
    </row>
    <row r="49" customFormat="false" ht="15" hidden="false" customHeight="false" outlineLevel="0" collapsed="false">
      <c r="A49" s="71" t="s">
        <v>95</v>
      </c>
      <c r="B49" s="71" t="n">
        <v>0.732540335741287</v>
      </c>
    </row>
    <row r="50" customFormat="false" ht="15" hidden="false" customHeight="false" outlineLevel="0" collapsed="false">
      <c r="A50" s="87" t="s">
        <v>82</v>
      </c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7"/>
      <c r="BE50" s="87"/>
      <c r="BF50" s="87"/>
      <c r="BG50" s="87"/>
      <c r="BH50" s="87"/>
      <c r="BI50" s="87"/>
      <c r="BJ50" s="87"/>
      <c r="BK50" s="87"/>
      <c r="BL50" s="87"/>
      <c r="BM50" s="87"/>
      <c r="BN50" s="87"/>
      <c r="BO50" s="87"/>
      <c r="BP50" s="87"/>
      <c r="BQ50" s="87"/>
      <c r="BR50" s="87"/>
      <c r="BS50" s="87"/>
      <c r="BT50" s="87"/>
      <c r="BU50" s="87"/>
      <c r="BV50" s="87"/>
      <c r="BW50" s="87"/>
      <c r="BX50" s="87"/>
      <c r="BY50" s="87"/>
      <c r="BZ50" s="87"/>
      <c r="CA50" s="87"/>
      <c r="CB50" s="87"/>
      <c r="CC50" s="87"/>
      <c r="CD50" s="87"/>
      <c r="CE50" s="87"/>
      <c r="CF50" s="87"/>
      <c r="CG50" s="87"/>
      <c r="CH50" s="87"/>
      <c r="CI50" s="87"/>
      <c r="CJ50" s="87"/>
      <c r="CK50" s="87"/>
      <c r="CL50" s="87"/>
      <c r="CM50" s="87"/>
      <c r="CN50" s="87"/>
      <c r="CO50" s="87"/>
      <c r="CP50" s="87"/>
      <c r="CQ50" s="87"/>
      <c r="CR50" s="87"/>
      <c r="CS50" s="87"/>
      <c r="CT50" s="87"/>
      <c r="CU50" s="87"/>
      <c r="CV50" s="87"/>
      <c r="CW50" s="87"/>
      <c r="CX50" s="87"/>
      <c r="CY50" s="87"/>
      <c r="CZ50" s="87"/>
      <c r="DA50" s="87"/>
      <c r="DB50" s="87"/>
      <c r="DC50" s="87"/>
      <c r="DD50" s="87"/>
      <c r="DE50" s="87"/>
      <c r="DF50" s="87"/>
    </row>
    <row r="51" customFormat="false" ht="15" hidden="false" customHeight="false" outlineLevel="0" collapsed="false">
      <c r="A51" s="4" t="s">
        <v>96</v>
      </c>
      <c r="B51" s="4"/>
      <c r="C51" s="4"/>
      <c r="D51" s="4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87"/>
      <c r="DB51" s="87"/>
      <c r="DC51" s="87"/>
      <c r="DD51" s="87"/>
      <c r="DE51" s="87"/>
      <c r="DF51" s="87"/>
    </row>
    <row r="52" customFormat="false" ht="15" hidden="false" customHeight="false" outlineLevel="0" collapsed="false">
      <c r="A52" s="7" t="s">
        <v>2</v>
      </c>
      <c r="B52" s="88" t="n">
        <v>1629395547.08768</v>
      </c>
      <c r="C52" s="7" t="s">
        <v>97</v>
      </c>
      <c r="D52" s="9" t="s">
        <v>4</v>
      </c>
      <c r="E52" s="7" t="s">
        <v>98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89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</row>
    <row r="53" customFormat="false" ht="15" hidden="false" customHeight="false" outlineLevel="0" collapsed="false">
      <c r="A53" s="7" t="s">
        <v>5</v>
      </c>
      <c r="B53" s="88" t="n">
        <v>2411920.35000265</v>
      </c>
      <c r="C53" s="7" t="s">
        <v>97</v>
      </c>
      <c r="D53" s="9"/>
      <c r="E53" s="7" t="s">
        <v>99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9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7"/>
    </row>
    <row r="54" customFormat="false" ht="15" hidden="false" customHeight="false" outlineLevel="0" collapsed="false">
      <c r="A54" s="7" t="s">
        <v>100</v>
      </c>
      <c r="B54" s="88" t="n">
        <v>4087745.15478911</v>
      </c>
      <c r="C54" s="7" t="s">
        <v>97</v>
      </c>
      <c r="D54" s="9"/>
      <c r="E54" s="7" t="s">
        <v>101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89"/>
    </row>
    <row r="55" customFormat="false" ht="15" hidden="false" customHeight="false" outlineLevel="0" collapsed="false">
      <c r="A55" s="7" t="s">
        <v>7</v>
      </c>
      <c r="B55" s="88" t="n">
        <v>56000357.1709069</v>
      </c>
      <c r="C55" s="7" t="s">
        <v>97</v>
      </c>
      <c r="D55" s="9" t="s">
        <v>4</v>
      </c>
      <c r="E55" s="7" t="s">
        <v>102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89"/>
    </row>
    <row r="56" customFormat="false" ht="15" hidden="false" customHeight="false" outlineLevel="0" collapsed="false">
      <c r="A56" s="7" t="s">
        <v>8</v>
      </c>
      <c r="B56" s="88" t="n">
        <v>669400763.879325</v>
      </c>
      <c r="C56" s="7" t="s">
        <v>97</v>
      </c>
      <c r="D56" s="9" t="s">
        <v>4</v>
      </c>
      <c r="E56" s="7" t="s">
        <v>103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89"/>
    </row>
    <row r="57" customFormat="false" ht="15" hidden="false" customHeight="false" outlineLevel="0" collapsed="false">
      <c r="A57" s="7" t="s">
        <v>104</v>
      </c>
      <c r="B57" s="88" t="n">
        <v>173337638.115601</v>
      </c>
      <c r="C57" s="7" t="s">
        <v>97</v>
      </c>
      <c r="D57" s="9" t="s">
        <v>4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89"/>
    </row>
    <row r="58" customFormat="false" ht="15" hidden="false" customHeight="false" outlineLevel="0" collapsed="false">
      <c r="A58" s="7" t="s">
        <v>105</v>
      </c>
      <c r="B58" s="88" t="n">
        <f aca="false">SUM(B52:B55)</f>
        <v>1691895569.76338</v>
      </c>
      <c r="C58" s="7" t="s">
        <v>97</v>
      </c>
      <c r="D58" s="10"/>
      <c r="E58" s="10" t="s">
        <v>106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90"/>
    </row>
    <row r="59" customFormat="false" ht="15" hidden="false" customHeight="false" outlineLevel="0" collapsed="false">
      <c r="A59" s="7" t="s">
        <v>107</v>
      </c>
      <c r="B59" s="88" t="n">
        <v>11960600000000</v>
      </c>
      <c r="C59" s="91" t="s">
        <v>86</v>
      </c>
      <c r="D59" s="7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2"/>
      <c r="BD59" s="92"/>
      <c r="BE59" s="92"/>
      <c r="BF59" s="92"/>
      <c r="BG59" s="92"/>
      <c r="BH59" s="92"/>
      <c r="BI59" s="92"/>
      <c r="BJ59" s="92"/>
      <c r="BK59" s="92"/>
      <c r="BL59" s="92"/>
      <c r="BM59" s="92"/>
      <c r="BN59" s="92"/>
      <c r="BO59" s="92"/>
      <c r="BP59" s="92"/>
      <c r="BQ59" s="92"/>
      <c r="BR59" s="92"/>
      <c r="BS59" s="92"/>
      <c r="BT59" s="92"/>
      <c r="BU59" s="92"/>
      <c r="BV59" s="92"/>
      <c r="BW59" s="92"/>
      <c r="BX59" s="92"/>
      <c r="BY59" s="92"/>
      <c r="BZ59" s="92"/>
      <c r="CA59" s="92"/>
      <c r="CB59" s="92"/>
      <c r="CC59" s="92"/>
      <c r="CD59" s="92"/>
      <c r="CE59" s="92"/>
      <c r="CF59" s="92"/>
      <c r="CG59" s="92"/>
      <c r="CH59" s="92"/>
      <c r="CI59" s="92"/>
      <c r="CJ59" s="92"/>
      <c r="CK59" s="92"/>
      <c r="CL59" s="92"/>
      <c r="CM59" s="92"/>
      <c r="CN59" s="92"/>
      <c r="CO59" s="92"/>
      <c r="CP59" s="92"/>
      <c r="CQ59" s="92"/>
      <c r="CR59" s="92"/>
      <c r="CS59" s="92"/>
      <c r="CT59" s="92"/>
      <c r="CU59" s="92"/>
      <c r="CV59" s="92"/>
      <c r="CW59" s="92"/>
      <c r="CX59" s="92"/>
      <c r="CY59" s="92"/>
      <c r="CZ59" s="92"/>
      <c r="DA59" s="92"/>
      <c r="DB59" s="92"/>
      <c r="DC59" s="92"/>
      <c r="DD59" s="92"/>
      <c r="DE59" s="92"/>
      <c r="DF59" s="92"/>
    </row>
    <row r="60" customFormat="false" ht="15" hidden="false" customHeight="false" outlineLevel="0" collapsed="false">
      <c r="A60" s="4" t="s">
        <v>108</v>
      </c>
      <c r="B60" s="4"/>
      <c r="C60" s="4"/>
      <c r="D60" s="93"/>
      <c r="E60" s="93"/>
      <c r="F60" s="93" t="s">
        <v>109</v>
      </c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93"/>
      <c r="BD60" s="93"/>
      <c r="BE60" s="93"/>
      <c r="BF60" s="93"/>
      <c r="BG60" s="93"/>
      <c r="BH60" s="93"/>
      <c r="BI60" s="93"/>
      <c r="BJ60" s="93"/>
      <c r="BK60" s="93"/>
      <c r="BL60" s="93"/>
      <c r="BM60" s="93"/>
      <c r="BN60" s="93"/>
      <c r="BO60" s="93"/>
      <c r="BP60" s="93"/>
      <c r="BQ60" s="93"/>
      <c r="BR60" s="93"/>
      <c r="BS60" s="93"/>
      <c r="BT60" s="93"/>
      <c r="BU60" s="93"/>
      <c r="BV60" s="93"/>
      <c r="BW60" s="93"/>
      <c r="BX60" s="93"/>
      <c r="BY60" s="93"/>
      <c r="BZ60" s="93"/>
      <c r="CA60" s="93"/>
      <c r="CB60" s="93"/>
      <c r="CC60" s="93"/>
      <c r="CD60" s="93"/>
      <c r="CE60" s="93"/>
      <c r="CF60" s="93"/>
      <c r="CG60" s="93"/>
      <c r="CH60" s="93"/>
      <c r="CI60" s="93"/>
      <c r="CJ60" s="93"/>
      <c r="CK60" s="93"/>
      <c r="CL60" s="93"/>
      <c r="CM60" s="93"/>
      <c r="CN60" s="93"/>
      <c r="CO60" s="93"/>
      <c r="CP60" s="93"/>
      <c r="CQ60" s="93"/>
      <c r="CR60" s="93"/>
      <c r="CS60" s="93"/>
      <c r="CT60" s="93"/>
      <c r="CU60" s="93"/>
      <c r="CV60" s="93"/>
      <c r="CW60" s="93"/>
      <c r="CX60" s="93"/>
      <c r="CY60" s="93"/>
      <c r="CZ60" s="93"/>
      <c r="DA60" s="93"/>
      <c r="DB60" s="93"/>
      <c r="DC60" s="93"/>
      <c r="DD60" s="93"/>
      <c r="DE60" s="93"/>
      <c r="DF60" s="94"/>
    </row>
    <row r="61" customFormat="false" ht="15" hidden="false" customHeight="false" outlineLevel="0" collapsed="false">
      <c r="A61" s="7" t="s">
        <v>110</v>
      </c>
      <c r="B61" s="7" t="n">
        <v>58453889.6747974</v>
      </c>
      <c r="C61" s="7" t="s">
        <v>97</v>
      </c>
      <c r="D61" s="95"/>
      <c r="E61" s="95" t="s">
        <v>111</v>
      </c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/>
      <c r="CD61" s="95"/>
      <c r="CE61" s="95"/>
      <c r="CF61" s="95"/>
      <c r="CG61" s="95"/>
      <c r="CH61" s="95"/>
      <c r="CI61" s="95"/>
      <c r="CJ61" s="95"/>
      <c r="CK61" s="95"/>
      <c r="CL61" s="95"/>
      <c r="CM61" s="95"/>
      <c r="CN61" s="95"/>
      <c r="CO61" s="95"/>
      <c r="CP61" s="95"/>
      <c r="CQ61" s="95"/>
      <c r="CR61" s="95"/>
      <c r="CS61" s="95"/>
      <c r="CT61" s="95"/>
      <c r="CU61" s="95"/>
      <c r="CV61" s="95"/>
      <c r="CW61" s="95"/>
      <c r="CX61" s="95"/>
      <c r="CY61" s="95"/>
      <c r="CZ61" s="95"/>
      <c r="DA61" s="95"/>
      <c r="DB61" s="95"/>
      <c r="DC61" s="95"/>
      <c r="DD61" s="95"/>
      <c r="DE61" s="95"/>
      <c r="DF61" s="96"/>
    </row>
    <row r="62" customFormat="false" ht="15" hidden="false" customHeight="false" outlineLevel="0" collapsed="false">
      <c r="A62" s="7" t="s">
        <v>38</v>
      </c>
      <c r="B62" s="7" t="n">
        <v>26420.0483238607</v>
      </c>
      <c r="C62" s="7" t="s">
        <v>97</v>
      </c>
      <c r="D62" s="95"/>
      <c r="E62" s="95" t="s">
        <v>112</v>
      </c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5"/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95"/>
      <c r="CJ62" s="95"/>
      <c r="CK62" s="95"/>
      <c r="CL62" s="95"/>
      <c r="CM62" s="95"/>
      <c r="CN62" s="95"/>
      <c r="CO62" s="95"/>
      <c r="CP62" s="95"/>
      <c r="CQ62" s="95"/>
      <c r="CR62" s="95"/>
      <c r="CS62" s="95"/>
      <c r="CT62" s="95"/>
      <c r="CU62" s="95"/>
      <c r="CV62" s="95"/>
      <c r="CW62" s="95"/>
      <c r="CX62" s="95"/>
      <c r="CY62" s="95"/>
      <c r="CZ62" s="95"/>
      <c r="DA62" s="95"/>
      <c r="DB62" s="95"/>
      <c r="DC62" s="95"/>
      <c r="DD62" s="95"/>
      <c r="DE62" s="95"/>
      <c r="DF62" s="96"/>
    </row>
    <row r="63" customFormat="false" ht="15" hidden="false" customHeight="false" outlineLevel="0" collapsed="false">
      <c r="A63" s="7" t="s">
        <v>113</v>
      </c>
      <c r="B63" s="7" t="n">
        <v>26420.0483238607</v>
      </c>
      <c r="C63" s="7" t="s">
        <v>97</v>
      </c>
      <c r="D63" s="95"/>
      <c r="E63" s="95" t="s">
        <v>114</v>
      </c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95"/>
      <c r="BE63" s="95"/>
      <c r="BF63" s="95"/>
      <c r="BG63" s="95"/>
      <c r="BH63" s="95"/>
      <c r="BI63" s="95"/>
      <c r="BJ63" s="95"/>
      <c r="BK63" s="95"/>
      <c r="BL63" s="95"/>
      <c r="BM63" s="95"/>
      <c r="BN63" s="95"/>
      <c r="BO63" s="95"/>
      <c r="BP63" s="95"/>
      <c r="BQ63" s="95"/>
      <c r="BR63" s="95"/>
      <c r="BS63" s="95"/>
      <c r="BT63" s="95"/>
      <c r="BU63" s="95"/>
      <c r="BV63" s="95"/>
      <c r="BW63" s="95"/>
      <c r="BX63" s="95"/>
      <c r="BY63" s="95"/>
      <c r="BZ63" s="95"/>
      <c r="CA63" s="95"/>
      <c r="CB63" s="95"/>
      <c r="CC63" s="95"/>
      <c r="CD63" s="95"/>
      <c r="CE63" s="95"/>
      <c r="CF63" s="95"/>
      <c r="CG63" s="95"/>
      <c r="CH63" s="95"/>
      <c r="CI63" s="95"/>
      <c r="CJ63" s="95"/>
      <c r="CK63" s="95"/>
      <c r="CL63" s="95"/>
      <c r="CM63" s="95"/>
      <c r="CN63" s="95"/>
      <c r="CO63" s="95"/>
      <c r="CP63" s="95"/>
      <c r="CQ63" s="95"/>
      <c r="CR63" s="95"/>
      <c r="CS63" s="95"/>
      <c r="CT63" s="95"/>
      <c r="CU63" s="95"/>
      <c r="CV63" s="95"/>
      <c r="CW63" s="95"/>
      <c r="CX63" s="95"/>
      <c r="CY63" s="95"/>
      <c r="CZ63" s="95"/>
      <c r="DA63" s="95"/>
      <c r="DB63" s="95"/>
      <c r="DC63" s="95"/>
      <c r="DD63" s="95"/>
      <c r="DE63" s="95"/>
      <c r="DF63" s="96"/>
    </row>
    <row r="64" customFormat="false" ht="15" hidden="false" customHeight="false" outlineLevel="0" collapsed="false">
      <c r="A64" s="7" t="s">
        <v>115</v>
      </c>
      <c r="B64" s="97" t="n">
        <v>209702760.673995</v>
      </c>
      <c r="C64" s="7" t="s">
        <v>97</v>
      </c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/>
      <c r="BJ64" s="95"/>
      <c r="BK64" s="95"/>
      <c r="BL64" s="95"/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  <c r="BX64" s="95"/>
      <c r="BY64" s="95"/>
      <c r="BZ64" s="95"/>
      <c r="CA64" s="95"/>
      <c r="CB64" s="95"/>
      <c r="CC64" s="95"/>
      <c r="CD64" s="95"/>
      <c r="CE64" s="95"/>
      <c r="CF64" s="95"/>
      <c r="CG64" s="95"/>
      <c r="CH64" s="95"/>
      <c r="CI64" s="95"/>
      <c r="CJ64" s="95"/>
      <c r="CK64" s="95"/>
      <c r="CL64" s="95"/>
      <c r="CM64" s="95"/>
      <c r="CN64" s="95"/>
      <c r="CO64" s="95"/>
      <c r="CP64" s="95"/>
      <c r="CQ64" s="95"/>
      <c r="CR64" s="95"/>
      <c r="CS64" s="95"/>
      <c r="CT64" s="95"/>
      <c r="CU64" s="95"/>
      <c r="CV64" s="95"/>
      <c r="CW64" s="95"/>
      <c r="CX64" s="95"/>
      <c r="CY64" s="95"/>
      <c r="CZ64" s="95"/>
      <c r="DA64" s="95"/>
      <c r="DB64" s="95"/>
      <c r="DC64" s="95"/>
      <c r="DD64" s="95"/>
      <c r="DE64" s="95"/>
      <c r="DF64" s="96"/>
    </row>
    <row r="65" customFormat="false" ht="15" hidden="false" customHeight="false" outlineLevel="0" collapsed="false">
      <c r="A65" s="7" t="s">
        <v>116</v>
      </c>
      <c r="B65" s="7" t="n">
        <v>159229.974932376</v>
      </c>
      <c r="C65" s="7" t="s">
        <v>97</v>
      </c>
      <c r="D65" s="95"/>
      <c r="E65" s="95" t="s">
        <v>117</v>
      </c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  <c r="BX65" s="95"/>
      <c r="BY65" s="95"/>
      <c r="BZ65" s="95"/>
      <c r="CA65" s="95"/>
      <c r="CB65" s="95"/>
      <c r="CC65" s="95"/>
      <c r="CD65" s="95"/>
      <c r="CE65" s="95"/>
      <c r="CF65" s="95"/>
      <c r="CG65" s="95"/>
      <c r="CH65" s="95"/>
      <c r="CI65" s="95"/>
      <c r="CJ65" s="95"/>
      <c r="CK65" s="95"/>
      <c r="CL65" s="95"/>
      <c r="CM65" s="95"/>
      <c r="CN65" s="95"/>
      <c r="CO65" s="95"/>
      <c r="CP65" s="95"/>
      <c r="CQ65" s="95"/>
      <c r="CR65" s="95"/>
      <c r="CS65" s="95"/>
      <c r="CT65" s="95"/>
      <c r="CU65" s="95"/>
      <c r="CV65" s="95"/>
      <c r="CW65" s="95"/>
      <c r="CX65" s="95"/>
      <c r="CY65" s="95"/>
      <c r="CZ65" s="95"/>
      <c r="DA65" s="95"/>
      <c r="DB65" s="95"/>
      <c r="DC65" s="95"/>
      <c r="DD65" s="95"/>
      <c r="DE65" s="95"/>
      <c r="DF65" s="96"/>
    </row>
    <row r="66" customFormat="false" ht="15" hidden="false" customHeight="false" outlineLevel="0" collapsed="false">
      <c r="A66" s="7" t="s">
        <v>118</v>
      </c>
      <c r="B66" s="7" t="n">
        <v>76996.0618160917</v>
      </c>
      <c r="C66" s="7" t="s">
        <v>97</v>
      </c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  <c r="AY66" s="95"/>
      <c r="AZ66" s="9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U66" s="95"/>
      <c r="BV66" s="95"/>
      <c r="BW66" s="95"/>
      <c r="BX66" s="95"/>
      <c r="BY66" s="95"/>
      <c r="BZ66" s="95"/>
      <c r="CA66" s="95"/>
      <c r="CB66" s="95"/>
      <c r="CC66" s="95"/>
      <c r="CD66" s="95"/>
      <c r="CE66" s="95"/>
      <c r="CF66" s="95"/>
      <c r="CG66" s="95"/>
      <c r="CH66" s="95"/>
      <c r="CI66" s="95"/>
      <c r="CJ66" s="95"/>
      <c r="CK66" s="95"/>
      <c r="CL66" s="95"/>
      <c r="CM66" s="95"/>
      <c r="CN66" s="95"/>
      <c r="CO66" s="95"/>
      <c r="CP66" s="95"/>
      <c r="CQ66" s="95"/>
      <c r="CR66" s="95"/>
      <c r="CS66" s="95"/>
      <c r="CT66" s="95"/>
      <c r="CU66" s="95"/>
      <c r="CV66" s="95"/>
      <c r="CW66" s="95"/>
      <c r="CX66" s="95"/>
      <c r="CY66" s="95"/>
      <c r="CZ66" s="95"/>
      <c r="DA66" s="95"/>
      <c r="DB66" s="95"/>
      <c r="DC66" s="95"/>
      <c r="DD66" s="95"/>
      <c r="DE66" s="95"/>
      <c r="DF66" s="96"/>
    </row>
    <row r="67" customFormat="false" ht="15" hidden="false" customHeight="false" outlineLevel="0" collapsed="false">
      <c r="A67" s="7" t="s">
        <v>119</v>
      </c>
      <c r="B67" s="7" t="n">
        <v>3406478.98166824</v>
      </c>
      <c r="C67" s="7" t="s">
        <v>97</v>
      </c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95"/>
      <c r="BZ67" s="95"/>
      <c r="CA67" s="95"/>
      <c r="CB67" s="95"/>
      <c r="CC67" s="95"/>
      <c r="CD67" s="95"/>
      <c r="CE67" s="95"/>
      <c r="CF67" s="95"/>
      <c r="CG67" s="95"/>
      <c r="CH67" s="95"/>
      <c r="CI67" s="95"/>
      <c r="CJ67" s="95"/>
      <c r="CK67" s="95"/>
      <c r="CL67" s="95"/>
      <c r="CM67" s="95"/>
      <c r="CN67" s="95"/>
      <c r="CO67" s="95"/>
      <c r="CP67" s="95"/>
      <c r="CQ67" s="95"/>
      <c r="CR67" s="95"/>
      <c r="CS67" s="95"/>
      <c r="CT67" s="95"/>
      <c r="CU67" s="95"/>
      <c r="CV67" s="95"/>
      <c r="CW67" s="95"/>
      <c r="CX67" s="95"/>
      <c r="CY67" s="95"/>
      <c r="CZ67" s="95"/>
      <c r="DA67" s="95"/>
      <c r="DB67" s="95"/>
      <c r="DC67" s="95"/>
      <c r="DD67" s="95"/>
      <c r="DE67" s="95"/>
      <c r="DF67" s="96"/>
    </row>
    <row r="68" customFormat="false" ht="15" hidden="false" customHeight="false" outlineLevel="0" collapsed="false">
      <c r="A68" s="7" t="s">
        <v>120</v>
      </c>
      <c r="B68" s="7" t="n">
        <v>15600000</v>
      </c>
      <c r="C68" s="7" t="s">
        <v>97</v>
      </c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/>
      <c r="AU68" s="95"/>
      <c r="AV68" s="95"/>
      <c r="AW68" s="95"/>
      <c r="AX68" s="95"/>
      <c r="AY68" s="95"/>
      <c r="AZ68" s="95"/>
      <c r="BA68" s="95"/>
      <c r="BB68" s="95"/>
      <c r="BC68" s="95"/>
      <c r="BD68" s="95"/>
      <c r="BE68" s="95"/>
      <c r="BF68" s="95"/>
      <c r="BG68" s="95"/>
      <c r="BH68" s="95"/>
      <c r="BI68" s="95"/>
      <c r="BJ68" s="95"/>
      <c r="BK68" s="95"/>
      <c r="BL68" s="95"/>
      <c r="BM68" s="95"/>
      <c r="BN68" s="95"/>
      <c r="BO68" s="95"/>
      <c r="BP68" s="95"/>
      <c r="BQ68" s="95"/>
      <c r="BR68" s="95"/>
      <c r="BS68" s="95"/>
      <c r="BT68" s="95"/>
      <c r="BU68" s="95"/>
      <c r="BV68" s="95"/>
      <c r="BW68" s="95"/>
      <c r="BX68" s="95"/>
      <c r="BY68" s="95"/>
      <c r="BZ68" s="95"/>
      <c r="CA68" s="95"/>
      <c r="CB68" s="95"/>
      <c r="CC68" s="95"/>
      <c r="CD68" s="95"/>
      <c r="CE68" s="95"/>
      <c r="CF68" s="95"/>
      <c r="CG68" s="95"/>
      <c r="CH68" s="95"/>
      <c r="CI68" s="95"/>
      <c r="CJ68" s="95"/>
      <c r="CK68" s="95"/>
      <c r="CL68" s="95"/>
      <c r="CM68" s="95"/>
      <c r="CN68" s="95"/>
      <c r="CO68" s="95"/>
      <c r="CP68" s="95"/>
      <c r="CQ68" s="95"/>
      <c r="CR68" s="95"/>
      <c r="CS68" s="95"/>
      <c r="CT68" s="95"/>
      <c r="CU68" s="95"/>
      <c r="CV68" s="95"/>
      <c r="CW68" s="95"/>
      <c r="CX68" s="95"/>
      <c r="CY68" s="95"/>
      <c r="CZ68" s="95"/>
      <c r="DA68" s="95"/>
      <c r="DB68" s="95"/>
      <c r="DC68" s="95"/>
      <c r="DD68" s="95"/>
      <c r="DE68" s="95"/>
      <c r="DF68" s="96"/>
    </row>
    <row r="69" customFormat="false" ht="15" hidden="false" customHeight="false" outlineLevel="0" collapsed="false">
      <c r="A69" s="7" t="s">
        <v>121</v>
      </c>
      <c r="B69" s="7" t="n">
        <v>0</v>
      </c>
      <c r="C69" s="7" t="s">
        <v>97</v>
      </c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  <c r="BM69" s="95"/>
      <c r="BN69" s="95"/>
      <c r="BO69" s="95"/>
      <c r="BP69" s="95"/>
      <c r="BQ69" s="95"/>
      <c r="BR69" s="95"/>
      <c r="BS69" s="95"/>
      <c r="BT69" s="95"/>
      <c r="BU69" s="95"/>
      <c r="BV69" s="95"/>
      <c r="BW69" s="95"/>
      <c r="BX69" s="95"/>
      <c r="BY69" s="95"/>
      <c r="BZ69" s="95"/>
      <c r="CA69" s="95"/>
      <c r="CB69" s="95"/>
      <c r="CC69" s="95"/>
      <c r="CD69" s="95"/>
      <c r="CE69" s="95"/>
      <c r="CF69" s="95"/>
      <c r="CG69" s="95"/>
      <c r="CH69" s="95"/>
      <c r="CI69" s="95"/>
      <c r="CJ69" s="95"/>
      <c r="CK69" s="95"/>
      <c r="CL69" s="95"/>
      <c r="CM69" s="95"/>
      <c r="CN69" s="95"/>
      <c r="CO69" s="95"/>
      <c r="CP69" s="95"/>
      <c r="CQ69" s="95"/>
      <c r="CR69" s="95"/>
      <c r="CS69" s="95"/>
      <c r="CT69" s="95"/>
      <c r="CU69" s="95"/>
      <c r="CV69" s="95"/>
      <c r="CW69" s="95"/>
      <c r="CX69" s="95"/>
      <c r="CY69" s="95"/>
      <c r="CZ69" s="95"/>
      <c r="DA69" s="95"/>
      <c r="DB69" s="95"/>
      <c r="DC69" s="95"/>
      <c r="DD69" s="95"/>
      <c r="DE69" s="95"/>
      <c r="DF69" s="96"/>
    </row>
    <row r="70" customFormat="false" ht="15" hidden="false" customHeight="false" outlineLevel="0" collapsed="false">
      <c r="A70" s="95" t="s">
        <v>122</v>
      </c>
      <c r="B70" s="95" t="n">
        <v>0</v>
      </c>
      <c r="C70" s="95" t="s">
        <v>123</v>
      </c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5"/>
      <c r="BP70" s="95"/>
      <c r="BQ70" s="95"/>
      <c r="BR70" s="95"/>
      <c r="BS70" s="95"/>
      <c r="BT70" s="95"/>
      <c r="BU70" s="95"/>
      <c r="BV70" s="95"/>
      <c r="BW70" s="95"/>
      <c r="BX70" s="95"/>
      <c r="BY70" s="95"/>
      <c r="BZ70" s="95"/>
      <c r="CA70" s="95"/>
      <c r="CB70" s="95"/>
      <c r="CC70" s="95"/>
      <c r="CD70" s="95"/>
      <c r="CE70" s="95"/>
      <c r="CF70" s="95"/>
      <c r="CG70" s="95"/>
      <c r="CH70" s="95"/>
      <c r="CI70" s="95"/>
      <c r="CJ70" s="95"/>
      <c r="CK70" s="95"/>
      <c r="CL70" s="95"/>
      <c r="CM70" s="95"/>
      <c r="CN70" s="95"/>
      <c r="CO70" s="95"/>
      <c r="CP70" s="95"/>
      <c r="CQ70" s="95"/>
      <c r="CR70" s="95"/>
      <c r="CS70" s="95"/>
      <c r="CT70" s="95"/>
      <c r="CU70" s="95"/>
      <c r="CV70" s="95"/>
      <c r="CW70" s="95"/>
      <c r="CX70" s="95"/>
      <c r="CY70" s="95"/>
      <c r="CZ70" s="95"/>
      <c r="DA70" s="95"/>
      <c r="DB70" s="95"/>
      <c r="DC70" s="95"/>
      <c r="DD70" s="95"/>
      <c r="DE70" s="95"/>
      <c r="DF70" s="96"/>
    </row>
    <row r="71" customFormat="false" ht="15" hidden="false" customHeight="false" outlineLevel="0" collapsed="false">
      <c r="A71" s="7" t="s">
        <v>124</v>
      </c>
      <c r="B71" s="7" t="n">
        <v>0</v>
      </c>
      <c r="C71" s="7" t="s">
        <v>123</v>
      </c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5"/>
      <c r="BP71" s="95"/>
      <c r="BQ71" s="95"/>
      <c r="BR71" s="95"/>
      <c r="BS71" s="95"/>
      <c r="BT71" s="95"/>
      <c r="BU71" s="95"/>
      <c r="BV71" s="95"/>
      <c r="BW71" s="95"/>
      <c r="BX71" s="95"/>
      <c r="BY71" s="95"/>
      <c r="BZ71" s="95"/>
      <c r="CA71" s="95"/>
      <c r="CB71" s="95"/>
      <c r="CC71" s="95"/>
      <c r="CD71" s="95"/>
      <c r="CE71" s="95"/>
      <c r="CF71" s="95"/>
      <c r="CG71" s="95"/>
      <c r="CH71" s="95"/>
      <c r="CI71" s="95"/>
      <c r="CJ71" s="95"/>
      <c r="CK71" s="95"/>
      <c r="CL71" s="95"/>
      <c r="CM71" s="95"/>
      <c r="CN71" s="95"/>
      <c r="CO71" s="95"/>
      <c r="CP71" s="95"/>
      <c r="CQ71" s="95"/>
      <c r="CR71" s="95"/>
      <c r="CS71" s="95"/>
      <c r="CT71" s="95"/>
      <c r="CU71" s="95"/>
      <c r="CV71" s="95"/>
      <c r="CW71" s="95"/>
      <c r="CX71" s="95"/>
      <c r="CY71" s="95"/>
      <c r="CZ71" s="95"/>
      <c r="DA71" s="95"/>
      <c r="DB71" s="95"/>
      <c r="DC71" s="95"/>
      <c r="DD71" s="95"/>
      <c r="DE71" s="95"/>
      <c r="DF71" s="96"/>
    </row>
    <row r="72" customFormat="false" ht="15" hidden="false" customHeight="false" outlineLevel="0" collapsed="false">
      <c r="A72" s="7" t="s">
        <v>125</v>
      </c>
      <c r="B72" s="7" t="n">
        <v>1</v>
      </c>
      <c r="C72" s="7" t="s">
        <v>126</v>
      </c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5"/>
      <c r="BP72" s="95"/>
      <c r="BQ72" s="95"/>
      <c r="BR72" s="95"/>
      <c r="BS72" s="95"/>
      <c r="BT72" s="95"/>
      <c r="BU72" s="95"/>
      <c r="BV72" s="95"/>
      <c r="BW72" s="95"/>
      <c r="BX72" s="95"/>
      <c r="BY72" s="95"/>
      <c r="BZ72" s="95"/>
      <c r="CA72" s="95"/>
      <c r="CB72" s="95"/>
      <c r="CC72" s="95"/>
      <c r="CD72" s="95"/>
      <c r="CE72" s="95"/>
      <c r="CF72" s="95"/>
      <c r="CG72" s="95"/>
      <c r="CH72" s="95"/>
      <c r="CI72" s="95"/>
      <c r="CJ72" s="95"/>
      <c r="CK72" s="95"/>
      <c r="CL72" s="95"/>
      <c r="CM72" s="95"/>
      <c r="CN72" s="95"/>
      <c r="CO72" s="95"/>
      <c r="CP72" s="95"/>
      <c r="CQ72" s="95"/>
      <c r="CR72" s="95"/>
      <c r="CS72" s="95"/>
      <c r="CT72" s="95"/>
      <c r="CU72" s="95"/>
      <c r="CV72" s="95"/>
      <c r="CW72" s="95"/>
      <c r="CX72" s="95"/>
      <c r="CY72" s="95"/>
      <c r="CZ72" s="95"/>
      <c r="DA72" s="95"/>
      <c r="DB72" s="95"/>
      <c r="DC72" s="95"/>
      <c r="DD72" s="95"/>
      <c r="DE72" s="95"/>
      <c r="DF72" s="96"/>
    </row>
    <row r="73" customFormat="false" ht="15" hidden="false" customHeight="false" outlineLevel="0" collapsed="false">
      <c r="A73" s="7" t="s">
        <v>127</v>
      </c>
      <c r="B73" s="7" t="n">
        <v>1</v>
      </c>
      <c r="C73" s="7" t="s">
        <v>97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98"/>
    </row>
    <row r="74" customFormat="false" ht="15" hidden="false" customHeight="false" outlineLevel="0" collapsed="false">
      <c r="A74" s="7" t="s">
        <v>128</v>
      </c>
      <c r="B74" s="7" t="n">
        <f aca="false">SUM(B68:B73)</f>
        <v>15600002</v>
      </c>
      <c r="C74" s="7" t="s">
        <v>97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98"/>
    </row>
    <row r="75" customFormat="false" ht="15" hidden="false" customHeight="false" outlineLevel="0" collapsed="false">
      <c r="A75" s="7" t="s">
        <v>129</v>
      </c>
      <c r="B75" s="7" t="n">
        <f aca="false">SUM(B61:B67)</f>
        <v>271852195.463857</v>
      </c>
      <c r="C75" s="7" t="s">
        <v>97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98"/>
    </row>
    <row r="76" customFormat="false" ht="15" hidden="false" customHeight="false" outlineLevel="0" collapsed="false">
      <c r="A76" s="7" t="s">
        <v>130</v>
      </c>
      <c r="B76" s="99" t="n">
        <v>4591240000000</v>
      </c>
      <c r="C76" s="7" t="s">
        <v>86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98"/>
    </row>
    <row r="77" customFormat="false" ht="15" hidden="false" customHeight="false" outlineLevel="0" collapsed="false">
      <c r="A77" s="7" t="s">
        <v>131</v>
      </c>
      <c r="B77" s="99" t="n">
        <v>29277400000000</v>
      </c>
      <c r="C77" s="7" t="s">
        <v>75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98"/>
    </row>
    <row r="78" customFormat="false" ht="15" hidden="false" customHeight="false" outlineLevel="0" collapsed="false">
      <c r="A78" s="7" t="s">
        <v>132</v>
      </c>
      <c r="B78" s="99" t="n">
        <f aca="false">B69+B73</f>
        <v>1</v>
      </c>
      <c r="C78" s="7" t="s">
        <v>97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98"/>
    </row>
    <row r="79" customFormat="false" ht="15" hidden="false" customHeight="false" outlineLevel="0" collapsed="false">
      <c r="A79" s="7" t="s">
        <v>133</v>
      </c>
      <c r="B79" s="99" t="n">
        <f aca="false">B70</f>
        <v>0</v>
      </c>
      <c r="C79" s="7" t="s">
        <v>126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98"/>
    </row>
    <row r="80" customFormat="false" ht="15" hidden="false" customHeight="false" outlineLevel="0" collapsed="false">
      <c r="A80" s="4" t="s">
        <v>134</v>
      </c>
      <c r="B80" s="4"/>
      <c r="C80" s="4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98"/>
    </row>
    <row r="81" customFormat="false" ht="15" hidden="false" customHeight="false" outlineLevel="0" collapsed="false">
      <c r="A81" s="7" t="s">
        <v>135</v>
      </c>
      <c r="B81" s="7" t="n">
        <v>0.642852406005333</v>
      </c>
      <c r="C81" s="7" t="s">
        <v>3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98"/>
    </row>
    <row r="82" customFormat="false" ht="15" hidden="false" customHeight="false" outlineLevel="0" collapsed="false">
      <c r="A82" s="7" t="s">
        <v>136</v>
      </c>
      <c r="B82" s="7" t="n">
        <v>0.000951585269067262</v>
      </c>
      <c r="C82" s="7" t="s">
        <v>3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98"/>
    </row>
    <row r="83" customFormat="false" ht="15" hidden="false" customHeight="false" outlineLevel="0" collapsed="false">
      <c r="A83" s="7" t="s">
        <v>137</v>
      </c>
      <c r="B83" s="7" t="n">
        <v>0.00161275560902918</v>
      </c>
      <c r="C83" s="7" t="s">
        <v>3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98"/>
    </row>
    <row r="84" customFormat="false" ht="15" hidden="false" customHeight="false" outlineLevel="0" collapsed="false">
      <c r="A84" s="7" t="s">
        <v>138</v>
      </c>
      <c r="B84" s="7" t="n">
        <v>0.0220940608367443</v>
      </c>
      <c r="C84" s="7" t="s">
        <v>3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98"/>
    </row>
    <row r="85" customFormat="false" ht="15" hidden="false" customHeight="false" outlineLevel="0" collapsed="false">
      <c r="A85" s="7" t="s">
        <v>8</v>
      </c>
      <c r="B85" s="7" t="n">
        <v>0.264101551284328</v>
      </c>
      <c r="C85" s="7" t="s">
        <v>3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98"/>
    </row>
    <row r="86" customFormat="false" ht="15" hidden="false" customHeight="false" outlineLevel="0" collapsed="false">
      <c r="A86" s="7" t="s">
        <v>104</v>
      </c>
      <c r="B86" s="7" t="n">
        <v>0.0683876409954983</v>
      </c>
      <c r="C86" s="7" t="s">
        <v>3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98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98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98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98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98"/>
    </row>
    <row r="91" customFormat="false" ht="15" hidden="false" customHeight="false" outlineLevel="0" collapsed="false">
      <c r="A91" s="4" t="s">
        <v>139</v>
      </c>
      <c r="B91" s="4"/>
      <c r="C91" s="4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98"/>
    </row>
    <row r="92" customFormat="false" ht="15" hidden="false" customHeight="false" outlineLevel="0" collapsed="false">
      <c r="A92" s="7" t="s">
        <v>135</v>
      </c>
      <c r="B92" s="7" t="n">
        <v>41.9711163143451</v>
      </c>
      <c r="C92" s="7" t="s">
        <v>140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98"/>
    </row>
    <row r="93" customFormat="false" ht="15" hidden="false" customHeight="false" outlineLevel="0" collapsed="false">
      <c r="A93" s="7" t="s">
        <v>136</v>
      </c>
      <c r="B93" s="7" t="n">
        <v>0</v>
      </c>
      <c r="C93" s="7" t="s">
        <v>140</v>
      </c>
      <c r="D93" s="6"/>
      <c r="E93" s="9" t="s">
        <v>4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98"/>
    </row>
    <row r="94" customFormat="false" ht="15" hidden="false" customHeight="false" outlineLevel="0" collapsed="false">
      <c r="A94" s="7" t="s">
        <v>141</v>
      </c>
      <c r="B94" s="7" t="n">
        <v>0</v>
      </c>
      <c r="C94" s="7" t="s">
        <v>140</v>
      </c>
      <c r="D94" s="6"/>
      <c r="E94" s="9" t="s">
        <v>4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98"/>
    </row>
    <row r="95" customFormat="false" ht="15" hidden="false" customHeight="false" outlineLevel="0" collapsed="false">
      <c r="A95" s="7" t="s">
        <v>138</v>
      </c>
      <c r="B95" s="7" t="n">
        <v>0</v>
      </c>
      <c r="C95" s="7" t="s">
        <v>140</v>
      </c>
      <c r="D95" s="6"/>
      <c r="E95" s="9" t="s">
        <v>4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98"/>
    </row>
    <row r="96" customFormat="false" ht="15" hidden="false" customHeight="false" outlineLevel="0" collapsed="false">
      <c r="A96" s="7" t="s">
        <v>8</v>
      </c>
      <c r="B96" s="7" t="n">
        <v>3.96251469316143</v>
      </c>
      <c r="C96" s="7" t="s">
        <v>140</v>
      </c>
      <c r="D96" s="6"/>
      <c r="E96" s="9" t="s">
        <v>4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98"/>
    </row>
    <row r="97" customFormat="false" ht="15" hidden="false" customHeight="false" outlineLevel="0" collapsed="false">
      <c r="A97" s="7" t="s">
        <v>104</v>
      </c>
      <c r="B97" s="7" t="n">
        <v>0.342023779561938</v>
      </c>
      <c r="C97" s="7" t="s">
        <v>140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98"/>
    </row>
    <row r="98" customFormat="false" ht="15" hidden="false" customHeight="false" outlineLevel="0" collapsed="false">
      <c r="A98" s="4" t="s">
        <v>142</v>
      </c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98"/>
    </row>
    <row r="99" customFormat="false" ht="15" hidden="false" customHeight="false" outlineLevel="0" collapsed="false">
      <c r="A99" s="7" t="s">
        <v>110</v>
      </c>
      <c r="B99" s="7" t="n">
        <v>22.2814735461868</v>
      </c>
      <c r="C99" s="7" t="s">
        <v>140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98"/>
    </row>
    <row r="100" customFormat="false" ht="15" hidden="false" customHeight="false" outlineLevel="0" collapsed="false">
      <c r="A100" s="7" t="s">
        <v>143</v>
      </c>
      <c r="B100" s="7" t="n">
        <v>0</v>
      </c>
      <c r="C100" s="7" t="s">
        <v>140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98"/>
    </row>
    <row r="101" customFormat="false" ht="15" hidden="false" customHeight="false" outlineLevel="0" collapsed="false">
      <c r="A101" s="7" t="s">
        <v>113</v>
      </c>
      <c r="B101" s="7" t="n">
        <v>0</v>
      </c>
      <c r="C101" s="7" t="s">
        <v>140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98"/>
    </row>
    <row r="102" customFormat="false" ht="15" hidden="false" customHeight="false" outlineLevel="0" collapsed="false">
      <c r="A102" s="7" t="s">
        <v>115</v>
      </c>
      <c r="B102" s="7" t="n">
        <v>8.10305879102332</v>
      </c>
      <c r="C102" s="7" t="s">
        <v>140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98"/>
    </row>
    <row r="103" customFormat="false" ht="15" hidden="false" customHeight="false" outlineLevel="0" collapsed="false">
      <c r="A103" s="7" t="s">
        <v>116</v>
      </c>
      <c r="B103" s="7" t="n">
        <v>0</v>
      </c>
      <c r="C103" s="7" t="s">
        <v>140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98"/>
    </row>
    <row r="104" customFormat="false" ht="15" hidden="false" customHeight="false" outlineLevel="0" collapsed="false">
      <c r="A104" s="7" t="s">
        <v>118</v>
      </c>
      <c r="B104" s="7" t="n">
        <v>0</v>
      </c>
      <c r="C104" s="7" t="s">
        <v>140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98"/>
    </row>
    <row r="105" customFormat="false" ht="15" hidden="false" customHeight="false" outlineLevel="0" collapsed="false">
      <c r="A105" s="7" t="s">
        <v>119</v>
      </c>
      <c r="B105" s="7" t="n">
        <v>0</v>
      </c>
      <c r="C105" s="7" t="s">
        <v>140</v>
      </c>
    </row>
    <row r="106" customFormat="false" ht="15" hidden="false" customHeight="false" outlineLevel="0" collapsed="false">
      <c r="A106" s="7" t="s">
        <v>120</v>
      </c>
      <c r="B106" s="7" t="n">
        <v>2.66129086007169</v>
      </c>
      <c r="C106" s="7" t="s">
        <v>140</v>
      </c>
    </row>
    <row r="107" customFormat="false" ht="15" hidden="false" customHeight="false" outlineLevel="0" collapsed="false">
      <c r="A107" s="7" t="s">
        <v>121</v>
      </c>
      <c r="B107" s="7" t="n">
        <v>0</v>
      </c>
      <c r="C107" s="7" t="s">
        <v>140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</row>
    <row r="108" customFormat="false" ht="15" hidden="false" customHeight="false" outlineLevel="0" collapsed="false">
      <c r="A108" s="7" t="s">
        <v>122</v>
      </c>
      <c r="B108" s="7" t="n">
        <v>0</v>
      </c>
      <c r="C108" s="7" t="s">
        <v>140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</row>
    <row r="109" customFormat="false" ht="15" hidden="false" customHeight="false" outlineLevel="0" collapsed="false">
      <c r="A109" s="7" t="s">
        <v>124</v>
      </c>
      <c r="B109" s="7" t="n">
        <v>0</v>
      </c>
      <c r="C109" s="7" t="s">
        <v>140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</row>
    <row r="110" customFormat="false" ht="15" hidden="false" customHeight="false" outlineLevel="0" collapsed="false">
      <c r="A110" s="7" t="s">
        <v>144</v>
      </c>
      <c r="B110" s="7" t="n">
        <f aca="false">B112*0.8</f>
        <v>1.30366657384252</v>
      </c>
      <c r="C110" s="7" t="s">
        <v>140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</row>
    <row r="111" customFormat="false" ht="15" hidden="false" customHeight="false" outlineLevel="0" collapsed="false">
      <c r="A111" s="7" t="s">
        <v>127</v>
      </c>
      <c r="B111" s="7" t="n">
        <f aca="false">B112*0.2</f>
        <v>0.32591664346063</v>
      </c>
      <c r="C111" s="7" t="s">
        <v>140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</row>
    <row r="112" customFormat="false" ht="15" hidden="false" customHeight="false" outlineLevel="0" collapsed="false">
      <c r="A112" s="100" t="s">
        <v>145</v>
      </c>
      <c r="B112" s="100" t="n">
        <v>1.62958321730315</v>
      </c>
      <c r="C112" s="100" t="s">
        <v>140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</row>
    <row r="115" customFormat="false" ht="15" hidden="false" customHeight="false" outlineLevel="0" collapsed="false">
      <c r="A115" s="4" t="s">
        <v>146</v>
      </c>
      <c r="B115" s="4"/>
      <c r="C115" s="4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</row>
    <row r="116" customFormat="false" ht="15" hidden="false" customHeight="false" outlineLevel="0" collapsed="false">
      <c r="A116" s="7" t="s">
        <v>147</v>
      </c>
      <c r="B116" s="7" t="n">
        <v>3.251173</v>
      </c>
      <c r="C116" s="7" t="s">
        <v>148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</row>
    <row r="117" customFormat="false" ht="15" hidden="false" customHeight="false" outlineLevel="0" collapsed="false">
      <c r="A117" s="101" t="s">
        <v>149</v>
      </c>
      <c r="B117" s="101"/>
      <c r="C117" s="101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</row>
    <row r="118" customFormat="false" ht="15" hidden="false" customHeight="false" outlineLevel="0" collapsed="false">
      <c r="A118" s="7" t="s">
        <v>150</v>
      </c>
      <c r="B118" s="7" t="n">
        <v>7.13969</v>
      </c>
      <c r="C118" s="7" t="s">
        <v>148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</row>
    <row r="119" customFormat="false" ht="15" hidden="false" customHeight="false" outlineLevel="0" collapsed="false">
      <c r="A119" s="4" t="s">
        <v>151</v>
      </c>
      <c r="B119" s="4"/>
      <c r="C119" s="4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</row>
    <row r="120" customFormat="false" ht="15" hidden="false" customHeight="false" outlineLevel="0" collapsed="false">
      <c r="A120" s="7" t="s">
        <v>152</v>
      </c>
      <c r="B120" s="7" t="n">
        <v>30.3</v>
      </c>
      <c r="C120" s="7" t="s">
        <v>148</v>
      </c>
      <c r="D120" s="6"/>
      <c r="E120" s="6"/>
      <c r="F120" s="6"/>
      <c r="G120" s="6"/>
      <c r="H120" s="6"/>
      <c r="I120" s="6"/>
      <c r="J120" s="6" t="s">
        <v>153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</row>
    <row r="123" customFormat="false" ht="15" hidden="false" customHeight="false" outlineLevel="0" collapsed="false">
      <c r="A123" s="3" t="s">
        <v>154</v>
      </c>
      <c r="B123" s="3"/>
      <c r="C123" s="3"/>
    </row>
    <row r="124" customFormat="false" ht="15" hidden="false" customHeight="false" outlineLevel="0" collapsed="false">
      <c r="A124" s="102" t="s">
        <v>155</v>
      </c>
      <c r="B124" s="103" t="n">
        <v>0.00472</v>
      </c>
      <c r="C124" s="103" t="s">
        <v>156</v>
      </c>
    </row>
    <row r="125" customFormat="false" ht="15" hidden="false" customHeight="false" outlineLevel="0" collapsed="false">
      <c r="A125" s="102" t="s">
        <v>157</v>
      </c>
      <c r="B125" s="103" t="n">
        <v>0</v>
      </c>
      <c r="C125" s="103" t="s">
        <v>156</v>
      </c>
    </row>
    <row r="126" customFormat="false" ht="15" hidden="false" customHeight="false" outlineLevel="0" collapsed="false">
      <c r="A126" s="102" t="s">
        <v>158</v>
      </c>
      <c r="B126" s="103" t="n">
        <v>1.245</v>
      </c>
      <c r="C126" s="103" t="s">
        <v>156</v>
      </c>
    </row>
    <row r="127" customFormat="false" ht="15" hidden="false" customHeight="false" outlineLevel="0" collapsed="false">
      <c r="A127" s="102" t="s">
        <v>159</v>
      </c>
      <c r="B127" s="103" t="n">
        <v>0.01711</v>
      </c>
      <c r="C127" s="103" t="s">
        <v>156</v>
      </c>
    </row>
    <row r="128" customFormat="false" ht="15" hidden="false" customHeight="false" outlineLevel="0" collapsed="false">
      <c r="A128" s="102" t="s">
        <v>160</v>
      </c>
      <c r="B128" s="103" t="n">
        <v>0</v>
      </c>
      <c r="C128" s="103" t="s">
        <v>156</v>
      </c>
    </row>
    <row r="130" customFormat="false" ht="15" hidden="false" customHeight="false" outlineLevel="0" collapsed="false">
      <c r="A130" s="3" t="s">
        <v>154</v>
      </c>
      <c r="B130" s="3"/>
      <c r="C130" s="3"/>
    </row>
    <row r="131" customFormat="false" ht="15" hidden="false" customHeight="false" outlineLevel="0" collapsed="false">
      <c r="A131" s="104" t="s">
        <v>155</v>
      </c>
      <c r="B131" s="105" t="n">
        <v>0.00472</v>
      </c>
      <c r="C131" s="105" t="s">
        <v>156</v>
      </c>
      <c r="D131" s="106"/>
    </row>
    <row r="132" customFormat="false" ht="15" hidden="false" customHeight="false" outlineLevel="0" collapsed="false">
      <c r="A132" s="104" t="s">
        <v>157</v>
      </c>
      <c r="B132" s="105" t="n">
        <v>0</v>
      </c>
      <c r="C132" s="105" t="s">
        <v>156</v>
      </c>
    </row>
    <row r="133" customFormat="false" ht="15" hidden="false" customHeight="false" outlineLevel="0" collapsed="false">
      <c r="A133" s="104" t="s">
        <v>158</v>
      </c>
      <c r="B133" s="105" t="n">
        <v>1.245</v>
      </c>
      <c r="C133" s="105" t="s">
        <v>156</v>
      </c>
    </row>
    <row r="134" customFormat="false" ht="15" hidden="false" customHeight="false" outlineLevel="0" collapsed="false">
      <c r="A134" s="104" t="s">
        <v>159</v>
      </c>
      <c r="B134" s="105" t="n">
        <v>0.01711</v>
      </c>
      <c r="C134" s="105" t="s">
        <v>156</v>
      </c>
    </row>
    <row r="135" customFormat="false" ht="15" hidden="false" customHeight="false" outlineLevel="0" collapsed="false">
      <c r="A135" s="104" t="s">
        <v>160</v>
      </c>
      <c r="B135" s="105" t="n">
        <v>0</v>
      </c>
      <c r="C135" s="105" t="s">
        <v>156</v>
      </c>
    </row>
  </sheetData>
  <mergeCells count="9">
    <mergeCell ref="A8:V8"/>
    <mergeCell ref="A16:V16"/>
    <mergeCell ref="A24:D24"/>
    <mergeCell ref="A26:A29"/>
    <mergeCell ref="A30:A33"/>
    <mergeCell ref="A34:A37"/>
    <mergeCell ref="A38:A41"/>
    <mergeCell ref="A44:B44"/>
    <mergeCell ref="A117:C1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DE1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3" activeCellId="0" sqref="A13"/>
    </sheetView>
  </sheetViews>
  <sheetFormatPr defaultColWidth="11.57421875" defaultRowHeight="15" customHeight="false" zeroHeight="false" outlineLevelRow="0" outlineLevelCol="0"/>
  <cols>
    <col collapsed="false" customWidth="true" hidden="false" outlineLevel="0" max="1" min="1" style="1" width="47.72"/>
    <col collapsed="false" customWidth="true" hidden="false" outlineLevel="0" max="2" min="2" style="1" width="16.29"/>
    <col collapsed="false" customWidth="true" hidden="false" outlineLevel="0" max="3" min="3" style="1" width="14.86"/>
    <col collapsed="false" customWidth="true" hidden="false" outlineLevel="0" max="4" min="4" style="1" width="21.14"/>
    <col collapsed="false" customWidth="true" hidden="false" outlineLevel="0" max="5" min="5" style="1" width="11.86"/>
    <col collapsed="false" customWidth="true" hidden="false" outlineLevel="0" max="6" min="6" style="1" width="17"/>
    <col collapsed="false" customWidth="true" hidden="false" outlineLevel="0" max="7" min="7" style="1" width="12.29"/>
    <col collapsed="false" customWidth="true" hidden="false" outlineLevel="0" max="8" min="8" style="1" width="17"/>
    <col collapsed="false" customWidth="true" hidden="false" outlineLevel="0" max="9" min="9" style="1" width="11.43"/>
    <col collapsed="false" customWidth="true" hidden="false" outlineLevel="0" max="14" min="10" style="1" width="17"/>
    <col collapsed="false" customWidth="true" hidden="false" outlineLevel="0" max="15" min="15" style="1" width="18"/>
    <col collapsed="false" customWidth="true" hidden="false" outlineLevel="0" max="18" min="18" style="1" width="18"/>
    <col collapsed="false" customWidth="true" hidden="false" outlineLevel="0" max="30" min="30" style="1" width="21.14"/>
  </cols>
  <sheetData>
    <row r="1" s="59" customFormat="true" ht="31.5" hidden="false" customHeight="true" outlineLevel="0" collapsed="false">
      <c r="A1" s="58" t="s">
        <v>66</v>
      </c>
      <c r="B1" s="58"/>
      <c r="C1" s="58"/>
      <c r="D1" s="58"/>
      <c r="E1" s="58"/>
    </row>
    <row r="2" s="60" customFormat="true" ht="15" hidden="false" customHeight="false" outlineLevel="0" collapsed="false">
      <c r="A2" s="60" t="s">
        <v>67</v>
      </c>
    </row>
    <row r="3" s="60" customFormat="true" ht="17.35" hidden="false" customHeight="false" outlineLevel="0" collapsed="false">
      <c r="A3" s="107" t="s">
        <v>161</v>
      </c>
    </row>
    <row r="4" s="87" customFormat="true" ht="15" hidden="false" customHeight="false" outlineLevel="0" collapsed="false">
      <c r="A4" s="61"/>
      <c r="B4" s="62" t="s">
        <v>68</v>
      </c>
      <c r="C4" s="63" t="s">
        <v>162</v>
      </c>
    </row>
    <row r="5" s="87" customFormat="true" ht="15" hidden="false" customHeight="false" outlineLevel="0" collapsed="false">
      <c r="A5" s="64" t="s">
        <v>163</v>
      </c>
      <c r="B5" s="108" t="n">
        <v>0.773665743531556</v>
      </c>
      <c r="C5" s="108" t="n">
        <v>0.651679365939555</v>
      </c>
    </row>
    <row r="6" s="7" customFormat="true" ht="15" hidden="false" customHeight="false" outlineLevel="0" collapsed="false">
      <c r="A6" s="70" t="s">
        <v>164</v>
      </c>
      <c r="B6" s="108" t="n">
        <v>0.296376258888823</v>
      </c>
      <c r="C6" s="108" t="n">
        <v>0.480333606462686</v>
      </c>
      <c r="CM6" s="9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89"/>
    </row>
    <row r="7" s="7" customFormat="true" ht="15" hidden="false" customHeight="false" outlineLevel="0" collapsed="false">
      <c r="A7" s="70" t="s">
        <v>165</v>
      </c>
      <c r="B7" s="109" t="n">
        <v>-0.059550888179723</v>
      </c>
      <c r="C7" s="109" t="n">
        <v>-0.0458567783957146</v>
      </c>
      <c r="CM7" s="9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89"/>
    </row>
    <row r="8" s="7" customFormat="true" ht="15" hidden="false" customHeight="false" outlineLevel="0" collapsed="false">
      <c r="A8" s="70" t="s">
        <v>166</v>
      </c>
      <c r="B8" s="71" t="n">
        <v>2022</v>
      </c>
      <c r="C8" s="71" t="n">
        <v>2023</v>
      </c>
      <c r="CM8" s="9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89"/>
    </row>
    <row r="9" s="7" customFormat="true" ht="15" hidden="false" customHeight="false" outlineLevel="0" collapsed="false">
      <c r="A9" s="110" t="s">
        <v>72</v>
      </c>
      <c r="B9" s="111" t="n">
        <v>2023</v>
      </c>
      <c r="DE9" s="89"/>
    </row>
    <row r="10" s="7" customFormat="true" ht="15" hidden="false" customHeight="false" outlineLevel="0" collapsed="false">
      <c r="A10" s="112" t="s">
        <v>73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DE10" s="89"/>
    </row>
    <row r="11" s="95" customFormat="true" ht="15" hidden="false" customHeight="false" outlineLevel="0" collapsed="false">
      <c r="A11" s="64" t="s">
        <v>74</v>
      </c>
      <c r="B11" s="113"/>
      <c r="C11" s="70" t="n">
        <v>1995</v>
      </c>
      <c r="D11" s="70" t="n">
        <v>1996</v>
      </c>
      <c r="E11" s="70" t="n">
        <v>1997</v>
      </c>
      <c r="F11" s="70" t="n">
        <v>1998</v>
      </c>
      <c r="G11" s="70" t="n">
        <v>1999</v>
      </c>
      <c r="H11" s="70" t="n">
        <v>2000</v>
      </c>
      <c r="I11" s="70" t="n">
        <v>2001</v>
      </c>
      <c r="J11" s="70" t="n">
        <v>2002</v>
      </c>
      <c r="K11" s="70" t="n">
        <v>2003</v>
      </c>
      <c r="L11" s="70" t="n">
        <v>2004</v>
      </c>
      <c r="M11" s="70" t="n">
        <v>2005</v>
      </c>
      <c r="N11" s="70" t="n">
        <v>2006</v>
      </c>
      <c r="O11" s="70" t="n">
        <v>2007</v>
      </c>
      <c r="P11" s="70" t="n">
        <v>2008</v>
      </c>
      <c r="Q11" s="70" t="n">
        <v>2009</v>
      </c>
      <c r="R11" s="70" t="n">
        <v>2010</v>
      </c>
      <c r="S11" s="70" t="n">
        <v>2011</v>
      </c>
      <c r="T11" s="70" t="n">
        <v>2012</v>
      </c>
      <c r="U11" s="70" t="n">
        <v>2013</v>
      </c>
      <c r="V11" s="70" t="n">
        <v>2014</v>
      </c>
      <c r="W11" s="114" t="n">
        <v>2015</v>
      </c>
      <c r="X11" s="70" t="n">
        <v>2016</v>
      </c>
      <c r="Y11" s="70" t="n">
        <v>2017</v>
      </c>
      <c r="Z11" s="70" t="n">
        <v>2018</v>
      </c>
      <c r="AA11" s="114" t="n">
        <v>2019</v>
      </c>
      <c r="AB11" s="70" t="n">
        <v>2020</v>
      </c>
      <c r="AC11" s="70" t="n">
        <v>2021</v>
      </c>
      <c r="AD11" s="70" t="n">
        <v>2022</v>
      </c>
      <c r="AE11" s="114" t="n">
        <v>2023</v>
      </c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89"/>
    </row>
    <row r="12" s="95" customFormat="true" ht="15" hidden="false" customHeight="false" outlineLevel="0" collapsed="false">
      <c r="A12" s="74" t="s">
        <v>167</v>
      </c>
      <c r="B12" s="113"/>
      <c r="C12" s="115" t="n">
        <v>1973.56559681697</v>
      </c>
      <c r="D12" s="115" t="n">
        <v>1973.56559681697</v>
      </c>
      <c r="E12" s="115" t="n">
        <v>1973.56559681697</v>
      </c>
      <c r="F12" s="115" t="n">
        <v>1973.56559681697</v>
      </c>
      <c r="G12" s="115" t="n">
        <v>1973.56559681697</v>
      </c>
      <c r="H12" s="116" t="n">
        <v>1973.56559681697</v>
      </c>
      <c r="I12" s="116" t="n">
        <v>1988.64197964496</v>
      </c>
      <c r="J12" s="116" t="n">
        <v>2039.08356299691</v>
      </c>
      <c r="K12" s="116" t="n">
        <v>2044.41916203811</v>
      </c>
      <c r="L12" s="116" t="n">
        <v>2218.08811864762</v>
      </c>
      <c r="M12" s="116" t="n">
        <v>2274.81824573903</v>
      </c>
      <c r="N12" s="116" t="n">
        <v>2357.8890072357</v>
      </c>
      <c r="O12" s="116" t="n">
        <v>2436.51116533184</v>
      </c>
      <c r="P12" s="116" t="n">
        <v>2408.66739109098</v>
      </c>
      <c r="Q12" s="116" t="n">
        <v>2149.77171207075</v>
      </c>
      <c r="R12" s="116" t="n">
        <v>2250.48442288042</v>
      </c>
      <c r="S12" s="116" t="n">
        <v>2250.57168605404</v>
      </c>
      <c r="T12" s="116" t="n">
        <v>2180.57454248229</v>
      </c>
      <c r="U12" s="116" t="n">
        <v>2206.94272967109</v>
      </c>
      <c r="V12" s="116" t="n">
        <v>2232.04229938946</v>
      </c>
      <c r="W12" s="116" t="n">
        <v>2273.92869305523</v>
      </c>
      <c r="X12" s="116" t="n">
        <v>2358.20583658568</v>
      </c>
      <c r="Y12" s="116" t="n">
        <v>2449.48567640491</v>
      </c>
      <c r="Z12" s="116" t="n">
        <v>2443.31490704001</v>
      </c>
      <c r="AA12" s="116" t="n">
        <v>2504.59168185933</v>
      </c>
      <c r="AB12" s="116" t="n">
        <v>2425.93639237301</v>
      </c>
      <c r="AC12" s="116" t="n">
        <v>2587.65234409681</v>
      </c>
      <c r="AD12" s="116" t="n">
        <v>2580.43730087274</v>
      </c>
      <c r="AE12" s="116" t="n">
        <v>2498.43441135244</v>
      </c>
      <c r="AF12" s="89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89"/>
    </row>
    <row r="13" s="95" customFormat="true" ht="15" hidden="false" customHeight="false" outlineLevel="0" collapsed="false">
      <c r="A13" s="73" t="s">
        <v>76</v>
      </c>
      <c r="B13" s="113"/>
      <c r="C13" s="115" t="n">
        <v>0.662554905254958</v>
      </c>
      <c r="D13" s="115" t="n">
        <v>0.662554905254958</v>
      </c>
      <c r="E13" s="115" t="n">
        <v>0.662554905254958</v>
      </c>
      <c r="F13" s="115" t="n">
        <v>0.662554905254958</v>
      </c>
      <c r="G13" s="115" t="n">
        <v>0.662554905254958</v>
      </c>
      <c r="H13" s="116" t="n">
        <v>0.662554905254958</v>
      </c>
      <c r="I13" s="116" t="n">
        <v>0.679693301446529</v>
      </c>
      <c r="J13" s="116" t="n">
        <v>0.686230097458473</v>
      </c>
      <c r="K13" s="116" t="n">
        <v>0.685432115618671</v>
      </c>
      <c r="L13" s="116" t="n">
        <v>0.696692715563186</v>
      </c>
      <c r="M13" s="116" t="n">
        <v>0.698355811302378</v>
      </c>
      <c r="N13" s="116" t="n">
        <v>0.695215539008562</v>
      </c>
      <c r="O13" s="116" t="n">
        <v>0.696965294640688</v>
      </c>
      <c r="P13" s="116" t="n">
        <v>0.696236491949894</v>
      </c>
      <c r="Q13" s="116" t="n">
        <v>0.705121268615626</v>
      </c>
      <c r="R13" s="116" t="n">
        <v>0.692612143621006</v>
      </c>
      <c r="S13" s="116" t="n">
        <v>0.685170102350832</v>
      </c>
      <c r="T13" s="116" t="n">
        <v>0.679661307845886</v>
      </c>
      <c r="U13" s="116" t="n">
        <v>0.687252823504454</v>
      </c>
      <c r="V13" s="116" t="n">
        <v>0.684476863951905</v>
      </c>
      <c r="W13" s="116" t="n">
        <v>0.687056442663185</v>
      </c>
      <c r="X13" s="116" t="n">
        <v>0.68699869984306</v>
      </c>
      <c r="Y13" s="116" t="n">
        <v>0.697145120534278</v>
      </c>
      <c r="Z13" s="116" t="n">
        <v>0.698973556317014</v>
      </c>
      <c r="AA13" s="116" t="n">
        <v>0.704752281119247</v>
      </c>
      <c r="AB13" s="116" t="n">
        <v>0.719582222580483</v>
      </c>
      <c r="AC13" s="116" t="n">
        <v>0.719784365667078</v>
      </c>
      <c r="AD13" s="116" t="n">
        <v>0.723374561525416</v>
      </c>
      <c r="AE13" s="116" t="n">
        <v>0.723563801734572</v>
      </c>
      <c r="AF13" s="9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90"/>
    </row>
    <row r="14" s="95" customFormat="true" ht="15" hidden="false" customHeight="false" outlineLevel="0" collapsed="false">
      <c r="A14" s="73" t="s">
        <v>77</v>
      </c>
      <c r="B14" s="113"/>
      <c r="C14" s="115" t="n">
        <v>0.0341123647121358</v>
      </c>
      <c r="D14" s="115" t="n">
        <v>0.0341123647121358</v>
      </c>
      <c r="E14" s="115" t="n">
        <v>0.0341123647121358</v>
      </c>
      <c r="F14" s="115" t="n">
        <v>0.0341123647121358</v>
      </c>
      <c r="G14" s="115" t="n">
        <v>0.0341123647121358</v>
      </c>
      <c r="H14" s="116" t="n">
        <v>0.0341123647121358</v>
      </c>
      <c r="I14" s="116" t="n">
        <v>0.0356202792701163</v>
      </c>
      <c r="J14" s="116" t="n">
        <v>0.0353182588119231</v>
      </c>
      <c r="K14" s="116" t="n">
        <v>0.0368026414808666</v>
      </c>
      <c r="L14" s="116" t="n">
        <v>0.0348888433810155</v>
      </c>
      <c r="M14" s="116" t="n">
        <v>0.0347598425186765</v>
      </c>
      <c r="N14" s="116" t="n">
        <v>0.0338029096978162</v>
      </c>
      <c r="O14" s="116" t="n">
        <v>0.0343469205318512</v>
      </c>
      <c r="P14" s="116" t="n">
        <v>0.0346294435687862</v>
      </c>
      <c r="Q14" s="116" t="n">
        <v>0.038504365939506</v>
      </c>
      <c r="R14" s="116" t="n">
        <v>0.0374806109398753</v>
      </c>
      <c r="S14" s="116" t="n">
        <v>0.0381232199881798</v>
      </c>
      <c r="T14" s="116" t="n">
        <v>0.0380490919013742</v>
      </c>
      <c r="U14" s="116" t="n">
        <v>0.0376625742947505</v>
      </c>
      <c r="V14" s="116" t="n">
        <v>0.0379487107044811</v>
      </c>
      <c r="W14" s="116" t="n">
        <v>0.0381725740228702</v>
      </c>
      <c r="X14" s="116" t="n">
        <v>0.0372635900907312</v>
      </c>
      <c r="Y14" s="116" t="n">
        <v>0.0368838287274202</v>
      </c>
      <c r="Z14" s="116" t="n">
        <v>0.0374852066479996</v>
      </c>
      <c r="AA14" s="116" t="n">
        <v>0.0376146496534478</v>
      </c>
      <c r="AB14" s="116" t="n">
        <v>0.0360671787614104</v>
      </c>
      <c r="AC14" s="116" t="n">
        <v>0.037452451958673</v>
      </c>
      <c r="AD14" s="116" t="n">
        <v>0.03791017657236</v>
      </c>
      <c r="AE14" s="116" t="n">
        <v>0.0394637324172782</v>
      </c>
      <c r="AF14" s="9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90"/>
    </row>
    <row r="15" s="95" customFormat="true" ht="15" hidden="false" customHeight="false" outlineLevel="0" collapsed="false">
      <c r="A15" s="73" t="s">
        <v>78</v>
      </c>
      <c r="B15" s="113"/>
      <c r="C15" s="115" t="n">
        <v>0.196558328371691</v>
      </c>
      <c r="D15" s="115" t="n">
        <v>0.196558328371691</v>
      </c>
      <c r="E15" s="115" t="n">
        <v>0.196558328371691</v>
      </c>
      <c r="F15" s="115" t="n">
        <v>0.196558328371691</v>
      </c>
      <c r="G15" s="115" t="n">
        <v>0.196558328371691</v>
      </c>
      <c r="H15" s="116" t="n">
        <v>0.196558328371691</v>
      </c>
      <c r="I15" s="116" t="n">
        <v>0.185681136188316</v>
      </c>
      <c r="J15" s="116" t="n">
        <v>0.180552283012831</v>
      </c>
      <c r="K15" s="116" t="n">
        <v>0.184066592478754</v>
      </c>
      <c r="L15" s="116" t="n">
        <v>0.175842878703037</v>
      </c>
      <c r="M15" s="116" t="n">
        <v>0.173463089079368</v>
      </c>
      <c r="N15" s="116" t="n">
        <v>0.176533330755883</v>
      </c>
      <c r="O15" s="116" t="n">
        <v>0.176778997005473</v>
      </c>
      <c r="P15" s="116" t="n">
        <v>0.17520185707702</v>
      </c>
      <c r="Q15" s="116" t="n">
        <v>0.160103976653626</v>
      </c>
      <c r="R15" s="116" t="n">
        <v>0.166610795519345</v>
      </c>
      <c r="S15" s="116" t="n">
        <v>0.178161398939048</v>
      </c>
      <c r="T15" s="116" t="n">
        <v>0.179980547490588</v>
      </c>
      <c r="U15" s="116" t="n">
        <v>0.176147298601599</v>
      </c>
      <c r="V15" s="116" t="n">
        <v>0.177199150799332</v>
      </c>
      <c r="W15" s="116" t="n">
        <v>0.177142757919462</v>
      </c>
      <c r="X15" s="116" t="n">
        <v>0.181133891441151</v>
      </c>
      <c r="Y15" s="116" t="n">
        <v>0.173973664800299</v>
      </c>
      <c r="Z15" s="116" t="n">
        <v>0.176849082676564</v>
      </c>
      <c r="AA15" s="116" t="n">
        <v>0.169502279782723</v>
      </c>
      <c r="AB15" s="116" t="n">
        <v>0.158177519083525</v>
      </c>
      <c r="AC15" s="116" t="n">
        <v>0.160348820020808</v>
      </c>
      <c r="AD15" s="116" t="n">
        <v>0.16019924214403</v>
      </c>
      <c r="AE15" s="116" t="n">
        <v>0.158403197699222</v>
      </c>
      <c r="AF15" s="9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90"/>
    </row>
    <row r="16" s="95" customFormat="true" ht="15" hidden="false" customHeight="false" outlineLevel="0" collapsed="false">
      <c r="A16" s="74" t="s">
        <v>79</v>
      </c>
      <c r="B16" s="113"/>
      <c r="C16" s="115" t="n">
        <v>0.106563997639195</v>
      </c>
      <c r="D16" s="115" t="n">
        <v>0.106563997639195</v>
      </c>
      <c r="E16" s="115" t="n">
        <v>0.106563997639195</v>
      </c>
      <c r="F16" s="115" t="n">
        <v>0.106563997639195</v>
      </c>
      <c r="G16" s="115" t="n">
        <v>0.106563997639195</v>
      </c>
      <c r="H16" s="116" t="n">
        <v>0.106563997639195</v>
      </c>
      <c r="I16" s="116" t="n">
        <v>0.0987794372293554</v>
      </c>
      <c r="J16" s="116" t="n">
        <v>0.0976957063531101</v>
      </c>
      <c r="K16" s="116" t="n">
        <v>0.09351335271648</v>
      </c>
      <c r="L16" s="116" t="n">
        <v>0.0924040994029424</v>
      </c>
      <c r="M16" s="116" t="n">
        <v>0.0932627487041614</v>
      </c>
      <c r="N16" s="116" t="n">
        <v>0.0943014231872929</v>
      </c>
      <c r="O16" s="116" t="n">
        <v>0.0917725513355265</v>
      </c>
      <c r="P16" s="116" t="n">
        <v>0.093803743030565</v>
      </c>
      <c r="Q16" s="116" t="n">
        <v>0.0961406459297565</v>
      </c>
      <c r="R16" s="116" t="n">
        <v>0.103182752850513</v>
      </c>
      <c r="S16" s="116" t="n">
        <v>0.0984321905286248</v>
      </c>
      <c r="T16" s="116" t="n">
        <v>0.102201681556048</v>
      </c>
      <c r="U16" s="116" t="n">
        <v>0.0988362888023417</v>
      </c>
      <c r="V16" s="116" t="n">
        <v>0.100263012516033</v>
      </c>
      <c r="W16" s="116" t="n">
        <v>0.0975201762822447</v>
      </c>
      <c r="X16" s="116" t="n">
        <v>0.0944981568371687</v>
      </c>
      <c r="Y16" s="116" t="n">
        <v>0.0918955752636635</v>
      </c>
      <c r="Z16" s="116" t="n">
        <v>0.0865886235819187</v>
      </c>
      <c r="AA16" s="116" t="n">
        <v>0.088025897633075</v>
      </c>
      <c r="AB16" s="116" t="n">
        <v>0.0860782424702139</v>
      </c>
      <c r="AC16" s="116" t="n">
        <v>0.0823093621853368</v>
      </c>
      <c r="AD16" s="116" t="n">
        <v>0.0784345478696757</v>
      </c>
      <c r="AE16" s="116" t="n">
        <v>0.0784859734996415</v>
      </c>
      <c r="AF16" s="94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  <c r="CI16" s="93"/>
      <c r="CJ16" s="93"/>
      <c r="CK16" s="93"/>
      <c r="CL16" s="93"/>
      <c r="CM16" s="93"/>
      <c r="CN16" s="93"/>
      <c r="CO16" s="93"/>
      <c r="CP16" s="93"/>
      <c r="CQ16" s="93"/>
      <c r="CR16" s="93"/>
      <c r="CS16" s="93"/>
      <c r="CT16" s="93"/>
      <c r="CU16" s="93"/>
      <c r="CV16" s="93"/>
      <c r="CW16" s="93"/>
      <c r="CX16" s="93"/>
      <c r="CY16" s="93"/>
      <c r="CZ16" s="93"/>
      <c r="DA16" s="93"/>
      <c r="DB16" s="93"/>
      <c r="DC16" s="93"/>
      <c r="DD16" s="93"/>
      <c r="DE16" s="94"/>
    </row>
    <row r="17" s="95" customFormat="true" ht="15" hidden="false" customHeight="false" outlineLevel="0" collapsed="false">
      <c r="A17" s="75" t="s">
        <v>80</v>
      </c>
      <c r="B17" s="113"/>
      <c r="C17" s="115" t="n">
        <v>0.000210404022020358</v>
      </c>
      <c r="D17" s="115" t="n">
        <v>0.000210404022020358</v>
      </c>
      <c r="E17" s="115" t="n">
        <v>0.000210404022020358</v>
      </c>
      <c r="F17" s="115" t="n">
        <v>0.000210404022020358</v>
      </c>
      <c r="G17" s="115" t="n">
        <v>0.000210404022020358</v>
      </c>
      <c r="H17" s="116" t="n">
        <v>0.000210404022020358</v>
      </c>
      <c r="I17" s="116" t="n">
        <v>0.000225845865683683</v>
      </c>
      <c r="J17" s="116" t="n">
        <v>0.000203654363663268</v>
      </c>
      <c r="K17" s="116" t="n">
        <v>0.000185297705228602</v>
      </c>
      <c r="L17" s="116" t="n">
        <v>0.000171462949819635</v>
      </c>
      <c r="M17" s="116" t="n">
        <v>0.000158508395416261</v>
      </c>
      <c r="N17" s="116" t="n">
        <v>0.000146797350447007</v>
      </c>
      <c r="O17" s="116" t="n">
        <v>0.000136236486460787</v>
      </c>
      <c r="P17" s="116" t="n">
        <v>0.000128464373735477</v>
      </c>
      <c r="Q17" s="116" t="n">
        <v>0.00012974286148594</v>
      </c>
      <c r="R17" s="116" t="n">
        <v>0.000113697069260911</v>
      </c>
      <c r="S17" s="116" t="n">
        <v>0.000113088193315607</v>
      </c>
      <c r="T17" s="116" t="n">
        <v>0.000107371206103749</v>
      </c>
      <c r="U17" s="116" t="n">
        <v>0.000101014796855731</v>
      </c>
      <c r="V17" s="116" t="n">
        <v>0.000112262028249436</v>
      </c>
      <c r="W17" s="116" t="n">
        <v>0.000108049112238068</v>
      </c>
      <c r="X17" s="116" t="n">
        <v>0.000105661787888392</v>
      </c>
      <c r="Y17" s="116" t="n">
        <v>0.000101810674339705</v>
      </c>
      <c r="Z17" s="116" t="n">
        <v>0.000103530776503367</v>
      </c>
      <c r="AA17" s="116" t="n">
        <v>0.000104891811508137</v>
      </c>
      <c r="AB17" s="117" t="n">
        <v>9.48371043676489E-005</v>
      </c>
      <c r="AC17" s="116" t="n">
        <v>0.0001050001681042</v>
      </c>
      <c r="AD17" s="117" t="n">
        <v>8.14718885178911E-005</v>
      </c>
      <c r="AE17" s="117" t="n">
        <v>8.32946492864429E-005</v>
      </c>
      <c r="AF17" s="96"/>
      <c r="DE17" s="96"/>
    </row>
    <row r="18" s="95" customFormat="true" ht="15" hidden="false" customHeight="false" outlineLevel="0" collapsed="false">
      <c r="A18" s="118" t="s">
        <v>81</v>
      </c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DE18" s="96"/>
    </row>
    <row r="19" s="6" customFormat="true" ht="15" hidden="false" customHeight="false" outlineLevel="0" collapsed="false">
      <c r="A19" s="73" t="s">
        <v>168</v>
      </c>
      <c r="B19" s="119"/>
      <c r="C19" s="115" t="n">
        <v>4747.18453829832</v>
      </c>
      <c r="D19" s="115" t="n">
        <v>4747.18453829832</v>
      </c>
      <c r="E19" s="115" t="n">
        <v>4747.18453829832</v>
      </c>
      <c r="F19" s="115" t="n">
        <v>4747.18453829832</v>
      </c>
      <c r="G19" s="115" t="n">
        <v>4747.18453829832</v>
      </c>
      <c r="H19" s="116" t="n">
        <v>4747.18453829832</v>
      </c>
      <c r="I19" s="116" t="n">
        <v>4823.0863911886</v>
      </c>
      <c r="J19" s="116" t="n">
        <v>4870.1975278753</v>
      </c>
      <c r="K19" s="116" t="n">
        <v>4910.36323321641</v>
      </c>
      <c r="L19" s="116" t="n">
        <v>4981.22690228354</v>
      </c>
      <c r="M19" s="116" t="n">
        <v>5011.70049345231</v>
      </c>
      <c r="N19" s="116" t="n">
        <v>5057.44368468816</v>
      </c>
      <c r="O19" s="116" t="n">
        <v>5132.39197637856</v>
      </c>
      <c r="P19" s="116" t="n">
        <v>5170.44676876475</v>
      </c>
      <c r="Q19" s="116" t="n">
        <v>5207.75047707629</v>
      </c>
      <c r="R19" s="116" t="n">
        <v>5166.77287480789</v>
      </c>
      <c r="S19" s="116" t="n">
        <v>5155.18114442151</v>
      </c>
      <c r="T19" s="116" t="n">
        <v>5107.15927043634</v>
      </c>
      <c r="U19" s="116" t="n">
        <v>5161.8674668389</v>
      </c>
      <c r="V19" s="116" t="n">
        <v>5204.77904313805</v>
      </c>
      <c r="W19" s="116" t="n">
        <v>5324.04235754686</v>
      </c>
      <c r="X19" s="116" t="n">
        <v>5433.79460354959</v>
      </c>
      <c r="Y19" s="116" t="n">
        <v>5453.84110698074</v>
      </c>
      <c r="Z19" s="116" t="n">
        <v>5488.99034703425</v>
      </c>
      <c r="AA19" s="116" t="n">
        <v>5570.99127733512</v>
      </c>
      <c r="AB19" s="116" t="n">
        <v>4246.93681313775</v>
      </c>
      <c r="AC19" s="116" t="n">
        <v>4725.52852367784</v>
      </c>
      <c r="AD19" s="116" t="n">
        <v>5202.48075383384</v>
      </c>
      <c r="AE19" s="116" t="n">
        <v>5443.09091797224</v>
      </c>
      <c r="AF19" s="96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5"/>
      <c r="BQ19" s="95"/>
      <c r="BR19" s="95"/>
      <c r="BS19" s="95"/>
      <c r="BT19" s="95"/>
      <c r="BU19" s="95"/>
      <c r="BV19" s="95"/>
      <c r="BW19" s="95"/>
      <c r="BX19" s="95"/>
      <c r="BY19" s="95"/>
      <c r="BZ19" s="95"/>
      <c r="CA19" s="95"/>
      <c r="CB19" s="95"/>
      <c r="CC19" s="95"/>
      <c r="CD19" s="95"/>
      <c r="CE19" s="95"/>
      <c r="CF19" s="95"/>
      <c r="CG19" s="95"/>
      <c r="CH19" s="95"/>
      <c r="CI19" s="95"/>
      <c r="CJ19" s="95"/>
      <c r="CK19" s="95"/>
      <c r="CL19" s="95"/>
      <c r="CM19" s="95"/>
      <c r="CN19" s="95"/>
      <c r="CO19" s="95"/>
      <c r="CP19" s="95"/>
      <c r="CQ19" s="95"/>
      <c r="CR19" s="95"/>
      <c r="CS19" s="95"/>
      <c r="CT19" s="95"/>
      <c r="CU19" s="95"/>
      <c r="CV19" s="95"/>
      <c r="CW19" s="95"/>
      <c r="CX19" s="95"/>
      <c r="CY19" s="95"/>
      <c r="CZ19" s="95"/>
      <c r="DA19" s="95"/>
      <c r="DB19" s="95"/>
      <c r="DC19" s="95"/>
      <c r="DD19" s="95"/>
      <c r="DE19" s="96"/>
    </row>
    <row r="20" s="6" customFormat="true" ht="15" hidden="false" customHeight="false" outlineLevel="0" collapsed="false">
      <c r="A20" s="73" t="s">
        <v>83</v>
      </c>
      <c r="B20" s="119"/>
      <c r="C20" s="115" t="n">
        <v>0.104679318137065</v>
      </c>
      <c r="D20" s="115" t="n">
        <v>0.104679318137065</v>
      </c>
      <c r="E20" s="115" t="n">
        <v>0.104679318137065</v>
      </c>
      <c r="F20" s="115" t="n">
        <v>0.104679318137065</v>
      </c>
      <c r="G20" s="115" t="n">
        <v>0.104679318137065</v>
      </c>
      <c r="H20" s="116" t="n">
        <v>0.104679318137065</v>
      </c>
      <c r="I20" s="116" t="n">
        <v>0.102850821510215</v>
      </c>
      <c r="J20" s="116" t="n">
        <v>0.101286784908284</v>
      </c>
      <c r="K20" s="116" t="n">
        <v>0.101016598027007</v>
      </c>
      <c r="L20" s="116" t="n">
        <v>0.100504583982012</v>
      </c>
      <c r="M20" s="116" t="n">
        <v>0.0994097639104013</v>
      </c>
      <c r="N20" s="116" t="n">
        <v>0.0985263115263207</v>
      </c>
      <c r="O20" s="116" t="n">
        <v>0.0990495404718729</v>
      </c>
      <c r="P20" s="116" t="n">
        <v>0.0995267871735274</v>
      </c>
      <c r="Q20" s="116" t="n">
        <v>0.0941241510393843</v>
      </c>
      <c r="R20" s="116" t="n">
        <v>0.0934133159624913</v>
      </c>
      <c r="S20" s="116" t="n">
        <v>0.0942911011500497</v>
      </c>
      <c r="T20" s="116" t="n">
        <v>0.0944468951842853</v>
      </c>
      <c r="U20" s="116" t="n">
        <v>0.0931685380165725</v>
      </c>
      <c r="V20" s="116" t="n">
        <v>0.0914948227565032</v>
      </c>
      <c r="W20" s="116" t="n">
        <v>0.0921954191413473</v>
      </c>
      <c r="X20" s="116" t="n">
        <v>0.0908920317267353</v>
      </c>
      <c r="Y20" s="116" t="n">
        <v>0.0870665969849356</v>
      </c>
      <c r="Z20" s="116" t="n">
        <v>0.0872592409931622</v>
      </c>
      <c r="AA20" s="116" t="n">
        <v>0.0869665366160235</v>
      </c>
      <c r="AB20" s="116" t="n">
        <v>0.0686953411602306</v>
      </c>
      <c r="AC20" s="116" t="n">
        <v>0.0700095575839964</v>
      </c>
      <c r="AD20" s="116" t="n">
        <v>0.0776490845297908</v>
      </c>
      <c r="AE20" s="116" t="n">
        <v>0.0786575087923639</v>
      </c>
      <c r="AF20" s="96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5"/>
      <c r="BQ20" s="95"/>
      <c r="BR20" s="95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  <c r="CG20" s="95"/>
      <c r="CH20" s="95"/>
      <c r="CI20" s="95"/>
      <c r="CJ20" s="95"/>
      <c r="CK20" s="95"/>
      <c r="CL20" s="95"/>
      <c r="CM20" s="95"/>
      <c r="CN20" s="95"/>
      <c r="CO20" s="95"/>
      <c r="CP20" s="95"/>
      <c r="CQ20" s="95"/>
      <c r="CR20" s="95"/>
      <c r="CS20" s="95"/>
      <c r="CT20" s="95"/>
      <c r="CU20" s="95"/>
      <c r="CV20" s="95"/>
      <c r="CW20" s="95"/>
      <c r="CX20" s="95"/>
      <c r="CY20" s="95"/>
      <c r="CZ20" s="95"/>
      <c r="DA20" s="95"/>
      <c r="DB20" s="95"/>
      <c r="DC20" s="95"/>
      <c r="DD20" s="95"/>
      <c r="DE20" s="96"/>
    </row>
    <row r="21" s="6" customFormat="true" ht="15" hidden="false" customHeight="false" outlineLevel="0" collapsed="false">
      <c r="A21" s="70" t="s">
        <v>84</v>
      </c>
      <c r="B21" s="119"/>
      <c r="C21" s="115" t="n">
        <v>0.792368866212118</v>
      </c>
      <c r="D21" s="115" t="n">
        <v>0.792368866212118</v>
      </c>
      <c r="E21" s="115" t="n">
        <v>0.792368866212118</v>
      </c>
      <c r="F21" s="115" t="n">
        <v>0.792368866212118</v>
      </c>
      <c r="G21" s="115" t="n">
        <v>0.792368866212118</v>
      </c>
      <c r="H21" s="116" t="n">
        <v>0.792368866212118</v>
      </c>
      <c r="I21" s="116" t="n">
        <v>0.79600434157617</v>
      </c>
      <c r="J21" s="116" t="n">
        <v>0.799830105647442</v>
      </c>
      <c r="K21" s="116" t="n">
        <v>0.801338328040183</v>
      </c>
      <c r="L21" s="116" t="n">
        <v>0.801050042210574</v>
      </c>
      <c r="M21" s="116" t="n">
        <v>0.800251618238598</v>
      </c>
      <c r="N21" s="116" t="n">
        <v>0.799190711718131</v>
      </c>
      <c r="O21" s="116" t="n">
        <v>0.797755319137919</v>
      </c>
      <c r="P21" s="116" t="n">
        <v>0.795667837754838</v>
      </c>
      <c r="Q21" s="116" t="n">
        <v>0.803805920566148</v>
      </c>
      <c r="R21" s="116" t="n">
        <v>0.80290665574723</v>
      </c>
      <c r="S21" s="116" t="n">
        <v>0.800019458681024</v>
      </c>
      <c r="T21" s="116" t="n">
        <v>0.799139283709862</v>
      </c>
      <c r="U21" s="116" t="n">
        <v>0.801509339846341</v>
      </c>
      <c r="V21" s="116" t="n">
        <v>0.803161965950552</v>
      </c>
      <c r="W21" s="116" t="n">
        <v>0.803428454615156</v>
      </c>
      <c r="X21" s="116" t="n">
        <v>0.804050208592723</v>
      </c>
      <c r="Y21" s="116" t="n">
        <v>0.804462405559501</v>
      </c>
      <c r="Z21" s="116" t="n">
        <v>0.802583569534851</v>
      </c>
      <c r="AA21" s="116" t="n">
        <v>0.801628424853832</v>
      </c>
      <c r="AB21" s="116" t="n">
        <v>0.855246437713092</v>
      </c>
      <c r="AC21" s="116" t="n">
        <v>0.848640966236339</v>
      </c>
      <c r="AD21" s="116" t="n">
        <v>0.812462012408015</v>
      </c>
      <c r="AE21" s="116" t="n">
        <v>0.806450899375072</v>
      </c>
      <c r="AF21" s="96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5"/>
      <c r="BQ21" s="95"/>
      <c r="BR21" s="95"/>
      <c r="BS21" s="95"/>
      <c r="BT21" s="95"/>
      <c r="BU21" s="95"/>
      <c r="BV21" s="95"/>
      <c r="BW21" s="95"/>
      <c r="BX21" s="95"/>
      <c r="BY21" s="95"/>
      <c r="BZ21" s="95"/>
      <c r="CA21" s="95"/>
      <c r="CB21" s="95"/>
      <c r="CC21" s="95"/>
      <c r="CD21" s="95"/>
      <c r="CE21" s="95"/>
      <c r="CF21" s="95"/>
      <c r="CG21" s="95"/>
      <c r="CH21" s="95"/>
      <c r="CI21" s="95"/>
      <c r="CJ21" s="95"/>
      <c r="CK21" s="95"/>
      <c r="CL21" s="95"/>
      <c r="CM21" s="95"/>
      <c r="CN21" s="95"/>
      <c r="CO21" s="95"/>
      <c r="CP21" s="95"/>
      <c r="CQ21" s="95"/>
      <c r="CR21" s="95"/>
      <c r="CS21" s="95"/>
      <c r="CT21" s="95"/>
      <c r="CU21" s="95"/>
      <c r="CV21" s="95"/>
      <c r="CW21" s="95"/>
      <c r="CX21" s="95"/>
      <c r="CY21" s="95"/>
      <c r="CZ21" s="95"/>
      <c r="DA21" s="95"/>
      <c r="DB21" s="95"/>
      <c r="DC21" s="95"/>
      <c r="DD21" s="95"/>
      <c r="DE21" s="96"/>
    </row>
    <row r="22" s="6" customFormat="true" ht="15" hidden="false" customHeight="false" outlineLevel="0" collapsed="false">
      <c r="A22" s="73" t="s">
        <v>78</v>
      </c>
      <c r="B22" s="119"/>
      <c r="C22" s="115" t="n">
        <v>0.0856071912792782</v>
      </c>
      <c r="D22" s="115" t="n">
        <v>0.0856071912792782</v>
      </c>
      <c r="E22" s="115" t="n">
        <v>0.0856071912792782</v>
      </c>
      <c r="F22" s="115" t="n">
        <v>0.0856071912792782</v>
      </c>
      <c r="G22" s="115" t="n">
        <v>0.0856071912792782</v>
      </c>
      <c r="H22" s="116" t="n">
        <v>0.0856071912792782</v>
      </c>
      <c r="I22" s="116" t="n">
        <v>0.0846748022917883</v>
      </c>
      <c r="J22" s="116" t="n">
        <v>0.0823880577874561</v>
      </c>
      <c r="K22" s="116" t="n">
        <v>0.0808439543558808</v>
      </c>
      <c r="L22" s="116" t="n">
        <v>0.0811868973279722</v>
      </c>
      <c r="M22" s="116" t="n">
        <v>0.0824103267174499</v>
      </c>
      <c r="N22" s="116" t="n">
        <v>0.0838265153479568</v>
      </c>
      <c r="O22" s="116" t="n">
        <v>0.0837148596264618</v>
      </c>
      <c r="P22" s="116" t="n">
        <v>0.0862038310161449</v>
      </c>
      <c r="Q22" s="116" t="n">
        <v>0.084046651752849</v>
      </c>
      <c r="R22" s="116" t="n">
        <v>0.0849660563089514</v>
      </c>
      <c r="S22" s="116" t="n">
        <v>0.0863651618615855</v>
      </c>
      <c r="T22" s="116" t="n">
        <v>0.0880416043801499</v>
      </c>
      <c r="U22" s="116" t="n">
        <v>0.0880123553840045</v>
      </c>
      <c r="V22" s="116" t="n">
        <v>0.0881949516079061</v>
      </c>
      <c r="W22" s="116" t="n">
        <v>0.0867470717103807</v>
      </c>
      <c r="X22" s="116" t="n">
        <v>0.0866864629508614</v>
      </c>
      <c r="Y22" s="116" t="n">
        <v>0.0890857948379978</v>
      </c>
      <c r="Z22" s="116" t="n">
        <v>0.0897766541284245</v>
      </c>
      <c r="AA22" s="116" t="n">
        <v>0.0908196535428789</v>
      </c>
      <c r="AB22" s="116" t="n">
        <v>0.0651057450277185</v>
      </c>
      <c r="AC22" s="116" t="n">
        <v>0.0667212327323796</v>
      </c>
      <c r="AD22" s="116" t="n">
        <v>0.0891439917688736</v>
      </c>
      <c r="AE22" s="116" t="n">
        <v>0.0939175081446374</v>
      </c>
      <c r="AF22" s="96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5"/>
      <c r="BQ22" s="95"/>
      <c r="BR22" s="95"/>
      <c r="BS22" s="95"/>
      <c r="BT22" s="95"/>
      <c r="BU22" s="95"/>
      <c r="BV22" s="95"/>
      <c r="BW22" s="95"/>
      <c r="BX22" s="95"/>
      <c r="BY22" s="95"/>
      <c r="BZ22" s="95"/>
      <c r="CA22" s="95"/>
      <c r="CB22" s="95"/>
      <c r="CC22" s="95"/>
      <c r="CD22" s="95"/>
      <c r="CE22" s="95"/>
      <c r="CF22" s="95"/>
      <c r="CG22" s="95"/>
      <c r="CH22" s="95"/>
      <c r="CI22" s="95"/>
      <c r="CJ22" s="95"/>
      <c r="CK22" s="95"/>
      <c r="CL22" s="95"/>
      <c r="CM22" s="95"/>
      <c r="CN22" s="95"/>
      <c r="CO22" s="95"/>
      <c r="CP22" s="95"/>
      <c r="CQ22" s="95"/>
      <c r="CR22" s="95"/>
      <c r="CS22" s="95"/>
      <c r="CT22" s="95"/>
      <c r="CU22" s="95"/>
      <c r="CV22" s="95"/>
      <c r="CW22" s="95"/>
      <c r="CX22" s="95"/>
      <c r="CY22" s="95"/>
      <c r="CZ22" s="95"/>
      <c r="DA22" s="95"/>
      <c r="DB22" s="95"/>
      <c r="DC22" s="95"/>
      <c r="DD22" s="95"/>
      <c r="DE22" s="96"/>
    </row>
    <row r="23" s="6" customFormat="true" ht="15" hidden="false" customHeight="false" outlineLevel="0" collapsed="false">
      <c r="A23" s="73" t="s">
        <v>79</v>
      </c>
      <c r="B23" s="119"/>
      <c r="C23" s="115" t="n">
        <v>0</v>
      </c>
      <c r="D23" s="115" t="n">
        <v>0</v>
      </c>
      <c r="E23" s="115" t="n">
        <v>0</v>
      </c>
      <c r="F23" s="115" t="n">
        <v>0</v>
      </c>
      <c r="G23" s="115" t="n">
        <v>0</v>
      </c>
      <c r="H23" s="116" t="n">
        <v>0</v>
      </c>
      <c r="I23" s="116" t="n">
        <v>0</v>
      </c>
      <c r="J23" s="116" t="n">
        <v>0</v>
      </c>
      <c r="K23" s="116" t="n">
        <v>0</v>
      </c>
      <c r="L23" s="116" t="n">
        <v>0</v>
      </c>
      <c r="M23" s="116" t="n">
        <v>0</v>
      </c>
      <c r="N23" s="116" t="n">
        <v>0</v>
      </c>
      <c r="O23" s="116" t="n">
        <v>0</v>
      </c>
      <c r="P23" s="116" t="n">
        <v>0</v>
      </c>
      <c r="Q23" s="116" t="n">
        <v>0</v>
      </c>
      <c r="R23" s="116" t="n">
        <v>0</v>
      </c>
      <c r="S23" s="116" t="n">
        <v>0</v>
      </c>
      <c r="T23" s="116" t="n">
        <v>0</v>
      </c>
      <c r="U23" s="116" t="n">
        <v>0</v>
      </c>
      <c r="V23" s="116" t="n">
        <v>0</v>
      </c>
      <c r="W23" s="116" t="n">
        <v>0</v>
      </c>
      <c r="X23" s="116" t="n">
        <v>0</v>
      </c>
      <c r="Y23" s="116" t="n">
        <v>0</v>
      </c>
      <c r="Z23" s="116" t="n">
        <v>0</v>
      </c>
      <c r="AA23" s="116" t="n">
        <v>0</v>
      </c>
      <c r="AB23" s="116" t="n">
        <v>0</v>
      </c>
      <c r="AC23" s="116" t="n">
        <v>0</v>
      </c>
      <c r="AD23" s="116" t="n">
        <v>0</v>
      </c>
      <c r="AE23" s="116" t="n">
        <v>0</v>
      </c>
      <c r="AF23" s="96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5"/>
      <c r="BQ23" s="95"/>
      <c r="BR23" s="95"/>
      <c r="BS23" s="95"/>
      <c r="BT23" s="95"/>
      <c r="BU23" s="95"/>
      <c r="BV23" s="95"/>
      <c r="BW23" s="95"/>
      <c r="BX23" s="95"/>
      <c r="BY23" s="95"/>
      <c r="BZ23" s="95"/>
      <c r="CA23" s="95"/>
      <c r="CB23" s="95"/>
      <c r="CC23" s="95"/>
      <c r="CD23" s="95"/>
      <c r="CE23" s="95"/>
      <c r="CF23" s="95"/>
      <c r="CG23" s="95"/>
      <c r="CH23" s="95"/>
      <c r="CI23" s="95"/>
      <c r="CJ23" s="95"/>
      <c r="CK23" s="95"/>
      <c r="CL23" s="95"/>
      <c r="CM23" s="95"/>
      <c r="CN23" s="95"/>
      <c r="CO23" s="95"/>
      <c r="CP23" s="95"/>
      <c r="CQ23" s="95"/>
      <c r="CR23" s="95"/>
      <c r="CS23" s="95"/>
      <c r="CT23" s="95"/>
      <c r="CU23" s="95"/>
      <c r="CV23" s="95"/>
      <c r="CW23" s="95"/>
      <c r="CX23" s="95"/>
      <c r="CY23" s="95"/>
      <c r="CZ23" s="95"/>
      <c r="DA23" s="95"/>
      <c r="DB23" s="95"/>
      <c r="DC23" s="95"/>
      <c r="DD23" s="95"/>
      <c r="DE23" s="96"/>
    </row>
    <row r="24" s="6" customFormat="true" ht="15" hidden="false" customHeight="false" outlineLevel="0" collapsed="false">
      <c r="A24" s="73" t="s">
        <v>80</v>
      </c>
      <c r="B24" s="119"/>
      <c r="C24" s="115" t="n">
        <v>0.0173446243715381</v>
      </c>
      <c r="D24" s="115" t="n">
        <v>0.0173446243715381</v>
      </c>
      <c r="E24" s="115" t="n">
        <v>0.0173446243715381</v>
      </c>
      <c r="F24" s="115" t="n">
        <v>0.0173446243715381</v>
      </c>
      <c r="G24" s="115" t="n">
        <v>0.0173446243715381</v>
      </c>
      <c r="H24" s="116" t="n">
        <v>0.0173446243715381</v>
      </c>
      <c r="I24" s="116" t="n">
        <v>0.0164700346218267</v>
      </c>
      <c r="J24" s="116" t="n">
        <v>0.0164950516568181</v>
      </c>
      <c r="K24" s="116" t="n">
        <v>0.0168011195769296</v>
      </c>
      <c r="L24" s="116" t="n">
        <v>0.0172584764794416</v>
      </c>
      <c r="M24" s="116" t="n">
        <v>0.0179282911335511</v>
      </c>
      <c r="N24" s="116" t="n">
        <v>0.0184564614075913</v>
      </c>
      <c r="O24" s="116" t="n">
        <v>0.0194802807637461</v>
      </c>
      <c r="P24" s="116" t="n">
        <v>0.0186015440554894</v>
      </c>
      <c r="Q24" s="116" t="n">
        <v>0.0180232766416183</v>
      </c>
      <c r="R24" s="116" t="n">
        <v>0.0187139719813271</v>
      </c>
      <c r="S24" s="116" t="n">
        <v>0.0193242783073409</v>
      </c>
      <c r="T24" s="116" t="n">
        <v>0.018372216725703</v>
      </c>
      <c r="U24" s="116" t="n">
        <v>0.0173097667530815</v>
      </c>
      <c r="V24" s="116" t="n">
        <v>0.0171482596850381</v>
      </c>
      <c r="W24" s="116" t="n">
        <v>0.0176290545331154</v>
      </c>
      <c r="X24" s="116" t="n">
        <v>0.01837129672968</v>
      </c>
      <c r="Y24" s="116" t="n">
        <v>0.019385202617566</v>
      </c>
      <c r="Z24" s="116" t="n">
        <v>0.0203805353435623</v>
      </c>
      <c r="AA24" s="116" t="n">
        <v>0.0205853849872662</v>
      </c>
      <c r="AB24" s="116" t="n">
        <v>0.0109524760989591</v>
      </c>
      <c r="AC24" s="116" t="n">
        <v>0.0146282434472848</v>
      </c>
      <c r="AD24" s="116" t="n">
        <v>0.0207449112933207</v>
      </c>
      <c r="AE24" s="116" t="n">
        <v>0.0209740836879262</v>
      </c>
      <c r="AF24" s="96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6"/>
    </row>
    <row r="25" s="6" customFormat="true" ht="15" hidden="false" customHeight="false" outlineLevel="0" collapsed="false">
      <c r="A25" s="120" t="s">
        <v>169</v>
      </c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</row>
    <row r="26" s="6" customFormat="true" ht="15" hidden="false" customHeight="false" outlineLevel="0" collapsed="false">
      <c r="C26" s="70" t="n">
        <v>1995</v>
      </c>
      <c r="D26" s="70" t="n">
        <v>1996</v>
      </c>
      <c r="E26" s="70" t="n">
        <v>1997</v>
      </c>
      <c r="F26" s="70" t="n">
        <v>1998</v>
      </c>
      <c r="G26" s="70" t="n">
        <v>1999</v>
      </c>
      <c r="H26" s="70" t="n">
        <v>2000</v>
      </c>
      <c r="I26" s="70" t="n">
        <v>2001</v>
      </c>
      <c r="J26" s="70" t="n">
        <v>2002</v>
      </c>
      <c r="K26" s="70" t="n">
        <v>2003</v>
      </c>
      <c r="L26" s="70" t="n">
        <v>2004</v>
      </c>
      <c r="M26" s="70" t="n">
        <v>2005</v>
      </c>
      <c r="N26" s="70" t="n">
        <v>2006</v>
      </c>
      <c r="O26" s="70" t="n">
        <v>2007</v>
      </c>
      <c r="P26" s="70" t="n">
        <v>2008</v>
      </c>
      <c r="Q26" s="70" t="n">
        <v>2009</v>
      </c>
      <c r="R26" s="70" t="n">
        <v>2010</v>
      </c>
      <c r="S26" s="70" t="n">
        <v>2011</v>
      </c>
      <c r="T26" s="70" t="n">
        <v>2012</v>
      </c>
      <c r="U26" s="70" t="n">
        <v>2013</v>
      </c>
      <c r="V26" s="70" t="n">
        <v>2014</v>
      </c>
      <c r="W26" s="114" t="n">
        <v>2015</v>
      </c>
      <c r="X26" s="70" t="n">
        <v>2016</v>
      </c>
      <c r="Y26" s="70" t="n">
        <v>2017</v>
      </c>
      <c r="Z26" s="70" t="n">
        <v>2018</v>
      </c>
      <c r="AA26" s="114" t="n">
        <v>2019</v>
      </c>
      <c r="AB26" s="70" t="n">
        <v>2020</v>
      </c>
      <c r="AC26" s="70" t="n">
        <v>2021</v>
      </c>
      <c r="AD26" s="70" t="n">
        <v>2022</v>
      </c>
      <c r="AE26" s="114" t="n">
        <v>2023</v>
      </c>
    </row>
    <row r="27" s="6" customFormat="true" ht="15" hidden="false" customHeight="false" outlineLevel="0" collapsed="false">
      <c r="A27" s="80" t="s">
        <v>16</v>
      </c>
      <c r="B27" s="71" t="s">
        <v>12</v>
      </c>
      <c r="C27" s="115" t="n">
        <v>0.994880091922688</v>
      </c>
      <c r="D27" s="115" t="n">
        <v>0.994880091922688</v>
      </c>
      <c r="E27" s="115" t="n">
        <v>0.994880091922688</v>
      </c>
      <c r="F27" s="115" t="n">
        <v>0.994880091922688</v>
      </c>
      <c r="G27" s="115" t="n">
        <v>0.994880091922688</v>
      </c>
      <c r="H27" s="116" t="n">
        <v>0.994880091922688</v>
      </c>
      <c r="I27" s="116" t="n">
        <v>0.992782353556294</v>
      </c>
      <c r="J27" s="116" t="n">
        <v>0.991239266234697</v>
      </c>
      <c r="K27" s="116" t="n">
        <v>0.989708534164642</v>
      </c>
      <c r="L27" s="116" t="n">
        <v>0.988344385347686</v>
      </c>
      <c r="M27" s="116" t="n">
        <v>0.988966313146717</v>
      </c>
      <c r="N27" s="116" t="n">
        <v>0.986604989496679</v>
      </c>
      <c r="O27" s="116" t="n">
        <v>0.984783840839336</v>
      </c>
      <c r="P27" s="116" t="n">
        <v>0.981926753030277</v>
      </c>
      <c r="Q27" s="116" t="n">
        <v>0.980678011053149</v>
      </c>
      <c r="R27" s="116" t="n">
        <v>0.978341131049556</v>
      </c>
      <c r="S27" s="116" t="n">
        <v>0.967296720916259</v>
      </c>
      <c r="T27" s="116" t="n">
        <v>0.961595722172991</v>
      </c>
      <c r="U27" s="116" t="n">
        <v>0.956144574808861</v>
      </c>
      <c r="V27" s="116" t="n">
        <v>0.956512090933288</v>
      </c>
      <c r="W27" s="116" t="n">
        <v>0.954376112456741</v>
      </c>
      <c r="X27" s="116" t="n">
        <v>0.953974174737281</v>
      </c>
      <c r="Y27" s="116" t="n">
        <v>0.950870122999766</v>
      </c>
      <c r="Z27" s="116" t="n">
        <v>0.946230954859852</v>
      </c>
      <c r="AA27" s="116" t="n">
        <v>0.941508447461001</v>
      </c>
      <c r="AB27" s="116" t="n">
        <v>0.931787357663389</v>
      </c>
      <c r="AC27" s="116" t="n">
        <v>0.914194770712639</v>
      </c>
      <c r="AD27" s="116" t="n">
        <v>0.908339229213178</v>
      </c>
      <c r="AE27" s="116" t="n">
        <v>0.897879222707952</v>
      </c>
    </row>
    <row r="28" s="6" customFormat="true" ht="15" hidden="false" customHeight="false" outlineLevel="0" collapsed="false">
      <c r="A28" s="80"/>
      <c r="B28" s="71" t="s">
        <v>13</v>
      </c>
      <c r="C28" s="115" t="n">
        <v>0.00347141687915184</v>
      </c>
      <c r="D28" s="115" t="n">
        <v>0.00347141687915184</v>
      </c>
      <c r="E28" s="115" t="n">
        <v>0.00347141687915184</v>
      </c>
      <c r="F28" s="115" t="n">
        <v>0.00347141687915184</v>
      </c>
      <c r="G28" s="115" t="n">
        <v>0.00347141687915184</v>
      </c>
      <c r="H28" s="116" t="n">
        <v>0.00347141687915184</v>
      </c>
      <c r="I28" s="116" t="n">
        <v>0.00552229327908642</v>
      </c>
      <c r="J28" s="116" t="n">
        <v>0.00702634216698204</v>
      </c>
      <c r="K28" s="116" t="n">
        <v>0.0086323961061251</v>
      </c>
      <c r="L28" s="116" t="n">
        <v>0.00998393476605076</v>
      </c>
      <c r="M28" s="116" t="n">
        <v>0.00901059415667936</v>
      </c>
      <c r="N28" s="116" t="n">
        <v>0.0114007145890172</v>
      </c>
      <c r="O28" s="116" t="n">
        <v>0.0132392528010266</v>
      </c>
      <c r="P28" s="116" t="n">
        <v>0.0160896868928674</v>
      </c>
      <c r="Q28" s="116" t="n">
        <v>0.0172804671055803</v>
      </c>
      <c r="R28" s="116" t="n">
        <v>0.0192887443336668</v>
      </c>
      <c r="S28" s="116" t="n">
        <v>0.0302731865839505</v>
      </c>
      <c r="T28" s="116" t="n">
        <v>0.035940651370572</v>
      </c>
      <c r="U28" s="116" t="n">
        <v>0.0397526411432756</v>
      </c>
      <c r="V28" s="116" t="n">
        <v>0.0391945023422289</v>
      </c>
      <c r="W28" s="116" t="n">
        <v>0.0411428704345758</v>
      </c>
      <c r="X28" s="116" t="n">
        <v>0.0412879917047394</v>
      </c>
      <c r="Y28" s="116" t="n">
        <v>0.0439886177484784</v>
      </c>
      <c r="Z28" s="116" t="n">
        <v>0.0482287115373096</v>
      </c>
      <c r="AA28" s="116" t="n">
        <v>0.0517664809161987</v>
      </c>
      <c r="AB28" s="116" t="n">
        <v>0.0598121006915169</v>
      </c>
      <c r="AC28" s="116" t="n">
        <v>0.0747277593593676</v>
      </c>
      <c r="AD28" s="116" t="n">
        <v>0.0782673734150341</v>
      </c>
      <c r="AE28" s="116" t="n">
        <v>0.084611958637931</v>
      </c>
    </row>
    <row r="29" s="6" customFormat="true" ht="15" hidden="false" customHeight="false" outlineLevel="0" collapsed="false">
      <c r="A29" s="80"/>
      <c r="B29" s="71" t="s">
        <v>14</v>
      </c>
      <c r="C29" s="115" t="n">
        <v>0.00164849119816025</v>
      </c>
      <c r="D29" s="115" t="n">
        <v>0.00164849119816025</v>
      </c>
      <c r="E29" s="115" t="n">
        <v>0.00164849119816025</v>
      </c>
      <c r="F29" s="115" t="n">
        <v>0.00164849119816025</v>
      </c>
      <c r="G29" s="115" t="n">
        <v>0.00164849119816025</v>
      </c>
      <c r="H29" s="116" t="n">
        <v>0.00164849119816025</v>
      </c>
      <c r="I29" s="116" t="n">
        <v>0.00169535316461919</v>
      </c>
      <c r="J29" s="116" t="n">
        <v>0.00173439159832103</v>
      </c>
      <c r="K29" s="116" t="n">
        <v>0.00165906972923333</v>
      </c>
      <c r="L29" s="116" t="n">
        <v>0.00167167988626315</v>
      </c>
      <c r="M29" s="116" t="n">
        <v>0.00202309269660343</v>
      </c>
      <c r="N29" s="116" t="n">
        <v>0.00199429591430369</v>
      </c>
      <c r="O29" s="116" t="n">
        <v>0.00197690635963732</v>
      </c>
      <c r="P29" s="116" t="n">
        <v>0.0019835600768559</v>
      </c>
      <c r="Q29" s="116" t="n">
        <v>0.00204152184127034</v>
      </c>
      <c r="R29" s="116" t="n">
        <v>0.00237012461677728</v>
      </c>
      <c r="S29" s="116" t="n">
        <v>0.00243009249979059</v>
      </c>
      <c r="T29" s="116" t="n">
        <v>0.00246362645643732</v>
      </c>
      <c r="U29" s="116" t="n">
        <v>0.00410278404786378</v>
      </c>
      <c r="V29" s="116" t="n">
        <v>0.00429340672448307</v>
      </c>
      <c r="W29" s="116" t="n">
        <v>0.00448101710868356</v>
      </c>
      <c r="X29" s="116" t="n">
        <v>0.00473783355797978</v>
      </c>
      <c r="Y29" s="116" t="n">
        <v>0.00514125925175623</v>
      </c>
      <c r="Z29" s="116" t="n">
        <v>0.00554033360283837</v>
      </c>
      <c r="AA29" s="116" t="n">
        <v>0.00672507162280012</v>
      </c>
      <c r="AB29" s="116" t="n">
        <v>0.00840054164509415</v>
      </c>
      <c r="AC29" s="116" t="n">
        <v>0.0110774699279929</v>
      </c>
      <c r="AD29" s="116" t="n">
        <v>0.0133933973717878</v>
      </c>
      <c r="AE29" s="116" t="n">
        <v>0.0175088186541171</v>
      </c>
    </row>
    <row r="30" s="6" customFormat="true" ht="15" hidden="false" customHeight="false" outlineLevel="0" collapsed="false">
      <c r="A30" s="80"/>
      <c r="B30" s="71" t="s">
        <v>88</v>
      </c>
      <c r="C30" s="115" t="n">
        <v>0</v>
      </c>
      <c r="D30" s="115" t="n">
        <v>0</v>
      </c>
      <c r="E30" s="115" t="n">
        <v>0</v>
      </c>
      <c r="F30" s="115" t="n">
        <v>0</v>
      </c>
      <c r="G30" s="115" t="n">
        <v>0</v>
      </c>
      <c r="H30" s="116" t="n">
        <v>0</v>
      </c>
      <c r="I30" s="116" t="n">
        <v>0</v>
      </c>
      <c r="J30" s="116" t="n">
        <v>0</v>
      </c>
      <c r="K30" s="116" t="n">
        <v>0</v>
      </c>
      <c r="L30" s="116" t="n">
        <v>0</v>
      </c>
      <c r="M30" s="116" t="n">
        <v>0</v>
      </c>
      <c r="N30" s="116" t="n">
        <v>0</v>
      </c>
      <c r="O30" s="116" t="n">
        <v>0</v>
      </c>
      <c r="P30" s="116" t="n">
        <v>0</v>
      </c>
      <c r="Q30" s="116" t="n">
        <v>0</v>
      </c>
      <c r="R30" s="116" t="n">
        <v>0</v>
      </c>
      <c r="S30" s="116" t="n">
        <v>0</v>
      </c>
      <c r="T30" s="116" t="n">
        <v>0</v>
      </c>
      <c r="U30" s="116" t="n">
        <v>0</v>
      </c>
      <c r="V30" s="116" t="n">
        <v>0</v>
      </c>
      <c r="W30" s="116" t="n">
        <v>0</v>
      </c>
      <c r="X30" s="116" t="n">
        <v>0</v>
      </c>
      <c r="Y30" s="116" t="n">
        <v>0</v>
      </c>
      <c r="Z30" s="116" t="n">
        <v>0</v>
      </c>
      <c r="AA30" s="116" t="n">
        <v>0</v>
      </c>
      <c r="AB30" s="116" t="n">
        <v>0</v>
      </c>
      <c r="AC30" s="116" t="n">
        <v>0</v>
      </c>
      <c r="AD30" s="116" t="n">
        <v>0</v>
      </c>
      <c r="AE30" s="116" t="n">
        <v>0</v>
      </c>
    </row>
    <row r="31" s="6" customFormat="true" ht="15" hidden="false" customHeight="false" outlineLevel="0" collapsed="false">
      <c r="A31" s="80" t="s">
        <v>21</v>
      </c>
      <c r="B31" s="71" t="s">
        <v>12</v>
      </c>
      <c r="C31" s="115" t="n">
        <v>0.99797414078903</v>
      </c>
      <c r="D31" s="115" t="n">
        <v>0.99797414078903</v>
      </c>
      <c r="E31" s="115" t="n">
        <v>0.99797414078903</v>
      </c>
      <c r="F31" s="115" t="n">
        <v>0.99797414078903</v>
      </c>
      <c r="G31" s="115" t="n">
        <v>0.99797414078903</v>
      </c>
      <c r="H31" s="116" t="n">
        <v>0.99797414078903</v>
      </c>
      <c r="I31" s="116" t="n">
        <v>0.997721879475923</v>
      </c>
      <c r="J31" s="116" t="n">
        <v>0.997810270292161</v>
      </c>
      <c r="K31" s="116" t="n">
        <v>0.997802852293874</v>
      </c>
      <c r="L31" s="116" t="n">
        <v>0.997841067876321</v>
      </c>
      <c r="M31" s="116" t="n">
        <v>0.997322868852301</v>
      </c>
      <c r="N31" s="116" t="n">
        <v>0.996995666608567</v>
      </c>
      <c r="O31" s="116" t="n">
        <v>0.996684032093729</v>
      </c>
      <c r="P31" s="116" t="n">
        <v>0.996531712127383</v>
      </c>
      <c r="Q31" s="116" t="n">
        <v>0.995914211825393</v>
      </c>
      <c r="R31" s="116" t="n">
        <v>0.995304310183009</v>
      </c>
      <c r="S31" s="116" t="n">
        <v>0.995254522121993</v>
      </c>
      <c r="T31" s="116" t="n">
        <v>0.994995273525174</v>
      </c>
      <c r="U31" s="116" t="n">
        <v>0.994543063637142</v>
      </c>
      <c r="V31" s="116" t="n">
        <v>0.993904875898609</v>
      </c>
      <c r="W31" s="116" t="n">
        <v>0.993643247187445</v>
      </c>
      <c r="X31" s="116" t="n">
        <v>0.993448667110116</v>
      </c>
      <c r="Y31" s="116" t="n">
        <v>0.993572632322144</v>
      </c>
      <c r="Z31" s="116" t="n">
        <v>0.993265643159311</v>
      </c>
      <c r="AA31" s="116" t="n">
        <v>0.991799874096523</v>
      </c>
      <c r="AB31" s="116" t="n">
        <v>0.98990642362504</v>
      </c>
      <c r="AC31" s="116" t="n">
        <v>0.98709815809827</v>
      </c>
      <c r="AD31" s="116" t="n">
        <v>0.985151343648749</v>
      </c>
      <c r="AE31" s="116" t="n">
        <v>0.982269154777755</v>
      </c>
    </row>
    <row r="32" s="6" customFormat="true" ht="15" hidden="false" customHeight="false" outlineLevel="0" collapsed="false">
      <c r="A32" s="80"/>
      <c r="B32" s="71" t="s">
        <v>13</v>
      </c>
      <c r="C32" s="115" t="n">
        <v>0.00202585921097009</v>
      </c>
      <c r="D32" s="115" t="n">
        <v>0.00202585921097009</v>
      </c>
      <c r="E32" s="115" t="n">
        <v>0.00202585921097009</v>
      </c>
      <c r="F32" s="115" t="n">
        <v>0.00202585921097009</v>
      </c>
      <c r="G32" s="115" t="n">
        <v>0.00202585921097009</v>
      </c>
      <c r="H32" s="116" t="n">
        <v>0.00202585921097009</v>
      </c>
      <c r="I32" s="116" t="n">
        <v>0.0022781205240767</v>
      </c>
      <c r="J32" s="116" t="n">
        <v>0.00218972970783921</v>
      </c>
      <c r="K32" s="116" t="n">
        <v>0.00219714088367278</v>
      </c>
      <c r="L32" s="116" t="n">
        <v>0.00215892232643069</v>
      </c>
      <c r="M32" s="116" t="n">
        <v>0.00267711939948253</v>
      </c>
      <c r="N32" s="116" t="n">
        <v>0.00300427667456111</v>
      </c>
      <c r="O32" s="116" t="n">
        <v>0.00331588352896864</v>
      </c>
      <c r="P32" s="116" t="n">
        <v>0.0034629815007621</v>
      </c>
      <c r="Q32" s="116" t="n">
        <v>0.00407945525893843</v>
      </c>
      <c r="R32" s="116" t="n">
        <v>0.00468133890076635</v>
      </c>
      <c r="S32" s="116" t="n">
        <v>0.00471275881373046</v>
      </c>
      <c r="T32" s="116" t="n">
        <v>0.00494136190734002</v>
      </c>
      <c r="U32" s="116" t="n">
        <v>0.00528947813213136</v>
      </c>
      <c r="V32" s="116" t="n">
        <v>0.00577931681734208</v>
      </c>
      <c r="W32" s="116" t="n">
        <v>0.00582549805296674</v>
      </c>
      <c r="X32" s="116" t="n">
        <v>0.00588898386386164</v>
      </c>
      <c r="Y32" s="116" t="n">
        <v>0.00553424068040956</v>
      </c>
      <c r="Z32" s="116" t="n">
        <v>0.0054373920273601</v>
      </c>
      <c r="AA32" s="116" t="n">
        <v>0.00628041959627811</v>
      </c>
      <c r="AB32" s="116" t="n">
        <v>0.00639058112952814</v>
      </c>
      <c r="AC32" s="116" t="n">
        <v>0.00620789035451653</v>
      </c>
      <c r="AD32" s="116" t="n">
        <v>0.00526126140898174</v>
      </c>
      <c r="AE32" s="116" t="n">
        <v>0.00513541285172562</v>
      </c>
    </row>
    <row r="33" s="6" customFormat="true" ht="15" hidden="false" customHeight="false" outlineLevel="0" collapsed="false">
      <c r="A33" s="80"/>
      <c r="B33" s="71" t="s">
        <v>14</v>
      </c>
      <c r="C33" s="115" t="n">
        <v>0</v>
      </c>
      <c r="D33" s="115" t="n">
        <v>0</v>
      </c>
      <c r="E33" s="115" t="n">
        <v>0</v>
      </c>
      <c r="F33" s="115" t="n">
        <v>0</v>
      </c>
      <c r="G33" s="115" t="n">
        <v>0</v>
      </c>
      <c r="H33" s="116" t="n">
        <v>0</v>
      </c>
      <c r="I33" s="116" t="n">
        <v>0</v>
      </c>
      <c r="J33" s="116" t="n">
        <v>0</v>
      </c>
      <c r="K33" s="117" t="n">
        <v>6.82245316719462E-009</v>
      </c>
      <c r="L33" s="117" t="n">
        <v>9.79724842396262E-009</v>
      </c>
      <c r="M33" s="117" t="n">
        <v>1.17482164006851E-008</v>
      </c>
      <c r="N33" s="117" t="n">
        <v>5.67168716982729E-008</v>
      </c>
      <c r="O33" s="117" t="n">
        <v>8.43773022386544E-008</v>
      </c>
      <c r="P33" s="117" t="n">
        <v>4.94780811473142E-006</v>
      </c>
      <c r="Q33" s="117" t="n">
        <v>5.90339982547157E-006</v>
      </c>
      <c r="R33" s="117" t="n">
        <v>1.31089448674047E-005</v>
      </c>
      <c r="S33" s="116" t="n">
        <v>3.04904018023577E-005</v>
      </c>
      <c r="T33" s="116" t="n">
        <v>4.32763874539441E-005</v>
      </c>
      <c r="U33" s="116" t="n">
        <v>6.89234616553764E-005</v>
      </c>
      <c r="V33" s="116" t="n">
        <v>0.000101829613968236</v>
      </c>
      <c r="W33" s="116" t="n">
        <v>0.000154452600803306</v>
      </c>
      <c r="X33" s="116" t="n">
        <v>0.000216540915422</v>
      </c>
      <c r="Y33" s="116" t="n">
        <v>0.000314857591372706</v>
      </c>
      <c r="Z33" s="116" t="n">
        <v>0.000496116647100005</v>
      </c>
      <c r="AA33" s="116" t="n">
        <v>0.0008524688231947</v>
      </c>
      <c r="AB33" s="116" t="n">
        <v>0.0016579395527191</v>
      </c>
      <c r="AC33" s="116" t="n">
        <v>0.00309256250154267</v>
      </c>
      <c r="AD33" s="116" t="n">
        <v>0.00445469881892362</v>
      </c>
      <c r="AE33" s="116" t="n">
        <v>0.00621747210093103</v>
      </c>
    </row>
    <row r="34" s="6" customFormat="true" ht="15" hidden="false" customHeight="false" outlineLevel="0" collapsed="false">
      <c r="A34" s="80"/>
      <c r="B34" s="71" t="s">
        <v>88</v>
      </c>
      <c r="C34" s="115" t="n">
        <v>0</v>
      </c>
      <c r="D34" s="115" t="n">
        <v>0</v>
      </c>
      <c r="E34" s="115" t="n">
        <v>0</v>
      </c>
      <c r="F34" s="115" t="n">
        <v>0</v>
      </c>
      <c r="G34" s="115" t="n">
        <v>0</v>
      </c>
      <c r="H34" s="116" t="n">
        <v>0</v>
      </c>
      <c r="I34" s="116" t="n">
        <v>0</v>
      </c>
      <c r="J34" s="116" t="n">
        <v>0</v>
      </c>
      <c r="K34" s="116" t="n">
        <v>0</v>
      </c>
      <c r="L34" s="116" t="n">
        <v>0</v>
      </c>
      <c r="M34" s="116" t="n">
        <v>0</v>
      </c>
      <c r="N34" s="116" t="n">
        <v>0</v>
      </c>
      <c r="O34" s="116" t="n">
        <v>0</v>
      </c>
      <c r="P34" s="117" t="n">
        <v>3.58563740013115E-007</v>
      </c>
      <c r="Q34" s="117" t="n">
        <v>4.29515843482175E-007</v>
      </c>
      <c r="R34" s="117" t="n">
        <v>1.2419713574623E-006</v>
      </c>
      <c r="S34" s="117" t="n">
        <v>2.22866247446401E-006</v>
      </c>
      <c r="T34" s="117" t="n">
        <v>2.00881800321692E-005</v>
      </c>
      <c r="U34" s="116" t="n">
        <v>9.8534769071512E-005</v>
      </c>
      <c r="V34" s="116" t="n">
        <v>0.00021397767008073</v>
      </c>
      <c r="W34" s="116" t="n">
        <v>0.000376802158785239</v>
      </c>
      <c r="X34" s="116" t="n">
        <v>0.000445808110600599</v>
      </c>
      <c r="Y34" s="116" t="n">
        <v>0.000578269406074221</v>
      </c>
      <c r="Z34" s="116" t="n">
        <v>0.000800848166228649</v>
      </c>
      <c r="AA34" s="116" t="n">
        <v>0.00106723748400421</v>
      </c>
      <c r="AB34" s="116" t="n">
        <v>0.0020450556927123</v>
      </c>
      <c r="AC34" s="116" t="n">
        <v>0.00360138904567068</v>
      </c>
      <c r="AD34" s="116" t="n">
        <v>0.00513269612334605</v>
      </c>
      <c r="AE34" s="116" t="n">
        <v>0.00637796026958846</v>
      </c>
    </row>
    <row r="35" s="6" customFormat="true" ht="15" hidden="false" customHeight="false" outlineLevel="0" collapsed="false">
      <c r="A35" s="84" t="s">
        <v>17</v>
      </c>
      <c r="B35" s="71" t="s">
        <v>12</v>
      </c>
      <c r="C35" s="115" t="n">
        <v>0.383319501505669</v>
      </c>
      <c r="D35" s="115" t="n">
        <v>0.383319501505669</v>
      </c>
      <c r="E35" s="115" t="n">
        <v>0.383319501505669</v>
      </c>
      <c r="F35" s="115" t="n">
        <v>0.383319501505669</v>
      </c>
      <c r="G35" s="115" t="n">
        <v>0.383319501505669</v>
      </c>
      <c r="H35" s="116" t="n">
        <v>0.383319501505669</v>
      </c>
      <c r="I35" s="116" t="n">
        <v>0.354415424449446</v>
      </c>
      <c r="J35" s="116" t="n">
        <v>0.353595749642053</v>
      </c>
      <c r="K35" s="116" t="n">
        <v>0.369773289224042</v>
      </c>
      <c r="L35" s="116" t="n">
        <v>0.372517959806258</v>
      </c>
      <c r="M35" s="116" t="n">
        <v>0.355526023499292</v>
      </c>
      <c r="N35" s="116" t="n">
        <v>0.342696685026514</v>
      </c>
      <c r="O35" s="116" t="n">
        <v>0.360044801965925</v>
      </c>
      <c r="P35" s="116" t="n">
        <v>0.349933845801219</v>
      </c>
      <c r="Q35" s="116" t="n">
        <v>0.317592890819222</v>
      </c>
      <c r="R35" s="116" t="n">
        <v>0.307161646867379</v>
      </c>
      <c r="S35" s="116" t="n">
        <v>0.307022594382359</v>
      </c>
      <c r="T35" s="116" t="n">
        <v>0.313345555733158</v>
      </c>
      <c r="U35" s="116" t="n">
        <v>0.238192329838068</v>
      </c>
      <c r="V35" s="116" t="n">
        <v>0.233661320032055</v>
      </c>
      <c r="W35" s="116" t="n">
        <v>0.224515670385149</v>
      </c>
      <c r="X35" s="116" t="n">
        <v>0.217785134320761</v>
      </c>
      <c r="Y35" s="116" t="n">
        <v>0.210897656604779</v>
      </c>
      <c r="Z35" s="116" t="n">
        <v>0.198950634183937</v>
      </c>
      <c r="AA35" s="116" t="n">
        <v>0.198533077676442</v>
      </c>
      <c r="AB35" s="116" t="n">
        <v>0.195591723094033</v>
      </c>
      <c r="AC35" s="116" t="n">
        <v>0.20568720630873</v>
      </c>
      <c r="AD35" s="116" t="n">
        <v>0.171911148036714</v>
      </c>
      <c r="AE35" s="116" t="n">
        <v>0.172239491326785</v>
      </c>
    </row>
    <row r="36" s="6" customFormat="true" ht="15" hidden="false" customHeight="false" outlineLevel="0" collapsed="false">
      <c r="A36" s="84"/>
      <c r="B36" s="71" t="s">
        <v>13</v>
      </c>
      <c r="C36" s="115" t="n">
        <v>0</v>
      </c>
      <c r="D36" s="115" t="n">
        <v>0</v>
      </c>
      <c r="E36" s="115" t="n">
        <v>0</v>
      </c>
      <c r="F36" s="115" t="n">
        <v>0</v>
      </c>
      <c r="G36" s="115" t="n">
        <v>0</v>
      </c>
      <c r="H36" s="116" t="n">
        <v>0</v>
      </c>
      <c r="I36" s="116" t="n">
        <v>0</v>
      </c>
      <c r="J36" s="116" t="n">
        <v>0</v>
      </c>
      <c r="K36" s="116" t="n">
        <v>0</v>
      </c>
      <c r="L36" s="116" t="n">
        <v>0</v>
      </c>
      <c r="M36" s="116" t="n">
        <v>0</v>
      </c>
      <c r="N36" s="116" t="n">
        <v>0</v>
      </c>
      <c r="O36" s="116" t="n">
        <v>0</v>
      </c>
      <c r="P36" s="116" t="n">
        <v>0</v>
      </c>
      <c r="Q36" s="116" t="n">
        <v>0</v>
      </c>
      <c r="R36" s="116" t="n">
        <v>0</v>
      </c>
      <c r="S36" s="116" t="n">
        <v>0</v>
      </c>
      <c r="T36" s="116" t="n">
        <v>0</v>
      </c>
      <c r="U36" s="116" t="n">
        <v>0</v>
      </c>
      <c r="V36" s="116" t="n">
        <v>0</v>
      </c>
      <c r="W36" s="116" t="n">
        <v>0</v>
      </c>
      <c r="X36" s="116" t="n">
        <v>0</v>
      </c>
      <c r="Y36" s="116" t="n">
        <v>0</v>
      </c>
      <c r="Z36" s="116" t="n">
        <v>0</v>
      </c>
      <c r="AA36" s="116" t="n">
        <v>0</v>
      </c>
      <c r="AB36" s="116" t="n">
        <v>0</v>
      </c>
      <c r="AC36" s="116" t="n">
        <v>0</v>
      </c>
      <c r="AD36" s="116" t="n">
        <v>0</v>
      </c>
      <c r="AE36" s="116" t="n">
        <v>0</v>
      </c>
    </row>
    <row r="37" s="6" customFormat="true" ht="15" hidden="false" customHeight="false" outlineLevel="0" collapsed="false">
      <c r="A37" s="84"/>
      <c r="B37" s="71" t="s">
        <v>14</v>
      </c>
      <c r="C37" s="115" t="n">
        <v>0.616680498494331</v>
      </c>
      <c r="D37" s="115" t="n">
        <v>0.616680498494331</v>
      </c>
      <c r="E37" s="115" t="n">
        <v>0.616680498494331</v>
      </c>
      <c r="F37" s="115" t="n">
        <v>0.616680498494331</v>
      </c>
      <c r="G37" s="115" t="n">
        <v>0.616680498494331</v>
      </c>
      <c r="H37" s="116" t="n">
        <v>0.616680498494331</v>
      </c>
      <c r="I37" s="116" t="n">
        <v>0.645584575550554</v>
      </c>
      <c r="J37" s="116" t="n">
        <v>0.646404250357947</v>
      </c>
      <c r="K37" s="116" t="n">
        <v>0.630226710775958</v>
      </c>
      <c r="L37" s="116" t="n">
        <v>0.627482040193742</v>
      </c>
      <c r="M37" s="116" t="n">
        <v>0.644473976500708</v>
      </c>
      <c r="N37" s="116" t="n">
        <v>0.657303314973486</v>
      </c>
      <c r="O37" s="116" t="n">
        <v>0.639955198034075</v>
      </c>
      <c r="P37" s="116" t="n">
        <v>0.650066154198781</v>
      </c>
      <c r="Q37" s="116" t="n">
        <v>0.682407109180778</v>
      </c>
      <c r="R37" s="116" t="n">
        <v>0.692838353132622</v>
      </c>
      <c r="S37" s="116" t="n">
        <v>0.692977405617641</v>
      </c>
      <c r="T37" s="116" t="n">
        <v>0.686654444266842</v>
      </c>
      <c r="U37" s="116" t="n">
        <v>0.761807670161932</v>
      </c>
      <c r="V37" s="116" t="n">
        <v>0.766338679967945</v>
      </c>
      <c r="W37" s="116" t="n">
        <v>0.775484329614851</v>
      </c>
      <c r="X37" s="116" t="n">
        <v>0.782214865679239</v>
      </c>
      <c r="Y37" s="116" t="n">
        <v>0.789102343395221</v>
      </c>
      <c r="Z37" s="116" t="n">
        <v>0.801049365816063</v>
      </c>
      <c r="AA37" s="116" t="n">
        <v>0.801466922323558</v>
      </c>
      <c r="AB37" s="116" t="n">
        <v>0.804408276905967</v>
      </c>
      <c r="AC37" s="116" t="n">
        <v>0.79431279369127</v>
      </c>
      <c r="AD37" s="116" t="n">
        <v>0.828088851963286</v>
      </c>
      <c r="AE37" s="116" t="n">
        <v>0.827760508673215</v>
      </c>
    </row>
    <row r="38" s="6" customFormat="true" ht="15" hidden="false" customHeight="false" outlineLevel="0" collapsed="false">
      <c r="A38" s="84"/>
      <c r="B38" s="71" t="s">
        <v>88</v>
      </c>
      <c r="C38" s="115" t="n">
        <v>0</v>
      </c>
      <c r="D38" s="115" t="n">
        <v>0</v>
      </c>
      <c r="E38" s="115" t="n">
        <v>0</v>
      </c>
      <c r="F38" s="115" t="n">
        <v>0</v>
      </c>
      <c r="G38" s="115" t="n">
        <v>0</v>
      </c>
      <c r="H38" s="116" t="n">
        <v>0</v>
      </c>
      <c r="I38" s="116" t="n">
        <v>0</v>
      </c>
      <c r="J38" s="116" t="n">
        <v>0</v>
      </c>
      <c r="K38" s="116" t="n">
        <v>0</v>
      </c>
      <c r="L38" s="116" t="n">
        <v>0</v>
      </c>
      <c r="M38" s="116" t="n">
        <v>0</v>
      </c>
      <c r="N38" s="116" t="n">
        <v>0</v>
      </c>
      <c r="O38" s="116" t="n">
        <v>0</v>
      </c>
      <c r="P38" s="116" t="n">
        <v>0</v>
      </c>
      <c r="Q38" s="116" t="n">
        <v>0</v>
      </c>
      <c r="R38" s="116" t="n">
        <v>0</v>
      </c>
      <c r="S38" s="116" t="n">
        <v>0</v>
      </c>
      <c r="T38" s="116" t="n">
        <v>0</v>
      </c>
      <c r="U38" s="116" t="n">
        <v>0</v>
      </c>
      <c r="V38" s="116" t="n">
        <v>0</v>
      </c>
      <c r="W38" s="116" t="n">
        <v>0</v>
      </c>
      <c r="X38" s="116" t="n">
        <v>0</v>
      </c>
      <c r="Y38" s="116" t="n">
        <v>0</v>
      </c>
      <c r="Z38" s="116" t="n">
        <v>0</v>
      </c>
      <c r="AA38" s="116" t="n">
        <v>0</v>
      </c>
      <c r="AB38" s="116" t="n">
        <v>0</v>
      </c>
      <c r="AC38" s="116" t="n">
        <v>0</v>
      </c>
      <c r="AD38" s="116" t="n">
        <v>0</v>
      </c>
      <c r="AE38" s="116" t="n">
        <v>0</v>
      </c>
    </row>
    <row r="39" s="6" customFormat="true" ht="15" hidden="false" customHeight="false" outlineLevel="0" collapsed="false">
      <c r="A39" s="84" t="s">
        <v>18</v>
      </c>
      <c r="B39" s="71" t="s">
        <v>12</v>
      </c>
      <c r="C39" s="115" t="n">
        <v>1</v>
      </c>
      <c r="D39" s="115" t="n">
        <v>1</v>
      </c>
      <c r="E39" s="115" t="n">
        <v>1</v>
      </c>
      <c r="F39" s="115" t="n">
        <v>1</v>
      </c>
      <c r="G39" s="115" t="n">
        <v>1</v>
      </c>
      <c r="H39" s="116" t="n">
        <v>1</v>
      </c>
      <c r="I39" s="116" t="n">
        <v>1</v>
      </c>
      <c r="J39" s="116" t="n">
        <v>1</v>
      </c>
      <c r="K39" s="116" t="n">
        <v>1</v>
      </c>
      <c r="L39" s="116" t="n">
        <v>1</v>
      </c>
      <c r="M39" s="116" t="n">
        <v>1</v>
      </c>
      <c r="N39" s="116" t="n">
        <v>1</v>
      </c>
      <c r="O39" s="116" t="n">
        <v>1</v>
      </c>
      <c r="P39" s="116" t="n">
        <v>1</v>
      </c>
      <c r="Q39" s="116" t="n">
        <v>1</v>
      </c>
      <c r="R39" s="116" t="n">
        <v>1</v>
      </c>
      <c r="S39" s="116" t="n">
        <v>1</v>
      </c>
      <c r="T39" s="116" t="n">
        <v>1</v>
      </c>
      <c r="U39" s="116" t="n">
        <v>1</v>
      </c>
      <c r="V39" s="116" t="n">
        <v>1</v>
      </c>
      <c r="W39" s="116" t="n">
        <v>1</v>
      </c>
      <c r="X39" s="116" t="n">
        <v>1</v>
      </c>
      <c r="Y39" s="116" t="n">
        <v>1</v>
      </c>
      <c r="Z39" s="116" t="n">
        <v>1</v>
      </c>
      <c r="AA39" s="116" t="n">
        <v>1</v>
      </c>
      <c r="AB39" s="116" t="n">
        <v>1</v>
      </c>
      <c r="AC39" s="116" t="n">
        <v>1</v>
      </c>
      <c r="AD39" s="116" t="n">
        <v>1</v>
      </c>
      <c r="AE39" s="116" t="n">
        <v>1</v>
      </c>
    </row>
    <row r="40" s="6" customFormat="true" ht="15" hidden="false" customHeight="false" outlineLevel="0" collapsed="false">
      <c r="A40" s="84"/>
      <c r="B40" s="71" t="s">
        <v>13</v>
      </c>
      <c r="C40" s="115" t="n">
        <v>0</v>
      </c>
      <c r="D40" s="115" t="n">
        <v>0</v>
      </c>
      <c r="E40" s="115" t="n">
        <v>0</v>
      </c>
      <c r="F40" s="115" t="n">
        <v>0</v>
      </c>
      <c r="G40" s="115" t="n">
        <v>0</v>
      </c>
      <c r="H40" s="116" t="n">
        <v>0</v>
      </c>
      <c r="I40" s="116" t="n">
        <v>0</v>
      </c>
      <c r="J40" s="116" t="n">
        <v>0</v>
      </c>
      <c r="K40" s="116" t="n">
        <v>0</v>
      </c>
      <c r="L40" s="116" t="n">
        <v>0</v>
      </c>
      <c r="M40" s="116" t="n">
        <v>0</v>
      </c>
      <c r="N40" s="116" t="n">
        <v>0</v>
      </c>
      <c r="O40" s="116" t="n">
        <v>0</v>
      </c>
      <c r="P40" s="116" t="n">
        <v>0</v>
      </c>
      <c r="Q40" s="116" t="n">
        <v>0</v>
      </c>
      <c r="R40" s="116" t="n">
        <v>0</v>
      </c>
      <c r="S40" s="116" t="n">
        <v>0</v>
      </c>
      <c r="T40" s="116" t="n">
        <v>0</v>
      </c>
      <c r="U40" s="116" t="n">
        <v>0</v>
      </c>
      <c r="V40" s="116" t="n">
        <v>0</v>
      </c>
      <c r="W40" s="116" t="n">
        <v>0</v>
      </c>
      <c r="X40" s="116" t="n">
        <v>0</v>
      </c>
      <c r="Y40" s="116" t="n">
        <v>0</v>
      </c>
      <c r="Z40" s="116" t="n">
        <v>0</v>
      </c>
      <c r="AA40" s="116" t="n">
        <v>0</v>
      </c>
      <c r="AB40" s="116" t="n">
        <v>0</v>
      </c>
      <c r="AC40" s="116" t="n">
        <v>0</v>
      </c>
      <c r="AD40" s="116" t="n">
        <v>0</v>
      </c>
      <c r="AE40" s="116" t="n">
        <v>0</v>
      </c>
    </row>
    <row r="41" s="6" customFormat="true" ht="15" hidden="false" customHeight="false" outlineLevel="0" collapsed="false">
      <c r="A41" s="84"/>
      <c r="B41" s="71" t="s">
        <v>14</v>
      </c>
      <c r="C41" s="115" t="n">
        <v>0</v>
      </c>
      <c r="D41" s="115" t="n">
        <v>0</v>
      </c>
      <c r="E41" s="115" t="n">
        <v>0</v>
      </c>
      <c r="F41" s="115" t="n">
        <v>0</v>
      </c>
      <c r="G41" s="115" t="n">
        <v>0</v>
      </c>
      <c r="H41" s="116" t="n">
        <v>0</v>
      </c>
      <c r="I41" s="116" t="n">
        <v>0</v>
      </c>
      <c r="J41" s="116" t="n">
        <v>0</v>
      </c>
      <c r="K41" s="116" t="n">
        <v>0</v>
      </c>
      <c r="L41" s="116" t="n">
        <v>0</v>
      </c>
      <c r="M41" s="116" t="n">
        <v>0</v>
      </c>
      <c r="N41" s="116" t="n">
        <v>0</v>
      </c>
      <c r="O41" s="116" t="n">
        <v>0</v>
      </c>
      <c r="P41" s="116" t="n">
        <v>0</v>
      </c>
      <c r="Q41" s="116" t="n">
        <v>0</v>
      </c>
      <c r="R41" s="116" t="n">
        <v>0</v>
      </c>
      <c r="S41" s="116" t="n">
        <v>0</v>
      </c>
      <c r="T41" s="116" t="n">
        <v>0</v>
      </c>
      <c r="U41" s="116" t="n">
        <v>0</v>
      </c>
      <c r="V41" s="116" t="n">
        <v>0</v>
      </c>
      <c r="W41" s="116" t="n">
        <v>0</v>
      </c>
      <c r="X41" s="116" t="n">
        <v>0</v>
      </c>
      <c r="Y41" s="116" t="n">
        <v>0</v>
      </c>
      <c r="Z41" s="116" t="n">
        <v>0</v>
      </c>
      <c r="AA41" s="116" t="n">
        <v>0</v>
      </c>
      <c r="AB41" s="116" t="n">
        <v>0</v>
      </c>
      <c r="AC41" s="116" t="n">
        <v>0</v>
      </c>
      <c r="AD41" s="116" t="n">
        <v>0</v>
      </c>
      <c r="AE41" s="116" t="n">
        <v>0</v>
      </c>
    </row>
    <row r="42" s="123" customFormat="true" ht="15" hidden="false" customHeight="false" outlineLevel="0" collapsed="false">
      <c r="A42" s="84"/>
      <c r="B42" s="71" t="s">
        <v>88</v>
      </c>
      <c r="C42" s="121" t="n">
        <v>0</v>
      </c>
      <c r="D42" s="121" t="n">
        <v>0</v>
      </c>
      <c r="E42" s="121" t="n">
        <v>0</v>
      </c>
      <c r="F42" s="121" t="n">
        <v>0</v>
      </c>
      <c r="G42" s="121" t="n">
        <v>0</v>
      </c>
      <c r="H42" s="122" t="n">
        <v>0</v>
      </c>
      <c r="I42" s="122" t="n">
        <v>0</v>
      </c>
      <c r="J42" s="122" t="n">
        <v>0</v>
      </c>
      <c r="K42" s="122" t="n">
        <v>0</v>
      </c>
      <c r="L42" s="122" t="n">
        <v>0</v>
      </c>
      <c r="M42" s="122" t="n">
        <v>0</v>
      </c>
      <c r="N42" s="122" t="n">
        <v>0</v>
      </c>
      <c r="O42" s="122" t="n">
        <v>0</v>
      </c>
      <c r="P42" s="122" t="n">
        <v>0</v>
      </c>
      <c r="Q42" s="122" t="n">
        <v>0</v>
      </c>
      <c r="R42" s="122" t="n">
        <v>0</v>
      </c>
      <c r="S42" s="122" t="n">
        <v>0</v>
      </c>
      <c r="T42" s="122" t="n">
        <v>0</v>
      </c>
      <c r="U42" s="122" t="n">
        <v>0</v>
      </c>
      <c r="V42" s="122" t="n">
        <v>0</v>
      </c>
      <c r="W42" s="122" t="n">
        <v>0</v>
      </c>
      <c r="X42" s="122" t="n">
        <v>0</v>
      </c>
      <c r="Y42" s="122" t="n">
        <v>0</v>
      </c>
      <c r="Z42" s="122" t="n">
        <v>0</v>
      </c>
      <c r="AA42" s="122" t="n">
        <v>0</v>
      </c>
      <c r="AB42" s="122" t="n">
        <v>0</v>
      </c>
      <c r="AC42" s="122" t="n">
        <v>0</v>
      </c>
      <c r="AD42" s="122" t="n">
        <v>0</v>
      </c>
      <c r="AE42" s="122" t="n">
        <v>0</v>
      </c>
    </row>
    <row r="43" s="71" customFormat="true" ht="15" hidden="false" customHeight="false" outlineLevel="0" collapsed="false">
      <c r="A43" s="124" t="s">
        <v>170</v>
      </c>
      <c r="B43" s="71" t="s">
        <v>3</v>
      </c>
      <c r="C43" s="115" t="n">
        <v>0</v>
      </c>
      <c r="D43" s="115" t="n">
        <v>0</v>
      </c>
      <c r="E43" s="115" t="n">
        <v>0</v>
      </c>
      <c r="F43" s="115" t="n">
        <v>0</v>
      </c>
      <c r="G43" s="115" t="n">
        <v>0</v>
      </c>
      <c r="H43" s="116" t="n">
        <v>0</v>
      </c>
      <c r="I43" s="116" t="n">
        <v>0</v>
      </c>
      <c r="J43" s="116" t="n">
        <v>0</v>
      </c>
      <c r="K43" s="116" t="n">
        <v>0</v>
      </c>
      <c r="L43" s="116" t="n">
        <v>0</v>
      </c>
      <c r="M43" s="116" t="n">
        <v>0</v>
      </c>
      <c r="N43" s="116" t="n">
        <v>0</v>
      </c>
      <c r="O43" s="116" t="n">
        <v>0</v>
      </c>
      <c r="P43" s="116" t="n">
        <v>0.228007704142738</v>
      </c>
      <c r="Q43" s="116" t="n">
        <v>0.22984555744933</v>
      </c>
      <c r="R43" s="116" t="n">
        <v>0.277005774790994</v>
      </c>
      <c r="S43" s="116" t="n">
        <v>0.281342280584581</v>
      </c>
      <c r="T43" s="116" t="n">
        <v>0.32310642814254</v>
      </c>
      <c r="U43" s="116" t="n">
        <v>0.339415259764845</v>
      </c>
      <c r="V43" s="116" t="n">
        <v>0.304454886482482</v>
      </c>
      <c r="W43" s="116" t="n">
        <v>0.334598003079959</v>
      </c>
      <c r="X43" s="116" t="n">
        <v>0.362104402211838</v>
      </c>
      <c r="Y43" s="116" t="n">
        <v>0.36014966947801</v>
      </c>
      <c r="Z43" s="116" t="n">
        <v>0.358806414398651</v>
      </c>
      <c r="AA43" s="116" t="n">
        <v>0.373263943534756</v>
      </c>
      <c r="AB43" s="116" t="n">
        <v>0.441073058806332</v>
      </c>
      <c r="AC43" s="116" t="n">
        <v>0.472420454115747</v>
      </c>
      <c r="AD43" s="116" t="n">
        <v>0.5022557651603</v>
      </c>
      <c r="AE43" s="116" t="n">
        <v>0.529108500233908</v>
      </c>
    </row>
    <row r="44" s="126" customFormat="true" ht="15" hidden="false" customHeight="false" outlineLevel="0" collapsed="false">
      <c r="A44" s="125" t="s">
        <v>171</v>
      </c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</row>
    <row r="45" s="6" customFormat="true" ht="15" hidden="false" customHeight="false" outlineLevel="0" collapsed="false">
      <c r="A45" s="124" t="s">
        <v>172</v>
      </c>
      <c r="B45" s="71" t="s">
        <v>158</v>
      </c>
      <c r="C45" s="109" t="n">
        <v>1</v>
      </c>
      <c r="D45" s="109" t="n">
        <v>1</v>
      </c>
      <c r="E45" s="109" t="n">
        <v>1</v>
      </c>
      <c r="F45" s="109" t="n">
        <v>1</v>
      </c>
      <c r="G45" s="109" t="n">
        <v>1</v>
      </c>
      <c r="H45" s="71" t="n">
        <v>1</v>
      </c>
      <c r="I45" s="71" t="n">
        <v>1</v>
      </c>
      <c r="J45" s="71" t="n">
        <v>1</v>
      </c>
      <c r="K45" s="71" t="n">
        <v>1</v>
      </c>
      <c r="L45" s="71" t="n">
        <v>1</v>
      </c>
      <c r="M45" s="71" t="n">
        <v>1</v>
      </c>
      <c r="N45" s="71" t="n">
        <v>1</v>
      </c>
      <c r="O45" s="71" t="n">
        <v>1</v>
      </c>
      <c r="P45" s="71" t="n">
        <v>1</v>
      </c>
      <c r="Q45" s="71" t="n">
        <v>1</v>
      </c>
      <c r="R45" s="71" t="n">
        <v>1</v>
      </c>
      <c r="S45" s="71" t="n">
        <v>1</v>
      </c>
      <c r="T45" s="71" t="n">
        <v>1</v>
      </c>
      <c r="U45" s="71" t="n">
        <v>1</v>
      </c>
      <c r="V45" s="71" t="n">
        <v>1</v>
      </c>
      <c r="W45" s="71" t="n">
        <v>1</v>
      </c>
      <c r="X45" s="71" t="n">
        <v>1</v>
      </c>
      <c r="Y45" s="71" t="n">
        <v>1</v>
      </c>
      <c r="Z45" s="71" t="n">
        <v>1</v>
      </c>
      <c r="AA45" s="71" t="n">
        <v>1</v>
      </c>
      <c r="AB45" s="71" t="n">
        <v>1</v>
      </c>
      <c r="AC45" s="71" t="n">
        <v>1</v>
      </c>
      <c r="AD45" s="71" t="n">
        <v>1</v>
      </c>
      <c r="AE45" s="71" t="n">
        <v>1</v>
      </c>
    </row>
    <row r="46" s="6" customFormat="true" ht="15" hidden="false" customHeight="false" outlineLevel="0" collapsed="false">
      <c r="A46" s="124"/>
      <c r="B46" s="71" t="s">
        <v>173</v>
      </c>
      <c r="C46" s="109" t="n">
        <v>0</v>
      </c>
      <c r="D46" s="109" t="n">
        <v>0</v>
      </c>
      <c r="E46" s="109" t="n">
        <v>0</v>
      </c>
      <c r="F46" s="109" t="n">
        <v>0</v>
      </c>
      <c r="G46" s="109" t="n">
        <v>0</v>
      </c>
      <c r="H46" s="71" t="n">
        <v>0</v>
      </c>
      <c r="I46" s="71" t="n">
        <v>0</v>
      </c>
      <c r="J46" s="71" t="n">
        <v>0</v>
      </c>
      <c r="K46" s="71" t="n">
        <v>0</v>
      </c>
      <c r="L46" s="71" t="n">
        <v>0</v>
      </c>
      <c r="M46" s="71" t="n">
        <v>0</v>
      </c>
      <c r="N46" s="71" t="n">
        <v>0</v>
      </c>
      <c r="O46" s="71" t="n">
        <v>0</v>
      </c>
      <c r="P46" s="71" t="n">
        <v>0</v>
      </c>
      <c r="Q46" s="71" t="n">
        <v>0</v>
      </c>
      <c r="R46" s="71" t="n">
        <v>0</v>
      </c>
      <c r="S46" s="71" t="n">
        <v>0</v>
      </c>
      <c r="T46" s="71" t="n">
        <v>0</v>
      </c>
      <c r="U46" s="71" t="n">
        <v>0</v>
      </c>
      <c r="V46" s="71" t="n">
        <v>0</v>
      </c>
      <c r="W46" s="71" t="n">
        <v>0</v>
      </c>
      <c r="X46" s="71" t="n">
        <v>0</v>
      </c>
      <c r="Y46" s="71" t="n">
        <v>0</v>
      </c>
      <c r="Z46" s="71" t="n">
        <v>0</v>
      </c>
      <c r="AA46" s="71" t="n">
        <v>0</v>
      </c>
      <c r="AB46" s="71" t="n">
        <v>0</v>
      </c>
      <c r="AC46" s="71" t="n">
        <v>0</v>
      </c>
      <c r="AD46" s="71" t="n">
        <v>0</v>
      </c>
      <c r="AE46" s="71" t="n">
        <v>0</v>
      </c>
    </row>
    <row r="47" s="6" customFormat="true" ht="15" hidden="false" customHeight="false" outlineLevel="0" collapsed="false">
      <c r="A47" s="124"/>
      <c r="B47" s="71" t="s">
        <v>155</v>
      </c>
      <c r="C47" s="109" t="n">
        <v>0</v>
      </c>
      <c r="D47" s="109" t="n">
        <v>0</v>
      </c>
      <c r="E47" s="109" t="n">
        <v>0</v>
      </c>
      <c r="F47" s="109" t="n">
        <v>0</v>
      </c>
      <c r="G47" s="109" t="n">
        <v>0</v>
      </c>
      <c r="H47" s="71" t="n">
        <v>0</v>
      </c>
      <c r="I47" s="71" t="n">
        <v>0</v>
      </c>
      <c r="J47" s="71" t="n">
        <v>0</v>
      </c>
      <c r="K47" s="71" t="n">
        <v>0</v>
      </c>
      <c r="L47" s="71" t="n">
        <v>0</v>
      </c>
      <c r="M47" s="71" t="n">
        <v>0</v>
      </c>
      <c r="N47" s="71" t="n">
        <v>0</v>
      </c>
      <c r="O47" s="71" t="n">
        <v>0</v>
      </c>
      <c r="P47" s="71" t="n">
        <v>0</v>
      </c>
      <c r="Q47" s="71" t="n">
        <v>0</v>
      </c>
      <c r="R47" s="71" t="n">
        <v>0</v>
      </c>
      <c r="S47" s="71" t="n">
        <v>0</v>
      </c>
      <c r="T47" s="71" t="n">
        <v>0</v>
      </c>
      <c r="U47" s="71" t="n">
        <v>0</v>
      </c>
      <c r="V47" s="71" t="n">
        <v>0</v>
      </c>
      <c r="W47" s="71" t="n">
        <v>0</v>
      </c>
      <c r="X47" s="71" t="n">
        <v>0</v>
      </c>
      <c r="Y47" s="71" t="n">
        <v>0</v>
      </c>
      <c r="Z47" s="71" t="n">
        <v>0</v>
      </c>
      <c r="AA47" s="71" t="n">
        <v>0</v>
      </c>
      <c r="AB47" s="71" t="n">
        <v>0</v>
      </c>
      <c r="AC47" s="71" t="n">
        <v>0</v>
      </c>
      <c r="AD47" s="71" t="n">
        <v>0</v>
      </c>
      <c r="AE47" s="71" t="n">
        <v>0</v>
      </c>
    </row>
    <row r="48" s="6" customFormat="true" ht="15" hidden="false" customHeight="false" outlineLevel="0" collapsed="false">
      <c r="A48" s="124"/>
      <c r="B48" s="71" t="s">
        <v>174</v>
      </c>
      <c r="C48" s="109" t="n">
        <v>0</v>
      </c>
      <c r="D48" s="109" t="n">
        <v>0</v>
      </c>
      <c r="E48" s="109" t="n">
        <v>0</v>
      </c>
      <c r="F48" s="109" t="n">
        <v>0</v>
      </c>
      <c r="G48" s="109" t="n">
        <v>0</v>
      </c>
      <c r="H48" s="71" t="n">
        <v>0</v>
      </c>
      <c r="I48" s="71" t="n">
        <v>0</v>
      </c>
      <c r="J48" s="71" t="n">
        <v>0</v>
      </c>
      <c r="K48" s="71" t="n">
        <v>0</v>
      </c>
      <c r="L48" s="71" t="n">
        <v>0</v>
      </c>
      <c r="M48" s="71" t="n">
        <v>0</v>
      </c>
      <c r="N48" s="71" t="n">
        <v>0</v>
      </c>
      <c r="O48" s="71" t="n">
        <v>0</v>
      </c>
      <c r="P48" s="71" t="n">
        <v>0</v>
      </c>
      <c r="Q48" s="71" t="n">
        <v>0</v>
      </c>
      <c r="R48" s="71" t="n">
        <v>0</v>
      </c>
      <c r="S48" s="71" t="n">
        <v>0</v>
      </c>
      <c r="T48" s="71" t="n">
        <v>0</v>
      </c>
      <c r="U48" s="71" t="n">
        <v>0</v>
      </c>
      <c r="V48" s="71" t="n">
        <v>0</v>
      </c>
      <c r="W48" s="71" t="n">
        <v>0</v>
      </c>
      <c r="X48" s="71" t="n">
        <v>0</v>
      </c>
      <c r="Y48" s="71" t="n">
        <v>0</v>
      </c>
      <c r="Z48" s="71" t="n">
        <v>0</v>
      </c>
      <c r="AA48" s="71" t="n">
        <v>0</v>
      </c>
      <c r="AB48" s="71" t="n">
        <v>0</v>
      </c>
      <c r="AC48" s="71" t="n">
        <v>0</v>
      </c>
      <c r="AD48" s="71" t="n">
        <v>0</v>
      </c>
      <c r="AE48" s="71" t="n">
        <v>0</v>
      </c>
    </row>
    <row r="49" s="6" customFormat="true" ht="15" hidden="false" customHeight="false" outlineLevel="0" collapsed="false">
      <c r="A49" s="124" t="s">
        <v>175</v>
      </c>
      <c r="B49" s="71" t="s">
        <v>158</v>
      </c>
      <c r="C49" s="109" t="n">
        <v>0.999509102023924</v>
      </c>
      <c r="D49" s="109" t="n">
        <v>0.999509102023924</v>
      </c>
      <c r="E49" s="109" t="n">
        <v>0.999509102023924</v>
      </c>
      <c r="F49" s="109" t="n">
        <v>0.999509102023924</v>
      </c>
      <c r="G49" s="109" t="n">
        <v>0.999509102023924</v>
      </c>
      <c r="H49" s="71" t="n">
        <v>0.999509102023924</v>
      </c>
      <c r="I49" s="71" t="n">
        <v>0.999467885736238</v>
      </c>
      <c r="J49" s="71" t="n">
        <v>0.999405193137204</v>
      </c>
      <c r="K49" s="71" t="n">
        <v>0.999342449344196</v>
      </c>
      <c r="L49" s="71" t="n">
        <v>0.999281863693455</v>
      </c>
      <c r="M49" s="71" t="n">
        <v>0.999201121994905</v>
      </c>
      <c r="N49" s="71" t="n">
        <v>0.998614097023487</v>
      </c>
      <c r="O49" s="71" t="n">
        <v>0.998528159485391</v>
      </c>
      <c r="P49" s="71" t="n">
        <v>0.998114528251101</v>
      </c>
      <c r="Q49" s="71" t="n">
        <v>0.997664311294831</v>
      </c>
      <c r="R49" s="71" t="n">
        <v>0.996746789560517</v>
      </c>
      <c r="S49" s="71" t="n">
        <v>0.996881013153575</v>
      </c>
      <c r="T49" s="71" t="n">
        <v>0.996009052842999</v>
      </c>
      <c r="U49" s="71" t="n">
        <v>0.995780130018921</v>
      </c>
      <c r="V49" s="71" t="n">
        <v>0.995609426732828</v>
      </c>
      <c r="W49" s="71" t="n">
        <v>0.995351657076666</v>
      </c>
      <c r="X49" s="71" t="n">
        <v>0.995080859287425</v>
      </c>
      <c r="Y49" s="71" t="n">
        <v>0.995168232053675</v>
      </c>
      <c r="Z49" s="71" t="n">
        <v>0.994771270661311</v>
      </c>
      <c r="AA49" s="71" t="n">
        <v>0.993864347934824</v>
      </c>
      <c r="AB49" s="71" t="n">
        <v>0.99308449157704</v>
      </c>
      <c r="AC49" s="71" t="n">
        <v>0.992536170202544</v>
      </c>
      <c r="AD49" s="71" t="n">
        <v>0.992630117976335</v>
      </c>
      <c r="AE49" s="71" t="n">
        <v>0.991966177556631</v>
      </c>
    </row>
    <row r="50" s="6" customFormat="true" ht="15" hidden="false" customHeight="false" outlineLevel="0" collapsed="false">
      <c r="A50" s="124"/>
      <c r="B50" s="71" t="s">
        <v>173</v>
      </c>
      <c r="C50" s="109" t="n">
        <v>0.00046896123736666</v>
      </c>
      <c r="D50" s="109" t="n">
        <v>0.00046896123736666</v>
      </c>
      <c r="E50" s="109" t="n">
        <v>0.00046896123736666</v>
      </c>
      <c r="F50" s="109" t="n">
        <v>0.00046896123736666</v>
      </c>
      <c r="G50" s="109" t="n">
        <v>0.00046896123736666</v>
      </c>
      <c r="H50" s="71" t="n">
        <v>0.00046896123736666</v>
      </c>
      <c r="I50" s="71" t="n">
        <v>0.000508526822285456</v>
      </c>
      <c r="J50" s="71" t="n">
        <v>0.000570463882447359</v>
      </c>
      <c r="K50" s="71" t="n">
        <v>0.000633569212736387</v>
      </c>
      <c r="L50" s="71" t="n">
        <v>0.000694067353982818</v>
      </c>
      <c r="M50" s="71" t="n">
        <v>0.000775753604734684</v>
      </c>
      <c r="N50" s="71" t="n">
        <v>0.00136214553103864</v>
      </c>
      <c r="O50" s="71" t="n">
        <v>0.0014486677642836</v>
      </c>
      <c r="P50" s="71" t="n">
        <v>0.001863016683732</v>
      </c>
      <c r="Q50" s="71" t="n">
        <v>0.00231140847168669</v>
      </c>
      <c r="R50" s="71" t="n">
        <v>0.00322974199128109</v>
      </c>
      <c r="S50" s="71" t="n">
        <v>0.00308608541634012</v>
      </c>
      <c r="T50" s="71" t="n">
        <v>0.00393619511675896</v>
      </c>
      <c r="U50" s="71" t="n">
        <v>0.00414806810778386</v>
      </c>
      <c r="V50" s="71" t="n">
        <v>0.00428691461154776</v>
      </c>
      <c r="W50" s="71" t="n">
        <v>0.00451668064608345</v>
      </c>
      <c r="X50" s="71" t="n">
        <v>0.00472712845607651</v>
      </c>
      <c r="Y50" s="71" t="n">
        <v>0.00457132988979019</v>
      </c>
      <c r="Z50" s="71" t="n">
        <v>0.00483875393258139</v>
      </c>
      <c r="AA50" s="71" t="n">
        <v>0.00559468925204878</v>
      </c>
      <c r="AB50" s="71" t="n">
        <v>0.00616769894109776</v>
      </c>
      <c r="AC50" s="71" t="n">
        <v>0.00632083582376799</v>
      </c>
      <c r="AD50" s="71" t="n">
        <v>0.00569919465556798</v>
      </c>
      <c r="AE50" s="71" t="n">
        <v>0.00567489304298412</v>
      </c>
    </row>
    <row r="51" s="6" customFormat="true" ht="15" hidden="false" customHeight="false" outlineLevel="0" collapsed="false">
      <c r="A51" s="124"/>
      <c r="B51" s="71" t="s">
        <v>155</v>
      </c>
      <c r="C51" s="109" t="n">
        <v>2.19367387092662E-005</v>
      </c>
      <c r="D51" s="109" t="n">
        <v>2.19367387092662E-005</v>
      </c>
      <c r="E51" s="109" t="n">
        <v>2.19367387092662E-005</v>
      </c>
      <c r="F51" s="109" t="n">
        <v>2.19367387092662E-005</v>
      </c>
      <c r="G51" s="109" t="n">
        <v>2.19367387092662E-005</v>
      </c>
      <c r="H51" s="71" t="n">
        <v>2.19367387092662E-005</v>
      </c>
      <c r="I51" s="71" t="n">
        <v>2.3587441476998E-005</v>
      </c>
      <c r="J51" s="71" t="n">
        <v>2.43429803486534E-005</v>
      </c>
      <c r="K51" s="71" t="n">
        <v>2.39814430674062E-005</v>
      </c>
      <c r="L51" s="71" t="n">
        <v>2.40689525620737E-005</v>
      </c>
      <c r="M51" s="71" t="n">
        <v>2.31244003602374E-005</v>
      </c>
      <c r="N51" s="71" t="n">
        <v>2.37574454745143E-005</v>
      </c>
      <c r="O51" s="71" t="n">
        <v>2.31727503250291E-005</v>
      </c>
      <c r="P51" s="71" t="n">
        <v>2.24550651675557E-005</v>
      </c>
      <c r="Q51" s="71" t="n">
        <v>2.42802334820377E-005</v>
      </c>
      <c r="R51" s="71" t="n">
        <v>2.34684482018593E-005</v>
      </c>
      <c r="S51" s="71" t="n">
        <v>3.29014300852884E-005</v>
      </c>
      <c r="T51" s="71" t="n">
        <v>5.47520402419844E-005</v>
      </c>
      <c r="U51" s="71" t="n">
        <v>7.18018732951822E-005</v>
      </c>
      <c r="V51" s="71" t="n">
        <v>0.000103658655624336</v>
      </c>
      <c r="W51" s="71" t="n">
        <v>0.00013166227725045</v>
      </c>
      <c r="X51" s="71" t="n">
        <v>0.000192012256498394</v>
      </c>
      <c r="Y51" s="71" t="n">
        <v>0.000260438056534761</v>
      </c>
      <c r="Z51" s="71" t="n">
        <v>0.00038997540610736</v>
      </c>
      <c r="AA51" s="71" t="n">
        <v>0.000540962813127502</v>
      </c>
      <c r="AB51" s="71" t="n">
        <v>0.000747809481862706</v>
      </c>
      <c r="AC51" s="71" t="n">
        <v>0.0011429939736884</v>
      </c>
      <c r="AD51" s="71" t="n">
        <v>0.00167068736809729</v>
      </c>
      <c r="AE51" s="71" t="n">
        <v>0.00235892940038473</v>
      </c>
    </row>
    <row r="52" s="6" customFormat="true" ht="15" hidden="false" customHeight="false" outlineLevel="0" collapsed="false">
      <c r="A52" s="124"/>
      <c r="B52" s="71" t="s">
        <v>174</v>
      </c>
      <c r="C52" s="109" t="n">
        <v>0</v>
      </c>
      <c r="D52" s="109" t="n">
        <v>0</v>
      </c>
      <c r="E52" s="109" t="n">
        <v>0</v>
      </c>
      <c r="F52" s="109" t="n">
        <v>0</v>
      </c>
      <c r="G52" s="109" t="n">
        <v>0</v>
      </c>
      <c r="H52" s="71" t="n">
        <v>0</v>
      </c>
      <c r="I52" s="71" t="n">
        <v>0</v>
      </c>
      <c r="J52" s="71" t="n">
        <v>0</v>
      </c>
      <c r="K52" s="71" t="n">
        <v>0</v>
      </c>
      <c r="L52" s="71" t="n">
        <v>0</v>
      </c>
      <c r="M52" s="71" t="n">
        <v>0</v>
      </c>
      <c r="N52" s="71" t="n">
        <v>0</v>
      </c>
      <c r="O52" s="71" t="n">
        <v>0</v>
      </c>
      <c r="P52" s="71" t="n">
        <v>0</v>
      </c>
      <c r="Q52" s="71" t="n">
        <v>0</v>
      </c>
      <c r="R52" s="71" t="n">
        <v>0</v>
      </c>
      <c r="S52" s="71" t="n">
        <v>0</v>
      </c>
      <c r="T52" s="71" t="n">
        <v>0</v>
      </c>
      <c r="U52" s="71" t="n">
        <v>0</v>
      </c>
      <c r="V52" s="71" t="n">
        <v>0</v>
      </c>
      <c r="W52" s="71" t="n">
        <v>0</v>
      </c>
      <c r="X52" s="71" t="n">
        <v>0</v>
      </c>
      <c r="Y52" s="71" t="n">
        <v>0</v>
      </c>
      <c r="Z52" s="71" t="n">
        <v>0</v>
      </c>
      <c r="AA52" s="71" t="n">
        <v>0</v>
      </c>
      <c r="AB52" s="71" t="n">
        <v>0</v>
      </c>
      <c r="AC52" s="71" t="n">
        <v>0</v>
      </c>
      <c r="AD52" s="71" t="n">
        <v>0</v>
      </c>
      <c r="AE52" s="71" t="n">
        <v>0</v>
      </c>
    </row>
    <row r="53" s="6" customFormat="true" ht="15" hidden="false" customHeight="false" outlineLevel="0" collapsed="false">
      <c r="A53" s="124" t="s">
        <v>17</v>
      </c>
      <c r="B53" s="71" t="s">
        <v>158</v>
      </c>
      <c r="C53" s="109" t="n">
        <v>0.435705217155534</v>
      </c>
      <c r="D53" s="109" t="n">
        <v>0.435705217155534</v>
      </c>
      <c r="E53" s="109" t="n">
        <v>0.435705217155534</v>
      </c>
      <c r="F53" s="109" t="n">
        <v>0.435705217155534</v>
      </c>
      <c r="G53" s="109" t="n">
        <v>0.435705217155534</v>
      </c>
      <c r="H53" s="71" t="n">
        <v>0.435705217155534</v>
      </c>
      <c r="I53" s="71" t="n">
        <v>0.40740636154877</v>
      </c>
      <c r="J53" s="71" t="n">
        <v>0.400837180906287</v>
      </c>
      <c r="K53" s="71" t="n">
        <v>0.407015931143956</v>
      </c>
      <c r="L53" s="71" t="n">
        <v>0.408491995722572</v>
      </c>
      <c r="M53" s="71" t="n">
        <v>0.412350209117292</v>
      </c>
      <c r="N53" s="71" t="n">
        <v>0.43765914566432</v>
      </c>
      <c r="O53" s="71" t="n">
        <v>0.45336473811103</v>
      </c>
      <c r="P53" s="71" t="n">
        <v>0.474973616466348</v>
      </c>
      <c r="Q53" s="71" t="n">
        <v>0.475004142509694</v>
      </c>
      <c r="R53" s="71" t="n">
        <v>0.486032396744548</v>
      </c>
      <c r="S53" s="71" t="n">
        <v>0.43057596939412</v>
      </c>
      <c r="T53" s="71" t="n">
        <v>0.42827034109979</v>
      </c>
      <c r="U53" s="71" t="n">
        <v>0.365076397004035</v>
      </c>
      <c r="V53" s="71" t="n">
        <v>0.359226664338514</v>
      </c>
      <c r="W53" s="71" t="n">
        <v>0.364397760069201</v>
      </c>
      <c r="X53" s="71" t="n">
        <v>0.344038634988698</v>
      </c>
      <c r="Y53" s="71" t="n">
        <v>0.340393806234641</v>
      </c>
      <c r="Z53" s="71" t="n">
        <v>0.33935299912652</v>
      </c>
      <c r="AA53" s="71" t="n">
        <v>0.352575457008378</v>
      </c>
      <c r="AB53" s="71" t="n">
        <v>0.3298405190066</v>
      </c>
      <c r="AC53" s="71" t="n">
        <v>0.359743923718949</v>
      </c>
      <c r="AD53" s="71" t="n">
        <v>0.318194898255878</v>
      </c>
      <c r="AE53" s="71" t="n">
        <v>0.305152291060486</v>
      </c>
    </row>
    <row r="54" s="6" customFormat="true" ht="15" hidden="false" customHeight="false" outlineLevel="0" collapsed="false">
      <c r="A54" s="124"/>
      <c r="B54" s="71" t="s">
        <v>173</v>
      </c>
      <c r="C54" s="109" t="n">
        <v>0</v>
      </c>
      <c r="D54" s="109" t="n">
        <v>0</v>
      </c>
      <c r="E54" s="109" t="n">
        <v>0</v>
      </c>
      <c r="F54" s="109" t="n">
        <v>0</v>
      </c>
      <c r="G54" s="109" t="n">
        <v>0</v>
      </c>
      <c r="H54" s="71" t="n">
        <v>0</v>
      </c>
      <c r="I54" s="71" t="n">
        <v>0</v>
      </c>
      <c r="J54" s="71" t="n">
        <v>0</v>
      </c>
      <c r="K54" s="71" t="n">
        <v>0</v>
      </c>
      <c r="L54" s="71" t="n">
        <v>0</v>
      </c>
      <c r="M54" s="71" t="n">
        <v>0</v>
      </c>
      <c r="N54" s="71" t="n">
        <v>0</v>
      </c>
      <c r="O54" s="71" t="n">
        <v>0</v>
      </c>
      <c r="P54" s="71" t="n">
        <v>0</v>
      </c>
      <c r="Q54" s="71" t="n">
        <v>0</v>
      </c>
      <c r="R54" s="71" t="n">
        <v>0</v>
      </c>
      <c r="S54" s="71" t="n">
        <v>0</v>
      </c>
      <c r="T54" s="71" t="n">
        <v>0</v>
      </c>
      <c r="U54" s="71" t="n">
        <v>0</v>
      </c>
      <c r="V54" s="71" t="n">
        <v>0</v>
      </c>
      <c r="W54" s="71" t="n">
        <v>0</v>
      </c>
      <c r="X54" s="71" t="n">
        <v>0</v>
      </c>
      <c r="Y54" s="71" t="n">
        <v>0</v>
      </c>
      <c r="Z54" s="71" t="n">
        <v>0</v>
      </c>
      <c r="AA54" s="71" t="n">
        <v>0</v>
      </c>
      <c r="AB54" s="71" t="n">
        <v>0</v>
      </c>
      <c r="AC54" s="71" t="n">
        <v>0</v>
      </c>
      <c r="AD54" s="71" t="n">
        <v>0</v>
      </c>
      <c r="AE54" s="71" t="n">
        <v>0</v>
      </c>
    </row>
    <row r="55" s="6" customFormat="true" ht="15" hidden="false" customHeight="false" outlineLevel="0" collapsed="false">
      <c r="A55" s="124"/>
      <c r="B55" s="71" t="s">
        <v>155</v>
      </c>
      <c r="C55" s="109" t="n">
        <v>0.564294782844466</v>
      </c>
      <c r="D55" s="109" t="n">
        <v>0.564294782844466</v>
      </c>
      <c r="E55" s="109" t="n">
        <v>0.564294782844466</v>
      </c>
      <c r="F55" s="109" t="n">
        <v>0.564294782844466</v>
      </c>
      <c r="G55" s="109" t="n">
        <v>0.564294782844466</v>
      </c>
      <c r="H55" s="71" t="n">
        <v>0.564294782844466</v>
      </c>
      <c r="I55" s="71" t="n">
        <v>0.592593638451231</v>
      </c>
      <c r="J55" s="71" t="n">
        <v>0.599162819093713</v>
      </c>
      <c r="K55" s="71" t="n">
        <v>0.592984068856044</v>
      </c>
      <c r="L55" s="71" t="n">
        <v>0.591508004277428</v>
      </c>
      <c r="M55" s="71" t="n">
        <v>0.587649790882708</v>
      </c>
      <c r="N55" s="71" t="n">
        <v>0.56234085433568</v>
      </c>
      <c r="O55" s="71" t="n">
        <v>0.546635261888971</v>
      </c>
      <c r="P55" s="71" t="n">
        <v>0.525026383533652</v>
      </c>
      <c r="Q55" s="71" t="n">
        <v>0.524995857490306</v>
      </c>
      <c r="R55" s="71" t="n">
        <v>0.513967603255452</v>
      </c>
      <c r="S55" s="71" t="n">
        <v>0.56942403060588</v>
      </c>
      <c r="T55" s="71" t="n">
        <v>0.571729658900211</v>
      </c>
      <c r="U55" s="71" t="n">
        <v>0.634923602995965</v>
      </c>
      <c r="V55" s="71" t="n">
        <v>0.640773335661486</v>
      </c>
      <c r="W55" s="71" t="n">
        <v>0.635602239930799</v>
      </c>
      <c r="X55" s="71" t="n">
        <v>0.655961365011302</v>
      </c>
      <c r="Y55" s="71" t="n">
        <v>0.659606193765359</v>
      </c>
      <c r="Z55" s="71" t="n">
        <v>0.660647000873481</v>
      </c>
      <c r="AA55" s="71" t="n">
        <v>0.647424542991622</v>
      </c>
      <c r="AB55" s="71" t="n">
        <v>0.6701594809934</v>
      </c>
      <c r="AC55" s="71" t="n">
        <v>0.640256076281051</v>
      </c>
      <c r="AD55" s="71" t="n">
        <v>0.681805101744122</v>
      </c>
      <c r="AE55" s="71" t="n">
        <v>0.694847708939514</v>
      </c>
    </row>
    <row r="56" s="6" customFormat="true" ht="15" hidden="false" customHeight="false" outlineLevel="0" collapsed="false">
      <c r="A56" s="124"/>
      <c r="B56" s="71" t="s">
        <v>174</v>
      </c>
      <c r="C56" s="109" t="n">
        <v>0</v>
      </c>
      <c r="D56" s="109" t="n">
        <v>0</v>
      </c>
      <c r="E56" s="109" t="n">
        <v>0</v>
      </c>
      <c r="F56" s="109" t="n">
        <v>0</v>
      </c>
      <c r="G56" s="109" t="n">
        <v>0</v>
      </c>
      <c r="H56" s="71" t="n">
        <v>0</v>
      </c>
      <c r="I56" s="71" t="n">
        <v>0</v>
      </c>
      <c r="J56" s="71" t="n">
        <v>0</v>
      </c>
      <c r="K56" s="71" t="n">
        <v>0</v>
      </c>
      <c r="L56" s="71" t="n">
        <v>0</v>
      </c>
      <c r="M56" s="71" t="n">
        <v>0</v>
      </c>
      <c r="N56" s="71" t="n">
        <v>0</v>
      </c>
      <c r="O56" s="71" t="n">
        <v>0</v>
      </c>
      <c r="P56" s="71" t="n">
        <v>0</v>
      </c>
      <c r="Q56" s="71" t="n">
        <v>0</v>
      </c>
      <c r="R56" s="71" t="n">
        <v>0</v>
      </c>
      <c r="S56" s="71" t="n">
        <v>0</v>
      </c>
      <c r="T56" s="71" t="n">
        <v>0</v>
      </c>
      <c r="U56" s="71" t="n">
        <v>0</v>
      </c>
      <c r="V56" s="71" t="n">
        <v>0</v>
      </c>
      <c r="W56" s="71" t="n">
        <v>0</v>
      </c>
      <c r="X56" s="71" t="n">
        <v>0</v>
      </c>
      <c r="Y56" s="71" t="n">
        <v>0</v>
      </c>
      <c r="Z56" s="71" t="n">
        <v>0</v>
      </c>
      <c r="AA56" s="71" t="n">
        <v>0</v>
      </c>
      <c r="AB56" s="71" t="n">
        <v>0</v>
      </c>
      <c r="AC56" s="71" t="n">
        <v>0</v>
      </c>
      <c r="AD56" s="71" t="n">
        <v>0</v>
      </c>
      <c r="AE56" s="71" t="n">
        <v>0</v>
      </c>
    </row>
    <row r="57" customFormat="false" ht="15" hidden="false" customHeight="false" outlineLevel="0" collapsed="false">
      <c r="A57" s="120" t="s">
        <v>176</v>
      </c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</row>
    <row r="58" customFormat="false" ht="15" hidden="false" customHeight="false" outlineLevel="0" collapsed="false">
      <c r="A58" s="84" t="s">
        <v>177</v>
      </c>
      <c r="B58" s="71" t="s">
        <v>12</v>
      </c>
      <c r="C58" s="82" t="n">
        <v>1</v>
      </c>
    </row>
    <row r="59" s="6" customFormat="true" ht="15" hidden="false" customHeight="false" outlineLevel="0" collapsed="false">
      <c r="A59" s="84"/>
      <c r="B59" s="71" t="s">
        <v>13</v>
      </c>
      <c r="C59" s="82" t="n">
        <v>0</v>
      </c>
    </row>
    <row r="60" customFormat="false" ht="15" hidden="false" customHeight="false" outlineLevel="0" collapsed="false">
      <c r="A60" s="84"/>
      <c r="B60" s="71" t="s">
        <v>14</v>
      </c>
      <c r="C60" s="82" t="n">
        <v>0</v>
      </c>
    </row>
    <row r="61" s="6" customFormat="true" ht="15" hidden="false" customHeight="false" outlineLevel="0" collapsed="false">
      <c r="A61" s="84"/>
      <c r="B61" s="127" t="s">
        <v>88</v>
      </c>
      <c r="C61" s="82" t="n">
        <v>0</v>
      </c>
    </row>
    <row r="62" customFormat="false" ht="15" hidden="false" customHeight="false" outlineLevel="0" collapsed="false">
      <c r="A62" s="120" t="s">
        <v>178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</row>
    <row r="63" customFormat="false" ht="15" hidden="false" customHeight="false" outlineLevel="0" collapsed="false">
      <c r="A63" s="128"/>
      <c r="C63" s="129" t="n">
        <v>212745.5</v>
      </c>
      <c r="D63" s="1" t="n">
        <v>211354.5</v>
      </c>
      <c r="E63" s="1" t="n">
        <v>208665.2</v>
      </c>
      <c r="F63" s="1" t="n">
        <v>207481</v>
      </c>
      <c r="G63" s="1" t="n">
        <v>206447</v>
      </c>
      <c r="H63" s="1" t="n">
        <v>204726.34</v>
      </c>
      <c r="I63" s="1" t="n">
        <v>202956.2</v>
      </c>
      <c r="J63" s="1" t="n">
        <v>202371.9</v>
      </c>
      <c r="K63" s="1" t="n">
        <v>207158.7</v>
      </c>
      <c r="L63" s="1" t="n">
        <v>205802.5</v>
      </c>
      <c r="M63" s="1" t="n">
        <v>204051.3</v>
      </c>
      <c r="N63" s="1" t="n">
        <v>204716.27</v>
      </c>
      <c r="O63" s="1" t="n">
        <v>204659.77</v>
      </c>
      <c r="P63" s="1" t="n">
        <v>204682.07</v>
      </c>
      <c r="Q63" s="1" t="n">
        <v>204392.27</v>
      </c>
      <c r="R63" s="1" t="n">
        <v>205137.67</v>
      </c>
      <c r="S63" s="1" t="n">
        <v>205019.13</v>
      </c>
      <c r="T63" s="1" t="n">
        <v>204989</v>
      </c>
      <c r="U63" s="1" t="n">
        <v>203925.501</v>
      </c>
      <c r="V63" s="1" t="n">
        <v>202059.365</v>
      </c>
      <c r="W63" s="1" t="n">
        <v>201703.702</v>
      </c>
      <c r="X63" s="1" t="n">
        <v>202685.442</v>
      </c>
      <c r="Y63" s="1" t="n">
        <v>203178.503</v>
      </c>
      <c r="Z63" s="1" t="n">
        <v>202170.058</v>
      </c>
      <c r="AA63" s="1" t="n">
        <v>202974.587</v>
      </c>
      <c r="AB63" s="1" t="n">
        <v>202656.183</v>
      </c>
      <c r="AC63" s="1" t="n">
        <v>202652.556</v>
      </c>
      <c r="AD63" s="1" t="n">
        <v>202327.675</v>
      </c>
      <c r="AE63" s="1" t="n">
        <v>201329.783</v>
      </c>
      <c r="AF63" s="1" t="n">
        <v>201314.277</v>
      </c>
    </row>
    <row r="64" customFormat="false" ht="15" hidden="false" customHeight="false" outlineLevel="0" collapsed="false">
      <c r="A64" s="128"/>
      <c r="C64" s="129"/>
    </row>
    <row r="65" customFormat="false" ht="17.35" hidden="false" customHeight="false" outlineLevel="0" collapsed="false">
      <c r="A65" s="107" t="s">
        <v>179</v>
      </c>
      <c r="C65" s="129"/>
    </row>
    <row r="66" customFormat="false" ht="15" hidden="false" customHeight="false" outlineLevel="0" collapsed="false">
      <c r="A66" s="128"/>
      <c r="C66" s="129"/>
    </row>
    <row r="67" customFormat="false" ht="15" hidden="false" customHeight="false" outlineLevel="0" collapsed="false">
      <c r="A67" s="130" t="s">
        <v>180</v>
      </c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</row>
    <row r="68" customFormat="false" ht="15" hidden="false" customHeight="false" outlineLevel="0" collapsed="false">
      <c r="A68" s="131" t="s">
        <v>172</v>
      </c>
      <c r="B68" s="132" t="s">
        <v>12</v>
      </c>
      <c r="C68" s="133" t="n">
        <v>4558818</v>
      </c>
      <c r="D68" s="133" t="n">
        <v>4558818</v>
      </c>
      <c r="E68" s="133" t="n">
        <v>4558818</v>
      </c>
      <c r="F68" s="133" t="n">
        <v>4558818</v>
      </c>
      <c r="G68" s="133" t="n">
        <v>4558818</v>
      </c>
      <c r="H68" s="134" t="n">
        <v>4558818</v>
      </c>
      <c r="I68" s="134" t="n">
        <v>4686389</v>
      </c>
      <c r="J68" s="134" t="n">
        <v>4778166</v>
      </c>
      <c r="K68" s="134" t="n">
        <v>4821627</v>
      </c>
      <c r="L68" s="134" t="n">
        <v>4810887</v>
      </c>
      <c r="M68" s="134" t="n">
        <v>4859466</v>
      </c>
      <c r="N68" s="134" t="n">
        <v>4986293</v>
      </c>
      <c r="O68" s="134" t="n">
        <v>4996372</v>
      </c>
      <c r="P68" s="134" t="n">
        <v>5085013</v>
      </c>
      <c r="Q68" s="134" t="n">
        <v>5030816</v>
      </c>
      <c r="R68" s="134" t="n">
        <v>5025317</v>
      </c>
      <c r="S68" s="134" t="n">
        <v>5035683</v>
      </c>
      <c r="T68" s="134" t="n">
        <v>4941991</v>
      </c>
      <c r="U68" s="134" t="n">
        <v>4720453</v>
      </c>
      <c r="V68" s="134" t="n">
        <v>4773182</v>
      </c>
      <c r="W68" s="134" t="n">
        <v>4799062</v>
      </c>
      <c r="X68" s="134" t="n">
        <v>4792440</v>
      </c>
      <c r="Y68" s="134" t="n">
        <v>4841582</v>
      </c>
      <c r="Z68" s="134" t="n">
        <v>4977180</v>
      </c>
      <c r="AA68" s="134" t="n">
        <v>5092648</v>
      </c>
      <c r="AB68" s="134" t="n">
        <v>5105252</v>
      </c>
      <c r="AC68" s="134" t="n">
        <v>5170979</v>
      </c>
      <c r="AD68" s="134" t="n">
        <v>5256238</v>
      </c>
      <c r="AE68" s="135" t="n">
        <v>5390897</v>
      </c>
    </row>
    <row r="69" customFormat="false" ht="15" hidden="false" customHeight="false" outlineLevel="0" collapsed="false">
      <c r="A69" s="131"/>
      <c r="B69" s="71" t="s">
        <v>13</v>
      </c>
      <c r="C69" s="115" t="n">
        <v>0</v>
      </c>
      <c r="D69" s="115" t="n">
        <v>0</v>
      </c>
      <c r="E69" s="115" t="n">
        <v>0</v>
      </c>
      <c r="F69" s="115" t="n">
        <v>0</v>
      </c>
      <c r="G69" s="115" t="n">
        <v>0</v>
      </c>
      <c r="H69" s="116" t="n">
        <v>0</v>
      </c>
      <c r="I69" s="116" t="n">
        <v>0</v>
      </c>
      <c r="J69" s="116" t="n">
        <v>0</v>
      </c>
      <c r="K69" s="116" t="n">
        <v>0</v>
      </c>
      <c r="L69" s="116" t="n">
        <v>0</v>
      </c>
      <c r="M69" s="116" t="n">
        <v>0</v>
      </c>
      <c r="N69" s="116" t="n">
        <v>0</v>
      </c>
      <c r="O69" s="116" t="n">
        <v>0</v>
      </c>
      <c r="P69" s="116" t="n">
        <v>0</v>
      </c>
      <c r="Q69" s="116" t="n">
        <v>0</v>
      </c>
      <c r="R69" s="116" t="n">
        <v>0</v>
      </c>
      <c r="S69" s="116" t="n">
        <v>0</v>
      </c>
      <c r="T69" s="116" t="n">
        <v>0</v>
      </c>
      <c r="U69" s="116" t="n">
        <v>0</v>
      </c>
      <c r="V69" s="116" t="n">
        <v>0</v>
      </c>
      <c r="W69" s="116" t="n">
        <v>0</v>
      </c>
      <c r="X69" s="116" t="n">
        <v>0</v>
      </c>
      <c r="Y69" s="116" t="n">
        <v>0</v>
      </c>
      <c r="Z69" s="116" t="n">
        <v>0</v>
      </c>
      <c r="AA69" s="116" t="n">
        <v>0</v>
      </c>
      <c r="AB69" s="116" t="n">
        <v>0</v>
      </c>
      <c r="AC69" s="116" t="n">
        <v>0</v>
      </c>
      <c r="AD69" s="116" t="n">
        <v>0</v>
      </c>
      <c r="AE69" s="136" t="n">
        <v>0</v>
      </c>
    </row>
    <row r="70" customFormat="false" ht="15" hidden="false" customHeight="false" outlineLevel="0" collapsed="false">
      <c r="A70" s="131"/>
      <c r="B70" s="71" t="s">
        <v>14</v>
      </c>
      <c r="C70" s="115" t="n">
        <v>0</v>
      </c>
      <c r="D70" s="115" t="n">
        <v>0</v>
      </c>
      <c r="E70" s="115" t="n">
        <v>0</v>
      </c>
      <c r="F70" s="115" t="n">
        <v>0</v>
      </c>
      <c r="G70" s="115" t="n">
        <v>0</v>
      </c>
      <c r="H70" s="116" t="n">
        <v>0</v>
      </c>
      <c r="I70" s="116" t="n">
        <v>0</v>
      </c>
      <c r="J70" s="116" t="n">
        <v>0</v>
      </c>
      <c r="K70" s="116" t="n">
        <v>0</v>
      </c>
      <c r="L70" s="116" t="n">
        <v>0</v>
      </c>
      <c r="M70" s="116" t="n">
        <v>0</v>
      </c>
      <c r="N70" s="116" t="n">
        <v>0</v>
      </c>
      <c r="O70" s="116" t="n">
        <v>0</v>
      </c>
      <c r="P70" s="116" t="n">
        <v>0</v>
      </c>
      <c r="Q70" s="116" t="n">
        <v>0</v>
      </c>
      <c r="R70" s="116" t="n">
        <v>0</v>
      </c>
      <c r="S70" s="116" t="n">
        <v>0</v>
      </c>
      <c r="T70" s="116" t="n">
        <v>0</v>
      </c>
      <c r="U70" s="116" t="n">
        <v>0</v>
      </c>
      <c r="V70" s="116" t="n">
        <v>0</v>
      </c>
      <c r="W70" s="116" t="n">
        <v>0</v>
      </c>
      <c r="X70" s="116" t="n">
        <v>0</v>
      </c>
      <c r="Y70" s="116" t="n">
        <v>0</v>
      </c>
      <c r="Z70" s="116" t="n">
        <v>0</v>
      </c>
      <c r="AA70" s="116" t="n">
        <v>0</v>
      </c>
      <c r="AB70" s="116" t="n">
        <v>0</v>
      </c>
      <c r="AC70" s="116" t="n">
        <v>0</v>
      </c>
      <c r="AD70" s="116" t="n">
        <v>0</v>
      </c>
      <c r="AE70" s="136" t="n">
        <v>0</v>
      </c>
    </row>
    <row r="71" customFormat="false" ht="15" hidden="false" customHeight="false" outlineLevel="0" collapsed="false">
      <c r="A71" s="131"/>
      <c r="B71" s="71" t="s">
        <v>88</v>
      </c>
      <c r="C71" s="115" t="n">
        <v>0</v>
      </c>
      <c r="D71" s="115" t="n">
        <v>0</v>
      </c>
      <c r="E71" s="115" t="n">
        <v>0</v>
      </c>
      <c r="F71" s="115" t="n">
        <v>0</v>
      </c>
      <c r="G71" s="115" t="n">
        <v>0</v>
      </c>
      <c r="H71" s="116" t="n">
        <v>0</v>
      </c>
      <c r="I71" s="116" t="n">
        <v>0</v>
      </c>
      <c r="J71" s="116" t="n">
        <v>0</v>
      </c>
      <c r="K71" s="116" t="n">
        <v>0</v>
      </c>
      <c r="L71" s="116" t="n">
        <v>0</v>
      </c>
      <c r="M71" s="116" t="n">
        <v>0</v>
      </c>
      <c r="N71" s="116" t="n">
        <v>0</v>
      </c>
      <c r="O71" s="116" t="n">
        <v>0</v>
      </c>
      <c r="P71" s="116" t="n">
        <v>0</v>
      </c>
      <c r="Q71" s="116" t="n">
        <v>0</v>
      </c>
      <c r="R71" s="116" t="n">
        <v>0</v>
      </c>
      <c r="S71" s="116" t="n">
        <v>0</v>
      </c>
      <c r="T71" s="116" t="n">
        <v>0</v>
      </c>
      <c r="U71" s="116" t="n">
        <v>0</v>
      </c>
      <c r="V71" s="116" t="n">
        <v>0</v>
      </c>
      <c r="W71" s="116" t="n">
        <v>0</v>
      </c>
      <c r="X71" s="116" t="n">
        <v>0</v>
      </c>
      <c r="Y71" s="116" t="n">
        <v>0</v>
      </c>
      <c r="Z71" s="116" t="n">
        <v>0</v>
      </c>
      <c r="AA71" s="116" t="n">
        <v>0</v>
      </c>
      <c r="AB71" s="116" t="n">
        <v>0</v>
      </c>
      <c r="AC71" s="116" t="n">
        <v>0</v>
      </c>
      <c r="AD71" s="116" t="n">
        <v>0</v>
      </c>
      <c r="AE71" s="136" t="n">
        <v>0</v>
      </c>
    </row>
    <row r="72" customFormat="false" ht="15" hidden="false" customHeight="false" outlineLevel="0" collapsed="false">
      <c r="A72" s="80" t="s">
        <v>17</v>
      </c>
      <c r="B72" s="132" t="s">
        <v>12</v>
      </c>
      <c r="C72" s="115" t="n">
        <v>780.161976</v>
      </c>
      <c r="D72" s="115" t="n">
        <v>780.161976</v>
      </c>
      <c r="E72" s="115" t="n">
        <v>780.161976</v>
      </c>
      <c r="F72" s="115" t="n">
        <v>780.161976</v>
      </c>
      <c r="G72" s="115" t="n">
        <v>780.161976</v>
      </c>
      <c r="H72" s="116" t="n">
        <v>780.161976</v>
      </c>
      <c r="I72" s="116" t="n">
        <v>746.044227</v>
      </c>
      <c r="J72" s="116" t="n">
        <v>741.113104</v>
      </c>
      <c r="K72" s="116" t="n">
        <v>743.12743</v>
      </c>
      <c r="L72" s="116" t="n">
        <v>752.873624</v>
      </c>
      <c r="M72" s="116" t="n">
        <v>731.899017</v>
      </c>
      <c r="N72" s="116" t="n">
        <v>791.388889</v>
      </c>
      <c r="O72" s="116" t="n">
        <v>833.058474</v>
      </c>
      <c r="P72" s="116" t="n">
        <v>815.174081</v>
      </c>
      <c r="Q72" s="116" t="n">
        <v>753.768517</v>
      </c>
      <c r="R72" s="116" t="n">
        <v>769.913708</v>
      </c>
      <c r="S72" s="116" t="n">
        <v>793.682687</v>
      </c>
      <c r="T72" s="116" t="n">
        <v>753.539238</v>
      </c>
      <c r="U72" s="116" t="n">
        <v>710.385237</v>
      </c>
      <c r="V72" s="116" t="n">
        <v>692.144565</v>
      </c>
      <c r="W72" s="116" t="n">
        <v>675.994339</v>
      </c>
      <c r="X72" s="116" t="n">
        <v>656.013095</v>
      </c>
      <c r="Y72" s="116" t="n">
        <v>633.720588</v>
      </c>
      <c r="Z72" s="116" t="n">
        <v>630.655855</v>
      </c>
      <c r="AA72" s="116" t="n">
        <v>617.511545</v>
      </c>
      <c r="AB72" s="116" t="n">
        <v>611.577581</v>
      </c>
      <c r="AC72" s="116" t="n">
        <v>729.934044</v>
      </c>
      <c r="AD72" s="116" t="n">
        <v>693.337323</v>
      </c>
      <c r="AE72" s="136" t="n">
        <v>628.172647</v>
      </c>
    </row>
    <row r="73" customFormat="false" ht="15" hidden="false" customHeight="false" outlineLevel="0" collapsed="false">
      <c r="A73" s="80"/>
      <c r="B73" s="71" t="s">
        <v>13</v>
      </c>
      <c r="C73" s="115" t="n">
        <v>0</v>
      </c>
      <c r="D73" s="115" t="n">
        <v>0</v>
      </c>
      <c r="E73" s="115" t="n">
        <v>0</v>
      </c>
      <c r="F73" s="115" t="n">
        <v>0</v>
      </c>
      <c r="G73" s="115" t="n">
        <v>0</v>
      </c>
      <c r="H73" s="116" t="n">
        <v>0</v>
      </c>
      <c r="I73" s="116" t="n">
        <v>0</v>
      </c>
      <c r="J73" s="116" t="n">
        <v>0</v>
      </c>
      <c r="K73" s="116" t="n">
        <v>0</v>
      </c>
      <c r="L73" s="116" t="n">
        <v>0</v>
      </c>
      <c r="M73" s="116" t="n">
        <v>0</v>
      </c>
      <c r="N73" s="116" t="n">
        <v>0</v>
      </c>
      <c r="O73" s="116" t="n">
        <v>0</v>
      </c>
      <c r="P73" s="116" t="n">
        <v>0</v>
      </c>
      <c r="Q73" s="116" t="n">
        <v>0</v>
      </c>
      <c r="R73" s="116" t="n">
        <v>0</v>
      </c>
      <c r="S73" s="116" t="n">
        <v>0</v>
      </c>
      <c r="T73" s="116" t="n">
        <v>0</v>
      </c>
      <c r="U73" s="116" t="n">
        <v>0</v>
      </c>
      <c r="V73" s="116" t="n">
        <v>0</v>
      </c>
      <c r="W73" s="116" t="n">
        <v>0</v>
      </c>
      <c r="X73" s="116" t="n">
        <v>0</v>
      </c>
      <c r="Y73" s="116" t="n">
        <v>0</v>
      </c>
      <c r="Z73" s="116" t="n">
        <v>0</v>
      </c>
      <c r="AA73" s="116" t="n">
        <v>0</v>
      </c>
      <c r="AB73" s="116" t="n">
        <v>0</v>
      </c>
      <c r="AC73" s="116" t="n">
        <v>0</v>
      </c>
      <c r="AD73" s="116" t="n">
        <v>0</v>
      </c>
      <c r="AE73" s="136" t="n">
        <v>0</v>
      </c>
    </row>
    <row r="74" customFormat="false" ht="15" hidden="false" customHeight="false" outlineLevel="0" collapsed="false">
      <c r="A74" s="80"/>
      <c r="B74" s="71" t="s">
        <v>14</v>
      </c>
      <c r="C74" s="115" t="n">
        <v>2767.450652</v>
      </c>
      <c r="D74" s="115" t="n">
        <v>2767.450652</v>
      </c>
      <c r="E74" s="115" t="n">
        <v>2767.450652</v>
      </c>
      <c r="F74" s="115" t="n">
        <v>2767.450652</v>
      </c>
      <c r="G74" s="115" t="n">
        <v>2767.450652</v>
      </c>
      <c r="H74" s="116" t="n">
        <v>2767.450652</v>
      </c>
      <c r="I74" s="116" t="n">
        <v>2796.38215</v>
      </c>
      <c r="J74" s="116" t="n">
        <v>2885.988248</v>
      </c>
      <c r="K74" s="116" t="n">
        <v>2891.992411</v>
      </c>
      <c r="L74" s="116" t="n">
        <v>2971.474129</v>
      </c>
      <c r="M74" s="116" t="n">
        <v>2921.443543</v>
      </c>
      <c r="N74" s="116" t="n">
        <v>3020.174679</v>
      </c>
      <c r="O74" s="116" t="n">
        <v>3141.711636</v>
      </c>
      <c r="P74" s="116" t="n">
        <v>2977.780927</v>
      </c>
      <c r="Q74" s="116" t="n">
        <v>2769.629628</v>
      </c>
      <c r="R74" s="116" t="n">
        <v>2723.427202</v>
      </c>
      <c r="S74" s="116" t="n">
        <v>2900.842055</v>
      </c>
      <c r="T74" s="116" t="n">
        <v>2841.859894</v>
      </c>
      <c r="U74" s="116" t="n">
        <v>2938.154144</v>
      </c>
      <c r="V74" s="116" t="n">
        <v>2932.882486</v>
      </c>
      <c r="W74" s="116" t="n">
        <v>2932.633041</v>
      </c>
      <c r="X74" s="116" t="n">
        <v>3094.730563</v>
      </c>
      <c r="Y74" s="116" t="n">
        <v>3216.850924</v>
      </c>
      <c r="Z74" s="116" t="n">
        <v>3317.229856</v>
      </c>
      <c r="AA74" s="116" t="n">
        <v>3209.033075</v>
      </c>
      <c r="AB74" s="116" t="n">
        <v>3284.637561</v>
      </c>
      <c r="AC74" s="116" t="n">
        <v>3432.568167</v>
      </c>
      <c r="AD74" s="116" t="n">
        <v>3458.378822</v>
      </c>
      <c r="AE74" s="136" t="n">
        <v>3350.795225</v>
      </c>
    </row>
    <row r="75" customFormat="false" ht="15" hidden="false" customHeight="false" outlineLevel="0" collapsed="false">
      <c r="A75" s="80"/>
      <c r="B75" s="71" t="s">
        <v>88</v>
      </c>
      <c r="C75" s="115" t="n">
        <v>0</v>
      </c>
      <c r="D75" s="115" t="n">
        <v>0</v>
      </c>
      <c r="E75" s="115" t="n">
        <v>0</v>
      </c>
      <c r="F75" s="115" t="n">
        <v>0</v>
      </c>
      <c r="G75" s="115" t="n">
        <v>0</v>
      </c>
      <c r="H75" s="116" t="n">
        <v>0</v>
      </c>
      <c r="I75" s="116" t="n">
        <v>0</v>
      </c>
      <c r="J75" s="116" t="n">
        <v>0</v>
      </c>
      <c r="K75" s="116" t="n">
        <v>0</v>
      </c>
      <c r="L75" s="116" t="n">
        <v>0</v>
      </c>
      <c r="M75" s="116" t="n">
        <v>0</v>
      </c>
      <c r="N75" s="116" t="n">
        <v>0</v>
      </c>
      <c r="O75" s="116" t="n">
        <v>0</v>
      </c>
      <c r="P75" s="116" t="n">
        <v>0</v>
      </c>
      <c r="Q75" s="116" t="n">
        <v>0</v>
      </c>
      <c r="R75" s="116" t="n">
        <v>0</v>
      </c>
      <c r="S75" s="116" t="n">
        <v>0</v>
      </c>
      <c r="T75" s="116" t="n">
        <v>0</v>
      </c>
      <c r="U75" s="116" t="n">
        <v>0</v>
      </c>
      <c r="V75" s="116" t="n">
        <v>0</v>
      </c>
      <c r="W75" s="116" t="n">
        <v>0</v>
      </c>
      <c r="X75" s="116" t="n">
        <v>0</v>
      </c>
      <c r="Y75" s="116" t="n">
        <v>0</v>
      </c>
      <c r="Z75" s="116" t="n">
        <v>0</v>
      </c>
      <c r="AA75" s="116" t="n">
        <v>0</v>
      </c>
      <c r="AB75" s="116" t="n">
        <v>0</v>
      </c>
      <c r="AC75" s="116" t="n">
        <v>0</v>
      </c>
      <c r="AD75" s="116" t="n">
        <v>0</v>
      </c>
      <c r="AE75" s="136" t="n">
        <v>0</v>
      </c>
    </row>
    <row r="76" customFormat="false" ht="15" hidden="false" customHeight="false" outlineLevel="0" collapsed="false">
      <c r="A76" s="80" t="s">
        <v>19</v>
      </c>
      <c r="B76" s="132" t="s">
        <v>12</v>
      </c>
      <c r="C76" s="115" t="n">
        <v>51.2542355912624</v>
      </c>
      <c r="D76" s="115" t="n">
        <v>51.2542355912624</v>
      </c>
      <c r="E76" s="115" t="n">
        <v>51.2542355912624</v>
      </c>
      <c r="F76" s="115" t="n">
        <v>51.2542355912624</v>
      </c>
      <c r="G76" s="115" t="n">
        <v>51.2542355912624</v>
      </c>
      <c r="H76" s="116" t="n">
        <v>51.2542355912624</v>
      </c>
      <c r="I76" s="116" t="n">
        <v>55.5344445564145</v>
      </c>
      <c r="J76" s="116" t="n">
        <v>51.3955550462503</v>
      </c>
      <c r="K76" s="116" t="n">
        <v>46.8287992704035</v>
      </c>
      <c r="L76" s="116" t="n">
        <v>46.0662222225942</v>
      </c>
      <c r="M76" s="116" t="n">
        <v>44.4932209267422</v>
      </c>
      <c r="N76" s="116" t="n">
        <v>45.2836431363253</v>
      </c>
      <c r="O76" s="116" t="n">
        <v>44.3507364993405</v>
      </c>
      <c r="P76" s="116" t="n">
        <v>44.8502226201627</v>
      </c>
      <c r="Q76" s="116" t="n">
        <v>42.1956494348082</v>
      </c>
      <c r="R76" s="116" t="n">
        <v>37.6926406751305</v>
      </c>
      <c r="S76" s="116" t="n">
        <v>34.7086315749776</v>
      </c>
      <c r="T76" s="116" t="n">
        <v>32.5044881594976</v>
      </c>
      <c r="U76" s="116" t="n">
        <v>29.6373900848039</v>
      </c>
      <c r="V76" s="116" t="n">
        <v>29.7244355283276</v>
      </c>
      <c r="W76" s="116" t="n">
        <v>28.3090074925871</v>
      </c>
      <c r="X76" s="116" t="n">
        <v>25.3097797156398</v>
      </c>
      <c r="Y76" s="116" t="n">
        <v>26.4117233155397</v>
      </c>
      <c r="Z76" s="116" t="n">
        <v>25.6016649435807</v>
      </c>
      <c r="AA76" s="116" t="n">
        <v>24.0002691604979</v>
      </c>
      <c r="AB76" s="116" t="n">
        <v>22.5794285773723</v>
      </c>
      <c r="AC76" s="116" t="n">
        <v>24.6491018274</v>
      </c>
      <c r="AD76" s="116" t="n">
        <v>23.6934442895814</v>
      </c>
      <c r="AE76" s="136" t="n">
        <v>22.1576325260056</v>
      </c>
    </row>
    <row r="77" customFormat="false" ht="15" hidden="false" customHeight="false" outlineLevel="0" collapsed="false">
      <c r="A77" s="80"/>
      <c r="B77" s="71" t="s">
        <v>13</v>
      </c>
      <c r="C77" s="115" t="n">
        <v>0</v>
      </c>
      <c r="D77" s="115" t="n">
        <v>0</v>
      </c>
      <c r="E77" s="115" t="n">
        <v>0</v>
      </c>
      <c r="F77" s="115" t="n">
        <v>0</v>
      </c>
      <c r="G77" s="115" t="n">
        <v>0</v>
      </c>
      <c r="H77" s="116" t="n">
        <v>0</v>
      </c>
      <c r="I77" s="116" t="n">
        <v>0</v>
      </c>
      <c r="J77" s="116" t="n">
        <v>0</v>
      </c>
      <c r="K77" s="116" t="n">
        <v>0</v>
      </c>
      <c r="L77" s="116" t="n">
        <v>0</v>
      </c>
      <c r="M77" s="116" t="n">
        <v>0</v>
      </c>
      <c r="N77" s="116" t="n">
        <v>0</v>
      </c>
      <c r="O77" s="116" t="n">
        <v>0</v>
      </c>
      <c r="P77" s="116" t="n">
        <v>0</v>
      </c>
      <c r="Q77" s="116" t="n">
        <v>0</v>
      </c>
      <c r="R77" s="116" t="n">
        <v>0</v>
      </c>
      <c r="S77" s="116" t="n">
        <v>0</v>
      </c>
      <c r="T77" s="116" t="n">
        <v>0</v>
      </c>
      <c r="U77" s="116" t="n">
        <v>0</v>
      </c>
      <c r="V77" s="116" t="n">
        <v>0</v>
      </c>
      <c r="W77" s="116" t="n">
        <v>0</v>
      </c>
      <c r="X77" s="116" t="n">
        <v>0</v>
      </c>
      <c r="Y77" s="116" t="n">
        <v>0</v>
      </c>
      <c r="Z77" s="116" t="n">
        <v>0</v>
      </c>
      <c r="AA77" s="116" t="n">
        <v>0</v>
      </c>
      <c r="AB77" s="116" t="n">
        <v>0</v>
      </c>
      <c r="AC77" s="116" t="n">
        <v>0</v>
      </c>
      <c r="AD77" s="116" t="n">
        <v>0</v>
      </c>
      <c r="AE77" s="136" t="n">
        <v>0</v>
      </c>
    </row>
    <row r="78" customFormat="false" ht="15" hidden="false" customHeight="false" outlineLevel="0" collapsed="false">
      <c r="A78" s="80"/>
      <c r="B78" s="71" t="s">
        <v>14</v>
      </c>
      <c r="C78" s="115" t="n">
        <v>0</v>
      </c>
      <c r="D78" s="115" t="n">
        <v>0</v>
      </c>
      <c r="E78" s="115" t="n">
        <v>0</v>
      </c>
      <c r="F78" s="115" t="n">
        <v>0</v>
      </c>
      <c r="G78" s="115" t="n">
        <v>0</v>
      </c>
      <c r="H78" s="116" t="n">
        <v>0</v>
      </c>
      <c r="I78" s="116" t="n">
        <v>0</v>
      </c>
      <c r="J78" s="116" t="n">
        <v>0</v>
      </c>
      <c r="K78" s="116" t="n">
        <v>0</v>
      </c>
      <c r="L78" s="116" t="n">
        <v>0</v>
      </c>
      <c r="M78" s="116" t="n">
        <v>0</v>
      </c>
      <c r="N78" s="116" t="n">
        <v>0</v>
      </c>
      <c r="O78" s="116" t="n">
        <v>0</v>
      </c>
      <c r="P78" s="116" t="n">
        <v>0</v>
      </c>
      <c r="Q78" s="116" t="n">
        <v>0</v>
      </c>
      <c r="R78" s="116" t="n">
        <v>0</v>
      </c>
      <c r="S78" s="116" t="n">
        <v>0</v>
      </c>
      <c r="T78" s="116" t="n">
        <v>0</v>
      </c>
      <c r="U78" s="116" t="n">
        <v>0</v>
      </c>
      <c r="V78" s="116" t="n">
        <v>0</v>
      </c>
      <c r="W78" s="116" t="n">
        <v>0</v>
      </c>
      <c r="X78" s="116" t="n">
        <v>0</v>
      </c>
      <c r="Y78" s="116" t="n">
        <v>0</v>
      </c>
      <c r="Z78" s="116" t="n">
        <v>0</v>
      </c>
      <c r="AA78" s="116" t="n">
        <v>0</v>
      </c>
      <c r="AB78" s="116" t="n">
        <v>0</v>
      </c>
      <c r="AC78" s="116" t="n">
        <v>0</v>
      </c>
      <c r="AD78" s="116" t="n">
        <v>0</v>
      </c>
      <c r="AE78" s="136" t="n">
        <v>0</v>
      </c>
    </row>
    <row r="79" customFormat="false" ht="15" hidden="false" customHeight="false" outlineLevel="0" collapsed="false">
      <c r="A79" s="80"/>
      <c r="B79" s="71" t="s">
        <v>88</v>
      </c>
      <c r="C79" s="115" t="n">
        <v>0</v>
      </c>
      <c r="D79" s="115" t="n">
        <v>0</v>
      </c>
      <c r="E79" s="115" t="n">
        <v>0</v>
      </c>
      <c r="F79" s="115" t="n">
        <v>0</v>
      </c>
      <c r="G79" s="115" t="n">
        <v>0</v>
      </c>
      <c r="H79" s="116" t="n">
        <v>0</v>
      </c>
      <c r="I79" s="116" t="n">
        <v>0</v>
      </c>
      <c r="J79" s="116" t="n">
        <v>0</v>
      </c>
      <c r="K79" s="116" t="n">
        <v>0</v>
      </c>
      <c r="L79" s="116" t="n">
        <v>0</v>
      </c>
      <c r="M79" s="116" t="n">
        <v>0</v>
      </c>
      <c r="N79" s="116" t="n">
        <v>0</v>
      </c>
      <c r="O79" s="116" t="n">
        <v>0</v>
      </c>
      <c r="P79" s="116" t="n">
        <v>0</v>
      </c>
      <c r="Q79" s="116" t="n">
        <v>0</v>
      </c>
      <c r="R79" s="116" t="n">
        <v>0</v>
      </c>
      <c r="S79" s="116" t="n">
        <v>0</v>
      </c>
      <c r="T79" s="116" t="n">
        <v>0</v>
      </c>
      <c r="U79" s="116" t="n">
        <v>0</v>
      </c>
      <c r="V79" s="116" t="n">
        <v>0</v>
      </c>
      <c r="W79" s="116" t="n">
        <v>0</v>
      </c>
      <c r="X79" s="116" t="n">
        <v>0</v>
      </c>
      <c r="Y79" s="116" t="n">
        <v>0</v>
      </c>
      <c r="Z79" s="116" t="n">
        <v>0</v>
      </c>
      <c r="AA79" s="116" t="n">
        <v>0</v>
      </c>
      <c r="AB79" s="116" t="n">
        <v>0</v>
      </c>
      <c r="AC79" s="116" t="n">
        <v>0</v>
      </c>
      <c r="AD79" s="116" t="n">
        <v>0</v>
      </c>
      <c r="AE79" s="136" t="n">
        <v>0</v>
      </c>
    </row>
    <row r="80" customFormat="false" ht="15" hidden="false" customHeight="false" outlineLevel="0" collapsed="false">
      <c r="A80" s="80" t="s">
        <v>175</v>
      </c>
      <c r="B80" s="71" t="s">
        <v>12</v>
      </c>
      <c r="C80" s="115" t="n">
        <v>20483399</v>
      </c>
      <c r="D80" s="115" t="n">
        <v>20483399</v>
      </c>
      <c r="E80" s="115" t="n">
        <v>20483399</v>
      </c>
      <c r="F80" s="115" t="n">
        <v>20483399</v>
      </c>
      <c r="G80" s="115" t="n">
        <v>20483399</v>
      </c>
      <c r="H80" s="116" t="n">
        <v>20483399</v>
      </c>
      <c r="I80" s="116" t="n">
        <v>21142512</v>
      </c>
      <c r="J80" s="116" t="n">
        <v>21439653</v>
      </c>
      <c r="K80" s="116" t="n">
        <v>21839912</v>
      </c>
      <c r="L80" s="116" t="n">
        <v>22319417</v>
      </c>
      <c r="M80" s="116" t="n">
        <v>22831736</v>
      </c>
      <c r="N80" s="116" t="n">
        <v>23356131</v>
      </c>
      <c r="O80" s="116" t="n">
        <v>24476621</v>
      </c>
      <c r="P80" s="116" t="n">
        <v>24676789</v>
      </c>
      <c r="Q80" s="116" t="n">
        <v>24393828</v>
      </c>
      <c r="R80" s="116" t="n">
        <v>24461473</v>
      </c>
      <c r="S80" s="116" t="n">
        <v>24552625</v>
      </c>
      <c r="T80" s="116" t="n">
        <v>24251666</v>
      </c>
      <c r="U80" s="116" t="n">
        <v>24329650</v>
      </c>
      <c r="V80" s="116" t="n">
        <v>24741539</v>
      </c>
      <c r="W80" s="116" t="n">
        <v>25396318</v>
      </c>
      <c r="X80" s="116" t="n">
        <v>25670667</v>
      </c>
      <c r="Y80" s="116" t="n">
        <v>26002584</v>
      </c>
      <c r="Z80" s="116" t="n">
        <v>26461307</v>
      </c>
      <c r="AA80" s="116" t="n">
        <v>26997767</v>
      </c>
      <c r="AB80" s="116" t="n">
        <v>27318570</v>
      </c>
      <c r="AC80" s="116" t="n">
        <v>27742579</v>
      </c>
      <c r="AD80" s="116" t="n">
        <v>28053848</v>
      </c>
      <c r="AE80" s="136" t="n">
        <v>28460713</v>
      </c>
    </row>
    <row r="81" customFormat="false" ht="15" hidden="false" customHeight="false" outlineLevel="0" collapsed="false">
      <c r="A81" s="80"/>
      <c r="B81" s="71" t="s">
        <v>13</v>
      </c>
      <c r="C81" s="115" t="n">
        <v>7509</v>
      </c>
      <c r="D81" s="115" t="n">
        <v>7509</v>
      </c>
      <c r="E81" s="115" t="n">
        <v>7509</v>
      </c>
      <c r="F81" s="115" t="n">
        <v>7509</v>
      </c>
      <c r="G81" s="115" t="n">
        <v>7509</v>
      </c>
      <c r="H81" s="116" t="n">
        <v>7509</v>
      </c>
      <c r="I81" s="116" t="n">
        <v>8885</v>
      </c>
      <c r="J81" s="116" t="n">
        <v>10724</v>
      </c>
      <c r="K81" s="116" t="n">
        <v>12990</v>
      </c>
      <c r="L81" s="116" t="n">
        <v>14937</v>
      </c>
      <c r="M81" s="116" t="n">
        <v>17506</v>
      </c>
      <c r="N81" s="116" t="n">
        <v>30914</v>
      </c>
      <c r="O81" s="116" t="n">
        <v>33448</v>
      </c>
      <c r="P81" s="116" t="n">
        <v>44143</v>
      </c>
      <c r="Q81" s="116" t="n">
        <v>58687</v>
      </c>
      <c r="R81" s="116" t="n">
        <v>82199</v>
      </c>
      <c r="S81" s="116" t="n">
        <v>82440</v>
      </c>
      <c r="T81" s="116" t="n">
        <v>105390</v>
      </c>
      <c r="U81" s="116" t="n">
        <v>110219</v>
      </c>
      <c r="V81" s="116" t="n">
        <v>116520</v>
      </c>
      <c r="W81" s="116" t="n">
        <v>127013</v>
      </c>
      <c r="X81" s="116" t="n">
        <v>135211</v>
      </c>
      <c r="Y81" s="116" t="n">
        <v>140019</v>
      </c>
      <c r="Z81" s="116" t="n">
        <v>157685</v>
      </c>
      <c r="AA81" s="116" t="n">
        <v>165774</v>
      </c>
      <c r="AB81" s="116" t="n">
        <v>171926</v>
      </c>
      <c r="AC81" s="116" t="n">
        <v>172086</v>
      </c>
      <c r="AD81" s="116" t="n">
        <v>169957</v>
      </c>
      <c r="AE81" s="136" t="n">
        <v>167920</v>
      </c>
    </row>
    <row r="82" customFormat="false" ht="15" hidden="false" customHeight="false" outlineLevel="0" collapsed="false">
      <c r="A82" s="80"/>
      <c r="B82" s="71" t="s">
        <v>14</v>
      </c>
      <c r="C82" s="115" t="n">
        <v>5196</v>
      </c>
      <c r="D82" s="115" t="n">
        <v>5196</v>
      </c>
      <c r="E82" s="115" t="n">
        <v>5196</v>
      </c>
      <c r="F82" s="115" t="n">
        <v>5196</v>
      </c>
      <c r="G82" s="115" t="n">
        <v>5196</v>
      </c>
      <c r="H82" s="116" t="n">
        <v>5196</v>
      </c>
      <c r="I82" s="116" t="n">
        <v>5904</v>
      </c>
      <c r="J82" s="116" t="n">
        <v>6175</v>
      </c>
      <c r="K82" s="116" t="n">
        <v>6297</v>
      </c>
      <c r="L82" s="116" t="n">
        <v>6483</v>
      </c>
      <c r="M82" s="116" t="n">
        <v>6350</v>
      </c>
      <c r="N82" s="116" t="n">
        <v>6465</v>
      </c>
      <c r="O82" s="116" t="n">
        <v>6648</v>
      </c>
      <c r="P82" s="116" t="n">
        <v>6259</v>
      </c>
      <c r="Q82" s="116" t="n">
        <v>6652</v>
      </c>
      <c r="R82" s="116" t="n">
        <v>6390</v>
      </c>
      <c r="S82" s="116" t="n">
        <v>9131</v>
      </c>
      <c r="T82" s="116" t="n">
        <v>12900</v>
      </c>
      <c r="U82" s="116" t="n">
        <v>16675</v>
      </c>
      <c r="V82" s="116" t="n">
        <v>23954</v>
      </c>
      <c r="W82" s="116" t="n">
        <v>29612</v>
      </c>
      <c r="X82" s="116" t="n">
        <v>41083</v>
      </c>
      <c r="Y82" s="116" t="n">
        <v>52245</v>
      </c>
      <c r="Z82" s="116" t="n">
        <v>76495</v>
      </c>
      <c r="AA82" s="116" t="n">
        <v>98125</v>
      </c>
      <c r="AB82" s="116" t="n">
        <v>121318</v>
      </c>
      <c r="AC82" s="116" t="n">
        <v>167414</v>
      </c>
      <c r="AD82" s="116" t="n">
        <v>225112</v>
      </c>
      <c r="AE82" s="136" t="n">
        <v>308125</v>
      </c>
    </row>
    <row r="83" customFormat="false" ht="15" hidden="false" customHeight="false" outlineLevel="0" collapsed="false">
      <c r="A83" s="80"/>
      <c r="B83" s="71" t="s">
        <v>88</v>
      </c>
      <c r="C83" s="115" t="n">
        <v>0</v>
      </c>
      <c r="D83" s="115" t="n">
        <v>0</v>
      </c>
      <c r="E83" s="115" t="n">
        <v>0</v>
      </c>
      <c r="F83" s="115" t="n">
        <v>0</v>
      </c>
      <c r="G83" s="115" t="n">
        <v>0</v>
      </c>
      <c r="H83" s="116" t="n">
        <v>0</v>
      </c>
      <c r="I83" s="116" t="n">
        <v>0</v>
      </c>
      <c r="J83" s="116" t="n">
        <v>0</v>
      </c>
      <c r="K83" s="116" t="n">
        <v>0</v>
      </c>
      <c r="L83" s="116" t="n">
        <v>0</v>
      </c>
      <c r="M83" s="116" t="n">
        <v>0</v>
      </c>
      <c r="N83" s="116" t="n">
        <v>0</v>
      </c>
      <c r="O83" s="116" t="n">
        <v>0</v>
      </c>
      <c r="P83" s="116" t="n">
        <v>0</v>
      </c>
      <c r="Q83" s="116" t="n">
        <v>0</v>
      </c>
      <c r="R83" s="116" t="n">
        <v>0</v>
      </c>
      <c r="S83" s="116" t="n">
        <v>0</v>
      </c>
      <c r="T83" s="116" t="n">
        <v>0</v>
      </c>
      <c r="U83" s="116" t="n">
        <v>0</v>
      </c>
      <c r="V83" s="116" t="n">
        <v>0</v>
      </c>
      <c r="W83" s="116" t="n">
        <v>0</v>
      </c>
      <c r="X83" s="116" t="n">
        <v>0</v>
      </c>
      <c r="Y83" s="116" t="n">
        <v>0</v>
      </c>
      <c r="Z83" s="116" t="n">
        <v>0</v>
      </c>
      <c r="AA83" s="116" t="n">
        <v>0</v>
      </c>
      <c r="AB83" s="116" t="n">
        <v>0</v>
      </c>
      <c r="AC83" s="116" t="n">
        <v>0</v>
      </c>
      <c r="AD83" s="116" t="n">
        <v>0</v>
      </c>
      <c r="AE83" s="136" t="n">
        <v>0</v>
      </c>
    </row>
    <row r="84" customFormat="false" ht="15" hidden="false" customHeight="false" outlineLevel="0" collapsed="false">
      <c r="A84" s="137" t="s">
        <v>181</v>
      </c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</row>
    <row r="85" customFormat="false" ht="15" hidden="false" customHeight="false" outlineLevel="0" collapsed="false">
      <c r="A85" s="80" t="s">
        <v>182</v>
      </c>
      <c r="B85" s="71" t="s">
        <v>12</v>
      </c>
      <c r="C85" s="115" t="n">
        <v>614309</v>
      </c>
      <c r="D85" s="115" t="n">
        <v>614309</v>
      </c>
      <c r="E85" s="115" t="n">
        <v>614309</v>
      </c>
      <c r="F85" s="115" t="n">
        <v>614309</v>
      </c>
      <c r="G85" s="115" t="n">
        <v>614309</v>
      </c>
      <c r="H85" s="116" t="n">
        <v>614309</v>
      </c>
      <c r="I85" s="116" t="n">
        <v>620502</v>
      </c>
      <c r="J85" s="116" t="n">
        <v>614656</v>
      </c>
      <c r="K85" s="116" t="n">
        <v>616848</v>
      </c>
      <c r="L85" s="116" t="n">
        <v>619355</v>
      </c>
      <c r="M85" s="116" t="n">
        <v>611860</v>
      </c>
      <c r="N85" s="116" t="n">
        <v>611580</v>
      </c>
      <c r="O85" s="116" t="n">
        <v>611210</v>
      </c>
      <c r="P85" s="116" t="n">
        <v>618423</v>
      </c>
      <c r="Q85" s="116" t="n">
        <v>617304</v>
      </c>
      <c r="R85" s="116" t="n">
        <v>616213</v>
      </c>
      <c r="S85" s="116" t="n">
        <v>615460</v>
      </c>
      <c r="T85" s="116" t="n">
        <v>611159</v>
      </c>
      <c r="U85" s="116" t="n">
        <v>599555</v>
      </c>
      <c r="V85" s="116" t="n">
        <v>607099</v>
      </c>
      <c r="W85" s="116" t="n">
        <v>618677</v>
      </c>
      <c r="X85" s="116" t="n">
        <v>623593</v>
      </c>
      <c r="Y85" s="116" t="n">
        <v>613396</v>
      </c>
      <c r="Z85" s="116" t="n">
        <v>615406</v>
      </c>
      <c r="AA85" s="116" t="n">
        <v>631161</v>
      </c>
      <c r="AB85" s="116" t="n">
        <v>608573</v>
      </c>
      <c r="AC85" s="116" t="n">
        <v>613770</v>
      </c>
      <c r="AD85" s="116" t="n">
        <v>618632</v>
      </c>
      <c r="AE85" s="136" t="n">
        <v>619380</v>
      </c>
    </row>
    <row r="86" customFormat="false" ht="15" hidden="false" customHeight="false" outlineLevel="0" collapsed="false">
      <c r="A86" s="80"/>
      <c r="B86" s="71" t="s">
        <v>13</v>
      </c>
      <c r="C86" s="115" t="n">
        <v>2803</v>
      </c>
      <c r="D86" s="115" t="n">
        <v>2803</v>
      </c>
      <c r="E86" s="115" t="n">
        <v>2803</v>
      </c>
      <c r="F86" s="115" t="n">
        <v>2803</v>
      </c>
      <c r="G86" s="115" t="n">
        <v>2803</v>
      </c>
      <c r="H86" s="116" t="n">
        <v>2803</v>
      </c>
      <c r="I86" s="116" t="n">
        <v>4054</v>
      </c>
      <c r="J86" s="116" t="n">
        <v>4530</v>
      </c>
      <c r="K86" s="116" t="n">
        <v>5526</v>
      </c>
      <c r="L86" s="116" t="n">
        <v>5843</v>
      </c>
      <c r="M86" s="116" t="n">
        <v>7161</v>
      </c>
      <c r="N86" s="116" t="n">
        <v>8045</v>
      </c>
      <c r="O86" s="116" t="n">
        <v>9142</v>
      </c>
      <c r="P86" s="116" t="n">
        <v>9953</v>
      </c>
      <c r="Q86" s="116" t="n">
        <v>11278</v>
      </c>
      <c r="R86" s="116" t="n">
        <v>12225</v>
      </c>
      <c r="S86" s="116" t="n">
        <v>15077</v>
      </c>
      <c r="T86" s="116" t="n">
        <v>16284</v>
      </c>
      <c r="U86" s="116" t="n">
        <v>22019</v>
      </c>
      <c r="V86" s="116" t="n">
        <v>23047</v>
      </c>
      <c r="W86" s="116" t="n">
        <v>25465</v>
      </c>
      <c r="X86" s="116" t="n">
        <v>26604</v>
      </c>
      <c r="Y86" s="116" t="n">
        <v>28442</v>
      </c>
      <c r="Z86" s="116" t="n">
        <v>35683</v>
      </c>
      <c r="AA86" s="116" t="n">
        <v>32442</v>
      </c>
      <c r="AB86" s="116" t="n">
        <v>38203</v>
      </c>
      <c r="AC86" s="116" t="n">
        <v>43549</v>
      </c>
      <c r="AD86" s="116" t="n">
        <v>46538</v>
      </c>
      <c r="AE86" s="136" t="n">
        <v>49079</v>
      </c>
    </row>
    <row r="87" customFormat="false" ht="15" hidden="false" customHeight="false" outlineLevel="0" collapsed="false">
      <c r="A87" s="80"/>
      <c r="B87" s="71" t="s">
        <v>14</v>
      </c>
      <c r="C87" s="115" t="n">
        <v>1654</v>
      </c>
      <c r="D87" s="115" t="n">
        <v>1654</v>
      </c>
      <c r="E87" s="115" t="n">
        <v>1654</v>
      </c>
      <c r="F87" s="115" t="n">
        <v>1654</v>
      </c>
      <c r="G87" s="115" t="n">
        <v>1654</v>
      </c>
      <c r="H87" s="116" t="n">
        <v>1654</v>
      </c>
      <c r="I87" s="116" t="n">
        <v>1714</v>
      </c>
      <c r="J87" s="116" t="n">
        <v>1745</v>
      </c>
      <c r="K87" s="116" t="n">
        <v>1687</v>
      </c>
      <c r="L87" s="116" t="n">
        <v>1690</v>
      </c>
      <c r="M87" s="116" t="n">
        <v>2083</v>
      </c>
      <c r="N87" s="116" t="n">
        <v>2083</v>
      </c>
      <c r="O87" s="116" t="n">
        <v>2070</v>
      </c>
      <c r="P87" s="116" t="n">
        <v>2082</v>
      </c>
      <c r="Q87" s="116" t="n">
        <v>2135</v>
      </c>
      <c r="R87" s="116" t="n">
        <v>2469</v>
      </c>
      <c r="S87" s="116" t="n">
        <v>2572</v>
      </c>
      <c r="T87" s="116" t="n">
        <v>2571</v>
      </c>
      <c r="U87" s="116" t="n">
        <v>4343</v>
      </c>
      <c r="V87" s="116" t="n">
        <v>4623</v>
      </c>
      <c r="W87" s="116" t="n">
        <v>4945</v>
      </c>
      <c r="X87" s="116" t="n">
        <v>5307</v>
      </c>
      <c r="Y87" s="116" t="n">
        <v>5645</v>
      </c>
      <c r="Z87" s="116" t="n">
        <v>6079</v>
      </c>
      <c r="AA87" s="116" t="n">
        <v>7425</v>
      </c>
      <c r="AB87" s="116" t="n">
        <v>9068</v>
      </c>
      <c r="AC87" s="116" t="n">
        <v>11672</v>
      </c>
      <c r="AD87" s="116" t="n">
        <v>14809</v>
      </c>
      <c r="AE87" s="136" t="n">
        <v>20033</v>
      </c>
    </row>
    <row r="88" customFormat="false" ht="15" hidden="false" customHeight="false" outlineLevel="0" collapsed="false">
      <c r="A88" s="80"/>
      <c r="B88" s="71" t="s">
        <v>88</v>
      </c>
      <c r="C88" s="115" t="n">
        <v>0</v>
      </c>
      <c r="D88" s="115" t="n">
        <v>0</v>
      </c>
      <c r="E88" s="115" t="n">
        <v>0</v>
      </c>
      <c r="F88" s="115" t="n">
        <v>0</v>
      </c>
      <c r="G88" s="115" t="n">
        <v>0</v>
      </c>
      <c r="H88" s="116" t="n">
        <v>0</v>
      </c>
      <c r="I88" s="116" t="n">
        <v>0</v>
      </c>
      <c r="J88" s="116" t="n">
        <v>0</v>
      </c>
      <c r="K88" s="116" t="n">
        <v>0</v>
      </c>
      <c r="L88" s="116" t="n">
        <v>0</v>
      </c>
      <c r="M88" s="116" t="n">
        <v>0</v>
      </c>
      <c r="N88" s="116" t="n">
        <v>0</v>
      </c>
      <c r="O88" s="116" t="n">
        <v>0</v>
      </c>
      <c r="P88" s="116" t="n">
        <v>0</v>
      </c>
      <c r="Q88" s="116" t="n">
        <v>0</v>
      </c>
      <c r="R88" s="116" t="n">
        <v>0</v>
      </c>
      <c r="S88" s="116" t="n">
        <v>0</v>
      </c>
      <c r="T88" s="116" t="n">
        <v>0</v>
      </c>
      <c r="U88" s="116" t="n">
        <v>0</v>
      </c>
      <c r="V88" s="116" t="n">
        <v>0</v>
      </c>
      <c r="W88" s="116" t="n">
        <v>0</v>
      </c>
      <c r="X88" s="116" t="n">
        <v>0</v>
      </c>
      <c r="Y88" s="116" t="n">
        <v>0</v>
      </c>
      <c r="Z88" s="116" t="n">
        <v>0</v>
      </c>
      <c r="AA88" s="116" t="n">
        <v>0</v>
      </c>
      <c r="AB88" s="116" t="n">
        <v>0</v>
      </c>
      <c r="AC88" s="116" t="n">
        <v>0</v>
      </c>
      <c r="AD88" s="116" t="n">
        <v>0</v>
      </c>
      <c r="AE88" s="136" t="n">
        <v>0</v>
      </c>
    </row>
    <row r="89" customFormat="false" ht="15" hidden="false" customHeight="false" outlineLevel="0" collapsed="false">
      <c r="A89" s="80" t="s">
        <v>17</v>
      </c>
      <c r="B89" s="71" t="s">
        <v>12</v>
      </c>
      <c r="C89" s="115" t="n">
        <v>3992.970201</v>
      </c>
      <c r="D89" s="115" t="n">
        <v>3992.970201</v>
      </c>
      <c r="E89" s="115" t="n">
        <v>3992.970201</v>
      </c>
      <c r="F89" s="115" t="n">
        <v>3992.970201</v>
      </c>
      <c r="G89" s="115" t="n">
        <v>3992.970201</v>
      </c>
      <c r="H89" s="116" t="n">
        <v>3992.970201</v>
      </c>
      <c r="I89" s="116" t="n">
        <v>3917.17043</v>
      </c>
      <c r="J89" s="116" t="n">
        <v>3934.715953</v>
      </c>
      <c r="K89" s="116" t="n">
        <v>4121.649662</v>
      </c>
      <c r="L89" s="116" t="n">
        <v>4209.429441</v>
      </c>
      <c r="M89" s="116" t="n">
        <v>4156.583996</v>
      </c>
      <c r="N89" s="116" t="n">
        <v>4036.201962</v>
      </c>
      <c r="O89" s="116" t="n">
        <v>4090.644901</v>
      </c>
      <c r="P89" s="116" t="n">
        <v>4156.370225</v>
      </c>
      <c r="Q89" s="116" t="n">
        <v>3958.236032</v>
      </c>
      <c r="R89" s="116" t="n">
        <v>3869.407398</v>
      </c>
      <c r="S89" s="116" t="n">
        <v>3844.75694</v>
      </c>
      <c r="T89" s="116" t="n">
        <v>3934.102946</v>
      </c>
      <c r="U89" s="116" t="n">
        <v>3838.025935</v>
      </c>
      <c r="V89" s="116" t="n">
        <v>3870.151708</v>
      </c>
      <c r="W89" s="116" t="n">
        <v>3701.224793</v>
      </c>
      <c r="X89" s="116" t="n">
        <v>3658.13349</v>
      </c>
      <c r="Y89" s="116" t="n">
        <v>3664.138177</v>
      </c>
      <c r="Z89" s="116" t="n">
        <v>3497.294785</v>
      </c>
      <c r="AA89" s="116" t="n">
        <v>3453.015937</v>
      </c>
      <c r="AB89" s="116" t="n">
        <v>3136.671791</v>
      </c>
      <c r="AC89" s="116" t="n">
        <v>3521.955114</v>
      </c>
      <c r="AD89" s="116" t="n">
        <v>3380.447615</v>
      </c>
      <c r="AE89" s="136" t="n">
        <v>3201.097687</v>
      </c>
    </row>
    <row r="90" customFormat="false" ht="15" hidden="false" customHeight="false" outlineLevel="0" collapsed="false">
      <c r="A90" s="80"/>
      <c r="B90" s="71" t="s">
        <v>13</v>
      </c>
      <c r="C90" s="115" t="n">
        <v>0</v>
      </c>
      <c r="D90" s="115" t="n">
        <v>0</v>
      </c>
      <c r="E90" s="115" t="n">
        <v>0</v>
      </c>
      <c r="F90" s="115" t="n">
        <v>0</v>
      </c>
      <c r="G90" s="115" t="n">
        <v>0</v>
      </c>
      <c r="H90" s="116" t="n">
        <v>0</v>
      </c>
      <c r="I90" s="116" t="n">
        <v>0</v>
      </c>
      <c r="J90" s="116" t="n">
        <v>0</v>
      </c>
      <c r="K90" s="116" t="n">
        <v>0</v>
      </c>
      <c r="L90" s="116" t="n">
        <v>0</v>
      </c>
      <c r="M90" s="116" t="n">
        <v>0</v>
      </c>
      <c r="N90" s="116" t="n">
        <v>0</v>
      </c>
      <c r="O90" s="116" t="n">
        <v>0</v>
      </c>
      <c r="P90" s="116" t="n">
        <v>0</v>
      </c>
      <c r="Q90" s="116" t="n">
        <v>0</v>
      </c>
      <c r="R90" s="116" t="n">
        <v>0</v>
      </c>
      <c r="S90" s="116" t="n">
        <v>0</v>
      </c>
      <c r="T90" s="116" t="n">
        <v>0</v>
      </c>
      <c r="U90" s="116" t="n">
        <v>0</v>
      </c>
      <c r="V90" s="116" t="n">
        <v>0</v>
      </c>
      <c r="W90" s="116" t="n">
        <v>0</v>
      </c>
      <c r="X90" s="116" t="n">
        <v>0</v>
      </c>
      <c r="Y90" s="116" t="n">
        <v>0</v>
      </c>
      <c r="Z90" s="116" t="n">
        <v>0</v>
      </c>
      <c r="AA90" s="116" t="n">
        <v>0</v>
      </c>
      <c r="AB90" s="116" t="n">
        <v>0</v>
      </c>
      <c r="AC90" s="116" t="n">
        <v>0</v>
      </c>
      <c r="AD90" s="116" t="n">
        <v>0</v>
      </c>
      <c r="AE90" s="136" t="n">
        <v>0</v>
      </c>
    </row>
    <row r="91" customFormat="false" ht="15" hidden="false" customHeight="false" outlineLevel="0" collapsed="false">
      <c r="A91" s="80"/>
      <c r="B91" s="71" t="s">
        <v>14</v>
      </c>
      <c r="C91" s="115" t="n">
        <v>17275.046527</v>
      </c>
      <c r="D91" s="115" t="n">
        <v>17275.046527</v>
      </c>
      <c r="E91" s="115" t="n">
        <v>17275.046527</v>
      </c>
      <c r="F91" s="115" t="n">
        <v>17275.046527</v>
      </c>
      <c r="G91" s="115" t="n">
        <v>17275.046527</v>
      </c>
      <c r="H91" s="116" t="n">
        <v>17275.046527</v>
      </c>
      <c r="I91" s="116" t="n">
        <v>17241.6457</v>
      </c>
      <c r="J91" s="116" t="n">
        <v>17761.315656</v>
      </c>
      <c r="K91" s="116" t="n">
        <v>18215.36618</v>
      </c>
      <c r="L91" s="116" t="n">
        <v>18770.725398</v>
      </c>
      <c r="M91" s="116" t="n">
        <v>19310.849262</v>
      </c>
      <c r="N91" s="116" t="n">
        <v>19391.236399</v>
      </c>
      <c r="O91" s="116" t="n">
        <v>19781.400582</v>
      </c>
      <c r="P91" s="116" t="n">
        <v>20365.577169</v>
      </c>
      <c r="Q91" s="116" t="n">
        <v>21017.13102</v>
      </c>
      <c r="R91" s="116" t="n">
        <v>21483.608595</v>
      </c>
      <c r="S91" s="116" t="n">
        <v>21214.388867</v>
      </c>
      <c r="T91" s="116" t="n">
        <v>21632.902222</v>
      </c>
      <c r="U91" s="116" t="n">
        <v>22120.838882</v>
      </c>
      <c r="V91" s="116" t="n">
        <v>22187.850999</v>
      </c>
      <c r="W91" s="116" t="n">
        <v>22925.248179</v>
      </c>
      <c r="X91" s="116" t="n">
        <v>23830.175515</v>
      </c>
      <c r="Y91" s="116" t="n">
        <v>24183.327881</v>
      </c>
      <c r="Z91" s="116" t="n">
        <v>24326.871189</v>
      </c>
      <c r="AA91" s="116" t="n">
        <v>24055.866058</v>
      </c>
      <c r="AB91" s="116" t="n">
        <v>22788.185827</v>
      </c>
      <c r="AC91" s="116" t="n">
        <v>22836.54932</v>
      </c>
      <c r="AD91" s="116" t="n">
        <v>23613.854671</v>
      </c>
      <c r="AE91" s="136" t="n">
        <v>24303.34195</v>
      </c>
    </row>
    <row r="92" customFormat="false" ht="15" hidden="false" customHeight="false" outlineLevel="0" collapsed="false">
      <c r="A92" s="80"/>
      <c r="B92" s="71" t="s">
        <v>88</v>
      </c>
      <c r="C92" s="115" t="n">
        <v>0</v>
      </c>
      <c r="D92" s="115" t="n">
        <v>0</v>
      </c>
      <c r="E92" s="115" t="n">
        <v>0</v>
      </c>
      <c r="F92" s="115" t="n">
        <v>0</v>
      </c>
      <c r="G92" s="115" t="n">
        <v>0</v>
      </c>
      <c r="H92" s="116" t="n">
        <v>0</v>
      </c>
      <c r="I92" s="116" t="n">
        <v>0</v>
      </c>
      <c r="J92" s="116" t="n">
        <v>0</v>
      </c>
      <c r="K92" s="116" t="n">
        <v>0</v>
      </c>
      <c r="L92" s="116" t="n">
        <v>0</v>
      </c>
      <c r="M92" s="116" t="n">
        <v>0</v>
      </c>
      <c r="N92" s="116" t="n">
        <v>0</v>
      </c>
      <c r="O92" s="116" t="n">
        <v>0</v>
      </c>
      <c r="P92" s="116" t="n">
        <v>0</v>
      </c>
      <c r="Q92" s="116" t="n">
        <v>0</v>
      </c>
      <c r="R92" s="116" t="n">
        <v>0</v>
      </c>
      <c r="S92" s="116" t="n">
        <v>0</v>
      </c>
      <c r="T92" s="116" t="n">
        <v>0</v>
      </c>
      <c r="U92" s="116" t="n">
        <v>0</v>
      </c>
      <c r="V92" s="116" t="n">
        <v>0</v>
      </c>
      <c r="W92" s="116" t="n">
        <v>0</v>
      </c>
      <c r="X92" s="116" t="n">
        <v>0</v>
      </c>
      <c r="Y92" s="116" t="n">
        <v>0</v>
      </c>
      <c r="Z92" s="116" t="n">
        <v>0</v>
      </c>
      <c r="AA92" s="116" t="n">
        <v>0</v>
      </c>
      <c r="AB92" s="116" t="n">
        <v>0</v>
      </c>
      <c r="AC92" s="116" t="n">
        <v>0</v>
      </c>
      <c r="AD92" s="116" t="n">
        <v>0</v>
      </c>
      <c r="AE92" s="136" t="n">
        <v>0</v>
      </c>
    </row>
    <row r="93" customFormat="false" ht="15" hidden="false" customHeight="false" outlineLevel="0" collapsed="false">
      <c r="A93" s="80" t="s">
        <v>19</v>
      </c>
      <c r="B93" s="71" t="s">
        <v>12</v>
      </c>
      <c r="C93" s="115" t="n">
        <v>932.680247970326</v>
      </c>
      <c r="D93" s="115" t="n">
        <v>932.680247970326</v>
      </c>
      <c r="E93" s="115" t="n">
        <v>932.680247970326</v>
      </c>
      <c r="F93" s="115" t="n">
        <v>932.680247970326</v>
      </c>
      <c r="G93" s="115" t="n">
        <v>932.680247970326</v>
      </c>
      <c r="H93" s="116" t="n">
        <v>932.680247970326</v>
      </c>
      <c r="I93" s="116" t="n">
        <v>893.845957683824</v>
      </c>
      <c r="J93" s="116" t="n">
        <v>891.141689768223</v>
      </c>
      <c r="K93" s="116" t="n">
        <v>908.222892872782</v>
      </c>
      <c r="L93" s="116" t="n">
        <v>926.262333306131</v>
      </c>
      <c r="M93" s="116" t="n">
        <v>947.385183922738</v>
      </c>
      <c r="N93" s="116" t="n">
        <v>971.045909654563</v>
      </c>
      <c r="O93" s="116" t="n">
        <v>1000.87571825306</v>
      </c>
      <c r="P93" s="116" t="n">
        <v>972.754458574356</v>
      </c>
      <c r="Q93" s="116" t="n">
        <v>928.765922905919</v>
      </c>
      <c r="R93" s="116" t="n">
        <v>885.57639527784</v>
      </c>
      <c r="S93" s="116" t="n">
        <v>908.540101805298</v>
      </c>
      <c r="T93" s="116" t="n">
        <v>856.314150616785</v>
      </c>
      <c r="U93" s="116" t="n">
        <v>796.713698955624</v>
      </c>
      <c r="V93" s="116" t="n">
        <v>743.259138417342</v>
      </c>
      <c r="W93" s="116" t="n">
        <v>738.533665049737</v>
      </c>
      <c r="X93" s="116" t="n">
        <v>758.379814786191</v>
      </c>
      <c r="Y93" s="116" t="n">
        <v>771.143223325815</v>
      </c>
      <c r="Z93" s="116" t="n">
        <v>798.979942263064</v>
      </c>
      <c r="AA93" s="116" t="n">
        <v>812.110515279726</v>
      </c>
      <c r="AB93" s="116" t="n">
        <v>765.692223411309</v>
      </c>
      <c r="AC93" s="116" t="n">
        <v>719.253057085543</v>
      </c>
      <c r="AD93" s="116" t="n">
        <v>732.984677545345</v>
      </c>
      <c r="AE93" s="136" t="n">
        <v>733.986447739077</v>
      </c>
    </row>
    <row r="94" customFormat="false" ht="15" hidden="false" customHeight="false" outlineLevel="0" collapsed="false">
      <c r="A94" s="80"/>
      <c r="B94" s="71" t="s">
        <v>13</v>
      </c>
      <c r="C94" s="115" t="n">
        <v>0</v>
      </c>
      <c r="D94" s="115" t="n">
        <v>0</v>
      </c>
      <c r="E94" s="115" t="n">
        <v>0</v>
      </c>
      <c r="F94" s="115" t="n">
        <v>0</v>
      </c>
      <c r="G94" s="115" t="n">
        <v>0</v>
      </c>
      <c r="H94" s="116" t="n">
        <v>0</v>
      </c>
      <c r="I94" s="116" t="n">
        <v>0</v>
      </c>
      <c r="J94" s="116" t="n">
        <v>0</v>
      </c>
      <c r="K94" s="116" t="n">
        <v>0</v>
      </c>
      <c r="L94" s="116" t="n">
        <v>0</v>
      </c>
      <c r="M94" s="116" t="n">
        <v>0</v>
      </c>
      <c r="N94" s="116" t="n">
        <v>0</v>
      </c>
      <c r="O94" s="116" t="n">
        <v>0</v>
      </c>
      <c r="P94" s="116" t="n">
        <v>0</v>
      </c>
      <c r="Q94" s="116" t="n">
        <v>0</v>
      </c>
      <c r="R94" s="116" t="n">
        <v>0</v>
      </c>
      <c r="S94" s="116" t="n">
        <v>0</v>
      </c>
      <c r="T94" s="116" t="n">
        <v>0</v>
      </c>
      <c r="U94" s="116" t="n">
        <v>0</v>
      </c>
      <c r="V94" s="116" t="n">
        <v>0</v>
      </c>
      <c r="W94" s="116" t="n">
        <v>0</v>
      </c>
      <c r="X94" s="116" t="n">
        <v>0</v>
      </c>
      <c r="Y94" s="116" t="n">
        <v>0</v>
      </c>
      <c r="Z94" s="116" t="n">
        <v>0</v>
      </c>
      <c r="AA94" s="116" t="n">
        <v>0</v>
      </c>
      <c r="AB94" s="116" t="n">
        <v>0</v>
      </c>
      <c r="AC94" s="116" t="n">
        <v>0</v>
      </c>
      <c r="AD94" s="116" t="n">
        <v>0</v>
      </c>
      <c r="AE94" s="136" t="n">
        <v>0</v>
      </c>
    </row>
    <row r="95" customFormat="false" ht="15" hidden="false" customHeight="false" outlineLevel="0" collapsed="false">
      <c r="A95" s="80"/>
      <c r="B95" s="71" t="s">
        <v>14</v>
      </c>
      <c r="C95" s="115" t="n">
        <v>0</v>
      </c>
      <c r="D95" s="115" t="n">
        <v>0</v>
      </c>
      <c r="E95" s="115" t="n">
        <v>0</v>
      </c>
      <c r="F95" s="115" t="n">
        <v>0</v>
      </c>
      <c r="G95" s="115" t="n">
        <v>0</v>
      </c>
      <c r="H95" s="116" t="n">
        <v>0</v>
      </c>
      <c r="I95" s="116" t="n">
        <v>0</v>
      </c>
      <c r="J95" s="116" t="n">
        <v>0</v>
      </c>
      <c r="K95" s="116" t="n">
        <v>0</v>
      </c>
      <c r="L95" s="116" t="n">
        <v>0</v>
      </c>
      <c r="M95" s="116" t="n">
        <v>0</v>
      </c>
      <c r="N95" s="116" t="n">
        <v>0</v>
      </c>
      <c r="O95" s="116" t="n">
        <v>0</v>
      </c>
      <c r="P95" s="116" t="n">
        <v>0</v>
      </c>
      <c r="Q95" s="116" t="n">
        <v>0</v>
      </c>
      <c r="R95" s="116" t="n">
        <v>0</v>
      </c>
      <c r="S95" s="116" t="n">
        <v>0</v>
      </c>
      <c r="T95" s="116" t="n">
        <v>0</v>
      </c>
      <c r="U95" s="116" t="n">
        <v>0</v>
      </c>
      <c r="V95" s="116" t="n">
        <v>0</v>
      </c>
      <c r="W95" s="116" t="n">
        <v>0</v>
      </c>
      <c r="X95" s="116" t="n">
        <v>0</v>
      </c>
      <c r="Y95" s="116" t="n">
        <v>0</v>
      </c>
      <c r="Z95" s="116" t="n">
        <v>0</v>
      </c>
      <c r="AA95" s="116" t="n">
        <v>0</v>
      </c>
      <c r="AB95" s="116" t="n">
        <v>0</v>
      </c>
      <c r="AC95" s="116" t="n">
        <v>0</v>
      </c>
      <c r="AD95" s="116" t="n">
        <v>0</v>
      </c>
      <c r="AE95" s="136" t="n">
        <v>0</v>
      </c>
    </row>
    <row r="96" customFormat="false" ht="15" hidden="false" customHeight="false" outlineLevel="0" collapsed="false">
      <c r="A96" s="80"/>
      <c r="B96" s="71" t="s">
        <v>88</v>
      </c>
      <c r="C96" s="115" t="n">
        <v>0</v>
      </c>
      <c r="D96" s="115" t="n">
        <v>0</v>
      </c>
      <c r="E96" s="115" t="n">
        <v>0</v>
      </c>
      <c r="F96" s="115" t="n">
        <v>0</v>
      </c>
      <c r="G96" s="115" t="n">
        <v>0</v>
      </c>
      <c r="H96" s="116" t="n">
        <v>0</v>
      </c>
      <c r="I96" s="116" t="n">
        <v>0</v>
      </c>
      <c r="J96" s="116" t="n">
        <v>0</v>
      </c>
      <c r="K96" s="116" t="n">
        <v>0</v>
      </c>
      <c r="L96" s="116" t="n">
        <v>0</v>
      </c>
      <c r="M96" s="116" t="n">
        <v>0</v>
      </c>
      <c r="N96" s="116" t="n">
        <v>0</v>
      </c>
      <c r="O96" s="116" t="n">
        <v>0</v>
      </c>
      <c r="P96" s="116" t="n">
        <v>0</v>
      </c>
      <c r="Q96" s="116" t="n">
        <v>0</v>
      </c>
      <c r="R96" s="116" t="n">
        <v>0</v>
      </c>
      <c r="S96" s="116" t="n">
        <v>0</v>
      </c>
      <c r="T96" s="116" t="n">
        <v>0</v>
      </c>
      <c r="U96" s="116" t="n">
        <v>0</v>
      </c>
      <c r="V96" s="116" t="n">
        <v>0</v>
      </c>
      <c r="W96" s="116" t="n">
        <v>0</v>
      </c>
      <c r="X96" s="116" t="n">
        <v>0</v>
      </c>
      <c r="Y96" s="116" t="n">
        <v>0</v>
      </c>
      <c r="Z96" s="116" t="n">
        <v>0</v>
      </c>
      <c r="AA96" s="116" t="n">
        <v>0</v>
      </c>
      <c r="AB96" s="116" t="n">
        <v>0</v>
      </c>
      <c r="AC96" s="116" t="n">
        <v>0</v>
      </c>
      <c r="AD96" s="116" t="n">
        <v>0</v>
      </c>
      <c r="AE96" s="136" t="n">
        <v>0</v>
      </c>
    </row>
    <row r="97" customFormat="false" ht="15" hidden="false" customHeight="false" outlineLevel="0" collapsed="false">
      <c r="A97" s="84" t="s">
        <v>183</v>
      </c>
      <c r="B97" s="71" t="s">
        <v>12</v>
      </c>
      <c r="C97" s="115" t="n">
        <v>175807826</v>
      </c>
      <c r="D97" s="115" t="n">
        <v>175807826</v>
      </c>
      <c r="E97" s="115" t="n">
        <v>175807826</v>
      </c>
      <c r="F97" s="115" t="n">
        <v>175807826</v>
      </c>
      <c r="G97" s="115" t="n">
        <v>175807826</v>
      </c>
      <c r="H97" s="116" t="n">
        <v>175807826</v>
      </c>
      <c r="I97" s="116" t="n">
        <v>179960723</v>
      </c>
      <c r="J97" s="116" t="n">
        <v>183153191</v>
      </c>
      <c r="K97" s="116" t="n">
        <v>186130036</v>
      </c>
      <c r="L97" s="116" t="n">
        <v>188593766</v>
      </c>
      <c r="M97" s="116" t="n">
        <v>192403683</v>
      </c>
      <c r="N97" s="116" t="n">
        <v>197055973</v>
      </c>
      <c r="O97" s="116" t="n">
        <v>201530856</v>
      </c>
      <c r="P97" s="116" t="n">
        <v>206317391</v>
      </c>
      <c r="Q97" s="116" t="n">
        <v>208772790</v>
      </c>
      <c r="R97" s="116" t="n">
        <v>212873554</v>
      </c>
      <c r="S97" s="116" t="n">
        <v>217091964</v>
      </c>
      <c r="T97" s="116" t="n">
        <v>219023668</v>
      </c>
      <c r="U97" s="116" t="n">
        <v>221230717</v>
      </c>
      <c r="V97" s="116" t="n">
        <v>224342237</v>
      </c>
      <c r="W97" s="116" t="n">
        <v>228236064</v>
      </c>
      <c r="X97" s="116" t="n">
        <v>232760565</v>
      </c>
      <c r="Y97" s="116" t="n">
        <v>238553938</v>
      </c>
      <c r="Z97" s="116" t="n">
        <v>242507151</v>
      </c>
      <c r="AA97" s="116" t="n">
        <v>246922936</v>
      </c>
      <c r="AB97" s="116" t="n">
        <v>248847531</v>
      </c>
      <c r="AC97" s="116" t="n">
        <v>250134379</v>
      </c>
      <c r="AD97" s="116" t="n">
        <v>250513956</v>
      </c>
      <c r="AE97" s="136" t="n">
        <v>252053030</v>
      </c>
    </row>
    <row r="98" customFormat="false" ht="15" hidden="false" customHeight="false" outlineLevel="0" collapsed="false">
      <c r="A98" s="84"/>
      <c r="B98" s="71" t="s">
        <v>13</v>
      </c>
      <c r="C98" s="115" t="n">
        <v>289200</v>
      </c>
      <c r="D98" s="115" t="n">
        <v>289200</v>
      </c>
      <c r="E98" s="115" t="n">
        <v>289200</v>
      </c>
      <c r="F98" s="115" t="n">
        <v>289200</v>
      </c>
      <c r="G98" s="115" t="n">
        <v>289200</v>
      </c>
      <c r="H98" s="116" t="n">
        <v>289200</v>
      </c>
      <c r="I98" s="116" t="n">
        <v>338214</v>
      </c>
      <c r="J98" s="116" t="n">
        <v>339532</v>
      </c>
      <c r="K98" s="116" t="n">
        <v>349364</v>
      </c>
      <c r="L98" s="116" t="n">
        <v>335602</v>
      </c>
      <c r="M98" s="116" t="n">
        <v>420862</v>
      </c>
      <c r="N98" s="116" t="n">
        <v>483242</v>
      </c>
      <c r="O98" s="116" t="n">
        <v>553242</v>
      </c>
      <c r="P98" s="116" t="n">
        <v>605633</v>
      </c>
      <c r="Q98" s="116" t="n">
        <v>764039</v>
      </c>
      <c r="R98" s="116" t="n">
        <v>849985</v>
      </c>
      <c r="S98" s="116" t="n">
        <v>874684</v>
      </c>
      <c r="T98" s="116" t="n">
        <v>934994</v>
      </c>
      <c r="U98" s="116" t="n">
        <v>1004586</v>
      </c>
      <c r="V98" s="116" t="n">
        <v>1106815</v>
      </c>
      <c r="W98" s="116" t="n">
        <v>1161042</v>
      </c>
      <c r="X98" s="116" t="n">
        <v>1186655</v>
      </c>
      <c r="Y98" s="116" t="n">
        <v>1209398</v>
      </c>
      <c r="Z98" s="116" t="n">
        <v>1257688</v>
      </c>
      <c r="AA98" s="116" t="n">
        <v>1299808</v>
      </c>
      <c r="AB98" s="116" t="n">
        <v>1332591</v>
      </c>
      <c r="AC98" s="116" t="n">
        <v>1326853</v>
      </c>
      <c r="AD98" s="116" t="n">
        <v>1314245</v>
      </c>
      <c r="AE98" s="136" t="n">
        <v>1324235</v>
      </c>
    </row>
    <row r="99" customFormat="false" ht="15" hidden="false" customHeight="false" outlineLevel="0" collapsed="false">
      <c r="A99" s="84"/>
      <c r="B99" s="71" t="s">
        <v>14</v>
      </c>
      <c r="C99" s="115" t="n">
        <v>0</v>
      </c>
      <c r="D99" s="115" t="n">
        <v>0</v>
      </c>
      <c r="E99" s="115" t="n">
        <v>0</v>
      </c>
      <c r="F99" s="115" t="n">
        <v>0</v>
      </c>
      <c r="G99" s="115" t="n">
        <v>0</v>
      </c>
      <c r="H99" s="116" t="n">
        <v>0</v>
      </c>
      <c r="I99" s="116" t="n">
        <v>0</v>
      </c>
      <c r="J99" s="116" t="n">
        <v>0</v>
      </c>
      <c r="K99" s="116" t="n">
        <v>9</v>
      </c>
      <c r="L99" s="116" t="n">
        <v>13</v>
      </c>
      <c r="M99" s="116" t="n">
        <v>15</v>
      </c>
      <c r="N99" s="116" t="n">
        <v>50</v>
      </c>
      <c r="O99" s="116" t="n">
        <v>76</v>
      </c>
      <c r="P99" s="116" t="n">
        <v>4109</v>
      </c>
      <c r="Q99" s="116" t="n">
        <v>4826</v>
      </c>
      <c r="R99" s="116" t="n">
        <v>10790</v>
      </c>
      <c r="S99" s="116" t="n">
        <v>24790</v>
      </c>
      <c r="T99" s="116" t="n">
        <v>33975</v>
      </c>
      <c r="U99" s="116" t="n">
        <v>54080</v>
      </c>
      <c r="V99" s="116" t="n">
        <v>80852</v>
      </c>
      <c r="W99" s="116" t="n">
        <v>121438</v>
      </c>
      <c r="X99" s="116" t="n">
        <v>172975</v>
      </c>
      <c r="Y99" s="116" t="n">
        <v>259104</v>
      </c>
      <c r="Z99" s="116" t="n">
        <v>394115</v>
      </c>
      <c r="AA99" s="116" t="n">
        <v>640507</v>
      </c>
      <c r="AB99" s="116" t="n">
        <v>1153299</v>
      </c>
      <c r="AC99" s="116" t="n">
        <v>2049970</v>
      </c>
      <c r="AD99" s="116" t="n">
        <v>3039112</v>
      </c>
      <c r="AE99" s="136" t="n">
        <v>4306401</v>
      </c>
    </row>
    <row r="100" customFormat="false" ht="15" hidden="false" customHeight="false" outlineLevel="0" collapsed="false">
      <c r="A100" s="84"/>
      <c r="B100" s="127" t="s">
        <v>88</v>
      </c>
      <c r="C100" s="138" t="n">
        <v>0</v>
      </c>
      <c r="D100" s="138" t="n">
        <v>0</v>
      </c>
      <c r="E100" s="138" t="n">
        <v>0</v>
      </c>
      <c r="F100" s="138" t="n">
        <v>0</v>
      </c>
      <c r="G100" s="138" t="n">
        <v>0</v>
      </c>
      <c r="H100" s="139" t="n">
        <v>0</v>
      </c>
      <c r="I100" s="139" t="n">
        <v>0</v>
      </c>
      <c r="J100" s="139" t="n">
        <v>0</v>
      </c>
      <c r="K100" s="139" t="n">
        <v>0</v>
      </c>
      <c r="L100" s="139" t="n">
        <v>0</v>
      </c>
      <c r="M100" s="139" t="n">
        <v>0</v>
      </c>
      <c r="N100" s="139" t="n">
        <v>0</v>
      </c>
      <c r="O100" s="139" t="n">
        <v>0</v>
      </c>
      <c r="P100" s="139" t="n">
        <v>130</v>
      </c>
      <c r="Q100" s="139" t="n">
        <v>160</v>
      </c>
      <c r="R100" s="139" t="n">
        <v>378</v>
      </c>
      <c r="S100" s="139" t="n">
        <v>918</v>
      </c>
      <c r="T100" s="139" t="n">
        <v>9376</v>
      </c>
      <c r="U100" s="139" t="n">
        <v>48400</v>
      </c>
      <c r="V100" s="139" t="n">
        <v>94991</v>
      </c>
      <c r="W100" s="139" t="n">
        <v>170532</v>
      </c>
      <c r="X100" s="139" t="n">
        <v>228307</v>
      </c>
      <c r="Y100" s="139" t="n">
        <v>296493</v>
      </c>
      <c r="Z100" s="139" t="n">
        <v>395630</v>
      </c>
      <c r="AA100" s="139" t="n">
        <v>533349</v>
      </c>
      <c r="AB100" s="139" t="n">
        <v>1027123</v>
      </c>
      <c r="AC100" s="139" t="n">
        <v>1925274</v>
      </c>
      <c r="AD100" s="139" t="n">
        <v>2819072</v>
      </c>
      <c r="AE100" s="140" t="n">
        <v>3515624</v>
      </c>
    </row>
    <row r="101" customFormat="false" ht="15" hidden="false" customHeight="false" outlineLevel="0" collapsed="false">
      <c r="A101" s="128"/>
      <c r="C101" s="129"/>
    </row>
    <row r="102" customFormat="false" ht="15" hidden="false" customHeight="false" outlineLevel="0" collapsed="false">
      <c r="A102" s="128"/>
      <c r="C102" s="129"/>
    </row>
    <row r="103" customFormat="false" ht="15" hidden="false" customHeight="false" outlineLevel="0" collapsed="false">
      <c r="A103" s="128"/>
      <c r="C103" s="129"/>
    </row>
    <row r="107" customFormat="false" ht="15" hidden="false" customHeight="false" outlineLevel="0" collapsed="false">
      <c r="A107" s="141"/>
      <c r="B107" s="142"/>
      <c r="C107" s="142" t="n">
        <v>1995</v>
      </c>
      <c r="D107" s="142" t="n">
        <v>2015</v>
      </c>
      <c r="E107" s="142" t="n">
        <v>2016</v>
      </c>
      <c r="F107" s="142" t="n">
        <v>2017</v>
      </c>
      <c r="G107" s="142" t="n">
        <v>2018</v>
      </c>
      <c r="H107" s="142" t="n">
        <v>2019</v>
      </c>
      <c r="I107" s="142" t="n">
        <v>2020</v>
      </c>
      <c r="J107" s="142" t="n">
        <v>2021</v>
      </c>
      <c r="K107" s="142" t="n">
        <v>2022</v>
      </c>
      <c r="L107" s="143" t="n">
        <v>2023</v>
      </c>
    </row>
    <row r="108" customFormat="false" ht="15" hidden="false" customHeight="false" outlineLevel="0" collapsed="false">
      <c r="A108" s="144" t="s">
        <v>184</v>
      </c>
      <c r="B108" s="145" t="s">
        <v>185</v>
      </c>
      <c r="C108" s="146" t="n">
        <v>0.85</v>
      </c>
      <c r="D108" s="146" t="n">
        <v>0.85</v>
      </c>
      <c r="E108" s="146" t="n">
        <v>0.84</v>
      </c>
      <c r="F108" s="146" t="n">
        <v>0.8</v>
      </c>
      <c r="G108" s="146" t="n">
        <v>0.6</v>
      </c>
      <c r="H108" s="147" t="n">
        <v>0.4</v>
      </c>
      <c r="I108" s="147" t="n">
        <v>0.15</v>
      </c>
      <c r="J108" s="147" t="n">
        <v>0.05</v>
      </c>
      <c r="K108" s="147" t="n">
        <v>0.02</v>
      </c>
      <c r="L108" s="148" t="n">
        <v>0</v>
      </c>
    </row>
    <row r="109" customFormat="false" ht="15" hidden="false" customHeight="false" outlineLevel="0" collapsed="false">
      <c r="A109" s="144"/>
      <c r="B109" s="145" t="s">
        <v>53</v>
      </c>
      <c r="C109" s="149" t="n">
        <v>0.01</v>
      </c>
      <c r="D109" s="149" t="n">
        <v>0.01</v>
      </c>
      <c r="E109" s="147" t="n">
        <v>0.01</v>
      </c>
      <c r="F109" s="147" t="n">
        <v>0.01</v>
      </c>
      <c r="G109" s="147" t="n">
        <v>0.02</v>
      </c>
      <c r="H109" s="147" t="n">
        <v>0.03</v>
      </c>
      <c r="I109" s="147" t="n">
        <v>0.05</v>
      </c>
      <c r="J109" s="147" t="n">
        <v>0.15</v>
      </c>
      <c r="K109" s="147" t="n">
        <v>0.28</v>
      </c>
      <c r="L109" s="150" t="n">
        <v>0.32</v>
      </c>
    </row>
    <row r="110" customFormat="false" ht="15" hidden="false" customHeight="false" outlineLevel="0" collapsed="false">
      <c r="A110" s="144"/>
      <c r="B110" s="145" t="s">
        <v>55</v>
      </c>
      <c r="C110" s="147" t="n">
        <v>0</v>
      </c>
      <c r="D110" s="147" t="n">
        <v>0</v>
      </c>
      <c r="E110" s="147" t="n">
        <v>0</v>
      </c>
      <c r="F110" s="147" t="n">
        <v>0.05</v>
      </c>
      <c r="G110" s="147" t="n">
        <v>0.2</v>
      </c>
      <c r="H110" s="146" t="n">
        <v>0.4</v>
      </c>
      <c r="I110" s="146" t="n">
        <v>0.55</v>
      </c>
      <c r="J110" s="147" t="n">
        <v>0.4</v>
      </c>
      <c r="K110" s="147" t="n">
        <v>0.2</v>
      </c>
      <c r="L110" s="148" t="n">
        <v>0.15</v>
      </c>
    </row>
    <row r="111" customFormat="false" ht="15" hidden="false" customHeight="false" outlineLevel="0" collapsed="false">
      <c r="A111" s="144"/>
      <c r="B111" s="145" t="s">
        <v>54</v>
      </c>
      <c r="C111" s="147" t="n">
        <v>0</v>
      </c>
      <c r="D111" s="147" t="n">
        <v>0</v>
      </c>
      <c r="E111" s="147" t="n">
        <v>0</v>
      </c>
      <c r="F111" s="147" t="n">
        <v>0</v>
      </c>
      <c r="G111" s="147" t="n">
        <v>0</v>
      </c>
      <c r="H111" s="147" t="n">
        <v>0.02</v>
      </c>
      <c r="I111" s="147" t="n">
        <v>0.1</v>
      </c>
      <c r="J111" s="147" t="n">
        <v>0.25</v>
      </c>
      <c r="K111" s="146" t="n">
        <v>0.38</v>
      </c>
      <c r="L111" s="150" t="n">
        <v>0.43</v>
      </c>
    </row>
    <row r="112" customFormat="false" ht="15" hidden="false" customHeight="false" outlineLevel="0" collapsed="false">
      <c r="A112" s="144"/>
      <c r="B112" s="151" t="s">
        <v>56</v>
      </c>
      <c r="C112" s="152" t="n">
        <v>0.14</v>
      </c>
      <c r="D112" s="152" t="n">
        <v>0.14</v>
      </c>
      <c r="E112" s="152" t="n">
        <v>0.15</v>
      </c>
      <c r="F112" s="152" t="n">
        <v>0.14</v>
      </c>
      <c r="G112" s="152" t="n">
        <v>0.18</v>
      </c>
      <c r="H112" s="152" t="n">
        <v>0.15</v>
      </c>
      <c r="I112" s="152" t="n">
        <v>0.15</v>
      </c>
      <c r="J112" s="152" t="n">
        <v>0.15</v>
      </c>
      <c r="K112" s="152" t="n">
        <v>0.12</v>
      </c>
      <c r="L112" s="153" t="n">
        <v>0.1</v>
      </c>
    </row>
    <row r="113" customFormat="false" ht="15" hidden="false" customHeight="false" outlineLevel="0" collapsed="false">
      <c r="A113" s="144" t="s">
        <v>186</v>
      </c>
      <c r="B113" s="145" t="s">
        <v>185</v>
      </c>
      <c r="C113" s="154" t="n">
        <v>0.95</v>
      </c>
      <c r="D113" s="154" t="n">
        <v>0.85</v>
      </c>
      <c r="E113" s="154" t="n">
        <v>0.8</v>
      </c>
      <c r="F113" s="154" t="n">
        <v>0.6</v>
      </c>
      <c r="G113" s="154" t="n">
        <v>0.4</v>
      </c>
      <c r="H113" s="154" t="n">
        <v>0.2</v>
      </c>
      <c r="I113" s="154" t="n">
        <v>0.05</v>
      </c>
      <c r="J113" s="154" t="n">
        <v>0</v>
      </c>
      <c r="K113" s="154" t="n">
        <v>0</v>
      </c>
      <c r="L113" s="155" t="n">
        <v>0</v>
      </c>
    </row>
    <row r="114" customFormat="false" ht="15" hidden="false" customHeight="false" outlineLevel="0" collapsed="false">
      <c r="A114" s="144"/>
      <c r="B114" s="145" t="s">
        <v>53</v>
      </c>
      <c r="C114" s="154" t="n">
        <v>0.05</v>
      </c>
      <c r="D114" s="154" t="n">
        <v>0.15</v>
      </c>
      <c r="E114" s="154" t="n">
        <v>0.2</v>
      </c>
      <c r="F114" s="154" t="n">
        <v>0.25</v>
      </c>
      <c r="G114" s="154" t="n">
        <v>0.3</v>
      </c>
      <c r="H114" s="154" t="n">
        <v>0.35</v>
      </c>
      <c r="I114" s="154" t="n">
        <v>0.4</v>
      </c>
      <c r="J114" s="154" t="n">
        <v>0.42</v>
      </c>
      <c r="K114" s="154" t="n">
        <v>0.45</v>
      </c>
      <c r="L114" s="155" t="n">
        <v>0.48</v>
      </c>
    </row>
    <row r="115" customFormat="false" ht="15" hidden="false" customHeight="false" outlineLevel="0" collapsed="false">
      <c r="A115" s="144"/>
      <c r="B115" s="145" t="s">
        <v>55</v>
      </c>
      <c r="C115" s="154" t="n">
        <v>0</v>
      </c>
      <c r="D115" s="154" t="n">
        <v>0</v>
      </c>
      <c r="E115" s="154" t="n">
        <v>0</v>
      </c>
      <c r="F115" s="154" t="n">
        <v>0.15</v>
      </c>
      <c r="G115" s="154" t="n">
        <v>0.3</v>
      </c>
      <c r="H115" s="154" t="n">
        <v>0.45</v>
      </c>
      <c r="I115" s="154" t="n">
        <v>0.5</v>
      </c>
      <c r="J115" s="154" t="n">
        <v>0.43</v>
      </c>
      <c r="K115" s="154" t="n">
        <v>0.35</v>
      </c>
      <c r="L115" s="155" t="n">
        <v>0.22</v>
      </c>
    </row>
    <row r="116" customFormat="false" ht="15" hidden="false" customHeight="false" outlineLevel="0" collapsed="false">
      <c r="A116" s="144"/>
      <c r="B116" s="145" t="s">
        <v>54</v>
      </c>
      <c r="C116" s="154" t="n">
        <v>0</v>
      </c>
      <c r="D116" s="154" t="n">
        <v>0</v>
      </c>
      <c r="E116" s="154" t="n">
        <v>0</v>
      </c>
      <c r="F116" s="154" t="n">
        <v>0</v>
      </c>
      <c r="G116" s="154" t="n">
        <v>0</v>
      </c>
      <c r="H116" s="154" t="n">
        <v>0</v>
      </c>
      <c r="I116" s="154" t="n">
        <v>0.05</v>
      </c>
      <c r="J116" s="154" t="n">
        <v>0.15</v>
      </c>
      <c r="K116" s="154" t="n">
        <v>0.2</v>
      </c>
      <c r="L116" s="155" t="n">
        <v>0.3</v>
      </c>
    </row>
    <row r="117" customFormat="false" ht="15" hidden="false" customHeight="false" outlineLevel="0" collapsed="false">
      <c r="A117" s="144"/>
      <c r="B117" s="151" t="s">
        <v>56</v>
      </c>
      <c r="C117" s="154" t="n">
        <v>0.95</v>
      </c>
      <c r="D117" s="154" t="n">
        <v>0.85</v>
      </c>
      <c r="E117" s="154" t="n">
        <v>0.8</v>
      </c>
      <c r="F117" s="154" t="n">
        <v>0.6</v>
      </c>
      <c r="G117" s="154" t="n">
        <v>0.4</v>
      </c>
      <c r="H117" s="154" t="n">
        <v>0.2</v>
      </c>
      <c r="I117" s="154" t="n">
        <v>0.05</v>
      </c>
      <c r="J117" s="154" t="n">
        <v>0</v>
      </c>
      <c r="K117" s="154" t="n">
        <v>0</v>
      </c>
      <c r="L117" s="155" t="n">
        <v>0</v>
      </c>
    </row>
    <row r="118" customFormat="false" ht="15" hidden="false" customHeight="false" outlineLevel="0" collapsed="false">
      <c r="A118" s="144" t="s">
        <v>187</v>
      </c>
      <c r="B118" s="145" t="s">
        <v>185</v>
      </c>
      <c r="C118" s="154" t="n">
        <v>0.05</v>
      </c>
      <c r="D118" s="154" t="n">
        <v>0.05</v>
      </c>
      <c r="E118" s="154" t="n">
        <v>0.05</v>
      </c>
      <c r="F118" s="154" t="n">
        <v>0.05</v>
      </c>
      <c r="G118" s="154" t="n">
        <v>0.05</v>
      </c>
      <c r="H118" s="154" t="n">
        <v>0.05</v>
      </c>
      <c r="I118" s="154" t="n">
        <v>0.05</v>
      </c>
      <c r="J118" s="154" t="n">
        <v>0.15</v>
      </c>
      <c r="K118" s="154" t="n">
        <v>0.25</v>
      </c>
      <c r="L118" s="155" t="n">
        <v>0.35</v>
      </c>
    </row>
    <row r="119" customFormat="false" ht="15" hidden="false" customHeight="false" outlineLevel="0" collapsed="false">
      <c r="A119" s="144"/>
      <c r="B119" s="145" t="s">
        <v>53</v>
      </c>
      <c r="C119" s="154" t="n">
        <v>0</v>
      </c>
      <c r="D119" s="154" t="n">
        <v>0.1</v>
      </c>
      <c r="E119" s="154" t="n">
        <v>0.15</v>
      </c>
      <c r="F119" s="154" t="n">
        <v>0.35</v>
      </c>
      <c r="G119" s="154" t="n">
        <v>0.55</v>
      </c>
      <c r="H119" s="154" t="n">
        <v>0.7</v>
      </c>
      <c r="I119" s="154" t="n">
        <v>0.8</v>
      </c>
      <c r="J119" s="154" t="n">
        <v>0.6</v>
      </c>
      <c r="K119" s="154" t="n">
        <v>0.4</v>
      </c>
      <c r="L119" s="155" t="n">
        <v>0.25</v>
      </c>
    </row>
    <row r="120" customFormat="false" ht="15" hidden="false" customHeight="false" outlineLevel="0" collapsed="false">
      <c r="A120" s="144"/>
      <c r="B120" s="145" t="s">
        <v>55</v>
      </c>
      <c r="C120" s="154" t="n">
        <v>0</v>
      </c>
      <c r="D120" s="154" t="n">
        <v>0</v>
      </c>
      <c r="E120" s="154" t="n">
        <v>0</v>
      </c>
      <c r="F120" s="154" t="n">
        <v>0</v>
      </c>
      <c r="G120" s="154" t="n">
        <v>0</v>
      </c>
      <c r="H120" s="154" t="n">
        <v>0.05</v>
      </c>
      <c r="I120" s="154" t="n">
        <v>0.1</v>
      </c>
      <c r="J120" s="154" t="n">
        <v>0.25</v>
      </c>
      <c r="K120" s="154" t="n">
        <v>0.35</v>
      </c>
      <c r="L120" s="155" t="n">
        <v>0.4</v>
      </c>
    </row>
    <row r="121" customFormat="false" ht="15" hidden="false" customHeight="false" outlineLevel="0" collapsed="false">
      <c r="A121" s="144"/>
      <c r="B121" s="145" t="s">
        <v>54</v>
      </c>
      <c r="C121" s="154" t="n">
        <v>0.95</v>
      </c>
      <c r="D121" s="154" t="n">
        <v>0.85</v>
      </c>
      <c r="E121" s="154" t="n">
        <v>0.8</v>
      </c>
      <c r="F121" s="154" t="n">
        <v>0.6</v>
      </c>
      <c r="G121" s="154" t="n">
        <v>0.4</v>
      </c>
      <c r="H121" s="154" t="n">
        <v>0.2</v>
      </c>
      <c r="I121" s="154" t="n">
        <v>0.05</v>
      </c>
      <c r="J121" s="154" t="n">
        <v>0</v>
      </c>
      <c r="K121" s="154" t="n">
        <v>0</v>
      </c>
      <c r="L121" s="155" t="n">
        <v>0</v>
      </c>
    </row>
    <row r="122" customFormat="false" ht="15" hidden="false" customHeight="false" outlineLevel="0" collapsed="false">
      <c r="A122" s="144"/>
      <c r="B122" s="151" t="s">
        <v>56</v>
      </c>
      <c r="C122" s="154" t="n">
        <v>0.05</v>
      </c>
      <c r="D122" s="154" t="n">
        <v>0.05</v>
      </c>
      <c r="E122" s="154" t="n">
        <v>0.05</v>
      </c>
      <c r="F122" s="154" t="n">
        <v>0.05</v>
      </c>
      <c r="G122" s="154" t="n">
        <v>0.05</v>
      </c>
      <c r="H122" s="154" t="n">
        <v>0.05</v>
      </c>
      <c r="I122" s="154" t="n">
        <v>0.1</v>
      </c>
      <c r="J122" s="154" t="n">
        <v>0.15</v>
      </c>
      <c r="K122" s="154" t="n">
        <v>0.2</v>
      </c>
      <c r="L122" s="155" t="n">
        <v>0.3</v>
      </c>
    </row>
    <row r="123" customFormat="false" ht="15" hidden="false" customHeight="false" outlineLevel="0" collapsed="false">
      <c r="A123" s="156" t="s">
        <v>188</v>
      </c>
      <c r="B123" s="145" t="s">
        <v>185</v>
      </c>
      <c r="C123" s="154" t="n">
        <v>0</v>
      </c>
      <c r="D123" s="154" t="n">
        <v>0.1</v>
      </c>
      <c r="E123" s="154" t="n">
        <v>0.15</v>
      </c>
      <c r="F123" s="154" t="n">
        <v>0.35</v>
      </c>
      <c r="G123" s="154" t="n">
        <v>0.55</v>
      </c>
      <c r="H123" s="154" t="n">
        <v>0.75</v>
      </c>
      <c r="I123" s="154" t="n">
        <v>0.8</v>
      </c>
      <c r="J123" s="154" t="n">
        <v>0.65</v>
      </c>
      <c r="K123" s="154" t="n">
        <v>0.4</v>
      </c>
      <c r="L123" s="155" t="n">
        <v>0.2</v>
      </c>
    </row>
    <row r="124" customFormat="false" ht="15" hidden="false" customHeight="false" outlineLevel="0" collapsed="false">
      <c r="A124" s="156"/>
      <c r="B124" s="145" t="s">
        <v>53</v>
      </c>
      <c r="C124" s="154" t="n">
        <v>0</v>
      </c>
      <c r="D124" s="154" t="n">
        <v>0</v>
      </c>
      <c r="E124" s="154" t="n">
        <v>0</v>
      </c>
      <c r="F124" s="154" t="n">
        <v>0</v>
      </c>
      <c r="G124" s="154" t="n">
        <v>0</v>
      </c>
      <c r="H124" s="154" t="n">
        <v>0</v>
      </c>
      <c r="I124" s="154" t="n">
        <v>0.05</v>
      </c>
      <c r="J124" s="154" t="n">
        <v>0.2</v>
      </c>
      <c r="K124" s="154" t="n">
        <v>0.4</v>
      </c>
      <c r="L124" s="155" t="n">
        <v>0.5</v>
      </c>
    </row>
    <row r="125" customFormat="false" ht="15" hidden="false" customHeight="false" outlineLevel="0" collapsed="false">
      <c r="A125" s="156"/>
      <c r="B125" s="145" t="s">
        <v>55</v>
      </c>
      <c r="C125" s="154" t="n">
        <v>0</v>
      </c>
      <c r="D125" s="154" t="n">
        <v>0.1</v>
      </c>
      <c r="E125" s="154" t="n">
        <v>0.15</v>
      </c>
      <c r="F125" s="154" t="n">
        <v>0.35</v>
      </c>
      <c r="G125" s="154" t="n">
        <v>0.55</v>
      </c>
      <c r="H125" s="154" t="n">
        <v>0.75</v>
      </c>
      <c r="I125" s="154" t="n">
        <v>0.85</v>
      </c>
      <c r="J125" s="154" t="n">
        <v>0.7</v>
      </c>
      <c r="K125" s="154" t="n">
        <v>0.5</v>
      </c>
      <c r="L125" s="155" t="n">
        <v>0.35</v>
      </c>
    </row>
    <row r="126" customFormat="false" ht="15" hidden="false" customHeight="false" outlineLevel="0" collapsed="false">
      <c r="A126" s="156"/>
      <c r="B126" s="145" t="s">
        <v>54</v>
      </c>
      <c r="C126" s="154" t="n">
        <v>0</v>
      </c>
      <c r="D126" s="154" t="n">
        <v>0</v>
      </c>
      <c r="E126" s="154" t="n">
        <v>0</v>
      </c>
      <c r="F126" s="154" t="n">
        <v>0</v>
      </c>
      <c r="G126" s="154" t="n">
        <v>0</v>
      </c>
      <c r="H126" s="154" t="n">
        <v>0</v>
      </c>
      <c r="I126" s="154" t="n">
        <v>0.05</v>
      </c>
      <c r="J126" s="154" t="n">
        <v>0.25</v>
      </c>
      <c r="K126" s="154" t="n">
        <v>0.42</v>
      </c>
      <c r="L126" s="155" t="n">
        <v>0.55</v>
      </c>
    </row>
    <row r="127" customFormat="false" ht="15" hidden="false" customHeight="false" outlineLevel="0" collapsed="false">
      <c r="A127" s="156"/>
      <c r="B127" s="151" t="s">
        <v>56</v>
      </c>
      <c r="C127" s="157" t="n">
        <v>0</v>
      </c>
      <c r="D127" s="157" t="n">
        <v>0</v>
      </c>
      <c r="E127" s="157" t="n">
        <v>0</v>
      </c>
      <c r="F127" s="157" t="n">
        <v>0</v>
      </c>
      <c r="G127" s="157" t="n">
        <v>0</v>
      </c>
      <c r="H127" s="157" t="n">
        <v>0</v>
      </c>
      <c r="I127" s="157" t="n">
        <v>0</v>
      </c>
      <c r="J127" s="157" t="n">
        <v>0</v>
      </c>
      <c r="K127" s="157" t="n">
        <v>0</v>
      </c>
      <c r="L127" s="158" t="n">
        <v>0</v>
      </c>
    </row>
    <row r="131" customFormat="false" ht="15" hidden="false" customHeight="false" outlineLevel="0" collapsed="false">
      <c r="A131" s="159" t="s">
        <v>154</v>
      </c>
      <c r="B131" s="159"/>
      <c r="C131" s="159"/>
    </row>
    <row r="132" customFormat="false" ht="15" hidden="false" customHeight="false" outlineLevel="0" collapsed="false">
      <c r="A132" s="160" t="s">
        <v>155</v>
      </c>
      <c r="B132" s="161" t="n">
        <v>0.00472</v>
      </c>
      <c r="C132" s="161" t="s">
        <v>156</v>
      </c>
    </row>
    <row r="133" customFormat="false" ht="15" hidden="false" customHeight="false" outlineLevel="0" collapsed="false">
      <c r="A133" s="160" t="s">
        <v>157</v>
      </c>
      <c r="B133" s="161" t="n">
        <v>0</v>
      </c>
      <c r="C133" s="161" t="s">
        <v>156</v>
      </c>
    </row>
    <row r="134" customFormat="false" ht="15" hidden="false" customHeight="false" outlineLevel="0" collapsed="false">
      <c r="A134" s="160" t="s">
        <v>158</v>
      </c>
      <c r="B134" s="161" t="n">
        <v>1.279</v>
      </c>
      <c r="C134" s="161" t="s">
        <v>156</v>
      </c>
    </row>
    <row r="135" customFormat="false" ht="15" hidden="false" customHeight="false" outlineLevel="0" collapsed="false">
      <c r="A135" s="160" t="s">
        <v>159</v>
      </c>
      <c r="B135" s="161" t="n">
        <v>0.01711</v>
      </c>
      <c r="C135" s="161" t="s">
        <v>156</v>
      </c>
    </row>
    <row r="136" customFormat="false" ht="15" hidden="false" customHeight="false" outlineLevel="0" collapsed="false">
      <c r="A136" s="160" t="s">
        <v>160</v>
      </c>
      <c r="B136" s="161" t="n">
        <v>0</v>
      </c>
      <c r="C136" s="161" t="s">
        <v>156</v>
      </c>
    </row>
  </sheetData>
  <mergeCells count="30">
    <mergeCell ref="A10:AE10"/>
    <mergeCell ref="B11:B17"/>
    <mergeCell ref="A18:AE18"/>
    <mergeCell ref="B19:B24"/>
    <mergeCell ref="A25:AE25"/>
    <mergeCell ref="A27:A30"/>
    <mergeCell ref="A31:A34"/>
    <mergeCell ref="A35:A38"/>
    <mergeCell ref="A39:A42"/>
    <mergeCell ref="A44:AE44"/>
    <mergeCell ref="A45:A48"/>
    <mergeCell ref="A49:A52"/>
    <mergeCell ref="A53:A56"/>
    <mergeCell ref="A57:AE57"/>
    <mergeCell ref="A58:A61"/>
    <mergeCell ref="A62:AE62"/>
    <mergeCell ref="A67:AE67"/>
    <mergeCell ref="A68:A71"/>
    <mergeCell ref="A72:A75"/>
    <mergeCell ref="A76:A79"/>
    <mergeCell ref="A80:A83"/>
    <mergeCell ref="A84:AE84"/>
    <mergeCell ref="A85:A88"/>
    <mergeCell ref="A89:A92"/>
    <mergeCell ref="A93:A96"/>
    <mergeCell ref="A97:A100"/>
    <mergeCell ref="A108:A112"/>
    <mergeCell ref="A113:A117"/>
    <mergeCell ref="A118:A122"/>
    <mergeCell ref="A123:A1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DE127"/>
  <sheetViews>
    <sheetView showFormulas="false" showGridLines="true" showRowColHeaders="true" showZeros="true" rightToLeft="false" tabSelected="false" showOutlineSymbols="true" defaultGridColor="true" view="normal" topLeftCell="A72" colorId="64" zoomScale="85" zoomScaleNormal="85" zoomScalePageLayoutView="100" workbookViewId="0">
      <selection pane="topLeft" activeCell="A23" activeCellId="0" sqref="A23"/>
    </sheetView>
  </sheetViews>
  <sheetFormatPr defaultColWidth="11.57421875" defaultRowHeight="15" customHeight="false" zeroHeight="false" outlineLevelRow="0" outlineLevelCol="0"/>
  <cols>
    <col collapsed="false" customWidth="true" hidden="false" outlineLevel="0" max="1" min="1" style="1" width="47.72"/>
    <col collapsed="false" customWidth="true" hidden="false" outlineLevel="0" max="2" min="2" style="1" width="16.29"/>
    <col collapsed="false" customWidth="true" hidden="false" outlineLevel="0" max="3" min="3" style="1" width="14.86"/>
    <col collapsed="false" customWidth="true" hidden="false" outlineLevel="0" max="8" min="8" style="1" width="11.86"/>
  </cols>
  <sheetData>
    <row r="1" s="59" customFormat="true" ht="31.5" hidden="false" customHeight="true" outlineLevel="0" collapsed="false">
      <c r="A1" s="58" t="s">
        <v>66</v>
      </c>
      <c r="B1" s="58"/>
      <c r="C1" s="58"/>
      <c r="D1" s="58"/>
      <c r="E1" s="58"/>
    </row>
    <row r="2" s="60" customFormat="true" ht="15" hidden="false" customHeight="false" outlineLevel="0" collapsed="false">
      <c r="A2" s="60" t="s">
        <v>67</v>
      </c>
    </row>
    <row r="3" s="87" customFormat="true" ht="15" hidden="false" customHeight="false" outlineLevel="0" collapsed="false">
      <c r="A3" s="61"/>
      <c r="B3" s="62" t="s">
        <v>68</v>
      </c>
      <c r="C3" s="63" t="s">
        <v>162</v>
      </c>
    </row>
    <row r="4" s="87" customFormat="true" ht="15" hidden="false" customHeight="false" outlineLevel="0" collapsed="false">
      <c r="A4" s="64" t="s">
        <v>163</v>
      </c>
      <c r="B4" s="71" t="n">
        <v>0.39350260607799</v>
      </c>
      <c r="C4" s="71" t="n">
        <v>-0.0110516667780001</v>
      </c>
    </row>
    <row r="5" s="7" customFormat="true" ht="15" hidden="false" customHeight="false" outlineLevel="0" collapsed="false">
      <c r="A5" s="64" t="s">
        <v>189</v>
      </c>
      <c r="B5" s="162"/>
      <c r="C5" s="71" t="n">
        <v>3.97736912431872</v>
      </c>
      <c r="CM5" s="89"/>
    </row>
    <row r="6" s="7" customFormat="true" ht="15" hidden="false" customHeight="false" outlineLevel="0" collapsed="false">
      <c r="A6" s="163" t="s">
        <v>164</v>
      </c>
      <c r="B6" s="71" t="n">
        <v>0.708469069137734</v>
      </c>
      <c r="C6" s="71" t="n">
        <v>0.876056414122109</v>
      </c>
      <c r="CM6" s="9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89"/>
    </row>
    <row r="7" s="7" customFormat="true" ht="15" hidden="false" customHeight="false" outlineLevel="0" collapsed="false">
      <c r="A7" s="163" t="s">
        <v>165</v>
      </c>
      <c r="B7" s="71" t="n">
        <v>-0.00543216430197496</v>
      </c>
      <c r="C7" s="71" t="n">
        <v>-0.0120990538426196</v>
      </c>
      <c r="CM7" s="9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89"/>
    </row>
    <row r="8" s="7" customFormat="true" ht="15" hidden="false" customHeight="false" outlineLevel="0" collapsed="false">
      <c r="A8" s="163" t="s">
        <v>166</v>
      </c>
      <c r="B8" s="164" t="n">
        <v>1997</v>
      </c>
      <c r="C8" s="164" t="n">
        <v>1995</v>
      </c>
      <c r="CM8" s="9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89"/>
    </row>
    <row r="9" s="7" customFormat="true" ht="15" hidden="false" customHeight="false" outlineLevel="0" collapsed="false">
      <c r="A9" s="165" t="s">
        <v>72</v>
      </c>
      <c r="B9" s="111" t="n">
        <v>2023</v>
      </c>
      <c r="DE9" s="89"/>
    </row>
    <row r="10" s="7" customFormat="true" ht="15" hidden="false" customHeight="false" outlineLevel="0" collapsed="false">
      <c r="A10" s="166" t="s">
        <v>73</v>
      </c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DE10" s="89"/>
    </row>
    <row r="11" s="6" customFormat="true" ht="15" hidden="false" customHeight="false" outlineLevel="0" collapsed="false">
      <c r="A11" s="64" t="s">
        <v>74</v>
      </c>
      <c r="B11" s="71" t="n">
        <v>1995</v>
      </c>
      <c r="C11" s="71" t="n">
        <v>1996</v>
      </c>
      <c r="D11" s="71" t="n">
        <v>1997</v>
      </c>
      <c r="E11" s="71" t="n">
        <v>1998</v>
      </c>
      <c r="F11" s="71" t="n">
        <v>1999</v>
      </c>
      <c r="G11" s="71" t="n">
        <v>2000</v>
      </c>
      <c r="H11" s="71" t="n">
        <v>2001</v>
      </c>
      <c r="I11" s="71" t="n">
        <v>2002</v>
      </c>
      <c r="J11" s="71" t="n">
        <v>2003</v>
      </c>
      <c r="K11" s="71" t="n">
        <v>2004</v>
      </c>
      <c r="L11" s="71" t="n">
        <v>2005</v>
      </c>
      <c r="M11" s="71" t="n">
        <v>2006</v>
      </c>
      <c r="N11" s="71" t="n">
        <v>2007</v>
      </c>
      <c r="O11" s="71" t="n">
        <v>2008</v>
      </c>
      <c r="P11" s="71" t="n">
        <v>2009</v>
      </c>
      <c r="Q11" s="71" t="n">
        <v>2010</v>
      </c>
      <c r="R11" s="71" t="n">
        <v>2011</v>
      </c>
      <c r="S11" s="71" t="n">
        <v>2012</v>
      </c>
      <c r="T11" s="71" t="n">
        <v>2013</v>
      </c>
      <c r="U11" s="71" t="n">
        <v>2014</v>
      </c>
      <c r="V11" s="79" t="n">
        <v>2015</v>
      </c>
      <c r="W11" s="71" t="n">
        <v>2016</v>
      </c>
      <c r="X11" s="71" t="n">
        <v>2017</v>
      </c>
      <c r="Y11" s="71" t="n">
        <v>2018</v>
      </c>
      <c r="Z11" s="79" t="n">
        <v>2019</v>
      </c>
      <c r="AA11" s="71" t="n">
        <v>2020</v>
      </c>
      <c r="AB11" s="71" t="n">
        <v>2021</v>
      </c>
      <c r="AC11" s="71" t="n">
        <v>2022</v>
      </c>
      <c r="AD11" s="79" t="n">
        <v>2023</v>
      </c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89"/>
    </row>
    <row r="12" s="6" customFormat="true" ht="15" hidden="false" customHeight="false" outlineLevel="0" collapsed="false">
      <c r="A12" s="74" t="s">
        <v>75</v>
      </c>
      <c r="B12" s="7" t="n">
        <v>2296.67992169905</v>
      </c>
      <c r="C12" s="7" t="n">
        <v>2315.76835626414</v>
      </c>
      <c r="D12" s="7" t="n">
        <v>2404.99559689428</v>
      </c>
      <c r="E12" s="7" t="n">
        <v>2473.49850163775</v>
      </c>
      <c r="F12" s="7" t="n">
        <v>2534.55900492713</v>
      </c>
      <c r="G12" s="7" t="n">
        <v>2637.02544827906</v>
      </c>
      <c r="H12" s="7" t="n">
        <v>2674.16911901651</v>
      </c>
      <c r="I12" s="7" t="n">
        <v>2734.88174965201</v>
      </c>
      <c r="J12" s="7" t="n">
        <v>2749.27924540853</v>
      </c>
      <c r="K12" s="7" t="n">
        <v>2952.82871390138</v>
      </c>
      <c r="L12" s="7" t="n">
        <v>2967.66314130916</v>
      </c>
      <c r="M12" s="7" t="n">
        <v>3038.31301990387</v>
      </c>
      <c r="N12" s="7" t="n">
        <v>3118.64945935358</v>
      </c>
      <c r="O12" s="7" t="n">
        <v>3088.39815836687</v>
      </c>
      <c r="P12" s="7" t="n">
        <v>2763.67409313997</v>
      </c>
      <c r="Q12" s="7" t="n">
        <v>2922.21793430262</v>
      </c>
      <c r="R12" s="7" t="n">
        <v>2936.39626918436</v>
      </c>
      <c r="S12" s="7" t="n">
        <v>2864.20430635322</v>
      </c>
      <c r="T12" s="7" t="n">
        <v>2910.49917597226</v>
      </c>
      <c r="U12" s="7" t="n">
        <v>2950.87662501808</v>
      </c>
      <c r="V12" s="7" t="n">
        <v>2990.11401283662</v>
      </c>
      <c r="W12" s="7" t="n">
        <v>3108.98271408947</v>
      </c>
      <c r="X12" s="7" t="n">
        <v>3204.80711756703</v>
      </c>
      <c r="Y12" s="7" t="n">
        <v>3251.75984246672</v>
      </c>
      <c r="Z12" s="7" t="n">
        <v>3311.43147309249</v>
      </c>
      <c r="AA12" s="7" t="n">
        <v>3191.52851315906</v>
      </c>
      <c r="AB12" s="7" t="n">
        <v>3371.61473709302</v>
      </c>
      <c r="AC12" s="7" t="n">
        <v>3386.61796489963</v>
      </c>
      <c r="AD12" s="7" t="n">
        <v>3342.66399692239</v>
      </c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89"/>
    </row>
    <row r="13" s="6" customFormat="true" ht="15" hidden="false" customHeight="false" outlineLevel="0" collapsed="false">
      <c r="A13" s="73" t="s">
        <v>83</v>
      </c>
      <c r="B13" s="10" t="n">
        <v>0.490778009312739</v>
      </c>
      <c r="C13" s="10" t="n">
        <v>0.490713588397606</v>
      </c>
      <c r="D13" s="10" t="n">
        <v>0.491675744241282</v>
      </c>
      <c r="E13" s="10" t="n">
        <v>0.502205276929625</v>
      </c>
      <c r="F13" s="10" t="n">
        <v>0.510685289821144</v>
      </c>
      <c r="G13" s="10" t="n">
        <v>0.509614725514696</v>
      </c>
      <c r="H13" s="10" t="n">
        <v>0.519508280205903</v>
      </c>
      <c r="I13" s="10" t="n">
        <v>0.526092215936969</v>
      </c>
      <c r="J13" s="10" t="n">
        <v>0.523970055935858</v>
      </c>
      <c r="K13" s="10" t="n">
        <v>0.537879489088797</v>
      </c>
      <c r="L13" s="10" t="n">
        <v>0.535153078348956</v>
      </c>
      <c r="M13" s="10" t="n">
        <v>0.539376480139799</v>
      </c>
      <c r="N13" s="10" t="n">
        <v>0.544352310543875</v>
      </c>
      <c r="O13" s="10" t="n">
        <v>0.542825618627212</v>
      </c>
      <c r="P13" s="10" t="n">
        <v>0.548297858211611</v>
      </c>
      <c r="Q13" s="10" t="n">
        <v>0.533256782847767</v>
      </c>
      <c r="R13" s="10" t="n">
        <v>0.52500788655544</v>
      </c>
      <c r="S13" s="10" t="n">
        <v>0.51731310114999</v>
      </c>
      <c r="T13" s="10" t="n">
        <v>0.520997927897336</v>
      </c>
      <c r="U13" s="10" t="n">
        <v>0.517620631994613</v>
      </c>
      <c r="V13" s="10" t="n">
        <v>0.522383988057066</v>
      </c>
      <c r="W13" s="10" t="n">
        <v>0.520989622346472</v>
      </c>
      <c r="X13" s="10" t="n">
        <v>0.532735294445104</v>
      </c>
      <c r="Y13" s="10" t="n">
        <v>0.525099048736861</v>
      </c>
      <c r="Z13" s="10" t="n">
        <v>0.532938100739828</v>
      </c>
      <c r="AA13" s="10" t="n">
        <v>0.546863984703187</v>
      </c>
      <c r="AB13" s="10" t="n">
        <v>0.552323781098903</v>
      </c>
      <c r="AC13" s="10" t="n">
        <v>0.551079283031947</v>
      </c>
      <c r="AD13" s="10" t="n">
        <v>0.540720814794466</v>
      </c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90"/>
    </row>
    <row r="14" s="6" customFormat="true" ht="15" hidden="false" customHeight="false" outlineLevel="0" collapsed="false">
      <c r="A14" s="73" t="s">
        <v>78</v>
      </c>
      <c r="B14" s="10" t="n">
        <v>0.163199958539592</v>
      </c>
      <c r="C14" s="10" t="n">
        <v>0.163558241468949</v>
      </c>
      <c r="D14" s="10" t="n">
        <v>0.163972025773873</v>
      </c>
      <c r="E14" s="10" t="n">
        <v>0.152430868565458</v>
      </c>
      <c r="F14" s="10" t="n">
        <v>0.144841771009981</v>
      </c>
      <c r="G14" s="10" t="n">
        <v>0.147105427023992</v>
      </c>
      <c r="H14" s="10" t="n">
        <v>0.138081507121756</v>
      </c>
      <c r="I14" s="10" t="n">
        <v>0.134616859613721</v>
      </c>
      <c r="J14" s="10" t="n">
        <v>0.1368756081737</v>
      </c>
      <c r="K14" s="10" t="n">
        <v>0.132088596322498</v>
      </c>
      <c r="L14" s="10" t="n">
        <v>0.132965562872451</v>
      </c>
      <c r="M14" s="10" t="n">
        <v>0.136999050878955</v>
      </c>
      <c r="N14" s="10" t="n">
        <v>0.138112348185897</v>
      </c>
      <c r="O14" s="10" t="n">
        <v>0.136641384420185</v>
      </c>
      <c r="P14" s="10" t="n">
        <v>0.12453964845361</v>
      </c>
      <c r="Q14" s="10" t="n">
        <v>0.128311785236334</v>
      </c>
      <c r="R14" s="10" t="n">
        <v>0.136550030460083</v>
      </c>
      <c r="S14" s="10" t="n">
        <v>0.137022697413542</v>
      </c>
      <c r="T14" s="10" t="n">
        <v>0.133567122509196</v>
      </c>
      <c r="U14" s="10" t="n">
        <v>0.134033390839434</v>
      </c>
      <c r="V14" s="10" t="n">
        <v>0.13471392671675</v>
      </c>
      <c r="W14" s="10" t="n">
        <v>0.13739252973785</v>
      </c>
      <c r="X14" s="10" t="n">
        <v>0.132970872931509</v>
      </c>
      <c r="Y14" s="10" t="n">
        <v>0.132881276887969</v>
      </c>
      <c r="Z14" s="10" t="n">
        <v>0.128202562381137</v>
      </c>
      <c r="AA14" s="10" t="n">
        <v>0.120233486374269</v>
      </c>
      <c r="AB14" s="10" t="n">
        <v>0.123064772328569</v>
      </c>
      <c r="AC14" s="10" t="n">
        <v>0.122063989586216</v>
      </c>
      <c r="AD14" s="10" t="n">
        <v>0.118396584390288</v>
      </c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90"/>
    </row>
    <row r="15" customFormat="false" ht="15" hidden="false" customHeight="false" outlineLevel="0" collapsed="false">
      <c r="A15" s="74" t="s">
        <v>79</v>
      </c>
      <c r="B15" s="93" t="n">
        <v>0.345404520977763</v>
      </c>
      <c r="C15" s="93" t="n">
        <v>0.345097376355409</v>
      </c>
      <c r="D15" s="93" t="n">
        <v>0.343709457165293</v>
      </c>
      <c r="E15" s="93" t="n">
        <v>0.344718815224539</v>
      </c>
      <c r="F15" s="93" t="n">
        <v>0.343829450763998</v>
      </c>
      <c r="G15" s="93" t="n">
        <v>0.342621027029685</v>
      </c>
      <c r="H15" s="93" t="n">
        <v>0.341757891411443</v>
      </c>
      <c r="I15" s="93" t="n">
        <v>0.338668641381082</v>
      </c>
      <c r="J15" s="93" t="n">
        <v>0.338530153074406</v>
      </c>
      <c r="K15" s="93" t="n">
        <v>0.329429145792524</v>
      </c>
      <c r="L15" s="93" t="n">
        <v>0.331264876780879</v>
      </c>
      <c r="M15" s="93" t="n">
        <v>0.323003650813483</v>
      </c>
      <c r="N15" s="93" t="n">
        <v>0.31691005135058</v>
      </c>
      <c r="O15" s="93" t="n">
        <v>0.319915532514795</v>
      </c>
      <c r="P15" s="93" t="n">
        <v>0.326508609788096</v>
      </c>
      <c r="Q15" s="93" t="n">
        <v>0.337803837958852</v>
      </c>
      <c r="R15" s="93" t="n">
        <v>0.337818525186476</v>
      </c>
      <c r="S15" s="93" t="n">
        <v>0.345032904638347</v>
      </c>
      <c r="T15" s="93" t="n">
        <v>0.344809197891932</v>
      </c>
      <c r="U15" s="93" t="n">
        <v>0.34763463160242</v>
      </c>
      <c r="V15" s="93" t="n">
        <v>0.342191112426344</v>
      </c>
      <c r="W15" s="93" t="n">
        <v>0.340933013510245</v>
      </c>
      <c r="X15" s="93" t="n">
        <v>0.333624112323847</v>
      </c>
      <c r="Y15" s="93" t="n">
        <v>0.341346315237711</v>
      </c>
      <c r="Z15" s="93" t="n">
        <v>0.338165093472417</v>
      </c>
      <c r="AA15" s="93" t="n">
        <v>0.332262316982919</v>
      </c>
      <c r="AB15" s="93" t="n">
        <v>0.32390976677495</v>
      </c>
      <c r="AC15" s="93" t="n">
        <v>0.326176980627554</v>
      </c>
      <c r="AD15" s="93" t="n">
        <v>0.340228612193177</v>
      </c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  <c r="CI15" s="93"/>
      <c r="CJ15" s="93"/>
      <c r="CK15" s="93"/>
      <c r="CL15" s="93"/>
      <c r="CM15" s="93"/>
      <c r="CN15" s="93"/>
      <c r="CO15" s="93"/>
      <c r="CP15" s="93"/>
      <c r="CQ15" s="93"/>
      <c r="CR15" s="93"/>
      <c r="CS15" s="93"/>
      <c r="CT15" s="93"/>
      <c r="CU15" s="93"/>
      <c r="CV15" s="93"/>
      <c r="CW15" s="93"/>
      <c r="CX15" s="93"/>
      <c r="CY15" s="93"/>
      <c r="CZ15" s="93"/>
      <c r="DA15" s="93"/>
      <c r="DB15" s="93"/>
      <c r="DC15" s="93"/>
      <c r="DD15" s="93"/>
      <c r="DE15" s="94"/>
    </row>
    <row r="16" customFormat="false" ht="15" hidden="false" customHeight="false" outlineLevel="0" collapsed="false">
      <c r="A16" s="167" t="s">
        <v>80</v>
      </c>
      <c r="B16" s="95" t="n">
        <v>0.000617511169904832</v>
      </c>
      <c r="C16" s="95" t="n">
        <v>0.000630793778036694</v>
      </c>
      <c r="D16" s="95" t="n">
        <v>0.000642772819552216</v>
      </c>
      <c r="E16" s="95" t="n">
        <v>0.00064503928037841</v>
      </c>
      <c r="F16" s="95" t="n">
        <v>0.000643488404876971</v>
      </c>
      <c r="G16" s="95" t="n">
        <v>0.000658820431627541</v>
      </c>
      <c r="H16" s="95" t="n">
        <v>0.000652321260899274</v>
      </c>
      <c r="I16" s="95" t="n">
        <v>0.000622283068228065</v>
      </c>
      <c r="J16" s="95" t="n">
        <v>0.000624182816035788</v>
      </c>
      <c r="K16" s="95" t="n">
        <v>0.00060276879618146</v>
      </c>
      <c r="L16" s="95" t="n">
        <v>0.000616481997713661</v>
      </c>
      <c r="M16" s="95" t="n">
        <v>0.00062081816776369</v>
      </c>
      <c r="N16" s="95" t="n">
        <v>0.000625289919648109</v>
      </c>
      <c r="O16" s="95" t="n">
        <v>0.000617464437807212</v>
      </c>
      <c r="P16" s="95" t="n">
        <v>0.000653883546684159</v>
      </c>
      <c r="Q16" s="95" t="n">
        <v>0.000627593957047479</v>
      </c>
      <c r="R16" s="95" t="n">
        <v>0.000623557798000815</v>
      </c>
      <c r="S16" s="95" t="n">
        <v>0.000631296798121134</v>
      </c>
      <c r="T16" s="95" t="n">
        <v>0.000625751701536774</v>
      </c>
      <c r="U16" s="95" t="n">
        <v>0.000711345563532808</v>
      </c>
      <c r="V16" s="95" t="n">
        <v>0.000710972799840639</v>
      </c>
      <c r="W16" s="95" t="n">
        <v>0.000684834405433304</v>
      </c>
      <c r="X16" s="95" t="n">
        <v>0.000669720299540428</v>
      </c>
      <c r="Y16" s="95" t="n">
        <v>0.000673359137458768</v>
      </c>
      <c r="Z16" s="95" t="n">
        <v>0.000694243406618257</v>
      </c>
      <c r="AA16" s="95" t="n">
        <v>0.000640211939625087</v>
      </c>
      <c r="AB16" s="95" t="n">
        <v>0.000701679797577523</v>
      </c>
      <c r="AC16" s="95" t="n">
        <v>0.000679746754283403</v>
      </c>
      <c r="AD16" s="95" t="n">
        <v>0.000653988622068974</v>
      </c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  <c r="CD16" s="95"/>
      <c r="CE16" s="95"/>
      <c r="CF16" s="95"/>
      <c r="CG16" s="95"/>
      <c r="CH16" s="95"/>
      <c r="CI16" s="95"/>
      <c r="CJ16" s="95"/>
      <c r="CK16" s="95"/>
      <c r="CL16" s="95"/>
      <c r="CM16" s="95"/>
      <c r="CN16" s="95"/>
      <c r="CO16" s="95"/>
      <c r="CP16" s="95"/>
      <c r="CQ16" s="95"/>
      <c r="CR16" s="95"/>
      <c r="CS16" s="95"/>
      <c r="CT16" s="95"/>
      <c r="CU16" s="95"/>
      <c r="CV16" s="95"/>
      <c r="CW16" s="95"/>
      <c r="CX16" s="95"/>
      <c r="CY16" s="95"/>
      <c r="CZ16" s="95"/>
      <c r="DA16" s="95"/>
      <c r="DB16" s="95"/>
      <c r="DC16" s="95"/>
      <c r="DD16" s="95"/>
      <c r="DE16" s="96"/>
    </row>
    <row r="17" customFormat="false" ht="15" hidden="false" customHeight="false" outlineLevel="0" collapsed="false">
      <c r="A17" s="168" t="s">
        <v>81</v>
      </c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96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5"/>
      <c r="BQ17" s="95"/>
      <c r="BR17" s="95"/>
      <c r="BS17" s="95"/>
      <c r="BT17" s="95"/>
      <c r="BU17" s="95"/>
      <c r="BV17" s="95"/>
      <c r="BW17" s="95"/>
      <c r="BX17" s="95"/>
      <c r="BY17" s="95"/>
      <c r="BZ17" s="95"/>
      <c r="CA17" s="95"/>
      <c r="CB17" s="95"/>
      <c r="CC17" s="95"/>
      <c r="CD17" s="95"/>
      <c r="CE17" s="95"/>
      <c r="CF17" s="95"/>
      <c r="CG17" s="95"/>
      <c r="CH17" s="95"/>
      <c r="CI17" s="95"/>
      <c r="CJ17" s="95"/>
      <c r="CK17" s="95"/>
      <c r="CL17" s="95"/>
      <c r="CM17" s="95"/>
      <c r="CN17" s="95"/>
      <c r="CO17" s="95"/>
      <c r="CP17" s="95"/>
      <c r="CQ17" s="95"/>
      <c r="CR17" s="95"/>
      <c r="CS17" s="95"/>
      <c r="CT17" s="95"/>
      <c r="CU17" s="95"/>
      <c r="CV17" s="95"/>
      <c r="CW17" s="95"/>
      <c r="CX17" s="95"/>
      <c r="CY17" s="95"/>
      <c r="CZ17" s="95"/>
      <c r="DA17" s="95"/>
      <c r="DB17" s="95"/>
      <c r="DC17" s="95"/>
      <c r="DD17" s="95"/>
      <c r="DE17" s="96"/>
    </row>
    <row r="18" customFormat="false" ht="15" hidden="false" customHeight="false" outlineLevel="0" collapsed="false">
      <c r="A18" s="73" t="s">
        <v>86</v>
      </c>
      <c r="B18" s="95" t="n">
        <v>376.451627306091</v>
      </c>
      <c r="C18" s="95" t="n">
        <v>380.381128525277</v>
      </c>
      <c r="D18" s="95" t="n">
        <v>378.472641438807</v>
      </c>
      <c r="E18" s="95" t="n">
        <v>377.695922130726</v>
      </c>
      <c r="F18" s="95" t="n">
        <v>383.517399918779</v>
      </c>
      <c r="G18" s="95" t="n">
        <v>406.393134808136</v>
      </c>
      <c r="H18" s="95" t="n">
        <v>408.39388661011</v>
      </c>
      <c r="I18" s="95" t="n">
        <v>401.246115362917</v>
      </c>
      <c r="J18" s="95" t="n">
        <v>396.973181096942</v>
      </c>
      <c r="K18" s="95" t="n">
        <v>404.410357083027</v>
      </c>
      <c r="L18" s="95" t="n">
        <v>413.01587507541</v>
      </c>
      <c r="M18" s="95" t="n">
        <v>423.94788065594</v>
      </c>
      <c r="N18" s="95" t="n">
        <v>429.657473850511</v>
      </c>
      <c r="O18" s="95" t="n">
        <v>445.71231953257</v>
      </c>
      <c r="P18" s="95" t="n">
        <v>437.693990762564</v>
      </c>
      <c r="Q18" s="95" t="n">
        <v>439.00031501649</v>
      </c>
      <c r="R18" s="95" t="n">
        <v>445.228053963758</v>
      </c>
      <c r="S18" s="95" t="n">
        <v>449.642495994171</v>
      </c>
      <c r="T18" s="95" t="n">
        <v>454.308113936556</v>
      </c>
      <c r="U18" s="95" t="n">
        <v>459.035235839403</v>
      </c>
      <c r="V18" s="95" t="n">
        <v>461.845084179222</v>
      </c>
      <c r="W18" s="95" t="n">
        <v>471.036434583192</v>
      </c>
      <c r="X18" s="95" t="n">
        <v>485.859769935525</v>
      </c>
      <c r="Y18" s="95" t="n">
        <v>492.783187899955</v>
      </c>
      <c r="Z18" s="95" t="n">
        <v>505.955497697975</v>
      </c>
      <c r="AA18" s="95" t="n">
        <v>276.499985304978</v>
      </c>
      <c r="AB18" s="95" t="n">
        <v>315.293088411808</v>
      </c>
      <c r="AC18" s="95" t="n">
        <v>463.769901497488</v>
      </c>
      <c r="AD18" s="95" t="n">
        <v>511.20153562066</v>
      </c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5"/>
      <c r="BQ18" s="95"/>
      <c r="BR18" s="95"/>
      <c r="BS18" s="95"/>
      <c r="BT18" s="95"/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  <c r="CH18" s="95"/>
      <c r="CI18" s="95"/>
      <c r="CJ18" s="95"/>
      <c r="CK18" s="95"/>
      <c r="CL18" s="95"/>
      <c r="CM18" s="95"/>
      <c r="CN18" s="95"/>
      <c r="CO18" s="95"/>
      <c r="CP18" s="95"/>
      <c r="CQ18" s="95"/>
      <c r="CR18" s="95"/>
      <c r="CS18" s="95"/>
      <c r="CT18" s="95"/>
      <c r="CU18" s="95"/>
      <c r="CV18" s="95"/>
      <c r="CW18" s="95"/>
      <c r="CX18" s="95"/>
      <c r="CY18" s="95"/>
      <c r="CZ18" s="95"/>
      <c r="DA18" s="95"/>
      <c r="DB18" s="95"/>
      <c r="DC18" s="95"/>
      <c r="DD18" s="95"/>
      <c r="DE18" s="96"/>
    </row>
    <row r="19" customFormat="false" ht="15" hidden="false" customHeight="false" outlineLevel="0" collapsed="false">
      <c r="A19" s="73" t="s">
        <v>83</v>
      </c>
      <c r="B19" s="95" t="n">
        <v>0.104097177859985</v>
      </c>
      <c r="C19" s="95" t="n">
        <v>0.10326909665573</v>
      </c>
      <c r="D19" s="95" t="n">
        <v>0.101885735163628</v>
      </c>
      <c r="E19" s="95" t="n">
        <v>0.0999959594552698</v>
      </c>
      <c r="F19" s="95" t="n">
        <v>0.0977032344695562</v>
      </c>
      <c r="G19" s="95" t="n">
        <v>0.0993951910074804</v>
      </c>
      <c r="H19" s="95" t="n">
        <v>0.0977306120373778</v>
      </c>
      <c r="I19" s="95" t="n">
        <v>0.0963982433464019</v>
      </c>
      <c r="J19" s="95" t="n">
        <v>0.0959915704819018</v>
      </c>
      <c r="K19" s="95" t="n">
        <v>0.0952663791327697</v>
      </c>
      <c r="L19" s="95" t="n">
        <v>0.0939227808919465</v>
      </c>
      <c r="M19" s="95" t="n">
        <v>0.0929319225528715</v>
      </c>
      <c r="N19" s="95" t="n">
        <v>0.0933468855043894</v>
      </c>
      <c r="O19" s="95" t="n">
        <v>0.0940376851164112</v>
      </c>
      <c r="P19" s="95" t="n">
        <v>0.0892645219766374</v>
      </c>
      <c r="Q19" s="95" t="n">
        <v>0.0883428365125418</v>
      </c>
      <c r="R19" s="95" t="n">
        <v>0.0887450741207341</v>
      </c>
      <c r="S19" s="95" t="n">
        <v>0.088862302601573</v>
      </c>
      <c r="T19" s="95" t="n">
        <v>0.0875670044008019</v>
      </c>
      <c r="U19" s="95" t="n">
        <v>0.0857317472279548</v>
      </c>
      <c r="V19" s="95" t="n">
        <v>0.0861906058104517</v>
      </c>
      <c r="W19" s="95" t="n">
        <v>0.0846008205869045</v>
      </c>
      <c r="X19" s="95" t="n">
        <v>0.0805139118257245</v>
      </c>
      <c r="Y19" s="95" t="n">
        <v>0.0803614653663672</v>
      </c>
      <c r="Z19" s="95" t="n">
        <v>0.0800435373527895</v>
      </c>
      <c r="AA19" s="95" t="n">
        <v>0.0665038195226149</v>
      </c>
      <c r="AB19" s="95" t="n">
        <v>0.0669655143009203</v>
      </c>
      <c r="AC19" s="95" t="n">
        <v>0.0718145024992352</v>
      </c>
      <c r="AD19" s="95" t="n">
        <v>0.0721788853235172</v>
      </c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5"/>
      <c r="BQ19" s="95"/>
      <c r="BR19" s="95"/>
      <c r="BS19" s="95"/>
      <c r="BT19" s="95"/>
      <c r="BU19" s="95"/>
      <c r="BV19" s="95"/>
      <c r="BW19" s="95"/>
      <c r="BX19" s="95"/>
      <c r="BY19" s="95"/>
      <c r="BZ19" s="95"/>
      <c r="CA19" s="95"/>
      <c r="CB19" s="95"/>
      <c r="CC19" s="95"/>
      <c r="CD19" s="95"/>
      <c r="CE19" s="95"/>
      <c r="CF19" s="95"/>
      <c r="CG19" s="95"/>
      <c r="CH19" s="95"/>
      <c r="CI19" s="95"/>
      <c r="CJ19" s="95"/>
      <c r="CK19" s="95"/>
      <c r="CL19" s="95"/>
      <c r="CM19" s="95"/>
      <c r="CN19" s="95"/>
      <c r="CO19" s="95"/>
      <c r="CP19" s="95"/>
      <c r="CQ19" s="95"/>
      <c r="CR19" s="95"/>
      <c r="CS19" s="95"/>
      <c r="CT19" s="95"/>
      <c r="CU19" s="95"/>
      <c r="CV19" s="95"/>
      <c r="CW19" s="95"/>
      <c r="CX19" s="95"/>
      <c r="CY19" s="95"/>
      <c r="CZ19" s="95"/>
      <c r="DA19" s="95"/>
      <c r="DB19" s="95"/>
      <c r="DC19" s="95"/>
      <c r="DD19" s="95"/>
      <c r="DE19" s="96"/>
    </row>
    <row r="20" customFormat="false" ht="15" hidden="false" customHeight="false" outlineLevel="0" collapsed="false">
      <c r="A20" s="73" t="s">
        <v>78</v>
      </c>
      <c r="B20" s="95" t="n">
        <v>0.0836651830037724</v>
      </c>
      <c r="C20" s="95" t="n">
        <v>0.0830045101391917</v>
      </c>
      <c r="D20" s="95" t="n">
        <v>0.0809941434300811</v>
      </c>
      <c r="E20" s="95" t="n">
        <v>0.0789160245826894</v>
      </c>
      <c r="F20" s="95" t="n">
        <v>0.0780981365171192</v>
      </c>
      <c r="G20" s="95" t="n">
        <v>0.0812858096541697</v>
      </c>
      <c r="H20" s="95" t="n">
        <v>0.080459447290837</v>
      </c>
      <c r="I20" s="95" t="n">
        <v>0.0784116511411061</v>
      </c>
      <c r="J20" s="95" t="n">
        <v>0.0768224063585416</v>
      </c>
      <c r="K20" s="95" t="n">
        <v>0.0769555122266276</v>
      </c>
      <c r="L20" s="95" t="n">
        <v>0.077861638083087</v>
      </c>
      <c r="M20" s="95" t="n">
        <v>0.0790667905000416</v>
      </c>
      <c r="N20" s="95" t="n">
        <v>0.0788950799704765</v>
      </c>
      <c r="O20" s="95" t="n">
        <v>0.0814495167295097</v>
      </c>
      <c r="P20" s="95" t="n">
        <v>0.07970732388668</v>
      </c>
      <c r="Q20" s="95" t="n">
        <v>0.0803540945343497</v>
      </c>
      <c r="R20" s="95" t="n">
        <v>0.0812853238256148</v>
      </c>
      <c r="S20" s="95" t="n">
        <v>0.0828357530937512</v>
      </c>
      <c r="T20" s="95" t="n">
        <v>0.0827208248117529</v>
      </c>
      <c r="U20" s="95" t="n">
        <v>0.0826397283500206</v>
      </c>
      <c r="V20" s="95" t="n">
        <v>0.0810971166749354</v>
      </c>
      <c r="W20" s="95" t="n">
        <v>0.0806863457675573</v>
      </c>
      <c r="X20" s="95" t="n">
        <v>0.0823811436175937</v>
      </c>
      <c r="Y20" s="95" t="n">
        <v>0.0826798789370064</v>
      </c>
      <c r="Z20" s="95" t="n">
        <v>0.083589925660986</v>
      </c>
      <c r="AA20" s="95" t="n">
        <v>0.063028738835573</v>
      </c>
      <c r="AB20" s="95" t="n">
        <v>0.0638201671158188</v>
      </c>
      <c r="AC20" s="95" t="n">
        <v>0.0824456779940716</v>
      </c>
      <c r="AD20" s="95" t="n">
        <v>0.0861819952642633</v>
      </c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5"/>
      <c r="BQ20" s="95"/>
      <c r="BR20" s="95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  <c r="CG20" s="95"/>
      <c r="CH20" s="95"/>
      <c r="CI20" s="95"/>
      <c r="CJ20" s="95"/>
      <c r="CK20" s="95"/>
      <c r="CL20" s="95"/>
      <c r="CM20" s="95"/>
      <c r="CN20" s="95"/>
      <c r="CO20" s="95"/>
      <c r="CP20" s="95"/>
      <c r="CQ20" s="95"/>
      <c r="CR20" s="95"/>
      <c r="CS20" s="95"/>
      <c r="CT20" s="95"/>
      <c r="CU20" s="95"/>
      <c r="CV20" s="95"/>
      <c r="CW20" s="95"/>
      <c r="CX20" s="95"/>
      <c r="CY20" s="95"/>
      <c r="CZ20" s="95"/>
      <c r="DA20" s="95"/>
      <c r="DB20" s="95"/>
      <c r="DC20" s="95"/>
      <c r="DD20" s="95"/>
      <c r="DE20" s="96"/>
    </row>
    <row r="21" customFormat="false" ht="15" hidden="false" customHeight="false" outlineLevel="0" collapsed="false">
      <c r="A21" s="73" t="s">
        <v>79</v>
      </c>
      <c r="B21" s="95" t="n">
        <v>0.00505758394113182</v>
      </c>
      <c r="C21" s="95" t="n">
        <v>0.00492107458869019</v>
      </c>
      <c r="D21" s="95" t="n">
        <v>0.00478222667660618</v>
      </c>
      <c r="E21" s="95" t="n">
        <v>0.0046155633543255</v>
      </c>
      <c r="F21" s="95" t="n">
        <v>0.00444620764436875</v>
      </c>
      <c r="G21" s="95" t="n">
        <v>0.0042749296380248</v>
      </c>
      <c r="H21" s="95" t="n">
        <v>0.00424103294200955</v>
      </c>
      <c r="I21" s="95" t="n">
        <v>0.00433833314663147</v>
      </c>
      <c r="J21" s="95" t="n">
        <v>0.00427632218429315</v>
      </c>
      <c r="K21" s="95" t="n">
        <v>0.00415558264653334</v>
      </c>
      <c r="L21" s="95" t="n">
        <v>0.00401574731301745</v>
      </c>
      <c r="M21" s="95" t="n">
        <v>0.00398670196114249</v>
      </c>
      <c r="N21" s="95" t="n">
        <v>0.00391767649442527</v>
      </c>
      <c r="O21" s="95" t="n">
        <v>0.00399664520516845</v>
      </c>
      <c r="P21" s="95" t="n">
        <v>0.00408778509975506</v>
      </c>
      <c r="Q21" s="95" t="n">
        <v>0.00411641296664317</v>
      </c>
      <c r="R21" s="95" t="n">
        <v>0.0036532041708421</v>
      </c>
      <c r="S21" s="95" t="n">
        <v>0.00341262626520842</v>
      </c>
      <c r="T21" s="95" t="n">
        <v>0.00350781662723663</v>
      </c>
      <c r="U21" s="95" t="n">
        <v>0.00350001979179743</v>
      </c>
      <c r="V21" s="95" t="n">
        <v>0.0034015992080469</v>
      </c>
      <c r="W21" s="95" t="n">
        <v>0.00315745710727097</v>
      </c>
      <c r="X21" s="95" t="n">
        <v>0.00333610444006972</v>
      </c>
      <c r="Y21" s="95" t="n">
        <v>0.00349170745382268</v>
      </c>
      <c r="Z21" s="95" t="n">
        <v>0.00349283079051905</v>
      </c>
      <c r="AA21" s="95" t="n">
        <v>0.00242275687526739</v>
      </c>
      <c r="AB21" s="95" t="n">
        <v>0.00279040798196564</v>
      </c>
      <c r="AC21" s="95" t="n">
        <v>0.00346606812412852</v>
      </c>
      <c r="AD21" s="95" t="n">
        <v>0.00349114317320698</v>
      </c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5"/>
      <c r="BQ21" s="95"/>
      <c r="BR21" s="95"/>
      <c r="BS21" s="95"/>
      <c r="BT21" s="95"/>
      <c r="BU21" s="95"/>
      <c r="BV21" s="95"/>
      <c r="BW21" s="95"/>
      <c r="BX21" s="95"/>
      <c r="BY21" s="95"/>
      <c r="BZ21" s="95"/>
      <c r="CA21" s="95"/>
      <c r="CB21" s="95"/>
      <c r="CC21" s="95"/>
      <c r="CD21" s="95"/>
      <c r="CE21" s="95"/>
      <c r="CF21" s="95"/>
      <c r="CG21" s="95"/>
      <c r="CH21" s="95"/>
      <c r="CI21" s="95"/>
      <c r="CJ21" s="95"/>
      <c r="CK21" s="95"/>
      <c r="CL21" s="95"/>
      <c r="CM21" s="95"/>
      <c r="CN21" s="95"/>
      <c r="CO21" s="95"/>
      <c r="CP21" s="95"/>
      <c r="CQ21" s="95"/>
      <c r="CR21" s="95"/>
      <c r="CS21" s="95"/>
      <c r="CT21" s="95"/>
      <c r="CU21" s="95"/>
      <c r="CV21" s="95"/>
      <c r="CW21" s="95"/>
      <c r="CX21" s="95"/>
      <c r="CY21" s="95"/>
      <c r="CZ21" s="95"/>
      <c r="DA21" s="95"/>
      <c r="DB21" s="95"/>
      <c r="DC21" s="95"/>
      <c r="DD21" s="95"/>
      <c r="DE21" s="96"/>
    </row>
    <row r="22" customFormat="false" ht="15" hidden="false" customHeight="false" outlineLevel="0" collapsed="false">
      <c r="A22" s="73" t="s">
        <v>80</v>
      </c>
      <c r="B22" s="95" t="n">
        <v>0.0527241956470143</v>
      </c>
      <c r="C22" s="95" t="n">
        <v>0.0547598300129644</v>
      </c>
      <c r="D22" s="95" t="n">
        <v>0.0572245004631555</v>
      </c>
      <c r="E22" s="95" t="n">
        <v>0.058592831950455</v>
      </c>
      <c r="F22" s="95" t="n">
        <v>0.0593393529955744</v>
      </c>
      <c r="G22" s="95" t="n">
        <v>0.0626733415837145</v>
      </c>
      <c r="H22" s="95" t="n">
        <v>0.0611919498760898</v>
      </c>
      <c r="I22" s="95" t="n">
        <v>0.0596249526006074</v>
      </c>
      <c r="J22" s="95" t="n">
        <v>0.0614336059739895</v>
      </c>
      <c r="K22" s="95" t="n">
        <v>0.0643224622356671</v>
      </c>
      <c r="L22" s="95" t="n">
        <v>0.0681185953942159</v>
      </c>
      <c r="M22" s="95" t="n">
        <v>0.0702024491634965</v>
      </c>
      <c r="N22" s="95" t="n">
        <v>0.0720148161723744</v>
      </c>
      <c r="O22" s="95" t="n">
        <v>0.0687309933055078</v>
      </c>
      <c r="P22" s="95" t="n">
        <v>0.0646349408444817</v>
      </c>
      <c r="Q22" s="95" t="n">
        <v>0.0678618135626027</v>
      </c>
      <c r="R22" s="95" t="n">
        <v>0.0733525943771637</v>
      </c>
      <c r="S22" s="95" t="n">
        <v>0.0730026974018246</v>
      </c>
      <c r="T22" s="95" t="n">
        <v>0.0728838300459002</v>
      </c>
      <c r="U22" s="95" t="n">
        <v>0.0755561013672687</v>
      </c>
      <c r="V22" s="95" t="n">
        <v>0.0782106141865762</v>
      </c>
      <c r="W22" s="95" t="n">
        <v>0.0831585572821347</v>
      </c>
      <c r="X22" s="95" t="n">
        <v>0.089850765547389</v>
      </c>
      <c r="Y22" s="95" t="n">
        <v>0.0943269901970495</v>
      </c>
      <c r="Z22" s="95" t="n">
        <v>0.0950591712654613</v>
      </c>
      <c r="AA22" s="95" t="n">
        <v>0.0400823545647675</v>
      </c>
      <c r="AB22" s="95" t="n">
        <v>0.054682189584664</v>
      </c>
      <c r="AC22" s="95" t="n">
        <v>0.0908604465904924</v>
      </c>
      <c r="AD22" s="95" t="n">
        <v>0.0981203821958695</v>
      </c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5"/>
      <c r="BQ22" s="95"/>
      <c r="BR22" s="95"/>
      <c r="BS22" s="95"/>
      <c r="BT22" s="95"/>
      <c r="BU22" s="95"/>
      <c r="BV22" s="95"/>
      <c r="BW22" s="95"/>
      <c r="BX22" s="95"/>
      <c r="BY22" s="95"/>
      <c r="BZ22" s="95"/>
      <c r="CA22" s="95"/>
      <c r="CB22" s="95"/>
      <c r="CC22" s="95"/>
      <c r="CD22" s="95"/>
      <c r="CE22" s="95"/>
      <c r="CF22" s="95"/>
      <c r="CG22" s="95"/>
      <c r="CH22" s="95"/>
      <c r="CI22" s="95"/>
      <c r="CJ22" s="95"/>
      <c r="CK22" s="95"/>
      <c r="CL22" s="95"/>
      <c r="CM22" s="95"/>
      <c r="CN22" s="95"/>
      <c r="CO22" s="95"/>
      <c r="CP22" s="95"/>
      <c r="CQ22" s="95"/>
      <c r="CR22" s="95"/>
      <c r="CS22" s="95"/>
      <c r="CT22" s="95"/>
      <c r="CU22" s="95"/>
      <c r="CV22" s="95"/>
      <c r="CW22" s="95"/>
      <c r="CX22" s="95"/>
      <c r="CY22" s="95"/>
      <c r="CZ22" s="95"/>
      <c r="DA22" s="95"/>
      <c r="DB22" s="95"/>
      <c r="DC22" s="95"/>
      <c r="DD22" s="95"/>
      <c r="DE22" s="96"/>
    </row>
    <row r="23" customFormat="false" ht="15" hidden="false" customHeight="false" outlineLevel="0" collapsed="false">
      <c r="A23" s="70" t="s">
        <v>84</v>
      </c>
      <c r="B23" s="95" t="n">
        <v>0.754455859548097</v>
      </c>
      <c r="C23" s="95" t="n">
        <v>0.754045488603424</v>
      </c>
      <c r="D23" s="95" t="n">
        <v>0.755113394266529</v>
      </c>
      <c r="E23" s="95" t="n">
        <v>0.75787962065726</v>
      </c>
      <c r="F23" s="95" t="n">
        <v>0.760413068373382</v>
      </c>
      <c r="G23" s="95" t="n">
        <v>0.75237072811661</v>
      </c>
      <c r="H23" s="95" t="n">
        <v>0.756376957853686</v>
      </c>
      <c r="I23" s="95" t="n">
        <v>0.761226819765253</v>
      </c>
      <c r="J23" s="95" t="n">
        <v>0.761476095001274</v>
      </c>
      <c r="K23" s="95" t="n">
        <v>0.759300063758402</v>
      </c>
      <c r="L23" s="95" t="n">
        <v>0.756081238317733</v>
      </c>
      <c r="M23" s="95" t="n">
        <v>0.753812135822448</v>
      </c>
      <c r="N23" s="95" t="n">
        <v>0.751825541858335</v>
      </c>
      <c r="O23" s="95" t="n">
        <v>0.751785159643403</v>
      </c>
      <c r="P23" s="95" t="n">
        <v>0.762305428192446</v>
      </c>
      <c r="Q23" s="95" t="n">
        <v>0.759324842423863</v>
      </c>
      <c r="R23" s="95" t="n">
        <v>0.752963803505645</v>
      </c>
      <c r="S23" s="95" t="n">
        <v>0.751886620637643</v>
      </c>
      <c r="T23" s="95" t="n">
        <v>0.753320524114308</v>
      </c>
      <c r="U23" s="95" t="n">
        <v>0.752572403262958</v>
      </c>
      <c r="V23" s="95" t="n">
        <v>0.75110006411999</v>
      </c>
      <c r="W23" s="95" t="n">
        <v>0.748396819256133</v>
      </c>
      <c r="X23" s="95" t="n">
        <v>0.743918074569223</v>
      </c>
      <c r="Y23" s="95" t="n">
        <v>0.739139958045754</v>
      </c>
      <c r="Z23" s="95" t="n">
        <v>0.737814534930244</v>
      </c>
      <c r="AA23" s="95" t="n">
        <v>0.827962330201778</v>
      </c>
      <c r="AB23" s="95" t="n">
        <v>0.811741721016631</v>
      </c>
      <c r="AC23" s="95" t="n">
        <v>0.751413304792072</v>
      </c>
      <c r="AD23" s="95" t="n">
        <v>0.740027594043143</v>
      </c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5"/>
      <c r="BQ23" s="95"/>
      <c r="BR23" s="95"/>
      <c r="BS23" s="95"/>
      <c r="BT23" s="95"/>
      <c r="BU23" s="95"/>
      <c r="BV23" s="95"/>
      <c r="BW23" s="95"/>
      <c r="BX23" s="95"/>
      <c r="BY23" s="95"/>
      <c r="BZ23" s="95"/>
      <c r="CA23" s="95"/>
      <c r="CB23" s="95"/>
      <c r="CC23" s="95"/>
      <c r="CD23" s="95"/>
      <c r="CE23" s="95"/>
      <c r="CF23" s="95"/>
      <c r="CG23" s="95"/>
      <c r="CH23" s="95"/>
      <c r="CI23" s="95"/>
      <c r="CJ23" s="95"/>
      <c r="CK23" s="95"/>
      <c r="CL23" s="95"/>
      <c r="CM23" s="95"/>
      <c r="CN23" s="95"/>
      <c r="CO23" s="95"/>
      <c r="CP23" s="95"/>
      <c r="CQ23" s="95"/>
      <c r="CR23" s="95"/>
      <c r="CS23" s="95"/>
      <c r="CT23" s="95"/>
      <c r="CU23" s="95"/>
      <c r="CV23" s="95"/>
      <c r="CW23" s="95"/>
      <c r="CX23" s="95"/>
      <c r="CY23" s="95"/>
      <c r="CZ23" s="95"/>
      <c r="DA23" s="95"/>
      <c r="DB23" s="95"/>
      <c r="DC23" s="95"/>
      <c r="DD23" s="95"/>
      <c r="DE23" s="96"/>
    </row>
    <row r="24" customFormat="false" ht="15" hidden="false" customHeight="false" outlineLevel="0" collapsed="false">
      <c r="A24" s="76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6"/>
    </row>
    <row r="25" customFormat="false" ht="15" hidden="false" customHeight="false" outlineLevel="0" collapsed="false">
      <c r="A25" s="169" t="s">
        <v>85</v>
      </c>
      <c r="B25" s="169"/>
      <c r="C25" s="169"/>
      <c r="D25" s="169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5"/>
      <c r="CF25" s="95"/>
      <c r="CG25" s="95"/>
      <c r="CH25" s="95"/>
      <c r="CI25" s="95"/>
      <c r="CJ25" s="95"/>
      <c r="CK25" s="95"/>
      <c r="CL25" s="95"/>
      <c r="CM25" s="95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5"/>
      <c r="DA25" s="95"/>
      <c r="DB25" s="95"/>
      <c r="DC25" s="95"/>
      <c r="DD25" s="95"/>
      <c r="DE25" s="96"/>
    </row>
    <row r="26" customFormat="false" ht="15" hidden="false" customHeight="false" outlineLevel="0" collapsed="false">
      <c r="A26" s="71"/>
      <c r="B26" s="71"/>
      <c r="C26" s="71" t="s">
        <v>75</v>
      </c>
      <c r="D26" s="71" t="s">
        <v>86</v>
      </c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5"/>
      <c r="BQ26" s="95"/>
      <c r="BR26" s="95"/>
      <c r="BS26" s="95"/>
      <c r="BT26" s="95"/>
      <c r="BU26" s="95"/>
      <c r="BV26" s="95"/>
      <c r="BW26" s="95"/>
      <c r="BX26" s="95"/>
      <c r="BY26" s="95"/>
      <c r="BZ26" s="95"/>
      <c r="CA26" s="95"/>
      <c r="CB26" s="95"/>
      <c r="CC26" s="95"/>
      <c r="CD26" s="95"/>
      <c r="CE26" s="95"/>
      <c r="CF26" s="95"/>
      <c r="CG26" s="95"/>
      <c r="CH26" s="95"/>
      <c r="CI26" s="95"/>
      <c r="CJ26" s="95"/>
      <c r="CK26" s="95"/>
      <c r="CL26" s="95"/>
      <c r="CM26" s="95"/>
      <c r="CN26" s="95"/>
      <c r="CO26" s="95"/>
      <c r="CP26" s="95"/>
      <c r="CQ26" s="95"/>
      <c r="CR26" s="95"/>
      <c r="CS26" s="95"/>
      <c r="CT26" s="95"/>
      <c r="CU26" s="95"/>
      <c r="CV26" s="95"/>
      <c r="CW26" s="95"/>
      <c r="CX26" s="95"/>
      <c r="CY26" s="95"/>
      <c r="CZ26" s="95"/>
      <c r="DA26" s="95"/>
      <c r="DB26" s="95"/>
      <c r="DC26" s="95"/>
      <c r="DD26" s="95"/>
      <c r="DE26" s="96"/>
    </row>
    <row r="27" customFormat="false" ht="15" hidden="false" customHeight="false" outlineLevel="0" collapsed="false">
      <c r="A27" s="80" t="s">
        <v>87</v>
      </c>
      <c r="B27" s="71" t="s">
        <v>12</v>
      </c>
      <c r="C27" s="170" t="n">
        <v>0.85</v>
      </c>
      <c r="D27" s="170" t="n">
        <v>0.85</v>
      </c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5"/>
      <c r="BQ27" s="95"/>
      <c r="BR27" s="95"/>
      <c r="BS27" s="95"/>
      <c r="BT27" s="95"/>
      <c r="BU27" s="95"/>
      <c r="BV27" s="95"/>
      <c r="BW27" s="95"/>
      <c r="BX27" s="95"/>
      <c r="BY27" s="95"/>
      <c r="BZ27" s="95"/>
      <c r="CA27" s="95"/>
      <c r="CB27" s="95"/>
      <c r="CC27" s="95"/>
      <c r="CD27" s="95"/>
      <c r="CE27" s="95"/>
      <c r="CF27" s="95"/>
      <c r="CG27" s="95"/>
      <c r="CH27" s="95"/>
      <c r="CI27" s="95"/>
      <c r="CJ27" s="95"/>
      <c r="CK27" s="95"/>
      <c r="CL27" s="95"/>
      <c r="CM27" s="95"/>
      <c r="CN27" s="95"/>
      <c r="CO27" s="95"/>
      <c r="CP27" s="95"/>
      <c r="CQ27" s="95"/>
      <c r="CR27" s="95"/>
      <c r="CS27" s="95"/>
      <c r="CT27" s="95"/>
      <c r="CU27" s="95"/>
      <c r="CV27" s="95"/>
      <c r="CW27" s="95"/>
      <c r="CX27" s="95"/>
      <c r="CY27" s="95"/>
      <c r="CZ27" s="95"/>
      <c r="DA27" s="95"/>
      <c r="DB27" s="95"/>
      <c r="DC27" s="95"/>
      <c r="DD27" s="95"/>
      <c r="DE27" s="96"/>
    </row>
    <row r="28" customFormat="false" ht="15" hidden="false" customHeight="false" outlineLevel="0" collapsed="false">
      <c r="A28" s="80"/>
      <c r="B28" s="71" t="s">
        <v>13</v>
      </c>
      <c r="C28" s="170" t="n">
        <v>0.05</v>
      </c>
      <c r="D28" s="170" t="n">
        <v>0.05</v>
      </c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U28" s="95"/>
      <c r="BV28" s="95"/>
      <c r="BW28" s="95"/>
      <c r="BX28" s="95"/>
      <c r="BY28" s="95"/>
      <c r="BZ28" s="95"/>
      <c r="CA28" s="95"/>
      <c r="CB28" s="95"/>
      <c r="CC28" s="95"/>
      <c r="CD28" s="95"/>
      <c r="CE28" s="95"/>
      <c r="CF28" s="95"/>
      <c r="CG28" s="95"/>
      <c r="CH28" s="95"/>
      <c r="CI28" s="95"/>
      <c r="CJ28" s="95"/>
      <c r="CK28" s="95"/>
      <c r="CL28" s="95"/>
      <c r="CM28" s="95"/>
      <c r="CN28" s="95"/>
      <c r="CO28" s="95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5"/>
      <c r="DA28" s="95"/>
      <c r="DB28" s="95"/>
      <c r="DC28" s="95"/>
      <c r="DD28" s="95"/>
      <c r="DE28" s="96"/>
    </row>
    <row r="29" customFormat="false" ht="15" hidden="false" customHeight="false" outlineLevel="0" collapsed="false">
      <c r="A29" s="80"/>
      <c r="B29" s="71" t="s">
        <v>14</v>
      </c>
      <c r="C29" s="170" t="n">
        <v>0.1</v>
      </c>
      <c r="D29" s="170" t="n">
        <v>0.1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98"/>
    </row>
    <row r="30" customFormat="false" ht="15" hidden="false" customHeight="false" outlineLevel="0" collapsed="false">
      <c r="A30" s="80"/>
      <c r="B30" s="71" t="s">
        <v>88</v>
      </c>
      <c r="C30" s="170" t="n">
        <v>0</v>
      </c>
      <c r="D30" s="170" t="n">
        <v>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98"/>
    </row>
    <row r="31" customFormat="false" ht="15" hidden="false" customHeight="false" outlineLevel="0" collapsed="false">
      <c r="A31" s="80" t="s">
        <v>18</v>
      </c>
      <c r="B31" s="71" t="s">
        <v>12</v>
      </c>
      <c r="C31" s="82" t="n">
        <v>1</v>
      </c>
      <c r="D31" s="83" t="n">
        <v>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98"/>
    </row>
    <row r="32" customFormat="false" ht="15" hidden="false" customHeight="false" outlineLevel="0" collapsed="false">
      <c r="A32" s="80"/>
      <c r="B32" s="71" t="s">
        <v>89</v>
      </c>
      <c r="C32" s="82" t="n">
        <v>0</v>
      </c>
      <c r="D32" s="83" t="n">
        <v>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98"/>
    </row>
    <row r="33" customFormat="false" ht="15" hidden="false" customHeight="false" outlineLevel="0" collapsed="false">
      <c r="A33" s="80"/>
      <c r="B33" s="71" t="s">
        <v>14</v>
      </c>
      <c r="C33" s="82" t="n">
        <v>0</v>
      </c>
      <c r="D33" s="83" t="n">
        <v>0</v>
      </c>
      <c r="E33" s="6"/>
      <c r="F33" s="6"/>
      <c r="G33" s="6"/>
      <c r="H33" s="171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98"/>
    </row>
    <row r="34" customFormat="false" ht="15" hidden="false" customHeight="false" outlineLevel="0" collapsed="false">
      <c r="A34" s="80"/>
      <c r="B34" s="71" t="s">
        <v>88</v>
      </c>
      <c r="C34" s="82" t="n">
        <v>0</v>
      </c>
      <c r="D34" s="83" t="n">
        <v>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98"/>
    </row>
    <row r="35" customFormat="false" ht="15" hidden="false" customHeight="false" outlineLevel="0" collapsed="false">
      <c r="A35" s="84" t="s">
        <v>19</v>
      </c>
      <c r="B35" s="71" t="s">
        <v>12</v>
      </c>
      <c r="C35" s="82" t="n">
        <v>1</v>
      </c>
      <c r="D35" s="83" t="n">
        <v>1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98"/>
    </row>
    <row r="36" customFormat="false" ht="15" hidden="false" customHeight="false" outlineLevel="0" collapsed="false">
      <c r="A36" s="84"/>
      <c r="B36" s="71" t="s">
        <v>13</v>
      </c>
      <c r="C36" s="82" t="n">
        <v>0</v>
      </c>
      <c r="D36" s="83" t="n">
        <v>0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98"/>
    </row>
    <row r="37" customFormat="false" ht="15" hidden="false" customHeight="false" outlineLevel="0" collapsed="false">
      <c r="A37" s="84"/>
      <c r="B37" s="71" t="s">
        <v>14</v>
      </c>
      <c r="C37" s="82" t="n">
        <v>0</v>
      </c>
      <c r="D37" s="82" t="n">
        <v>0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98"/>
    </row>
    <row r="38" customFormat="false" ht="15" hidden="false" customHeight="false" outlineLevel="0" collapsed="false">
      <c r="A38" s="84"/>
      <c r="B38" s="127" t="s">
        <v>88</v>
      </c>
      <c r="C38" s="82" t="n">
        <v>0</v>
      </c>
      <c r="D38" s="82" t="n">
        <v>0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98"/>
    </row>
    <row r="39" customFormat="false" ht="15" hidden="false" customHeight="false" outlineLevel="0" collapsed="false">
      <c r="A39" s="84" t="s">
        <v>21</v>
      </c>
      <c r="B39" s="71" t="s">
        <v>12</v>
      </c>
      <c r="C39" s="85"/>
      <c r="D39" s="170" t="n">
        <f aca="false">1-D40-D41-D42</f>
        <v>0.85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98"/>
    </row>
    <row r="40" customFormat="false" ht="15" hidden="false" customHeight="false" outlineLevel="0" collapsed="false">
      <c r="A40" s="84"/>
      <c r="B40" s="71" t="s">
        <v>13</v>
      </c>
      <c r="C40" s="85"/>
      <c r="D40" s="170" t="n">
        <v>0.05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98"/>
    </row>
    <row r="41" customFormat="false" ht="15" hidden="false" customHeight="false" outlineLevel="0" collapsed="false">
      <c r="A41" s="84"/>
      <c r="B41" s="71" t="s">
        <v>14</v>
      </c>
      <c r="C41" s="85"/>
      <c r="D41" s="170" t="n">
        <v>0.1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98"/>
    </row>
    <row r="42" customFormat="false" ht="15" hidden="false" customHeight="false" outlineLevel="0" collapsed="false">
      <c r="A42" s="84"/>
      <c r="B42" s="127" t="s">
        <v>88</v>
      </c>
      <c r="C42" s="172"/>
      <c r="D42" s="173" t="n">
        <v>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98"/>
    </row>
    <row r="43" customFormat="false" ht="15" hidden="false" customHeight="false" outlineLevel="0" collapsed="false">
      <c r="A43" s="174" t="s">
        <v>96</v>
      </c>
      <c r="B43" s="175"/>
      <c r="C43" s="176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98"/>
    </row>
    <row r="44" customFormat="false" ht="15" hidden="false" customHeight="false" outlineLevel="0" collapsed="false">
      <c r="A44" s="102" t="s">
        <v>190</v>
      </c>
      <c r="B44" s="88" t="n">
        <v>4716663.2</v>
      </c>
      <c r="C44" s="177" t="s">
        <v>97</v>
      </c>
      <c r="D44" s="9" t="s">
        <v>4</v>
      </c>
      <c r="E44" s="7"/>
      <c r="F44" s="7"/>
      <c r="G44" s="7" t="s">
        <v>98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98"/>
    </row>
    <row r="45" customFormat="false" ht="15" hidden="false" customHeight="false" outlineLevel="0" collapsed="false">
      <c r="A45" s="102" t="s">
        <v>191</v>
      </c>
      <c r="B45" s="88" t="n">
        <v>4513.9009184416</v>
      </c>
      <c r="C45" s="177" t="s">
        <v>97</v>
      </c>
      <c r="D45" s="9" t="s">
        <v>4</v>
      </c>
      <c r="E45" s="7"/>
      <c r="F45" s="7"/>
      <c r="G45" s="7" t="s">
        <v>99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98"/>
    </row>
    <row r="46" customFormat="false" ht="15" hidden="false" customHeight="false" outlineLevel="0" collapsed="false">
      <c r="A46" s="102" t="s">
        <v>192</v>
      </c>
      <c r="B46" s="88" t="n">
        <v>16769.936</v>
      </c>
      <c r="C46" s="177" t="s">
        <v>97</v>
      </c>
      <c r="D46" s="9" t="s">
        <v>4</v>
      </c>
      <c r="E46" s="7"/>
      <c r="F46" s="7"/>
      <c r="G46" s="7" t="s">
        <v>101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98"/>
    </row>
    <row r="47" customFormat="false" ht="15" hidden="false" customHeight="false" outlineLevel="0" collapsed="false">
      <c r="A47" s="102" t="s">
        <v>193</v>
      </c>
      <c r="B47" s="88" t="n">
        <v>9677.713926092</v>
      </c>
      <c r="C47" s="177" t="s">
        <v>97</v>
      </c>
      <c r="D47" s="9" t="s">
        <v>4</v>
      </c>
      <c r="E47" s="7"/>
      <c r="F47" s="7"/>
      <c r="G47" s="7" t="s">
        <v>194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98"/>
    </row>
    <row r="48" customFormat="false" ht="15" hidden="false" customHeight="false" outlineLevel="0" collapsed="false">
      <c r="A48" s="102" t="s">
        <v>195</v>
      </c>
      <c r="B48" s="88" t="n">
        <v>799900</v>
      </c>
      <c r="C48" s="177" t="s">
        <v>97</v>
      </c>
      <c r="D48" s="9" t="s">
        <v>4</v>
      </c>
      <c r="E48" s="7"/>
      <c r="F48" s="7"/>
      <c r="G48" s="7" t="s">
        <v>103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98"/>
    </row>
    <row r="49" customFormat="false" ht="15" hidden="false" customHeight="false" outlineLevel="0" collapsed="false">
      <c r="A49" s="102" t="s">
        <v>196</v>
      </c>
      <c r="B49" s="88" t="n">
        <v>0.0001</v>
      </c>
      <c r="C49" s="177" t="s">
        <v>97</v>
      </c>
      <c r="D49" s="9" t="s">
        <v>4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98"/>
    </row>
    <row r="50" customFormat="false" ht="15" hidden="false" customHeight="false" outlineLevel="0" collapsed="false">
      <c r="A50" s="102" t="s">
        <v>197</v>
      </c>
      <c r="B50" s="88" t="n">
        <v>5547900</v>
      </c>
      <c r="C50" s="177" t="s">
        <v>97</v>
      </c>
      <c r="D50" s="10"/>
      <c r="E50" s="10"/>
      <c r="F50" s="10"/>
      <c r="G50" s="10" t="s">
        <v>106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98"/>
    </row>
    <row r="51" customFormat="false" ht="15" hidden="false" customHeight="false" outlineLevel="0" collapsed="false">
      <c r="A51" s="102" t="s">
        <v>198</v>
      </c>
      <c r="B51" s="88" t="n">
        <v>65495770.5393902</v>
      </c>
      <c r="C51" s="177" t="s">
        <v>86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98"/>
    </row>
    <row r="52" customFormat="false" ht="15" hidden="false" customHeight="false" outlineLevel="0" collapsed="false">
      <c r="A52" s="3" t="s">
        <v>108</v>
      </c>
      <c r="B52" s="178"/>
      <c r="C52" s="5"/>
      <c r="D52" s="93"/>
      <c r="E52" s="93"/>
      <c r="F52" s="93"/>
      <c r="G52" s="93" t="s">
        <v>109</v>
      </c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98"/>
    </row>
    <row r="53" customFormat="false" ht="15" hidden="false" customHeight="false" outlineLevel="0" collapsed="false">
      <c r="A53" s="102" t="s">
        <v>110</v>
      </c>
      <c r="B53" s="88" t="n">
        <v>444000</v>
      </c>
      <c r="C53" s="177" t="s">
        <v>97</v>
      </c>
      <c r="D53" s="95"/>
      <c r="E53" s="95"/>
      <c r="F53" s="95"/>
      <c r="G53" s="95" t="s">
        <v>111</v>
      </c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98"/>
    </row>
    <row r="54" customFormat="false" ht="15" hidden="false" customHeight="false" outlineLevel="0" collapsed="false">
      <c r="A54" s="102" t="s">
        <v>38</v>
      </c>
      <c r="B54" s="88" t="n">
        <v>0.0001</v>
      </c>
      <c r="C54" s="177" t="s">
        <v>97</v>
      </c>
      <c r="D54" s="95"/>
      <c r="E54" s="95"/>
      <c r="F54" s="95"/>
      <c r="G54" s="95" t="s">
        <v>112</v>
      </c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98"/>
    </row>
    <row r="55" customFormat="false" ht="15" hidden="false" customHeight="false" outlineLevel="0" collapsed="false">
      <c r="A55" s="102" t="s">
        <v>113</v>
      </c>
      <c r="B55" s="88" t="n">
        <v>0</v>
      </c>
      <c r="C55" s="177" t="s">
        <v>97</v>
      </c>
      <c r="D55" s="95"/>
      <c r="E55" s="95"/>
      <c r="F55" s="95"/>
      <c r="G55" s="95" t="s">
        <v>114</v>
      </c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</row>
    <row r="56" customFormat="false" ht="15" hidden="false" customHeight="false" outlineLevel="0" collapsed="false">
      <c r="A56" s="102" t="s">
        <v>115</v>
      </c>
      <c r="B56" s="88" t="n">
        <v>0</v>
      </c>
      <c r="C56" s="177" t="s">
        <v>97</v>
      </c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98"/>
    </row>
    <row r="57" customFormat="false" ht="15" hidden="false" customHeight="false" outlineLevel="0" collapsed="false">
      <c r="A57" s="102" t="s">
        <v>116</v>
      </c>
      <c r="B57" s="88" t="n">
        <v>0</v>
      </c>
      <c r="C57" s="177" t="s">
        <v>97</v>
      </c>
      <c r="D57" s="95"/>
      <c r="E57" s="95"/>
      <c r="F57" s="95"/>
      <c r="G57" s="95" t="s">
        <v>199</v>
      </c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98"/>
    </row>
    <row r="58" customFormat="false" ht="15" hidden="false" customHeight="false" outlineLevel="0" collapsed="false">
      <c r="A58" s="102" t="s">
        <v>118</v>
      </c>
      <c r="B58" s="88" t="n">
        <v>0</v>
      </c>
      <c r="C58" s="177" t="s">
        <v>97</v>
      </c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98"/>
    </row>
    <row r="59" customFormat="false" ht="15" hidden="false" customHeight="false" outlineLevel="0" collapsed="false">
      <c r="A59" s="102" t="s">
        <v>119</v>
      </c>
      <c r="B59" s="88" t="n">
        <v>0</v>
      </c>
      <c r="C59" s="177" t="s">
        <v>97</v>
      </c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98"/>
    </row>
    <row r="60" customFormat="false" ht="15" hidden="false" customHeight="false" outlineLevel="0" collapsed="false">
      <c r="A60" s="102" t="s">
        <v>120</v>
      </c>
      <c r="B60" s="88" t="n">
        <v>9700</v>
      </c>
      <c r="C60" s="177" t="s">
        <v>97</v>
      </c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98"/>
    </row>
    <row r="61" customFormat="false" ht="15" hidden="false" customHeight="false" outlineLevel="0" collapsed="false">
      <c r="A61" s="102" t="s">
        <v>121</v>
      </c>
      <c r="B61" s="88" t="n">
        <v>0</v>
      </c>
      <c r="C61" s="177" t="s">
        <v>123</v>
      </c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98"/>
    </row>
    <row r="62" customFormat="false" ht="15" hidden="false" customHeight="false" outlineLevel="0" collapsed="false">
      <c r="A62" s="102" t="s">
        <v>122</v>
      </c>
      <c r="B62" s="88" t="n">
        <v>1E-005</v>
      </c>
      <c r="C62" s="177" t="s">
        <v>123</v>
      </c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98"/>
    </row>
    <row r="63" customFormat="false" ht="15" hidden="false" customHeight="false" outlineLevel="0" collapsed="false">
      <c r="A63" s="102" t="s">
        <v>124</v>
      </c>
      <c r="B63" s="88" t="n">
        <v>0</v>
      </c>
      <c r="C63" s="177" t="s">
        <v>97</v>
      </c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98"/>
    </row>
    <row r="64" customFormat="false" ht="15" hidden="false" customHeight="false" outlineLevel="0" collapsed="false">
      <c r="A64" s="102" t="s">
        <v>125</v>
      </c>
      <c r="B64" s="88" t="n">
        <v>1026.306</v>
      </c>
      <c r="C64" s="177" t="s">
        <v>200</v>
      </c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98"/>
    </row>
    <row r="65" customFormat="false" ht="15" hidden="false" customHeight="false" outlineLevel="0" collapsed="false">
      <c r="A65" s="102" t="s">
        <v>127</v>
      </c>
      <c r="B65" s="88" t="n">
        <v>1026.306</v>
      </c>
      <c r="C65" s="177" t="s">
        <v>200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98"/>
    </row>
    <row r="66" customFormat="false" ht="15" hidden="false" customHeight="false" outlineLevel="0" collapsed="false">
      <c r="A66" s="3" t="s">
        <v>134</v>
      </c>
      <c r="B66" s="4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98"/>
    </row>
    <row r="67" customFormat="false" ht="15" hidden="false" customHeight="false" outlineLevel="0" collapsed="false">
      <c r="A67" s="102" t="s">
        <v>135</v>
      </c>
      <c r="B67" s="179" t="n">
        <v>85.0170911516069</v>
      </c>
      <c r="C67" s="177" t="s">
        <v>3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98"/>
    </row>
    <row r="68" customFormat="false" ht="15" hidden="false" customHeight="false" outlineLevel="0" collapsed="false">
      <c r="A68" s="102" t="s">
        <v>136</v>
      </c>
      <c r="B68" s="179" t="n">
        <v>0.0813623338279637</v>
      </c>
      <c r="C68" s="177" t="s">
        <v>3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98"/>
    </row>
    <row r="69" customFormat="false" ht="15" hidden="false" customHeight="false" outlineLevel="0" collapsed="false">
      <c r="A69" s="102" t="s">
        <v>137</v>
      </c>
      <c r="B69" s="179" t="n">
        <v>0.302275383478433</v>
      </c>
      <c r="C69" s="177" t="s">
        <v>3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98"/>
    </row>
    <row r="70" customFormat="false" ht="15" hidden="false" customHeight="false" outlineLevel="0" collapsed="false">
      <c r="A70" s="102" t="s">
        <v>138</v>
      </c>
      <c r="B70" s="179" t="n">
        <v>0.174439227925738</v>
      </c>
      <c r="C70" s="177" t="s">
        <v>3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customFormat="false" ht="15" hidden="false" customHeight="false" outlineLevel="0" collapsed="false">
      <c r="A71" s="102" t="s">
        <v>8</v>
      </c>
      <c r="B71" s="179" t="n">
        <v>14.4180680978388</v>
      </c>
      <c r="C71" s="177" t="s">
        <v>3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</row>
    <row r="72" customFormat="false" ht="15" hidden="false" customHeight="false" outlineLevel="0" collapsed="false">
      <c r="A72" s="102" t="s">
        <v>104</v>
      </c>
      <c r="B72" s="179" t="n">
        <v>0</v>
      </c>
      <c r="C72" s="177" t="s">
        <v>3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</row>
    <row r="75" customFormat="false" ht="15" hidden="false" customHeight="false" outlineLevel="0" collapsed="false">
      <c r="A75" s="3" t="s">
        <v>201</v>
      </c>
      <c r="B75" s="4"/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</row>
    <row r="76" customFormat="false" ht="15" hidden="false" customHeight="false" outlineLevel="0" collapsed="false">
      <c r="A76" s="102" t="s">
        <v>110</v>
      </c>
      <c r="B76" s="103" t="n">
        <v>100</v>
      </c>
      <c r="C76" s="177" t="s">
        <v>3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</row>
    <row r="77" customFormat="false" ht="15" hidden="false" customHeight="false" outlineLevel="0" collapsed="false">
      <c r="A77" s="102" t="s">
        <v>38</v>
      </c>
      <c r="B77" s="103" t="n">
        <v>0</v>
      </c>
      <c r="C77" s="177" t="s">
        <v>3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</row>
    <row r="78" customFormat="false" ht="15" hidden="false" customHeight="false" outlineLevel="0" collapsed="false">
      <c r="A78" s="102" t="s">
        <v>113</v>
      </c>
      <c r="B78" s="103" t="n">
        <v>0</v>
      </c>
      <c r="C78" s="177" t="s">
        <v>3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</row>
    <row r="79" customFormat="false" ht="15" hidden="false" customHeight="false" outlineLevel="0" collapsed="false">
      <c r="A79" s="102" t="s">
        <v>115</v>
      </c>
      <c r="B79" s="103" t="n">
        <v>0</v>
      </c>
      <c r="C79" s="177" t="s">
        <v>3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</row>
    <row r="80" customFormat="false" ht="15" hidden="false" customHeight="false" outlineLevel="0" collapsed="false">
      <c r="A80" s="102" t="s">
        <v>116</v>
      </c>
      <c r="B80" s="103" t="n">
        <v>0</v>
      </c>
      <c r="C80" s="177" t="s">
        <v>3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</row>
    <row r="81" customFormat="false" ht="15" hidden="false" customHeight="false" outlineLevel="0" collapsed="false">
      <c r="A81" s="102" t="s">
        <v>118</v>
      </c>
      <c r="B81" s="103" t="n">
        <v>0</v>
      </c>
      <c r="C81" s="177" t="s">
        <v>3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</row>
    <row r="82" customFormat="false" ht="15" hidden="false" customHeight="false" outlineLevel="0" collapsed="false">
      <c r="A82" s="102" t="s">
        <v>119</v>
      </c>
      <c r="B82" s="103" t="n">
        <v>0</v>
      </c>
      <c r="C82" s="177" t="s">
        <v>3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</row>
    <row r="83" customFormat="false" ht="15" hidden="false" customHeight="false" outlineLevel="0" collapsed="false">
      <c r="A83" s="102" t="s">
        <v>120</v>
      </c>
      <c r="B83" s="103" t="n">
        <v>100</v>
      </c>
      <c r="C83" s="177" t="s">
        <v>3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</row>
    <row r="84" customFormat="false" ht="15" hidden="false" customHeight="false" outlineLevel="0" collapsed="false">
      <c r="A84" s="102" t="s">
        <v>121</v>
      </c>
      <c r="B84" s="103" t="n">
        <v>0</v>
      </c>
      <c r="C84" s="177" t="s">
        <v>3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</row>
    <row r="85" customFormat="false" ht="15" hidden="false" customHeight="false" outlineLevel="0" collapsed="false">
      <c r="A85" s="102" t="s">
        <v>122</v>
      </c>
      <c r="B85" s="103" t="n">
        <v>0</v>
      </c>
      <c r="C85" s="177" t="s">
        <v>3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customFormat="false" ht="15" hidden="false" customHeight="false" outlineLevel="0" collapsed="false">
      <c r="A86" s="102" t="s">
        <v>124</v>
      </c>
      <c r="B86" s="103" t="n">
        <v>0</v>
      </c>
      <c r="C86" s="177" t="s">
        <v>3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customFormat="false" ht="15" hidden="false" customHeight="false" outlineLevel="0" collapsed="false">
      <c r="A87" s="102" t="s">
        <v>125</v>
      </c>
      <c r="B87" s="103" t="n">
        <v>0.33</v>
      </c>
      <c r="C87" s="177" t="s">
        <v>3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customFormat="false" ht="15" hidden="false" customHeight="false" outlineLevel="0" collapsed="false">
      <c r="A88" s="180" t="s">
        <v>127</v>
      </c>
      <c r="B88" s="181" t="n">
        <v>0.66</v>
      </c>
      <c r="C88" s="182" t="s">
        <v>3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customFormat="false" ht="15" hidden="false" customHeight="false" outlineLevel="0" collapsed="false">
      <c r="A89" s="126"/>
      <c r="B89" s="126"/>
      <c r="C89" s="12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1" customFormat="false" ht="15" hidden="false" customHeight="false" outlineLevel="0" collapsed="false">
      <c r="A91" s="174" t="s">
        <v>202</v>
      </c>
      <c r="B91" s="175"/>
      <c r="C91" s="17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customFormat="false" ht="15" hidden="false" customHeight="false" outlineLevel="0" collapsed="false">
      <c r="A92" s="102" t="s">
        <v>135</v>
      </c>
      <c r="B92" s="103" t="n">
        <v>0.17060004</v>
      </c>
      <c r="C92" s="177" t="s">
        <v>140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customFormat="false" ht="15" hidden="false" customHeight="false" outlineLevel="0" collapsed="false">
      <c r="A93" s="102" t="s">
        <v>136</v>
      </c>
      <c r="B93" s="103" t="n">
        <v>0</v>
      </c>
      <c r="C93" s="177" t="s">
        <v>140</v>
      </c>
      <c r="D93" s="9" t="s">
        <v>4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customFormat="false" ht="15" hidden="false" customHeight="false" outlineLevel="0" collapsed="false">
      <c r="A94" s="102" t="s">
        <v>141</v>
      </c>
      <c r="B94" s="103" t="n">
        <v>0</v>
      </c>
      <c r="C94" s="177" t="s">
        <v>140</v>
      </c>
      <c r="D94" s="9" t="s">
        <v>4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customFormat="false" ht="15" hidden="false" customHeight="false" outlineLevel="0" collapsed="false">
      <c r="A95" s="102" t="s">
        <v>138</v>
      </c>
      <c r="B95" s="103" t="n">
        <v>0</v>
      </c>
      <c r="C95" s="177" t="s">
        <v>140</v>
      </c>
      <c r="D95" s="9" t="s">
        <v>4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customFormat="false" ht="15" hidden="false" customHeight="false" outlineLevel="0" collapsed="false">
      <c r="A96" s="102" t="s">
        <v>8</v>
      </c>
      <c r="B96" s="103" t="n">
        <v>0.00340579668372569</v>
      </c>
      <c r="C96" s="177" t="s">
        <v>140</v>
      </c>
      <c r="D96" s="9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customFormat="false" ht="15" hidden="false" customHeight="false" outlineLevel="0" collapsed="false">
      <c r="A97" s="102" t="s">
        <v>104</v>
      </c>
      <c r="B97" s="103" t="n">
        <v>0</v>
      </c>
      <c r="C97" s="177" t="s">
        <v>140</v>
      </c>
      <c r="D97" s="9" t="s">
        <v>4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customFormat="false" ht="15" hidden="false" customHeight="false" outlineLevel="0" collapsed="false">
      <c r="A98" s="3" t="s">
        <v>142</v>
      </c>
      <c r="B98" s="4"/>
      <c r="C98" s="5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customFormat="false" ht="15" hidden="false" customHeight="false" outlineLevel="0" collapsed="false">
      <c r="A99" s="102" t="s">
        <v>110</v>
      </c>
      <c r="B99" s="103" t="n">
        <v>0.02627968</v>
      </c>
      <c r="C99" s="177" t="s">
        <v>140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customFormat="false" ht="15" hidden="false" customHeight="false" outlineLevel="0" collapsed="false">
      <c r="A100" s="102" t="s">
        <v>143</v>
      </c>
      <c r="B100" s="103" t="n">
        <v>0</v>
      </c>
      <c r="C100" s="177" t="s">
        <v>140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customFormat="false" ht="15" hidden="false" customHeight="false" outlineLevel="0" collapsed="false">
      <c r="A101" s="102" t="s">
        <v>113</v>
      </c>
      <c r="B101" s="103" t="n">
        <v>0</v>
      </c>
      <c r="C101" s="177" t="s">
        <v>140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customFormat="false" ht="15" hidden="false" customHeight="false" outlineLevel="0" collapsed="false">
      <c r="A102" s="102" t="s">
        <v>115</v>
      </c>
      <c r="B102" s="103" t="n">
        <v>0</v>
      </c>
      <c r="C102" s="177" t="s">
        <v>140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customFormat="false" ht="15" hidden="false" customHeight="false" outlineLevel="0" collapsed="false">
      <c r="A103" s="102" t="s">
        <v>116</v>
      </c>
      <c r="B103" s="103" t="n">
        <v>0</v>
      </c>
      <c r="C103" s="177" t="s">
        <v>140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customFormat="false" ht="15" hidden="false" customHeight="false" outlineLevel="0" collapsed="false">
      <c r="A104" s="102" t="s">
        <v>118</v>
      </c>
      <c r="B104" s="103" t="n">
        <v>0</v>
      </c>
      <c r="C104" s="177" t="s">
        <v>140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customFormat="false" ht="15" hidden="false" customHeight="false" outlineLevel="0" collapsed="false">
      <c r="A105" s="102" t="s">
        <v>119</v>
      </c>
      <c r="B105" s="103" t="n">
        <v>0</v>
      </c>
      <c r="C105" s="177" t="s">
        <v>140</v>
      </c>
    </row>
    <row r="106" customFormat="false" ht="15" hidden="false" customHeight="false" outlineLevel="0" collapsed="false">
      <c r="A106" s="102" t="s">
        <v>120</v>
      </c>
      <c r="B106" s="103" t="n">
        <v>0.02028379</v>
      </c>
      <c r="C106" s="177" t="s">
        <v>140</v>
      </c>
    </row>
    <row r="107" customFormat="false" ht="15" hidden="false" customHeight="false" outlineLevel="0" collapsed="false">
      <c r="A107" s="102" t="s">
        <v>121</v>
      </c>
      <c r="B107" s="103" t="n">
        <v>0</v>
      </c>
      <c r="C107" s="177" t="s">
        <v>140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customFormat="false" ht="15" hidden="false" customHeight="false" outlineLevel="0" collapsed="false">
      <c r="A108" s="102" t="s">
        <v>122</v>
      </c>
      <c r="B108" s="103" t="n">
        <v>0</v>
      </c>
      <c r="C108" s="177" t="s">
        <v>140</v>
      </c>
    </row>
    <row r="109" customFormat="false" ht="15" hidden="false" customHeight="false" outlineLevel="0" collapsed="false">
      <c r="A109" s="102" t="s">
        <v>124</v>
      </c>
      <c r="B109" s="103" t="n">
        <v>0</v>
      </c>
      <c r="C109" s="177" t="s">
        <v>140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customFormat="false" ht="15" hidden="false" customHeight="false" outlineLevel="0" collapsed="false">
      <c r="A110" s="102" t="s">
        <v>144</v>
      </c>
      <c r="B110" s="103" t="n">
        <v>0.00875671452</v>
      </c>
      <c r="C110" s="177" t="s">
        <v>140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customFormat="false" ht="15" hidden="false" customHeight="false" outlineLevel="0" collapsed="false">
      <c r="A111" s="180" t="s">
        <v>127</v>
      </c>
      <c r="B111" s="182" t="n">
        <v>0.01751342904</v>
      </c>
      <c r="C111" s="177" t="s">
        <v>140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customFormat="false" ht="15" hidden="false" customHeight="false" outlineLevel="0" collapsed="false">
      <c r="A112" s="183" t="s">
        <v>145</v>
      </c>
      <c r="B112" s="184" t="n">
        <v>0.02627014356</v>
      </c>
      <c r="C112" s="185" t="s">
        <v>140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customFormat="false" ht="15" hidden="false" customHeight="false" outlineLevel="0" collapsed="false">
      <c r="A113" s="126"/>
      <c r="B113" s="126"/>
      <c r="C113" s="12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customFormat="false" ht="15" hidden="false" customHeight="false" outlineLevel="0" collapsed="false">
      <c r="A114" s="123"/>
      <c r="B114" s="123"/>
      <c r="C114" s="123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customFormat="false" ht="15" hidden="false" customHeight="false" outlineLevel="0" collapsed="false">
      <c r="A115" s="174" t="s">
        <v>203</v>
      </c>
      <c r="B115" s="175"/>
      <c r="C115" s="17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customFormat="false" ht="15" hidden="false" customHeight="false" outlineLevel="0" collapsed="false">
      <c r="A116" s="102" t="s">
        <v>147</v>
      </c>
      <c r="B116" s="186" t="n">
        <v>0.01567</v>
      </c>
      <c r="C116" s="177" t="s">
        <v>148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customFormat="false" ht="15" hidden="false" customHeight="false" outlineLevel="0" collapsed="false">
      <c r="A117" s="102" t="s">
        <v>204</v>
      </c>
      <c r="B117" s="187" t="n">
        <v>0.01</v>
      </c>
      <c r="C117" s="177" t="s">
        <v>148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customFormat="false" ht="15" hidden="false" customHeight="false" outlineLevel="0" collapsed="false">
      <c r="A118" s="3" t="s">
        <v>151</v>
      </c>
      <c r="B118" s="4"/>
      <c r="C118" s="5"/>
      <c r="D118" s="6"/>
      <c r="E118" s="6"/>
      <c r="F118" s="6"/>
      <c r="G118" s="6"/>
      <c r="H118" s="6"/>
      <c r="I118" s="6" t="s">
        <v>153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customFormat="false" ht="15" hidden="false" customHeight="false" outlineLevel="0" collapsed="false">
      <c r="A119" s="180" t="s">
        <v>152</v>
      </c>
      <c r="B119" s="181" t="n">
        <v>0.127</v>
      </c>
      <c r="C119" s="182" t="s">
        <v>148</v>
      </c>
      <c r="D119" s="6"/>
      <c r="E119" s="6"/>
      <c r="F119" s="6"/>
      <c r="N119" s="6"/>
      <c r="O119" s="6"/>
      <c r="P119" s="6"/>
      <c r="Q119" s="6"/>
      <c r="R119" s="6"/>
      <c r="S119" s="6"/>
      <c r="T119" s="6"/>
      <c r="U119" s="6"/>
      <c r="V119" s="6"/>
    </row>
    <row r="120" customFormat="false" ht="15" hidden="false" customHeight="false" outlineLevel="0" collapsed="false">
      <c r="A120" s="6"/>
      <c r="B120" s="6"/>
      <c r="C120" s="6"/>
    </row>
    <row r="122" customFormat="false" ht="15" hidden="false" customHeight="false" outlineLevel="0" collapsed="false">
      <c r="A122" s="3" t="s">
        <v>154</v>
      </c>
      <c r="B122" s="3"/>
      <c r="C122" s="3"/>
    </row>
    <row r="123" customFormat="false" ht="15" hidden="false" customHeight="false" outlineLevel="0" collapsed="false">
      <c r="A123" s="102" t="s">
        <v>158</v>
      </c>
      <c r="B123" s="103" t="n">
        <v>1.279</v>
      </c>
      <c r="C123" s="103" t="s">
        <v>156</v>
      </c>
    </row>
    <row r="124" customFormat="false" ht="15" hidden="false" customHeight="false" outlineLevel="0" collapsed="false">
      <c r="A124" s="102" t="s">
        <v>157</v>
      </c>
      <c r="B124" s="103" t="n">
        <v>0</v>
      </c>
      <c r="C124" s="103" t="s">
        <v>156</v>
      </c>
    </row>
    <row r="125" customFormat="false" ht="15" hidden="false" customHeight="false" outlineLevel="0" collapsed="false">
      <c r="A125" s="102" t="s">
        <v>155</v>
      </c>
      <c r="B125" s="105" t="n">
        <v>0.00472</v>
      </c>
      <c r="C125" s="103" t="s">
        <v>156</v>
      </c>
    </row>
    <row r="126" customFormat="false" ht="15" hidden="false" customHeight="false" outlineLevel="0" collapsed="false">
      <c r="A126" s="102" t="s">
        <v>159</v>
      </c>
      <c r="B126" s="105" t="n">
        <v>0.01711</v>
      </c>
      <c r="C126" s="103" t="s">
        <v>156</v>
      </c>
    </row>
    <row r="127" customFormat="false" ht="15" hidden="false" customHeight="false" outlineLevel="0" collapsed="false">
      <c r="A127" s="102" t="s">
        <v>160</v>
      </c>
      <c r="B127" s="188" t="n">
        <v>0</v>
      </c>
      <c r="C127" s="103" t="s">
        <v>156</v>
      </c>
    </row>
  </sheetData>
  <mergeCells count="7">
    <mergeCell ref="A10:V10"/>
    <mergeCell ref="A17:V17"/>
    <mergeCell ref="A25:D25"/>
    <mergeCell ref="A27:A30"/>
    <mergeCell ref="A31:A34"/>
    <mergeCell ref="A35:A38"/>
    <mergeCell ref="A39:A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7421875" defaultRowHeight="15" customHeight="false" zeroHeight="false" outlineLevelRow="0" outlineLevelCol="0"/>
  <sheetData>
    <row r="1" customFormat="false" ht="15" hidden="false" customHeight="false" outlineLevel="0" collapsed="false">
      <c r="A1" s="1" t="n">
        <v>624112574523.475</v>
      </c>
    </row>
    <row r="2" customFormat="false" ht="15" hidden="false" customHeight="false" outlineLevel="0" collapsed="false">
      <c r="A2" s="1" t="n">
        <v>639292369040.544</v>
      </c>
    </row>
    <row r="3" customFormat="false" ht="15" hidden="false" customHeight="false" outlineLevel="0" collapsed="false">
      <c r="A3" s="1" t="n">
        <v>654472163557.607</v>
      </c>
    </row>
    <row r="4" customFormat="false" ht="15" hidden="false" customHeight="false" outlineLevel="0" collapsed="false">
      <c r="A4" s="1" t="n">
        <v>669651958074.67</v>
      </c>
    </row>
    <row r="5" customFormat="false" ht="15" hidden="false" customHeight="false" outlineLevel="0" collapsed="false">
      <c r="A5" s="1" t="n">
        <v>684831752591.733</v>
      </c>
    </row>
    <row r="6" customFormat="false" ht="15" hidden="false" customHeight="false" outlineLevel="0" collapsed="false">
      <c r="A6" s="1" t="n">
        <v>700011547108.808</v>
      </c>
    </row>
    <row r="7" customFormat="false" ht="15" hidden="false" customHeight="false" outlineLevel="0" collapsed="false">
      <c r="A7" s="1" t="n">
        <v>668342910646.785</v>
      </c>
    </row>
    <row r="8" customFormat="false" ht="15" hidden="false" customHeight="false" outlineLevel="0" collapsed="false">
      <c r="A8" s="1" t="n">
        <v>636674274184.773</v>
      </c>
    </row>
    <row r="9" customFormat="false" ht="15" hidden="false" customHeight="false" outlineLevel="0" collapsed="false">
      <c r="A9" s="1" t="n">
        <v>605005637722.761</v>
      </c>
    </row>
    <row r="10" customFormat="false" ht="15" hidden="false" customHeight="false" outlineLevel="0" collapsed="false">
      <c r="A10" s="1" t="n">
        <v>573337001260.748</v>
      </c>
    </row>
    <row r="11" customFormat="false" ht="15" hidden="false" customHeight="false" outlineLevel="0" collapsed="false">
      <c r="A11" s="1" t="n">
        <v>541668364798.721</v>
      </c>
    </row>
    <row r="12" customFormat="false" ht="15" hidden="false" customHeight="false" outlineLevel="0" collapsed="false">
      <c r="A12" s="1" t="n">
        <v>523787053379.764</v>
      </c>
    </row>
    <row r="13" customFormat="false" ht="15" hidden="false" customHeight="false" outlineLevel="0" collapsed="false">
      <c r="A13" s="1" t="n">
        <v>503535720416.701</v>
      </c>
    </row>
    <row r="14" customFormat="false" ht="15" hidden="false" customHeight="false" outlineLevel="0" collapsed="false">
      <c r="A14" s="1" t="n">
        <v>514681661693.826</v>
      </c>
    </row>
    <row r="15" customFormat="false" ht="15" hidden="false" customHeight="false" outlineLevel="0" collapsed="false">
      <c r="A15" s="1" t="n">
        <v>544592501918.724</v>
      </c>
    </row>
    <row r="16" customFormat="false" ht="15" hidden="false" customHeight="false" outlineLevel="0" collapsed="false">
      <c r="A16" s="1" t="n">
        <v>560142247167.52</v>
      </c>
    </row>
    <row r="17" customFormat="false" ht="15" hidden="false" customHeight="false" outlineLevel="0" collapsed="false">
      <c r="A17" s="1" t="n">
        <v>570005456371.972</v>
      </c>
    </row>
    <row r="18" customFormat="false" ht="15" hidden="false" customHeight="false" outlineLevel="0" collapsed="false">
      <c r="A18" s="1" t="n">
        <v>604501041095.407</v>
      </c>
    </row>
    <row r="19" customFormat="false" ht="15" hidden="false" customHeight="false" outlineLevel="0" collapsed="false">
      <c r="A19" s="1" t="n">
        <v>575741628384.16</v>
      </c>
    </row>
    <row r="20" customFormat="false" ht="15" hidden="false" customHeight="false" outlineLevel="0" collapsed="false">
      <c r="A20" s="1" t="n">
        <v>584771448557.866</v>
      </c>
    </row>
    <row r="21" customFormat="false" ht="15" hidden="false" customHeight="false" outlineLevel="0" collapsed="false">
      <c r="A21" s="1" t="n">
        <v>591827237066.398</v>
      </c>
    </row>
    <row r="22" customFormat="false" ht="15" hidden="false" customHeight="false" outlineLevel="0" collapsed="false">
      <c r="A22" s="1" t="n">
        <v>598883025574.955</v>
      </c>
    </row>
    <row r="23" customFormat="false" ht="15" hidden="false" customHeight="false" outlineLevel="0" collapsed="false">
      <c r="A23" s="1" t="n">
        <v>605938814083.51</v>
      </c>
    </row>
    <row r="24" customFormat="false" ht="15" hidden="false" customHeight="false" outlineLevel="0" collapsed="false">
      <c r="A24" s="1" t="n">
        <v>612994602592.065</v>
      </c>
    </row>
    <row r="25" customFormat="false" ht="15" hidden="false" customHeight="false" outlineLevel="0" collapsed="false">
      <c r="A25" s="1" t="n">
        <v>620050391100.621</v>
      </c>
    </row>
    <row r="26" customFormat="false" ht="15" hidden="false" customHeight="false" outlineLevel="0" collapsed="false">
      <c r="A26" s="1" t="n">
        <v>627106179609.176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327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2017-01-25T13:20:29Z</dcterms:created>
  <dc:creator>IdB</dc:creator>
  <dc:description/>
  <dc:language>en-US</dc:language>
  <cp:lastModifiedBy/>
  <dcterms:modified xsi:type="dcterms:W3CDTF">2026-09-29T11:36:25Z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