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_rels/drawing1.xml.rels" ContentType="application/vnd.openxmlformats-package.relationships+xml"/>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media/image1.png" ContentType="image/png"/>
  <Override PartName="/xl/comments4.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tyles.xml" ContentType="application/vnd.openxmlformats-officedocument.spreadsheetml.style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Info input variables" sheetId="2" state="visible" r:id="rId4"/>
    <sheet name="NZP_CCS" sheetId="3" state="visible" r:id="rId5"/>
    <sheet name="NZP_CCS_SE" sheetId="4" state="visible" r:id="rId6"/>
    <sheet name="NZP" sheetId="5" state="visible" r:id="rId7"/>
    <sheet name="NZP_SE" sheetId="6" state="visible" r:id="rId8"/>
    <sheet name="BAU" sheetId="7" state="visible" r:id="rId9"/>
    <sheet name="BAU_SE" sheetId="8" state="visible" r:id="rId10"/>
  </sheets>
  <definedNames>
    <definedName function="false" hidden="false" name="coal_net_flux_timeseries" vbProcedure="false">NZP_CCS!$B$371:$H$371</definedName>
    <definedName function="false" hidden="false" name="gas_net_flux_timeseries" vbProcedure="false">NZP_CCS!$B$369:$H$369</definedName>
    <definedName function="false" hidden="false" name="pop_growth_timeseries" vbProcedure="false">NZP_CCS!$C$5:$AL$5</definedName>
    <definedName function="false" hidden="false" name="share_ccs_energy" vbProcedure="false">NZP_CCS!$C$312:$I$339</definedName>
    <definedName function="false" hidden="false" name="start_policy_year_unconv_oil_underground" vbProcedure="false">NZP_CCS!$C$87</definedName>
    <definedName function="false" hidden="false" name="year_ref_RURR" vbProcedure="false">NZP_CCS!$C$84</definedName>
    <definedName function="false" hidden="false" localSheetId="2" name="activate_afforestation_program" vbProcedure="false">NZP_CCS!$B$279</definedName>
    <definedName function="false" hidden="false" localSheetId="2" name="activate_ELF" vbProcedure="false">NZP_CCS!$C$271</definedName>
    <definedName function="false" hidden="false" localSheetId="2" name="activate_policy_leaving_underground" vbProcedure="false">NZP_CCS!$C$83</definedName>
    <definedName function="false" hidden="false" localSheetId="2" name="afforestation" vbProcedure="false">NZP_CCS!$C$353:$X$353</definedName>
    <definedName function="false" hidden="false" localSheetId="2" name="average_solar_I" vbProcedure="false">NZP_CCS!$C$391</definedName>
    <definedName function="false" hidden="false" localSheetId="2" name="cell_efficiency_target_year" vbProcedure="false">NZP_CCS!$C$392</definedName>
    <definedName function="false" hidden="false" localSheetId="2" name="choose_energy_intensity_target_method" vbProcedure="false">NZP_CCS!$C$210</definedName>
    <definedName function="false" hidden="false" localSheetId="2" name="choose_targets_mineral_recycling_rates" vbProcedure="false">NZP_CCS!$D$240</definedName>
    <definedName function="false" hidden="false" localSheetId="2" name="co2_luc" vbProcedure="false">NZP_CCS!$C$349:$I$349</definedName>
    <definedName function="false" hidden="false" localSheetId="2" name="crash_programme_CTL" vbProcedure="false">NZP_CCS!$D$78</definedName>
    <definedName function="false" hidden="false" localSheetId="2" name="crash_programme_GTL" vbProcedure="false">NZP_CCS!$D$80</definedName>
    <definedName function="false" hidden="false" localSheetId="2" name="efficiency_rate_of_substitution_electricity" vbProcedure="false">NZP_CCS!$C$404:$Q$408</definedName>
    <definedName function="false" hidden="false" localSheetId="2" name="efficiency_rate_of_substitution_gases" vbProcedure="false">NZP_CCS!$C$419:$Q$423</definedName>
    <definedName function="false" hidden="false" localSheetId="2" name="efficiency_rate_of_substitution_heat" vbProcedure="false">NZP_CCS!$C$409:$Q$413</definedName>
    <definedName function="false" hidden="false" localSheetId="2" name="efficiency_rate_of_substitution_liquids" vbProcedure="false">NZP_CCS!$C$414:$Q$418</definedName>
    <definedName function="false" hidden="false" localSheetId="2" name="efficiency_rate_of_substitution_solids" vbProcedure="false">NZP_CCS!$C$424:$Q$428</definedName>
    <definedName function="false" hidden="false" localSheetId="2" name="energy_intensity_target" vbProcedure="false">NZP_CCS!$C$216:$AD$220</definedName>
    <definedName function="false" hidden="false" localSheetId="2" name="energy_scarcity_forgetting_time" vbProcedure="false">NZP_CCS!$C$230</definedName>
    <definedName function="false" hidden="false" localSheetId="2" name="energy_scarcity_forgetting_time_H" vbProcedure="false">NZP_CCS!$C$234</definedName>
    <definedName function="false" hidden="false" localSheetId="2" name="EROI_feedback_flag" vbProcedure="false">nzp!#ref!</definedName>
    <definedName function="false" hidden="false" localSheetId="2" name="final_year_energy_intensity_target" vbProcedure="false">NZP_CCS!$C$213</definedName>
    <definedName function="false" hidden="false" localSheetId="2" name="forest_overexplotation" vbProcedure="false">NZP_CCS!$C$382</definedName>
    <definedName function="false" hidden="false" localSheetId="2" name="fuel_share_air_pkm" vbProcedure="false">NZP_CCS!$C$157:$I$160</definedName>
    <definedName function="false" hidden="false" localSheetId="2" name="fuel_share_air_tkm" vbProcedure="false">NZP_CCS!$C$143:$I$146</definedName>
    <definedName function="false" hidden="false" localSheetId="2" name="fuel_share_households_pkm" vbProcedure="false">NZP_CCS!$C$161:$I$164</definedName>
    <definedName function="false" hidden="false" localSheetId="2" name="fuel_share_inland_pkm" vbProcedure="false">NZP_CCS!$C$149:$I$152</definedName>
    <definedName function="false" hidden="false" localSheetId="2" name="fuel_share_inland_tkm" vbProcedure="false">NZP_CCS!$C$135:$I$138</definedName>
    <definedName function="false" hidden="false" localSheetId="2" name="fuel_share_maritime_pkm" vbProcedure="false">NZP_CCS!$C$153:$I$156</definedName>
    <definedName function="false" hidden="false" localSheetId="2" name="fuel_share_maritime_tkm" vbProcedure="false">NZP_CCS!$C$139:$I$142</definedName>
    <definedName function="false" hidden="false" localSheetId="2" name="GWP_time_frame" vbProcedure="false">nzp!#ref!</definedName>
    <definedName function="false" hidden="false" localSheetId="2" name="limit_coal_imports_from_RoW" vbProcedure="false">nzp!#ref!</definedName>
    <definedName function="false" hidden="false" localSheetId="2" name="limit_nat_gas_imports_from_RoW" vbProcedure="false">nzp!#ref!</definedName>
    <definedName function="false" hidden="false" localSheetId="2" name="limit_oil_imports_from_RoW" vbProcedure="false">nzp!#ref!</definedName>
    <definedName function="false" hidden="false" localSheetId="2" name="max_NPP_pot_bioe_residues" vbProcedure="false">nzp!#ref!</definedName>
    <definedName function="false" hidden="false" localSheetId="2" name="max_PE_biogas" vbProcedure="false">nzp!#ref!</definedName>
    <definedName function="false" hidden="false" localSheetId="2" name="max_share_imports_coal" vbProcedure="false">nzp!#ref!</definedName>
    <definedName function="false" hidden="false" localSheetId="2" name="max_share_imports_nat_gas" vbProcedure="false">nzp!#ref!</definedName>
    <definedName function="false" hidden="false" localSheetId="2" name="max_share_imports_oil" vbProcedure="false">nzp!#ref!</definedName>
    <definedName function="false" hidden="false" localSheetId="2" name="minimum_forest" vbProcedure="false">NZP_CCS!$C$383</definedName>
    <definedName function="false" hidden="false" localSheetId="2" name="min_FEI_vs_initial" vbProcedure="false">NZP_CCS!$C$176</definedName>
    <definedName function="false" hidden="false" localSheetId="2" name="oil_net_flux_timeseries" vbProcedure="false">NZP_CCS!$B$367:$H$367</definedName>
    <definedName function="false" hidden="false" localSheetId="2" name="pct_change_energy_intensity_target" vbProcedure="false">NZP_CCS!$C$223</definedName>
    <definedName function="false" hidden="false" localSheetId="2" name="percent_2w_tfin_over_hh_veh" vbProcedure="false">nzp!#ref!</definedName>
    <definedName function="false" hidden="false" localSheetId="2" name="percent_electric_2w_tfin" vbProcedure="false">nzp!#ref!</definedName>
    <definedName function="false" hidden="false" localSheetId="2" name="percent_electric_light_cargo_veh_tfin" vbProcedure="false">nzp!#ref!</definedName>
    <definedName function="false" hidden="false" localSheetId="2" name="percent_electric_train_tfin" vbProcedure="false">nzp!#ref!</definedName>
    <definedName function="false" hidden="false" localSheetId="2" name="percent_electr_bus_tfin" vbProcedure="false">nzp!#ref!</definedName>
    <definedName function="false" hidden="false" localSheetId="2" name="percent_electr_hh_4w_tfin" vbProcedure="false">nzp!#ref!</definedName>
    <definedName function="false" hidden="false" localSheetId="2" name="percent_gas_heavy_veh_tfin" vbProcedure="false">nzp!#ref!</definedName>
    <definedName function="false" hidden="false" localSheetId="2" name="percent_gas_hh_veh_4w_tfin" vbProcedure="false">nzp!#ref!</definedName>
    <definedName function="false" hidden="false" localSheetId="2" name="percent_hybrid_bus_tfin" vbProcedure="false">nzp!#ref!</definedName>
    <definedName function="false" hidden="false" localSheetId="2" name="percent_hybrid_heavy_veh_tfin" vbProcedure="false">nzp!#ref!</definedName>
    <definedName function="false" hidden="false" localSheetId="2" name="percent_hybrid_hh_4w_veh_tfin" vbProcedure="false">nzp!#ref!</definedName>
    <definedName function="false" hidden="false" localSheetId="2" name="percent_hybrid_light_cargo_veh_tfin" vbProcedure="false">nzp!#ref!</definedName>
    <definedName function="false" hidden="false" localSheetId="2" name="percent_natgas_bus_tfin" vbProcedure="false">nzp!#ref!</definedName>
    <definedName function="false" hidden="false" localSheetId="2" name="percent_natgas_light_cargo_veh_tfin" vbProcedure="false">nzp!#ref!</definedName>
    <definedName function="false" hidden="false" localSheetId="2" name="phase_out_oil_electr" vbProcedure="false">NZP_CCS!$C$102</definedName>
    <definedName function="false" hidden="false" localSheetId="2" name="phase_out_oil_heat" vbProcedure="false">NZP_CCS!$C$103</definedName>
    <definedName function="false" hidden="false" localSheetId="2" name="pkm_share" vbProcedure="false">NZP_CCS!$D$126:$J$129</definedName>
    <definedName function="false" hidden="false" localSheetId="2" name="policy_change_energy_speed" vbProcedure="false">NZP_CCS!$C$197:$AD$201</definedName>
    <definedName function="false" hidden="false" localSheetId="2" name="policy_improvement_process_emissions_efficiency" vbProcedure="false">NZP_CCS!$C$345</definedName>
    <definedName function="false" hidden="false" localSheetId="2" name="policy_to_improve_efficiency_speed" vbProcedure="false">NZP_CCS!$C$185:$AD$189</definedName>
    <definedName function="false" hidden="false" localSheetId="2" name="pot_marg_land_biofuels" vbProcedure="false">nzp!#ref!</definedName>
    <definedName function="false" hidden="false" localSheetId="2" name="p_bioe_power" vbProcedure="false">NZP_CCS!$C$18:$I$18</definedName>
    <definedName function="false" hidden="false" localSheetId="2" name="p_bioe_residues_growth" vbProcedure="false">NZP_CCS!$C$38</definedName>
    <definedName function="false" hidden="false" localSheetId="2" name="p_biofuels_2gen_land_compet" vbProcedure="false">NZP_CCS!$C$32</definedName>
    <definedName function="false" hidden="false" localSheetId="2" name="p_biofuels_3gen_land_compet" vbProcedure="false">NZP_CCS!$C$34</definedName>
    <definedName function="false" hidden="false" localSheetId="2" name="p_biofuels_marg_land_growth" vbProcedure="false">NZP_CCS!$C$40</definedName>
    <definedName function="false" hidden="false" localSheetId="2" name="p_biogas_growth" vbProcedure="false">NZP_CCS!$C$42</definedName>
    <definedName function="false" hidden="false" localSheetId="2" name="p_capital_share" vbProcedure="false">NZP_CCS!$F$8</definedName>
    <definedName function="false" hidden="false" localSheetId="2" name="p_CCS" vbProcedure="false">NZP_CCS!$C$283:$I$310</definedName>
    <definedName function="false" hidden="false" localSheetId="2" name="p_change_over_hist_max_variation_FEI" vbProcedure="false">NZP_CCS!$C$177</definedName>
    <definedName function="false" hidden="false" localSheetId="2" name="P_common_rr_minerals_variation_alt_techn" vbProcedure="false">NZP_CCS!$C$264</definedName>
    <definedName function="false" hidden="false" localSheetId="2" name="P_common_rr_minerals_variation_Rest" vbProcedure="false">NZP_CCS!$C$266</definedName>
    <definedName function="false" hidden="false" localSheetId="2" name="p_constraint_growth_unconv_gas" vbProcedure="false">NZP_CCS!$C$75</definedName>
    <definedName function="false" hidden="false" localSheetId="2" name="p_constraint_growth_unconv_oil" vbProcedure="false">NZP_CCS!$C$71</definedName>
    <definedName function="false" hidden="false" localSheetId="2" name="p_CSP_power" vbProcedure="false">NZP_CCS!$C$23:$I$23</definedName>
    <definedName function="false" hidden="false" localSheetId="2" name="p_CTL_growth" vbProcedure="false">NZP_CCS!$C$78</definedName>
    <definedName function="false" hidden="false" localSheetId="2" name="p_DAC" vbProcedure="false">NZP_CCS!$C$341:$I$341</definedName>
    <definedName function="false" hidden="false" localSheetId="2" name="p_ETS" vbProcedure="false">NZP_CCS!$C$62:$I$65</definedName>
    <definedName function="false" hidden="false" localSheetId="2" name="p_geot_heat_growth" vbProcedure="false">NZP_CCS!$C$51</definedName>
    <definedName function="false" hidden="false" localSheetId="2" name="p_geot_power" vbProcedure="false">NZP_CCS!$C$17:$I$17</definedName>
    <definedName function="false" hidden="false" localSheetId="2" name="p_GTL_growth" vbProcedure="false">NZP_CCS!$C$80</definedName>
    <definedName function="false" hidden="false" localSheetId="2" name="p_hydro_power" vbProcedure="false">NZP_CCS!$C$16:$I$16</definedName>
    <definedName function="false" hidden="false" localSheetId="2" name="p_labour_share" vbProcedure="false">NZP_CCS!$C$8</definedName>
    <definedName function="false" hidden="false" localSheetId="2" name="p_nuclear_scen3_4_variation" vbProcedure="false">NZP_CCS!$E$114</definedName>
    <definedName function="false" hidden="false" localSheetId="2" name="p_oceanic_power" vbProcedure="false">NZP_CCS!$C$19:$I$19</definedName>
    <definedName function="false" hidden="false" localSheetId="2" name="p_offshore_wind_power" vbProcedure="false">NZP_CCS!$C$21:$I$21</definedName>
    <definedName function="false" hidden="false" localSheetId="2" name="p_onshore_wind_power" vbProcedure="false">NZP_CCS!$C$20:$I$20</definedName>
    <definedName function="false" hidden="false" localSheetId="2" name="p_PHS_power" vbProcedure="false">NZP_CCS!$C$24:$I$24</definedName>
    <definedName function="false" hidden="false" localSheetId="2" name="p_pop_asymptote" vbProcedure="false">nzp!#ref!</definedName>
    <definedName function="false" hidden="false" localSheetId="2" name="p_PV_power" vbProcedure="false">NZP_CCS!$C$22:$I$22</definedName>
    <definedName function="false" hidden="false" localSheetId="2" name="p_RES_power" vbProcedure="false">NZP_CCS!$C$16:$I$23</definedName>
    <definedName function="false" hidden="false" localSheetId="2" name="P_rr_minerals_alt_techn" vbProcedure="false">NZP_CCS!$D$244:$D$262</definedName>
    <definedName function="false" hidden="false" localSheetId="2" name="P_rr_minerals_Rest" vbProcedure="false">NZP_CCS!$E$244:$E$262</definedName>
    <definedName function="false" hidden="false" localSheetId="2" name="p_share_FEH_vs_FED" vbProcedure="false">NZP_CCS!$C$55:$C$57</definedName>
    <definedName function="false" hidden="false" localSheetId="2" name="p_share_FEH_vs_FED_bioE" vbProcedure="false">NZP_CCS!$C$58</definedName>
    <definedName function="false" hidden="false" localSheetId="2" name="p_share_gas_elec" vbProcedure="false">NZP_CCS!$C$111</definedName>
    <definedName function="false" hidden="false" localSheetId="2" name="p_solar_heat" vbProcedure="false">NZP_CCS!$C$50</definedName>
    <definedName function="false" hidden="false" localSheetId="2" name="p_solid_bioe_heat" vbProcedure="false">NZP_CCS!$C$52</definedName>
    <definedName function="false" hidden="false" localSheetId="2" name="p_timeseries_gdp_growth" vbProcedure="false">NZP_CCS!$C$10:$AL$10</definedName>
    <definedName function="false" hidden="false" localSheetId="2" name="p_timeseries_pop_growth" vbProcedure="false">NZP_CCS!$C$4:$AM$4</definedName>
    <definedName function="false" hidden="false" localSheetId="2" name="p_waste_growth" vbProcedure="false">NZP_CCS!$C$45</definedName>
    <definedName function="false" hidden="false" localSheetId="2" name="RCP_GHG_emissions_select" vbProcedure="false">NZP_CCS!$C$273</definedName>
    <definedName function="false" hidden="false" localSheetId="2" name="scarcity_feedback_final_fuel_replacement_flag" vbProcedure="false">NZP_CCS!$C$226</definedName>
    <definedName function="false" hidden="false" localSheetId="2" name="sectoral_FEI_evolution_method" vbProcedure="false">NZP_CCS!$C$171</definedName>
    <definedName function="false" hidden="false" localSheetId="2" name="select_gdp_evolution" vbProcedure="false">nzp!#ref!</definedName>
    <definedName function="false" hidden="false" localSheetId="2" name="select_nuclear_scen" vbProcedure="false">NZP_CCS!$B$114</definedName>
    <definedName function="false" hidden="false" localSheetId="2" name="select_pop_evolution" vbProcedure="false">nzp!#ref!</definedName>
    <definedName function="false" hidden="false" localSheetId="2" name="sensitivity_to_scarcity_option" vbProcedure="false">NZP_CCS!$C$227</definedName>
    <definedName function="false" hidden="false" localSheetId="2" name="sensitivity_to_scarcity_option_H" vbProcedure="false">NZP_CCS!$C$231</definedName>
    <definedName function="false" hidden="false" localSheetId="2" name="separate_conv_and_unconv_gas" vbProcedure="false">NZP_CCS!$C$74</definedName>
    <definedName function="false" hidden="false" localSheetId="2" name="separate_conv_and_unconv_oil" vbProcedure="false">NZP_CCS!$C$70</definedName>
    <definedName function="false" hidden="false" localSheetId="2" name="share_available_roof" vbProcedure="false">NZP_CCS!$C$398</definedName>
    <definedName function="false" hidden="false" localSheetId="2" name="share_available_roof_for_rooftop_PV" vbProcedure="false">NZP_CCS!$C$399</definedName>
    <definedName function="false" hidden="false" localSheetId="2" name="share_cellulosic_biof_vs_bioe_res" vbProcedure="false">NZP_CCS!$C$37</definedName>
    <definedName function="false" hidden="false" localSheetId="2" name="share_curtailment" vbProcedure="false">NZP_CCS!$C$25:$I$25</definedName>
    <definedName function="false" hidden="false" localSheetId="2" name="share_exports_electricity" vbProcedure="false">NZP_CCS!$C$376:$I$376</definedName>
    <definedName function="false" hidden="false" localSheetId="2" name="share_PV_urban_tot_PV" vbProcedure="false">NZP_CCS!$C$401</definedName>
    <definedName function="false" hidden="false" localSheetId="2" name="share_roof_solar_thermal" vbProcedure="false">NZP_CCS!$C$400</definedName>
    <definedName function="false" hidden="false" localSheetId="2" name="share_RURR_agg_gas_underground" vbProcedure="false">NZP_CCS!$C$98</definedName>
    <definedName function="false" hidden="false" localSheetId="2" name="share_RURR_agg_oil_underground" vbProcedure="false">NZP_CCS!$C$96</definedName>
    <definedName function="false" hidden="false" localSheetId="2" name="share_RURR_coal_underground" vbProcedure="false">NZP_CCS!$C$94</definedName>
    <definedName function="false" hidden="false" localSheetId="2" name="share_RURR_conv_gas_underground" vbProcedure="false">NZP_CCS!$C$90</definedName>
    <definedName function="false" hidden="false" localSheetId="2" name="share_RURR_conv_oil_underground" vbProcedure="false">NZP_CCS!$C$86</definedName>
    <definedName function="false" hidden="false" localSheetId="2" name="share_RURR_unconv_gas_underground" vbProcedure="false">NZP_CCS!$C$92</definedName>
    <definedName function="false" hidden="false" localSheetId="2" name="share_RURR_unconv_oil_underground" vbProcedure="false">NZP_CCS!$C$88</definedName>
    <definedName function="false" hidden="false" localSheetId="2" name="share_target_year_oil_for_elec" vbProcedure="false">NZP_CCS!$C$108</definedName>
    <definedName function="false" hidden="false" localSheetId="2" name="share_target_year_oil_for_heat" vbProcedure="false">NZP_CCS!$C$109</definedName>
    <definedName function="false" hidden="false" localSheetId="2" name="share_trans_loss" vbProcedure="false">NZP_CCS!$C$26:$I$26</definedName>
    <definedName function="false" hidden="false" localSheetId="2" name="start_policy_year_agg_gas_underground" vbProcedure="false">NZP_CCS!$C$97</definedName>
    <definedName function="false" hidden="false" localSheetId="2" name="start_policy_year_agg_oil_underground" vbProcedure="false">NZP_CCS!$C$95</definedName>
    <definedName function="false" hidden="false" localSheetId="2" name="start_policy_year_coal_underground" vbProcedure="false">NZP_CCS!$C$93</definedName>
    <definedName function="false" hidden="false" localSheetId="2" name="start_policy_year_conv_gas_underground" vbProcedure="false">NZP_CCS!$C$89</definedName>
    <definedName function="false" hidden="false" localSheetId="2" name="start_policy_year_conv_oil_underground" vbProcedure="false">NZP_CCS!$C$85</definedName>
    <definedName function="false" hidden="false" localSheetId="2" name="start_policy_year_unconv_gas_underground" vbProcedure="false">NZP_CCS!$C$91</definedName>
    <definedName function="false" hidden="false" localSheetId="2" name="start_policy_year_unconv_opil_underground" vbProcedure="false">NZP_CCS!$C$87</definedName>
    <definedName function="false" hidden="false" localSheetId="2" name="start_year_3gen_cell_biofuels" vbProcedure="false">NZP_CCS!$C$33</definedName>
    <definedName function="false" hidden="false" localSheetId="2" name="start_year_bioe_residues_non_biofuels" vbProcedure="false">NZP_CCS!$C$36</definedName>
    <definedName function="false" hidden="false" localSheetId="2" name="start_year_biofuels_land_marg" vbProcedure="false">NZP_CCS!$C$39</definedName>
    <definedName function="false" hidden="false" localSheetId="2" name="start_year_cell_efficency_PV" vbProcedure="false">NZP_CCS!$C$393</definedName>
    <definedName function="false" hidden="false" localSheetId="2" name="start_year_modification_EI" vbProcedure="false">NZP_CCS!$C$212</definedName>
    <definedName function="false" hidden="false" localSheetId="2" name="start_year_nuclear_variation_scen3_4" vbProcedure="false">NZP_CCS!$E$115</definedName>
    <definedName function="false" hidden="false" localSheetId="2" name="start_year_policies_transport" vbProcedure="false">NZP_CCS!$D$122</definedName>
    <definedName function="false" hidden="false" localSheetId="2" name="start_year_policy_phase_out_oil_for_electricity" vbProcedure="false">NZP_CCS!$C$104</definedName>
    <definedName function="false" hidden="false" localSheetId="2" name="start_year_policy_phase_out_oil_for_heat" vbProcedure="false">NZP_CCS!$C$105</definedName>
    <definedName function="false" hidden="false" localSheetId="2" name="start_year_P_common_rr_minerals_alt_techn" vbProcedure="false">NZP_CCS!$C$265</definedName>
    <definedName function="false" hidden="false" localSheetId="2" name="start_year_P_common_rr_minerals_Rest" vbProcedure="false">NZP_CCS!$C$267</definedName>
    <definedName function="false" hidden="false" localSheetId="2" name="start_year_p_growth_RES_elec" vbProcedure="false">NZP_CCS!$C$15</definedName>
    <definedName function="false" hidden="false" localSheetId="2" name="start_year_p_growth_RES_heat" vbProcedure="false">NZP_CCS!$C$48</definedName>
    <definedName function="false" hidden="false" localSheetId="2" name="start_year_P_rr_minerals" vbProcedure="false">NZP_CCS!$B$243</definedName>
    <definedName function="false" hidden="false" localSheetId="2" name="start_year_P_urban_land_density" vbProcedure="false">NZP_CCS!$C$387</definedName>
    <definedName function="false" hidden="false" localSheetId="2" name="start_year_variation_primary_forest" vbProcedure="false">NZP_CCS!$C$385</definedName>
    <definedName function="false" hidden="false" localSheetId="2" name="target_year_asymptote_gdp" vbProcedure="false">nzp!#ref!</definedName>
    <definedName function="false" hidden="false" localSheetId="2" name="target_year_asymptote_pop" vbProcedure="false">nzp!#ref!</definedName>
    <definedName function="false" hidden="false" localSheetId="2" name="target_year_policy_gas_electricity" vbProcedure="false">NZP_CCS!$C$110</definedName>
    <definedName function="false" hidden="false" localSheetId="2" name="target_year_policy_phase_out_oil_electricity" vbProcedure="false">NZP_CCS!$C$106</definedName>
    <definedName function="false" hidden="false" localSheetId="2" name="target_year_policy_phase_out_oil_heat" vbProcedure="false">NZP_CCS!$C$107</definedName>
    <definedName function="false" hidden="false" localSheetId="2" name="target_year_process_emissions" vbProcedure="false">NZP_CCS!$C$344</definedName>
    <definedName function="false" hidden="false" localSheetId="2" name="target_year_p_growth_RES_elec" vbProcedure="false">nzp!#ref!</definedName>
    <definedName function="false" hidden="false" localSheetId="2" name="target_year_p_growth_RES_heat" vbProcedure="false">NZP_CCS!$C$49</definedName>
    <definedName function="false" hidden="false" localSheetId="2" name="target_year_P_rr_minerals" vbProcedure="false">NZP_CCS!$B$242</definedName>
    <definedName function="false" hidden="false" localSheetId="2" name="target_year_P_urban_land_density" vbProcedure="false">NZP_CCS!$C$388</definedName>
    <definedName function="false" hidden="false" localSheetId="2" name="targ_year_cell_efficiency_PV" vbProcedure="false">NZP_CCS!$C$394</definedName>
    <definedName function="false" hidden="false" localSheetId="2" name="tfin_policy_hh_veh" vbProcedure="false">nzp!#ref!</definedName>
    <definedName function="false" hidden="false" localSheetId="2" name="tfin_policy_inland_transp_veh" vbProcedure="false">nzp!#ref!</definedName>
    <definedName function="false" hidden="false" localSheetId="2" name="time_afforestation" vbProcedure="false">NZP_CCS!$C$352:$X$352</definedName>
    <definedName function="false" hidden="false" localSheetId="2" name="tini_policy_hh_veh" vbProcedure="false">nzp!#ref!</definedName>
    <definedName function="false" hidden="false" localSheetId="2" name="tini_policy_inland_transp_veh" vbProcedure="false">nzp!#ref!</definedName>
    <definedName function="false" hidden="false" localSheetId="2" name="tkm_share" vbProcedure="false">NZP_CCS!$D$123:$J$125</definedName>
    <definedName function="false" hidden="false" localSheetId="2" name="unlimited_coal" vbProcedure="false">nzp!#ref!</definedName>
    <definedName function="false" hidden="false" localSheetId="2" name="unlimited_gas" vbProcedure="false">nzp!#ref!</definedName>
    <definedName function="false" hidden="false" localSheetId="2" name="unlimited_NRE" vbProcedure="false">nzp!#ref!</definedName>
    <definedName function="false" hidden="false" localSheetId="2" name="unlimited_oil" vbProcedure="false">nzp!#ref!</definedName>
    <definedName function="false" hidden="false" localSheetId="2" name="unlimited_uranium" vbProcedure="false">nzp!#ref!</definedName>
    <definedName function="false" hidden="false" localSheetId="2" name="urban_land_density" vbProcedure="false">NZP_CCS!$C$386</definedName>
    <definedName function="false" hidden="false" localSheetId="2" name="variation_primary_forest" vbProcedure="false">NZP_CCS!$C$384</definedName>
    <definedName function="false" hidden="false" localSheetId="2" name="years_co2_luc" vbProcedure="false">NZP_CCS!$C$348:$I$348</definedName>
    <definedName function="false" hidden="false" localSheetId="2" name="years_pop_growth" vbProcedure="false">NZP_CCS!$C$4:$AL$4</definedName>
    <definedName function="false" hidden="false" localSheetId="2" name="year_change_pct_energy_intensity_target" vbProcedure="false">NZP_CCS!$C$222</definedName>
    <definedName function="false" hidden="false" localSheetId="2" name="year_customized_gdp_evol" vbProcedure="false">nzp!#ref!</definedName>
    <definedName function="false" hidden="false" localSheetId="2" name="year_customized_pop_evol" vbProcedure="false">nzp!#ref!</definedName>
    <definedName function="false" hidden="false" localSheetId="2" name="year_gdp_timeseries" vbProcedure="false">NZP_CCS!$C$9:$AL$9</definedName>
    <definedName function="false" hidden="false" localSheetId="2" name="year_net_energy_flux" vbProcedure="false">NZP_CCS!$B$365:$H$365</definedName>
    <definedName function="false" hidden="false" localSheetId="2" name="year_policy_change_energy" vbProcedure="false">NZP_CCS!$C$191:$AD$195</definedName>
    <definedName function="false" hidden="false" localSheetId="2" name="Year_policy_share_res_heat" vbProcedure="false">NZP_CCS!$C$54</definedName>
    <definedName function="false" hidden="false" localSheetId="2" name="year_policy_to_improve_efficiency" vbProcedure="false">NZP_CCS!$C$179:$AD$183</definedName>
    <definedName function="false" hidden="false" localSheetId="2" name="year_pop_timeseries" vbProcedure="false">NZP_CCS!$C$4:$AL$4</definedName>
    <definedName function="false" hidden="false" localSheetId="2" name="year_RES_power" vbProcedure="false">NZP_CCS!$C$15:$I$15</definedName>
    <definedName function="false" hidden="false" localSheetId="2" name="year_RURR_coal" vbProcedure="false">NZP_CCS!$C$84</definedName>
    <definedName function="false" hidden="false" localSheetId="2" name="year_synthetic" vbProcedure="false">NZP_CCS!$C$61:$I$61</definedName>
    <definedName function="false" hidden="false" localSheetId="2" name="year_to_finish_energy_intensity_policies" vbProcedure="false">NZP_CCS!$C$203:$AD$207</definedName>
    <definedName function="false" hidden="false" localSheetId="2" name="year_transport_fuel_share_pkm" vbProcedure="false">NZP_CCS!$C$148:$I$148</definedName>
    <definedName function="false" hidden="false" localSheetId="2" name="year_transport_fuel_share_tkm" vbProcedure="false">NZP_CCS!$C$134:$I$134</definedName>
    <definedName function="false" hidden="false" localSheetId="2" name="Year_transport_share" vbProcedure="false">NZP_CCS!$D$122:$J$122</definedName>
    <definedName function="false" hidden="false" localSheetId="3" name="activate_afforestation_program" vbProcedure="false">NZP_CCS_SE!$B$279</definedName>
    <definedName function="false" hidden="false" localSheetId="3" name="activate_ELF" vbProcedure="false">NZP_CCS_SE!$C$271</definedName>
    <definedName function="false" hidden="false" localSheetId="3" name="activate_policy_leaving_underground" vbProcedure="false">NZP_CCS_SE!$C$83</definedName>
    <definedName function="false" hidden="false" localSheetId="3" name="afforestation" vbProcedure="false">NZP_CCS_SE!$C$353:$X$353</definedName>
    <definedName function="false" hidden="false" localSheetId="3" name="average_solar_I" vbProcedure="false">NZP_CCS_SE!$C$391</definedName>
    <definedName function="false" hidden="false" localSheetId="3" name="cell_efficiency_target_year" vbProcedure="false">NZP_CCS_SE!$C$392</definedName>
    <definedName function="false" hidden="false" localSheetId="3" name="choose_energy_intensity_target_method" vbProcedure="false">NZP_CCS_SE!$C$210</definedName>
    <definedName function="false" hidden="false" localSheetId="3" name="choose_targets_mineral_recycling_rates" vbProcedure="false">NZP_CCS_SE!$D$240</definedName>
    <definedName function="false" hidden="false" localSheetId="3" name="co2_luc" vbProcedure="false">NZP_CCS_SE!$C$349:$I$349</definedName>
    <definedName function="false" hidden="false" localSheetId="3" name="coal_net_flux_timeseries" vbProcedure="false">NZP_CCS_SE!$B$371:$H$371</definedName>
    <definedName function="false" hidden="false" localSheetId="3" name="crash_programme_CTL" vbProcedure="false">NZP_CCS_SE!$D$78</definedName>
    <definedName function="false" hidden="false" localSheetId="3" name="crash_programme_GTL" vbProcedure="false">NZP_CCS_SE!$D$80</definedName>
    <definedName function="false" hidden="false" localSheetId="3" name="efficiency_rate_of_substitution_electricity" vbProcedure="false">NZP_CCS_SE!$C$404:$Q$408</definedName>
    <definedName function="false" hidden="false" localSheetId="3" name="efficiency_rate_of_substitution_gases" vbProcedure="false">NZP_CCS_SE!$C$419:$Q$423</definedName>
    <definedName function="false" hidden="false" localSheetId="3" name="efficiency_rate_of_substitution_heat" vbProcedure="false">NZP_CCS_SE!$C$409:$Q$413</definedName>
    <definedName function="false" hidden="false" localSheetId="3" name="efficiency_rate_of_substitution_liquids" vbProcedure="false">NZP_CCS_SE!$C$414:$Q$418</definedName>
    <definedName function="false" hidden="false" localSheetId="3" name="efficiency_rate_of_substitution_solids" vbProcedure="false">NZP_CCS_SE!$C$424:$Q$428</definedName>
    <definedName function="false" hidden="false" localSheetId="3" name="energy_intensity_target" vbProcedure="false">NZP_CCS_SE!$C$216:$AD$220</definedName>
    <definedName function="false" hidden="false" localSheetId="3" name="energy_scarcity_forgetting_time" vbProcedure="false">NZP_CCS_SE!$C$230</definedName>
    <definedName function="false" hidden="false" localSheetId="3" name="energy_scarcity_forgetting_time_H" vbProcedure="false">NZP_CCS_SE!$C$234</definedName>
    <definedName function="false" hidden="false" localSheetId="3" name="EROI_feedback_flag" vbProcedure="false">nzp!#ref!</definedName>
    <definedName function="false" hidden="false" localSheetId="3" name="final_year_energy_intensity_target" vbProcedure="false">NZP_CCS_SE!$C$213</definedName>
    <definedName function="false" hidden="false" localSheetId="3" name="forest_overexplotation" vbProcedure="false">NZP_CCS_SE!$C$382</definedName>
    <definedName function="false" hidden="false" localSheetId="3" name="fuel_share_air_pkm" vbProcedure="false">NZP_CCS_SE!$C$157:$I$160</definedName>
    <definedName function="false" hidden="false" localSheetId="3" name="fuel_share_air_tkm" vbProcedure="false">NZP_CCS_SE!$C$143:$I$146</definedName>
    <definedName function="false" hidden="false" localSheetId="3" name="fuel_share_households_pkm" vbProcedure="false">NZP_CCS_SE!$C$161:$I$164</definedName>
    <definedName function="false" hidden="false" localSheetId="3" name="fuel_share_inland_pkm" vbProcedure="false">NZP_CCS_SE!$C$149:$I$152</definedName>
    <definedName function="false" hidden="false" localSheetId="3" name="fuel_share_inland_tkm" vbProcedure="false">NZP_CCS_SE!$C$135:$I$138</definedName>
    <definedName function="false" hidden="false" localSheetId="3" name="fuel_share_maritime_pkm" vbProcedure="false">NZP_CCS_SE!$C$153:$I$156</definedName>
    <definedName function="false" hidden="false" localSheetId="3" name="fuel_share_maritime_tkm" vbProcedure="false">NZP_CCS_SE!$C$139:$I$142</definedName>
    <definedName function="false" hidden="false" localSheetId="3" name="gas_net_flux_timeseries" vbProcedure="false">NZP_CCS_SE!$B$369:$H$369</definedName>
    <definedName function="false" hidden="false" localSheetId="3" name="GWP_time_frame" vbProcedure="false">nzp!#ref!</definedName>
    <definedName function="false" hidden="false" localSheetId="3" name="limit_coal_imports_from_RoW" vbProcedure="false">nzp!#ref!</definedName>
    <definedName function="false" hidden="false" localSheetId="3" name="limit_nat_gas_imports_from_RoW" vbProcedure="false">nzp!#ref!</definedName>
    <definedName function="false" hidden="false" localSheetId="3" name="limit_oil_imports_from_RoW" vbProcedure="false">nzp!#ref!</definedName>
    <definedName function="false" hidden="false" localSheetId="3" name="max_NPP_pot_bioe_residues" vbProcedure="false">nzp!#ref!</definedName>
    <definedName function="false" hidden="false" localSheetId="3" name="max_PE_biogas" vbProcedure="false">nzp!#ref!</definedName>
    <definedName function="false" hidden="false" localSheetId="3" name="max_share_imports_coal" vbProcedure="false">nzp!#ref!</definedName>
    <definedName function="false" hidden="false" localSheetId="3" name="max_share_imports_nat_gas" vbProcedure="false">nzp!#ref!</definedName>
    <definedName function="false" hidden="false" localSheetId="3" name="max_share_imports_oil" vbProcedure="false">nzp!#ref!</definedName>
    <definedName function="false" hidden="false" localSheetId="3" name="minimum_forest" vbProcedure="false">NZP_CCS_SE!$C$383</definedName>
    <definedName function="false" hidden="false" localSheetId="3" name="min_FEI_vs_initial" vbProcedure="false">NZP_CCS_SE!$C$176</definedName>
    <definedName function="false" hidden="false" localSheetId="3" name="oil_net_flux_timeseries" vbProcedure="false">NZP_CCS_SE!$B$367:$H$367</definedName>
    <definedName function="false" hidden="false" localSheetId="3" name="pct_change_energy_intensity_target" vbProcedure="false">NZP_CCS_SE!$C$223</definedName>
    <definedName function="false" hidden="false" localSheetId="3" name="percent_2w_tfin_over_hh_veh" vbProcedure="false">nzp!#ref!</definedName>
    <definedName function="false" hidden="false" localSheetId="3" name="percent_electric_2w_tfin" vbProcedure="false">nzp!#ref!</definedName>
    <definedName function="false" hidden="false" localSheetId="3" name="percent_electric_light_cargo_veh_tfin" vbProcedure="false">nzp!#ref!</definedName>
    <definedName function="false" hidden="false" localSheetId="3" name="percent_electric_train_tfin" vbProcedure="false">nzp!#ref!</definedName>
    <definedName function="false" hidden="false" localSheetId="3" name="percent_electr_bus_tfin" vbProcedure="false">nzp!#ref!</definedName>
    <definedName function="false" hidden="false" localSheetId="3" name="percent_electr_hh_4w_tfin" vbProcedure="false">nzp!#ref!</definedName>
    <definedName function="false" hidden="false" localSheetId="3" name="percent_gas_heavy_veh_tfin" vbProcedure="false">nzp!#ref!</definedName>
    <definedName function="false" hidden="false" localSheetId="3" name="percent_gas_hh_veh_4w_tfin" vbProcedure="false">nzp!#ref!</definedName>
    <definedName function="false" hidden="false" localSheetId="3" name="percent_hybrid_bus_tfin" vbProcedure="false">nzp!#ref!</definedName>
    <definedName function="false" hidden="false" localSheetId="3" name="percent_hybrid_heavy_veh_tfin" vbProcedure="false">nzp!#ref!</definedName>
    <definedName function="false" hidden="false" localSheetId="3" name="percent_hybrid_hh_4w_veh_tfin" vbProcedure="false">nzp!#ref!</definedName>
    <definedName function="false" hidden="false" localSheetId="3" name="percent_hybrid_light_cargo_veh_tfin" vbProcedure="false">nzp!#ref!</definedName>
    <definedName function="false" hidden="false" localSheetId="3" name="percent_natgas_bus_tfin" vbProcedure="false">nzp!#ref!</definedName>
    <definedName function="false" hidden="false" localSheetId="3" name="percent_natgas_light_cargo_veh_tfin" vbProcedure="false">nzp!#ref!</definedName>
    <definedName function="false" hidden="false" localSheetId="3" name="phase_out_oil_electr" vbProcedure="false">NZP_CCS_SE!$C$102</definedName>
    <definedName function="false" hidden="false" localSheetId="3" name="phase_out_oil_heat" vbProcedure="false">NZP_CCS_SE!$C$103</definedName>
    <definedName function="false" hidden="false" localSheetId="3" name="pkm_share" vbProcedure="false">NZP_CCS_SE!$D$126:$J$129</definedName>
    <definedName function="false" hidden="false" localSheetId="3" name="policy_change_energy_speed" vbProcedure="false">NZP_CCS_SE!$C$197:$AD$201</definedName>
    <definedName function="false" hidden="false" localSheetId="3" name="policy_improvement_process_emissions_efficiency" vbProcedure="false">NZP_CCS_SE!$C$345</definedName>
    <definedName function="false" hidden="false" localSheetId="3" name="policy_to_improve_efficiency_speed" vbProcedure="false">NZP_CCS_SE!$C$185:$AD$189</definedName>
    <definedName function="false" hidden="false" localSheetId="3" name="pop_growth_timeseries" vbProcedure="false">NZP_CCS_SE!$C$5:$AL$5</definedName>
    <definedName function="false" hidden="false" localSheetId="3" name="pot_marg_land_biofuels" vbProcedure="false">nzp!#ref!</definedName>
    <definedName function="false" hidden="false" localSheetId="3" name="p_bioe_power" vbProcedure="false">NZP_CCS_SE!$C$18:$I$18</definedName>
    <definedName function="false" hidden="false" localSheetId="3" name="p_bioe_residues_growth" vbProcedure="false">NZP_CCS_SE!$C$38</definedName>
    <definedName function="false" hidden="false" localSheetId="3" name="p_biofuels_2gen_land_compet" vbProcedure="false">NZP_CCS_SE!$C$32</definedName>
    <definedName function="false" hidden="false" localSheetId="3" name="p_biofuels_3gen_land_compet" vbProcedure="false">NZP_CCS_SE!$C$34</definedName>
    <definedName function="false" hidden="false" localSheetId="3" name="p_biofuels_marg_land_growth" vbProcedure="false">NZP_CCS_SE!$C$40</definedName>
    <definedName function="false" hidden="false" localSheetId="3" name="p_biogas_growth" vbProcedure="false">NZP_CCS_SE!$C$42</definedName>
    <definedName function="false" hidden="false" localSheetId="3" name="p_capital_share" vbProcedure="false">NZP_CCS_SE!$F$8</definedName>
    <definedName function="false" hidden="false" localSheetId="3" name="p_CCS" vbProcedure="false">NZP_CCS_SE!$C$283:$I$310</definedName>
    <definedName function="false" hidden="false" localSheetId="3" name="p_change_over_hist_max_variation_FEI" vbProcedure="false">NZP_CCS_SE!$C$177</definedName>
    <definedName function="false" hidden="false" localSheetId="3" name="P_common_rr_minerals_variation_alt_techn" vbProcedure="false">NZP_CCS_SE!$C$264</definedName>
    <definedName function="false" hidden="false" localSheetId="3" name="P_common_rr_minerals_variation_Rest" vbProcedure="false">NZP_CCS_SE!$C$266</definedName>
    <definedName function="false" hidden="false" localSheetId="3" name="p_constraint_growth_unconv_gas" vbProcedure="false">NZP_CCS_SE!$C$75</definedName>
    <definedName function="false" hidden="false" localSheetId="3" name="p_constraint_growth_unconv_oil" vbProcedure="false">NZP_CCS_SE!$C$71</definedName>
    <definedName function="false" hidden="false" localSheetId="3" name="p_CSP_power" vbProcedure="false">NZP_CCS_SE!$C$23:$I$23</definedName>
    <definedName function="false" hidden="false" localSheetId="3" name="p_CTL_growth" vbProcedure="false">NZP_CCS_SE!$C$78</definedName>
    <definedName function="false" hidden="false" localSheetId="3" name="p_DAC" vbProcedure="false">NZP_CCS_SE!$C$341:$I$341</definedName>
    <definedName function="false" hidden="false" localSheetId="3" name="p_ETS" vbProcedure="false">NZP_CCS_SE!$C$62:$I$65</definedName>
    <definedName function="false" hidden="false" localSheetId="3" name="p_geot_heat_growth" vbProcedure="false">NZP_CCS_SE!$C$51</definedName>
    <definedName function="false" hidden="false" localSheetId="3" name="p_geot_power" vbProcedure="false">NZP_CCS_SE!$C$17:$I$17</definedName>
    <definedName function="false" hidden="false" localSheetId="3" name="p_GTL_growth" vbProcedure="false">NZP_CCS_SE!$C$80</definedName>
    <definedName function="false" hidden="false" localSheetId="3" name="p_hydro_power" vbProcedure="false">NZP_CCS_SE!$C$16:$I$16</definedName>
    <definedName function="false" hidden="false" localSheetId="3" name="p_labour_share" vbProcedure="false">NZP_CCS_SE!$C$8</definedName>
    <definedName function="false" hidden="false" localSheetId="3" name="p_nuclear_scen3_4_variation" vbProcedure="false">NZP_CCS_SE!$E$114</definedName>
    <definedName function="false" hidden="false" localSheetId="3" name="p_oceanic_power" vbProcedure="false">NZP_CCS_SE!$C$19:$I$19</definedName>
    <definedName function="false" hidden="false" localSheetId="3" name="p_offshore_wind_power" vbProcedure="false">NZP_CCS_SE!$C$21:$I$21</definedName>
    <definedName function="false" hidden="false" localSheetId="3" name="p_onshore_wind_power" vbProcedure="false">NZP_CCS_SE!$C$20:$I$20</definedName>
    <definedName function="false" hidden="false" localSheetId="3" name="p_PHS_power" vbProcedure="false">NZP_CCS_SE!$C$24:$I$24</definedName>
    <definedName function="false" hidden="false" localSheetId="3" name="p_pop_asymptote" vbProcedure="false">nzp!#ref!</definedName>
    <definedName function="false" hidden="false" localSheetId="3" name="p_PV_power" vbProcedure="false">NZP_CCS_SE!$C$22:$I$22</definedName>
    <definedName function="false" hidden="false" localSheetId="3" name="p_RES_power" vbProcedure="false">NZP_CCS_SE!$C$16:$I$23</definedName>
    <definedName function="false" hidden="false" localSheetId="3" name="P_rr_minerals_alt_techn" vbProcedure="false">NZP_CCS_SE!$D$244:$D$262</definedName>
    <definedName function="false" hidden="false" localSheetId="3" name="P_rr_minerals_Rest" vbProcedure="false">NZP_CCS_SE!$E$244:$E$262</definedName>
    <definedName function="false" hidden="false" localSheetId="3" name="p_share_FEH_vs_FED" vbProcedure="false">NZP_CCS_SE!$C$55:$C$57</definedName>
    <definedName function="false" hidden="false" localSheetId="3" name="p_share_FEH_vs_FED_bioE" vbProcedure="false">NZP_CCS_SE!$C$58</definedName>
    <definedName function="false" hidden="false" localSheetId="3" name="p_share_gas_elec" vbProcedure="false">NZP_CCS_SE!$C$111</definedName>
    <definedName function="false" hidden="false" localSheetId="3" name="p_solar_heat" vbProcedure="false">NZP_CCS_SE!$C$50</definedName>
    <definedName function="false" hidden="false" localSheetId="3" name="p_solid_bioe_heat" vbProcedure="false">NZP_CCS_SE!$C$52</definedName>
    <definedName function="false" hidden="false" localSheetId="3" name="p_timeseries_gdp_growth" vbProcedure="false">NZP_CCS_SE!$C$10:$AL$10</definedName>
    <definedName function="false" hidden="false" localSheetId="3" name="p_timeseries_pop_growth" vbProcedure="false">NZP_CCS_SE!$C$4:$AM$4</definedName>
    <definedName function="false" hidden="false" localSheetId="3" name="p_waste_growth" vbProcedure="false">NZP_CCS_SE!$C$45</definedName>
    <definedName function="false" hidden="false" localSheetId="3" name="RCP_GHG_emissions_select" vbProcedure="false">NZP_CCS_SE!$C$273</definedName>
    <definedName function="false" hidden="false" localSheetId="3" name="scarcity_feedback_final_fuel_replacement_flag" vbProcedure="false">NZP_CCS_SE!$C$226</definedName>
    <definedName function="false" hidden="false" localSheetId="3" name="sectoral_FEI_evolution_method" vbProcedure="false">NZP_CCS_SE!$C$171</definedName>
    <definedName function="false" hidden="false" localSheetId="3" name="select_gdp_evolution" vbProcedure="false">nzp!#ref!</definedName>
    <definedName function="false" hidden="false" localSheetId="3" name="select_nuclear_scen" vbProcedure="false">NZP_CCS_SE!$B$114</definedName>
    <definedName function="false" hidden="false" localSheetId="3" name="select_pop_evolution" vbProcedure="false">nzp!#ref!</definedName>
    <definedName function="false" hidden="false" localSheetId="3" name="sensitivity_to_scarcity_option" vbProcedure="false">NZP_CCS_SE!$C$227</definedName>
    <definedName function="false" hidden="false" localSheetId="3" name="sensitivity_to_scarcity_option_H" vbProcedure="false">NZP_CCS_SE!$C$231</definedName>
    <definedName function="false" hidden="false" localSheetId="3" name="separate_conv_and_unconv_gas" vbProcedure="false">NZP_CCS_SE!$C$74</definedName>
    <definedName function="false" hidden="false" localSheetId="3" name="separate_conv_and_unconv_oil" vbProcedure="false">NZP_CCS_SE!$C$70</definedName>
    <definedName function="false" hidden="false" localSheetId="3" name="share_available_roof" vbProcedure="false">NZP_CCS_SE!$C$398</definedName>
    <definedName function="false" hidden="false" localSheetId="3" name="share_available_roof_for_rooftop_PV" vbProcedure="false">NZP_CCS_SE!$C$399</definedName>
    <definedName function="false" hidden="false" localSheetId="3" name="share_ccs_energy" vbProcedure="false">NZP_CCS_SE!$C$312:$I$339</definedName>
    <definedName function="false" hidden="false" localSheetId="3" name="share_cellulosic_biof_vs_bioe_res" vbProcedure="false">NZP_CCS_SE!$C$37</definedName>
    <definedName function="false" hidden="false" localSheetId="3" name="share_curtailment" vbProcedure="false">NZP_CCS_SE!$C$25:$I$25</definedName>
    <definedName function="false" hidden="false" localSheetId="3" name="share_exports_electricity" vbProcedure="false">NZP_CCS_SE!$C$376:$I$376</definedName>
    <definedName function="false" hidden="false" localSheetId="3" name="share_PV_urban_tot_PV" vbProcedure="false">NZP_CCS_SE!$C$401</definedName>
    <definedName function="false" hidden="false" localSheetId="3" name="share_roof_solar_thermal" vbProcedure="false">NZP_CCS_SE!$C$400</definedName>
    <definedName function="false" hidden="false" localSheetId="3" name="share_RURR_agg_gas_underground" vbProcedure="false">NZP_CCS_SE!$C$98</definedName>
    <definedName function="false" hidden="false" localSheetId="3" name="share_RURR_agg_oil_underground" vbProcedure="false">NZP_CCS_SE!$C$96</definedName>
    <definedName function="false" hidden="false" localSheetId="3" name="share_RURR_coal_underground" vbProcedure="false">NZP_CCS_SE!$C$94</definedName>
    <definedName function="false" hidden="false" localSheetId="3" name="share_RURR_conv_gas_underground" vbProcedure="false">NZP_CCS_SE!$C$90</definedName>
    <definedName function="false" hidden="false" localSheetId="3" name="share_RURR_conv_oil_underground" vbProcedure="false">NZP_CCS_SE!$C$86</definedName>
    <definedName function="false" hidden="false" localSheetId="3" name="share_RURR_unconv_gas_underground" vbProcedure="false">NZP_CCS_SE!$C$92</definedName>
    <definedName function="false" hidden="false" localSheetId="3" name="share_RURR_unconv_oil_underground" vbProcedure="false">NZP_CCS_SE!$C$88</definedName>
    <definedName function="false" hidden="false" localSheetId="3" name="share_target_year_oil_for_elec" vbProcedure="false">NZP_CCS_SE!$C$108</definedName>
    <definedName function="false" hidden="false" localSheetId="3" name="share_target_year_oil_for_heat" vbProcedure="false">NZP_CCS_SE!$C$109</definedName>
    <definedName function="false" hidden="false" localSheetId="3" name="share_trans_loss" vbProcedure="false">NZP_CCS_SE!$C$26:$I$26</definedName>
    <definedName function="false" hidden="false" localSheetId="3" name="start_policy_year_agg_gas_underground" vbProcedure="false">NZP_CCS_SE!$C$97</definedName>
    <definedName function="false" hidden="false" localSheetId="3" name="start_policy_year_agg_oil_underground" vbProcedure="false">NZP_CCS_SE!$C$95</definedName>
    <definedName function="false" hidden="false" localSheetId="3" name="start_policy_year_coal_underground" vbProcedure="false">NZP_CCS_SE!$C$93</definedName>
    <definedName function="false" hidden="false" localSheetId="3" name="start_policy_year_conv_gas_underground" vbProcedure="false">NZP_CCS_SE!$C$89</definedName>
    <definedName function="false" hidden="false" localSheetId="3" name="start_policy_year_conv_oil_underground" vbProcedure="false">NZP_CCS_SE!$C$85</definedName>
    <definedName function="false" hidden="false" localSheetId="3" name="start_policy_year_unconv_gas_underground" vbProcedure="false">NZP_CCS_SE!$C$91</definedName>
    <definedName function="false" hidden="false" localSheetId="3" name="start_policy_year_unconv_oil_underground" vbProcedure="false">NZP_CCS_SE!$C$87</definedName>
    <definedName function="false" hidden="false" localSheetId="3" name="start_policy_year_unconv_opil_underground" vbProcedure="false">NZP_CCS_SE!$C$87</definedName>
    <definedName function="false" hidden="false" localSheetId="3" name="start_year_3gen_cell_biofuels" vbProcedure="false">NZP_CCS_SE!$C$33</definedName>
    <definedName function="false" hidden="false" localSheetId="3" name="start_year_bioe_residues_non_biofuels" vbProcedure="false">NZP_CCS_SE!$C$36</definedName>
    <definedName function="false" hidden="false" localSheetId="3" name="start_year_biofuels_land_marg" vbProcedure="false">NZP_CCS_SE!$C$39</definedName>
    <definedName function="false" hidden="false" localSheetId="3" name="start_year_cell_efficency_PV" vbProcedure="false">NZP_CCS_SE!$C$393</definedName>
    <definedName function="false" hidden="false" localSheetId="3" name="start_year_modification_EI" vbProcedure="false">NZP_CCS_SE!$C$212</definedName>
    <definedName function="false" hidden="false" localSheetId="3" name="start_year_nuclear_variation_scen3_4" vbProcedure="false">NZP_CCS_SE!$E$115</definedName>
    <definedName function="false" hidden="false" localSheetId="3" name="start_year_policies_transport" vbProcedure="false">NZP_CCS_SE!$D$122</definedName>
    <definedName function="false" hidden="false" localSheetId="3" name="start_year_policy_phase_out_oil_for_electricity" vbProcedure="false">NZP_CCS_SE!$C$104</definedName>
    <definedName function="false" hidden="false" localSheetId="3" name="start_year_policy_phase_out_oil_for_heat" vbProcedure="false">NZP_CCS_SE!$C$105</definedName>
    <definedName function="false" hidden="false" localSheetId="3" name="start_year_P_common_rr_minerals_alt_techn" vbProcedure="false">NZP_CCS_SE!$C$265</definedName>
    <definedName function="false" hidden="false" localSheetId="3" name="start_year_P_common_rr_minerals_Rest" vbProcedure="false">NZP_CCS_SE!$C$267</definedName>
    <definedName function="false" hidden="false" localSheetId="3" name="start_year_p_growth_RES_elec" vbProcedure="false">NZP_CCS_SE!$C$15</definedName>
    <definedName function="false" hidden="false" localSheetId="3" name="start_year_p_growth_RES_heat" vbProcedure="false">NZP_CCS_SE!$C$48</definedName>
    <definedName function="false" hidden="false" localSheetId="3" name="start_year_P_rr_minerals" vbProcedure="false">NZP_CCS_SE!$B$243</definedName>
    <definedName function="false" hidden="false" localSheetId="3" name="start_year_P_urban_land_density" vbProcedure="false">NZP_CCS_SE!$C$387</definedName>
    <definedName function="false" hidden="false" localSheetId="3" name="start_year_variation_primary_forest" vbProcedure="false">NZP_CCS_SE!$C$385</definedName>
    <definedName function="false" hidden="false" localSheetId="3" name="target_year_asymptote_gdp" vbProcedure="false">nzp!#ref!</definedName>
    <definedName function="false" hidden="false" localSheetId="3" name="target_year_asymptote_pop" vbProcedure="false">nzp!#ref!</definedName>
    <definedName function="false" hidden="false" localSheetId="3" name="target_year_policy_gas_electricity" vbProcedure="false">NZP_CCS_SE!$C$110</definedName>
    <definedName function="false" hidden="false" localSheetId="3" name="target_year_policy_phase_out_oil_electricity" vbProcedure="false">NZP_CCS_SE!$C$106</definedName>
    <definedName function="false" hidden="false" localSheetId="3" name="target_year_policy_phase_out_oil_heat" vbProcedure="false">NZP_CCS_SE!$C$107</definedName>
    <definedName function="false" hidden="false" localSheetId="3" name="target_year_process_emissions" vbProcedure="false">NZP_CCS_SE!$C$344</definedName>
    <definedName function="false" hidden="false" localSheetId="3" name="target_year_p_growth_RES_elec" vbProcedure="false">nzp!#ref!</definedName>
    <definedName function="false" hidden="false" localSheetId="3" name="target_year_p_growth_RES_heat" vbProcedure="false">NZP_CCS_SE!$C$49</definedName>
    <definedName function="false" hidden="false" localSheetId="3" name="target_year_P_rr_minerals" vbProcedure="false">NZP_CCS_SE!$B$242</definedName>
    <definedName function="false" hidden="false" localSheetId="3" name="target_year_P_urban_land_density" vbProcedure="false">NZP_CCS_SE!$C$388</definedName>
    <definedName function="false" hidden="false" localSheetId="3" name="targ_year_cell_efficiency_PV" vbProcedure="false">NZP_CCS_SE!$C$394</definedName>
    <definedName function="false" hidden="false" localSheetId="3" name="tfin_policy_hh_veh" vbProcedure="false">nzp!#ref!</definedName>
    <definedName function="false" hidden="false" localSheetId="3" name="tfin_policy_inland_transp_veh" vbProcedure="false">nzp!#ref!</definedName>
    <definedName function="false" hidden="false" localSheetId="3" name="time_afforestation" vbProcedure="false">NZP_CCS_SE!$C$352:$X$352</definedName>
    <definedName function="false" hidden="false" localSheetId="3" name="tini_policy_hh_veh" vbProcedure="false">nzp!#ref!</definedName>
    <definedName function="false" hidden="false" localSheetId="3" name="tini_policy_inland_transp_veh" vbProcedure="false">nzp!#ref!</definedName>
    <definedName function="false" hidden="false" localSheetId="3" name="tkm_share" vbProcedure="false">NZP_CCS_SE!$D$123:$J$125</definedName>
    <definedName function="false" hidden="false" localSheetId="3" name="unlimited_coal" vbProcedure="false">nzp!#ref!</definedName>
    <definedName function="false" hidden="false" localSheetId="3" name="unlimited_gas" vbProcedure="false">nzp!#ref!</definedName>
    <definedName function="false" hidden="false" localSheetId="3" name="unlimited_NRE" vbProcedure="false">nzp!#ref!</definedName>
    <definedName function="false" hidden="false" localSheetId="3" name="unlimited_oil" vbProcedure="false">nzp!#ref!</definedName>
    <definedName function="false" hidden="false" localSheetId="3" name="unlimited_uranium" vbProcedure="false">nzp!#ref!</definedName>
    <definedName function="false" hidden="false" localSheetId="3" name="urban_land_density" vbProcedure="false">NZP_CCS_SE!$C$386</definedName>
    <definedName function="false" hidden="false" localSheetId="3" name="variation_primary_forest" vbProcedure="false">NZP_CCS_SE!$C$384</definedName>
    <definedName function="false" hidden="false" localSheetId="3" name="years_co2_luc" vbProcedure="false">NZP_CCS_SE!$C$348:$I$348</definedName>
    <definedName function="false" hidden="false" localSheetId="3" name="years_pop_growth" vbProcedure="false">NZP_CCS_SE!$C$4:$AL$4</definedName>
    <definedName function="false" hidden="false" localSheetId="3" name="year_change_pct_energy_intensity_target" vbProcedure="false">NZP_CCS_SE!$C$222</definedName>
    <definedName function="false" hidden="false" localSheetId="3" name="year_customized_gdp_evol" vbProcedure="false">nzp!#ref!</definedName>
    <definedName function="false" hidden="false" localSheetId="3" name="year_customized_pop_evol" vbProcedure="false">nzp!#ref!</definedName>
    <definedName function="false" hidden="false" localSheetId="3" name="year_gdp_timeseries" vbProcedure="false">NZP_CCS_SE!$C$9:$AL$9</definedName>
    <definedName function="false" hidden="false" localSheetId="3" name="year_net_energy_flux" vbProcedure="false">NZP_CCS_SE!$B$365:$H$365</definedName>
    <definedName function="false" hidden="false" localSheetId="3" name="year_policy_change_energy" vbProcedure="false">NZP_CCS_SE!$C$191:$AD$195</definedName>
    <definedName function="false" hidden="false" localSheetId="3" name="Year_policy_share_res_heat" vbProcedure="false">NZP_CCS_SE!$C$54</definedName>
    <definedName function="false" hidden="false" localSheetId="3" name="year_policy_to_improve_efficiency" vbProcedure="false">NZP_CCS_SE!$C$179:$AD$183</definedName>
    <definedName function="false" hidden="false" localSheetId="3" name="year_pop_timeseries" vbProcedure="false">NZP_CCS_SE!$C$4:$AL$4</definedName>
    <definedName function="false" hidden="false" localSheetId="3" name="year_ref_RURR" vbProcedure="false">NZP_CCS_SE!$C$84</definedName>
    <definedName function="false" hidden="false" localSheetId="3" name="year_RES_power" vbProcedure="false">NZP_CCS_SE!$C$15:$I$15</definedName>
    <definedName function="false" hidden="false" localSheetId="3" name="year_RURR_coal" vbProcedure="false">NZP_CCS_SE!$C$84</definedName>
    <definedName function="false" hidden="false" localSheetId="3" name="year_synthetic" vbProcedure="false">NZP_CCS_SE!$C$61:$I$61</definedName>
    <definedName function="false" hidden="false" localSheetId="3" name="year_to_finish_energy_intensity_policies" vbProcedure="false">NZP_CCS_SE!$C$203:$AD$207</definedName>
    <definedName function="false" hidden="false" localSheetId="3" name="year_transport_fuel_share_pkm" vbProcedure="false">NZP_CCS_SE!$C$148:$I$148</definedName>
    <definedName function="false" hidden="false" localSheetId="3" name="year_transport_fuel_share_tkm" vbProcedure="false">NZP_CCS_SE!$C$134:$I$134</definedName>
    <definedName function="false" hidden="false" localSheetId="3" name="Year_transport_share" vbProcedure="false">NZP_CCS_SE!$D$122:$J$122</definedName>
    <definedName function="false" hidden="false" localSheetId="4" name="activate_afforestation_program" vbProcedure="false">NZP!$B$279</definedName>
    <definedName function="false" hidden="false" localSheetId="4" name="activate_ELF" vbProcedure="false">NZP!$C$271</definedName>
    <definedName function="false" hidden="false" localSheetId="4" name="activate_policy_leaving_underground" vbProcedure="false">NZP!$C$83</definedName>
    <definedName function="false" hidden="false" localSheetId="4" name="afforestation" vbProcedure="false">NZP!$C$353:$X$353</definedName>
    <definedName function="false" hidden="false" localSheetId="4" name="average_solar_I" vbProcedure="false">NZP!$C$391</definedName>
    <definedName function="false" hidden="false" localSheetId="4" name="cell_efficiency_target_year" vbProcedure="false">NZP!$C$392</definedName>
    <definedName function="false" hidden="false" localSheetId="4" name="choose_energy_intensity_target_method" vbProcedure="false">NZP!$C$210</definedName>
    <definedName function="false" hidden="false" localSheetId="4" name="choose_targets_mineral_recycling_rates" vbProcedure="false">NZP!$D$240</definedName>
    <definedName function="false" hidden="false" localSheetId="4" name="co2_luc" vbProcedure="false">NZP!$C$349:$I$349</definedName>
    <definedName function="false" hidden="false" localSheetId="4" name="coal_net_flux_timeseries" vbProcedure="false">NZP!$B$371:$H$371</definedName>
    <definedName function="false" hidden="false" localSheetId="4" name="crash_programme_CTL" vbProcedure="false">NZP!$D$78</definedName>
    <definedName function="false" hidden="false" localSheetId="4" name="crash_programme_GTL" vbProcedure="false">NZP!$D$80</definedName>
    <definedName function="false" hidden="false" localSheetId="4" name="efficiency_rate_of_substitution_electricity" vbProcedure="false">NZP!$C$404:$Q$408</definedName>
    <definedName function="false" hidden="false" localSheetId="4" name="efficiency_rate_of_substitution_gases" vbProcedure="false">NZP!$C$419:$Q$423</definedName>
    <definedName function="false" hidden="false" localSheetId="4" name="efficiency_rate_of_substitution_heat" vbProcedure="false">NZP!$C$409:$Q$413</definedName>
    <definedName function="false" hidden="false" localSheetId="4" name="efficiency_rate_of_substitution_liquids" vbProcedure="false">NZP!$C$414:$Q$418</definedName>
    <definedName function="false" hidden="false" localSheetId="4" name="efficiency_rate_of_substitution_solids" vbProcedure="false">NZP!$C$424:$Q$428</definedName>
    <definedName function="false" hidden="false" localSheetId="4" name="energy_intensity_target" vbProcedure="false">NZP!$C$216:$AD$220</definedName>
    <definedName function="false" hidden="false" localSheetId="4" name="energy_scarcity_forgetting_time" vbProcedure="false">NZP!$C$230</definedName>
    <definedName function="false" hidden="false" localSheetId="4" name="energy_scarcity_forgetting_time_H" vbProcedure="false">NZP!$C$234</definedName>
    <definedName function="false" hidden="false" localSheetId="4" name="EROI_feedback_flag" vbProcedure="false">nzp!#ref!</definedName>
    <definedName function="false" hidden="false" localSheetId="4" name="final_year_energy_intensity_target" vbProcedure="false">NZP!$C$213</definedName>
    <definedName function="false" hidden="false" localSheetId="4" name="forest_overexplotation" vbProcedure="false">NZP!$C$382</definedName>
    <definedName function="false" hidden="false" localSheetId="4" name="fuel_share_air_pkm" vbProcedure="false">NZP!$C$157:$I$160</definedName>
    <definedName function="false" hidden="false" localSheetId="4" name="fuel_share_air_tkm" vbProcedure="false">NZP!$C$143:$I$146</definedName>
    <definedName function="false" hidden="false" localSheetId="4" name="fuel_share_households_pkm" vbProcedure="false">NZP!$C$161:$I$164</definedName>
    <definedName function="false" hidden="false" localSheetId="4" name="fuel_share_inland_pkm" vbProcedure="false">NZP!$C$149:$I$152</definedName>
    <definedName function="false" hidden="false" localSheetId="4" name="fuel_share_inland_tkm" vbProcedure="false">NZP!$C$135:$I$138</definedName>
    <definedName function="false" hidden="false" localSheetId="4" name="fuel_share_maritime_pkm" vbProcedure="false">NZP!$C$153:$I$156</definedName>
    <definedName function="false" hidden="false" localSheetId="4" name="fuel_share_maritime_tkm" vbProcedure="false">NZP!$C$139:$I$142</definedName>
    <definedName function="false" hidden="false" localSheetId="4" name="gas_net_flux_timeseries" vbProcedure="false">NZP!$B$369:$H$369</definedName>
    <definedName function="false" hidden="false" localSheetId="4" name="GWP_time_frame" vbProcedure="false">nzp!#ref!</definedName>
    <definedName function="false" hidden="false" localSheetId="4" name="limit_coal_imports_from_RoW" vbProcedure="false">nzp!#ref!</definedName>
    <definedName function="false" hidden="false" localSheetId="4" name="limit_nat_gas_imports_from_RoW" vbProcedure="false">nzp!#ref!</definedName>
    <definedName function="false" hidden="false" localSheetId="4" name="limit_oil_imports_from_RoW" vbProcedure="false">nzp!#ref!</definedName>
    <definedName function="false" hidden="false" localSheetId="4" name="max_NPP_pot_bioe_residues" vbProcedure="false">nzp!#ref!</definedName>
    <definedName function="false" hidden="false" localSheetId="4" name="max_PE_biogas" vbProcedure="false">nzp!#ref!</definedName>
    <definedName function="false" hidden="false" localSheetId="4" name="max_share_imports_coal" vbProcedure="false">nzp!#ref!</definedName>
    <definedName function="false" hidden="false" localSheetId="4" name="max_share_imports_nat_gas" vbProcedure="false">nzp!#ref!</definedName>
    <definedName function="false" hidden="false" localSheetId="4" name="max_share_imports_oil" vbProcedure="false">nzp!#ref!</definedName>
    <definedName function="false" hidden="false" localSheetId="4" name="minimum_forest" vbProcedure="false">NZP!$C$383</definedName>
    <definedName function="false" hidden="false" localSheetId="4" name="min_FEI_vs_initial" vbProcedure="false">NZP!$C$176</definedName>
    <definedName function="false" hidden="false" localSheetId="4" name="oil_net_flux_timeseries" vbProcedure="false">NZP!$B$367:$H$367</definedName>
    <definedName function="false" hidden="false" localSheetId="4" name="pct_change_energy_intensity_target" vbProcedure="false">NZP!$C$223</definedName>
    <definedName function="false" hidden="false" localSheetId="4" name="percent_2w_tfin_over_hh_veh" vbProcedure="false">nzp!#ref!</definedName>
    <definedName function="false" hidden="false" localSheetId="4" name="percent_electric_2w_tfin" vbProcedure="false">nzp!#ref!</definedName>
    <definedName function="false" hidden="false" localSheetId="4" name="percent_electric_light_cargo_veh_tfin" vbProcedure="false">nzp!#ref!</definedName>
    <definedName function="false" hidden="false" localSheetId="4" name="percent_electric_train_tfin" vbProcedure="false">nzp!#ref!</definedName>
    <definedName function="false" hidden="false" localSheetId="4" name="percent_electr_bus_tfin" vbProcedure="false">nzp!#ref!</definedName>
    <definedName function="false" hidden="false" localSheetId="4" name="percent_electr_hh_4w_tfin" vbProcedure="false">nzp!#ref!</definedName>
    <definedName function="false" hidden="false" localSheetId="4" name="percent_gas_heavy_veh_tfin" vbProcedure="false">nzp!#ref!</definedName>
    <definedName function="false" hidden="false" localSheetId="4" name="percent_gas_hh_veh_4w_tfin" vbProcedure="false">nzp!#ref!</definedName>
    <definedName function="false" hidden="false" localSheetId="4" name="percent_hybrid_bus_tfin" vbProcedure="false">nzp!#ref!</definedName>
    <definedName function="false" hidden="false" localSheetId="4" name="percent_hybrid_heavy_veh_tfin" vbProcedure="false">nzp!#ref!</definedName>
    <definedName function="false" hidden="false" localSheetId="4" name="percent_hybrid_hh_4w_veh_tfin" vbProcedure="false">nzp!#ref!</definedName>
    <definedName function="false" hidden="false" localSheetId="4" name="percent_hybrid_light_cargo_veh_tfin" vbProcedure="false">nzp!#ref!</definedName>
    <definedName function="false" hidden="false" localSheetId="4" name="percent_natgas_bus_tfin" vbProcedure="false">nzp!#ref!</definedName>
    <definedName function="false" hidden="false" localSheetId="4" name="percent_natgas_light_cargo_veh_tfin" vbProcedure="false">nzp!#ref!</definedName>
    <definedName function="false" hidden="false" localSheetId="4" name="phase_out_oil_electr" vbProcedure="false">NZP!$C$102</definedName>
    <definedName function="false" hidden="false" localSheetId="4" name="phase_out_oil_heat" vbProcedure="false">NZP!$C$103</definedName>
    <definedName function="false" hidden="false" localSheetId="4" name="pkm_share" vbProcedure="false">NZP!$D$126:$J$129</definedName>
    <definedName function="false" hidden="false" localSheetId="4" name="policy_change_energy_speed" vbProcedure="false">NZP!$C$197:$AD$201</definedName>
    <definedName function="false" hidden="false" localSheetId="4" name="policy_improvement_process_emissions_efficiency" vbProcedure="false">NZP!$C$345</definedName>
    <definedName function="false" hidden="false" localSheetId="4" name="policy_to_improve_efficiency_speed" vbProcedure="false">NZP!$C$185:$AD$189</definedName>
    <definedName function="false" hidden="false" localSheetId="4" name="pop_growth_timeseries" vbProcedure="false">NZP!$C$5:$AL$5</definedName>
    <definedName function="false" hidden="false" localSheetId="4" name="pot_marg_land_biofuels" vbProcedure="false">nzp!#ref!</definedName>
    <definedName function="false" hidden="false" localSheetId="4" name="p_bioe_power" vbProcedure="false">NZP!$C$18:$I$18</definedName>
    <definedName function="false" hidden="false" localSheetId="4" name="p_bioe_residues_growth" vbProcedure="false">NZP!$C$38</definedName>
    <definedName function="false" hidden="false" localSheetId="4" name="p_biofuels_2gen_land_compet" vbProcedure="false">NZP!$C$32</definedName>
    <definedName function="false" hidden="false" localSheetId="4" name="p_biofuels_3gen_land_compet" vbProcedure="false">NZP!$C$34</definedName>
    <definedName function="false" hidden="false" localSheetId="4" name="p_biofuels_marg_land_growth" vbProcedure="false">NZP!$C$40</definedName>
    <definedName function="false" hidden="false" localSheetId="4" name="p_biogas_growth" vbProcedure="false">NZP!$C$42</definedName>
    <definedName function="false" hidden="false" localSheetId="4" name="p_capital_share" vbProcedure="false">NZP!$F$8</definedName>
    <definedName function="false" hidden="false" localSheetId="4" name="p_CCS" vbProcedure="false">NZP!$C$283:$I$310</definedName>
    <definedName function="false" hidden="false" localSheetId="4" name="p_change_over_hist_max_variation_FEI" vbProcedure="false">NZP!$C$177</definedName>
    <definedName function="false" hidden="false" localSheetId="4" name="P_common_rr_minerals_variation_alt_techn" vbProcedure="false">NZP!$C$264</definedName>
    <definedName function="false" hidden="false" localSheetId="4" name="P_common_rr_minerals_variation_Rest" vbProcedure="false">NZP!$C$266</definedName>
    <definedName function="false" hidden="false" localSheetId="4" name="p_constraint_growth_unconv_gas" vbProcedure="false">NZP!$C$75</definedName>
    <definedName function="false" hidden="false" localSheetId="4" name="p_constraint_growth_unconv_oil" vbProcedure="false">NZP!$C$71</definedName>
    <definedName function="false" hidden="false" localSheetId="4" name="p_CSP_power" vbProcedure="false">NZP!$C$23:$I$23</definedName>
    <definedName function="false" hidden="false" localSheetId="4" name="p_CTL_growth" vbProcedure="false">NZP!$C$78</definedName>
    <definedName function="false" hidden="false" localSheetId="4" name="p_DAC" vbProcedure="false">NZP!$C$341:$I$341</definedName>
    <definedName function="false" hidden="false" localSheetId="4" name="p_ETS" vbProcedure="false">NZP!$C$62:$I$65</definedName>
    <definedName function="false" hidden="false" localSheetId="4" name="p_geot_heat_growth" vbProcedure="false">NZP!$C$51</definedName>
    <definedName function="false" hidden="false" localSheetId="4" name="p_geot_power" vbProcedure="false">NZP!$C$17:$I$17</definedName>
    <definedName function="false" hidden="false" localSheetId="4" name="p_GTL_growth" vbProcedure="false">NZP!$C$80</definedName>
    <definedName function="false" hidden="false" localSheetId="4" name="p_hydro_power" vbProcedure="false">NZP!$C$16:$I$16</definedName>
    <definedName function="false" hidden="false" localSheetId="4" name="p_labour_share" vbProcedure="false">NZP!$C$8</definedName>
    <definedName function="false" hidden="false" localSheetId="4" name="p_nuclear_scen3_4_variation" vbProcedure="false">NZP!$E$114</definedName>
    <definedName function="false" hidden="false" localSheetId="4" name="p_oceanic_power" vbProcedure="false">NZP!$C$19:$I$19</definedName>
    <definedName function="false" hidden="false" localSheetId="4" name="p_offshore_wind_power" vbProcedure="false">NZP!$C$21:$I$21</definedName>
    <definedName function="false" hidden="false" localSheetId="4" name="p_onshore_wind_power" vbProcedure="false">NZP!$C$20:$I$20</definedName>
    <definedName function="false" hidden="false" localSheetId="4" name="p_PHS_power" vbProcedure="false">NZP!$C$24:$I$24</definedName>
    <definedName function="false" hidden="false" localSheetId="4" name="p_pop_asymptote" vbProcedure="false">nzp!#ref!</definedName>
    <definedName function="false" hidden="false" localSheetId="4" name="p_PV_power" vbProcedure="false">NZP!$C$22:$I$22</definedName>
    <definedName function="false" hidden="false" localSheetId="4" name="p_RES_power" vbProcedure="false">NZP!$C$16:$I$23</definedName>
    <definedName function="false" hidden="false" localSheetId="4" name="P_rr_minerals_alt_techn" vbProcedure="false">NZP!$D$244:$D$262</definedName>
    <definedName function="false" hidden="false" localSheetId="4" name="P_rr_minerals_Rest" vbProcedure="false">NZP!$E$244:$E$262</definedName>
    <definedName function="false" hidden="false" localSheetId="4" name="p_share_FEH_vs_FED" vbProcedure="false">NZP!$C$55:$C$57</definedName>
    <definedName function="false" hidden="false" localSheetId="4" name="p_share_FEH_vs_FED_bioE" vbProcedure="false">NZP!$C$58</definedName>
    <definedName function="false" hidden="false" localSheetId="4" name="p_share_gas_elec" vbProcedure="false">NZP!$C$111</definedName>
    <definedName function="false" hidden="false" localSheetId="4" name="p_solar_heat" vbProcedure="false">NZP!$C$50</definedName>
    <definedName function="false" hidden="false" localSheetId="4" name="p_solid_bioe_heat" vbProcedure="false">NZP!$C$52</definedName>
    <definedName function="false" hidden="false" localSheetId="4" name="p_timeseries_gdp_growth" vbProcedure="false">NZP!$C$10:$AL$10</definedName>
    <definedName function="false" hidden="false" localSheetId="4" name="p_timeseries_pop_growth" vbProcedure="false">NZP!$C$4:$AM$4</definedName>
    <definedName function="false" hidden="false" localSheetId="4" name="p_waste_growth" vbProcedure="false">NZP!$C$45</definedName>
    <definedName function="false" hidden="false" localSheetId="4" name="RCP_GHG_emissions_select" vbProcedure="false">NZP!$C$273</definedName>
    <definedName function="false" hidden="false" localSheetId="4" name="scarcity_feedback_final_fuel_replacement_flag" vbProcedure="false">NZP!$C$226</definedName>
    <definedName function="false" hidden="false" localSheetId="4" name="sectoral_FEI_evolution_method" vbProcedure="false">NZP!$C$171</definedName>
    <definedName function="false" hidden="false" localSheetId="4" name="select_gdp_evolution" vbProcedure="false">nzp!#ref!</definedName>
    <definedName function="false" hidden="false" localSheetId="4" name="select_nuclear_scen" vbProcedure="false">NZP!$B$114</definedName>
    <definedName function="false" hidden="false" localSheetId="4" name="select_pop_evolution" vbProcedure="false">nzp!#ref!</definedName>
    <definedName function="false" hidden="false" localSheetId="4" name="sensitivity_to_scarcity_option" vbProcedure="false">NZP!$C$227</definedName>
    <definedName function="false" hidden="false" localSheetId="4" name="sensitivity_to_scarcity_option_H" vbProcedure="false">NZP!$C$231</definedName>
    <definedName function="false" hidden="false" localSheetId="4" name="separate_conv_and_unconv_gas" vbProcedure="false">NZP!$C$74</definedName>
    <definedName function="false" hidden="false" localSheetId="4" name="separate_conv_and_unconv_oil" vbProcedure="false">NZP!$C$70</definedName>
    <definedName function="false" hidden="false" localSheetId="4" name="share_available_roof" vbProcedure="false">NZP!$C$398</definedName>
    <definedName function="false" hidden="false" localSheetId="4" name="share_available_roof_for_rooftop_PV" vbProcedure="false">NZP!$C$399</definedName>
    <definedName function="false" hidden="false" localSheetId="4" name="share_ccs_energy" vbProcedure="false">NZP!$C$312:$I$339</definedName>
    <definedName function="false" hidden="false" localSheetId="4" name="share_cellulosic_biof_vs_bioe_res" vbProcedure="false">NZP!$C$37</definedName>
    <definedName function="false" hidden="false" localSheetId="4" name="share_curtailment" vbProcedure="false">NZP!$C$25:$I$25</definedName>
    <definedName function="false" hidden="false" localSheetId="4" name="share_exports_electricity" vbProcedure="false">NZP!$C$376:$I$376</definedName>
    <definedName function="false" hidden="false" localSheetId="4" name="share_PV_urban_tot_PV" vbProcedure="false">NZP!$C$401</definedName>
    <definedName function="false" hidden="false" localSheetId="4" name="share_roof_solar_thermal" vbProcedure="false">NZP!$C$400</definedName>
    <definedName function="false" hidden="false" localSheetId="4" name="share_RURR_agg_gas_underground" vbProcedure="false">NZP!$C$98</definedName>
    <definedName function="false" hidden="false" localSheetId="4" name="share_RURR_agg_oil_underground" vbProcedure="false">NZP!$C$96</definedName>
    <definedName function="false" hidden="false" localSheetId="4" name="share_RURR_coal_underground" vbProcedure="false">NZP!$C$94</definedName>
    <definedName function="false" hidden="false" localSheetId="4" name="share_RURR_conv_gas_underground" vbProcedure="false">NZP!$C$90</definedName>
    <definedName function="false" hidden="false" localSheetId="4" name="share_RURR_conv_oil_underground" vbProcedure="false">NZP!$C$86</definedName>
    <definedName function="false" hidden="false" localSheetId="4" name="share_RURR_unconv_gas_underground" vbProcedure="false">NZP!$C$92</definedName>
    <definedName function="false" hidden="false" localSheetId="4" name="share_RURR_unconv_oil_underground" vbProcedure="false">NZP!$C$88</definedName>
    <definedName function="false" hidden="false" localSheetId="4" name="share_target_year_oil_for_elec" vbProcedure="false">NZP!$C$108</definedName>
    <definedName function="false" hidden="false" localSheetId="4" name="share_target_year_oil_for_heat" vbProcedure="false">NZP!$C$109</definedName>
    <definedName function="false" hidden="false" localSheetId="4" name="share_trans_loss" vbProcedure="false">NZP!$C$26:$I$26</definedName>
    <definedName function="false" hidden="false" localSheetId="4" name="start_policy_year_agg_gas_underground" vbProcedure="false">NZP!$C$97</definedName>
    <definedName function="false" hidden="false" localSheetId="4" name="start_policy_year_agg_oil_underground" vbProcedure="false">NZP!$C$95</definedName>
    <definedName function="false" hidden="false" localSheetId="4" name="start_policy_year_coal_underground" vbProcedure="false">NZP!$C$93</definedName>
    <definedName function="false" hidden="false" localSheetId="4" name="start_policy_year_conv_gas_underground" vbProcedure="false">NZP!$C$89</definedName>
    <definedName function="false" hidden="false" localSheetId="4" name="start_policy_year_conv_oil_underground" vbProcedure="false">NZP!$C$85</definedName>
    <definedName function="false" hidden="false" localSheetId="4" name="start_policy_year_unconv_gas_underground" vbProcedure="false">NZP!$C$91</definedName>
    <definedName function="false" hidden="false" localSheetId="4" name="start_policy_year_unconv_oil_underground" vbProcedure="false">NZP!$C$87</definedName>
    <definedName function="false" hidden="false" localSheetId="4" name="start_policy_year_unconv_opil_underground" vbProcedure="false">NZP!$C$87</definedName>
    <definedName function="false" hidden="false" localSheetId="4" name="start_year_3gen_cell_biofuels" vbProcedure="false">NZP!$C$33</definedName>
    <definedName function="false" hidden="false" localSheetId="4" name="start_year_bioe_residues_non_biofuels" vbProcedure="false">NZP!$C$36</definedName>
    <definedName function="false" hidden="false" localSheetId="4" name="start_year_biofuels_land_marg" vbProcedure="false">NZP!$C$39</definedName>
    <definedName function="false" hidden="false" localSheetId="4" name="start_year_cell_efficency_PV" vbProcedure="false">NZP!$C$393</definedName>
    <definedName function="false" hidden="false" localSheetId="4" name="start_year_modification_EI" vbProcedure="false">NZP!$C$212</definedName>
    <definedName function="false" hidden="false" localSheetId="4" name="start_year_nuclear_variation_scen3_4" vbProcedure="false">NZP!$E$115</definedName>
    <definedName function="false" hidden="false" localSheetId="4" name="start_year_policies_transport" vbProcedure="false">NZP!$D$122</definedName>
    <definedName function="false" hidden="false" localSheetId="4" name="start_year_policy_phase_out_oil_for_electricity" vbProcedure="false">NZP!$C$104</definedName>
    <definedName function="false" hidden="false" localSheetId="4" name="start_year_policy_phase_out_oil_for_heat" vbProcedure="false">NZP!$C$105</definedName>
    <definedName function="false" hidden="false" localSheetId="4" name="start_year_P_common_rr_minerals_alt_techn" vbProcedure="false">NZP!$C$265</definedName>
    <definedName function="false" hidden="false" localSheetId="4" name="start_year_P_common_rr_minerals_Rest" vbProcedure="false">NZP!$C$267</definedName>
    <definedName function="false" hidden="false" localSheetId="4" name="start_year_p_growth_RES_elec" vbProcedure="false">NZP!$C$15</definedName>
    <definedName function="false" hidden="false" localSheetId="4" name="start_year_p_growth_RES_heat" vbProcedure="false">NZP!$C$48</definedName>
    <definedName function="false" hidden="false" localSheetId="4" name="start_year_P_rr_minerals" vbProcedure="false">NZP!$B$243</definedName>
    <definedName function="false" hidden="false" localSheetId="4" name="start_year_P_urban_land_density" vbProcedure="false">NZP!$C$387</definedName>
    <definedName function="false" hidden="false" localSheetId="4" name="start_year_variation_primary_forest" vbProcedure="false">NZP!$C$385</definedName>
    <definedName function="false" hidden="false" localSheetId="4" name="target_year_asymptote_gdp" vbProcedure="false">nzp!#ref!</definedName>
    <definedName function="false" hidden="false" localSheetId="4" name="target_year_asymptote_pop" vbProcedure="false">nzp!#ref!</definedName>
    <definedName function="false" hidden="false" localSheetId="4" name="target_year_policy_gas_electricity" vbProcedure="false">NZP!$C$110</definedName>
    <definedName function="false" hidden="false" localSheetId="4" name="target_year_policy_phase_out_oil_electricity" vbProcedure="false">NZP!$C$106</definedName>
    <definedName function="false" hidden="false" localSheetId="4" name="target_year_policy_phase_out_oil_heat" vbProcedure="false">NZP!$C$107</definedName>
    <definedName function="false" hidden="false" localSheetId="4" name="target_year_process_emissions" vbProcedure="false">NZP!$C$344</definedName>
    <definedName function="false" hidden="false" localSheetId="4" name="target_year_p_growth_RES_elec" vbProcedure="false">nzp!#ref!</definedName>
    <definedName function="false" hidden="false" localSheetId="4" name="target_year_p_growth_RES_heat" vbProcedure="false">NZP!$C$49</definedName>
    <definedName function="false" hidden="false" localSheetId="4" name="target_year_P_rr_minerals" vbProcedure="false">NZP!$B$242</definedName>
    <definedName function="false" hidden="false" localSheetId="4" name="target_year_P_urban_land_density" vbProcedure="false">NZP!$C$388</definedName>
    <definedName function="false" hidden="false" localSheetId="4" name="targ_year_cell_efficiency_PV" vbProcedure="false">NZP!$C$394</definedName>
    <definedName function="false" hidden="false" localSheetId="4" name="tfin_policy_hh_veh" vbProcedure="false">nzp!#ref!</definedName>
    <definedName function="false" hidden="false" localSheetId="4" name="tfin_policy_inland_transp_veh" vbProcedure="false">nzp!#ref!</definedName>
    <definedName function="false" hidden="false" localSheetId="4" name="time_afforestation" vbProcedure="false">NZP!$C$352:$X$352</definedName>
    <definedName function="false" hidden="false" localSheetId="4" name="tini_policy_hh_veh" vbProcedure="false">nzp!#ref!</definedName>
    <definedName function="false" hidden="false" localSheetId="4" name="tini_policy_inland_transp_veh" vbProcedure="false">nzp!#ref!</definedName>
    <definedName function="false" hidden="false" localSheetId="4" name="tkm_share" vbProcedure="false">NZP!$D$123:$J$125</definedName>
    <definedName function="false" hidden="false" localSheetId="4" name="unlimited_coal" vbProcedure="false">nzp!#ref!</definedName>
    <definedName function="false" hidden="false" localSheetId="4" name="unlimited_gas" vbProcedure="false">nzp!#ref!</definedName>
    <definedName function="false" hidden="false" localSheetId="4" name="unlimited_NRE" vbProcedure="false">nzp!#ref!</definedName>
    <definedName function="false" hidden="false" localSheetId="4" name="unlimited_oil" vbProcedure="false">nzp!#ref!</definedName>
    <definedName function="false" hidden="false" localSheetId="4" name="unlimited_uranium" vbProcedure="false">nzp!#ref!</definedName>
    <definedName function="false" hidden="false" localSheetId="4" name="urban_land_density" vbProcedure="false">NZP!$C$386</definedName>
    <definedName function="false" hidden="false" localSheetId="4" name="variation_primary_forest" vbProcedure="false">NZP!$C$384</definedName>
    <definedName function="false" hidden="false" localSheetId="4" name="years_co2_luc" vbProcedure="false">NZP!$C$348:$I$348</definedName>
    <definedName function="false" hidden="false" localSheetId="4" name="years_pop_growth" vbProcedure="false">NZP!$C$4:$AL$4</definedName>
    <definedName function="false" hidden="false" localSheetId="4" name="year_change_pct_energy_intensity_target" vbProcedure="false">NZP!$C$222</definedName>
    <definedName function="false" hidden="false" localSheetId="4" name="year_customized_gdp_evol" vbProcedure="false">nzp!#ref!</definedName>
    <definedName function="false" hidden="false" localSheetId="4" name="year_customized_pop_evol" vbProcedure="false">nzp!#ref!</definedName>
    <definedName function="false" hidden="false" localSheetId="4" name="year_gdp_timeseries" vbProcedure="false">NZP!$C$9:$AL$9</definedName>
    <definedName function="false" hidden="false" localSheetId="4" name="year_net_energy_flux" vbProcedure="false">NZP!$B$365:$H$365</definedName>
    <definedName function="false" hidden="false" localSheetId="4" name="year_policy_change_energy" vbProcedure="false">NZP!$C$191:$AD$195</definedName>
    <definedName function="false" hidden="false" localSheetId="4" name="Year_policy_share_res_heat" vbProcedure="false">NZP!$C$54</definedName>
    <definedName function="false" hidden="false" localSheetId="4" name="year_policy_to_improve_efficiency" vbProcedure="false">NZP!$C$179:$AD$183</definedName>
    <definedName function="false" hidden="false" localSheetId="4" name="year_pop_timeseries" vbProcedure="false">NZP!$C$4:$AL$4</definedName>
    <definedName function="false" hidden="false" localSheetId="4" name="year_ref_RURR" vbProcedure="false">NZP!$C$84</definedName>
    <definedName function="false" hidden="false" localSheetId="4" name="year_RES_power" vbProcedure="false">NZP!$C$15:$I$15</definedName>
    <definedName function="false" hidden="false" localSheetId="4" name="year_RURR_coal" vbProcedure="false">NZP!$C$84</definedName>
    <definedName function="false" hidden="false" localSheetId="4" name="year_synthetic" vbProcedure="false">NZP!$C$61:$I$61</definedName>
    <definedName function="false" hidden="false" localSheetId="4" name="year_to_finish_energy_intensity_policies" vbProcedure="false">NZP!$C$203:$AD$207</definedName>
    <definedName function="false" hidden="false" localSheetId="4" name="year_transport_fuel_share_pkm" vbProcedure="false">NZP!$C$148:$I$148</definedName>
    <definedName function="false" hidden="false" localSheetId="4" name="year_transport_fuel_share_tkm" vbProcedure="false">NZP!$C$134:$I$134</definedName>
    <definedName function="false" hidden="false" localSheetId="4" name="Year_transport_share" vbProcedure="false">NZP!$D$122:$J$122</definedName>
    <definedName function="false" hidden="false" localSheetId="5" name="activate_afforestation_program" vbProcedure="false">NZP_SE!$B$279</definedName>
    <definedName function="false" hidden="false" localSheetId="5" name="activate_ELF" vbProcedure="false">NZP_SE!$C$271</definedName>
    <definedName function="false" hidden="false" localSheetId="5" name="activate_policy_leaving_underground" vbProcedure="false">NZP_SE!$C$83</definedName>
    <definedName function="false" hidden="false" localSheetId="5" name="afforestation" vbProcedure="false">NZP_SE!$C$353:$X$353</definedName>
    <definedName function="false" hidden="false" localSheetId="5" name="average_solar_I" vbProcedure="false">NZP_SE!$C$391</definedName>
    <definedName function="false" hidden="false" localSheetId="5" name="cell_efficiency_target_year" vbProcedure="false">NZP_SE!$C$392</definedName>
    <definedName function="false" hidden="false" localSheetId="5" name="choose_energy_intensity_target_method" vbProcedure="false">NZP_SE!$C$210</definedName>
    <definedName function="false" hidden="false" localSheetId="5" name="choose_targets_mineral_recycling_rates" vbProcedure="false">NZP_SE!$D$240</definedName>
    <definedName function="false" hidden="false" localSheetId="5" name="co2_luc" vbProcedure="false">NZP_SE!$C$349:$I$349</definedName>
    <definedName function="false" hidden="false" localSheetId="5" name="coal_net_flux_timeseries" vbProcedure="false">NZP_SE!$B$371:$H$371</definedName>
    <definedName function="false" hidden="false" localSheetId="5" name="crash_programme_CTL" vbProcedure="false">NZP_SE!$D$78</definedName>
    <definedName function="false" hidden="false" localSheetId="5" name="crash_programme_GTL" vbProcedure="false">NZP_SE!$D$80</definedName>
    <definedName function="false" hidden="false" localSheetId="5" name="efficiency_rate_of_substitution_electricity" vbProcedure="false">NZP_SE!$C$404:$Q$408</definedName>
    <definedName function="false" hidden="false" localSheetId="5" name="efficiency_rate_of_substitution_gases" vbProcedure="false">NZP_SE!$C$419:$Q$423</definedName>
    <definedName function="false" hidden="false" localSheetId="5" name="efficiency_rate_of_substitution_heat" vbProcedure="false">NZP_SE!$C$409:$Q$413</definedName>
    <definedName function="false" hidden="false" localSheetId="5" name="efficiency_rate_of_substitution_liquids" vbProcedure="false">NZP_SE!$C$414:$Q$418</definedName>
    <definedName function="false" hidden="false" localSheetId="5" name="efficiency_rate_of_substitution_solids" vbProcedure="false">NZP_SE!$C$424:$Q$428</definedName>
    <definedName function="false" hidden="false" localSheetId="5" name="energy_intensity_target" vbProcedure="false">NZP_SE!$C$216:$AD$220</definedName>
    <definedName function="false" hidden="false" localSheetId="5" name="energy_scarcity_forgetting_time" vbProcedure="false">NZP_SE!$C$230</definedName>
    <definedName function="false" hidden="false" localSheetId="5" name="energy_scarcity_forgetting_time_H" vbProcedure="false">NZP_SE!$C$234</definedName>
    <definedName function="false" hidden="false" localSheetId="5" name="EROI_feedback_flag" vbProcedure="false">nzp!#ref!</definedName>
    <definedName function="false" hidden="false" localSheetId="5" name="final_year_energy_intensity_target" vbProcedure="false">NZP_SE!$C$213</definedName>
    <definedName function="false" hidden="false" localSheetId="5" name="forest_overexplotation" vbProcedure="false">NZP_SE!$C$382</definedName>
    <definedName function="false" hidden="false" localSheetId="5" name="fuel_share_air_pkm" vbProcedure="false">NZP_SE!$C$157:$I$160</definedName>
    <definedName function="false" hidden="false" localSheetId="5" name="fuel_share_air_tkm" vbProcedure="false">NZP_SE!$C$143:$I$146</definedName>
    <definedName function="false" hidden="false" localSheetId="5" name="fuel_share_households_pkm" vbProcedure="false">NZP_SE!$C$161:$I$164</definedName>
    <definedName function="false" hidden="false" localSheetId="5" name="fuel_share_inland_pkm" vbProcedure="false">NZP_SE!$C$149:$I$152</definedName>
    <definedName function="false" hidden="false" localSheetId="5" name="fuel_share_inland_tkm" vbProcedure="false">NZP_SE!$C$135:$I$138</definedName>
    <definedName function="false" hidden="false" localSheetId="5" name="fuel_share_maritime_pkm" vbProcedure="false">NZP_SE!$C$153:$I$156</definedName>
    <definedName function="false" hidden="false" localSheetId="5" name="fuel_share_maritime_tkm" vbProcedure="false">NZP_SE!$C$139:$I$142</definedName>
    <definedName function="false" hidden="false" localSheetId="5" name="gas_net_flux_timeseries" vbProcedure="false">NZP_SE!$B$369:$H$369</definedName>
    <definedName function="false" hidden="false" localSheetId="5" name="GWP_time_frame" vbProcedure="false">nzp!#ref!</definedName>
    <definedName function="false" hidden="false" localSheetId="5" name="limit_coal_imports_from_RoW" vbProcedure="false">nzp!#ref!</definedName>
    <definedName function="false" hidden="false" localSheetId="5" name="limit_nat_gas_imports_from_RoW" vbProcedure="false">nzp!#ref!</definedName>
    <definedName function="false" hidden="false" localSheetId="5" name="limit_oil_imports_from_RoW" vbProcedure="false">nzp!#ref!</definedName>
    <definedName function="false" hidden="false" localSheetId="5" name="max_NPP_pot_bioe_residues" vbProcedure="false">nzp!#ref!</definedName>
    <definedName function="false" hidden="false" localSheetId="5" name="max_PE_biogas" vbProcedure="false">nzp!#ref!</definedName>
    <definedName function="false" hidden="false" localSheetId="5" name="max_share_imports_coal" vbProcedure="false">nzp!#ref!</definedName>
    <definedName function="false" hidden="false" localSheetId="5" name="max_share_imports_nat_gas" vbProcedure="false">nzp!#ref!</definedName>
    <definedName function="false" hidden="false" localSheetId="5" name="max_share_imports_oil" vbProcedure="false">nzp!#ref!</definedName>
    <definedName function="false" hidden="false" localSheetId="5" name="minimum_forest" vbProcedure="false">NZP_SE!$C$383</definedName>
    <definedName function="false" hidden="false" localSheetId="5" name="min_FEI_vs_initial" vbProcedure="false">NZP_SE!$C$176</definedName>
    <definedName function="false" hidden="false" localSheetId="5" name="oil_net_flux_timeseries" vbProcedure="false">NZP_SE!$B$367:$H$367</definedName>
    <definedName function="false" hidden="false" localSheetId="5" name="pct_change_energy_intensity_target" vbProcedure="false">NZP_SE!$C$223</definedName>
    <definedName function="false" hidden="false" localSheetId="5" name="percent_2w_tfin_over_hh_veh" vbProcedure="false">nzp!#ref!</definedName>
    <definedName function="false" hidden="false" localSheetId="5" name="percent_electric_2w_tfin" vbProcedure="false">nzp!#ref!</definedName>
    <definedName function="false" hidden="false" localSheetId="5" name="percent_electric_light_cargo_veh_tfin" vbProcedure="false">nzp!#ref!</definedName>
    <definedName function="false" hidden="false" localSheetId="5" name="percent_electric_train_tfin" vbProcedure="false">nzp!#ref!</definedName>
    <definedName function="false" hidden="false" localSheetId="5" name="percent_electr_bus_tfin" vbProcedure="false">nzp!#ref!</definedName>
    <definedName function="false" hidden="false" localSheetId="5" name="percent_electr_hh_4w_tfin" vbProcedure="false">nzp!#ref!</definedName>
    <definedName function="false" hidden="false" localSheetId="5" name="percent_gas_heavy_veh_tfin" vbProcedure="false">nzp!#ref!</definedName>
    <definedName function="false" hidden="false" localSheetId="5" name="percent_gas_hh_veh_4w_tfin" vbProcedure="false">nzp!#ref!</definedName>
    <definedName function="false" hidden="false" localSheetId="5" name="percent_hybrid_bus_tfin" vbProcedure="false">nzp!#ref!</definedName>
    <definedName function="false" hidden="false" localSheetId="5" name="percent_hybrid_heavy_veh_tfin" vbProcedure="false">nzp!#ref!</definedName>
    <definedName function="false" hidden="false" localSheetId="5" name="percent_hybrid_hh_4w_veh_tfin" vbProcedure="false">nzp!#ref!</definedName>
    <definedName function="false" hidden="false" localSheetId="5" name="percent_hybrid_light_cargo_veh_tfin" vbProcedure="false">nzp!#ref!</definedName>
    <definedName function="false" hidden="false" localSheetId="5" name="percent_natgas_bus_tfin" vbProcedure="false">nzp!#ref!</definedName>
    <definedName function="false" hidden="false" localSheetId="5" name="percent_natgas_light_cargo_veh_tfin" vbProcedure="false">nzp!#ref!</definedName>
    <definedName function="false" hidden="false" localSheetId="5" name="phase_out_oil_electr" vbProcedure="false">NZP_SE!$C$102</definedName>
    <definedName function="false" hidden="false" localSheetId="5" name="phase_out_oil_heat" vbProcedure="false">NZP_SE!$C$103</definedName>
    <definedName function="false" hidden="false" localSheetId="5" name="pkm_share" vbProcedure="false">NZP_SE!$D$126:$J$129</definedName>
    <definedName function="false" hidden="false" localSheetId="5" name="policy_change_energy_speed" vbProcedure="false">NZP_SE!$C$197:$AD$201</definedName>
    <definedName function="false" hidden="false" localSheetId="5" name="policy_improvement_process_emissions_efficiency" vbProcedure="false">NZP_SE!$C$345</definedName>
    <definedName function="false" hidden="false" localSheetId="5" name="policy_to_improve_efficiency_speed" vbProcedure="false">NZP_SE!$C$185:$AD$189</definedName>
    <definedName function="false" hidden="false" localSheetId="5" name="pop_growth_timeseries" vbProcedure="false">NZP_SE!$C$5:$AL$5</definedName>
    <definedName function="false" hidden="false" localSheetId="5" name="pot_marg_land_biofuels" vbProcedure="false">nzp!#ref!</definedName>
    <definedName function="false" hidden="false" localSheetId="5" name="p_bioe_power" vbProcedure="false">NZP_SE!$C$18:$I$18</definedName>
    <definedName function="false" hidden="false" localSheetId="5" name="p_bioe_residues_growth" vbProcedure="false">NZP_SE!$C$38</definedName>
    <definedName function="false" hidden="false" localSheetId="5" name="p_biofuels_2gen_land_compet" vbProcedure="false">NZP_SE!$C$32</definedName>
    <definedName function="false" hidden="false" localSheetId="5" name="p_biofuels_3gen_land_compet" vbProcedure="false">NZP_SE!$C$34</definedName>
    <definedName function="false" hidden="false" localSheetId="5" name="p_biofuels_marg_land_growth" vbProcedure="false">NZP_SE!$C$40</definedName>
    <definedName function="false" hidden="false" localSheetId="5" name="p_biogas_growth" vbProcedure="false">NZP_SE!$C$42</definedName>
    <definedName function="false" hidden="false" localSheetId="5" name="p_capital_share" vbProcedure="false">NZP_SE!$F$8</definedName>
    <definedName function="false" hidden="false" localSheetId="5" name="p_CCS" vbProcedure="false">NZP_SE!$C$283:$I$310</definedName>
    <definedName function="false" hidden="false" localSheetId="5" name="p_change_over_hist_max_variation_FEI" vbProcedure="false">NZP_SE!$C$177</definedName>
    <definedName function="false" hidden="false" localSheetId="5" name="P_common_rr_minerals_variation_alt_techn" vbProcedure="false">NZP_SE!$C$264</definedName>
    <definedName function="false" hidden="false" localSheetId="5" name="P_common_rr_minerals_variation_Rest" vbProcedure="false">NZP_SE!$C$266</definedName>
    <definedName function="false" hidden="false" localSheetId="5" name="p_constraint_growth_unconv_gas" vbProcedure="false">NZP_SE!$C$75</definedName>
    <definedName function="false" hidden="false" localSheetId="5" name="p_constraint_growth_unconv_oil" vbProcedure="false">NZP_SE!$C$71</definedName>
    <definedName function="false" hidden="false" localSheetId="5" name="p_CSP_power" vbProcedure="false">NZP_SE!$C$23:$I$23</definedName>
    <definedName function="false" hidden="false" localSheetId="5" name="p_CTL_growth" vbProcedure="false">NZP_SE!$C$78</definedName>
    <definedName function="false" hidden="false" localSheetId="5" name="p_DAC" vbProcedure="false">NZP_SE!$C$341:$I$341</definedName>
    <definedName function="false" hidden="false" localSheetId="5" name="p_ETS" vbProcedure="false">NZP_SE!$C$62:$I$65</definedName>
    <definedName function="false" hidden="false" localSheetId="5" name="p_geot_heat_growth" vbProcedure="false">NZP_SE!$C$51</definedName>
    <definedName function="false" hidden="false" localSheetId="5" name="p_geot_power" vbProcedure="false">NZP_SE!$C$17:$I$17</definedName>
    <definedName function="false" hidden="false" localSheetId="5" name="p_GTL_growth" vbProcedure="false">NZP_SE!$C$80</definedName>
    <definedName function="false" hidden="false" localSheetId="5" name="p_hydro_power" vbProcedure="false">NZP_SE!$C$16:$I$16</definedName>
    <definedName function="false" hidden="false" localSheetId="5" name="p_labour_share" vbProcedure="false">NZP_SE!$C$8</definedName>
    <definedName function="false" hidden="false" localSheetId="5" name="p_nuclear_scen3_4_variation" vbProcedure="false">NZP_SE!$E$114</definedName>
    <definedName function="false" hidden="false" localSheetId="5" name="p_oceanic_power" vbProcedure="false">NZP_SE!$C$19:$I$19</definedName>
    <definedName function="false" hidden="false" localSheetId="5" name="p_offshore_wind_power" vbProcedure="false">NZP_SE!$C$21:$I$21</definedName>
    <definedName function="false" hidden="false" localSheetId="5" name="p_onshore_wind_power" vbProcedure="false">NZP_SE!$C$20:$I$20</definedName>
    <definedName function="false" hidden="false" localSheetId="5" name="p_PHS_power" vbProcedure="false">NZP_SE!$C$24:$I$24</definedName>
    <definedName function="false" hidden="false" localSheetId="5" name="p_pop_asymptote" vbProcedure="false">nzp!#ref!</definedName>
    <definedName function="false" hidden="false" localSheetId="5" name="p_PV_power" vbProcedure="false">NZP_SE!$C$22:$I$22</definedName>
    <definedName function="false" hidden="false" localSheetId="5" name="p_RES_power" vbProcedure="false">NZP_SE!$C$16:$I$23</definedName>
    <definedName function="false" hidden="false" localSheetId="5" name="P_rr_minerals_alt_techn" vbProcedure="false">NZP_SE!$D$244:$D$262</definedName>
    <definedName function="false" hidden="false" localSheetId="5" name="P_rr_minerals_Rest" vbProcedure="false">NZP_SE!$E$244:$E$262</definedName>
    <definedName function="false" hidden="false" localSheetId="5" name="p_share_FEH_vs_FED" vbProcedure="false">NZP_SE!$C$55:$C$57</definedName>
    <definedName function="false" hidden="false" localSheetId="5" name="p_share_FEH_vs_FED_bioE" vbProcedure="false">NZP_SE!$C$58</definedName>
    <definedName function="false" hidden="false" localSheetId="5" name="p_share_gas_elec" vbProcedure="false">NZP_SE!$C$111</definedName>
    <definedName function="false" hidden="false" localSheetId="5" name="p_solar_heat" vbProcedure="false">NZP_SE!$C$50</definedName>
    <definedName function="false" hidden="false" localSheetId="5" name="p_solid_bioe_heat" vbProcedure="false">NZP_SE!$C$52</definedName>
    <definedName function="false" hidden="false" localSheetId="5" name="p_timeseries_gdp_growth" vbProcedure="false">NZP_SE!$C$10:$AL$10</definedName>
    <definedName function="false" hidden="false" localSheetId="5" name="p_timeseries_pop_growth" vbProcedure="false">NZP_SE!$C$4:$AM$4</definedName>
    <definedName function="false" hidden="false" localSheetId="5" name="p_waste_growth" vbProcedure="false">NZP_SE!$C$45</definedName>
    <definedName function="false" hidden="false" localSheetId="5" name="RCP_GHG_emissions_select" vbProcedure="false">NZP_SE!$C$273</definedName>
    <definedName function="false" hidden="false" localSheetId="5" name="scarcity_feedback_final_fuel_replacement_flag" vbProcedure="false">NZP_SE!$C$226</definedName>
    <definedName function="false" hidden="false" localSheetId="5" name="sectoral_FEI_evolution_method" vbProcedure="false">NZP_SE!$C$171</definedName>
    <definedName function="false" hidden="false" localSheetId="5" name="select_gdp_evolution" vbProcedure="false">nzp!#ref!</definedName>
    <definedName function="false" hidden="false" localSheetId="5" name="select_nuclear_scen" vbProcedure="false">NZP_SE!$B$114</definedName>
    <definedName function="false" hidden="false" localSheetId="5" name="select_pop_evolution" vbProcedure="false">nzp!#ref!</definedName>
    <definedName function="false" hidden="false" localSheetId="5" name="sensitivity_to_scarcity_option" vbProcedure="false">NZP_SE!$C$227</definedName>
    <definedName function="false" hidden="false" localSheetId="5" name="sensitivity_to_scarcity_option_H" vbProcedure="false">NZP_SE!$C$231</definedName>
    <definedName function="false" hidden="false" localSheetId="5" name="separate_conv_and_unconv_gas" vbProcedure="false">NZP_SE!$C$74</definedName>
    <definedName function="false" hidden="false" localSheetId="5" name="separate_conv_and_unconv_oil" vbProcedure="false">NZP_SE!$C$70</definedName>
    <definedName function="false" hidden="false" localSheetId="5" name="share_available_roof" vbProcedure="false">NZP_SE!$C$398</definedName>
    <definedName function="false" hidden="false" localSheetId="5" name="share_available_roof_for_rooftop_PV" vbProcedure="false">NZP_SE!$C$399</definedName>
    <definedName function="false" hidden="false" localSheetId="5" name="share_ccs_energy" vbProcedure="false">NZP_SE!$C$312:$I$339</definedName>
    <definedName function="false" hidden="false" localSheetId="5" name="share_cellulosic_biof_vs_bioe_res" vbProcedure="false">NZP_SE!$C$37</definedName>
    <definedName function="false" hidden="false" localSheetId="5" name="share_curtailment" vbProcedure="false">NZP_SE!$C$25:$I$25</definedName>
    <definedName function="false" hidden="false" localSheetId="5" name="share_exports_electricity" vbProcedure="false">NZP_SE!$C$376:$I$376</definedName>
    <definedName function="false" hidden="false" localSheetId="5" name="share_PV_urban_tot_PV" vbProcedure="false">NZP_SE!$C$401</definedName>
    <definedName function="false" hidden="false" localSheetId="5" name="share_roof_solar_thermal" vbProcedure="false">NZP_SE!$C$400</definedName>
    <definedName function="false" hidden="false" localSheetId="5" name="share_RURR_agg_gas_underground" vbProcedure="false">NZP_SE!$C$98</definedName>
    <definedName function="false" hidden="false" localSheetId="5" name="share_RURR_agg_oil_underground" vbProcedure="false">NZP_SE!$C$96</definedName>
    <definedName function="false" hidden="false" localSheetId="5" name="share_RURR_coal_underground" vbProcedure="false">NZP_SE!$C$94</definedName>
    <definedName function="false" hidden="false" localSheetId="5" name="share_RURR_conv_gas_underground" vbProcedure="false">NZP_SE!$C$90</definedName>
    <definedName function="false" hidden="false" localSheetId="5" name="share_RURR_conv_oil_underground" vbProcedure="false">NZP_SE!$C$86</definedName>
    <definedName function="false" hidden="false" localSheetId="5" name="share_RURR_unconv_gas_underground" vbProcedure="false">NZP_SE!$C$92</definedName>
    <definedName function="false" hidden="false" localSheetId="5" name="share_RURR_unconv_oil_underground" vbProcedure="false">NZP_SE!$C$88</definedName>
    <definedName function="false" hidden="false" localSheetId="5" name="share_target_year_oil_for_elec" vbProcedure="false">NZP_SE!$C$108</definedName>
    <definedName function="false" hidden="false" localSheetId="5" name="share_target_year_oil_for_heat" vbProcedure="false">NZP_SE!$C$109</definedName>
    <definedName function="false" hidden="false" localSheetId="5" name="share_trans_loss" vbProcedure="false">NZP_SE!$C$26:$I$26</definedName>
    <definedName function="false" hidden="false" localSheetId="5" name="start_policy_year_agg_gas_underground" vbProcedure="false">NZP_SE!$C$97</definedName>
    <definedName function="false" hidden="false" localSheetId="5" name="start_policy_year_agg_oil_underground" vbProcedure="false">NZP_SE!$C$95</definedName>
    <definedName function="false" hidden="false" localSheetId="5" name="start_policy_year_coal_underground" vbProcedure="false">NZP_SE!$C$93</definedName>
    <definedName function="false" hidden="false" localSheetId="5" name="start_policy_year_conv_gas_underground" vbProcedure="false">NZP_SE!$C$89</definedName>
    <definedName function="false" hidden="false" localSheetId="5" name="start_policy_year_conv_oil_underground" vbProcedure="false">NZP_SE!$C$85</definedName>
    <definedName function="false" hidden="false" localSheetId="5" name="start_policy_year_unconv_gas_underground" vbProcedure="false">NZP_SE!$C$91</definedName>
    <definedName function="false" hidden="false" localSheetId="5" name="start_policy_year_unconv_oil_underground" vbProcedure="false">NZP_SE!$C$87</definedName>
    <definedName function="false" hidden="false" localSheetId="5" name="start_policy_year_unconv_opil_underground" vbProcedure="false">NZP_SE!$C$87</definedName>
    <definedName function="false" hidden="false" localSheetId="5" name="start_year_3gen_cell_biofuels" vbProcedure="false">NZP_SE!$C$33</definedName>
    <definedName function="false" hidden="false" localSheetId="5" name="start_year_bioe_residues_non_biofuels" vbProcedure="false">NZP_SE!$C$36</definedName>
    <definedName function="false" hidden="false" localSheetId="5" name="start_year_biofuels_land_marg" vbProcedure="false">NZP_SE!$C$39</definedName>
    <definedName function="false" hidden="false" localSheetId="5" name="start_year_cell_efficency_PV" vbProcedure="false">NZP_SE!$C$393</definedName>
    <definedName function="false" hidden="false" localSheetId="5" name="start_year_modification_EI" vbProcedure="false">NZP_SE!$C$212</definedName>
    <definedName function="false" hidden="false" localSheetId="5" name="start_year_nuclear_variation_scen3_4" vbProcedure="false">NZP_SE!$E$115</definedName>
    <definedName function="false" hidden="false" localSheetId="5" name="start_year_policies_transport" vbProcedure="false">NZP_SE!$D$122</definedName>
    <definedName function="false" hidden="false" localSheetId="5" name="start_year_policy_phase_out_oil_for_electricity" vbProcedure="false">NZP_SE!$C$104</definedName>
    <definedName function="false" hidden="false" localSheetId="5" name="start_year_policy_phase_out_oil_for_heat" vbProcedure="false">NZP_SE!$C$105</definedName>
    <definedName function="false" hidden="false" localSheetId="5" name="start_year_P_common_rr_minerals_alt_techn" vbProcedure="false">NZP_SE!$C$265</definedName>
    <definedName function="false" hidden="false" localSheetId="5" name="start_year_P_common_rr_minerals_Rest" vbProcedure="false">NZP_SE!$C$267</definedName>
    <definedName function="false" hidden="false" localSheetId="5" name="start_year_p_growth_RES_elec" vbProcedure="false">NZP_SE!$C$15</definedName>
    <definedName function="false" hidden="false" localSheetId="5" name="start_year_p_growth_RES_heat" vbProcedure="false">NZP_SE!$C$48</definedName>
    <definedName function="false" hidden="false" localSheetId="5" name="start_year_P_rr_minerals" vbProcedure="false">NZP_SE!$B$243</definedName>
    <definedName function="false" hidden="false" localSheetId="5" name="start_year_P_urban_land_density" vbProcedure="false">NZP_SE!$C$387</definedName>
    <definedName function="false" hidden="false" localSheetId="5" name="start_year_variation_primary_forest" vbProcedure="false">NZP_SE!$C$385</definedName>
    <definedName function="false" hidden="false" localSheetId="5" name="target_year_asymptote_gdp" vbProcedure="false">nzp!#ref!</definedName>
    <definedName function="false" hidden="false" localSheetId="5" name="target_year_asymptote_pop" vbProcedure="false">nzp!#ref!</definedName>
    <definedName function="false" hidden="false" localSheetId="5" name="target_year_policy_gas_electricity" vbProcedure="false">NZP_SE!$C$110</definedName>
    <definedName function="false" hidden="false" localSheetId="5" name="target_year_policy_phase_out_oil_electricity" vbProcedure="false">NZP_SE!$C$106</definedName>
    <definedName function="false" hidden="false" localSheetId="5" name="target_year_policy_phase_out_oil_heat" vbProcedure="false">NZP_SE!$C$107</definedName>
    <definedName function="false" hidden="false" localSheetId="5" name="target_year_process_emissions" vbProcedure="false">NZP_SE!$C$344</definedName>
    <definedName function="false" hidden="false" localSheetId="5" name="target_year_p_growth_RES_elec" vbProcedure="false">nzp!#ref!</definedName>
    <definedName function="false" hidden="false" localSheetId="5" name="target_year_p_growth_RES_heat" vbProcedure="false">NZP_SE!$C$49</definedName>
    <definedName function="false" hidden="false" localSheetId="5" name="target_year_P_rr_minerals" vbProcedure="false">NZP_SE!$B$242</definedName>
    <definedName function="false" hidden="false" localSheetId="5" name="target_year_P_urban_land_density" vbProcedure="false">NZP_SE!$C$388</definedName>
    <definedName function="false" hidden="false" localSheetId="5" name="targ_year_cell_efficiency_PV" vbProcedure="false">NZP_SE!$C$394</definedName>
    <definedName function="false" hidden="false" localSheetId="5" name="tfin_policy_hh_veh" vbProcedure="false">nzp!#ref!</definedName>
    <definedName function="false" hidden="false" localSheetId="5" name="tfin_policy_inland_transp_veh" vbProcedure="false">nzp!#ref!</definedName>
    <definedName function="false" hidden="false" localSheetId="5" name="time_afforestation" vbProcedure="false">NZP_SE!$C$352:$X$352</definedName>
    <definedName function="false" hidden="false" localSheetId="5" name="tini_policy_hh_veh" vbProcedure="false">nzp!#ref!</definedName>
    <definedName function="false" hidden="false" localSheetId="5" name="tini_policy_inland_transp_veh" vbProcedure="false">nzp!#ref!</definedName>
    <definedName function="false" hidden="false" localSheetId="5" name="tkm_share" vbProcedure="false">NZP_SE!$D$123:$J$125</definedName>
    <definedName function="false" hidden="false" localSheetId="5" name="unlimited_coal" vbProcedure="false">nzp!#ref!</definedName>
    <definedName function="false" hidden="false" localSheetId="5" name="unlimited_gas" vbProcedure="false">nzp!#ref!</definedName>
    <definedName function="false" hidden="false" localSheetId="5" name="unlimited_NRE" vbProcedure="false">nzp!#ref!</definedName>
    <definedName function="false" hidden="false" localSheetId="5" name="unlimited_oil" vbProcedure="false">nzp!#ref!</definedName>
    <definedName function="false" hidden="false" localSheetId="5" name="unlimited_uranium" vbProcedure="false">nzp!#ref!</definedName>
    <definedName function="false" hidden="false" localSheetId="5" name="urban_land_density" vbProcedure="false">NZP_SE!$C$386</definedName>
    <definedName function="false" hidden="false" localSheetId="5" name="variation_primary_forest" vbProcedure="false">NZP_SE!$C$384</definedName>
    <definedName function="false" hidden="false" localSheetId="5" name="years_co2_luc" vbProcedure="false">NZP_SE!$C$348:$I$348</definedName>
    <definedName function="false" hidden="false" localSheetId="5" name="years_pop_growth" vbProcedure="false">NZP_SE!$C$4:$AL$4</definedName>
    <definedName function="false" hidden="false" localSheetId="5" name="year_change_pct_energy_intensity_target" vbProcedure="false">NZP_SE!$C$222</definedName>
    <definedName function="false" hidden="false" localSheetId="5" name="year_customized_gdp_evol" vbProcedure="false">nzp!#ref!</definedName>
    <definedName function="false" hidden="false" localSheetId="5" name="year_customized_pop_evol" vbProcedure="false">nzp!#ref!</definedName>
    <definedName function="false" hidden="false" localSheetId="5" name="year_gdp_timeseries" vbProcedure="false">NZP_SE!$C$9:$AL$9</definedName>
    <definedName function="false" hidden="false" localSheetId="5" name="year_net_energy_flux" vbProcedure="false">NZP_SE!$B$365:$H$365</definedName>
    <definedName function="false" hidden="false" localSheetId="5" name="year_policy_change_energy" vbProcedure="false">NZP_SE!$C$191:$AD$195</definedName>
    <definedName function="false" hidden="false" localSheetId="5" name="Year_policy_share_res_heat" vbProcedure="false">NZP_SE!$C$54</definedName>
    <definedName function="false" hidden="false" localSheetId="5" name="year_policy_to_improve_efficiency" vbProcedure="false">NZP_SE!$C$179:$AD$183</definedName>
    <definedName function="false" hidden="false" localSheetId="5" name="year_pop_timeseries" vbProcedure="false">NZP_SE!$C$4:$AL$4</definedName>
    <definedName function="false" hidden="false" localSheetId="5" name="year_ref_RURR" vbProcedure="false">NZP_SE!$C$84</definedName>
    <definedName function="false" hidden="false" localSheetId="5" name="year_RES_power" vbProcedure="false">NZP_SE!$C$15:$I$15</definedName>
    <definedName function="false" hidden="false" localSheetId="5" name="year_RURR_coal" vbProcedure="false">NZP_SE!$C$84</definedName>
    <definedName function="false" hidden="false" localSheetId="5" name="year_synthetic" vbProcedure="false">NZP_SE!$C$61:$I$61</definedName>
    <definedName function="false" hidden="false" localSheetId="5" name="year_to_finish_energy_intensity_policies" vbProcedure="false">NZP_SE!$C$203:$AD$207</definedName>
    <definedName function="false" hidden="false" localSheetId="5" name="year_transport_fuel_share_pkm" vbProcedure="false">NZP_SE!$C$148:$I$148</definedName>
    <definedName function="false" hidden="false" localSheetId="5" name="year_transport_fuel_share_tkm" vbProcedure="false">NZP_SE!$C$134:$I$134</definedName>
    <definedName function="false" hidden="false" localSheetId="5" name="Year_transport_share" vbProcedure="false">NZP_SE!$D$122:$J$122</definedName>
    <definedName function="false" hidden="false" localSheetId="6" name="activate_afforestation_program" vbProcedure="false">BAU!$B$279</definedName>
    <definedName function="false" hidden="false" localSheetId="6" name="activate_ELF" vbProcedure="false">BAU!$C$271</definedName>
    <definedName function="false" hidden="false" localSheetId="6" name="activate_policy_leaving_underground" vbProcedure="false">BAU!$C$83</definedName>
    <definedName function="false" hidden="false" localSheetId="6" name="afforestation" vbProcedure="false">BAU!$C$353:$X$353</definedName>
    <definedName function="false" hidden="false" localSheetId="6" name="average_solar_I" vbProcedure="false">BAU!$C$391</definedName>
    <definedName function="false" hidden="false" localSheetId="6" name="cell_efficiency_target_year" vbProcedure="false">BAU!$C$392</definedName>
    <definedName function="false" hidden="false" localSheetId="6" name="choose_energy_intensity_target_method" vbProcedure="false">BAU!$C$210</definedName>
    <definedName function="false" hidden="false" localSheetId="6" name="choose_targets_mineral_recycling_rates" vbProcedure="false">BAU!$D$240</definedName>
    <definedName function="false" hidden="false" localSheetId="6" name="co2_luc" vbProcedure="false">BAU!$C$349:$I$349</definedName>
    <definedName function="false" hidden="false" localSheetId="6" name="coal_net_flux_timeseries" vbProcedure="false">BAU!$B$371:$H$371</definedName>
    <definedName function="false" hidden="false" localSheetId="6" name="crash_programme_CTL" vbProcedure="false">BAU!$D$78</definedName>
    <definedName function="false" hidden="false" localSheetId="6" name="crash_programme_GTL" vbProcedure="false">BAU!$D$80</definedName>
    <definedName function="false" hidden="false" localSheetId="6" name="efficiency_rate_of_substitution_electricity" vbProcedure="false">BAU!$C$404:$Q$408</definedName>
    <definedName function="false" hidden="false" localSheetId="6" name="efficiency_rate_of_substitution_gases" vbProcedure="false">BAU!$C$419:$Q$423</definedName>
    <definedName function="false" hidden="false" localSheetId="6" name="efficiency_rate_of_substitution_heat" vbProcedure="false">BAU!$C$409:$Q$413</definedName>
    <definedName function="false" hidden="false" localSheetId="6" name="efficiency_rate_of_substitution_liquids" vbProcedure="false">BAU!$C$414:$Q$418</definedName>
    <definedName function="false" hidden="false" localSheetId="6" name="efficiency_rate_of_substitution_solids" vbProcedure="false">BAU!$C$424:$Q$428</definedName>
    <definedName function="false" hidden="false" localSheetId="6" name="energy_intensity_target" vbProcedure="false">BAU!$C$216:$AD$220</definedName>
    <definedName function="false" hidden="false" localSheetId="6" name="energy_scarcity_forgetting_time" vbProcedure="false">BAU!$C$230</definedName>
    <definedName function="false" hidden="false" localSheetId="6" name="energy_scarcity_forgetting_time_H" vbProcedure="false">BAU!$C$234</definedName>
    <definedName function="false" hidden="false" localSheetId="6" name="EROI_feedback_flag" vbProcedure="false">nzp!#ref!</definedName>
    <definedName function="false" hidden="false" localSheetId="6" name="final_year_energy_intensity_target" vbProcedure="false">BAU!$C$213</definedName>
    <definedName function="false" hidden="false" localSheetId="6" name="forest_overexplotation" vbProcedure="false">BAU!$C$382</definedName>
    <definedName function="false" hidden="false" localSheetId="6" name="fuel_share_air_pkm" vbProcedure="false">BAU!$C$157:$I$160</definedName>
    <definedName function="false" hidden="false" localSheetId="6" name="fuel_share_air_tkm" vbProcedure="false">BAU!$C$143:$I$146</definedName>
    <definedName function="false" hidden="false" localSheetId="6" name="fuel_share_households_pkm" vbProcedure="false">BAU!$C$161:$I$164</definedName>
    <definedName function="false" hidden="false" localSheetId="6" name="fuel_share_inland_pkm" vbProcedure="false">BAU!$C$149:$I$152</definedName>
    <definedName function="false" hidden="false" localSheetId="6" name="fuel_share_inland_tkm" vbProcedure="false">BAU!$C$135:$I$138</definedName>
    <definedName function="false" hidden="false" localSheetId="6" name="fuel_share_maritime_pkm" vbProcedure="false">BAU!$C$153:$I$156</definedName>
    <definedName function="false" hidden="false" localSheetId="6" name="fuel_share_maritime_tkm" vbProcedure="false">BAU!$C$139:$I$142</definedName>
    <definedName function="false" hidden="false" localSheetId="6" name="gas_net_flux_timeseries" vbProcedure="false">BAU!$B$369:$H$369</definedName>
    <definedName function="false" hidden="false" localSheetId="6" name="GWP_time_frame" vbProcedure="false">nzp!#ref!</definedName>
    <definedName function="false" hidden="false" localSheetId="6" name="limit_coal_imports_from_RoW" vbProcedure="false">nzp!#ref!</definedName>
    <definedName function="false" hidden="false" localSheetId="6" name="limit_nat_gas_imports_from_RoW" vbProcedure="false">nzp!#ref!</definedName>
    <definedName function="false" hidden="false" localSheetId="6" name="limit_oil_imports_from_RoW" vbProcedure="false">nzp!#ref!</definedName>
    <definedName function="false" hidden="false" localSheetId="6" name="max_NPP_pot_bioe_residues" vbProcedure="false">nzp!#ref!</definedName>
    <definedName function="false" hidden="false" localSheetId="6" name="max_PE_biogas" vbProcedure="false">nzp!#ref!</definedName>
    <definedName function="false" hidden="false" localSheetId="6" name="max_share_imports_coal" vbProcedure="false">nzp!#ref!</definedName>
    <definedName function="false" hidden="false" localSheetId="6" name="max_share_imports_nat_gas" vbProcedure="false">nzp!#ref!</definedName>
    <definedName function="false" hidden="false" localSheetId="6" name="max_share_imports_oil" vbProcedure="false">nzp!#ref!</definedName>
    <definedName function="false" hidden="false" localSheetId="6" name="minimum_forest" vbProcedure="false">BAU!$C$383</definedName>
    <definedName function="false" hidden="false" localSheetId="6" name="min_FEI_vs_initial" vbProcedure="false">BAU!$C$176</definedName>
    <definedName function="false" hidden="false" localSheetId="6" name="oil_net_flux_timeseries" vbProcedure="false">BAU!$B$367:$H$367</definedName>
    <definedName function="false" hidden="false" localSheetId="6" name="pct_change_energy_intensity_target" vbProcedure="false">BAU!$C$223</definedName>
    <definedName function="false" hidden="false" localSheetId="6" name="percent_2w_tfin_over_hh_veh" vbProcedure="false">nzp!#ref!</definedName>
    <definedName function="false" hidden="false" localSheetId="6" name="percent_electric_2w_tfin" vbProcedure="false">nzp!#ref!</definedName>
    <definedName function="false" hidden="false" localSheetId="6" name="percent_electric_light_cargo_veh_tfin" vbProcedure="false">nzp!#ref!</definedName>
    <definedName function="false" hidden="false" localSheetId="6" name="percent_electric_train_tfin" vbProcedure="false">nzp!#ref!</definedName>
    <definedName function="false" hidden="false" localSheetId="6" name="percent_electr_bus_tfin" vbProcedure="false">nzp!#ref!</definedName>
    <definedName function="false" hidden="false" localSheetId="6" name="percent_electr_hh_4w_tfin" vbProcedure="false">nzp!#ref!</definedName>
    <definedName function="false" hidden="false" localSheetId="6" name="percent_gas_heavy_veh_tfin" vbProcedure="false">nzp!#ref!</definedName>
    <definedName function="false" hidden="false" localSheetId="6" name="percent_gas_hh_veh_4w_tfin" vbProcedure="false">nzp!#ref!</definedName>
    <definedName function="false" hidden="false" localSheetId="6" name="percent_hybrid_bus_tfin" vbProcedure="false">nzp!#ref!</definedName>
    <definedName function="false" hidden="false" localSheetId="6" name="percent_hybrid_heavy_veh_tfin" vbProcedure="false">nzp!#ref!</definedName>
    <definedName function="false" hidden="false" localSheetId="6" name="percent_hybrid_hh_4w_veh_tfin" vbProcedure="false">nzp!#ref!</definedName>
    <definedName function="false" hidden="false" localSheetId="6" name="percent_hybrid_light_cargo_veh_tfin" vbProcedure="false">nzp!#ref!</definedName>
    <definedName function="false" hidden="false" localSheetId="6" name="percent_natgas_bus_tfin" vbProcedure="false">nzp!#ref!</definedName>
    <definedName function="false" hidden="false" localSheetId="6" name="percent_natgas_light_cargo_veh_tfin" vbProcedure="false">nzp!#ref!</definedName>
    <definedName function="false" hidden="false" localSheetId="6" name="phase_out_oil_electr" vbProcedure="false">BAU!$C$102</definedName>
    <definedName function="false" hidden="false" localSheetId="6" name="phase_out_oil_heat" vbProcedure="false">BAU!$C$103</definedName>
    <definedName function="false" hidden="false" localSheetId="6" name="pkm_share" vbProcedure="false">BAU!$D$126:$J$129</definedName>
    <definedName function="false" hidden="false" localSheetId="6" name="policy_change_energy_speed" vbProcedure="false">BAU!$C$197:$AD$201</definedName>
    <definedName function="false" hidden="false" localSheetId="6" name="policy_improvement_process_emissions_efficiency" vbProcedure="false">BAU!$C$345</definedName>
    <definedName function="false" hidden="false" localSheetId="6" name="policy_to_improve_efficiency_speed" vbProcedure="false">BAU!$C$185:$AD$189</definedName>
    <definedName function="false" hidden="false" localSheetId="6" name="pop_growth_timeseries" vbProcedure="false">BAU!$C$5:$AL$5</definedName>
    <definedName function="false" hidden="false" localSheetId="6" name="pot_marg_land_biofuels" vbProcedure="false">nzp!#ref!</definedName>
    <definedName function="false" hidden="false" localSheetId="6" name="p_bioe_power" vbProcedure="false">BAU!$C$18:$I$18</definedName>
    <definedName function="false" hidden="false" localSheetId="6" name="p_bioe_residues_growth" vbProcedure="false">BAU!$C$38</definedName>
    <definedName function="false" hidden="false" localSheetId="6" name="p_biofuels_2gen_land_compet" vbProcedure="false">BAU!$C$32</definedName>
    <definedName function="false" hidden="false" localSheetId="6" name="p_biofuels_3gen_land_compet" vbProcedure="false">BAU!$C$34</definedName>
    <definedName function="false" hidden="false" localSheetId="6" name="p_biofuels_marg_land_growth" vbProcedure="false">BAU!$C$40</definedName>
    <definedName function="false" hidden="false" localSheetId="6" name="p_biogas_growth" vbProcedure="false">BAU!$C$42</definedName>
    <definedName function="false" hidden="false" localSheetId="6" name="p_capital_share" vbProcedure="false">BAU!$F$8</definedName>
    <definedName function="false" hidden="false" localSheetId="6" name="p_CCS" vbProcedure="false">BAU!$C$283:$I$310</definedName>
    <definedName function="false" hidden="false" localSheetId="6" name="p_change_over_hist_max_variation_FEI" vbProcedure="false">BAU!$C$177</definedName>
    <definedName function="false" hidden="false" localSheetId="6" name="P_common_rr_minerals_variation_alt_techn" vbProcedure="false">BAU!$C$264</definedName>
    <definedName function="false" hidden="false" localSheetId="6" name="P_common_rr_minerals_variation_Rest" vbProcedure="false">BAU!$C$266</definedName>
    <definedName function="false" hidden="false" localSheetId="6" name="p_constraint_growth_unconv_gas" vbProcedure="false">BAU!$C$75</definedName>
    <definedName function="false" hidden="false" localSheetId="6" name="p_constraint_growth_unconv_oil" vbProcedure="false">BAU!$C$71</definedName>
    <definedName function="false" hidden="false" localSheetId="6" name="p_CSP_power" vbProcedure="false">BAU!$C$23:$I$23</definedName>
    <definedName function="false" hidden="false" localSheetId="6" name="p_CTL_growth" vbProcedure="false">BAU!$C$78</definedName>
    <definedName function="false" hidden="false" localSheetId="6" name="p_DAC" vbProcedure="false">BAU!$C$341:$I$341</definedName>
    <definedName function="false" hidden="false" localSheetId="6" name="p_ETS" vbProcedure="false">BAU!$C$62:$I$65</definedName>
    <definedName function="false" hidden="false" localSheetId="6" name="p_geot_heat_growth" vbProcedure="false">BAU!$C$51</definedName>
    <definedName function="false" hidden="false" localSheetId="6" name="p_geot_power" vbProcedure="false">BAU!$C$17:$I$17</definedName>
    <definedName function="false" hidden="false" localSheetId="6" name="p_GTL_growth" vbProcedure="false">BAU!$C$80</definedName>
    <definedName function="false" hidden="false" localSheetId="6" name="p_hydro_power" vbProcedure="false">BAU!$C$16:$I$16</definedName>
    <definedName function="false" hidden="false" localSheetId="6" name="p_labour_share" vbProcedure="false">BAU!$C$8</definedName>
    <definedName function="false" hidden="false" localSheetId="6" name="p_nuclear_scen3_4_variation" vbProcedure="false">BAU!$E$114</definedName>
    <definedName function="false" hidden="false" localSheetId="6" name="p_oceanic_power" vbProcedure="false">BAU!$C$19:$I$19</definedName>
    <definedName function="false" hidden="false" localSheetId="6" name="p_offshore_wind_power" vbProcedure="false">BAU!$C$21:$I$21</definedName>
    <definedName function="false" hidden="false" localSheetId="6" name="p_onshore_wind_power" vbProcedure="false">BAU!$C$20:$I$20</definedName>
    <definedName function="false" hidden="false" localSheetId="6" name="p_PHS_power" vbProcedure="false">BAU!$C$24:$I$24</definedName>
    <definedName function="false" hidden="false" localSheetId="6" name="p_pop_asymptote" vbProcedure="false">nzp!#ref!</definedName>
    <definedName function="false" hidden="false" localSheetId="6" name="p_PV_power" vbProcedure="false">BAU!$C$22:$I$22</definedName>
    <definedName function="false" hidden="false" localSheetId="6" name="p_RES_power" vbProcedure="false">BAU!$C$16:$I$23</definedName>
    <definedName function="false" hidden="false" localSheetId="6" name="P_rr_minerals_alt_techn" vbProcedure="false">BAU!$D$244:$D$262</definedName>
    <definedName function="false" hidden="false" localSheetId="6" name="P_rr_minerals_Rest" vbProcedure="false">BAU!$E$244:$E$262</definedName>
    <definedName function="false" hidden="false" localSheetId="6" name="p_share_FEH_vs_FED" vbProcedure="false">BAU!$C$55:$C$57</definedName>
    <definedName function="false" hidden="false" localSheetId="6" name="p_share_FEH_vs_FED_bioE" vbProcedure="false">BAU!$C$58</definedName>
    <definedName function="false" hidden="false" localSheetId="6" name="p_share_gas_elec" vbProcedure="false">BAU!$C$111</definedName>
    <definedName function="false" hidden="false" localSheetId="6" name="p_solar_heat" vbProcedure="false">BAU!$C$50</definedName>
    <definedName function="false" hidden="false" localSheetId="6" name="p_solid_bioe_heat" vbProcedure="false">BAU!$C$52</definedName>
    <definedName function="false" hidden="false" localSheetId="6" name="p_timeseries_gdp_growth" vbProcedure="false">BAU!$C$10:$AL$10</definedName>
    <definedName function="false" hidden="false" localSheetId="6" name="p_timeseries_pop_growth" vbProcedure="false">BAU!$C$4:$AM$4</definedName>
    <definedName function="false" hidden="false" localSheetId="6" name="p_waste_growth" vbProcedure="false">BAU!$C$45</definedName>
    <definedName function="false" hidden="false" localSheetId="6" name="RCP_GHG_emissions_select" vbProcedure="false">BAU!$C$273</definedName>
    <definedName function="false" hidden="false" localSheetId="6" name="scarcity_feedback_final_fuel_replacement_flag" vbProcedure="false">BAU!$C$226</definedName>
    <definedName function="false" hidden="false" localSheetId="6" name="sectoral_FEI_evolution_method" vbProcedure="false">BAU!$C$171</definedName>
    <definedName function="false" hidden="false" localSheetId="6" name="select_gdp_evolution" vbProcedure="false">nzp!#ref!</definedName>
    <definedName function="false" hidden="false" localSheetId="6" name="select_nuclear_scen" vbProcedure="false">BAU!$B$114</definedName>
    <definedName function="false" hidden="false" localSheetId="6" name="select_pop_evolution" vbProcedure="false">nzp!#ref!</definedName>
    <definedName function="false" hidden="false" localSheetId="6" name="sensitivity_to_scarcity_option" vbProcedure="false">BAU!$C$227</definedName>
    <definedName function="false" hidden="false" localSheetId="6" name="sensitivity_to_scarcity_option_H" vbProcedure="false">BAU!$C$231</definedName>
    <definedName function="false" hidden="false" localSheetId="6" name="separate_conv_and_unconv_gas" vbProcedure="false">BAU!$C$74</definedName>
    <definedName function="false" hidden="false" localSheetId="6" name="separate_conv_and_unconv_oil" vbProcedure="false">BAU!$C$70</definedName>
    <definedName function="false" hidden="false" localSheetId="6" name="share_available_roof" vbProcedure="false">BAU!$C$398</definedName>
    <definedName function="false" hidden="false" localSheetId="6" name="share_available_roof_for_rooftop_PV" vbProcedure="false">BAU!$C$399</definedName>
    <definedName function="false" hidden="false" localSheetId="6" name="share_ccs_energy" vbProcedure="false">BAU!$C$312:$I$339</definedName>
    <definedName function="false" hidden="false" localSheetId="6" name="share_cellulosic_biof_vs_bioe_res" vbProcedure="false">BAU!$C$37</definedName>
    <definedName function="false" hidden="false" localSheetId="6" name="share_curtailment" vbProcedure="false">BAU!$C$25:$I$25</definedName>
    <definedName function="false" hidden="false" localSheetId="6" name="share_exports_electricity" vbProcedure="false">BAU!$C$376:$I$376</definedName>
    <definedName function="false" hidden="false" localSheetId="6" name="share_PV_urban_tot_PV" vbProcedure="false">BAU!$C$401</definedName>
    <definedName function="false" hidden="false" localSheetId="6" name="share_roof_solar_thermal" vbProcedure="false">BAU!$C$400</definedName>
    <definedName function="false" hidden="false" localSheetId="6" name="share_RURR_agg_gas_underground" vbProcedure="false">BAU!$C$98</definedName>
    <definedName function="false" hidden="false" localSheetId="6" name="share_RURR_agg_oil_underground" vbProcedure="false">BAU!$C$96</definedName>
    <definedName function="false" hidden="false" localSheetId="6" name="share_RURR_coal_underground" vbProcedure="false">BAU!$C$94</definedName>
    <definedName function="false" hidden="false" localSheetId="6" name="share_RURR_conv_gas_underground" vbProcedure="false">BAU!$C$90</definedName>
    <definedName function="false" hidden="false" localSheetId="6" name="share_RURR_conv_oil_underground" vbProcedure="false">BAU!$C$86</definedName>
    <definedName function="false" hidden="false" localSheetId="6" name="share_RURR_unconv_gas_underground" vbProcedure="false">BAU!$C$92</definedName>
    <definedName function="false" hidden="false" localSheetId="6" name="share_RURR_unconv_oil_underground" vbProcedure="false">BAU!$C$88</definedName>
    <definedName function="false" hidden="false" localSheetId="6" name="share_target_year_oil_for_elec" vbProcedure="false">BAU!$C$108</definedName>
    <definedName function="false" hidden="false" localSheetId="6" name="share_target_year_oil_for_heat" vbProcedure="false">BAU!$C$109</definedName>
    <definedName function="false" hidden="false" localSheetId="6" name="share_trans_loss" vbProcedure="false">BAU!$C$26:$I$26</definedName>
    <definedName function="false" hidden="false" localSheetId="6" name="start_policy_year_agg_gas_underground" vbProcedure="false">BAU!$C$97</definedName>
    <definedName function="false" hidden="false" localSheetId="6" name="start_policy_year_agg_oil_underground" vbProcedure="false">BAU!$C$95</definedName>
    <definedName function="false" hidden="false" localSheetId="6" name="start_policy_year_coal_underground" vbProcedure="false">BAU!$C$93</definedName>
    <definedName function="false" hidden="false" localSheetId="6" name="start_policy_year_conv_gas_underground" vbProcedure="false">BAU!$C$89</definedName>
    <definedName function="false" hidden="false" localSheetId="6" name="start_policy_year_conv_oil_underground" vbProcedure="false">BAU!$C$85</definedName>
    <definedName function="false" hidden="false" localSheetId="6" name="start_policy_year_unconv_gas_underground" vbProcedure="false">BAU!$C$91</definedName>
    <definedName function="false" hidden="false" localSheetId="6" name="start_policy_year_unconv_oil_underground" vbProcedure="false">BAU!$C$87</definedName>
    <definedName function="false" hidden="false" localSheetId="6" name="start_policy_year_unconv_opil_underground" vbProcedure="false">BAU!$C$87</definedName>
    <definedName function="false" hidden="false" localSheetId="6" name="start_year_3gen_cell_biofuels" vbProcedure="false">BAU!$C$33</definedName>
    <definedName function="false" hidden="false" localSheetId="6" name="start_year_bioe_residues_non_biofuels" vbProcedure="false">BAU!$C$36</definedName>
    <definedName function="false" hidden="false" localSheetId="6" name="start_year_biofuels_land_marg" vbProcedure="false">BAU!$C$39</definedName>
    <definedName function="false" hidden="false" localSheetId="6" name="start_year_cell_efficency_PV" vbProcedure="false">BAU!$C$393</definedName>
    <definedName function="false" hidden="false" localSheetId="6" name="start_year_modification_EI" vbProcedure="false">BAU!$C$212</definedName>
    <definedName function="false" hidden="false" localSheetId="6" name="start_year_nuclear_variation_scen3_4" vbProcedure="false">BAU!$E$115</definedName>
    <definedName function="false" hidden="false" localSheetId="6" name="start_year_policies_transport" vbProcedure="false">BAU!$D$122</definedName>
    <definedName function="false" hidden="false" localSheetId="6" name="start_year_policy_phase_out_oil_for_electricity" vbProcedure="false">BAU!$C$104</definedName>
    <definedName function="false" hidden="false" localSheetId="6" name="start_year_policy_phase_out_oil_for_heat" vbProcedure="false">BAU!$C$105</definedName>
    <definedName function="false" hidden="false" localSheetId="6" name="start_year_P_common_rr_minerals_alt_techn" vbProcedure="false">BAU!$C$265</definedName>
    <definedName function="false" hidden="false" localSheetId="6" name="start_year_P_common_rr_minerals_Rest" vbProcedure="false">BAU!$C$267</definedName>
    <definedName function="false" hidden="false" localSheetId="6" name="start_year_p_growth_RES_elec" vbProcedure="false">BAU!$C$15</definedName>
    <definedName function="false" hidden="false" localSheetId="6" name="start_year_p_growth_RES_heat" vbProcedure="false">BAU!$C$48</definedName>
    <definedName function="false" hidden="false" localSheetId="6" name="start_year_P_rr_minerals" vbProcedure="false">BAU!$B$243</definedName>
    <definedName function="false" hidden="false" localSheetId="6" name="start_year_P_urban_land_density" vbProcedure="false">BAU!$C$387</definedName>
    <definedName function="false" hidden="false" localSheetId="6" name="start_year_variation_primary_forest" vbProcedure="false">BAU!$C$385</definedName>
    <definedName function="false" hidden="false" localSheetId="6" name="target_year_asymptote_gdp" vbProcedure="false">nzp!#ref!</definedName>
    <definedName function="false" hidden="false" localSheetId="6" name="target_year_asymptote_pop" vbProcedure="false">nzp!#ref!</definedName>
    <definedName function="false" hidden="false" localSheetId="6" name="target_year_policy_gas_electricity" vbProcedure="false">BAU!$C$110</definedName>
    <definedName function="false" hidden="false" localSheetId="6" name="target_year_policy_phase_out_oil_electricity" vbProcedure="false">BAU!$C$106</definedName>
    <definedName function="false" hidden="false" localSheetId="6" name="target_year_policy_phase_out_oil_heat" vbProcedure="false">BAU!$C$107</definedName>
    <definedName function="false" hidden="false" localSheetId="6" name="target_year_process_emissions" vbProcedure="false">BAU!$C$344</definedName>
    <definedName function="false" hidden="false" localSheetId="6" name="target_year_p_growth_RES_elec" vbProcedure="false">nzp!#ref!</definedName>
    <definedName function="false" hidden="false" localSheetId="6" name="target_year_p_growth_RES_heat" vbProcedure="false">BAU!$C$49</definedName>
    <definedName function="false" hidden="false" localSheetId="6" name="target_year_P_rr_minerals" vbProcedure="false">BAU!$B$242</definedName>
    <definedName function="false" hidden="false" localSheetId="6" name="target_year_P_urban_land_density" vbProcedure="false">BAU!$C$388</definedName>
    <definedName function="false" hidden="false" localSheetId="6" name="targ_year_cell_efficiency_PV" vbProcedure="false">BAU!$C$394</definedName>
    <definedName function="false" hidden="false" localSheetId="6" name="tfin_policy_hh_veh" vbProcedure="false">nzp!#ref!</definedName>
    <definedName function="false" hidden="false" localSheetId="6" name="tfin_policy_inland_transp_veh" vbProcedure="false">nzp!#ref!</definedName>
    <definedName function="false" hidden="false" localSheetId="6" name="time_afforestation" vbProcedure="false">BAU!$C$352:$X$352</definedName>
    <definedName function="false" hidden="false" localSheetId="6" name="tini_policy_hh_veh" vbProcedure="false">nzp!#ref!</definedName>
    <definedName function="false" hidden="false" localSheetId="6" name="tini_policy_inland_transp_veh" vbProcedure="false">nzp!#ref!</definedName>
    <definedName function="false" hidden="false" localSheetId="6" name="tkm_share" vbProcedure="false">BAU!$D$123:$J$125</definedName>
    <definedName function="false" hidden="false" localSheetId="6" name="unlimited_coal" vbProcedure="false">nzp!#ref!</definedName>
    <definedName function="false" hidden="false" localSheetId="6" name="unlimited_gas" vbProcedure="false">nzp!#ref!</definedName>
    <definedName function="false" hidden="false" localSheetId="6" name="unlimited_NRE" vbProcedure="false">nzp!#ref!</definedName>
    <definedName function="false" hidden="false" localSheetId="6" name="unlimited_oil" vbProcedure="false">nzp!#ref!</definedName>
    <definedName function="false" hidden="false" localSheetId="6" name="unlimited_uranium" vbProcedure="false">nzp!#ref!</definedName>
    <definedName function="false" hidden="false" localSheetId="6" name="urban_land_density" vbProcedure="false">BAU!$C$386</definedName>
    <definedName function="false" hidden="false" localSheetId="6" name="variation_primary_forest" vbProcedure="false">BAU!$C$384</definedName>
    <definedName function="false" hidden="false" localSheetId="6" name="years_co2_luc" vbProcedure="false">BAU!$C$348:$I$348</definedName>
    <definedName function="false" hidden="false" localSheetId="6" name="years_pop_growth" vbProcedure="false">BAU!$C$4:$AL$4</definedName>
    <definedName function="false" hidden="false" localSheetId="6" name="year_change_pct_energy_intensity_target" vbProcedure="false">BAU!$C$222</definedName>
    <definedName function="false" hidden="false" localSheetId="6" name="year_customized_gdp_evol" vbProcedure="false">nzp!#ref!</definedName>
    <definedName function="false" hidden="false" localSheetId="6" name="year_customized_pop_evol" vbProcedure="false">nzp!#ref!</definedName>
    <definedName function="false" hidden="false" localSheetId="6" name="year_gdp_timeseries" vbProcedure="false">BAU!$C$9:$AL$9</definedName>
    <definedName function="false" hidden="false" localSheetId="6" name="year_net_energy_flux" vbProcedure="false">BAU!$B$365:$H$365</definedName>
    <definedName function="false" hidden="false" localSheetId="6" name="year_policy_change_energy" vbProcedure="false">BAU!$C$191:$AD$195</definedName>
    <definedName function="false" hidden="false" localSheetId="6" name="Year_policy_share_res_heat" vbProcedure="false">BAU!$C$54</definedName>
    <definedName function="false" hidden="false" localSheetId="6" name="year_policy_to_improve_efficiency" vbProcedure="false">BAU!$C$179:$AD$183</definedName>
    <definedName function="false" hidden="false" localSheetId="6" name="year_pop_timeseries" vbProcedure="false">BAU!$C$4:$AL$4</definedName>
    <definedName function="false" hidden="false" localSheetId="6" name="year_ref_RURR" vbProcedure="false">BAU!$C$84</definedName>
    <definedName function="false" hidden="false" localSheetId="6" name="year_RES_power" vbProcedure="false">BAU!$C$15:$I$15</definedName>
    <definedName function="false" hidden="false" localSheetId="6" name="year_RURR_coal" vbProcedure="false">BAU!$C$84</definedName>
    <definedName function="false" hidden="false" localSheetId="6" name="year_synthetic" vbProcedure="false">BAU!$C$61:$I$61</definedName>
    <definedName function="false" hidden="false" localSheetId="6" name="year_to_finish_energy_intensity_policies" vbProcedure="false">BAU!$C$203:$AD$207</definedName>
    <definedName function="false" hidden="false" localSheetId="6" name="year_transport_fuel_share_pkm" vbProcedure="false">BAU!$C$148:$I$148</definedName>
    <definedName function="false" hidden="false" localSheetId="6" name="year_transport_fuel_share_tkm" vbProcedure="false">BAU!$C$134:$I$134</definedName>
    <definedName function="false" hidden="false" localSheetId="6" name="Year_transport_share" vbProcedure="false">BAU!$D$122:$J$122</definedName>
    <definedName function="false" hidden="false" localSheetId="7" name="activate_afforestation_program" vbProcedure="false">BAU_SE!$B$279</definedName>
    <definedName function="false" hidden="false" localSheetId="7" name="activate_ELF" vbProcedure="false">BAU_SE!$C$271</definedName>
    <definedName function="false" hidden="false" localSheetId="7" name="activate_policy_leaving_underground" vbProcedure="false">BAU_SE!$C$83</definedName>
    <definedName function="false" hidden="false" localSheetId="7" name="afforestation" vbProcedure="false">BAU_SE!$C$353:$X$353</definedName>
    <definedName function="false" hidden="false" localSheetId="7" name="average_solar_I" vbProcedure="false">BAU_SE!$C$391</definedName>
    <definedName function="false" hidden="false" localSheetId="7" name="cell_efficiency_target_year" vbProcedure="false">BAU_SE!$C$392</definedName>
    <definedName function="false" hidden="false" localSheetId="7" name="choose_energy_intensity_target_method" vbProcedure="false">BAU_SE!$C$210</definedName>
    <definedName function="false" hidden="false" localSheetId="7" name="choose_targets_mineral_recycling_rates" vbProcedure="false">BAU_SE!$D$240</definedName>
    <definedName function="false" hidden="false" localSheetId="7" name="co2_luc" vbProcedure="false">BAU_SE!$C$349:$I$349</definedName>
    <definedName function="false" hidden="false" localSheetId="7" name="coal_net_flux_timeseries" vbProcedure="false">BAU_SE!$B$371:$H$371</definedName>
    <definedName function="false" hidden="false" localSheetId="7" name="crash_programme_CTL" vbProcedure="false">BAU_SE!$D$78</definedName>
    <definedName function="false" hidden="false" localSheetId="7" name="crash_programme_GTL" vbProcedure="false">BAU_SE!$D$80</definedName>
    <definedName function="false" hidden="false" localSheetId="7" name="efficiency_rate_of_substitution_electricity" vbProcedure="false">BAU_SE!$C$404:$Q$408</definedName>
    <definedName function="false" hidden="false" localSheetId="7" name="efficiency_rate_of_substitution_gases" vbProcedure="false">BAU_SE!$C$419:$Q$423</definedName>
    <definedName function="false" hidden="false" localSheetId="7" name="efficiency_rate_of_substitution_heat" vbProcedure="false">BAU_SE!$C$409:$Q$413</definedName>
    <definedName function="false" hidden="false" localSheetId="7" name="efficiency_rate_of_substitution_liquids" vbProcedure="false">BAU_SE!$C$414:$Q$418</definedName>
    <definedName function="false" hidden="false" localSheetId="7" name="efficiency_rate_of_substitution_solids" vbProcedure="false">BAU_SE!$C$424:$Q$428</definedName>
    <definedName function="false" hidden="false" localSheetId="7" name="energy_intensity_target" vbProcedure="false">BAU_SE!$C$216:$AD$220</definedName>
    <definedName function="false" hidden="false" localSheetId="7" name="energy_scarcity_forgetting_time" vbProcedure="false">BAU_SE!$C$230</definedName>
    <definedName function="false" hidden="false" localSheetId="7" name="energy_scarcity_forgetting_time_H" vbProcedure="false">BAU_SE!$C$234</definedName>
    <definedName function="false" hidden="false" localSheetId="7" name="EROI_feedback_flag" vbProcedure="false">nzp!#ref!</definedName>
    <definedName function="false" hidden="false" localSheetId="7" name="final_year_energy_intensity_target" vbProcedure="false">BAU_SE!$C$213</definedName>
    <definedName function="false" hidden="false" localSheetId="7" name="forest_overexplotation" vbProcedure="false">BAU_SE!$C$382</definedName>
    <definedName function="false" hidden="false" localSheetId="7" name="fuel_share_air_pkm" vbProcedure="false">BAU_SE!$C$157:$I$160</definedName>
    <definedName function="false" hidden="false" localSheetId="7" name="fuel_share_air_tkm" vbProcedure="false">BAU_SE!$C$143:$I$146</definedName>
    <definedName function="false" hidden="false" localSheetId="7" name="fuel_share_households_pkm" vbProcedure="false">BAU_SE!$C$161:$I$164</definedName>
    <definedName function="false" hidden="false" localSheetId="7" name="fuel_share_inland_pkm" vbProcedure="false">BAU_SE!$C$149:$I$152</definedName>
    <definedName function="false" hidden="false" localSheetId="7" name="fuel_share_inland_tkm" vbProcedure="false">BAU_SE!$C$135:$I$138</definedName>
    <definedName function="false" hidden="false" localSheetId="7" name="fuel_share_maritime_pkm" vbProcedure="false">BAU_SE!$C$153:$I$156</definedName>
    <definedName function="false" hidden="false" localSheetId="7" name="fuel_share_maritime_tkm" vbProcedure="false">BAU_SE!$C$139:$I$142</definedName>
    <definedName function="false" hidden="false" localSheetId="7" name="gas_net_flux_timeseries" vbProcedure="false">BAU_SE!$B$369:$H$369</definedName>
    <definedName function="false" hidden="false" localSheetId="7" name="GWP_time_frame" vbProcedure="false">nzp!#ref!</definedName>
    <definedName function="false" hidden="false" localSheetId="7" name="limit_coal_imports_from_RoW" vbProcedure="false">nzp!#ref!</definedName>
    <definedName function="false" hidden="false" localSheetId="7" name="limit_nat_gas_imports_from_RoW" vbProcedure="false">nzp!#ref!</definedName>
    <definedName function="false" hidden="false" localSheetId="7" name="limit_oil_imports_from_RoW" vbProcedure="false">nzp!#ref!</definedName>
    <definedName function="false" hidden="false" localSheetId="7" name="max_NPP_pot_bioe_residues" vbProcedure="false">nzp!#ref!</definedName>
    <definedName function="false" hidden="false" localSheetId="7" name="max_PE_biogas" vbProcedure="false">nzp!#ref!</definedName>
    <definedName function="false" hidden="false" localSheetId="7" name="max_share_imports_coal" vbProcedure="false">nzp!#ref!</definedName>
    <definedName function="false" hidden="false" localSheetId="7" name="max_share_imports_nat_gas" vbProcedure="false">nzp!#ref!</definedName>
    <definedName function="false" hidden="false" localSheetId="7" name="max_share_imports_oil" vbProcedure="false">nzp!#ref!</definedName>
    <definedName function="false" hidden="false" localSheetId="7" name="minimum_forest" vbProcedure="false">BAU_SE!$C$383</definedName>
    <definedName function="false" hidden="false" localSheetId="7" name="min_FEI_vs_initial" vbProcedure="false">BAU_SE!$C$176</definedName>
    <definedName function="false" hidden="false" localSheetId="7" name="oil_net_flux_timeseries" vbProcedure="false">BAU_SE!$B$367:$H$367</definedName>
    <definedName function="false" hidden="false" localSheetId="7" name="pct_change_energy_intensity_target" vbProcedure="false">BAU_SE!$C$223</definedName>
    <definedName function="false" hidden="false" localSheetId="7" name="percent_2w_tfin_over_hh_veh" vbProcedure="false">nzp!#ref!</definedName>
    <definedName function="false" hidden="false" localSheetId="7" name="percent_electric_2w_tfin" vbProcedure="false">nzp!#ref!</definedName>
    <definedName function="false" hidden="false" localSheetId="7" name="percent_electric_light_cargo_veh_tfin" vbProcedure="false">nzp!#ref!</definedName>
    <definedName function="false" hidden="false" localSheetId="7" name="percent_electric_train_tfin" vbProcedure="false">nzp!#ref!</definedName>
    <definedName function="false" hidden="false" localSheetId="7" name="percent_electr_bus_tfin" vbProcedure="false">nzp!#ref!</definedName>
    <definedName function="false" hidden="false" localSheetId="7" name="percent_electr_hh_4w_tfin" vbProcedure="false">nzp!#ref!</definedName>
    <definedName function="false" hidden="false" localSheetId="7" name="percent_gas_heavy_veh_tfin" vbProcedure="false">nzp!#ref!</definedName>
    <definedName function="false" hidden="false" localSheetId="7" name="percent_gas_hh_veh_4w_tfin" vbProcedure="false">nzp!#ref!</definedName>
    <definedName function="false" hidden="false" localSheetId="7" name="percent_hybrid_bus_tfin" vbProcedure="false">nzp!#ref!</definedName>
    <definedName function="false" hidden="false" localSheetId="7" name="percent_hybrid_heavy_veh_tfin" vbProcedure="false">nzp!#ref!</definedName>
    <definedName function="false" hidden="false" localSheetId="7" name="percent_hybrid_hh_4w_veh_tfin" vbProcedure="false">nzp!#ref!</definedName>
    <definedName function="false" hidden="false" localSheetId="7" name="percent_hybrid_light_cargo_veh_tfin" vbProcedure="false">nzp!#ref!</definedName>
    <definedName function="false" hidden="false" localSheetId="7" name="percent_natgas_bus_tfin" vbProcedure="false">nzp!#ref!</definedName>
    <definedName function="false" hidden="false" localSheetId="7" name="percent_natgas_light_cargo_veh_tfin" vbProcedure="false">nzp!#ref!</definedName>
    <definedName function="false" hidden="false" localSheetId="7" name="phase_out_oil_electr" vbProcedure="false">BAU_SE!$C$102</definedName>
    <definedName function="false" hidden="false" localSheetId="7" name="phase_out_oil_heat" vbProcedure="false">BAU_SE!$C$103</definedName>
    <definedName function="false" hidden="false" localSheetId="7" name="pkm_share" vbProcedure="false">BAU_SE!$D$126:$J$129</definedName>
    <definedName function="false" hidden="false" localSheetId="7" name="policy_change_energy_speed" vbProcedure="false">BAU_SE!$C$197:$AD$201</definedName>
    <definedName function="false" hidden="false" localSheetId="7" name="policy_improvement_process_emissions_efficiency" vbProcedure="false">BAU_SE!$C$345</definedName>
    <definedName function="false" hidden="false" localSheetId="7" name="policy_to_improve_efficiency_speed" vbProcedure="false">BAU_SE!$C$185:$AD$189</definedName>
    <definedName function="false" hidden="false" localSheetId="7" name="pop_growth_timeseries" vbProcedure="false">BAU_SE!$C$5:$AL$5</definedName>
    <definedName function="false" hidden="false" localSheetId="7" name="pot_marg_land_biofuels" vbProcedure="false">nzp!#ref!</definedName>
    <definedName function="false" hidden="false" localSheetId="7" name="p_bioe_power" vbProcedure="false">BAU_SE!$C$18:$I$18</definedName>
    <definedName function="false" hidden="false" localSheetId="7" name="p_bioe_residues_growth" vbProcedure="false">BAU_SE!$C$38</definedName>
    <definedName function="false" hidden="false" localSheetId="7" name="p_biofuels_2gen_land_compet" vbProcedure="false">BAU_SE!$C$32</definedName>
    <definedName function="false" hidden="false" localSheetId="7" name="p_biofuels_3gen_land_compet" vbProcedure="false">BAU_SE!$C$34</definedName>
    <definedName function="false" hidden="false" localSheetId="7" name="p_biofuels_marg_land_growth" vbProcedure="false">BAU_SE!$C$40</definedName>
    <definedName function="false" hidden="false" localSheetId="7" name="p_biogas_growth" vbProcedure="false">BAU_SE!$C$42</definedName>
    <definedName function="false" hidden="false" localSheetId="7" name="p_capital_share" vbProcedure="false">BAU_SE!$F$8</definedName>
    <definedName function="false" hidden="false" localSheetId="7" name="p_CCS" vbProcedure="false">BAU_SE!$C$283:$I$310</definedName>
    <definedName function="false" hidden="false" localSheetId="7" name="p_change_over_hist_max_variation_FEI" vbProcedure="false">BAU_SE!$C$177</definedName>
    <definedName function="false" hidden="false" localSheetId="7" name="P_common_rr_minerals_variation_alt_techn" vbProcedure="false">BAU_SE!$C$264</definedName>
    <definedName function="false" hidden="false" localSheetId="7" name="P_common_rr_minerals_variation_Rest" vbProcedure="false">BAU_SE!$C$266</definedName>
    <definedName function="false" hidden="false" localSheetId="7" name="p_constraint_growth_unconv_gas" vbProcedure="false">BAU_SE!$C$75</definedName>
    <definedName function="false" hidden="false" localSheetId="7" name="p_constraint_growth_unconv_oil" vbProcedure="false">BAU_SE!$C$71</definedName>
    <definedName function="false" hidden="false" localSheetId="7" name="p_CSP_power" vbProcedure="false">BAU_SE!$C$23:$I$23</definedName>
    <definedName function="false" hidden="false" localSheetId="7" name="p_CTL_growth" vbProcedure="false">BAU_SE!$C$78</definedName>
    <definedName function="false" hidden="false" localSheetId="7" name="p_DAC" vbProcedure="false">BAU_SE!$C$341:$I$341</definedName>
    <definedName function="false" hidden="false" localSheetId="7" name="p_ETS" vbProcedure="false">BAU_SE!$C$62:$I$65</definedName>
    <definedName function="false" hidden="false" localSheetId="7" name="p_geot_heat_growth" vbProcedure="false">BAU_SE!$C$51</definedName>
    <definedName function="false" hidden="false" localSheetId="7" name="p_geot_power" vbProcedure="false">BAU_SE!$C$17:$I$17</definedName>
    <definedName function="false" hidden="false" localSheetId="7" name="p_GTL_growth" vbProcedure="false">BAU_SE!$C$80</definedName>
    <definedName function="false" hidden="false" localSheetId="7" name="p_hydro_power" vbProcedure="false">BAU_SE!$C$16:$I$16</definedName>
    <definedName function="false" hidden="false" localSheetId="7" name="p_labour_share" vbProcedure="false">BAU_SE!$C$8</definedName>
    <definedName function="false" hidden="false" localSheetId="7" name="p_nuclear_scen3_4_variation" vbProcedure="false">BAU_SE!$E$114</definedName>
    <definedName function="false" hidden="false" localSheetId="7" name="p_oceanic_power" vbProcedure="false">BAU_SE!$C$19:$I$19</definedName>
    <definedName function="false" hidden="false" localSheetId="7" name="p_offshore_wind_power" vbProcedure="false">BAU_SE!$C$21:$I$21</definedName>
    <definedName function="false" hidden="false" localSheetId="7" name="p_onshore_wind_power" vbProcedure="false">BAU_SE!$C$20:$I$20</definedName>
    <definedName function="false" hidden="false" localSheetId="7" name="p_PHS_power" vbProcedure="false">BAU_SE!$C$24:$I$24</definedName>
    <definedName function="false" hidden="false" localSheetId="7" name="p_pop_asymptote" vbProcedure="false">nzp!#ref!</definedName>
    <definedName function="false" hidden="false" localSheetId="7" name="p_PV_power" vbProcedure="false">BAU_SE!$C$22:$I$22</definedName>
    <definedName function="false" hidden="false" localSheetId="7" name="p_RES_power" vbProcedure="false">BAU_SE!$C$16:$I$23</definedName>
    <definedName function="false" hidden="false" localSheetId="7" name="P_rr_minerals_alt_techn" vbProcedure="false">BAU_SE!$D$244:$D$262</definedName>
    <definedName function="false" hidden="false" localSheetId="7" name="P_rr_minerals_Rest" vbProcedure="false">BAU_SE!$E$244:$E$262</definedName>
    <definedName function="false" hidden="false" localSheetId="7" name="p_share_FEH_vs_FED" vbProcedure="false">BAU_SE!$C$55:$C$57</definedName>
    <definedName function="false" hidden="false" localSheetId="7" name="p_share_FEH_vs_FED_bioE" vbProcedure="false">BAU_SE!$C$58</definedName>
    <definedName function="false" hidden="false" localSheetId="7" name="p_share_gas_elec" vbProcedure="false">BAU_SE!$C$111</definedName>
    <definedName function="false" hidden="false" localSheetId="7" name="p_solar_heat" vbProcedure="false">BAU_SE!$C$50</definedName>
    <definedName function="false" hidden="false" localSheetId="7" name="p_solid_bioe_heat" vbProcedure="false">BAU_SE!$C$52</definedName>
    <definedName function="false" hidden="false" localSheetId="7" name="p_timeseries_gdp_growth" vbProcedure="false">BAU_SE!$C$10:$AL$10</definedName>
    <definedName function="false" hidden="false" localSheetId="7" name="p_timeseries_pop_growth" vbProcedure="false">BAU_SE!$C$4:$AM$4</definedName>
    <definedName function="false" hidden="false" localSheetId="7" name="p_waste_growth" vbProcedure="false">BAU_SE!$C$45</definedName>
    <definedName function="false" hidden="false" localSheetId="7" name="RCP_GHG_emissions_select" vbProcedure="false">BAU_SE!$C$273</definedName>
    <definedName function="false" hidden="false" localSheetId="7" name="scarcity_feedback_final_fuel_replacement_flag" vbProcedure="false">BAU_SE!$C$226</definedName>
    <definedName function="false" hidden="false" localSheetId="7" name="sectoral_FEI_evolution_method" vbProcedure="false">BAU_SE!$C$171</definedName>
    <definedName function="false" hidden="false" localSheetId="7" name="select_gdp_evolution" vbProcedure="false">nzp!#ref!</definedName>
    <definedName function="false" hidden="false" localSheetId="7" name="select_nuclear_scen" vbProcedure="false">BAU_SE!$B$114</definedName>
    <definedName function="false" hidden="false" localSheetId="7" name="select_pop_evolution" vbProcedure="false">nzp!#ref!</definedName>
    <definedName function="false" hidden="false" localSheetId="7" name="sensitivity_to_scarcity_option" vbProcedure="false">BAU_SE!$C$227</definedName>
    <definedName function="false" hidden="false" localSheetId="7" name="sensitivity_to_scarcity_option_H" vbProcedure="false">BAU_SE!$C$231</definedName>
    <definedName function="false" hidden="false" localSheetId="7" name="separate_conv_and_unconv_gas" vbProcedure="false">BAU_SE!$C$74</definedName>
    <definedName function="false" hidden="false" localSheetId="7" name="separate_conv_and_unconv_oil" vbProcedure="false">BAU_SE!$C$70</definedName>
    <definedName function="false" hidden="false" localSheetId="7" name="share_available_roof" vbProcedure="false">BAU_SE!$C$398</definedName>
    <definedName function="false" hidden="false" localSheetId="7" name="share_available_roof_for_rooftop_PV" vbProcedure="false">BAU_SE!$C$399</definedName>
    <definedName function="false" hidden="false" localSheetId="7" name="share_ccs_energy" vbProcedure="false">BAU_SE!$C$312:$I$339</definedName>
    <definedName function="false" hidden="false" localSheetId="7" name="share_cellulosic_biof_vs_bioe_res" vbProcedure="false">BAU_SE!$C$37</definedName>
    <definedName function="false" hidden="false" localSheetId="7" name="share_curtailment" vbProcedure="false">BAU_SE!$C$25:$I$25</definedName>
    <definedName function="false" hidden="false" localSheetId="7" name="share_exports_electricity" vbProcedure="false">BAU_SE!$C$376:$I$376</definedName>
    <definedName function="false" hidden="false" localSheetId="7" name="share_PV_urban_tot_PV" vbProcedure="false">BAU_SE!$C$401</definedName>
    <definedName function="false" hidden="false" localSheetId="7" name="share_roof_solar_thermal" vbProcedure="false">BAU_SE!$C$400</definedName>
    <definedName function="false" hidden="false" localSheetId="7" name="share_RURR_agg_gas_underground" vbProcedure="false">BAU_SE!$C$98</definedName>
    <definedName function="false" hidden="false" localSheetId="7" name="share_RURR_agg_oil_underground" vbProcedure="false">BAU_SE!$C$96</definedName>
    <definedName function="false" hidden="false" localSheetId="7" name="share_RURR_coal_underground" vbProcedure="false">BAU_SE!$C$94</definedName>
    <definedName function="false" hidden="false" localSheetId="7" name="share_RURR_conv_gas_underground" vbProcedure="false">BAU_SE!$C$90</definedName>
    <definedName function="false" hidden="false" localSheetId="7" name="share_RURR_conv_oil_underground" vbProcedure="false">BAU_SE!$C$86</definedName>
    <definedName function="false" hidden="false" localSheetId="7" name="share_RURR_unconv_gas_underground" vbProcedure="false">BAU_SE!$C$92</definedName>
    <definedName function="false" hidden="false" localSheetId="7" name="share_RURR_unconv_oil_underground" vbProcedure="false">BAU_SE!$C$88</definedName>
    <definedName function="false" hidden="false" localSheetId="7" name="share_target_year_oil_for_elec" vbProcedure="false">BAU_SE!$C$108</definedName>
    <definedName function="false" hidden="false" localSheetId="7" name="share_target_year_oil_for_heat" vbProcedure="false">BAU_SE!$C$109</definedName>
    <definedName function="false" hidden="false" localSheetId="7" name="share_trans_loss" vbProcedure="false">BAU_SE!$C$26:$I$26</definedName>
    <definedName function="false" hidden="false" localSheetId="7" name="start_policy_year_agg_gas_underground" vbProcedure="false">BAU_SE!$C$97</definedName>
    <definedName function="false" hidden="false" localSheetId="7" name="start_policy_year_agg_oil_underground" vbProcedure="false">BAU_SE!$C$95</definedName>
    <definedName function="false" hidden="false" localSheetId="7" name="start_policy_year_coal_underground" vbProcedure="false">BAU_SE!$C$93</definedName>
    <definedName function="false" hidden="false" localSheetId="7" name="start_policy_year_conv_gas_underground" vbProcedure="false">BAU_SE!$C$89</definedName>
    <definedName function="false" hidden="false" localSheetId="7" name="start_policy_year_conv_oil_underground" vbProcedure="false">BAU_SE!$C$85</definedName>
    <definedName function="false" hidden="false" localSheetId="7" name="start_policy_year_unconv_gas_underground" vbProcedure="false">BAU_SE!$C$91</definedName>
    <definedName function="false" hidden="false" localSheetId="7" name="start_policy_year_unconv_oil_underground" vbProcedure="false">BAU_SE!$C$87</definedName>
    <definedName function="false" hidden="false" localSheetId="7" name="start_policy_year_unconv_opil_underground" vbProcedure="false">BAU_SE!$C$87</definedName>
    <definedName function="false" hidden="false" localSheetId="7" name="start_year_3gen_cell_biofuels" vbProcedure="false">BAU_SE!$C$33</definedName>
    <definedName function="false" hidden="false" localSheetId="7" name="start_year_bioe_residues_non_biofuels" vbProcedure="false">BAU_SE!$C$36</definedName>
    <definedName function="false" hidden="false" localSheetId="7" name="start_year_biofuels_land_marg" vbProcedure="false">BAU_SE!$C$39</definedName>
    <definedName function="false" hidden="false" localSheetId="7" name="start_year_cell_efficency_PV" vbProcedure="false">BAU_SE!$C$393</definedName>
    <definedName function="false" hidden="false" localSheetId="7" name="start_year_modification_EI" vbProcedure="false">BAU_SE!$C$212</definedName>
    <definedName function="false" hidden="false" localSheetId="7" name="start_year_nuclear_variation_scen3_4" vbProcedure="false">BAU_SE!$E$115</definedName>
    <definedName function="false" hidden="false" localSheetId="7" name="start_year_policies_transport" vbProcedure="false">BAU_SE!$D$122</definedName>
    <definedName function="false" hidden="false" localSheetId="7" name="start_year_policy_phase_out_oil_for_electricity" vbProcedure="false">BAU_SE!$C$104</definedName>
    <definedName function="false" hidden="false" localSheetId="7" name="start_year_policy_phase_out_oil_for_heat" vbProcedure="false">BAU_SE!$C$105</definedName>
    <definedName function="false" hidden="false" localSheetId="7" name="start_year_P_common_rr_minerals_alt_techn" vbProcedure="false">BAU_SE!$C$265</definedName>
    <definedName function="false" hidden="false" localSheetId="7" name="start_year_P_common_rr_minerals_Rest" vbProcedure="false">BAU_SE!$C$267</definedName>
    <definedName function="false" hidden="false" localSheetId="7" name="start_year_p_growth_RES_elec" vbProcedure="false">BAU_SE!$C$15</definedName>
    <definedName function="false" hidden="false" localSheetId="7" name="start_year_p_growth_RES_heat" vbProcedure="false">BAU_SE!$C$48</definedName>
    <definedName function="false" hidden="false" localSheetId="7" name="start_year_P_rr_minerals" vbProcedure="false">BAU_SE!$B$243</definedName>
    <definedName function="false" hidden="false" localSheetId="7" name="start_year_P_urban_land_density" vbProcedure="false">BAU_SE!$C$387</definedName>
    <definedName function="false" hidden="false" localSheetId="7" name="start_year_variation_primary_forest" vbProcedure="false">BAU_SE!$C$385</definedName>
    <definedName function="false" hidden="false" localSheetId="7" name="target_year_asymptote_gdp" vbProcedure="false">nzp!#ref!</definedName>
    <definedName function="false" hidden="false" localSheetId="7" name="target_year_asymptote_pop" vbProcedure="false">nzp!#ref!</definedName>
    <definedName function="false" hidden="false" localSheetId="7" name="target_year_policy_gas_electricity" vbProcedure="false">BAU_SE!$C$110</definedName>
    <definedName function="false" hidden="false" localSheetId="7" name="target_year_policy_phase_out_oil_electricity" vbProcedure="false">BAU_SE!$C$106</definedName>
    <definedName function="false" hidden="false" localSheetId="7" name="target_year_policy_phase_out_oil_heat" vbProcedure="false">BAU_SE!$C$107</definedName>
    <definedName function="false" hidden="false" localSheetId="7" name="target_year_process_emissions" vbProcedure="false">BAU_SE!$C$344</definedName>
    <definedName function="false" hidden="false" localSheetId="7" name="target_year_p_growth_RES_elec" vbProcedure="false">nzp!#ref!</definedName>
    <definedName function="false" hidden="false" localSheetId="7" name="target_year_p_growth_RES_heat" vbProcedure="false">BAU_SE!$C$49</definedName>
    <definedName function="false" hidden="false" localSheetId="7" name="target_year_P_rr_minerals" vbProcedure="false">BAU_SE!$B$242</definedName>
    <definedName function="false" hidden="false" localSheetId="7" name="target_year_P_urban_land_density" vbProcedure="false">BAU_SE!$C$388</definedName>
    <definedName function="false" hidden="false" localSheetId="7" name="targ_year_cell_efficiency_PV" vbProcedure="false">BAU_SE!$C$394</definedName>
    <definedName function="false" hidden="false" localSheetId="7" name="tfin_policy_hh_veh" vbProcedure="false">nzp!#ref!</definedName>
    <definedName function="false" hidden="false" localSheetId="7" name="tfin_policy_inland_transp_veh" vbProcedure="false">nzp!#ref!</definedName>
    <definedName function="false" hidden="false" localSheetId="7" name="time_afforestation" vbProcedure="false">BAU_SE!$C$352:$X$352</definedName>
    <definedName function="false" hidden="false" localSheetId="7" name="tini_policy_hh_veh" vbProcedure="false">nzp!#ref!</definedName>
    <definedName function="false" hidden="false" localSheetId="7" name="tini_policy_inland_transp_veh" vbProcedure="false">nzp!#ref!</definedName>
    <definedName function="false" hidden="false" localSheetId="7" name="tkm_share" vbProcedure="false">BAU_SE!$D$123:$J$125</definedName>
    <definedName function="false" hidden="false" localSheetId="7" name="unlimited_coal" vbProcedure="false">nzp!#ref!</definedName>
    <definedName function="false" hidden="false" localSheetId="7" name="unlimited_gas" vbProcedure="false">nzp!#ref!</definedName>
    <definedName function="false" hidden="false" localSheetId="7" name="unlimited_NRE" vbProcedure="false">nzp!#ref!</definedName>
    <definedName function="false" hidden="false" localSheetId="7" name="unlimited_oil" vbProcedure="false">nzp!#ref!</definedName>
    <definedName function="false" hidden="false" localSheetId="7" name="unlimited_uranium" vbProcedure="false">nzp!#ref!</definedName>
    <definedName function="false" hidden="false" localSheetId="7" name="urban_land_density" vbProcedure="false">BAU_SE!$C$386</definedName>
    <definedName function="false" hidden="false" localSheetId="7" name="variation_primary_forest" vbProcedure="false">BAU_SE!$C$384</definedName>
    <definedName function="false" hidden="false" localSheetId="7" name="years_co2_luc" vbProcedure="false">BAU_SE!$C$348:$I$348</definedName>
    <definedName function="false" hidden="false" localSheetId="7" name="years_pop_growth" vbProcedure="false">BAU_SE!$C$4:$AL$4</definedName>
    <definedName function="false" hidden="false" localSheetId="7" name="year_change_pct_energy_intensity_target" vbProcedure="false">BAU_SE!$C$222</definedName>
    <definedName function="false" hidden="false" localSheetId="7" name="year_customized_gdp_evol" vbProcedure="false">nzp!#ref!</definedName>
    <definedName function="false" hidden="false" localSheetId="7" name="year_customized_pop_evol" vbProcedure="false">nzp!#ref!</definedName>
    <definedName function="false" hidden="false" localSheetId="7" name="year_gdp_timeseries" vbProcedure="false">BAU_SE!$C$9:$AL$9</definedName>
    <definedName function="false" hidden="false" localSheetId="7" name="year_net_energy_flux" vbProcedure="false">BAU_SE!$B$365:$H$365</definedName>
    <definedName function="false" hidden="false" localSheetId="7" name="year_policy_change_energy" vbProcedure="false">BAU_SE!$C$191:$AD$195</definedName>
    <definedName function="false" hidden="false" localSheetId="7" name="Year_policy_share_res_heat" vbProcedure="false">BAU_SE!$C$54</definedName>
    <definedName function="false" hidden="false" localSheetId="7" name="year_policy_to_improve_efficiency" vbProcedure="false">BAU_SE!$C$179:$AD$183</definedName>
    <definedName function="false" hidden="false" localSheetId="7" name="year_pop_timeseries" vbProcedure="false">BAU_SE!$C$4:$AL$4</definedName>
    <definedName function="false" hidden="false" localSheetId="7" name="year_ref_RURR" vbProcedure="false">BAU_SE!$C$84</definedName>
    <definedName function="false" hidden="false" localSheetId="7" name="year_RES_power" vbProcedure="false">BAU_SE!$C$15:$I$15</definedName>
    <definedName function="false" hidden="false" localSheetId="7" name="year_RURR_coal" vbProcedure="false">BAU_SE!$C$84</definedName>
    <definedName function="false" hidden="false" localSheetId="7" name="year_synthetic" vbProcedure="false">BAU_SE!$C$61:$I$61</definedName>
    <definedName function="false" hidden="false" localSheetId="7" name="year_to_finish_energy_intensity_policies" vbProcedure="false">BAU_SE!$C$203:$AD$207</definedName>
    <definedName function="false" hidden="false" localSheetId="7" name="year_transport_fuel_share_pkm" vbProcedure="false">BAU_SE!$C$148:$I$148</definedName>
    <definedName function="false" hidden="false" localSheetId="7" name="year_transport_fuel_share_tkm" vbProcedure="false">BAU_SE!$C$134:$I$134</definedName>
    <definedName function="false" hidden="false" localSheetId="7" name="Year_transport_share" vbProcedure="false">BAU_SE!$D$122:$J$122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Autoria desconeguda</author>
  </authors>
  <commentList>
    <comment ref="A135" authorId="0">
      <text>
        <r>
          <rPr>
            <sz val="10"/>
            <rFont val="Arial"/>
            <family val="2"/>
          </rPr>
          <t xml:space="preserve">Iñigo:
</t>
        </r>
        <r>
          <rPr>
            <sz val="9"/>
            <color rgb="FF000000"/>
            <rFont val="Tahoma"/>
            <family val="2"/>
            <charset val="1"/>
          </rPr>
          <t xml:space="preserve">Policies to reduce oil contribution in electricity linearly following linear decreasing trend</t>
        </r>
      </text>
    </comment>
    <comment ref="A136" authorId="0">
      <text>
        <r>
          <rPr>
            <sz val="10"/>
            <rFont val="Arial"/>
            <family val="2"/>
          </rPr>
          <t xml:space="preserve">Iñigo:
</t>
        </r>
        <r>
          <rPr>
            <sz val="9"/>
            <color rgb="FF000000"/>
            <rFont val="Tahoma"/>
            <family val="2"/>
            <charset val="1"/>
          </rPr>
          <t xml:space="preserve">Policies to reduce oil contribution in heat linearly following linear decreasing trend</t>
        </r>
      </text>
    </comment>
    <comment ref="A247" authorId="0">
      <text>
        <r>
          <rPr>
            <sz val="10"/>
            <rFont val="Arial"/>
            <family val="2"/>
          </rPr>
          <t xml:space="preserve">By default energy instensities of the year 2009</t>
        </r>
      </text>
    </comment>
    <comment ref="A25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FP207" authorId="0">
      <text>
        <r>
          <rPr>
            <sz val="10"/>
            <rFont val="Arial"/>
            <family val="2"/>
          </rPr>
          <t xml:space="preserve">Iñigo:
</t>
        </r>
        <r>
          <rPr>
            <sz val="9"/>
            <color rgb="FF000000"/>
            <rFont val="Tahoma"/>
            <family val="2"/>
            <charset val="1"/>
          </rPr>
          <t xml:space="preserve">For the initial intensity, WIOD reports 0; however we have included the arbitrary low value "0.001" so this sector also reacts to potential energy scarcities.</t>
        </r>
      </text>
    </comment>
  </commentList>
</comments>
</file>

<file path=xl/comments3.xml><?xml version="1.0" encoding="utf-8"?>
<comments xmlns="http://schemas.openxmlformats.org/spreadsheetml/2006/main" xmlns:xdr="http://schemas.openxmlformats.org/drawingml/2006/spreadsheetDrawing">
  <authors>
    <author>Autoria desconeguda</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349" authorId="0">
      <text>
        <r>
          <rPr>
            <sz val="10"/>
            <rFont val="Arial"/>
            <family val="2"/>
          </rPr>
          <t xml:space="preserve">Iñigo:
</t>
        </r>
        <r>
          <rPr>
            <sz val="9"/>
            <color rgb="FF000000"/>
            <rFont val="Tahoma"/>
            <family val="2"/>
            <charset val="1"/>
          </rPr>
          <t xml:space="preserve">Approximation: cte at 2010 level from 1990 to 2100.</t>
        </r>
      </text>
    </comment>
    <comment ref="A353" authorId="0">
      <text>
        <r>
          <rPr>
            <sz val="10"/>
            <rFont val="Arial"/>
            <family val="2"/>
          </rPr>
          <t xml:space="preserve">Iñigo:
</t>
        </r>
        <r>
          <rPr>
            <sz val="9"/>
            <color rgb="FF000000"/>
            <rFont val="Tahoma"/>
            <family val="2"/>
            <charset val="1"/>
          </rPr>
          <t xml:space="preserve">Nilsson &amp; Schopfhauser (1995)</t>
        </r>
      </text>
    </comment>
  </commentList>
</comments>
</file>

<file path=xl/comments4.xml><?xml version="1.0" encoding="utf-8"?>
<comments xmlns="http://schemas.openxmlformats.org/spreadsheetml/2006/main" xmlns:xdr="http://schemas.openxmlformats.org/drawingml/2006/spreadsheetDrawing">
  <authors>
    <author>Autoria desconeguda</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349" authorId="0">
      <text>
        <r>
          <rPr>
            <sz val="10"/>
            <rFont val="Arial"/>
            <family val="2"/>
          </rPr>
          <t xml:space="preserve">Iñigo:
</t>
        </r>
        <r>
          <rPr>
            <sz val="9"/>
            <color rgb="FF000000"/>
            <rFont val="Tahoma"/>
            <family val="2"/>
            <charset val="1"/>
          </rPr>
          <t xml:space="preserve">Approximation: cte at 2010 level from 1990 to 2100.</t>
        </r>
      </text>
    </comment>
    <comment ref="A353" authorId="0">
      <text>
        <r>
          <rPr>
            <sz val="10"/>
            <rFont val="Arial"/>
            <family val="2"/>
          </rPr>
          <t xml:space="preserve">Iñigo:
</t>
        </r>
        <r>
          <rPr>
            <sz val="9"/>
            <color rgb="FF000000"/>
            <rFont val="Tahoma"/>
            <family val="2"/>
            <charset val="1"/>
          </rPr>
          <t xml:space="preserve">Nilsson &amp; Schopfhauser (1995)</t>
        </r>
      </text>
    </comment>
  </commentList>
</comments>
</file>

<file path=xl/comments5.xml><?xml version="1.0" encoding="utf-8"?>
<comments xmlns="http://schemas.openxmlformats.org/spreadsheetml/2006/main" xmlns:xdr="http://schemas.openxmlformats.org/drawingml/2006/spreadsheetDrawing">
  <authors>
    <author>Autoria desconeguda</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349" authorId="0">
      <text>
        <r>
          <rPr>
            <sz val="10"/>
            <rFont val="Arial"/>
            <family val="2"/>
          </rPr>
          <t xml:space="preserve">Iñigo:
</t>
        </r>
        <r>
          <rPr>
            <sz val="9"/>
            <color rgb="FF000000"/>
            <rFont val="Tahoma"/>
            <family val="2"/>
            <charset val="1"/>
          </rPr>
          <t xml:space="preserve">Approximation: cte at 2010 level from 1990 to 2100.</t>
        </r>
      </text>
    </comment>
    <comment ref="A353" authorId="0">
      <text>
        <r>
          <rPr>
            <sz val="10"/>
            <rFont val="Arial"/>
            <family val="2"/>
          </rPr>
          <t xml:space="preserve">Iñigo:
</t>
        </r>
        <r>
          <rPr>
            <sz val="9"/>
            <color rgb="FF000000"/>
            <rFont val="Tahoma"/>
            <family val="2"/>
            <charset val="1"/>
          </rPr>
          <t xml:space="preserve">Nilsson &amp; Schopfhauser (1995)</t>
        </r>
      </text>
    </comment>
  </commentList>
</comments>
</file>

<file path=xl/comments6.xml><?xml version="1.0" encoding="utf-8"?>
<comments xmlns="http://schemas.openxmlformats.org/spreadsheetml/2006/main" xmlns:xdr="http://schemas.openxmlformats.org/drawingml/2006/spreadsheetDrawing">
  <authors>
    <author>Autoria desconeguda</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349" authorId="0">
      <text>
        <r>
          <rPr>
            <sz val="10"/>
            <rFont val="Arial"/>
            <family val="2"/>
          </rPr>
          <t xml:space="preserve">Iñigo:
</t>
        </r>
        <r>
          <rPr>
            <sz val="9"/>
            <color rgb="FF000000"/>
            <rFont val="Tahoma"/>
            <family val="2"/>
            <charset val="1"/>
          </rPr>
          <t xml:space="preserve">Approximation: cte at 2010 level from 1990 to 2100.</t>
        </r>
      </text>
    </comment>
    <comment ref="A353" authorId="0">
      <text>
        <r>
          <rPr>
            <sz val="10"/>
            <rFont val="Arial"/>
            <family val="2"/>
          </rPr>
          <t xml:space="preserve">Iñigo:
</t>
        </r>
        <r>
          <rPr>
            <sz val="9"/>
            <color rgb="FF000000"/>
            <rFont val="Tahoma"/>
            <family val="2"/>
            <charset val="1"/>
          </rPr>
          <t xml:space="preserve">Nilsson &amp; Schopfhauser (1995)</t>
        </r>
      </text>
    </comment>
  </commentList>
</comments>
</file>

<file path=xl/comments7.xml><?xml version="1.0" encoding="utf-8"?>
<comments xmlns="http://schemas.openxmlformats.org/spreadsheetml/2006/main" xmlns:xdr="http://schemas.openxmlformats.org/drawingml/2006/spreadsheetDrawing">
  <authors>
    <author>Autoria desconeguda</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349" authorId="0">
      <text>
        <r>
          <rPr>
            <sz val="10"/>
            <rFont val="Arial"/>
            <family val="2"/>
          </rPr>
          <t xml:space="preserve">Iñigo:
</t>
        </r>
        <r>
          <rPr>
            <sz val="9"/>
            <color rgb="FF000000"/>
            <rFont val="Tahoma"/>
            <family val="2"/>
            <charset val="1"/>
          </rPr>
          <t xml:space="preserve">Approximation: cte at 2010 level from 1990 to 2100.</t>
        </r>
      </text>
    </comment>
    <comment ref="A353" authorId="0">
      <text>
        <r>
          <rPr>
            <sz val="10"/>
            <rFont val="Arial"/>
            <family val="2"/>
          </rPr>
          <t xml:space="preserve">Iñigo:
</t>
        </r>
        <r>
          <rPr>
            <sz val="9"/>
            <color rgb="FF000000"/>
            <rFont val="Tahoma"/>
            <family val="2"/>
            <charset val="1"/>
          </rPr>
          <t xml:space="preserve">Nilsson &amp; Schopfhauser (1995)</t>
        </r>
      </text>
    </comment>
  </commentList>
</comments>
</file>

<file path=xl/comments8.xml><?xml version="1.0" encoding="utf-8"?>
<comments xmlns="http://schemas.openxmlformats.org/spreadsheetml/2006/main" xmlns:xdr="http://schemas.openxmlformats.org/drawingml/2006/spreadsheetDrawing">
  <authors>
    <author>Autoria desconeguda</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349" authorId="0">
      <text>
        <r>
          <rPr>
            <sz val="10"/>
            <rFont val="Arial"/>
            <family val="2"/>
          </rPr>
          <t xml:space="preserve">Iñigo:
</t>
        </r>
        <r>
          <rPr>
            <sz val="9"/>
            <color rgb="FF000000"/>
            <rFont val="Tahoma"/>
            <family val="2"/>
            <charset val="1"/>
          </rPr>
          <t xml:space="preserve">Approximation: cte at 2010 level from 1990 to 2100.</t>
        </r>
      </text>
    </comment>
    <comment ref="A353" authorId="0">
      <text>
        <r>
          <rPr>
            <sz val="10"/>
            <rFont val="Arial"/>
            <family val="2"/>
          </rPr>
          <t xml:space="preserve">Iñigo:
</t>
        </r>
        <r>
          <rPr>
            <sz val="9"/>
            <color rgb="FF000000"/>
            <rFont val="Tahoma"/>
            <family val="2"/>
            <charset val="1"/>
          </rPr>
          <t xml:space="preserve">Nilsson &amp; Schopfhauser (1995)</t>
        </r>
      </text>
    </comment>
  </commentList>
</comments>
</file>

<file path=xl/sharedStrings.xml><?xml version="1.0" encoding="utf-8"?>
<sst xmlns="http://schemas.openxmlformats.org/spreadsheetml/2006/main" count="7400" uniqueCount="666">
  <si>
    <t xml:space="preserve">File overview</t>
  </si>
  <si>
    <t xml:space="preserve">        Scenario </t>
  </si>
  <si>
    <t xml:space="preserve">Net Zero Pathway (NZP)</t>
  </si>
  <si>
    <t xml:space="preserve">        Brief description </t>
  </si>
  <si>
    <t xml:space="preserve">Scenario that reaches net zero emissions by 2050</t>
  </si>
  <si>
    <t xml:space="preserve">        Geograpical coverage</t>
  </si>
  <si>
    <t xml:space="preserve">European Union (EU) - 27</t>
  </si>
  <si>
    <t xml:space="preserve">        Status</t>
  </si>
  <si>
    <t xml:space="preserve">First draft</t>
  </si>
  <si>
    <t xml:space="preserve">        Dissemination level</t>
  </si>
  <si>
    <t xml:space="preserve">Internal</t>
  </si>
  <si>
    <t xml:space="preserve">        Released</t>
  </si>
  <si>
    <t xml:space="preserve">        Authors</t>
  </si>
  <si>
    <t xml:space="preserve">File structure</t>
  </si>
  <si>
    <t xml:space="preserve">        Readme</t>
  </si>
  <si>
    <t xml:space="preserve">        Info input variables  &lt;-- needs to be edited (to be discussed)</t>
  </si>
  <si>
    <t xml:space="preserve">        Net Zero Pathway</t>
  </si>
  <si>
    <t xml:space="preserve">        User defined scenario &lt;-- needs to be edited (to be discussed)</t>
  </si>
  <si>
    <t xml:space="preserve">Additional information</t>
  </si>
  <si>
    <t xml:space="preserve">        About the scenario</t>
  </si>
  <si>
    <t xml:space="preserve">"Net zero pathway (NZP) technical overview"</t>
  </si>
  <si>
    <t xml:space="preserve">        About the model</t>
  </si>
  <si>
    <t xml:space="preserve">Model documentation</t>
  </si>
  <si>
    <t xml:space="preserve">        Other</t>
  </si>
  <si>
    <t xml:space="preserve">Please, contact ...</t>
  </si>
  <si>
    <t xml:space="preserve">Name of simulated scenario</t>
  </si>
  <si>
    <t xml:space="preserve">Trend demand (all sectors)</t>
  </si>
  <si>
    <t xml:space="preserve">P labor share 2050</t>
  </si>
  <si>
    <t xml:space="preserve">Dmnl</t>
  </si>
  <si>
    <t xml:space="preserve">Labour share in 2050</t>
  </si>
  <si>
    <t xml:space="preserve">P GDP</t>
  </si>
  <si>
    <t xml:space="preserve">P desired annual GDPpc growth rate select option</t>
  </si>
  <si>
    <t xml:space="preserve">Selection of GDPpc growth option</t>
  </si>
  <si>
    <t xml:space="preserve">0. SSP2</t>
  </si>
  <si>
    <t xml:space="preserve">Always 2 in this cell</t>
  </si>
  <si>
    <t xml:space="preserve">1. Timeseries</t>
  </si>
  <si>
    <t xml:space="preserve">Year</t>
  </si>
  <si>
    <t xml:space="preserve">1/Year</t>
  </si>
  <si>
    <t xml:space="preserve">GDPpc growth annual timeseries option</t>
  </si>
  <si>
    <t xml:space="preserve">2. From customized year, set annual constant variation</t>
  </si>
  <si>
    <t xml:space="preserve">From year:</t>
  </si>
  <si>
    <t xml:space="preserve">Year start custimized GDPpc growth</t>
  </si>
  <si>
    <t xml:space="preserve">Constant annual variation (1/Year):</t>
  </si>
  <si>
    <t xml:space="preserve">GDPpc growth</t>
  </si>
  <si>
    <t xml:space="preserve">3. From customized year, set asymptote target</t>
  </si>
  <si>
    <t xml:space="preserve">asymptote (GDPpc)</t>
  </si>
  <si>
    <t xml:space="preserve">GDPpc desired in target year</t>
  </si>
  <si>
    <t xml:space="preserve">Target year asymptote</t>
  </si>
  <si>
    <t xml:space="preserve">Population</t>
  </si>
  <si>
    <t xml:space="preserve">P annual population growth rate select option</t>
  </si>
  <si>
    <t xml:space="preserve">Selection of population frowth option</t>
  </si>
  <si>
    <t xml:space="preserve">0. Select SSP projection [write "SSPi", i:1...5]</t>
  </si>
  <si>
    <t xml:space="preserve">SSP option (i=1…5)</t>
  </si>
  <si>
    <t xml:space="preserve">Population growth annual timseries option</t>
  </si>
  <si>
    <t xml:space="preserve">Year start custimized population</t>
  </si>
  <si>
    <t xml:space="preserve">Population growth</t>
  </si>
  <si>
    <t xml:space="preserve">asymptote (million people)</t>
  </si>
  <si>
    <t xml:space="preserve">Population desired in target year</t>
  </si>
  <si>
    <t xml:space="preserve">Nuclear</t>
  </si>
  <si>
    <t xml:space="preserve">Selection of nuclear scenario</t>
  </si>
  <si>
    <t xml:space="preserve">1. Constant power capacity at current levels</t>
  </si>
  <si>
    <t xml:space="preserve">Selection of the nuclear scenario in "inputs.xlsx"</t>
  </si>
  <si>
    <t xml:space="preserve">2. No more nuclear installed, current capacity depreciates</t>
  </si>
  <si>
    <t xml:space="preserve">3. Growth of nuclear power</t>
  </si>
  <si>
    <t xml:space="preserve">4. Phase-out of nuclear power</t>
  </si>
  <si>
    <t xml:space="preserve">P nuclear scen3-4 (%annual variation)</t>
  </si>
  <si>
    <t xml:space="preserve">Annual variation of new nuclear power plants (scenarios 3 and 4 of nuclear evolution) from the year "start year nuclear growth scen3-4".</t>
  </si>
  <si>
    <t xml:space="preserve">start year nuclear variation scen3-4</t>
  </si>
  <si>
    <t xml:space="preserve">Start year of variation of nuclear power plants (Nuclear scenarios 3 and 4).</t>
  </si>
  <si>
    <t xml:space="preserve">Techno-ecological potential electric RES</t>
  </si>
  <si>
    <t xml:space="preserve">Solar PV efficiency</t>
  </si>
  <si>
    <t xml:space="preserve">max hydro </t>
  </si>
  <si>
    <t xml:space="preserve">TWe</t>
  </si>
  <si>
    <t xml:space="preserve">Techno-ecological potential of hydro </t>
  </si>
  <si>
    <t xml:space="preserve">Cell efficiency solar PV in target year</t>
  </si>
  <si>
    <t xml:space="preserve">Average solar irradiance</t>
  </si>
  <si>
    <t xml:space="preserve">We/m2</t>
  </si>
  <si>
    <t xml:space="preserve">max PE geot-elec</t>
  </si>
  <si>
    <t xml:space="preserve">TWth</t>
  </si>
  <si>
    <t xml:space="preserve">Share of geothermal for electricity in relation to the total potential of geothermal (including thermal uses).</t>
  </si>
  <si>
    <t xml:space="preserve">Start year cell efficiency solar PV</t>
  </si>
  <si>
    <t xml:space="preserve">max potential PHS</t>
  </si>
  <si>
    <t xml:space="preserve">Techno-ecological potential of PHS</t>
  </si>
  <si>
    <t xml:space="preserve">Target year cell efficiency solar PV</t>
  </si>
  <si>
    <t xml:space="preserve">max oceanic </t>
  </si>
  <si>
    <t xml:space="preserve">Techno-ecological potential of oceanic</t>
  </si>
  <si>
    <t xml:space="preserve">Solar PV and heat potential in urban areas</t>
  </si>
  <si>
    <t xml:space="preserve">max onshore wind </t>
  </si>
  <si>
    <t xml:space="preserve">Techno-ecological potential of onshore wind</t>
  </si>
  <si>
    <t xml:space="preserve">share available roof over total urban land</t>
  </si>
  <si>
    <t xml:space="preserve">max offshore wind </t>
  </si>
  <si>
    <t xml:space="preserve">Techno-ecological potential of offshore wind</t>
  </si>
  <si>
    <t xml:space="preserve">share of available roof for rooftop PV</t>
  </si>
  <si>
    <t xml:space="preserve">share of available roof for solar thermal</t>
  </si>
  <si>
    <t xml:space="preserve">Projection electric RES</t>
  </si>
  <si>
    <t xml:space="preserve">Efficiency improvement RES elec</t>
  </si>
  <si>
    <t xml:space="preserve">P hydro growth</t>
  </si>
  <si>
    <t xml:space="preserve">annual growth%</t>
  </si>
  <si>
    <t xml:space="preserve">Annual growth in energy output demand depending on the policy of the scenario.</t>
  </si>
  <si>
    <t xml:space="preserve">Start year P growth RES elec</t>
  </si>
  <si>
    <t xml:space="preserve">Start year of growth in renewable electric sources</t>
  </si>
  <si>
    <t xml:space="preserve">Cell efficiency of solar PV in the target year marked below</t>
  </si>
  <si>
    <t xml:space="preserve">P geot-elec growth</t>
  </si>
  <si>
    <t xml:space="preserve">Target year P growth RES elec</t>
  </si>
  <si>
    <t xml:space="preserve">Targe year in RES electric growth defined by scenario</t>
  </si>
  <si>
    <t xml:space="preserve">Start year variation cell efficiency solar PV</t>
  </si>
  <si>
    <t xml:space="preserve">P solid bioE-elec growth</t>
  </si>
  <si>
    <t xml:space="preserve">Target year variation cell efficiency solar PV</t>
  </si>
  <si>
    <t xml:space="preserve">P oceanic</t>
  </si>
  <si>
    <t xml:space="preserve">P share installed PV urban vs tot PV</t>
  </si>
  <si>
    <t xml:space="preserve">P onshore wind</t>
  </si>
  <si>
    <t xml:space="preserve">Share of available roof over total urban area</t>
  </si>
  <si>
    <t xml:space="preserve">P wind offshore</t>
  </si>
  <si>
    <t xml:space="preserve">P PHS</t>
  </si>
  <si>
    <t xml:space="preserve">share of available roof for rooftops for PV</t>
  </si>
  <si>
    <t xml:space="preserve">Share of avaiable roof for PV panels over total available roof</t>
  </si>
  <si>
    <t xml:space="preserve">P solar PV</t>
  </si>
  <si>
    <t xml:space="preserve">P CSP</t>
  </si>
  <si>
    <t xml:space="preserve">share installed PV urban vs tot PV</t>
  </si>
  <si>
    <t xml:space="preserve">Share of installed PV in urban areas in relation to the total PV installled</t>
  </si>
  <si>
    <t xml:space="preserve">Techno-ecological potential BioEnergy</t>
  </si>
  <si>
    <t xml:space="preserve">Max NPP potential BioE residues</t>
  </si>
  <si>
    <t xml:space="preserve">EJ/Year</t>
  </si>
  <si>
    <t xml:space="preserve">Sustainable potential NPP residues of bioenergy for other uses than biofuels.</t>
  </si>
  <si>
    <t xml:space="preserve">Additional land compet available for biofuels</t>
  </si>
  <si>
    <t xml:space="preserve">Mha</t>
  </si>
  <si>
    <t xml:space="preserve">Available land for biofuels in competition with other uses depending on the scenario.</t>
  </si>
  <si>
    <t xml:space="preserve">Potential marginal land available for biofuels</t>
  </si>
  <si>
    <t xml:space="preserve">Marginal land available forbiofuels without competing with other uses depending on the scenario.</t>
  </si>
  <si>
    <t xml:space="preserve">Projection BioEnergy</t>
  </si>
  <si>
    <t xml:space="preserve">P biofuels 2gen land compet</t>
  </si>
  <si>
    <t xml:space="preserve">Annual growth in energy hectares occupied depending on the policy of the scenario.</t>
  </si>
  <si>
    <t xml:space="preserve">start year biofuels land marg </t>
  </si>
  <si>
    <t xml:space="preserve">First year when the technology "P biofuels land marg" is available.</t>
  </si>
  <si>
    <t xml:space="preserve">start year 3gen cellulosic biofuels</t>
  </si>
  <si>
    <t xml:space="preserve">First year when 3rd generation biofuels are available.</t>
  </si>
  <si>
    <t xml:space="preserve">P biofuels land marg</t>
  </si>
  <si>
    <t xml:space="preserve">P biofuels 3gen land compet</t>
  </si>
  <si>
    <t xml:space="preserve">start year BioE residues for non-biofuels</t>
  </si>
  <si>
    <t xml:space="preserve">First year when the technology is available.</t>
  </si>
  <si>
    <t xml:space="preserve">share residues for cellulosic biofuels vs non-biofuels</t>
  </si>
  <si>
    <t xml:space="preserve">Share bioenergy residues potential allocated to cellulosic biofuels production.</t>
  </si>
  <si>
    <t xml:space="preserve">P bioE residues</t>
  </si>
  <si>
    <t xml:space="preserve">Biogas</t>
  </si>
  <si>
    <t xml:space="preserve">Waste</t>
  </si>
  <si>
    <t xml:space="preserve">Max PE biogas</t>
  </si>
  <si>
    <t xml:space="preserve">EJ</t>
  </si>
  <si>
    <t xml:space="preserve">Techno-ecological potential of biogas</t>
  </si>
  <si>
    <t xml:space="preserve">max PE waste</t>
  </si>
  <si>
    <t xml:space="preserve">Techno-ecological potential of waste</t>
  </si>
  <si>
    <t xml:space="preserve">P biogas</t>
  </si>
  <si>
    <t xml:space="preserve">P waste change</t>
  </si>
  <si>
    <t xml:space="preserve">Techno-ecological potential RES for heat</t>
  </si>
  <si>
    <t xml:space="preserve">FE solar thermal potential</t>
  </si>
  <si>
    <t xml:space="preserve">Techno-ecological potential of solar thermal</t>
  </si>
  <si>
    <t xml:space="preserve">Geot PE potential for heat TWth</t>
  </si>
  <si>
    <t xml:space="preserve">Techno-ecological potential of geot heat thermal</t>
  </si>
  <si>
    <t xml:space="preserve">Projection RES for heat</t>
  </si>
  <si>
    <t xml:space="preserve">Start year P growth RES heat</t>
  </si>
  <si>
    <t xml:space="preserve">Start year of growth in renewable heat sources</t>
  </si>
  <si>
    <t xml:space="preserve">Target year P growth RES heat</t>
  </si>
  <si>
    <t xml:space="preserve">P solar for heat</t>
  </si>
  <si>
    <t xml:space="preserve">P geothermal for heat</t>
  </si>
  <si>
    <t xml:space="preserve">P solid bioE for heat</t>
  </si>
  <si>
    <t xml:space="preserve">Afforestation</t>
  </si>
  <si>
    <t xml:space="preserve">Activate afforestation program (1=Y;0=N)</t>
  </si>
  <si>
    <t xml:space="preserve">1. Activated; 2. Not activated.</t>
  </si>
  <si>
    <t xml:space="preserve">Resources</t>
  </si>
  <si>
    <t xml:space="preserve">Oil</t>
  </si>
  <si>
    <t xml:space="preserve">Separate conv and unconv oil? (1=Y;0=N)</t>
  </si>
  <si>
    <t xml:space="preserve">Switch to disaggregate between conventional and unconventional fuel: "1" = disaggregation, "0" = conv+unconv aggregated (all the oil flows then through the right side of this view, i.e. the "conventional oil" modelling side).</t>
  </si>
  <si>
    <t xml:space="preserve">Unlimited oil? (1=Y;0=N)</t>
  </si>
  <si>
    <t xml:space="preserve">Switch to consider if oil is unlimited (1), or if it is limited (0). If limited then the available depletion curves are considered.</t>
  </si>
  <si>
    <t xml:space="preserve">Selection of conv oil curve
</t>
  </si>
  <si>
    <t xml:space="preserve">1. Maggio12 middle</t>
  </si>
  <si>
    <t xml:space="preserve">Select from the left</t>
  </si>
  <si>
    <t xml:space="preserve">2. Maggio12 High</t>
  </si>
  <si>
    <t xml:space="preserve">3. Maggio12 Low</t>
  </si>
  <si>
    <t xml:space="preserve">4. User defined in '139A'</t>
  </si>
  <si>
    <t xml:space="preserve">Selection of unconv oil curve</t>
  </si>
  <si>
    <t xml:space="preserve">1. Mohr15 BG</t>
  </si>
  <si>
    <t xml:space="preserve">2. Mohr15 Low</t>
  </si>
  <si>
    <t xml:space="preserve">3. Mohr15 High</t>
  </si>
  <si>
    <t xml:space="preserve">4. User defined in '141A'</t>
  </si>
  <si>
    <t xml:space="preserve">Selection of total oil curve</t>
  </si>
  <si>
    <t xml:space="preserve">1.Laherrère 2006</t>
  </si>
  <si>
    <t xml:space="preserve">2.User defined in '143A'</t>
  </si>
  <si>
    <t xml:space="preserve">Selection constraint extraction unconv oil</t>
  </si>
  <si>
    <t xml:space="preserve">1. User constant (annual growth%)</t>
  </si>
  <si>
    <t xml:space="preserve">User-defined annual extraction growth constraint path as a function of time for unconventional oil.</t>
  </si>
  <si>
    <t xml:space="preserve">Write "1" or "2"</t>
  </si>
  <si>
    <t xml:space="preserve">2. User defined as function of time '161A'</t>
  </si>
  <si>
    <t xml:space="preserve">Gas</t>
  </si>
  <si>
    <t xml:space="preserve">Separate conv and unconv gas? (1=Y;0=N)</t>
  </si>
  <si>
    <t xml:space="preserve">Switch to disaggregate between conventional and unconventional fuel: "1" = disaggregation, "0" = conv+unconv aggregated (all the gas flows then through the right side of this view, i.e. the "conventional gas" modelling side).</t>
  </si>
  <si>
    <t xml:space="preserve">Unlimited gas? (1=Y;0=N)</t>
  </si>
  <si>
    <t xml:space="preserve">Switch to consider if gas is unlimited (1), or if it is limited (0). If limited then the available depletion curves are considered.</t>
  </si>
  <si>
    <t xml:space="preserve">Selection of conv gas curve
</t>
  </si>
  <si>
    <t xml:space="preserve">1. BG Mohr15</t>
  </si>
  <si>
    <t xml:space="preserve">2. Low Mohr15</t>
  </si>
  <si>
    <t xml:space="preserve">3. High Mohr15</t>
  </si>
  <si>
    <t xml:space="preserve">4. User defined in '146A'</t>
  </si>
  <si>
    <t xml:space="preserve">Selection of unconv gas curve</t>
  </si>
  <si>
    <t xml:space="preserve">4. User defined in '148A'</t>
  </si>
  <si>
    <t xml:space="preserve">Selection of total gas curve</t>
  </si>
  <si>
    <t xml:space="preserve">1.Laherrére10</t>
  </si>
  <si>
    <t xml:space="preserve">2.Mohr12 BG</t>
  </si>
  <si>
    <t xml:space="preserve">3.User defined in '150A'</t>
  </si>
  <si>
    <t xml:space="preserve">Selection constraint extraction unconv gas</t>
  </si>
  <si>
    <t xml:space="preserve">User-defined annual extraction growth constraint path as a function of time for unconventional gas.</t>
  </si>
  <si>
    <t xml:space="preserve">2. User defined as function of time '163A'</t>
  </si>
  <si>
    <t xml:space="preserve">Coal</t>
  </si>
  <si>
    <t xml:space="preserve">Unlimited coal? (1=Y;0=N)</t>
  </si>
  <si>
    <t xml:space="preserve">Switch to consider if coal is unlimited (1), or if it is limited (0). If limited then the available depletion curves are considered.</t>
  </si>
  <si>
    <t xml:space="preserve">Selection of coal curve</t>
  </si>
  <si>
    <t xml:space="preserve">1. Mohr12 high</t>
  </si>
  <si>
    <t xml:space="preserve">5. User defined in '153A'</t>
  </si>
  <si>
    <t xml:space="preserve">Select from the right</t>
  </si>
  <si>
    <t xml:space="preserve">2. Mohr15 low</t>
  </si>
  <si>
    <t xml:space="preserve">3. Mohr15 BG</t>
  </si>
  <si>
    <t xml:space="preserve">4. Mohr15 high</t>
  </si>
  <si>
    <t xml:space="preserve">Uranium</t>
  </si>
  <si>
    <t xml:space="preserve">Unlimited uranium? (1=Y;0=N)</t>
  </si>
  <si>
    <t xml:space="preserve">Switch to consider if uranium is unlimited (1), or if it is limited (0). If limited then the available depletion curves are considered.</t>
  </si>
  <si>
    <t xml:space="preserve">Selection of uranium curve</t>
  </si>
  <si>
    <t xml:space="preserve">1.EWG13</t>
  </si>
  <si>
    <t xml:space="preserve">2.Zittel12</t>
  </si>
  <si>
    <t xml:space="preserve">3.User defined in '156A'</t>
  </si>
  <si>
    <t xml:space="preserve">CTL</t>
  </si>
  <si>
    <t xml:space="preserve">P CTL (annual growth%)</t>
  </si>
  <si>
    <t xml:space="preserve">GTL</t>
  </si>
  <si>
    <t xml:space="preserve">P GTL (annual growth%)</t>
  </si>
  <si>
    <t xml:space="preserve">Climate</t>
  </si>
  <si>
    <t xml:space="preserve">CC impacts</t>
  </si>
  <si>
    <t xml:space="preserve">Activate ELF?  (1=Y;0=N)</t>
  </si>
  <si>
    <t xml:space="preserve">Active/deactivate the energy loss function: (1) activate; (0) not active</t>
  </si>
  <si>
    <t xml:space="preserve">Warning: leaving fossil fuels in the ground*</t>
  </si>
  <si>
    <t xml:space="preserve">Conventional oil</t>
  </si>
  <si>
    <t xml:space="preserve">Start policy (Year)</t>
  </si>
  <si>
    <t xml:space="preserve">Year start policy of leaving fossil fuels in the ground</t>
  </si>
  <si>
    <t xml:space="preserve">Total aggregated oil</t>
  </si>
  <si>
    <t xml:space="preserve">RURR to leave underground (as a share of RURR in 2015)</t>
  </si>
  <si>
    <t xml:space="preserve">Share of RURR to leave underground vs RURR in 2015</t>
  </si>
  <si>
    <t xml:space="preserve">Unconventional oil</t>
  </si>
  <si>
    <t xml:space="preserve">Conventional gas</t>
  </si>
  <si>
    <t xml:space="preserve">Total aggregated gas</t>
  </si>
  <si>
    <t xml:space="preserve">Unconventional gas</t>
  </si>
  <si>
    <t xml:space="preserve">*If oil is modeled at aggregated level (conventional + unconventional), then the restriction should be placed only for conventional oil. The same applies for gas.</t>
  </si>
  <si>
    <t xml:space="preserve">Policies to reduce oil contribution in heat and electricity linearly</t>
  </si>
  <si>
    <t xml:space="preserve">Phase-out oil for electricity? (1: YES; 0: constant current share)</t>
  </si>
  <si>
    <t xml:space="preserve">Select yes or no policies to reduce oil contribution in heat and electricity linearly following linear decreasing trend</t>
  </si>
  <si>
    <t xml:space="preserve">start year policy phase-out oil for electricity</t>
  </si>
  <si>
    <t xml:space="preserve">Year start policy phase-out for electricity</t>
  </si>
  <si>
    <t xml:space="preserve">target year policy phase-out oil for electricity</t>
  </si>
  <si>
    <t xml:space="preserve">Year target policy phase-out for electricity</t>
  </si>
  <si>
    <t xml:space="preserve">Share in target year oil for elec</t>
  </si>
  <si>
    <t xml:space="preserve">Phase-out oil for heat? (1: YES; 0: constant current share)</t>
  </si>
  <si>
    <t xml:space="preserve">start year policy phase-out oil for heat</t>
  </si>
  <si>
    <t xml:space="preserve">Year start policy phase-out for heat</t>
  </si>
  <si>
    <t xml:space="preserve">target year policy phase-out oil for heat</t>
  </si>
  <si>
    <t xml:space="preserve">Year target policy phase-out for heat</t>
  </si>
  <si>
    <t xml:space="preserve">Share in target year oil for heat</t>
  </si>
  <si>
    <t xml:space="preserve">Transportation</t>
  </si>
  <si>
    <t xml:space="preserve">Activate policy HOUSEHOLDS transport </t>
  </si>
  <si>
    <t xml:space="preserve">Activate policy of alternative transport in households starting in T ini ending in T fin (1=YES /0= NO)</t>
  </si>
  <si>
    <t xml:space="preserve">Activate policy INLAND transport </t>
  </si>
  <si>
    <t xml:space="preserve">Activate policy of alternative transport in inland transportation starting in T ini ending in T fin (1=YES /0= NO)</t>
  </si>
  <si>
    <t xml:space="preserve">T ini policy HOUSEHOLDS vehcicles</t>
  </si>
  <si>
    <t xml:space="preserve">Year when policy of alternative households transport starts</t>
  </si>
  <si>
    <t xml:space="preserve">T fin policy HOUSEHOLD vehicles </t>
  </si>
  <si>
    <t xml:space="preserve">Year when policy of alternative househods transport finishes and policy is reached</t>
  </si>
  <si>
    <t xml:space="preserve">T ini policy INLAND transp vehicles</t>
  </si>
  <si>
    <t xml:space="preserve">Year when policy of alternative inland transport starts</t>
  </si>
  <si>
    <t xml:space="preserve">T fin policy INLAND transp vehicles</t>
  </si>
  <si>
    <t xml:space="preserve">Year when policy of alternative inland transport finishes and policy is reached</t>
  </si>
  <si>
    <t xml:space="preserve">Households transport policies, desired share of each vehicle  in T fin relative to its type (2w or 4w)  (alternative 4wheelers policies must add &lt;=1, 2wheeler electric policy must be&lt;=1)</t>
  </si>
  <si>
    <t xml:space="preserve">Policy electric household 4wheeler vehicle Tfin</t>
  </si>
  <si>
    <t xml:space="preserve">desired share of electric 4wheeler vehicles in Tfin relative to its type</t>
  </si>
  <si>
    <t xml:space="preserve">TYPES OF HOUSEHOLD VEHICLES</t>
  </si>
  <si>
    <t xml:space="preserve">Policy hybrid household 4w vehicle Tfin</t>
  </si>
  <si>
    <t xml:space="preserve">desired share of hybrid 4wheeler vehicles in Tfin relative to its type</t>
  </si>
  <si>
    <t xml:space="preserve">4wheeler electric= batery electric vehicles+plug in hybrids</t>
  </si>
  <si>
    <t xml:space="preserve">Policy gas household vehicle 4w Tfin</t>
  </si>
  <si>
    <t xml:space="preserve">desired share of gas 4wheeler vehicles in Tfin relative to its type</t>
  </si>
  <si>
    <t xml:space="preserve">4wheeler hybrid= non plug in hybrids</t>
  </si>
  <si>
    <t xml:space="preserve">Policy electric 2wheeler h. Tfin</t>
  </si>
  <si>
    <t xml:space="preserve">desired share of electric 2wheeler vehicles in Tfin relative to its type</t>
  </si>
  <si>
    <t xml:space="preserve">4wheeler gas= natural gas and LPG vehicles</t>
  </si>
  <si>
    <t xml:space="preserve">Policy change to 2wheeler h. Tfin</t>
  </si>
  <si>
    <t xml:space="preserve">desired share of 2wheels household vehicles in Tfin </t>
  </si>
  <si>
    <t xml:space="preserve">2wheeler elec= electric 2 and 2 wheelers</t>
  </si>
  <si>
    <t xml:space="preserve">Inland transport sector policies, desired share of each alternative vehicle  in T fin  relative to its type (HV, LV, bus, train)</t>
  </si>
  <si>
    <t xml:space="preserve">Every type maximun share =1</t>
  </si>
  <si>
    <t xml:space="preserve">Policy hybrid HV Tfin</t>
  </si>
  <si>
    <t xml:space="preserve">desired share of hibrid HV vehicles in Tfin relative to its type</t>
  </si>
  <si>
    <t xml:space="preserve">TYPES OF INLAND TRANSPORT SECTOR VEHICLES</t>
  </si>
  <si>
    <t xml:space="preserve">Policy gas HV Tfin</t>
  </si>
  <si>
    <t xml:space="preserve">desired share of gas HV vehicles in Tfin  relative to its type</t>
  </si>
  <si>
    <t xml:space="preserve">HV= heavy vehicles</t>
  </si>
  <si>
    <t xml:space="preserve">Policy electric LV Tfin</t>
  </si>
  <si>
    <t xml:space="preserve">desired share of electric LV vehicles in Tfin relative to its type</t>
  </si>
  <si>
    <t xml:space="preserve">LV= light cargo vehicles</t>
  </si>
  <si>
    <t xml:space="preserve">Policy hybrid LV Tfin</t>
  </si>
  <si>
    <t xml:space="preserve">desired share of hibrid LV vehicles in Tfin relative to its type</t>
  </si>
  <si>
    <t xml:space="preserve">bus= buses and coaches (urban and non urban)</t>
  </si>
  <si>
    <t xml:space="preserve">Policy gas LV Tfin</t>
  </si>
  <si>
    <t xml:space="preserve">desired share of gas LV vehicles in Tfin relative to its type</t>
  </si>
  <si>
    <t xml:space="preserve">trains= all railway vehicles</t>
  </si>
  <si>
    <t xml:space="preserve">Policy electric bus Tfin</t>
  </si>
  <si>
    <t xml:space="preserve">desired share of electric bus vehicles in Tfin  relative to its type</t>
  </si>
  <si>
    <t xml:space="preserve">Policy hybrid bus Tfin</t>
  </si>
  <si>
    <t xml:space="preserve">desired share of hibrid bus vehicles in Tfin relative to its type</t>
  </si>
  <si>
    <t xml:space="preserve">Clasitfications based on 'International Energy Agency (2016), Energy Technology Perspectives 2016, OECD/IEA, Paris'</t>
  </si>
  <si>
    <t xml:space="preserve">Policy gas bus Tfin</t>
  </si>
  <si>
    <t xml:space="preserve">desired share of gas bus vehicles in Tfin relative to its type</t>
  </si>
  <si>
    <t xml:space="preserve">Policy electric train Tfin</t>
  </si>
  <si>
    <t xml:space="preserve">desired share of electric train vehicles in Tfin relative to its type</t>
  </si>
  <si>
    <t xml:space="preserve">Sectoral final energy intensities by final fuel</t>
  </si>
  <si>
    <t xml:space="preserve">3 methods are available to set the future evolution of sectoral final energy intensities. By default, the "Dynamic evolution &amp; policies" (option 2) is selected. In this option, on top of the dynamic evolution, the user can select different policies. These policies can be projected individually for each sector or uniformly (same policies for all sectors); switch "'per sector (1) / sector-uniform (0)". Households are always considered separately. "Start year policy" refers to the year when the policy starts and "Speed policy" refers to the speed of the implementation of the policies (1-rapid/2-medium/3-slow) which is attained at 100% in "Target year energy intensity changes". In the case of the substitution of final energy sources by other final sources, the relative "efficiency rate of substitution" for each combination of final fuels must be specified. For example, if an internal combustion car is replaced by an electric car, the efficiency rate is 1/3 (i.e. for every EJ of diesel/gasoline saved, 0.33 EJ of electricity are consumed). 
The bottom-up approach is activated with "1" on the right of the name of the sector (currently only available in Inland transport). By default the top-down (TD) approach is used.  </t>
  </si>
  <si>
    <t xml:space="preserve">Final sectoral energy intensities evolution method</t>
  </si>
  <si>
    <t xml:space="preserve">1- Constant at 2009 levels</t>
  </si>
  <si>
    <t xml:space="preserve">2- Dynamic evolution &amp; policies</t>
  </si>
  <si>
    <t xml:space="preserve">3- Sectoral final energy intensity targets in target year defined by user</t>
  </si>
  <si>
    <t xml:space="preserve">2- DYNAMIC EVOLUTION &amp; POLICIES</t>
  </si>
  <si>
    <t xml:space="preserve">Min final energy intensity vs initial</t>
  </si>
  <si>
    <t xml:space="preserve">Minimin of energy intensity vs initial</t>
  </si>
  <si>
    <t xml:space="preserve">% of change over the historic maximun variation of final energy intensities</t>
  </si>
  <si>
    <t xml:space="preserve">%</t>
  </si>
  <si>
    <t xml:space="preserve">POLICIES</t>
  </si>
  <si>
    <t xml:space="preserve">per sector (1) / sector-uniform (0)</t>
  </si>
  <si>
    <t xml:space="preserve">Select evolution of the intensities between global or by sectors</t>
  </si>
  <si>
    <t xml:space="preserve">Target year energy intensity changes sectors</t>
  </si>
  <si>
    <t xml:space="preserve">Year target for the energy intensity policies for sectors</t>
  </si>
  <si>
    <t xml:space="preserve">Target year energy intensity changes households</t>
  </si>
  <si>
    <t xml:space="preserve">Year target for the energy intensity policies for hosueholds</t>
  </si>
  <si>
    <t xml:space="preserve">PER SECTOR</t>
  </si>
  <si>
    <t xml:space="preserve">FINAL ENERGY INTENSITIES</t>
  </si>
  <si>
    <t xml:space="preserve">Agriculture, Hunting, Forestry and Fishing</t>
  </si>
  <si>
    <t xml:space="preserve">Mining and Quarrying</t>
  </si>
  <si>
    <t xml:space="preserve">Food, Beverages and Tobacco</t>
  </si>
  <si>
    <t xml:space="preserve">Textiles and Textile Products</t>
  </si>
  <si>
    <t xml:space="preserve">Leather, Leather and Footwear</t>
  </si>
  <si>
    <t xml:space="preserve">Wood and Products of Wood and Cork</t>
  </si>
  <si>
    <t xml:space="preserve">Pulp, Paper, Paper , Printing and Publishing</t>
  </si>
  <si>
    <t xml:space="preserve">Coke, Refined Petroleum and Nuclear Fuel</t>
  </si>
  <si>
    <t xml:space="preserve">Chemicals and Chemical Products</t>
  </si>
  <si>
    <t xml:space="preserve">Rubber and Plastics</t>
  </si>
  <si>
    <t xml:space="preserve">Other Non-Metallic Mineral</t>
  </si>
  <si>
    <t xml:space="preserve">Basic Metals and Fabricated Metal</t>
  </si>
  <si>
    <t xml:space="preserve">Machinery, Nec</t>
  </si>
  <si>
    <t xml:space="preserve">Electrical and Optical Equipment</t>
  </si>
  <si>
    <t xml:space="preserve">Transport Equipment</t>
  </si>
  <si>
    <t xml:space="preserve">Manufacturing, Nec; Recycling</t>
  </si>
  <si>
    <t xml:space="preserve">Electricity, Gas and Water Supply</t>
  </si>
  <si>
    <t xml:space="preserve">Construction</t>
  </si>
  <si>
    <t xml:space="preserve">Sale, Maintenance and Repair of Motor Vehicles and Motorcycles; Retail Sale of Fuel</t>
  </si>
  <si>
    <t xml:space="preserve">Wholesale Trade and Commission Trade, Except of Motor Vehicles and Motorcycles</t>
  </si>
  <si>
    <t xml:space="preserve">Retail Trade, Except of Motor Vehicles and Motorcycles; Repair of Household Goods</t>
  </si>
  <si>
    <t xml:space="preserve">Hotels and Restaurants</t>
  </si>
  <si>
    <t xml:space="preserve">Inland Transport</t>
  </si>
  <si>
    <t xml:space="preserve">Activate bottom-up approach (Y=1;N=0)</t>
  </si>
  <si>
    <t xml:space="preserve">Water Transport</t>
  </si>
  <si>
    <t xml:space="preserve">Air Transport</t>
  </si>
  <si>
    <t xml:space="preserve">Other Supporting and Auxiliary Transport Activities; Activities of Travel Agencies</t>
  </si>
  <si>
    <t xml:space="preserve">Post and Telecommunications</t>
  </si>
  <si>
    <t xml:space="preserve">Financial Intermediation</t>
  </si>
  <si>
    <t xml:space="preserve">Real Estate Activities</t>
  </si>
  <si>
    <t xml:space="preserve">Renting of M&amp;Eq and Other Business Activities</t>
  </si>
  <si>
    <t xml:space="preserve">Public Admin and Defence; Compulsory Social Security</t>
  </si>
  <si>
    <t xml:space="preserve">Education</t>
  </si>
  <si>
    <t xml:space="preserve">Health and Social Work</t>
  </si>
  <si>
    <t xml:space="preserve">Other Community, Social and Personal Services</t>
  </si>
  <si>
    <t xml:space="preserve">Private Households with Employed Persons</t>
  </si>
  <si>
    <t xml:space="preserve">Final consumption expenditure by households</t>
  </si>
  <si>
    <t xml:space="preserve">Electricity</t>
  </si>
  <si>
    <t xml:space="preserve">Heat</t>
  </si>
  <si>
    <t xml:space="preserve">Liquids</t>
  </si>
  <si>
    <t xml:space="preserve">Gases</t>
  </si>
  <si>
    <t xml:space="preserve">Solids</t>
  </si>
  <si>
    <t xml:space="preserve">Improvement of efficiency policies</t>
  </si>
  <si>
    <t xml:space="preserve">Start year policy (Year)</t>
  </si>
  <si>
    <t xml:space="preserve">Speed policy (1-rapid/2-medium/3-slow)</t>
  </si>
  <si>
    <t xml:space="preserve">Technological change in final sources</t>
  </si>
  <si>
    <t xml:space="preserve">Efficiency rate of substitution</t>
  </si>
  <si>
    <t xml:space="preserve">SECTOR-UNIFORM</t>
  </si>
  <si>
    <t xml:space="preserve">All sectors</t>
  </si>
  <si>
    <t xml:space="preserve">3- SECTORAL FINAL ENERGY INTENSITY TARGET IN TARGET YEAR </t>
  </si>
  <si>
    <t xml:space="preserve">Choose final energy intensity target method</t>
  </si>
  <si>
    <t xml:space="preserve">1- Energy intensity target defined by user</t>
  </si>
  <si>
    <t xml:space="preserve">2- Variation in energy intensity over the intensity in defined year</t>
  </si>
  <si>
    <t xml:space="preserve">Final year energy intensity target</t>
  </si>
  <si>
    <t xml:space="preserve">Year target for the energy intensity </t>
  </si>
  <si>
    <t xml:space="preserve">start year modification EI</t>
  </si>
  <si>
    <t xml:space="preserve">Year in which the energy intensity modification starts</t>
  </si>
  <si>
    <t xml:space="preserve">1- Final energy intensity target defined by user</t>
  </si>
  <si>
    <t xml:space="preserve">FINAL ENERGY INTENSITY TARGET</t>
  </si>
  <si>
    <t xml:space="preserve">Target (EJ/T$ US1995)</t>
  </si>
  <si>
    <t xml:space="preserve">2- Variation in final energy intensity over the intensity in defined year</t>
  </si>
  <si>
    <t xml:space="preserve">Year over which the final energy intensities target is calculated</t>
  </si>
  <si>
    <t xml:space="preserve">Pct of change in final energy intensities over the given year</t>
  </si>
  <si>
    <t xml:space="preserve">Final fuel replacement driven by biophysical scarcity</t>
  </si>
  <si>
    <t xml:space="preserve">Activate scarcity feedback final fuel replacement? (1=Y;0=N)</t>
  </si>
  <si>
    <t xml:space="preserve">Select activate fuel replacement feedback or no</t>
  </si>
  <si>
    <t xml:space="preserve">Sensitivity to scarcity economic sectors</t>
  </si>
  <si>
    <t xml:space="preserve">1-Low</t>
  </si>
  <si>
    <t xml:space="preserve">Select the sentivity of scarcity for sectors (1,2 or 3)</t>
  </si>
  <si>
    <t xml:space="preserve">Sensitivity to scarcity Households</t>
  </si>
  <si>
    <t xml:space="preserve">Select the sentivity of scarcity for househols (1,2 or 3)</t>
  </si>
  <si>
    <t xml:space="preserve">2-Medium</t>
  </si>
  <si>
    <t xml:space="preserve">3-High</t>
  </si>
  <si>
    <t xml:space="preserve">Energy scarcity forgetting factor sectors</t>
  </si>
  <si>
    <t xml:space="preserve">years</t>
  </si>
  <si>
    <t xml:space="preserve">Time that society takes to forget the percepticon of scarcity for economic sectors.</t>
  </si>
  <si>
    <t xml:space="preserve">Energy scarcity forgetting factor Households</t>
  </si>
  <si>
    <t xml:space="preserve">Time that society takes to forget the percepticon of scarcity for households.</t>
  </si>
  <si>
    <t xml:space="preserve">Land</t>
  </si>
  <si>
    <t xml:space="preserve">P forest overxplotation</t>
  </si>
  <si>
    <t xml:space="preserve">Percent of unsustainable forest extraction allowed (0= only sustainable extraction allowed, 1=100% more than sustainable allowed)</t>
  </si>
  <si>
    <t xml:space="preserve">P minimum forest</t>
  </si>
  <si>
    <t xml:space="preserve">Policy target to avoid reducing forest area below this value</t>
  </si>
  <si>
    <t xml:space="preserve">P variation primary forest</t>
  </si>
  <si>
    <t xml:space="preserve">annual variation (%)</t>
  </si>
  <si>
    <t xml:space="preserve">Annual variation (%) of surface occupied by primary forest</t>
  </si>
  <si>
    <t xml:space="preserve">From the year:</t>
  </si>
  <si>
    <t xml:space="preserve">P urban land density</t>
  </si>
  <si>
    <t xml:space="preserve">m2/person</t>
  </si>
  <si>
    <t xml:space="preserve">Urban land vs total population</t>
  </si>
  <si>
    <t xml:space="preserve">Initial year urban land density</t>
  </si>
  <si>
    <t xml:space="preserve">Target year urban land density</t>
  </si>
  <si>
    <t xml:space="preserve">Minerals</t>
  </si>
  <si>
    <t xml:space="preserve">Minerals recycling rates</t>
  </si>
  <si>
    <t xml:space="preserve">Disaggregated by mineral (1) or common annual variation for all minerals (2)?</t>
  </si>
  <si>
    <t xml:space="preserve">Disaggregated by mineral (1):</t>
  </si>
  <si>
    <t xml:space="preserve">In the target year:</t>
  </si>
  <si>
    <t xml:space="preserve">Target year</t>
  </si>
  <si>
    <t xml:space="preserve">Starting in the year:</t>
  </si>
  <si>
    <t xml:space="preserve">Star year</t>
  </si>
  <si>
    <t xml:space="preserve">Alternative technologies (RES elec &amp; elec storage)</t>
  </si>
  <si>
    <t xml:space="preserve">Rest of the economy</t>
  </si>
  <si>
    <t xml:space="preserve">List of minerals</t>
  </si>
  <si>
    <t xml:space="preserve">Aluminium (Al)</t>
  </si>
  <si>
    <t xml:space="preserve">share </t>
  </si>
  <si>
    <t xml:space="preserve">share in target year</t>
  </si>
  <si>
    <t xml:space="preserve">Cadmium (Cd)</t>
  </si>
  <si>
    <t xml:space="preserve">Chromium (Cr)</t>
  </si>
  <si>
    <t xml:space="preserve">Copper (Cu)</t>
  </si>
  <si>
    <t xml:space="preserve">Galium (Ga)</t>
  </si>
  <si>
    <t xml:space="preserve">Indium (In)</t>
  </si>
  <si>
    <t xml:space="preserve">Iron (Fe)</t>
  </si>
  <si>
    <t xml:space="preserve">Lithium (Li)</t>
  </si>
  <si>
    <t xml:space="preserve">Magnesium (Mg)</t>
  </si>
  <si>
    <t xml:space="preserve">Manganese (Mn)</t>
  </si>
  <si>
    <t xml:space="preserve">Molybdenum (Mo)</t>
  </si>
  <si>
    <t xml:space="preserve">Nickel (Ni)</t>
  </si>
  <si>
    <t xml:space="preserve">Lead (Pb)</t>
  </si>
  <si>
    <t xml:space="preserve">Silver (Ag)</t>
  </si>
  <si>
    <t xml:space="preserve">Tin (Sn)</t>
  </si>
  <si>
    <t xml:space="preserve">Tellurium (Te)</t>
  </si>
  <si>
    <t xml:space="preserve">Titanium (Ti)</t>
  </si>
  <si>
    <t xml:space="preserve">Vanadium (V)</t>
  </si>
  <si>
    <t xml:space="preserve">Zinc (Zn)</t>
  </si>
  <si>
    <t xml:space="preserve">Common annual variation for all minerals (2):</t>
  </si>
  <si>
    <t xml:space="preserve">P recycling minerals Rest</t>
  </si>
  <si>
    <t xml:space="preserve">annual recycling rate variation (%)</t>
  </si>
  <si>
    <t xml:space="preserve">annual recycling rate for the rest of economy</t>
  </si>
  <si>
    <t xml:space="preserve">start year P recycling minerals Rest</t>
  </si>
  <si>
    <t xml:space="preserve">start year recycling mineralsfor the rest of economy</t>
  </si>
  <si>
    <t xml:space="preserve">P recycling minerals alternative technologies (RES elec &amp; EV batteries)</t>
  </si>
  <si>
    <t xml:space="preserve">annual recycling rate alternative technologies</t>
  </si>
  <si>
    <t xml:space="preserve">start year P recycling minerals alt technologies</t>
  </si>
  <si>
    <t xml:space="preserve">start year recycling minerals alternative technologies</t>
  </si>
  <si>
    <t xml:space="preserve">Energy Imports</t>
  </si>
  <si>
    <t xml:space="preserve">OIL</t>
  </si>
  <si>
    <t xml:space="preserve">Selection of the method to limit oil imports</t>
  </si>
  <si>
    <t xml:space="preserve">1. No limit in oil imports</t>
  </si>
  <si>
    <t xml:space="preserve">2. Oil imports limited by the share of oil imports in 2016</t>
  </si>
  <si>
    <t xml:space="preserve">3. Oil imports limited by the user</t>
  </si>
  <si>
    <t xml:space="preserve">Share vs world total extraction oil import by EU</t>
  </si>
  <si>
    <t xml:space="preserve">Share vs world total extraction</t>
  </si>
  <si>
    <t xml:space="preserve">NATURAL GAS</t>
  </si>
  <si>
    <t xml:space="preserve">Selection of the method to limit nat. gas imports</t>
  </si>
  <si>
    <t xml:space="preserve">1. No limit in nat. gas imports</t>
  </si>
  <si>
    <t xml:space="preserve">2. Nat. gas imports limited by the share of nat. gas imports in 2016</t>
  </si>
  <si>
    <t xml:space="preserve">3. Nat. gas imports limited by the user</t>
  </si>
  <si>
    <t xml:space="preserve">Share vs world total extraction nat. gas import by EU</t>
  </si>
  <si>
    <t xml:space="preserve">COAL</t>
  </si>
  <si>
    <t xml:space="preserve">Selection of the method to limit coal imports</t>
  </si>
  <si>
    <t xml:space="preserve">2. Coal imports limited by the share of coal imports in 2016</t>
  </si>
  <si>
    <t xml:space="preserve">3. Coal imports limited by the user</t>
  </si>
  <si>
    <t xml:space="preserve">Share vs world total extraction coal import by EU</t>
  </si>
  <si>
    <t xml:space="preserve">Net Zero Pathway</t>
  </si>
  <si>
    <t xml:space="preserve">1. SOCIOECONOMIC INDICATORS</t>
  </si>
  <si>
    <t xml:space="preserve">Population annual growth</t>
  </si>
  <si>
    <t xml:space="preserve">Policy labor share 2050</t>
  </si>
  <si>
    <t xml:space="preserve">Policy capital share 2050</t>
  </si>
  <si>
    <t xml:space="preserve">GDPpc annual growth</t>
  </si>
  <si>
    <t xml:space="preserve">2. RENEWABLE ENERGY SOURCES</t>
  </si>
  <si>
    <t xml:space="preserve">Year intalled power RES elec</t>
  </si>
  <si>
    <t xml:space="preserve">Policy hydro installed power</t>
  </si>
  <si>
    <t xml:space="preserve">TW</t>
  </si>
  <si>
    <t xml:space="preserve">Policy geot-elec installed power</t>
  </si>
  <si>
    <t xml:space="preserve">Policy solid bioE-elec installed power</t>
  </si>
  <si>
    <t xml:space="preserve">Policy oceanic installed power</t>
  </si>
  <si>
    <t xml:space="preserve">Policy onshore wind installed power</t>
  </si>
  <si>
    <t xml:space="preserve">Policy wind offshore installed power</t>
  </si>
  <si>
    <t xml:space="preserve">Policy solar PV installed power</t>
  </si>
  <si>
    <t xml:space="preserve">Policy CSP installed power</t>
  </si>
  <si>
    <t xml:space="preserve">Policy PHS installed power</t>
  </si>
  <si>
    <t xml:space="preserve">Policy curtailment and storage share variable RES</t>
  </si>
  <si>
    <t xml:space="preserve">Share elect transmission losses</t>
  </si>
  <si>
    <t xml:space="preserve">ç</t>
  </si>
  <si>
    <t xml:space="preserve">modern solid bioE</t>
  </si>
  <si>
    <t xml:space="preserve">2nd and 3rd generation biofuels</t>
  </si>
  <si>
    <t xml:space="preserve">Policy biofuels 2gen land compet</t>
  </si>
  <si>
    <t xml:space="preserve">Annual growth (%)</t>
  </si>
  <si>
    <t xml:space="preserve">Start year 3gen cellulosic biofuels</t>
  </si>
  <si>
    <t xml:space="preserve">Policy biofuels 3gen land compet</t>
  </si>
  <si>
    <t xml:space="preserve">Cellulosic biofuels and BioE residues </t>
  </si>
  <si>
    <t xml:space="preserve">Start year BioE residues for non-biofuels</t>
  </si>
  <si>
    <t xml:space="preserve">Share residues for cellulosic biofuels vs non-biofuels</t>
  </si>
  <si>
    <t xml:space="preserve">Policy bioE residues</t>
  </si>
  <si>
    <t xml:space="preserve">Start year biofuels land marg </t>
  </si>
  <si>
    <t xml:space="preserve">Policy biofuels land marg</t>
  </si>
  <si>
    <t xml:space="preserve">Policy biogas growth</t>
  </si>
  <si>
    <t xml:space="preserve">Policy waste change</t>
  </si>
  <si>
    <t xml:space="preserve">Start year policy growth RES heat</t>
  </si>
  <si>
    <t xml:space="preserve">Target year policy growth RES heat</t>
  </si>
  <si>
    <t xml:space="preserve">Policy solar for heat growth</t>
  </si>
  <si>
    <t xml:space="preserve">Policy geothermal for heat growth</t>
  </si>
  <si>
    <t xml:space="preserve">Policy solid bioenergy for heat growth</t>
  </si>
  <si>
    <t xml:space="preserve">Policy share RES heat share FF</t>
  </si>
  <si>
    <t xml:space="preserve">End year P share RES heat</t>
  </si>
  <si>
    <t xml:space="preserve">share liquids for heat</t>
  </si>
  <si>
    <t xml:space="preserve">share</t>
  </si>
  <si>
    <t xml:space="preserve">share gases for heat</t>
  </si>
  <si>
    <t xml:space="preserve">share coal for heat</t>
  </si>
  <si>
    <t xml:space="preserve">share solid bioE for heat</t>
  </si>
  <si>
    <t xml:space="preserve">Projection Electricity to syntehtic fuels</t>
  </si>
  <si>
    <t xml:space="preserve">Policy amonia</t>
  </si>
  <si>
    <t xml:space="preserve">Policy synthetic liquids</t>
  </si>
  <si>
    <t xml:space="preserve">Policy hydrogen</t>
  </si>
  <si>
    <t xml:space="preserve">Policy synthetic methane</t>
  </si>
  <si>
    <t xml:space="preserve">3. NON RENEWABLE RESOURCES</t>
  </si>
  <si>
    <t xml:space="preserve">Constraint to annual growth in extraction (%)</t>
  </si>
  <si>
    <t xml:space="preserve">Constraint to annual growth in extraction (annual growth%)</t>
  </si>
  <si>
    <t xml:space="preserve">Crash programme CTL? (1=Y;0=N)</t>
  </si>
  <si>
    <t xml:space="preserve">Policy CTL growth</t>
  </si>
  <si>
    <t xml:space="preserve">Annual growth%</t>
  </si>
  <si>
    <t xml:space="preserve">Crash programme GTL? (1=Y;0=N)</t>
  </si>
  <si>
    <t xml:space="preserve">Policy GTL growth</t>
  </si>
  <si>
    <t xml:space="preserve">Force leaving underground? (1=Y,0=N)</t>
  </si>
  <si>
    <t xml:space="preserve">Activate (1=si/0=no)</t>
  </si>
  <si>
    <t xml:space="preserve">Reference year RURR</t>
  </si>
  <si>
    <t xml:space="preserve">Start year policy phase-out oil for electricity</t>
  </si>
  <si>
    <t xml:space="preserve">Start year policy phase-out oil for heat</t>
  </si>
  <si>
    <t xml:space="preserve">Target year policy phase-out oil for electricity</t>
  </si>
  <si>
    <t xml:space="preserve">Target year policy phase-out oil for heat</t>
  </si>
  <si>
    <t xml:space="preserve">Target year policygas for electricity</t>
  </si>
  <si>
    <t xml:space="preserve">share gas/(coal+gas) in target year for electricity</t>
  </si>
  <si>
    <t xml:space="preserve">Start year nuclear variation scen3-4</t>
  </si>
  <si>
    <t xml:space="preserve">4. TRANSPORT POLICIES</t>
  </si>
  <si>
    <t xml:space="preserve">Transport mode shares</t>
  </si>
  <si>
    <t xml:space="preserve">tkm mode shares</t>
  </si>
  <si>
    <t xml:space="preserve">Inland</t>
  </si>
  <si>
    <t xml:space="preserve">Maritime</t>
  </si>
  <si>
    <t xml:space="preserve">Air</t>
  </si>
  <si>
    <t xml:space="preserve">pkm mode shares</t>
  </si>
  <si>
    <t xml:space="preserve">pkm households share  (share of inland transport) </t>
  </si>
  <si>
    <t xml:space="preserve">Sum pkm</t>
  </si>
  <si>
    <t xml:space="preserve">Dmnl (must be 1)</t>
  </si>
  <si>
    <t xml:space="preserve">Sum tkm</t>
  </si>
  <si>
    <t xml:space="preserve">Fuel shares shares tkm</t>
  </si>
  <si>
    <t xml:space="preserve">Inland </t>
  </si>
  <si>
    <t xml:space="preserve">Liquid</t>
  </si>
  <si>
    <t xml:space="preserve">Hybrid</t>
  </si>
  <si>
    <t xml:space="preserve">Fuel shares shares pkm</t>
  </si>
  <si>
    <t xml:space="preserve">Households</t>
  </si>
  <si>
    <t xml:space="preserve">5. ENERGY INTENSITIES </t>
  </si>
  <si>
    <t xml:space="preserve">Year policy to improve efficiency (year)</t>
  </si>
  <si>
    <t xml:space="preserve">Agriculture</t>
  </si>
  <si>
    <t xml:space="preserve">Chemical and Petrochemical</t>
  </si>
  <si>
    <t xml:space="preserve">Coal and Peat Mining</t>
  </si>
  <si>
    <t xml:space="preserve">Coke Oven Products</t>
  </si>
  <si>
    <t xml:space="preserve">Commercial and Public Services</t>
  </si>
  <si>
    <t xml:space="preserve">Electricity and Heat Generation</t>
  </si>
  <si>
    <t xml:space="preserve">Fishing</t>
  </si>
  <si>
    <t xml:space="preserve">Food and Tobacco</t>
  </si>
  <si>
    <t xml:space="preserve">Iron and Steel</t>
  </si>
  <si>
    <t xml:space="preserve">Land Transport</t>
  </si>
  <si>
    <t xml:space="preserve">Liquefaction (LNG) and Regasification Plants</t>
  </si>
  <si>
    <t xml:space="preserve">Machinery</t>
  </si>
  <si>
    <t xml:space="preserve">Non-Ferrous Metals</t>
  </si>
  <si>
    <t xml:space="preserve">Non-Metallic Minerals</t>
  </si>
  <si>
    <t xml:space="preserve">Nuclear Industry</t>
  </si>
  <si>
    <t xml:space="preserve">Oil Refineries</t>
  </si>
  <si>
    <t xml:space="preserve">Oil and Gas Extraction</t>
  </si>
  <si>
    <t xml:space="preserve">Other Industry</t>
  </si>
  <si>
    <t xml:space="preserve">Paper, Pulp and Print</t>
  </si>
  <si>
    <t xml:space="preserve">Pipeline Transport</t>
  </si>
  <si>
    <t xml:space="preserve">Textile and Leather</t>
  </si>
  <si>
    <t xml:space="preserve">Wood and Wood Products</t>
  </si>
  <si>
    <t xml:space="preserve">Policy to improve efficiency  speed (1-rapid/2-medium/3-slow)</t>
  </si>
  <si>
    <t xml:space="preserve">Year policy to change energy (year)</t>
  </si>
  <si>
    <t xml:space="preserve">Policy to change energy  speed (1-rapid/2-medium/3-slow)</t>
  </si>
  <si>
    <t xml:space="preserve">Year to finish energy intensity policies (year)</t>
  </si>
  <si>
    <t xml:space="preserve">Start year modification EI</t>
  </si>
  <si>
    <t xml:space="preserve">Energy intensity target (EJ/M$ US1995)</t>
  </si>
  <si>
    <t xml:space="preserve">Energy scarcity forgetting factor economic sectors</t>
  </si>
  <si>
    <t xml:space="preserve">Years</t>
  </si>
  <si>
    <t xml:space="preserve">6. CLIMATE AND ENVIRONMENT</t>
  </si>
  <si>
    <t xml:space="preserve">Percentage share in target year (%)</t>
  </si>
  <si>
    <t xml:space="preserve">Policy recycling minerals alternative technologies (RES elec &amp; EV batteries)</t>
  </si>
  <si>
    <t xml:space="preserve">Annual recycling rate variation (%)</t>
  </si>
  <si>
    <t xml:space="preserve">Start year P recycling minerals alt technologies</t>
  </si>
  <si>
    <t xml:space="preserve">Policy recycling minerals Rest</t>
  </si>
  <si>
    <t xml:space="preserve">Start year P recycling minerals Rest</t>
  </si>
  <si>
    <t xml:space="preserve">Other GHG emissions than CO2 emissions:</t>
  </si>
  <si>
    <t xml:space="preserve">Exogenous other GHG emissions: selection of RCP </t>
  </si>
  <si>
    <t xml:space="preserve">1.  RCP 2.6</t>
  </si>
  <si>
    <t xml:space="preserve">2. RCP 4.5</t>
  </si>
  <si>
    <t xml:space="preserve">3. RCP 6.0</t>
  </si>
  <si>
    <t xml:space="preserve">4. RCP 8.5</t>
  </si>
  <si>
    <t xml:space="preserve">CCS</t>
  </si>
  <si>
    <t xml:space="preserve">Year carbon capture capacity</t>
  </si>
  <si>
    <t xml:space="preserve">Share energy emissions related CCS</t>
  </si>
  <si>
    <t xml:space="preserve">DACC</t>
  </si>
  <si>
    <t xml:space="preserve">Installed capacity</t>
  </si>
  <si>
    <t xml:space="preserve">Policy Improvement process intensity</t>
  </si>
  <si>
    <t xml:space="preserve">Improvement</t>
  </si>
  <si>
    <t xml:space="preserve">Other GHG emissions</t>
  </si>
  <si>
    <t xml:space="preserve">Time</t>
  </si>
  <si>
    <t xml:space="preserve">Land use change emissions GtCO2</t>
  </si>
  <si>
    <t xml:space="preserve">GtCO2</t>
  </si>
  <si>
    <t xml:space="preserve">Afforestation program</t>
  </si>
  <si>
    <t xml:space="preserve">MtC/yr</t>
  </si>
  <si>
    <t xml:space="preserve">7. NET ENERGY FLUX (IMPORTS)</t>
  </si>
  <si>
    <t xml:space="preserve">Net energy flux</t>
  </si>
  <si>
    <t xml:space="preserve">EJ imported from Rest of the World</t>
  </si>
  <si>
    <t xml:space="preserve">Imports-exports</t>
  </si>
  <si>
    <t xml:space="preserve">Net flux biofuels (exports?)</t>
  </si>
  <si>
    <t xml:space="preserve">Exports share of electricity</t>
  </si>
  <si>
    <t xml:space="preserve">8. LAND USE</t>
  </si>
  <si>
    <t xml:space="preserve">Land-use</t>
  </si>
  <si>
    <t xml:space="preserve">Annual variation (%)</t>
  </si>
  <si>
    <t xml:space="preserve">Start year variation primary forest</t>
  </si>
  <si>
    <t xml:space="preserve">m2/people</t>
  </si>
  <si>
    <t xml:space="preserve">Efficiency rate of substitution (Dmnl)</t>
  </si>
  <si>
    <t xml:space="preserve">Mining_quarrying_and_energy_supply</t>
  </si>
  <si>
    <t xml:space="preserve">Food_beverages_and_tobacco</t>
  </si>
  <si>
    <t xml:space="preserve">Textiles_and_leather_etc</t>
  </si>
  <si>
    <t xml:space="preserve">Coke_refined_petroleum_nuclear_fuel_and_chemicals_etc</t>
  </si>
  <si>
    <t xml:space="preserve">Electrical_and_optical_equipment_and_Transport_equipment</t>
  </si>
  <si>
    <t xml:space="preserve">Other_manufacturing</t>
  </si>
  <si>
    <t xml:space="preserve">Distribution</t>
  </si>
  <si>
    <t xml:space="preserve">Hotels_and_restaurant</t>
  </si>
  <si>
    <t xml:space="preserve">Transport_storage_and_communication</t>
  </si>
  <si>
    <t xml:space="preserve">Financial_intermediation</t>
  </si>
  <si>
    <t xml:space="preserve">Real_estate_renting_and_busine_activitie</t>
  </si>
  <si>
    <t xml:space="preserve">Non_Market_Service</t>
  </si>
  <si>
    <t xml:space="preserve">Electricity by</t>
  </si>
  <si>
    <t xml:space="preserve">0.5</t>
  </si>
  <si>
    <t xml:space="preserve">Heat by</t>
  </si>
  <si>
    <t xml:space="preserve">Liquids by</t>
  </si>
  <si>
    <t xml:space="preserve">Gases by</t>
  </si>
  <si>
    <t xml:space="preserve">Solids by</t>
  </si>
  <si>
    <t xml:space="preserve">Electricity by </t>
  </si>
</sst>
</file>

<file path=xl/styles.xml><?xml version="1.0" encoding="utf-8"?>
<styleSheet xmlns="http://schemas.openxmlformats.org/spreadsheetml/2006/main">
  <numFmts count="12">
    <numFmt numFmtId="164" formatCode="General"/>
    <numFmt numFmtId="165" formatCode="_-* #,##0.00\ _€_-;\-* #,##0.00\ _€_-;_-* \-??\ _€_-;_-@_-"/>
    <numFmt numFmtId="166" formatCode="mmm\-yy"/>
    <numFmt numFmtId="167" formatCode="0%"/>
    <numFmt numFmtId="168" formatCode="0.0%"/>
    <numFmt numFmtId="169" formatCode="0.00%"/>
    <numFmt numFmtId="170" formatCode="#,##0.000"/>
    <numFmt numFmtId="171" formatCode="#,##0.0000"/>
    <numFmt numFmtId="172" formatCode="0"/>
    <numFmt numFmtId="173" formatCode="0.000"/>
    <numFmt numFmtId="174" formatCode="0.000%"/>
    <numFmt numFmtId="175" formatCode="0.00E+00"/>
  </numFmts>
  <fonts count="22">
    <font>
      <sz val="11"/>
      <color rgb="FF000000"/>
      <name val="Calibri"/>
      <family val="2"/>
      <charset val="1"/>
    </font>
    <font>
      <sz val="10"/>
      <name val="Arial"/>
      <family val="0"/>
    </font>
    <font>
      <sz val="10"/>
      <name val="Arial"/>
      <family val="0"/>
    </font>
    <font>
      <sz val="10"/>
      <name val="Arial"/>
      <family val="0"/>
    </font>
    <font>
      <sz val="11"/>
      <color rgb="FF3F3F76"/>
      <name val="Calibri"/>
      <family val="2"/>
      <charset val="1"/>
    </font>
    <font>
      <sz val="10"/>
      <name val="Arial"/>
      <family val="2"/>
      <charset val="1"/>
    </font>
    <font>
      <b val="true"/>
      <sz val="24"/>
      <color rgb="FF000000"/>
      <name val="Calibri"/>
      <family val="2"/>
      <charset val="1"/>
    </font>
    <font>
      <b val="true"/>
      <sz val="20"/>
      <color rgb="FF000000"/>
      <name val="Calibri"/>
      <family val="2"/>
      <charset val="1"/>
    </font>
    <font>
      <b val="true"/>
      <i val="true"/>
      <sz val="12"/>
      <color rgb="FF000000"/>
      <name val="Calibri"/>
      <family val="2"/>
      <charset val="1"/>
    </font>
    <font>
      <sz val="11"/>
      <color rgb="FFDDEBF7"/>
      <name val="Calibri"/>
      <family val="2"/>
      <charset val="1"/>
    </font>
    <font>
      <sz val="11"/>
      <color rgb="FFFF0000"/>
      <name val="Calibri"/>
      <family val="2"/>
      <charset val="1"/>
    </font>
    <font>
      <b val="true"/>
      <sz val="26"/>
      <color rgb="FF000000"/>
      <name val="Calibri"/>
      <family val="0"/>
    </font>
    <font>
      <sz val="24"/>
      <color rgb="FF000000"/>
      <name val="Calibri"/>
      <family val="2"/>
      <charset val="1"/>
    </font>
    <font>
      <b val="true"/>
      <sz val="11"/>
      <color rgb="FF000000"/>
      <name val="Calibri"/>
      <family val="2"/>
      <charset val="1"/>
    </font>
    <font>
      <sz val="11"/>
      <name val="Calibri"/>
      <family val="2"/>
      <charset val="1"/>
    </font>
    <font>
      <b val="true"/>
      <sz val="11"/>
      <name val="Calibri"/>
      <family val="2"/>
      <charset val="1"/>
    </font>
    <font>
      <i val="true"/>
      <sz val="11"/>
      <color rgb="FF000000"/>
      <name val="Calibri"/>
      <family val="2"/>
      <charset val="1"/>
    </font>
    <font>
      <sz val="10"/>
      <name val="Arial"/>
      <family val="2"/>
    </font>
    <font>
      <sz val="9"/>
      <color rgb="FF000000"/>
      <name val="Tahoma"/>
      <family val="2"/>
      <charset val="1"/>
    </font>
    <font>
      <b val="true"/>
      <sz val="14"/>
      <color rgb="FF000000"/>
      <name val="Calibri"/>
      <family val="2"/>
      <charset val="1"/>
    </font>
    <font>
      <b val="true"/>
      <sz val="10"/>
      <name val="Arial"/>
      <family val="2"/>
      <charset val="1"/>
    </font>
    <font>
      <sz val="10"/>
      <name val="Calibri"/>
      <family val="2"/>
      <charset val="1"/>
    </font>
  </fonts>
  <fills count="24">
    <fill>
      <patternFill patternType="none"/>
    </fill>
    <fill>
      <patternFill patternType="gray125"/>
    </fill>
    <fill>
      <patternFill patternType="solid">
        <fgColor rgb="FFFFCC99"/>
        <bgColor rgb="FFFFC7CE"/>
      </patternFill>
    </fill>
    <fill>
      <patternFill patternType="solid">
        <fgColor rgb="FF39C6DB"/>
        <bgColor rgb="FF00CCFF"/>
      </patternFill>
    </fill>
    <fill>
      <patternFill patternType="solid">
        <fgColor rgb="FFA2E8BD"/>
        <bgColor rgb="FFB7DEE8"/>
      </patternFill>
    </fill>
    <fill>
      <patternFill patternType="solid">
        <fgColor rgb="FFFFFF00"/>
        <bgColor rgb="FFF8F200"/>
      </patternFill>
    </fill>
    <fill>
      <patternFill patternType="solid">
        <fgColor rgb="FFFF0000"/>
        <bgColor rgb="FF9C0006"/>
      </patternFill>
    </fill>
    <fill>
      <patternFill patternType="solid">
        <fgColor rgb="FF00B050"/>
        <bgColor rgb="FF008080"/>
      </patternFill>
    </fill>
    <fill>
      <patternFill patternType="solid">
        <fgColor rgb="FF66FF33"/>
        <bgColor rgb="FF00FF00"/>
      </patternFill>
    </fill>
    <fill>
      <patternFill patternType="solid">
        <fgColor rgb="FFBFBFBF"/>
        <bgColor rgb="FFC9C9C9"/>
      </patternFill>
    </fill>
    <fill>
      <patternFill patternType="solid">
        <fgColor rgb="FFC9C9C9"/>
        <bgColor rgb="FFBFBFBF"/>
      </patternFill>
    </fill>
    <fill>
      <patternFill patternType="solid">
        <fgColor rgb="FF00FF00"/>
        <bgColor rgb="FF66FF33"/>
      </patternFill>
    </fill>
    <fill>
      <patternFill patternType="solid">
        <fgColor rgb="FFF8F200"/>
        <bgColor rgb="FFFFFF00"/>
      </patternFill>
    </fill>
    <fill>
      <patternFill patternType="solid">
        <fgColor rgb="FFD9D9D9"/>
        <bgColor rgb="FFC9C9C9"/>
      </patternFill>
    </fill>
    <fill>
      <patternFill patternType="solid">
        <fgColor rgb="FF9DC3E6"/>
        <bgColor rgb="FFBFBFBF"/>
      </patternFill>
    </fill>
    <fill>
      <patternFill patternType="solid">
        <fgColor rgb="FFA9D18E"/>
        <bgColor rgb="FFC3D69B"/>
      </patternFill>
    </fill>
    <fill>
      <patternFill patternType="solid">
        <fgColor rgb="FF000000"/>
        <bgColor rgb="FF003300"/>
      </patternFill>
    </fill>
    <fill>
      <patternFill patternType="solid">
        <fgColor rgb="FFC3D69B"/>
        <bgColor rgb="FFA9D18E"/>
      </patternFill>
    </fill>
    <fill>
      <patternFill patternType="solid">
        <fgColor rgb="FFB7DEE8"/>
        <bgColor rgb="FFD9D9D9"/>
      </patternFill>
    </fill>
    <fill>
      <patternFill patternType="solid">
        <fgColor theme="6" tint="0.7998"/>
        <bgColor rgb="FFE2EFDA"/>
      </patternFill>
    </fill>
    <fill>
      <patternFill patternType="solid">
        <fgColor theme="2" tint="-0.25"/>
        <bgColor rgb="FFBFBFBF"/>
      </patternFill>
    </fill>
    <fill>
      <patternFill patternType="solid">
        <fgColor rgb="FFE2EFDA"/>
        <bgColor rgb="FFEBF1DE"/>
      </patternFill>
    </fill>
    <fill>
      <patternFill patternType="solid">
        <fgColor rgb="FFFFFFFF"/>
        <bgColor rgb="FFEBF1DE"/>
      </patternFill>
    </fill>
    <fill>
      <patternFill patternType="solid">
        <fgColor theme="9" tint="0.7998"/>
        <bgColor rgb="FFEBF1DE"/>
      </patternFill>
    </fill>
  </fills>
  <borders count="47">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right/>
      <top style="medium"/>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medium"/>
      <right/>
      <top/>
      <bottom style="thin"/>
      <diagonal/>
    </border>
    <border diagonalUp="false" diagonalDown="false">
      <left/>
      <right/>
      <top style="thin"/>
      <bottom/>
      <diagonal/>
    </border>
    <border diagonalUp="false" diagonalDown="false">
      <left/>
      <right/>
      <top style="thin"/>
      <bottom style="thin"/>
      <diagonal/>
    </border>
    <border diagonalUp="false" diagonalDown="false">
      <left/>
      <right style="medium"/>
      <top style="thin"/>
      <bottom style="thin"/>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thin"/>
      <right/>
      <top/>
      <bottom/>
      <diagonal/>
    </border>
    <border diagonalUp="false" diagonalDown="false">
      <left style="thin"/>
      <right/>
      <top style="thin"/>
      <bottom/>
      <diagonal/>
    </border>
    <border diagonalUp="false" diagonalDown="false">
      <left style="medium"/>
      <right/>
      <top style="thin"/>
      <bottom style="thin"/>
      <diagonal/>
    </border>
    <border diagonalUp="false" diagonalDown="false">
      <left/>
      <right/>
      <top/>
      <bottom style="thin"/>
      <diagonal/>
    </border>
    <border diagonalUp="false" diagonalDown="false">
      <left style="medium"/>
      <right style="thin"/>
      <top style="thin"/>
      <bottom/>
      <diagonal/>
    </border>
    <border diagonalUp="false" diagonalDown="false">
      <left/>
      <right style="medium"/>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style="medium"/>
      <right style="thin"/>
      <top style="thin"/>
      <bottom style="thin"/>
      <diagonal/>
    </border>
    <border diagonalUp="false" diagonalDown="false">
      <left/>
      <right style="medium"/>
      <top style="thin"/>
      <bottom/>
      <diagonal/>
    </border>
    <border diagonalUp="false" diagonalDown="false">
      <left/>
      <right style="medium"/>
      <top/>
      <bottom style="thin"/>
      <diagonal/>
    </border>
    <border diagonalUp="false" diagonalDown="false">
      <left/>
      <right style="thin"/>
      <top/>
      <bottom style="thin"/>
      <diagonal/>
    </border>
    <border diagonalUp="false" diagonalDown="false">
      <left/>
      <right/>
      <top/>
      <bottom style="medium"/>
      <diagonal/>
    </border>
    <border diagonalUp="false" diagonalDown="false">
      <left/>
      <right style="medium"/>
      <top/>
      <bottom style="medium"/>
      <diagonal/>
    </border>
    <border diagonalUp="false" diagonalDown="false">
      <left/>
      <right style="thin"/>
      <top/>
      <bottom/>
      <diagonal/>
    </border>
    <border diagonalUp="false" diagonalDown="false">
      <left style="medium"/>
      <right style="medium"/>
      <top style="medium"/>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style="thin"/>
      <bottom style="thin"/>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medium"/>
      <top/>
      <bottom style="mediu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style="medium"/>
      <top style="medium"/>
      <bottom style="medium"/>
      <diagonal/>
    </border>
    <border diagonalUp="false" diagonalDown="false">
      <left style="thin"/>
      <right style="medium"/>
      <top style="thin"/>
      <bottom/>
      <diagonal/>
    </border>
    <border diagonalUp="false" diagonalDown="false">
      <left style="medium"/>
      <right style="medium"/>
      <top style="medium"/>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3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left" vertical="bottom" textRotation="0" wrapText="false" indent="0" shrinkToFit="false"/>
      <protection locked="true" hidden="false"/>
    </xf>
    <xf numFmtId="166" fontId="0" fillId="4" borderId="0" xfId="0" applyFont="false" applyBorder="false" applyAlignment="true" applyProtection="true">
      <alignment horizontal="left"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12" fillId="6" borderId="2" xfId="0" applyFont="tru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3" fillId="7" borderId="3" xfId="0" applyFont="true" applyBorder="true" applyAlignment="true" applyProtection="true">
      <alignment horizontal="general" vertical="bottom" textRotation="0" wrapText="false" indent="0" shrinkToFit="false"/>
      <protection locked="true" hidden="false"/>
    </xf>
    <xf numFmtId="164" fontId="0" fillId="7" borderId="2" xfId="0" applyFont="false" applyBorder="true" applyAlignment="true" applyProtection="true">
      <alignment horizontal="general"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false" indent="0" shrinkToFit="false"/>
      <protection locked="true" hidden="false"/>
    </xf>
    <xf numFmtId="164" fontId="14" fillId="8" borderId="5" xfId="0" applyFont="true" applyBorder="true" applyAlignment="true" applyProtection="true">
      <alignment horizontal="general" vertical="bottom" textRotation="0" wrapText="false" indent="0" shrinkToFit="false"/>
      <protection locked="true" hidden="false"/>
    </xf>
    <xf numFmtId="164" fontId="14" fillId="5" borderId="5" xfId="0" applyFont="true" applyBorder="true" applyAlignment="true" applyProtection="true">
      <alignment horizontal="general" vertical="bottom" textRotation="0" wrapText="false" indent="0" shrinkToFit="false"/>
      <protection locked="true" hidden="false"/>
    </xf>
    <xf numFmtId="164" fontId="14" fillId="8" borderId="6"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14" fillId="8" borderId="8" xfId="0" applyFont="true" applyBorder="true" applyAlignment="true" applyProtection="true">
      <alignment horizontal="center" vertical="center" textRotation="0" wrapText="false" indent="0" shrinkToFit="false"/>
      <protection locked="true" hidden="false"/>
    </xf>
    <xf numFmtId="164" fontId="14" fillId="5" borderId="7" xfId="0" applyFont="true" applyBorder="true" applyAlignment="true" applyProtection="true">
      <alignment horizontal="center" vertical="center" textRotation="0" wrapText="false" indent="0" shrinkToFit="false"/>
      <protection locked="true" hidden="false"/>
    </xf>
    <xf numFmtId="164" fontId="0" fillId="9" borderId="0" xfId="0" applyFont="true" applyBorder="false" applyAlignment="true" applyProtection="true">
      <alignment horizontal="center" vertical="bottom" textRotation="0" wrapText="false" indent="0" shrinkToFit="false"/>
      <protection locked="true" hidden="false"/>
    </xf>
    <xf numFmtId="164" fontId="0" fillId="5" borderId="10" xfId="0" applyFont="true" applyBorder="true" applyAlignment="true" applyProtection="true">
      <alignment horizontal="general" vertical="bottom" textRotation="0" wrapText="false" indent="0" shrinkToFit="false"/>
      <protection locked="true" hidden="false"/>
    </xf>
    <xf numFmtId="164" fontId="0" fillId="9" borderId="5" xfId="0" applyFont="true" applyBorder="true" applyAlignment="true" applyProtection="true">
      <alignment horizontal="center" vertical="center" textRotation="0" wrapText="false" indent="0" shrinkToFit="false"/>
      <protection locked="true" hidden="false"/>
    </xf>
    <xf numFmtId="164" fontId="0" fillId="8" borderId="8" xfId="0" applyFont="tru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5" borderId="5" xfId="0" applyFont="true" applyBorder="true" applyAlignment="true" applyProtection="true">
      <alignment horizontal="general" vertical="bottom" textRotation="0" wrapText="false" indent="0" shrinkToFit="false"/>
      <protection locked="true" hidden="false"/>
    </xf>
    <xf numFmtId="164" fontId="14" fillId="8" borderId="7" xfId="0" applyFont="true" applyBorder="true" applyAlignment="true" applyProtection="true">
      <alignment horizontal="left" vertical="center" textRotation="0" wrapText="false" indent="0" shrinkToFit="false"/>
      <protection locked="true" hidden="false"/>
    </xf>
    <xf numFmtId="164" fontId="0" fillId="5" borderId="11" xfId="0" applyFont="true" applyBorder="true" applyAlignment="true" applyProtection="true">
      <alignment horizontal="right" vertical="center" textRotation="0" wrapText="false" indent="0" shrinkToFit="false"/>
      <protection locked="true" hidden="false"/>
    </xf>
    <xf numFmtId="164" fontId="0" fillId="9" borderId="0" xfId="0" applyFont="true" applyBorder="false" applyAlignment="true" applyProtection="true">
      <alignment horizontal="center" vertical="center" textRotation="0" wrapText="false" indent="0" shrinkToFit="false"/>
      <protection locked="true" hidden="false"/>
    </xf>
    <xf numFmtId="164" fontId="13" fillId="7" borderId="12" xfId="0" applyFont="true" applyBorder="true" applyAlignment="true" applyProtection="true">
      <alignment horizontal="general" vertical="bottom" textRotation="0" wrapText="false" indent="0" shrinkToFit="false"/>
      <protection locked="true" hidden="false"/>
    </xf>
    <xf numFmtId="164" fontId="14" fillId="8" borderId="7" xfId="0" applyFont="true" applyBorder="true" applyAlignment="true" applyProtection="true">
      <alignment horizontal="center" vertical="center" textRotation="0" wrapText="false" indent="0" shrinkToFit="false"/>
      <protection locked="true" hidden="false"/>
    </xf>
    <xf numFmtId="164" fontId="14" fillId="5" borderId="11" xfId="0" applyFont="true" applyBorder="true" applyAlignment="true" applyProtection="true">
      <alignment horizontal="center" vertical="center" textRotation="0" wrapText="false" indent="0" shrinkToFit="false"/>
      <protection locked="true" hidden="false"/>
    </xf>
    <xf numFmtId="164" fontId="14" fillId="9" borderId="5" xfId="0" applyFont="true" applyBorder="true" applyAlignment="true" applyProtection="true">
      <alignment horizontal="center"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5" borderId="13" xfId="0" applyFont="false" applyBorder="true" applyAlignment="true" applyProtection="true">
      <alignment horizontal="general" vertical="bottom" textRotation="0" wrapText="false" indent="0" shrinkToFit="false"/>
      <protection locked="true" hidden="false"/>
    </xf>
    <xf numFmtId="164" fontId="0" fillId="5" borderId="14" xfId="0" applyFont="false" applyBorder="true" applyAlignment="true" applyProtection="true">
      <alignment horizontal="general" vertical="bottom" textRotation="0" wrapText="false" indent="0" shrinkToFit="false"/>
      <protection locked="true" hidden="false"/>
    </xf>
    <xf numFmtId="164" fontId="14" fillId="8" borderId="15" xfId="0" applyFont="true" applyBorder="tru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7" fontId="14" fillId="0" borderId="0" xfId="0" applyFont="true" applyBorder="false" applyAlignment="true" applyProtection="true">
      <alignment horizontal="general" vertical="bottom" textRotation="0" wrapText="false" indent="0" shrinkToFit="false"/>
      <protection locked="true" hidden="false"/>
    </xf>
    <xf numFmtId="164" fontId="13" fillId="7" borderId="16" xfId="0" applyFont="true" applyBorder="true" applyAlignment="true" applyProtection="true">
      <alignment horizontal="general" vertical="bottom" textRotation="0" wrapText="false" indent="0" shrinkToFit="false"/>
      <protection locked="true" hidden="false"/>
    </xf>
    <xf numFmtId="164" fontId="0" fillId="7" borderId="8" xfId="0" applyFont="false" applyBorder="true" applyAlignment="true" applyProtection="true">
      <alignment horizontal="general" vertical="bottom" textRotation="0" wrapText="false" indent="0" shrinkToFit="false"/>
      <protection locked="true" hidden="false"/>
    </xf>
    <xf numFmtId="164" fontId="0" fillId="7" borderId="17" xfId="0" applyFont="false" applyBorder="true" applyAlignment="true" applyProtection="true">
      <alignment horizontal="general" vertical="bottom" textRotation="0" wrapText="false" indent="0" shrinkToFit="false"/>
      <protection locked="true" hidden="false"/>
    </xf>
    <xf numFmtId="164" fontId="0" fillId="7" borderId="9" xfId="0" applyFont="false" applyBorder="true" applyAlignment="true" applyProtection="true">
      <alignment horizontal="general" vertical="bottom" textRotation="0" wrapText="false" indent="0" shrinkToFit="false"/>
      <protection locked="true" hidden="false"/>
    </xf>
    <xf numFmtId="164" fontId="0" fillId="8" borderId="18" xfId="0" applyFont="true" applyBorder="true" applyAlignment="true" applyProtection="true">
      <alignment horizontal="center" vertical="center" textRotation="0" wrapText="true" indent="0" shrinkToFit="false"/>
      <protection locked="true" hidden="false"/>
    </xf>
    <xf numFmtId="164" fontId="0" fillId="10" borderId="5" xfId="0" applyFont="true" applyBorder="true" applyAlignment="true" applyProtection="true">
      <alignment horizontal="general" vertical="bottom" textRotation="0" wrapText="false" indent="0" shrinkToFit="false"/>
      <protection locked="true" hidden="false"/>
    </xf>
    <xf numFmtId="164" fontId="0" fillId="5" borderId="5"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0" fillId="0" borderId="7" xfId="0" applyFont="false" applyBorder="true" applyAlignment="true" applyProtection="true">
      <alignment horizontal="center" vertical="center" textRotation="0" wrapText="false" indent="0" shrinkToFit="false"/>
      <protection locked="true" hidden="false"/>
    </xf>
    <xf numFmtId="164" fontId="0" fillId="0" borderId="19"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14" fillId="8" borderId="10" xfId="0" applyFont="true" applyBorder="true" applyAlignment="true" applyProtection="true">
      <alignment horizontal="general" vertical="bottom" textRotation="0" wrapText="false" indent="0" shrinkToFit="false"/>
      <protection locked="true" hidden="false"/>
    </xf>
    <xf numFmtId="168" fontId="14" fillId="5" borderId="8" xfId="19" applyFont="true" applyBorder="true" applyAlignment="true" applyProtection="true">
      <alignment horizontal="general" vertical="bottom" textRotation="0" wrapText="false" indent="0" shrinkToFit="false"/>
      <protection locked="true" hidden="false"/>
    </xf>
    <xf numFmtId="164" fontId="0" fillId="11" borderId="5" xfId="0" applyFont="tru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center" vertical="center" textRotation="0" wrapText="false" indent="0" shrinkToFit="false"/>
      <protection locked="true" hidden="false"/>
    </xf>
    <xf numFmtId="168" fontId="14" fillId="0" borderId="0" xfId="19" applyFont="true" applyBorder="true" applyAlignment="true" applyProtection="true">
      <alignment horizontal="general" vertical="bottom" textRotation="0" wrapText="false" indent="0" shrinkToFit="false"/>
      <protection locked="true" hidden="false"/>
    </xf>
    <xf numFmtId="164" fontId="14" fillId="5" borderId="20" xfId="0" applyFont="true" applyBorder="true" applyAlignment="true" applyProtection="true">
      <alignment horizontal="general" vertical="bottom" textRotation="0" wrapText="false" indent="0" shrinkToFit="false"/>
      <protection locked="true" hidden="false"/>
    </xf>
    <xf numFmtId="164" fontId="14" fillId="0" borderId="5" xfId="0" applyFont="true" applyBorder="true" applyAlignment="true" applyProtection="true">
      <alignment horizontal="general" vertical="bottom" textRotation="0" wrapText="false" indent="0" shrinkToFit="false"/>
      <protection locked="true" hidden="false"/>
    </xf>
    <xf numFmtId="164" fontId="14" fillId="12" borderId="5" xfId="0" applyFont="true" applyBorder="true" applyAlignment="true" applyProtection="true">
      <alignment horizontal="general" vertical="bottom" textRotation="0" wrapText="false" indent="0" shrinkToFit="false"/>
      <protection locked="true" hidden="false"/>
    </xf>
    <xf numFmtId="164" fontId="14" fillId="12" borderId="8" xfId="0" applyFont="true" applyBorder="true" applyAlignment="true" applyProtection="true">
      <alignment horizontal="general" vertical="bottom" textRotation="0" wrapText="false" indent="0" shrinkToFit="false"/>
      <protection locked="true" hidden="false"/>
    </xf>
    <xf numFmtId="164" fontId="14" fillId="5" borderId="21" xfId="0" applyFont="true" applyBorder="true" applyAlignment="true" applyProtection="true">
      <alignment horizontal="general" vertical="bottom" textRotation="0" wrapText="false" indent="0" shrinkToFit="false"/>
      <protection locked="true" hidden="false"/>
    </xf>
    <xf numFmtId="169" fontId="0" fillId="5" borderId="5" xfId="0" applyFont="false" applyBorder="true" applyAlignment="true" applyProtection="true">
      <alignment horizontal="general" vertical="bottom" textRotation="0" wrapText="false" indent="0" shrinkToFit="false"/>
      <protection locked="true" hidden="false"/>
    </xf>
    <xf numFmtId="167" fontId="14" fillId="5" borderId="5" xfId="0" applyFont="true" applyBorder="true" applyAlignment="true" applyProtection="true">
      <alignment horizontal="general" vertical="bottom" textRotation="0" wrapText="false" indent="0" shrinkToFit="false"/>
      <protection locked="true" hidden="false"/>
    </xf>
    <xf numFmtId="164" fontId="14" fillId="0" borderId="22" xfId="0" applyFont="true" applyBorder="true" applyAlignment="true" applyProtection="true">
      <alignment horizontal="general" vertical="bottom" textRotation="0" wrapText="false" indent="0" shrinkToFit="false"/>
      <protection locked="true" hidden="false"/>
    </xf>
    <xf numFmtId="167" fontId="14" fillId="5" borderId="20" xfId="0" applyFont="true" applyBorder="tru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7" borderId="7" xfId="0" applyFont="false" applyBorder="true" applyAlignment="true" applyProtection="true">
      <alignment horizontal="general" vertical="bottom" textRotation="0" wrapText="false" indent="0" shrinkToFit="false"/>
      <protection locked="true" hidden="false"/>
    </xf>
    <xf numFmtId="167" fontId="14" fillId="12" borderId="5" xfId="19"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7" fontId="0" fillId="5" borderId="5" xfId="0" applyFont="true" applyBorder="true" applyAlignment="true" applyProtection="true">
      <alignment horizontal="general" vertical="bottom" textRotation="0" wrapText="false" indent="0" shrinkToFit="false"/>
      <protection locked="true" hidden="false"/>
    </xf>
    <xf numFmtId="167" fontId="0" fillId="5" borderId="5"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4" fontId="13" fillId="7" borderId="8" xfId="0" applyFont="true" applyBorder="true" applyAlignment="true" applyProtection="true">
      <alignment horizontal="general" vertical="bottom" textRotation="0" wrapText="false" indent="0" shrinkToFit="false"/>
      <protection locked="true" hidden="false"/>
    </xf>
    <xf numFmtId="167" fontId="14" fillId="0" borderId="0" xfId="19" applyFont="true" applyBorder="true" applyAlignment="true" applyProtection="true">
      <alignment horizontal="general" vertical="bottom" textRotation="0" wrapText="false" indent="0" shrinkToFit="false"/>
      <protection locked="true" hidden="false"/>
    </xf>
    <xf numFmtId="164" fontId="0" fillId="0" borderId="12" xfId="0" applyFont="true" applyBorder="true" applyAlignment="true" applyProtection="true">
      <alignment horizontal="general" vertical="bottom" textRotation="0" wrapText="false" indent="0" shrinkToFit="false"/>
      <protection locked="true" hidden="false"/>
    </xf>
    <xf numFmtId="164" fontId="14" fillId="8" borderId="22" xfId="0" applyFont="true" applyBorder="true" applyAlignment="true" applyProtection="true">
      <alignment horizontal="general" vertical="bottom" textRotation="0" wrapText="fals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7" fontId="14" fillId="12" borderId="20" xfId="19" applyFont="true" applyBorder="true" applyAlignment="true" applyProtection="true">
      <alignment horizontal="general" vertical="bottom" textRotation="0" wrapText="false" indent="0" shrinkToFit="false"/>
      <protection locked="true" hidden="false"/>
    </xf>
    <xf numFmtId="164" fontId="0" fillId="12" borderId="5" xfId="0" applyFont="true" applyBorder="true" applyAlignment="true" applyProtection="true">
      <alignment horizontal="general" vertical="bottom" textRotation="0" wrapText="false" indent="0" shrinkToFit="false"/>
      <protection locked="true" hidden="false"/>
    </xf>
    <xf numFmtId="164" fontId="0" fillId="5" borderId="20" xfId="0"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13" fillId="7" borderId="24" xfId="0" applyFont="true" applyBorder="true" applyAlignment="true" applyProtection="true">
      <alignment horizontal="general" vertical="bottom" textRotation="0" wrapText="false" indent="0" shrinkToFit="false"/>
      <protection locked="true" hidden="false"/>
    </xf>
    <xf numFmtId="164" fontId="0" fillId="7" borderId="25" xfId="0" applyFont="false" applyBorder="true" applyAlignment="true" applyProtection="true">
      <alignment horizontal="general" vertical="bottom" textRotation="0" wrapText="false" indent="0" shrinkToFit="false"/>
      <protection locked="true" hidden="false"/>
    </xf>
    <xf numFmtId="164" fontId="14" fillId="5" borderId="12" xfId="0" applyFont="true" applyBorder="true" applyAlignment="true" applyProtection="true">
      <alignment horizontal="general" vertical="bottom" textRotation="0" wrapText="false" indent="0" shrinkToFit="false"/>
      <protection locked="true" hidden="false"/>
    </xf>
    <xf numFmtId="164" fontId="0" fillId="5" borderId="12" xfId="0" applyFont="true" applyBorder="true" applyAlignment="true" applyProtection="true">
      <alignment horizontal="general" vertical="bottom" textRotation="0" wrapText="false" indent="0" shrinkToFit="false"/>
      <protection locked="true" hidden="false"/>
    </xf>
    <xf numFmtId="167" fontId="14" fillId="12" borderId="12" xfId="19" applyFont="true" applyBorder="true" applyAlignment="true" applyProtection="true">
      <alignment horizontal="general" vertical="bottom" textRotation="0" wrapText="false" indent="0" shrinkToFit="false"/>
      <protection locked="true" hidden="false"/>
    </xf>
    <xf numFmtId="167" fontId="14" fillId="5" borderId="12" xfId="19" applyFont="true" applyBorder="true" applyAlignment="true" applyProtection="true">
      <alignment horizontal="general" vertical="bottom" textRotation="0" wrapText="false" indent="0" shrinkToFit="false"/>
      <protection locked="true" hidden="false"/>
    </xf>
    <xf numFmtId="164" fontId="0" fillId="7" borderId="26" xfId="0" applyFont="fals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15" fillId="7" borderId="18" xfId="0" applyFont="true" applyBorder="true" applyAlignment="true" applyProtection="true">
      <alignment horizontal="general" vertical="bottom" textRotation="0" wrapText="false" indent="0" shrinkToFit="false"/>
      <protection locked="true" hidden="false"/>
    </xf>
    <xf numFmtId="164" fontId="14" fillId="7" borderId="16" xfId="0" applyFont="true" applyBorder="true" applyAlignment="true" applyProtection="true">
      <alignment horizontal="general" vertical="bottom" textRotation="0" wrapText="false" indent="0" shrinkToFit="false"/>
      <protection locked="true" hidden="false"/>
    </xf>
    <xf numFmtId="164" fontId="0" fillId="7" borderId="12" xfId="0" applyFont="true" applyBorder="true" applyAlignment="true" applyProtection="true">
      <alignment horizontal="general" vertical="bottom" textRotation="0" wrapText="false" indent="0" shrinkToFit="false"/>
      <protection locked="true" hidden="false"/>
    </xf>
    <xf numFmtId="164" fontId="0" fillId="12" borderId="8" xfId="0" applyFont="false" applyBorder="true" applyAlignment="true" applyProtection="true">
      <alignment horizontal="general" vertical="bottom" textRotation="0" wrapText="false" indent="0" shrinkToFit="false"/>
      <protection locked="true" hidden="false"/>
    </xf>
    <xf numFmtId="164" fontId="0" fillId="12" borderId="10" xfId="0" applyFont="false" applyBorder="true" applyAlignment="true" applyProtection="true">
      <alignment horizontal="general" vertical="bottom" textRotation="0" wrapText="false" indent="0" shrinkToFit="false"/>
      <protection locked="true" hidden="false"/>
    </xf>
    <xf numFmtId="164" fontId="0" fillId="7" borderId="19" xfId="0" applyFont="false" applyBorder="true" applyAlignment="true" applyProtection="true">
      <alignment horizontal="general" vertical="bottom" textRotation="0" wrapText="false" indent="0" shrinkToFit="false"/>
      <protection locked="true" hidden="false"/>
    </xf>
    <xf numFmtId="164" fontId="0" fillId="8" borderId="5" xfId="0" applyFont="true" applyBorder="true" applyAlignment="true" applyProtection="true">
      <alignment horizontal="center" vertical="center" textRotation="0" wrapText="true" indent="0" shrinkToFit="false"/>
      <protection locked="true" hidden="false"/>
    </xf>
    <xf numFmtId="164" fontId="0" fillId="5" borderId="22" xfId="0" applyFont="true" applyBorder="true" applyAlignment="true" applyProtection="true">
      <alignment horizontal="center" vertical="center" textRotation="0" wrapText="false" indent="0" shrinkToFit="false"/>
      <protection locked="true" hidden="false"/>
    </xf>
    <xf numFmtId="164" fontId="0" fillId="5" borderId="5" xfId="0" applyFont="true" applyBorder="true" applyAlignment="true" applyProtection="true">
      <alignment horizontal="center" vertical="center" textRotation="0" wrapText="false" indent="0" shrinkToFit="false"/>
      <protection locked="true" hidden="false"/>
    </xf>
    <xf numFmtId="164" fontId="0" fillId="10" borderId="20" xfId="0" applyFont="true" applyBorder="true" applyAlignment="true" applyProtection="true">
      <alignment horizontal="general" vertical="bottom" textRotation="0" wrapText="false" indent="0" shrinkToFit="false"/>
      <protection locked="true" hidden="false"/>
    </xf>
    <xf numFmtId="167" fontId="0" fillId="5" borderId="20" xfId="19" applyFont="true" applyBorder="true" applyAlignment="true" applyProtection="true">
      <alignment horizontal="left" vertical="center" textRotation="0" wrapText="false" indent="0" shrinkToFit="false"/>
      <protection locked="true" hidden="false"/>
    </xf>
    <xf numFmtId="164" fontId="0" fillId="10" borderId="12" xfId="0" applyFont="true" applyBorder="true" applyAlignment="true" applyProtection="true">
      <alignment horizontal="general" vertical="center" textRotation="0" wrapText="false" indent="0" shrinkToFit="false"/>
      <protection locked="true" hidden="false"/>
    </xf>
    <xf numFmtId="164" fontId="0" fillId="10" borderId="10" xfId="0" applyFont="false" applyBorder="true" applyAlignment="true" applyProtection="true">
      <alignment horizontal="general" vertical="bottom" textRotation="0" wrapText="false" indent="0" shrinkToFit="false"/>
      <protection locked="true" hidden="false"/>
    </xf>
    <xf numFmtId="164" fontId="0" fillId="10" borderId="23" xfId="0" applyFont="false" applyBorder="true" applyAlignment="true" applyProtection="true">
      <alignment horizontal="general" vertical="bottom" textRotation="0" wrapText="false" indent="0" shrinkToFit="false"/>
      <protection locked="true" hidden="false"/>
    </xf>
    <xf numFmtId="164" fontId="0" fillId="10" borderId="27" xfId="0" applyFont="false" applyBorder="true" applyAlignment="true" applyProtection="true">
      <alignment horizontal="general" vertical="bottom" textRotation="0" wrapText="false" indent="0" shrinkToFit="false"/>
      <protection locked="true" hidden="false"/>
    </xf>
    <xf numFmtId="164" fontId="0" fillId="7" borderId="16" xfId="0" applyFont="true" applyBorder="true" applyAlignment="true" applyProtection="true">
      <alignment horizontal="general" vertical="bottom" textRotation="0" wrapText="false" indent="0" shrinkToFit="false"/>
      <protection locked="true" hidden="false"/>
    </xf>
    <xf numFmtId="164" fontId="0" fillId="10" borderId="12" xfId="0" applyFont="false" applyBorder="true" applyAlignment="true" applyProtection="true">
      <alignment horizontal="general" vertical="bottom" textRotation="0" wrapText="false" indent="0" shrinkToFit="false"/>
      <protection locked="true" hidden="false"/>
    </xf>
    <xf numFmtId="164" fontId="0" fillId="5" borderId="8" xfId="0" applyFont="false" applyBorder="true" applyAlignment="true" applyProtection="true">
      <alignment horizontal="general" vertical="bottom" textRotation="0" wrapText="false" indent="0" shrinkToFit="false"/>
      <protection locked="true" hidden="false"/>
    </xf>
    <xf numFmtId="164" fontId="0" fillId="10" borderId="22" xfId="0" applyFont="true" applyBorder="true" applyAlignment="true" applyProtection="true">
      <alignment horizontal="general" vertical="bottom" textRotation="0" wrapText="false" indent="0" shrinkToFit="false"/>
      <protection locked="true" hidden="false"/>
    </xf>
    <xf numFmtId="164" fontId="0" fillId="0" borderId="28" xfId="0" applyFont="false" applyBorder="true" applyAlignment="true" applyProtection="true">
      <alignment horizontal="general" vertical="bottom" textRotation="0" wrapText="false" indent="0" shrinkToFit="false"/>
      <protection locked="true" hidden="false"/>
    </xf>
    <xf numFmtId="164" fontId="0" fillId="0" borderId="29"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7" borderId="10" xfId="0" applyFont="false" applyBorder="true" applyAlignment="true" applyProtection="true">
      <alignment horizontal="general" vertical="bottom" textRotation="0" wrapText="false" indent="0" shrinkToFit="false"/>
      <protection locked="true" hidden="false"/>
    </xf>
    <xf numFmtId="164" fontId="0" fillId="7" borderId="22" xfId="0" applyFont="false" applyBorder="true" applyAlignment="true" applyProtection="true">
      <alignment horizontal="general" vertical="bottom" textRotation="0" wrapText="false" indent="0" shrinkToFit="false"/>
      <protection locked="true" hidden="false"/>
    </xf>
    <xf numFmtId="164" fontId="0" fillId="0" borderId="22" xfId="0" applyFont="false" applyBorder="true" applyAlignment="true" applyProtection="true">
      <alignment horizontal="general" vertical="bottom" textRotation="0" wrapText="false" indent="0" shrinkToFit="false"/>
      <protection locked="true" hidden="false"/>
    </xf>
    <xf numFmtId="164" fontId="0" fillId="5" borderId="22" xfId="0" applyFont="false" applyBorder="true" applyAlignment="true" applyProtection="true">
      <alignment horizontal="general" vertical="bottom" textRotation="0" wrapText="false" indent="0" shrinkToFit="false"/>
      <protection locked="true" hidden="false"/>
    </xf>
    <xf numFmtId="164" fontId="0" fillId="7" borderId="11" xfId="0" applyFont="false" applyBorder="true" applyAlignment="true" applyProtection="true">
      <alignment horizontal="general" vertical="bottom" textRotation="0" wrapText="false" indent="0" shrinkToFit="false"/>
      <protection locked="true" hidden="false"/>
    </xf>
    <xf numFmtId="168" fontId="0" fillId="5" borderId="10" xfId="19" applyFont="true" applyBorder="true" applyAlignment="true" applyProtection="true">
      <alignment horizontal="center" vertical="bottom" textRotation="0" wrapText="false" indent="0" shrinkToFit="false"/>
      <protection locked="true" hidden="false"/>
    </xf>
    <xf numFmtId="170" fontId="0" fillId="0" borderId="0" xfId="0" applyFont="false" applyBorder="false" applyAlignment="true" applyProtection="true">
      <alignment horizontal="center" vertical="bottom" textRotation="0" wrapText="false" indent="0" shrinkToFit="false"/>
      <protection locked="true" hidden="false"/>
    </xf>
    <xf numFmtId="167" fontId="0" fillId="0" borderId="0" xfId="19" applyFont="true" applyBorder="tru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64" fontId="0" fillId="8" borderId="5" xfId="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true">
      <alignment horizontal="center" vertical="bottom" textRotation="0" wrapText="false" indent="0" shrinkToFit="false"/>
      <protection locked="true" hidden="false"/>
    </xf>
    <xf numFmtId="164" fontId="0" fillId="5" borderId="5" xfId="0" applyFont="true" applyBorder="true" applyAlignment="true" applyProtection="true">
      <alignment horizontal="left" vertical="bottom" textRotation="0" wrapText="false" indent="0" shrinkToFit="false"/>
      <protection locked="true" hidden="false"/>
    </xf>
    <xf numFmtId="164" fontId="0" fillId="8" borderId="22" xfId="0" applyFont="true" applyBorder="true" applyAlignment="true" applyProtection="true">
      <alignment horizontal="center" vertical="center" textRotation="0" wrapText="false" indent="0" shrinkToFit="false"/>
      <protection locked="true" hidden="false"/>
    </xf>
    <xf numFmtId="167" fontId="0" fillId="0" borderId="22" xfId="19"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7" fontId="0" fillId="5" borderId="5" xfId="0" applyFont="true" applyBorder="true" applyAlignment="true" applyProtection="true">
      <alignment horizontal="left" vertical="bottom" textRotation="0" wrapText="false" indent="0" shrinkToFit="false"/>
      <protection locked="true" hidden="false"/>
    </xf>
    <xf numFmtId="167" fontId="0" fillId="0" borderId="5" xfId="19" applyFont="true" applyBorder="true" applyAlignment="true" applyProtection="true">
      <alignment horizontal="center" vertical="center" textRotation="0" wrapText="false" indent="0" shrinkToFit="false"/>
      <protection locked="true" hidden="false"/>
    </xf>
    <xf numFmtId="167" fontId="0" fillId="5" borderId="5" xfId="0" applyFont="true" applyBorder="true" applyAlignment="true" applyProtection="true">
      <alignment horizontal="center" vertical="center" textRotation="0" wrapText="false" indent="0" shrinkToFit="false"/>
      <protection locked="true" hidden="false"/>
    </xf>
    <xf numFmtId="167" fontId="0" fillId="5" borderId="22"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0" fillId="5" borderId="22" xfId="0" applyFont="true" applyBorder="true" applyAlignment="true" applyProtection="true">
      <alignment horizontal="general" vertical="bottom" textRotation="0" wrapText="false" indent="0" shrinkToFit="false"/>
      <protection locked="true" hidden="false"/>
    </xf>
    <xf numFmtId="164" fontId="0" fillId="8" borderId="22" xfId="0" applyFont="true" applyBorder="true" applyAlignment="true" applyProtection="true">
      <alignment horizontal="general" vertical="bottom" textRotation="0" wrapText="false" indent="0" shrinkToFit="false"/>
      <protection locked="true" hidden="false"/>
    </xf>
    <xf numFmtId="164" fontId="0" fillId="8" borderId="5" xfId="0" applyFont="true" applyBorder="true" applyAlignment="true" applyProtection="true">
      <alignment horizontal="center" vertical="bottom" textRotation="0" wrapText="false" indent="0" shrinkToFit="false"/>
      <protection locked="true" hidden="false"/>
    </xf>
    <xf numFmtId="164" fontId="0" fillId="8" borderId="5" xfId="0" applyFont="true" applyBorder="true" applyAlignment="true" applyProtection="true">
      <alignment horizontal="general" vertical="bottom" textRotation="0" wrapText="false" indent="0" shrinkToFit="false"/>
      <protection locked="true" hidden="false"/>
    </xf>
    <xf numFmtId="164" fontId="0" fillId="7" borderId="5" xfId="0" applyFont="true" applyBorder="true" applyAlignment="true" applyProtection="true">
      <alignment horizontal="general" vertical="bottom" textRotation="0" wrapText="false" indent="0" shrinkToFit="false"/>
      <protection locked="true" hidden="false"/>
    </xf>
    <xf numFmtId="164" fontId="13" fillId="7" borderId="0" xfId="0" applyFont="true" applyBorder="false" applyAlignment="true" applyProtection="true">
      <alignment horizontal="general" vertical="bottom" textRotation="0" wrapText="true" indent="0" shrinkToFit="false"/>
      <protection locked="true" hidden="false"/>
    </xf>
    <xf numFmtId="164" fontId="0" fillId="13" borderId="0" xfId="0" applyFont="true" applyBorder="true" applyAlignment="true" applyProtection="true">
      <alignment horizontal="left" vertical="bottom" textRotation="0" wrapText="true" indent="0" shrinkToFit="false"/>
      <protection locked="true" hidden="false"/>
    </xf>
    <xf numFmtId="164" fontId="0" fillId="8" borderId="20" xfId="0" applyFont="true" applyBorder="true" applyAlignment="true" applyProtection="true">
      <alignment horizontal="center" vertical="center" textRotation="0" wrapText="true" indent="0" shrinkToFit="false"/>
      <protection locked="true" hidden="false"/>
    </xf>
    <xf numFmtId="164" fontId="0" fillId="5" borderId="20" xfId="0" applyFont="true" applyBorder="true" applyAlignment="true" applyProtection="true">
      <alignment horizontal="center" vertical="center" textRotation="0" wrapText="true" indent="0" shrinkToFit="false"/>
      <protection locked="true" hidden="false"/>
    </xf>
    <xf numFmtId="169" fontId="0" fillId="0" borderId="0" xfId="0" applyFont="false" applyBorder="false" applyAlignment="true" applyProtection="true">
      <alignment horizontal="general" vertical="bottom" textRotation="0" wrapText="true" indent="0" shrinkToFit="false"/>
      <protection locked="true" hidden="false"/>
    </xf>
    <xf numFmtId="164" fontId="0" fillId="10" borderId="5"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10" borderId="20" xfId="0" applyFont="true" applyBorder="true" applyAlignment="true" applyProtection="true">
      <alignment horizontal="general" vertical="bottom" textRotation="0" wrapText="true" indent="0" shrinkToFit="false"/>
      <protection locked="true" hidden="false"/>
    </xf>
    <xf numFmtId="164" fontId="0" fillId="7" borderId="0" xfId="0" applyFont="true" applyBorder="true" applyAlignment="true" applyProtection="true">
      <alignment horizontal="general" vertical="bottom" textRotation="0" wrapText="true" indent="0" shrinkToFit="false"/>
      <protection locked="true" hidden="false"/>
    </xf>
    <xf numFmtId="164" fontId="0" fillId="7" borderId="0" xfId="0" applyFont="false" applyBorder="false" applyAlignment="true" applyProtection="true">
      <alignment horizontal="general" vertical="bottom" textRotation="0" wrapText="true" indent="0" shrinkToFit="false"/>
      <protection locked="true" hidden="false"/>
    </xf>
    <xf numFmtId="164" fontId="14" fillId="8" borderId="5" xfId="0" applyFont="true" applyBorder="true" applyAlignment="true" applyProtection="true">
      <alignment horizontal="general" vertical="bottom" textRotation="0" wrapText="true" indent="0" shrinkToFit="false"/>
      <protection locked="true" hidden="false"/>
    </xf>
    <xf numFmtId="164" fontId="0" fillId="8" borderId="5" xfId="0" applyFont="true" applyBorder="true" applyAlignment="true" applyProtection="true">
      <alignment horizontal="general" vertical="center" textRotation="0" wrapText="true" indent="0" shrinkToFit="false"/>
      <protection locked="true" hidden="false"/>
    </xf>
    <xf numFmtId="167" fontId="14" fillId="5" borderId="5" xfId="19" applyFont="true" applyBorder="true" applyAlignment="true" applyProtection="true">
      <alignment horizontal="general" vertical="bottom" textRotation="0" wrapText="false" indent="0" shrinkToFit="false"/>
      <protection locked="true" hidden="false"/>
    </xf>
    <xf numFmtId="167" fontId="0" fillId="5" borderId="10" xfId="0" applyFont="false" applyBorder="tru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5" fontId="0" fillId="0" borderId="0" xfId="15" applyFont="true" applyBorder="true" applyAlignment="true" applyProtection="true">
      <alignment horizontal="general" vertical="bottom" textRotation="0" wrapText="false" indent="0" shrinkToFit="false"/>
      <protection locked="true" hidden="false"/>
    </xf>
    <xf numFmtId="164" fontId="0" fillId="7" borderId="20" xfId="0" applyFont="true" applyBorder="true" applyAlignment="true" applyProtection="true">
      <alignment horizontal="general" vertical="bottom" textRotation="0" wrapText="true" indent="0" shrinkToFit="false"/>
      <protection locked="true" hidden="false"/>
    </xf>
    <xf numFmtId="164" fontId="14" fillId="8" borderId="22" xfId="0" applyFont="true" applyBorder="true" applyAlignment="true" applyProtection="true">
      <alignment horizontal="general" vertical="bottom" textRotation="0" wrapText="true" indent="0" shrinkToFit="false"/>
      <protection locked="true" hidden="false"/>
    </xf>
    <xf numFmtId="164" fontId="0" fillId="6" borderId="0" xfId="0" applyFont="true" applyBorder="false" applyAlignment="true" applyProtection="true">
      <alignment horizontal="general" vertical="bottom" textRotation="0" wrapText="true" indent="0" shrinkToFit="false"/>
      <protection locked="true" hidden="false"/>
    </xf>
    <xf numFmtId="164" fontId="0" fillId="7" borderId="5" xfId="0" applyFont="true" applyBorder="true" applyAlignment="true" applyProtection="true">
      <alignment horizontal="general" vertical="bottom" textRotation="0" wrapText="true" indent="0" shrinkToFit="false"/>
      <protection locked="true" hidden="false"/>
    </xf>
    <xf numFmtId="164" fontId="5" fillId="14" borderId="5" xfId="26" applyFont="true" applyBorder="true" applyAlignment="true" applyProtection="true">
      <alignment horizontal="center" vertical="center" textRotation="0" wrapText="true" indent="0" shrinkToFit="false"/>
      <protection locked="true" hidden="false"/>
    </xf>
    <xf numFmtId="164" fontId="5" fillId="14" borderId="12" xfId="26" applyFont="true" applyBorder="true" applyAlignment="true" applyProtection="true">
      <alignment horizontal="center" vertical="center" textRotation="0" wrapText="true" indent="0" shrinkToFit="false"/>
      <protection locked="true" hidden="false"/>
    </xf>
    <xf numFmtId="164" fontId="5" fillId="14" borderId="10" xfId="26" applyFont="true" applyBorder="true" applyAlignment="true" applyProtection="true">
      <alignment horizontal="center" vertical="center" textRotation="0" wrapText="true" indent="0" shrinkToFit="false"/>
      <protection locked="true" hidden="false"/>
    </xf>
    <xf numFmtId="164" fontId="0" fillId="8" borderId="5" xfId="0" applyFont="true" applyBorder="true" applyAlignment="true" applyProtection="true">
      <alignment horizontal="general" vertical="bottom" textRotation="0" wrapText="true" indent="0" shrinkToFit="false"/>
      <protection locked="true" hidden="false"/>
    </xf>
    <xf numFmtId="164" fontId="0" fillId="15" borderId="5" xfId="0" applyFont="true" applyBorder="true" applyAlignment="true" applyProtection="true">
      <alignment horizontal="general" vertical="bottom" textRotation="0" wrapText="true" indent="0" shrinkToFit="false"/>
      <protection locked="true" hidden="false"/>
    </xf>
    <xf numFmtId="164" fontId="0" fillId="16" borderId="5" xfId="0" applyFont="false" applyBorder="true" applyAlignment="true" applyProtection="true">
      <alignment horizontal="general" vertical="bottom" textRotation="0" wrapText="false" indent="0" shrinkToFit="false"/>
      <protection locked="true" hidden="false"/>
    </xf>
    <xf numFmtId="164" fontId="0" fillId="15" borderId="5" xfId="0" applyFont="false" applyBorder="true" applyAlignment="true" applyProtection="true">
      <alignment horizontal="general" vertical="bottom" textRotation="0" wrapText="false" indent="0" shrinkToFit="false"/>
      <protection locked="true" hidden="false"/>
    </xf>
    <xf numFmtId="164" fontId="0" fillId="7" borderId="5" xfId="0" applyFont="fals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true">
      <alignment horizontal="left" vertical="center" textRotation="0" wrapText="true" indent="0" shrinkToFit="false"/>
      <protection locked="true" hidden="false"/>
    </xf>
    <xf numFmtId="164" fontId="0" fillId="11" borderId="5" xfId="0" applyFont="true" applyBorder="true" applyAlignment="true" applyProtection="true">
      <alignment horizontal="general" vertical="bottom" textRotation="0" wrapText="true" indent="0" shrinkToFit="false"/>
      <protection locked="true" hidden="false"/>
    </xf>
    <xf numFmtId="164" fontId="0" fillId="9" borderId="5" xfId="0" applyFont="true" applyBorder="true" applyAlignment="true" applyProtection="true">
      <alignment horizontal="general" vertical="bottom" textRotation="0" wrapText="false" indent="0" shrinkToFit="false"/>
      <protection locked="true" hidden="false"/>
    </xf>
    <xf numFmtId="164" fontId="0" fillId="15" borderId="0" xfId="0" applyFont="true" applyBorder="false" applyAlignment="true" applyProtection="true">
      <alignment horizontal="general" vertical="bottom" textRotation="0" wrapText="true" indent="0" shrinkToFit="false"/>
      <protection locked="true" hidden="false"/>
    </xf>
    <xf numFmtId="167" fontId="0" fillId="5" borderId="5" xfId="19" applyFont="true" applyBorder="true" applyAlignment="true" applyProtection="true">
      <alignment horizontal="general" vertical="bottom" textRotation="0" wrapText="false" indent="0" shrinkToFit="false"/>
      <protection locked="true" hidden="false"/>
    </xf>
    <xf numFmtId="164" fontId="13" fillId="7" borderId="12" xfId="0" applyFont="true" applyBorder="true" applyAlignment="true" applyProtection="true">
      <alignment horizontal="general" vertical="bottom" textRotation="0" wrapText="true" indent="0" shrinkToFit="false"/>
      <protection locked="true" hidden="false"/>
    </xf>
    <xf numFmtId="164" fontId="0" fillId="7" borderId="10" xfId="0" applyFont="false" applyBorder="true" applyAlignment="true" applyProtection="true">
      <alignment horizontal="general" vertical="bottom" textRotation="0" wrapText="true" indent="0" shrinkToFit="false"/>
      <protection locked="true" hidden="false"/>
    </xf>
    <xf numFmtId="164" fontId="0" fillId="11" borderId="22"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0" fillId="11" borderId="22" xfId="0" applyFont="true" applyBorder="true" applyAlignment="true" applyProtection="true">
      <alignment horizontal="left" vertical="center" textRotation="0" wrapText="true" indent="0" shrinkToFit="false"/>
      <protection locked="true" hidden="false"/>
    </xf>
    <xf numFmtId="164" fontId="0" fillId="11" borderId="5" xfId="0" applyFont="true" applyBorder="true" applyAlignment="true" applyProtection="true">
      <alignment horizontal="left" vertical="center" textRotation="0" wrapText="true" indent="0" shrinkToFit="false"/>
      <protection locked="true" hidden="false"/>
    </xf>
    <xf numFmtId="164" fontId="0" fillId="5" borderId="5" xfId="0" applyFont="true" applyBorder="true" applyAlignment="true" applyProtection="true">
      <alignment horizontal="general" vertical="bottom" textRotation="0" wrapText="true" indent="0" shrinkToFit="false"/>
      <protection locked="true" hidden="false"/>
    </xf>
    <xf numFmtId="164" fontId="13" fillId="7" borderId="0" xfId="0" applyFont="true" applyBorder="false" applyAlignment="true" applyProtection="true">
      <alignment horizontal="general" vertical="bottom" textRotation="0" wrapText="false" indent="0" shrinkToFit="false"/>
      <protection locked="true" hidden="false"/>
    </xf>
    <xf numFmtId="164" fontId="0" fillId="8" borderId="30" xfId="0" applyFont="true" applyBorder="true" applyAlignment="true" applyProtection="true">
      <alignment horizontal="general" vertical="bottom" textRotation="0" wrapText="false" indent="0" shrinkToFit="false"/>
      <protection locked="true" hidden="false"/>
    </xf>
    <xf numFmtId="172" fontId="14" fillId="5" borderId="5" xfId="0" applyFont="true" applyBorder="true" applyAlignment="true" applyProtection="true">
      <alignment horizontal="general" vertical="bottom" textRotation="0" wrapText="false" indent="0" shrinkToFit="false"/>
      <protection locked="true" hidden="false"/>
    </xf>
    <xf numFmtId="172" fontId="14" fillId="7" borderId="0" xfId="0" applyFont="true" applyBorder="false" applyAlignment="true" applyProtection="true">
      <alignment horizontal="general" vertical="bottom" textRotation="0" wrapText="false" indent="0" shrinkToFit="false"/>
      <protection locked="true" hidden="false"/>
    </xf>
    <xf numFmtId="164" fontId="0" fillId="8" borderId="20" xfId="0" applyFont="true" applyBorder="true" applyAlignment="true" applyProtection="true">
      <alignment horizontal="general" vertical="bottom" textRotation="0" wrapText="false" indent="0" shrinkToFit="false"/>
      <protection locked="true" hidden="false"/>
    </xf>
    <xf numFmtId="172" fontId="14" fillId="5" borderId="20" xfId="0" applyFont="true" applyBorder="true" applyAlignment="true" applyProtection="true">
      <alignment horizontal="general" vertical="bottom" textRotation="0" wrapText="false" indent="0" shrinkToFit="false"/>
      <protection locked="true" hidden="false"/>
    </xf>
    <xf numFmtId="164" fontId="0" fillId="8" borderId="11" xfId="0" applyFont="true" applyBorder="true" applyAlignment="true" applyProtection="true">
      <alignment horizontal="center" vertical="center" textRotation="0" wrapText="true" indent="0" shrinkToFit="false"/>
      <protection locked="true" hidden="false"/>
    </xf>
    <xf numFmtId="164" fontId="0" fillId="8" borderId="5" xfId="0" applyFont="true" applyBorder="true" applyAlignment="true" applyProtection="true">
      <alignment horizontal="left" vertical="center" textRotation="0" wrapText="true" indent="0" shrinkToFit="false"/>
      <protection locked="true" hidden="false"/>
    </xf>
    <xf numFmtId="164" fontId="0" fillId="10" borderId="5" xfId="0" applyFont="true" applyBorder="true" applyAlignment="true" applyProtection="true">
      <alignment horizontal="left" vertical="bottom" textRotation="0" wrapText="false" indent="0" shrinkToFit="false"/>
      <protection locked="true" hidden="false"/>
    </xf>
    <xf numFmtId="164" fontId="0" fillId="5" borderId="10" xfId="0" applyFont="true" applyBorder="true" applyAlignment="true" applyProtection="true">
      <alignment horizontal="center" vertical="center" textRotation="0" wrapText="false" indent="0" shrinkToFit="false"/>
      <protection locked="true" hidden="false"/>
    </xf>
    <xf numFmtId="164" fontId="0" fillId="10" borderId="5" xfId="0" applyFont="true" applyBorder="true" applyAlignment="true" applyProtection="true">
      <alignment horizontal="left" vertical="center" textRotation="0" wrapText="false" indent="0" shrinkToFit="false"/>
      <protection locked="true" hidden="false"/>
    </xf>
    <xf numFmtId="164" fontId="6" fillId="3" borderId="0" xfId="0" applyFont="true" applyBorder="true" applyAlignment="true" applyProtection="true">
      <alignment horizontal="left"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9" fillId="17" borderId="31" xfId="0" applyFont="true" applyBorder="true" applyAlignment="true" applyProtection="true">
      <alignment horizontal="left" vertical="bottom" textRotation="0" wrapText="false" indent="0" shrinkToFit="false"/>
      <protection locked="true" hidden="false"/>
    </xf>
    <xf numFmtId="164" fontId="14" fillId="13" borderId="32" xfId="0" applyFont="true" applyBorder="true" applyAlignment="true" applyProtection="true">
      <alignment horizontal="center" vertical="center" textRotation="0" wrapText="false" indent="0" shrinkToFit="false"/>
      <protection locked="true" hidden="false"/>
    </xf>
    <xf numFmtId="164" fontId="0" fillId="18" borderId="5" xfId="0" applyFont="true" applyBorder="true" applyAlignment="true" applyProtection="true">
      <alignment horizontal="general" vertical="bottom" textRotation="0" wrapText="false" indent="0" shrinkToFit="false"/>
      <protection locked="true" hidden="false"/>
    </xf>
    <xf numFmtId="164" fontId="0" fillId="19" borderId="5" xfId="0" applyFont="false" applyBorder="true" applyAlignment="true" applyProtection="true">
      <alignment horizontal="general" vertical="bottom" textRotation="0" wrapText="false" indent="0" shrinkToFit="false"/>
      <protection locked="true" hidden="false"/>
    </xf>
    <xf numFmtId="164" fontId="0" fillId="19" borderId="13" xfId="0" applyFont="false" applyBorder="true" applyAlignment="true" applyProtection="true">
      <alignment horizontal="general" vertical="bottom" textRotation="0" wrapText="false" indent="0" shrinkToFit="false"/>
      <protection locked="true" hidden="false"/>
    </xf>
    <xf numFmtId="164" fontId="0" fillId="18" borderId="33" xfId="0" applyFont="true" applyBorder="true" applyAlignment="true" applyProtection="true">
      <alignment horizontal="general" vertical="bottom" textRotation="0" wrapText="false" indent="0" shrinkToFit="false"/>
      <protection locked="true" hidden="false"/>
    </xf>
    <xf numFmtId="169" fontId="0" fillId="19" borderId="33" xfId="0" applyFont="false" applyBorder="true" applyAlignment="true" applyProtection="true">
      <alignment horizontal="general" vertical="bottom" textRotation="0" wrapText="false" indent="0" shrinkToFit="false"/>
      <protection locked="true" hidden="false"/>
    </xf>
    <xf numFmtId="169" fontId="0" fillId="19" borderId="34" xfId="0" applyFont="false" applyBorder="true" applyAlignment="true" applyProtection="true">
      <alignment horizontal="general" vertical="bottom" textRotation="0" wrapText="false" indent="0" shrinkToFit="false"/>
      <protection locked="true" hidden="false"/>
    </xf>
    <xf numFmtId="164" fontId="0" fillId="13" borderId="24" xfId="0" applyFont="true" applyBorder="true" applyAlignment="true" applyProtection="true">
      <alignment horizontal="center" vertical="bottom" textRotation="0" wrapText="false" indent="0" shrinkToFit="false"/>
      <protection locked="true" hidden="false"/>
    </xf>
    <xf numFmtId="164" fontId="0" fillId="13" borderId="5" xfId="0" applyFont="true" applyBorder="true" applyAlignment="true" applyProtection="true">
      <alignment horizontal="center" vertical="bottom" textRotation="0" wrapText="false" indent="0" shrinkToFit="false"/>
      <protection locked="true" hidden="false"/>
    </xf>
    <xf numFmtId="164" fontId="0" fillId="20" borderId="13" xfId="0" applyFont="false" applyBorder="true" applyAlignment="true" applyProtection="true">
      <alignment horizontal="center" vertical="bottom" textRotation="0" wrapText="false" indent="0" shrinkToFit="false"/>
      <protection locked="true" hidden="false"/>
    </xf>
    <xf numFmtId="164" fontId="0" fillId="13" borderId="24" xfId="0" applyFont="true" applyBorder="true" applyAlignment="true" applyProtection="true">
      <alignment horizontal="left" vertical="bottom" textRotation="0" wrapText="false" indent="0" shrinkToFit="false"/>
      <protection locked="true" hidden="false"/>
    </xf>
    <xf numFmtId="173" fontId="0" fillId="19" borderId="5" xfId="0" applyFont="false" applyBorder="true" applyAlignment="true" applyProtection="true">
      <alignment horizontal="general" vertical="bottom" textRotation="0" wrapText="false" indent="0" shrinkToFit="false"/>
      <protection locked="true" hidden="false"/>
    </xf>
    <xf numFmtId="173" fontId="14" fillId="19" borderId="13" xfId="0" applyFont="true" applyBorder="true" applyAlignment="true" applyProtection="true">
      <alignment horizontal="general" vertical="bottom" textRotation="0" wrapText="false" indent="0" shrinkToFit="false"/>
      <protection locked="true" hidden="false"/>
    </xf>
    <xf numFmtId="173" fontId="14" fillId="19" borderId="5" xfId="0" applyFont="true" applyBorder="true" applyAlignment="true" applyProtection="true">
      <alignment horizontal="general" vertical="bottom" textRotation="0" wrapText="false" indent="0" shrinkToFit="false"/>
      <protection locked="true" hidden="false"/>
    </xf>
    <xf numFmtId="173" fontId="0" fillId="19" borderId="13" xfId="0" applyFont="false" applyBorder="true" applyAlignment="true" applyProtection="true">
      <alignment horizontal="general" vertical="bottom" textRotation="0" wrapText="false" indent="0" shrinkToFit="false"/>
      <protection locked="true" hidden="false"/>
    </xf>
    <xf numFmtId="164" fontId="0" fillId="13" borderId="32" xfId="0" applyFont="true" applyBorder="true" applyAlignment="true" applyProtection="true">
      <alignment horizontal="left" vertical="bottom" textRotation="0" wrapText="false" indent="0" shrinkToFit="false"/>
      <protection locked="true" hidden="false"/>
    </xf>
    <xf numFmtId="174" fontId="0" fillId="21" borderId="34" xfId="0" applyFont="false" applyBorder="tru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left" vertical="bottom" textRotation="0" wrapText="false" indent="0" shrinkToFit="false"/>
      <protection locked="true" hidden="false"/>
    </xf>
    <xf numFmtId="164" fontId="0" fillId="18" borderId="0" xfId="0" applyFont="true" applyBorder="false" applyAlignment="true" applyProtection="true">
      <alignment horizontal="general" vertical="bottom" textRotation="0" wrapText="false" indent="0" shrinkToFit="false"/>
      <protection locked="true" hidden="false"/>
    </xf>
    <xf numFmtId="173" fontId="0" fillId="21" borderId="5" xfId="0" applyFont="false" applyBorder="true" applyAlignment="true" applyProtection="true">
      <alignment horizontal="general" vertical="bottom" textRotation="0" wrapText="fals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64" fontId="8" fillId="20" borderId="35" xfId="0" applyFont="true" applyBorder="true" applyAlignment="true" applyProtection="true">
      <alignment horizontal="left" vertical="bottom" textRotation="0" wrapText="false" indent="0" shrinkToFit="false"/>
      <protection locked="true" hidden="false"/>
    </xf>
    <xf numFmtId="169" fontId="0" fillId="19" borderId="13" xfId="0" applyFont="false" applyBorder="true" applyAlignment="true" applyProtection="true">
      <alignment horizontal="general" vertical="bottom" textRotation="0" wrapText="false" indent="0" shrinkToFit="false"/>
      <protection locked="true" hidden="false"/>
    </xf>
    <xf numFmtId="169" fontId="14" fillId="19" borderId="13" xfId="19" applyFont="true" applyBorder="true" applyAlignment="true" applyProtection="true">
      <alignment horizontal="general" vertical="bottom" textRotation="0" wrapText="false" indent="0" shrinkToFit="false"/>
      <protection locked="true" hidden="false"/>
    </xf>
    <xf numFmtId="169" fontId="14" fillId="19" borderId="34" xfId="0" applyFont="true" applyBorder="true" applyAlignment="true" applyProtection="true">
      <alignment horizontal="general" vertical="bottom" textRotation="0" wrapText="false" indent="0" shrinkToFit="false"/>
      <protection locked="true" hidden="false"/>
    </xf>
    <xf numFmtId="169" fontId="14" fillId="19" borderId="34" xfId="19" applyFont="true" applyBorder="true" applyAlignment="true" applyProtection="true">
      <alignment horizontal="general" vertical="bottom" textRotation="0" wrapText="false" indent="0" shrinkToFit="false"/>
      <protection locked="true" hidden="false"/>
    </xf>
    <xf numFmtId="164" fontId="0" fillId="13" borderId="5" xfId="0" applyFont="true" applyBorder="true" applyAlignment="true" applyProtection="true">
      <alignment horizontal="left" vertical="bottom" textRotation="0" wrapText="false" indent="0" shrinkToFit="false"/>
      <protection locked="true" hidden="false"/>
    </xf>
    <xf numFmtId="169" fontId="14" fillId="19" borderId="5" xfId="19" applyFont="true" applyBorder="true" applyAlignment="true" applyProtection="true">
      <alignment horizontal="general" vertical="bottom" textRotation="0" wrapText="false" indent="0" shrinkToFit="false"/>
      <protection locked="true" hidden="false"/>
    </xf>
    <xf numFmtId="164" fontId="0" fillId="21" borderId="5" xfId="0" applyFont="false" applyBorder="true" applyAlignment="true" applyProtection="true">
      <alignment horizontal="general" vertical="bottom" textRotation="0" wrapText="false" indent="0" shrinkToFit="false"/>
      <protection locked="true" hidden="false"/>
    </xf>
    <xf numFmtId="164" fontId="0" fillId="21" borderId="13" xfId="0" applyFont="false" applyBorder="true" applyAlignment="true" applyProtection="true">
      <alignment horizontal="general" vertical="bottom" textRotation="0" wrapText="false" indent="0" shrinkToFit="false"/>
      <protection locked="true" hidden="false"/>
    </xf>
    <xf numFmtId="175" fontId="0" fillId="21" borderId="5" xfId="0" applyFont="false" applyBorder="true" applyAlignment="true" applyProtection="true">
      <alignment horizontal="general" vertical="bottom" textRotation="0" wrapText="false" indent="0" shrinkToFit="false"/>
      <protection locked="true" hidden="false"/>
    </xf>
    <xf numFmtId="175" fontId="0" fillId="21" borderId="5" xfId="0" applyFont="true" applyBorder="true" applyAlignment="true" applyProtection="true">
      <alignment horizontal="general" vertical="bottom" textRotation="0" wrapText="false" indent="0" shrinkToFit="false"/>
      <protection locked="true" hidden="false"/>
    </xf>
    <xf numFmtId="164" fontId="19" fillId="17" borderId="36" xfId="0" applyFont="true" applyBorder="true" applyAlignment="true" applyProtection="true">
      <alignment horizontal="general" vertical="bottom" textRotation="0" wrapText="false" indent="0" shrinkToFit="false"/>
      <protection locked="true" hidden="false"/>
    </xf>
    <xf numFmtId="164" fontId="19" fillId="17" borderId="37" xfId="0" applyFont="true" applyBorder="true" applyAlignment="true" applyProtection="true">
      <alignment horizontal="general" vertical="bottom" textRotation="0" wrapText="false" indent="0" shrinkToFit="false"/>
      <protection locked="true" hidden="false"/>
    </xf>
    <xf numFmtId="164" fontId="19" fillId="17" borderId="38" xfId="0" applyFont="true" applyBorder="true" applyAlignment="true" applyProtection="true">
      <alignment horizontal="general" vertical="bottom" textRotation="0" wrapText="false" indent="0" shrinkToFit="false"/>
      <protection locked="true" hidden="false"/>
    </xf>
    <xf numFmtId="164" fontId="0" fillId="13" borderId="32" xfId="0" applyFont="true" applyBorder="true" applyAlignment="true" applyProtection="true">
      <alignment horizontal="center" vertical="center" textRotation="0" wrapText="false" indent="0" shrinkToFit="false"/>
      <protection locked="true" hidden="false"/>
    </xf>
    <xf numFmtId="164" fontId="19" fillId="17" borderId="39" xfId="0" applyFont="true" applyBorder="true" applyAlignment="true" applyProtection="true">
      <alignment horizontal="left" vertical="bottom" textRotation="0" wrapText="false" indent="0" shrinkToFit="false"/>
      <protection locked="true" hidden="false"/>
    </xf>
    <xf numFmtId="164" fontId="0" fillId="20" borderId="40" xfId="0" applyFont="true" applyBorder="true" applyAlignment="true" applyProtection="true">
      <alignment horizontal="general" vertical="bottom" textRotation="0" wrapText="false" indent="0" shrinkToFit="false"/>
      <protection locked="true" hidden="false"/>
    </xf>
    <xf numFmtId="164" fontId="19" fillId="17" borderId="24" xfId="0" applyFont="true" applyBorder="true" applyAlignment="true" applyProtection="true">
      <alignment horizontal="left" vertical="bottom" textRotation="0" wrapText="false" indent="0" shrinkToFit="false"/>
      <protection locked="true" hidden="false"/>
    </xf>
    <xf numFmtId="164" fontId="0" fillId="20" borderId="13" xfId="0" applyFont="true" applyBorder="true" applyAlignment="true" applyProtection="true">
      <alignment horizontal="general" vertical="bottom" textRotation="0" wrapText="false" indent="0" shrinkToFit="false"/>
      <protection locked="true" hidden="false"/>
    </xf>
    <xf numFmtId="169" fontId="14" fillId="19" borderId="33" xfId="19" applyFont="true" applyBorder="true" applyAlignment="true" applyProtection="true">
      <alignment horizontal="general" vertical="bottom" textRotation="0" wrapText="false" indent="0" shrinkToFit="false"/>
      <protection locked="true" hidden="false"/>
    </xf>
    <xf numFmtId="164" fontId="0" fillId="19" borderId="34" xfId="0" applyFont="false" applyBorder="true" applyAlignment="true" applyProtection="true">
      <alignment horizontal="general" vertical="bottom" textRotation="0" wrapText="false" indent="0" shrinkToFit="false"/>
      <protection locked="true" hidden="false"/>
    </xf>
    <xf numFmtId="164" fontId="0" fillId="13" borderId="24" xfId="0" applyFont="true" applyBorder="true" applyAlignment="true" applyProtection="true">
      <alignment horizontal="center" vertical="center" textRotation="0" wrapText="false" indent="0" shrinkToFit="false"/>
      <protection locked="true" hidden="false"/>
    </xf>
    <xf numFmtId="164" fontId="0" fillId="19" borderId="13" xfId="0" applyFont="false" applyBorder="true" applyAlignment="true" applyProtection="true">
      <alignment horizontal="right" vertical="bottom" textRotation="0" wrapText="false" indent="0" shrinkToFit="false"/>
      <protection locked="true" hidden="false"/>
    </xf>
    <xf numFmtId="167" fontId="14" fillId="19" borderId="13" xfId="19" applyFont="true" applyBorder="true" applyAlignment="true" applyProtection="true">
      <alignment horizontal="general" vertical="bottom" textRotation="0" wrapText="false" indent="0" shrinkToFit="false"/>
      <protection locked="true" hidden="false"/>
    </xf>
    <xf numFmtId="167" fontId="14" fillId="19" borderId="34" xfId="19" applyFont="true" applyBorder="true" applyAlignment="true" applyProtection="true">
      <alignment horizontal="general" vertical="bottom" textRotation="0" wrapText="false" indent="0" shrinkToFit="false"/>
      <protection locked="true" hidden="false"/>
    </xf>
    <xf numFmtId="164" fontId="0" fillId="19" borderId="33" xfId="0" applyFont="false" applyBorder="true" applyAlignment="true" applyProtection="true">
      <alignment horizontal="center" vertical="center" textRotation="0" wrapText="false" indent="0" shrinkToFit="false"/>
      <protection locked="true" hidden="false"/>
    </xf>
    <xf numFmtId="164" fontId="0" fillId="20" borderId="34" xfId="0" applyFont="false" applyBorder="true" applyAlignment="true" applyProtection="true">
      <alignment horizontal="center" vertical="bottom" textRotation="0" wrapText="false" indent="0" shrinkToFit="false"/>
      <protection locked="true" hidden="false"/>
    </xf>
    <xf numFmtId="164" fontId="0" fillId="13" borderId="33" xfId="0" applyFont="true" applyBorder="true" applyAlignment="true" applyProtection="true">
      <alignment horizontal="left" vertical="bottom" textRotation="0" wrapText="false" indent="0" shrinkToFit="false"/>
      <protection locked="true" hidden="false"/>
    </xf>
    <xf numFmtId="164" fontId="14" fillId="13" borderId="24" xfId="0" applyFont="true" applyBorder="true" applyAlignment="true" applyProtection="true">
      <alignment horizontal="center" vertical="center" textRotation="0" wrapText="false" indent="0" shrinkToFit="false"/>
      <protection locked="true" hidden="false"/>
    </xf>
    <xf numFmtId="169" fontId="0" fillId="19" borderId="5" xfId="0" applyFont="false" applyBorder="true" applyAlignment="true" applyProtection="true">
      <alignment horizontal="general" vertical="bottom" textRotation="0" wrapText="false" indent="0" shrinkToFit="false"/>
      <protection locked="true" hidden="false"/>
    </xf>
    <xf numFmtId="164" fontId="0" fillId="20" borderId="33" xfId="0" applyFont="false" applyBorder="true" applyAlignment="true" applyProtection="true">
      <alignment horizontal="center" vertical="bottom" textRotation="0" wrapText="false" indent="0" shrinkToFit="false"/>
      <protection locked="true" hidden="false"/>
    </xf>
    <xf numFmtId="169" fontId="0" fillId="19" borderId="13" xfId="0" applyFont="false" applyBorder="true" applyAlignment="true" applyProtection="true">
      <alignment horizontal="right" vertical="bottom" textRotation="0" wrapText="false" indent="0" shrinkToFit="false"/>
      <protection locked="true" hidden="false"/>
    </xf>
    <xf numFmtId="164" fontId="0" fillId="13" borderId="32" xfId="0" applyFont="true" applyBorder="true" applyAlignment="true" applyProtection="true">
      <alignment horizontal="center" vertical="bottom" textRotation="0" wrapText="false" indent="0" shrinkToFit="false"/>
      <protection locked="true" hidden="false"/>
    </xf>
    <xf numFmtId="164" fontId="19" fillId="17" borderId="35" xfId="0" applyFont="true" applyBorder="true" applyAlignment="true" applyProtection="true">
      <alignment horizontal="left" vertical="bottom" textRotation="0" wrapText="false" indent="0" shrinkToFit="false"/>
      <protection locked="true" hidden="false"/>
    </xf>
    <xf numFmtId="164" fontId="0" fillId="22" borderId="0" xfId="0" applyFont="false" applyBorder="false" applyAlignment="true" applyProtection="true">
      <alignment horizontal="general" vertical="bottom" textRotation="0" wrapText="false" indent="0" shrinkToFit="false"/>
      <protection locked="true" hidden="false"/>
    </xf>
    <xf numFmtId="164" fontId="0" fillId="13" borderId="41" xfId="0" applyFont="true" applyBorder="true" applyAlignment="true" applyProtection="true">
      <alignment horizontal="left" vertical="bottom" textRotation="0" wrapText="true" indent="0" shrinkToFit="false"/>
      <protection locked="true" hidden="false"/>
    </xf>
    <xf numFmtId="164" fontId="14" fillId="13" borderId="42" xfId="0" applyFont="true" applyBorder="true" applyAlignment="true" applyProtection="true">
      <alignment horizontal="center" vertical="center" textRotation="0" wrapText="false" indent="0" shrinkToFit="false"/>
      <protection locked="true" hidden="false"/>
    </xf>
    <xf numFmtId="164" fontId="0" fillId="18" borderId="43" xfId="0" applyFont="true" applyBorder="true" applyAlignment="true" applyProtection="true">
      <alignment horizontal="general" vertical="bottom" textRotation="0" wrapText="false" indent="0" shrinkToFit="false"/>
      <protection locked="true" hidden="false"/>
    </xf>
    <xf numFmtId="164" fontId="0" fillId="19" borderId="44" xfId="0" applyFont="false" applyBorder="true" applyAlignment="true" applyProtection="true">
      <alignment horizontal="center" vertical="center" textRotation="0" wrapText="true" indent="0" shrinkToFit="false"/>
      <protection locked="true" hidden="false"/>
    </xf>
    <xf numFmtId="164" fontId="0" fillId="13" borderId="32" xfId="0" applyFont="true" applyBorder="true" applyAlignment="true" applyProtection="true">
      <alignment horizontal="center" vertical="bottom" textRotation="0" wrapText="true" indent="0" shrinkToFit="false"/>
      <protection locked="true" hidden="false"/>
    </xf>
    <xf numFmtId="164" fontId="0" fillId="13" borderId="5" xfId="0" applyFont="true" applyBorder="true" applyAlignment="true" applyProtection="true">
      <alignment horizontal="left" vertical="center" textRotation="0" wrapText="false" indent="0" shrinkToFit="false"/>
      <protection locked="true" hidden="false"/>
    </xf>
    <xf numFmtId="164" fontId="0" fillId="13" borderId="13" xfId="0" applyFont="true" applyBorder="true" applyAlignment="true" applyProtection="true">
      <alignment horizontal="left" vertical="center" textRotation="0" wrapText="false" indent="0" shrinkToFit="false"/>
      <protection locked="true" hidden="false"/>
    </xf>
    <xf numFmtId="164" fontId="0" fillId="18" borderId="5" xfId="0" applyFont="true" applyBorder="true" applyAlignment="true" applyProtection="true">
      <alignment horizontal="center" vertical="bottom" textRotation="0" wrapText="false" indent="0" shrinkToFit="false"/>
      <protection locked="true" hidden="false"/>
    </xf>
    <xf numFmtId="164" fontId="5" fillId="19" borderId="5" xfId="0" applyFont="true" applyBorder="true" applyAlignment="true" applyProtection="true">
      <alignment horizontal="general" vertical="bottom" textRotation="0" wrapText="false" indent="0" shrinkToFit="false"/>
      <protection locked="true" hidden="false"/>
    </xf>
    <xf numFmtId="164" fontId="5" fillId="19" borderId="13" xfId="0" applyFont="true" applyBorder="true" applyAlignment="true" applyProtection="true">
      <alignment horizontal="general" vertical="bottom" textRotation="0" wrapText="false" indent="0" shrinkToFit="false"/>
      <protection locked="true" hidden="false"/>
    </xf>
    <xf numFmtId="164" fontId="5" fillId="19" borderId="33" xfId="0" applyFont="true" applyBorder="true" applyAlignment="true" applyProtection="true">
      <alignment horizontal="general" vertical="bottom" textRotation="0" wrapText="false" indent="0" shrinkToFit="false"/>
      <protection locked="true" hidden="false"/>
    </xf>
    <xf numFmtId="164" fontId="5" fillId="19" borderId="34" xfId="0" applyFont="true" applyBorder="true" applyAlignment="true" applyProtection="true">
      <alignment horizontal="general" vertical="bottom" textRotation="0" wrapText="false" indent="0" shrinkToFit="false"/>
      <protection locked="true" hidden="false"/>
    </xf>
    <xf numFmtId="164" fontId="0" fillId="18" borderId="5" xfId="0" applyFont="true" applyBorder="true" applyAlignment="true" applyProtection="true">
      <alignment horizontal="left" vertical="bottom" textRotation="0" wrapText="false" indent="0" shrinkToFit="false"/>
      <protection locked="true" hidden="false"/>
    </xf>
    <xf numFmtId="164" fontId="0" fillId="19" borderId="13" xfId="0" applyFont="false" applyBorder="true" applyAlignment="true" applyProtection="true">
      <alignment horizontal="right" vertical="center" textRotation="0" wrapText="false" indent="0" shrinkToFit="false"/>
      <protection locked="true" hidden="false"/>
    </xf>
    <xf numFmtId="164" fontId="0" fillId="13" borderId="18" xfId="0" applyFont="true" applyBorder="true" applyAlignment="true" applyProtection="true">
      <alignment horizontal="center" vertical="bottom" textRotation="0" wrapText="false" indent="0" shrinkToFit="false"/>
      <protection locked="true" hidden="false"/>
    </xf>
    <xf numFmtId="164" fontId="0" fillId="18" borderId="20" xfId="0" applyFont="true" applyBorder="true" applyAlignment="true" applyProtection="true">
      <alignment horizontal="left" vertical="bottom" textRotation="0" wrapText="false" indent="0" shrinkToFit="false"/>
      <protection locked="true" hidden="false"/>
    </xf>
    <xf numFmtId="164" fontId="0" fillId="19" borderId="45" xfId="0" applyFont="false" applyBorder="true" applyAlignment="true" applyProtection="true">
      <alignment horizontal="general" vertical="bottom" textRotation="0" wrapText="false" indent="0" shrinkToFit="false"/>
      <protection locked="true" hidden="false"/>
    </xf>
    <xf numFmtId="164" fontId="20" fillId="20" borderId="24" xfId="0" applyFont="true" applyBorder="true" applyAlignment="true" applyProtection="true">
      <alignment horizontal="center" vertical="center" textRotation="0" wrapText="false" indent="0" shrinkToFit="false"/>
      <protection locked="true" hidden="false"/>
    </xf>
    <xf numFmtId="164" fontId="0" fillId="18" borderId="24" xfId="0" applyFont="true" applyBorder="true" applyAlignment="true" applyProtection="true">
      <alignment horizontal="center" vertical="bottom" textRotation="0" wrapText="false" indent="0" shrinkToFit="false"/>
      <protection locked="true" hidden="false"/>
    </xf>
    <xf numFmtId="164" fontId="4" fillId="19" borderId="5" xfId="20" applyFont="true" applyBorder="true" applyAlignment="true" applyProtection="true">
      <alignment horizontal="general" vertical="center" textRotation="0" wrapText="false" indent="0" shrinkToFit="false"/>
      <protection locked="true" hidden="false"/>
    </xf>
    <xf numFmtId="164" fontId="4" fillId="19" borderId="13" xfId="20" applyFont="true" applyBorder="true" applyAlignment="true" applyProtection="true">
      <alignment horizontal="general" vertical="center" textRotation="0" wrapText="false" indent="0" shrinkToFit="false"/>
      <protection locked="true" hidden="false"/>
    </xf>
    <xf numFmtId="164" fontId="0" fillId="18" borderId="18" xfId="0" applyFont="true" applyBorder="true" applyAlignment="true" applyProtection="true">
      <alignment horizontal="center" vertical="bottom" textRotation="0" wrapText="false" indent="0" shrinkToFit="false"/>
      <protection locked="true" hidden="false"/>
    </xf>
    <xf numFmtId="164" fontId="4" fillId="19" borderId="20" xfId="20" applyFont="true" applyBorder="true" applyAlignment="true" applyProtection="true">
      <alignment horizontal="general" vertical="center" textRotation="0" wrapText="false" indent="0" shrinkToFit="false"/>
      <protection locked="true" hidden="false"/>
    </xf>
    <xf numFmtId="164" fontId="4" fillId="19" borderId="33" xfId="20" applyFont="true" applyBorder="true" applyAlignment="true" applyProtection="true">
      <alignment horizontal="general" vertical="center" textRotation="0" wrapText="false" indent="0" shrinkToFit="false"/>
      <protection locked="true" hidden="false"/>
    </xf>
    <xf numFmtId="164" fontId="4" fillId="19" borderId="34" xfId="20" applyFont="true" applyBorder="true" applyAlignment="true" applyProtection="true">
      <alignment horizontal="general" vertical="center" textRotation="0" wrapText="false" indent="0" shrinkToFit="false"/>
      <protection locked="true" hidden="false"/>
    </xf>
    <xf numFmtId="164" fontId="0" fillId="13" borderId="24" xfId="0" applyFont="true" applyBorder="true" applyAlignment="true" applyProtection="true">
      <alignment horizontal="center" vertical="bottom" textRotation="0" wrapText="true" indent="0" shrinkToFit="false"/>
      <protection locked="true" hidden="false"/>
    </xf>
    <xf numFmtId="164" fontId="0" fillId="18" borderId="33" xfId="0" applyFont="true" applyBorder="true" applyAlignment="true" applyProtection="true">
      <alignment horizontal="left" vertical="bottom" textRotation="0" wrapText="false" indent="0" shrinkToFit="false"/>
      <protection locked="true" hidden="false"/>
    </xf>
    <xf numFmtId="164" fontId="0" fillId="13" borderId="24" xfId="0" applyFont="true" applyBorder="true" applyAlignment="true" applyProtection="true">
      <alignment horizontal="left" vertical="bottom" textRotation="0" wrapText="true" indent="0" shrinkToFit="false"/>
      <protection locked="true" hidden="false"/>
    </xf>
    <xf numFmtId="164" fontId="0" fillId="13" borderId="24" xfId="0" applyFont="true" applyBorder="true" applyAlignment="true" applyProtection="true">
      <alignment horizontal="left" vertical="center" textRotation="0" wrapText="true" indent="0" shrinkToFit="false"/>
      <protection locked="true" hidden="false"/>
    </xf>
    <xf numFmtId="164" fontId="0" fillId="19" borderId="13" xfId="0" applyFont="false" applyBorder="true" applyAlignment="true" applyProtection="true">
      <alignment horizontal="right" vertical="center" textRotation="0" wrapText="true" indent="0" shrinkToFit="false"/>
      <protection locked="true" hidden="false"/>
    </xf>
    <xf numFmtId="164" fontId="0" fillId="13" borderId="32" xfId="0" applyFont="true" applyBorder="true" applyAlignment="true" applyProtection="true">
      <alignment horizontal="left" vertical="bottom" textRotation="0" wrapText="true" indent="0" shrinkToFit="false"/>
      <protection locked="true" hidden="false"/>
    </xf>
    <xf numFmtId="164" fontId="0" fillId="13" borderId="35" xfId="0" applyFont="true" applyBorder="true" applyAlignment="true" applyProtection="true">
      <alignment horizontal="left" vertical="bottom" textRotation="0" wrapText="true" indent="0" shrinkToFit="false"/>
      <protection locked="true" hidden="false"/>
    </xf>
    <xf numFmtId="172" fontId="14" fillId="19" borderId="13" xfId="0" applyFont="true" applyBorder="true" applyAlignment="true" applyProtection="true">
      <alignment horizontal="general" vertical="bottom" textRotation="0" wrapText="false" indent="0" shrinkToFit="false"/>
      <protection locked="true" hidden="false"/>
    </xf>
    <xf numFmtId="164" fontId="0" fillId="13" borderId="32" xfId="0" applyFont="true" applyBorder="true" applyAlignment="true" applyProtection="true">
      <alignment horizontal="general" vertical="bottom" textRotation="0" wrapText="true" indent="0" shrinkToFit="false"/>
      <protection locked="true" hidden="false"/>
    </xf>
    <xf numFmtId="164" fontId="0" fillId="13" borderId="33" xfId="0" applyFont="false" applyBorder="true" applyAlignment="true" applyProtection="true">
      <alignment horizontal="general" vertical="bottom" textRotation="0" wrapText="true" indent="0" shrinkToFit="false"/>
      <protection locked="true" hidden="false"/>
    </xf>
    <xf numFmtId="164" fontId="0" fillId="13" borderId="34" xfId="0" applyFont="false" applyBorder="true" applyAlignment="true" applyProtection="true">
      <alignment horizontal="general" vertical="bottom" textRotation="0" wrapText="true" indent="0" shrinkToFit="false"/>
      <protection locked="true" hidden="false"/>
    </xf>
    <xf numFmtId="164" fontId="0" fillId="18" borderId="39" xfId="0" applyFont="true" applyBorder="true" applyAlignment="true" applyProtection="true">
      <alignment horizontal="left" vertical="bottom" textRotation="0" wrapText="false" indent="0" shrinkToFit="false"/>
      <protection locked="true" hidden="false"/>
    </xf>
    <xf numFmtId="172" fontId="14" fillId="19" borderId="43" xfId="0" applyFont="true" applyBorder="true" applyAlignment="true" applyProtection="true">
      <alignment horizontal="general" vertical="bottom" textRotation="0" wrapText="false" indent="0" shrinkToFit="false"/>
      <protection locked="true" hidden="false"/>
    </xf>
    <xf numFmtId="164" fontId="0" fillId="20" borderId="40" xfId="0" applyFont="false" applyBorder="true" applyAlignment="true" applyProtection="true">
      <alignment horizontal="center" vertical="bottom" textRotation="0" wrapText="false" indent="0" shrinkToFit="false"/>
      <protection locked="true" hidden="false"/>
    </xf>
    <xf numFmtId="164" fontId="0" fillId="18" borderId="24" xfId="0" applyFont="true" applyBorder="true" applyAlignment="true" applyProtection="true">
      <alignment horizontal="left" vertical="bottom" textRotation="0" wrapText="false" indent="0" shrinkToFit="false"/>
      <protection locked="true" hidden="false"/>
    </xf>
    <xf numFmtId="172" fontId="14" fillId="19" borderId="5" xfId="0" applyFont="true" applyBorder="true" applyAlignment="true" applyProtection="true">
      <alignment horizontal="general" vertical="bottom" textRotation="0" wrapText="false" indent="0" shrinkToFit="false"/>
      <protection locked="true" hidden="false"/>
    </xf>
    <xf numFmtId="164" fontId="0" fillId="13" borderId="5" xfId="0" applyFont="true" applyBorder="true" applyAlignment="true" applyProtection="true">
      <alignment horizontal="left" vertical="bottom" textRotation="0" wrapText="true" indent="0" shrinkToFit="false"/>
      <protection locked="true" hidden="false"/>
    </xf>
    <xf numFmtId="164" fontId="0" fillId="13" borderId="13" xfId="0" applyFont="true" applyBorder="true" applyAlignment="true" applyProtection="true">
      <alignment horizontal="left" vertical="bottom" textRotation="0" wrapText="true" indent="0" shrinkToFit="false"/>
      <protection locked="true" hidden="false"/>
    </xf>
    <xf numFmtId="164" fontId="0" fillId="13" borderId="32" xfId="0" applyFont="true" applyBorder="true" applyAlignment="true" applyProtection="true">
      <alignment horizontal="center" vertical="center" textRotation="0" wrapText="true" indent="0" shrinkToFit="false"/>
      <protection locked="true" hidden="false"/>
    </xf>
    <xf numFmtId="164" fontId="0" fillId="20" borderId="5" xfId="0" applyFont="true" applyBorder="true" applyAlignment="true" applyProtection="true">
      <alignment horizontal="center" vertical="bottom" textRotation="0" wrapText="false" indent="0" shrinkToFit="false"/>
      <protection locked="true" hidden="false"/>
    </xf>
    <xf numFmtId="164" fontId="0" fillId="20" borderId="33" xfId="0" applyFont="true" applyBorder="true" applyAlignment="true" applyProtection="true">
      <alignment horizontal="center" vertical="bottom" textRotation="0" wrapText="false" indent="0" shrinkToFit="false"/>
      <protection locked="true" hidden="false"/>
    </xf>
    <xf numFmtId="164" fontId="0" fillId="20" borderId="31" xfId="0" applyFont="true" applyBorder="true" applyAlignment="true" applyProtection="true">
      <alignment horizontal="left" vertical="bottom" textRotation="0" wrapText="true" indent="0" shrinkToFit="false"/>
      <protection locked="true" hidden="false"/>
    </xf>
    <xf numFmtId="167" fontId="14" fillId="19" borderId="13" xfId="0" applyFont="true" applyBorder="true" applyAlignment="true" applyProtection="true">
      <alignment horizontal="general" vertical="bottom" textRotation="0" wrapText="false" indent="0" shrinkToFit="false"/>
      <protection locked="true" hidden="false"/>
    </xf>
    <xf numFmtId="164" fontId="0" fillId="20" borderId="35" xfId="0" applyFont="true" applyBorder="true" applyAlignment="true" applyProtection="true">
      <alignment horizontal="left" vertical="bottom" textRotation="0" wrapText="false" indent="0" shrinkToFit="false"/>
      <protection locked="true" hidden="false"/>
    </xf>
    <xf numFmtId="164" fontId="0" fillId="19" borderId="13" xfId="0" applyFont="false" applyBorder="true" applyAlignment="true" applyProtection="true">
      <alignment horizontal="center" vertical="bottom" textRotation="0" wrapText="false" indent="0" shrinkToFit="false"/>
      <protection locked="true" hidden="false"/>
    </xf>
    <xf numFmtId="164" fontId="0" fillId="19" borderId="34" xfId="0" applyFont="false" applyBorder="true" applyAlignment="true" applyProtection="true">
      <alignment horizontal="center" vertical="center" textRotation="0" wrapText="false" indent="0" shrinkToFit="false"/>
      <protection locked="true" hidden="false"/>
    </xf>
    <xf numFmtId="164" fontId="13" fillId="19" borderId="39" xfId="0" applyFont="true" applyBorder="true" applyAlignment="true" applyProtection="true">
      <alignment horizontal="general" vertical="bottom" textRotation="0" wrapText="false" indent="0" shrinkToFit="false"/>
      <protection locked="true" hidden="false"/>
    </xf>
    <xf numFmtId="164" fontId="0" fillId="19" borderId="38" xfId="0" applyFont="false" applyBorder="true" applyAlignment="true" applyProtection="true">
      <alignment horizontal="general" vertical="bottom" textRotation="0" wrapText="false" indent="0" shrinkToFit="false"/>
      <protection locked="true" hidden="false"/>
    </xf>
    <xf numFmtId="164" fontId="14" fillId="19" borderId="32" xfId="0" applyFont="true" applyBorder="true" applyAlignment="true" applyProtection="true">
      <alignment horizontal="general" vertical="bottom" textRotation="0" wrapText="false" indent="0" shrinkToFit="false"/>
      <protection locked="true" hidden="false"/>
    </xf>
    <xf numFmtId="164" fontId="0" fillId="23" borderId="34" xfId="0" applyFont="false" applyBorder="true" applyAlignment="true" applyProtection="true">
      <alignment horizontal="general" vertical="bottom" textRotation="0" wrapText="false" indent="0" shrinkToFit="false"/>
      <protection locked="true" hidden="false"/>
    </xf>
    <xf numFmtId="164" fontId="14" fillId="13" borderId="24" xfId="0" applyFont="true" applyBorder="true" applyAlignment="true" applyProtection="true">
      <alignment horizontal="general" vertical="bottom" textRotation="0" wrapText="false" indent="0" shrinkToFit="false"/>
      <protection locked="true" hidden="false"/>
    </xf>
    <xf numFmtId="164" fontId="13" fillId="20" borderId="0" xfId="0" applyFont="true" applyBorder="false" applyAlignment="true" applyProtection="true">
      <alignment horizontal="general" vertical="bottom" textRotation="0" wrapText="false" indent="0" shrinkToFit="false"/>
      <protection locked="true" hidden="false"/>
    </xf>
    <xf numFmtId="164" fontId="0" fillId="20" borderId="0" xfId="0" applyFont="false" applyBorder="false" applyAlignment="true" applyProtection="true">
      <alignment horizontal="general" vertical="bottom" textRotation="0" wrapText="false" indent="0" shrinkToFit="false"/>
      <protection locked="true" hidden="false"/>
    </xf>
    <xf numFmtId="164" fontId="14" fillId="20" borderId="0" xfId="0" applyFont="true" applyBorder="false" applyAlignment="true" applyProtection="true">
      <alignment horizontal="center" vertical="center" textRotation="0" wrapText="false" indent="0" shrinkToFit="false"/>
      <protection locked="true" hidden="false"/>
    </xf>
    <xf numFmtId="164" fontId="19" fillId="17" borderId="39" xfId="0" applyFont="true" applyBorder="true" applyAlignment="true" applyProtection="true">
      <alignment horizontal="general" vertical="bottom" textRotation="0" wrapText="false" indent="0" shrinkToFit="false"/>
      <protection locked="true" hidden="false"/>
    </xf>
    <xf numFmtId="164" fontId="19" fillId="17" borderId="43" xfId="0" applyFont="true" applyBorder="true" applyAlignment="true" applyProtection="true">
      <alignment horizontal="general" vertical="bottom" textRotation="0" wrapText="false" indent="0" shrinkToFit="false"/>
      <protection locked="true" hidden="false"/>
    </xf>
    <xf numFmtId="164" fontId="19" fillId="17" borderId="40" xfId="0" applyFont="true" applyBorder="true" applyAlignment="true" applyProtection="true">
      <alignment horizontal="general" vertical="bottom" textRotation="0" wrapText="false" indent="0" shrinkToFit="false"/>
      <protection locked="true" hidden="false"/>
    </xf>
    <xf numFmtId="164" fontId="14" fillId="13" borderId="32" xfId="0" applyFont="true" applyBorder="true" applyAlignment="true" applyProtection="true">
      <alignment horizontal="general" vertical="bottom" textRotation="0" wrapText="false" indent="0" shrinkToFit="false"/>
      <protection locked="true" hidden="false"/>
    </xf>
    <xf numFmtId="168" fontId="0" fillId="19" borderId="34"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18" borderId="24" xfId="0" applyFont="true" applyBorder="true" applyAlignment="true" applyProtection="true">
      <alignment horizontal="general" vertical="bottom" textRotation="0" wrapText="false" indent="0" shrinkToFit="false"/>
      <protection locked="true" hidden="false"/>
    </xf>
    <xf numFmtId="164" fontId="0" fillId="19" borderId="24" xfId="0" applyFont="true" applyBorder="true" applyAlignment="true" applyProtection="true">
      <alignment horizontal="left" vertical="bottom" textRotation="0" wrapText="false" indent="0" shrinkToFit="false"/>
      <protection locked="true" hidden="false"/>
    </xf>
    <xf numFmtId="164" fontId="0" fillId="19" borderId="32" xfId="0" applyFont="true" applyBorder="true" applyAlignment="true" applyProtection="true">
      <alignment horizontal="left" vertical="bottom" textRotation="0" wrapText="false" indent="0" shrinkToFit="false"/>
      <protection locked="true" hidden="false"/>
    </xf>
    <xf numFmtId="164" fontId="0" fillId="19" borderId="33" xfId="0" applyFont="false" applyBorder="true" applyAlignment="true" applyProtection="true">
      <alignment horizontal="general" vertical="bottom" textRotation="0" wrapText="false" indent="0" shrinkToFit="false"/>
      <protection locked="true" hidden="false"/>
    </xf>
    <xf numFmtId="164" fontId="13" fillId="20" borderId="24" xfId="0" applyFont="true" applyBorder="true" applyAlignment="true" applyProtection="true">
      <alignment horizontal="left" vertical="bottom" textRotation="0" wrapText="false" indent="0" shrinkToFit="false"/>
      <protection locked="true" hidden="false"/>
    </xf>
    <xf numFmtId="169" fontId="14" fillId="19" borderId="13" xfId="0" applyFont="true" applyBorder="true" applyAlignment="true" applyProtection="true">
      <alignment horizontal="general" vertical="bottom" textRotation="0" wrapText="false" indent="0" shrinkToFit="false"/>
      <protection locked="true" hidden="false"/>
    </xf>
    <xf numFmtId="164" fontId="19" fillId="17" borderId="46" xfId="0" applyFont="true" applyBorder="true" applyAlignment="true" applyProtection="true">
      <alignment horizontal="left" vertical="bottom" textRotation="0" wrapText="false" indent="0" shrinkToFit="false"/>
      <protection locked="true" hidden="false"/>
    </xf>
    <xf numFmtId="164" fontId="14" fillId="13" borderId="39" xfId="0" applyFont="true" applyBorder="true" applyAlignment="true" applyProtection="true">
      <alignment horizontal="general" vertical="bottom" textRotation="0" wrapText="false" indent="0" shrinkToFit="false"/>
      <protection locked="true" hidden="false"/>
    </xf>
    <xf numFmtId="164" fontId="0" fillId="19" borderId="40" xfId="0" applyFont="false" applyBorder="true" applyAlignment="true" applyProtection="true">
      <alignment horizontal="general" vertical="bottom" textRotation="0" wrapText="false" indent="0" shrinkToFit="false"/>
      <protection locked="true" hidden="false"/>
    </xf>
    <xf numFmtId="167" fontId="14" fillId="19" borderId="34" xfId="0" applyFont="true" applyBorder="true" applyAlignment="true" applyProtection="true">
      <alignment horizontal="general" vertical="bottom" textRotation="0" wrapText="false" indent="0" shrinkToFit="false"/>
      <protection locked="true" hidden="false"/>
    </xf>
    <xf numFmtId="164" fontId="14" fillId="20" borderId="43" xfId="0" applyFont="true" applyBorder="true" applyAlignment="true" applyProtection="true">
      <alignment horizontal="left" vertical="bottom" textRotation="0" wrapText="false" indent="0" shrinkToFit="false"/>
      <protection locked="true" hidden="false"/>
    </xf>
    <xf numFmtId="164" fontId="21" fillId="20" borderId="43" xfId="0" applyFont="true" applyBorder="true" applyAlignment="true" applyProtection="true">
      <alignment horizontal="left" vertical="center" textRotation="0" wrapText="false" indent="0" shrinkToFit="false"/>
      <protection locked="true" hidden="false"/>
    </xf>
    <xf numFmtId="164" fontId="21" fillId="20" borderId="40" xfId="0" applyFont="true" applyBorder="true" applyAlignment="true" applyProtection="true">
      <alignment horizontal="left" vertical="center" textRotation="0" wrapText="false" indent="0" shrinkToFit="false"/>
      <protection locked="true" hidden="false"/>
    </xf>
    <xf numFmtId="164" fontId="0" fillId="18" borderId="33" xfId="0" applyFont="true" applyBorder="true" applyAlignment="true" applyProtection="true">
      <alignment horizontal="center" vertical="center"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Input 2" xfId="20"/>
    <cellStyle name="Input 2 2" xfId="21"/>
    <cellStyle name="Millares 2" xfId="22"/>
    <cellStyle name="Normal 2" xfId="23"/>
    <cellStyle name="Normal 2 2" xfId="24"/>
    <cellStyle name="Normal 2 2 2" xfId="25"/>
    <cellStyle name="Normal 4" xfId="26"/>
  </cellStyles>
  <dxfs count="1">
    <dxf>
      <font>
        <color rgb="FF9C0006"/>
      </font>
      <fill>
        <patternFill>
          <bgColor rgb="FFFFC7CE"/>
        </patternFill>
      </fill>
    </dxf>
  </dxfs>
  <colors>
    <indexedColors>
      <rgbColor rgb="FF000000"/>
      <rgbColor rgb="FFFFFFFF"/>
      <rgbColor rgb="FFFF0000"/>
      <rgbColor rgb="FF00FF00"/>
      <rgbColor rgb="FF0000FF"/>
      <rgbColor rgb="FFFFFF00"/>
      <rgbColor rgb="FFFF00FF"/>
      <rgbColor rgb="FF66FF33"/>
      <rgbColor rgb="FF9C0006"/>
      <rgbColor rgb="FF008000"/>
      <rgbColor rgb="FF000080"/>
      <rgbColor rgb="FF808000"/>
      <rgbColor rgb="FF800080"/>
      <rgbColor rgb="FF008080"/>
      <rgbColor rgb="FFBFBFBF"/>
      <rgbColor rgb="FF7F7F7F"/>
      <rgbColor rgb="FFC3D69B"/>
      <rgbColor rgb="FF993366"/>
      <rgbColor rgb="FFEBF1DE"/>
      <rgbColor rgb="FFDDEBF7"/>
      <rgbColor rgb="FF660066"/>
      <rgbColor rgb="FFFDEADA"/>
      <rgbColor rgb="FF0066CC"/>
      <rgbColor rgb="FFD9D9D9"/>
      <rgbColor rgb="FF000080"/>
      <rgbColor rgb="FFFF00FF"/>
      <rgbColor rgb="FFF8F200"/>
      <rgbColor rgb="FFA2E8BD"/>
      <rgbColor rgb="FF800080"/>
      <rgbColor rgb="FF800000"/>
      <rgbColor rgb="FF008080"/>
      <rgbColor rgb="FF0000FF"/>
      <rgbColor rgb="FF00CCFF"/>
      <rgbColor rgb="FFB7DEE8"/>
      <rgbColor rgb="FFE2EFDA"/>
      <rgbColor rgb="FFFFE699"/>
      <rgbColor rgb="FF9DC3E6"/>
      <rgbColor rgb="FFFFC7CE"/>
      <rgbColor rgb="FFC9C9C9"/>
      <rgbColor rgb="FFFFCC99"/>
      <rgbColor rgb="FF3366FF"/>
      <rgbColor rgb="FF39C6DB"/>
      <rgbColor rgb="FFA9D18E"/>
      <rgbColor rgb="FFFFC000"/>
      <rgbColor rgb="FFFF9900"/>
      <rgbColor rgb="FFFF6600"/>
      <rgbColor rgb="FF666699"/>
      <rgbColor rgb="FFC4BD97"/>
      <rgbColor rgb="FF003366"/>
      <rgbColor rgb="FF00B050"/>
      <rgbColor rgb="FF003300"/>
      <rgbColor rgb="FF333300"/>
      <rgbColor rgb="FF993300"/>
      <rgbColor rgb="FF993366"/>
      <rgbColor rgb="FF3F3F7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12</xdr:col>
      <xdr:colOff>10800</xdr:colOff>
      <xdr:row>1</xdr:row>
      <xdr:rowOff>74160</xdr:rowOff>
    </xdr:to>
    <xdr:pic>
      <xdr:nvPicPr>
        <xdr:cNvPr id="0" name="Picture 2" descr=""/>
        <xdr:cNvPicPr/>
      </xdr:nvPicPr>
      <xdr:blipFill>
        <a:blip r:embed="rId1"/>
        <a:stretch/>
      </xdr:blipFill>
      <xdr:spPr>
        <a:xfrm>
          <a:off x="0" y="0"/>
          <a:ext cx="12324240" cy="826560"/>
        </a:xfrm>
        <a:prstGeom prst="rect">
          <a:avLst/>
        </a:prstGeom>
        <a:ln w="0">
          <a:noFill/>
        </a:ln>
      </xdr:spPr>
    </xdr:pic>
    <xdr:clientData/>
  </xdr:twoCellAnchor>
  <xdr:twoCellAnchor editAs="twoCell">
    <xdr:from>
      <xdr:col>0</xdr:col>
      <xdr:colOff>0</xdr:colOff>
      <xdr:row>0</xdr:row>
      <xdr:rowOff>47520</xdr:rowOff>
    </xdr:from>
    <xdr:to>
      <xdr:col>4</xdr:col>
      <xdr:colOff>90000</xdr:colOff>
      <xdr:row>0</xdr:row>
      <xdr:rowOff>527760</xdr:rowOff>
    </xdr:to>
    <xdr:sp>
      <xdr:nvSpPr>
        <xdr:cNvPr id="1" name="TextBox 3"/>
        <xdr:cNvSpPr/>
      </xdr:nvSpPr>
      <xdr:spPr>
        <a:xfrm>
          <a:off x="0" y="47520"/>
          <a:ext cx="5077800" cy="480240"/>
        </a:xfrm>
        <a:prstGeom prst="rect">
          <a:avLst/>
        </a:prstGeom>
        <a:noFill/>
        <a:ln w="9525">
          <a:noFill/>
        </a:ln>
      </xdr:spPr>
      <xdr:style>
        <a:lnRef idx="0"/>
        <a:fillRef idx="0"/>
        <a:effectRef idx="0"/>
        <a:fontRef idx="minor"/>
      </xdr:style>
      <xdr:txBody>
        <a:bodyPr horzOverflow="clip" vertOverflow="clip" lIns="90000" rIns="90000" tIns="45000" bIns="45000" anchor="t">
          <a:noAutofit/>
        </a:bodyPr>
        <a:p>
          <a:pPr>
            <a:lnSpc>
              <a:spcPct val="100000"/>
            </a:lnSpc>
            <a:tabLst>
              <a:tab algn="l" pos="0"/>
            </a:tabLst>
          </a:pPr>
          <a:r>
            <a:rPr b="1" lang="en-US" sz="2600" spc="-1" strike="noStrike">
              <a:solidFill>
                <a:srgbClr val="000000"/>
              </a:solidFill>
              <a:latin typeface="Calibri"/>
              <a:ea typeface="Calibri"/>
            </a:rPr>
            <a:t>PYMEDEASCAT</a:t>
          </a:r>
          <a:endParaRPr b="0" lang="ca-ES" sz="2600" spc="-1" strike="noStrike">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L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K26" activeCellId="0" sqref="K26"/>
    </sheetView>
  </sheetViews>
  <sheetFormatPr defaultColWidth="11.4453125" defaultRowHeight="14.25" zeroHeight="false" outlineLevelRow="0" outlineLevelCol="0"/>
  <cols>
    <col collapsed="false" customWidth="true" hidden="false" outlineLevel="0" max="1" min="1" style="1" width="18.34"/>
    <col collapsed="false" customWidth="true" hidden="false" outlineLevel="0" max="2" min="2" style="1" width="21.11"/>
  </cols>
  <sheetData>
    <row r="1" customFormat="false" ht="59.25" hidden="false" customHeight="true" outlineLevel="0" collapsed="false">
      <c r="A1" s="2"/>
      <c r="B1" s="3"/>
      <c r="C1" s="3"/>
      <c r="D1" s="3"/>
      <c r="E1" s="3"/>
      <c r="F1" s="3"/>
      <c r="G1" s="3"/>
      <c r="H1" s="3"/>
      <c r="I1" s="3"/>
      <c r="J1" s="3"/>
      <c r="K1" s="3"/>
      <c r="L1" s="3"/>
    </row>
    <row r="2" customFormat="false" ht="14.25" hidden="false" customHeight="true" outlineLevel="0" collapsed="false">
      <c r="A2" s="4"/>
      <c r="B2" s="5"/>
      <c r="C2" s="5"/>
      <c r="D2" s="5"/>
      <c r="E2" s="5"/>
      <c r="F2" s="5"/>
      <c r="G2" s="5"/>
      <c r="H2" s="5"/>
      <c r="I2" s="5"/>
      <c r="J2" s="5"/>
      <c r="K2" s="5"/>
      <c r="L2" s="5"/>
    </row>
    <row r="3" customFormat="false" ht="18" hidden="false" customHeight="true" outlineLevel="0" collapsed="false">
      <c r="A3" s="6" t="s">
        <v>0</v>
      </c>
      <c r="B3" s="5"/>
      <c r="C3" s="7"/>
      <c r="D3" s="5"/>
      <c r="E3" s="5"/>
      <c r="F3" s="5"/>
      <c r="G3" s="5"/>
      <c r="H3" s="5"/>
      <c r="I3" s="5"/>
      <c r="J3" s="5"/>
      <c r="K3" s="5"/>
      <c r="L3" s="5"/>
    </row>
    <row r="4" customFormat="false" ht="14.25" hidden="false" customHeight="false" outlineLevel="0" collapsed="false">
      <c r="A4" s="8" t="s">
        <v>1</v>
      </c>
      <c r="B4" s="5" t="s">
        <v>2</v>
      </c>
      <c r="C4" s="7"/>
      <c r="D4" s="5"/>
      <c r="E4" s="5"/>
      <c r="F4" s="5"/>
      <c r="G4" s="5"/>
      <c r="H4" s="5"/>
      <c r="I4" s="5"/>
      <c r="J4" s="5"/>
      <c r="K4" s="5"/>
      <c r="L4" s="5"/>
    </row>
    <row r="5" customFormat="false" ht="14.25" hidden="false" customHeight="false" outlineLevel="0" collapsed="false">
      <c r="A5" s="8" t="s">
        <v>3</v>
      </c>
      <c r="B5" s="5" t="s">
        <v>4</v>
      </c>
      <c r="C5" s="7"/>
      <c r="D5" s="5"/>
      <c r="E5" s="5"/>
      <c r="F5" s="5"/>
      <c r="G5" s="5"/>
      <c r="H5" s="5"/>
      <c r="I5" s="5"/>
      <c r="J5" s="5"/>
      <c r="K5" s="5"/>
      <c r="L5" s="5"/>
    </row>
    <row r="6" customFormat="false" ht="14.25" hidden="false" customHeight="false" outlineLevel="0" collapsed="false">
      <c r="A6" s="5" t="s">
        <v>5</v>
      </c>
      <c r="B6" s="5" t="s">
        <v>6</v>
      </c>
      <c r="C6" s="7"/>
      <c r="D6" s="5"/>
      <c r="E6" s="5"/>
      <c r="F6" s="5"/>
      <c r="G6" s="5"/>
      <c r="H6" s="5"/>
      <c r="I6" s="5"/>
      <c r="J6" s="5"/>
      <c r="K6" s="5"/>
      <c r="L6" s="5"/>
    </row>
    <row r="7" customFormat="false" ht="14.25" hidden="false" customHeight="false" outlineLevel="0" collapsed="false">
      <c r="A7" s="5"/>
      <c r="B7" s="5"/>
      <c r="C7" s="7"/>
      <c r="D7" s="5"/>
      <c r="E7" s="5"/>
      <c r="F7" s="5"/>
      <c r="G7" s="5"/>
      <c r="H7" s="5"/>
      <c r="I7" s="5"/>
      <c r="J7" s="5"/>
      <c r="K7" s="5"/>
      <c r="L7" s="5"/>
    </row>
    <row r="8" customFormat="false" ht="14.25" hidden="false" customHeight="false" outlineLevel="0" collapsed="false">
      <c r="A8" s="5" t="s">
        <v>7</v>
      </c>
      <c r="B8" s="5" t="s">
        <v>8</v>
      </c>
      <c r="C8" s="7"/>
      <c r="D8" s="5"/>
      <c r="E8" s="5"/>
      <c r="F8" s="5"/>
      <c r="G8" s="5"/>
      <c r="H8" s="5"/>
      <c r="I8" s="5"/>
      <c r="J8" s="5"/>
      <c r="K8" s="5"/>
      <c r="L8" s="5"/>
    </row>
    <row r="9" customFormat="false" ht="14.25" hidden="false" customHeight="false" outlineLevel="0" collapsed="false">
      <c r="A9" s="5" t="s">
        <v>9</v>
      </c>
      <c r="B9" s="5" t="s">
        <v>10</v>
      </c>
      <c r="C9" s="7"/>
      <c r="D9" s="5"/>
      <c r="E9" s="5"/>
      <c r="F9" s="5"/>
      <c r="G9" s="5"/>
      <c r="H9" s="5"/>
      <c r="I9" s="5"/>
      <c r="J9" s="5"/>
      <c r="K9" s="5"/>
      <c r="L9" s="5"/>
    </row>
    <row r="10" customFormat="false" ht="14.25" hidden="false" customHeight="false" outlineLevel="0" collapsed="false">
      <c r="A10" s="5" t="s">
        <v>11</v>
      </c>
      <c r="B10" s="9" t="n">
        <v>44805</v>
      </c>
      <c r="C10" s="5"/>
      <c r="D10" s="5"/>
      <c r="E10" s="5"/>
      <c r="F10" s="5"/>
      <c r="G10" s="5"/>
      <c r="H10" s="5"/>
      <c r="I10" s="5"/>
      <c r="J10" s="5"/>
      <c r="K10" s="5"/>
      <c r="L10" s="5"/>
    </row>
    <row r="11" customFormat="false" ht="14.25" hidden="false" customHeight="false" outlineLevel="0" collapsed="false">
      <c r="A11" s="5" t="s">
        <v>12</v>
      </c>
      <c r="B11" s="5"/>
      <c r="C11" s="5"/>
      <c r="D11" s="5"/>
      <c r="E11" s="5"/>
      <c r="F11" s="5"/>
      <c r="G11" s="5"/>
      <c r="H11" s="5"/>
      <c r="I11" s="5"/>
      <c r="J11" s="5"/>
      <c r="K11" s="5"/>
      <c r="L11" s="5"/>
    </row>
    <row r="12" customFormat="false" ht="14.25" hidden="false" customHeight="false" outlineLevel="0" collapsed="false">
      <c r="A12" s="5"/>
      <c r="B12" s="5"/>
      <c r="C12" s="5"/>
      <c r="D12" s="5"/>
      <c r="E12" s="5"/>
      <c r="F12" s="5"/>
      <c r="G12" s="5"/>
      <c r="H12" s="5"/>
      <c r="I12" s="5"/>
      <c r="J12" s="5"/>
      <c r="K12" s="5"/>
      <c r="L12" s="5"/>
    </row>
    <row r="13" customFormat="false" ht="15" hidden="false" customHeight="false" outlineLevel="0" collapsed="false">
      <c r="A13" s="6" t="s">
        <v>13</v>
      </c>
      <c r="B13" s="5"/>
      <c r="C13" s="5"/>
      <c r="D13" s="5"/>
      <c r="E13" s="5"/>
      <c r="F13" s="5"/>
      <c r="G13" s="5"/>
      <c r="H13" s="5"/>
      <c r="I13" s="5"/>
      <c r="J13" s="5"/>
      <c r="K13" s="5"/>
      <c r="L13" s="5"/>
    </row>
    <row r="14" customFormat="false" ht="14.25" hidden="false" customHeight="false" outlineLevel="0" collapsed="false">
      <c r="A14" s="5" t="s">
        <v>14</v>
      </c>
      <c r="B14" s="5"/>
      <c r="C14" s="5"/>
      <c r="D14" s="5"/>
      <c r="E14" s="5"/>
      <c r="F14" s="5"/>
      <c r="G14" s="5"/>
      <c r="H14" s="5"/>
      <c r="I14" s="5"/>
      <c r="J14" s="5"/>
      <c r="K14" s="5"/>
      <c r="L14" s="5"/>
    </row>
    <row r="15" customFormat="false" ht="14.25" hidden="false" customHeight="false" outlineLevel="0" collapsed="false">
      <c r="A15" s="5" t="s">
        <v>15</v>
      </c>
      <c r="B15" s="5"/>
      <c r="C15" s="5"/>
      <c r="D15" s="5"/>
      <c r="E15" s="5"/>
      <c r="F15" s="5"/>
      <c r="G15" s="5"/>
      <c r="H15" s="5"/>
      <c r="I15" s="5"/>
      <c r="J15" s="5"/>
      <c r="K15" s="5"/>
      <c r="L15" s="5"/>
    </row>
    <row r="16" customFormat="false" ht="14.25" hidden="false" customHeight="false" outlineLevel="0" collapsed="false">
      <c r="A16" s="5" t="s">
        <v>16</v>
      </c>
      <c r="B16" s="5"/>
      <c r="C16" s="5"/>
      <c r="D16" s="5"/>
      <c r="E16" s="5"/>
      <c r="F16" s="5"/>
      <c r="G16" s="5"/>
      <c r="H16" s="5"/>
      <c r="I16" s="5"/>
      <c r="J16" s="5"/>
      <c r="K16" s="5"/>
      <c r="L16" s="5"/>
    </row>
    <row r="17" customFormat="false" ht="14.25" hidden="false" customHeight="false" outlineLevel="0" collapsed="false">
      <c r="A17" s="5" t="s">
        <v>17</v>
      </c>
      <c r="B17" s="5"/>
      <c r="C17" s="5"/>
      <c r="D17" s="5"/>
      <c r="E17" s="5"/>
      <c r="F17" s="5"/>
      <c r="G17" s="5"/>
      <c r="H17" s="5"/>
      <c r="I17" s="5"/>
      <c r="J17" s="5"/>
      <c r="K17" s="5"/>
      <c r="L17" s="5"/>
    </row>
    <row r="18" customFormat="false" ht="14.25" hidden="false" customHeight="false" outlineLevel="0" collapsed="false">
      <c r="A18" s="5"/>
      <c r="B18" s="5"/>
      <c r="C18" s="5"/>
      <c r="D18" s="5"/>
      <c r="E18" s="5"/>
      <c r="F18" s="5"/>
      <c r="G18" s="5"/>
      <c r="H18" s="5"/>
      <c r="I18" s="5"/>
      <c r="J18" s="5"/>
      <c r="K18" s="5"/>
      <c r="L18" s="10"/>
    </row>
    <row r="19" customFormat="false" ht="15" hidden="false" customHeight="false" outlineLevel="0" collapsed="false">
      <c r="A19" s="6" t="s">
        <v>18</v>
      </c>
      <c r="B19" s="5"/>
      <c r="C19" s="5"/>
      <c r="D19" s="5"/>
      <c r="E19" s="5"/>
      <c r="F19" s="5"/>
      <c r="G19" s="5"/>
      <c r="H19" s="5"/>
      <c r="I19" s="5"/>
      <c r="J19" s="5"/>
      <c r="K19" s="5"/>
      <c r="L19" s="5"/>
    </row>
    <row r="20" customFormat="false" ht="14.25" hidden="false" customHeight="false" outlineLevel="0" collapsed="false">
      <c r="A20" s="5" t="s">
        <v>19</v>
      </c>
      <c r="B20" s="5" t="s">
        <v>20</v>
      </c>
      <c r="C20" s="5"/>
      <c r="D20" s="5"/>
      <c r="E20" s="5"/>
      <c r="F20" s="5"/>
      <c r="G20" s="5"/>
      <c r="H20" s="5"/>
      <c r="I20" s="5"/>
      <c r="J20" s="5"/>
      <c r="K20" s="5"/>
      <c r="L20" s="5"/>
    </row>
    <row r="21" customFormat="false" ht="14.25" hidden="false" customHeight="false" outlineLevel="0" collapsed="false">
      <c r="A21" s="5" t="s">
        <v>21</v>
      </c>
      <c r="B21" s="5" t="s">
        <v>22</v>
      </c>
      <c r="C21" s="5"/>
      <c r="D21" s="5"/>
      <c r="E21" s="5"/>
      <c r="F21" s="5"/>
      <c r="G21" s="5"/>
      <c r="H21" s="5"/>
      <c r="I21" s="5"/>
      <c r="J21" s="5"/>
      <c r="K21" s="5"/>
      <c r="L21" s="5"/>
    </row>
    <row r="22" customFormat="false" ht="14.25" hidden="false" customHeight="false" outlineLevel="0" collapsed="false">
      <c r="A22" s="5" t="s">
        <v>23</v>
      </c>
      <c r="B22" s="5" t="s">
        <v>24</v>
      </c>
      <c r="C22" s="5"/>
      <c r="D22" s="5"/>
      <c r="E22" s="5"/>
      <c r="F22" s="5"/>
      <c r="G22" s="5"/>
      <c r="H22" s="5"/>
      <c r="I22" s="5"/>
      <c r="J22" s="5"/>
      <c r="K22" s="5"/>
      <c r="L22" s="5"/>
    </row>
    <row r="23" customFormat="false" ht="14.25" hidden="false" customHeight="false" outlineLevel="0" collapsed="false">
      <c r="A23" s="5"/>
      <c r="B23" s="5"/>
      <c r="C23" s="5"/>
      <c r="D23" s="5"/>
      <c r="E23" s="5"/>
      <c r="F23" s="5"/>
      <c r="G23" s="5"/>
      <c r="H23" s="5"/>
      <c r="I23" s="5"/>
      <c r="J23" s="5"/>
      <c r="K23" s="5"/>
      <c r="L23" s="5"/>
    </row>
    <row r="24" customFormat="false" ht="14.25" hidden="false" customHeight="false" outlineLevel="0" collapsed="false">
      <c r="A24" s="11"/>
      <c r="B24" s="11"/>
      <c r="C24" s="11"/>
      <c r="D24" s="11"/>
      <c r="E24" s="11"/>
      <c r="F24" s="11"/>
      <c r="G24" s="11"/>
      <c r="H24" s="11"/>
      <c r="I24" s="11"/>
      <c r="J24" s="11"/>
      <c r="K24" s="11"/>
      <c r="L24"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99"/>
    <pageSetUpPr fitToPage="false"/>
  </sheetPr>
  <dimension ref="A1:FY327"/>
  <sheetViews>
    <sheetView showFormulas="false" showGridLines="true" showRowColHeaders="true" showZeros="true" rightToLeft="false" tabSelected="false" showOutlineSymbols="true" defaultGridColor="true" view="normal" topLeftCell="A273" colorId="64" zoomScale="75" zoomScaleNormal="75" zoomScalePageLayoutView="100" workbookViewId="0">
      <selection pane="topLeft" activeCell="C287" activeCellId="0" sqref="C287"/>
    </sheetView>
  </sheetViews>
  <sheetFormatPr defaultColWidth="11.4453125" defaultRowHeight="14.25" zeroHeight="false" outlineLevelRow="0" outlineLevelCol="0"/>
  <cols>
    <col collapsed="false" customWidth="true" hidden="false" outlineLevel="0" max="1" min="1" style="1" width="44.88"/>
    <col collapsed="false" customWidth="true" hidden="false" outlineLevel="0" max="2" min="2" style="1" width="35.33"/>
    <col collapsed="false" customWidth="true" hidden="false" outlineLevel="0" max="3" min="3" style="1" width="80"/>
    <col collapsed="false" customWidth="true" hidden="false" outlineLevel="0" max="4" min="4" style="1" width="56.67"/>
    <col collapsed="false" customWidth="true" hidden="false" outlineLevel="0" max="5" min="5" style="1" width="39.44"/>
    <col collapsed="false" customWidth="true" hidden="false" outlineLevel="0" max="6" min="6" style="1" width="68.44"/>
    <col collapsed="false" customWidth="true" hidden="false" outlineLevel="0" max="7" min="7" style="1" width="34.34"/>
    <col collapsed="false" customWidth="true" hidden="false" outlineLevel="0" max="8" min="8" style="1" width="32.44"/>
    <col collapsed="false" customWidth="true" hidden="false" outlineLevel="0" max="9" min="9" style="1" width="20.33"/>
    <col collapsed="false" customWidth="true" hidden="false" outlineLevel="0" max="17" min="17" style="1" width="35.56"/>
  </cols>
  <sheetData>
    <row r="1" customFormat="false" ht="29.15" hidden="false" customHeight="false" outlineLevel="0" collapsed="false">
      <c r="A1" s="12" t="s">
        <v>25</v>
      </c>
      <c r="B1" s="13"/>
      <c r="C1" s="14"/>
      <c r="D1" s="14"/>
    </row>
    <row r="2" customFormat="false" ht="14.25" hidden="false" customHeight="false" outlineLevel="0" collapsed="false">
      <c r="A2" s="15" t="s">
        <v>26</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7"/>
    </row>
    <row r="3" customFormat="false" ht="14.25" hidden="false" customHeight="false" outlineLevel="0" collapsed="false">
      <c r="A3" s="18" t="s">
        <v>27</v>
      </c>
      <c r="B3" s="1" t="s">
        <v>28</v>
      </c>
      <c r="C3" s="19" t="s">
        <v>29</v>
      </c>
      <c r="D3" s="20" t="s">
        <v>30</v>
      </c>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2"/>
      <c r="CJ3" s="22"/>
      <c r="CK3" s="22"/>
      <c r="CL3" s="23"/>
    </row>
    <row r="4" customFormat="false" ht="14.25" hidden="false" customHeight="false" outlineLevel="0" collapsed="false">
      <c r="A4" s="24" t="s">
        <v>31</v>
      </c>
      <c r="B4" s="25" t="s">
        <v>32</v>
      </c>
      <c r="C4" s="26" t="s">
        <v>33</v>
      </c>
      <c r="D4" s="27" t="s">
        <v>34</v>
      </c>
    </row>
    <row r="5" customFormat="false" ht="14.25" hidden="false" customHeight="false" outlineLevel="0" collapsed="false">
      <c r="A5" s="24"/>
      <c r="B5" s="25"/>
      <c r="C5" s="28" t="s">
        <v>35</v>
      </c>
      <c r="D5" s="29" t="s">
        <v>36</v>
      </c>
      <c r="E5" s="30" t="n">
        <v>2015</v>
      </c>
      <c r="F5" s="30" t="n">
        <v>2016</v>
      </c>
      <c r="G5" s="30" t="n">
        <v>2017</v>
      </c>
      <c r="H5" s="30" t="n">
        <v>2018</v>
      </c>
      <c r="I5" s="30" t="n">
        <v>2019</v>
      </c>
      <c r="J5" s="30" t="n">
        <v>2020</v>
      </c>
      <c r="K5" s="30" t="n">
        <v>2021</v>
      </c>
      <c r="L5" s="30" t="n">
        <v>2022</v>
      </c>
      <c r="M5" s="30" t="n">
        <v>2023</v>
      </c>
      <c r="N5" s="30" t="n">
        <v>2024</v>
      </c>
      <c r="O5" s="30" t="n">
        <v>2025</v>
      </c>
      <c r="P5" s="30" t="n">
        <v>2026</v>
      </c>
      <c r="Q5" s="30" t="n">
        <v>2027</v>
      </c>
      <c r="R5" s="30" t="n">
        <v>2028</v>
      </c>
      <c r="S5" s="30" t="n">
        <v>2029</v>
      </c>
      <c r="T5" s="30" t="n">
        <v>2030</v>
      </c>
      <c r="U5" s="30" t="n">
        <v>2031</v>
      </c>
      <c r="V5" s="30" t="n">
        <v>2032</v>
      </c>
      <c r="W5" s="30" t="n">
        <v>2033</v>
      </c>
      <c r="X5" s="30" t="n">
        <v>2034</v>
      </c>
      <c r="Y5" s="30" t="n">
        <v>2035</v>
      </c>
      <c r="Z5" s="30" t="n">
        <v>2036</v>
      </c>
      <c r="AA5" s="30" t="n">
        <v>2037</v>
      </c>
      <c r="AB5" s="30" t="n">
        <v>2038</v>
      </c>
      <c r="AC5" s="30" t="n">
        <v>2039</v>
      </c>
      <c r="AD5" s="30" t="n">
        <v>2040</v>
      </c>
      <c r="AE5" s="30" t="n">
        <v>2041</v>
      </c>
      <c r="AF5" s="30" t="n">
        <v>2042</v>
      </c>
      <c r="AG5" s="30" t="n">
        <v>2043</v>
      </c>
      <c r="AH5" s="30" t="n">
        <v>2044</v>
      </c>
      <c r="AI5" s="30" t="n">
        <v>2045</v>
      </c>
      <c r="AJ5" s="30" t="n">
        <v>2046</v>
      </c>
      <c r="AK5" s="30" t="n">
        <v>2047</v>
      </c>
      <c r="AL5" s="30" t="n">
        <v>2048</v>
      </c>
      <c r="AM5" s="30" t="n">
        <v>2049</v>
      </c>
      <c r="AN5" s="30" t="n">
        <v>2050</v>
      </c>
      <c r="AO5" s="30" t="n">
        <v>2051</v>
      </c>
      <c r="AP5" s="30" t="n">
        <v>2052</v>
      </c>
      <c r="AQ5" s="30" t="n">
        <v>2053</v>
      </c>
      <c r="AR5" s="30" t="n">
        <v>2054</v>
      </c>
      <c r="AS5" s="30" t="n">
        <v>2055</v>
      </c>
      <c r="AT5" s="30" t="n">
        <v>2056</v>
      </c>
      <c r="AU5" s="30" t="n">
        <v>2057</v>
      </c>
      <c r="AV5" s="30" t="n">
        <v>2058</v>
      </c>
      <c r="AW5" s="30" t="n">
        <v>2059</v>
      </c>
      <c r="AX5" s="30" t="n">
        <v>2060</v>
      </c>
      <c r="AY5" s="30" t="n">
        <v>2061</v>
      </c>
      <c r="AZ5" s="30" t="n">
        <v>2062</v>
      </c>
      <c r="BA5" s="30" t="n">
        <v>2063</v>
      </c>
      <c r="BB5" s="30" t="n">
        <v>2064</v>
      </c>
      <c r="BC5" s="30" t="n">
        <v>2065</v>
      </c>
      <c r="BD5" s="30" t="n">
        <v>2066</v>
      </c>
      <c r="BE5" s="30" t="n">
        <v>2067</v>
      </c>
      <c r="BF5" s="30" t="n">
        <v>2068</v>
      </c>
      <c r="BG5" s="30" t="n">
        <v>2069</v>
      </c>
      <c r="BH5" s="30" t="n">
        <v>2070</v>
      </c>
      <c r="BI5" s="30" t="n">
        <v>2071</v>
      </c>
      <c r="BJ5" s="30" t="n">
        <v>2072</v>
      </c>
      <c r="BK5" s="30" t="n">
        <v>2073</v>
      </c>
      <c r="BL5" s="30" t="n">
        <v>2074</v>
      </c>
      <c r="BM5" s="30" t="n">
        <v>2075</v>
      </c>
      <c r="BN5" s="30" t="n">
        <v>2076</v>
      </c>
      <c r="BO5" s="30" t="n">
        <v>2077</v>
      </c>
      <c r="BP5" s="30" t="n">
        <v>2078</v>
      </c>
      <c r="BQ5" s="30" t="n">
        <v>2079</v>
      </c>
      <c r="BR5" s="30" t="n">
        <v>2080</v>
      </c>
      <c r="BS5" s="30" t="n">
        <v>2081</v>
      </c>
      <c r="BT5" s="30" t="n">
        <v>2082</v>
      </c>
      <c r="BU5" s="30" t="n">
        <v>2083</v>
      </c>
      <c r="BV5" s="30" t="n">
        <v>2084</v>
      </c>
      <c r="BW5" s="30" t="n">
        <v>2085</v>
      </c>
      <c r="BX5" s="30" t="n">
        <v>2086</v>
      </c>
      <c r="BY5" s="30" t="n">
        <v>2087</v>
      </c>
      <c r="BZ5" s="30" t="n">
        <v>2088</v>
      </c>
      <c r="CA5" s="30" t="n">
        <v>2089</v>
      </c>
      <c r="CB5" s="30" t="n">
        <v>2090</v>
      </c>
      <c r="CC5" s="30" t="n">
        <v>2091</v>
      </c>
      <c r="CD5" s="30" t="n">
        <v>2092</v>
      </c>
      <c r="CE5" s="30" t="n">
        <v>2093</v>
      </c>
      <c r="CF5" s="30" t="n">
        <v>2094</v>
      </c>
      <c r="CG5" s="30" t="n">
        <v>2095</v>
      </c>
      <c r="CH5" s="30" t="n">
        <v>2096</v>
      </c>
      <c r="CI5" s="30" t="n">
        <v>2097</v>
      </c>
      <c r="CJ5" s="30" t="n">
        <v>2098</v>
      </c>
      <c r="CK5" s="30" t="n">
        <v>2099</v>
      </c>
      <c r="CL5" s="30" t="n">
        <v>2100</v>
      </c>
    </row>
    <row r="6" customFormat="false" ht="14.25" hidden="false" customHeight="false" outlineLevel="0" collapsed="false">
      <c r="A6" s="24"/>
      <c r="B6" s="25"/>
      <c r="C6" s="28"/>
      <c r="D6" s="29" t="s">
        <v>37</v>
      </c>
      <c r="E6" s="31" t="s">
        <v>38</v>
      </c>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row>
    <row r="7" customFormat="false" ht="14.25" hidden="false" customHeight="false" outlineLevel="0" collapsed="false">
      <c r="A7" s="24"/>
      <c r="B7" s="25"/>
      <c r="C7" s="28" t="s">
        <v>39</v>
      </c>
      <c r="D7" s="32" t="s">
        <v>40</v>
      </c>
      <c r="E7" s="33" t="s">
        <v>41</v>
      </c>
      <c r="F7" s="18" t="s">
        <v>42</v>
      </c>
      <c r="G7" s="27" t="s">
        <v>43</v>
      </c>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row>
    <row r="8" customFormat="false" ht="14.25" hidden="false" customHeight="false" outlineLevel="0" collapsed="false">
      <c r="A8" s="24"/>
      <c r="B8" s="25"/>
      <c r="C8" s="34" t="s">
        <v>44</v>
      </c>
      <c r="D8" s="32"/>
      <c r="E8" s="33"/>
      <c r="F8" s="18" t="s">
        <v>45</v>
      </c>
      <c r="G8" s="27" t="s">
        <v>46</v>
      </c>
      <c r="H8" s="18" t="s">
        <v>47</v>
      </c>
      <c r="I8" s="19" t="s">
        <v>47</v>
      </c>
    </row>
    <row r="10" customFormat="false" ht="14.25" hidden="false" customHeight="false" outlineLevel="0" collapsed="false">
      <c r="A10" s="35" t="s">
        <v>48</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7"/>
    </row>
    <row r="11" customFormat="false" ht="14.25" hidden="false" customHeight="false" outlineLevel="0" collapsed="false">
      <c r="A11" s="36" t="s">
        <v>49</v>
      </c>
      <c r="B11" s="37" t="s">
        <v>50</v>
      </c>
      <c r="C11" s="38" t="s">
        <v>51</v>
      </c>
      <c r="D11" s="27" t="s">
        <v>52</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39"/>
    </row>
    <row r="12" customFormat="false" ht="14.25" hidden="false" customHeight="false" outlineLevel="0" collapsed="false">
      <c r="A12" s="36"/>
      <c r="B12" s="37"/>
      <c r="C12" s="28" t="s">
        <v>35</v>
      </c>
      <c r="D12" s="29" t="s">
        <v>36</v>
      </c>
      <c r="E12" s="30" t="n">
        <v>2015</v>
      </c>
      <c r="F12" s="30" t="n">
        <v>2016</v>
      </c>
      <c r="G12" s="30" t="n">
        <v>2017</v>
      </c>
      <c r="H12" s="30" t="n">
        <v>2018</v>
      </c>
      <c r="I12" s="30" t="n">
        <v>2019</v>
      </c>
      <c r="J12" s="30" t="n">
        <v>2020</v>
      </c>
      <c r="K12" s="30" t="n">
        <v>2021</v>
      </c>
      <c r="L12" s="30" t="n">
        <v>2022</v>
      </c>
      <c r="M12" s="30" t="n">
        <v>2023</v>
      </c>
      <c r="N12" s="30" t="n">
        <v>2024</v>
      </c>
      <c r="O12" s="30" t="n">
        <v>2025</v>
      </c>
      <c r="P12" s="30" t="n">
        <v>2026</v>
      </c>
      <c r="Q12" s="30" t="n">
        <v>2027</v>
      </c>
      <c r="R12" s="30" t="n">
        <v>2028</v>
      </c>
      <c r="S12" s="30" t="n">
        <v>2029</v>
      </c>
      <c r="T12" s="30" t="n">
        <v>2030</v>
      </c>
      <c r="U12" s="30" t="n">
        <v>2031</v>
      </c>
      <c r="V12" s="30" t="n">
        <v>2032</v>
      </c>
      <c r="W12" s="30" t="n">
        <v>2033</v>
      </c>
      <c r="X12" s="30" t="n">
        <v>2034</v>
      </c>
      <c r="Y12" s="30" t="n">
        <v>2035</v>
      </c>
      <c r="Z12" s="30" t="n">
        <v>2036</v>
      </c>
      <c r="AA12" s="30" t="n">
        <v>2037</v>
      </c>
      <c r="AB12" s="30" t="n">
        <v>2038</v>
      </c>
      <c r="AC12" s="30" t="n">
        <v>2039</v>
      </c>
      <c r="AD12" s="30" t="n">
        <v>2040</v>
      </c>
      <c r="AE12" s="30" t="n">
        <v>2041</v>
      </c>
      <c r="AF12" s="30" t="n">
        <v>2042</v>
      </c>
      <c r="AG12" s="30" t="n">
        <v>2043</v>
      </c>
      <c r="AH12" s="30" t="n">
        <v>2044</v>
      </c>
      <c r="AI12" s="30" t="n">
        <v>2045</v>
      </c>
      <c r="AJ12" s="30" t="n">
        <v>2046</v>
      </c>
      <c r="AK12" s="30" t="n">
        <v>2047</v>
      </c>
      <c r="AL12" s="30" t="n">
        <v>2048</v>
      </c>
      <c r="AM12" s="30" t="n">
        <v>2049</v>
      </c>
      <c r="AN12" s="30" t="n">
        <v>2050</v>
      </c>
      <c r="AO12" s="30" t="n">
        <v>2051</v>
      </c>
      <c r="AP12" s="30" t="n">
        <v>2052</v>
      </c>
      <c r="AQ12" s="30" t="n">
        <v>2053</v>
      </c>
      <c r="AR12" s="30" t="n">
        <v>2054</v>
      </c>
      <c r="AS12" s="30" t="n">
        <v>2055</v>
      </c>
      <c r="AT12" s="30" t="n">
        <v>2056</v>
      </c>
      <c r="AU12" s="30" t="n">
        <v>2057</v>
      </c>
      <c r="AV12" s="30" t="n">
        <v>2058</v>
      </c>
      <c r="AW12" s="30" t="n">
        <v>2059</v>
      </c>
      <c r="AX12" s="30" t="n">
        <v>2060</v>
      </c>
      <c r="AY12" s="30" t="n">
        <v>2061</v>
      </c>
      <c r="AZ12" s="30" t="n">
        <v>2062</v>
      </c>
      <c r="BA12" s="30" t="n">
        <v>2063</v>
      </c>
      <c r="BB12" s="30" t="n">
        <v>2064</v>
      </c>
      <c r="BC12" s="30" t="n">
        <v>2065</v>
      </c>
      <c r="BD12" s="30" t="n">
        <v>2066</v>
      </c>
      <c r="BE12" s="30" t="n">
        <v>2067</v>
      </c>
      <c r="BF12" s="30" t="n">
        <v>2068</v>
      </c>
      <c r="BG12" s="30" t="n">
        <v>2069</v>
      </c>
      <c r="BH12" s="30" t="n">
        <v>2070</v>
      </c>
      <c r="BI12" s="30" t="n">
        <v>2071</v>
      </c>
      <c r="BJ12" s="30" t="n">
        <v>2072</v>
      </c>
      <c r="BK12" s="30" t="n">
        <v>2073</v>
      </c>
      <c r="BL12" s="30" t="n">
        <v>2074</v>
      </c>
      <c r="BM12" s="30" t="n">
        <v>2075</v>
      </c>
      <c r="BN12" s="30" t="n">
        <v>2076</v>
      </c>
      <c r="BO12" s="30" t="n">
        <v>2077</v>
      </c>
      <c r="BP12" s="30" t="n">
        <v>2078</v>
      </c>
      <c r="BQ12" s="30" t="n">
        <v>2079</v>
      </c>
      <c r="BR12" s="30" t="n">
        <v>2080</v>
      </c>
      <c r="BS12" s="30" t="n">
        <v>2081</v>
      </c>
      <c r="BT12" s="30" t="n">
        <v>2082</v>
      </c>
      <c r="BU12" s="30" t="n">
        <v>2083</v>
      </c>
      <c r="BV12" s="30" t="n">
        <v>2084</v>
      </c>
      <c r="BW12" s="30" t="n">
        <v>2085</v>
      </c>
      <c r="BX12" s="30" t="n">
        <v>2086</v>
      </c>
      <c r="BY12" s="30" t="n">
        <v>2087</v>
      </c>
      <c r="BZ12" s="30" t="n">
        <v>2088</v>
      </c>
      <c r="CA12" s="30" t="n">
        <v>2089</v>
      </c>
      <c r="CB12" s="30" t="n">
        <v>2090</v>
      </c>
      <c r="CC12" s="30" t="n">
        <v>2091</v>
      </c>
      <c r="CD12" s="30" t="n">
        <v>2092</v>
      </c>
      <c r="CE12" s="30" t="n">
        <v>2093</v>
      </c>
      <c r="CF12" s="30" t="n">
        <v>2094</v>
      </c>
      <c r="CG12" s="30" t="n">
        <v>2095</v>
      </c>
      <c r="CH12" s="30" t="n">
        <v>2096</v>
      </c>
      <c r="CI12" s="30" t="n">
        <v>2097</v>
      </c>
      <c r="CJ12" s="30" t="n">
        <v>2098</v>
      </c>
      <c r="CK12" s="30" t="n">
        <v>2099</v>
      </c>
      <c r="CL12" s="40" t="n">
        <v>2100</v>
      </c>
      <c r="CM12" s="41" t="n">
        <v>2101</v>
      </c>
    </row>
    <row r="13" customFormat="false" ht="14.25" hidden="false" customHeight="false" outlineLevel="0" collapsed="false">
      <c r="A13" s="36"/>
      <c r="B13" s="37"/>
      <c r="C13" s="28"/>
      <c r="D13" s="29" t="s">
        <v>37</v>
      </c>
      <c r="E13" s="31" t="s">
        <v>53</v>
      </c>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42"/>
      <c r="CM13" s="43"/>
    </row>
    <row r="14" customFormat="false" ht="14.25" hidden="false" customHeight="false" outlineLevel="0" collapsed="false">
      <c r="A14" s="36"/>
      <c r="B14" s="37"/>
      <c r="C14" s="28" t="s">
        <v>39</v>
      </c>
      <c r="D14" s="44" t="s">
        <v>40</v>
      </c>
      <c r="E14" s="33" t="s">
        <v>54</v>
      </c>
      <c r="F14" s="18" t="s">
        <v>42</v>
      </c>
      <c r="G14" s="27" t="s">
        <v>55</v>
      </c>
    </row>
    <row r="15" customFormat="false" ht="14.25" hidden="false" customHeight="false" outlineLevel="0" collapsed="false">
      <c r="A15" s="36"/>
      <c r="B15" s="37"/>
      <c r="C15" s="28" t="s">
        <v>44</v>
      </c>
      <c r="D15" s="44"/>
      <c r="E15" s="33"/>
      <c r="F15" s="18" t="s">
        <v>56</v>
      </c>
      <c r="G15" s="27" t="s">
        <v>57</v>
      </c>
      <c r="H15" s="18" t="s">
        <v>47</v>
      </c>
      <c r="I15" s="19" t="s">
        <v>47</v>
      </c>
    </row>
    <row r="16" customFormat="false" ht="14.25" hidden="false" customHeight="false" outlineLevel="0" collapsed="false">
      <c r="A16" s="45"/>
      <c r="C16" s="46"/>
      <c r="D16" s="45"/>
    </row>
    <row r="17" customFormat="false" ht="14.25" hidden="false" customHeight="false" outlineLevel="0" collapsed="false">
      <c r="A17" s="45"/>
      <c r="C17" s="46"/>
      <c r="D17" s="45"/>
    </row>
    <row r="18" customFormat="false" ht="14.25" hidden="false" customHeight="false" outlineLevel="0" collapsed="false">
      <c r="A18" s="47" t="s">
        <v>58</v>
      </c>
      <c r="B18" s="48"/>
      <c r="C18" s="49"/>
      <c r="D18" s="49"/>
      <c r="E18" s="49"/>
      <c r="F18" s="49"/>
      <c r="G18" s="49"/>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50"/>
    </row>
    <row r="19" customFormat="false" ht="14.25" hidden="false" customHeight="true" outlineLevel="0" collapsed="false">
      <c r="A19" s="51" t="s">
        <v>59</v>
      </c>
      <c r="B19" s="52" t="s">
        <v>60</v>
      </c>
      <c r="C19" s="52"/>
      <c r="D19" s="53" t="s">
        <v>61</v>
      </c>
      <c r="G19" s="54"/>
      <c r="L19" s="55"/>
      <c r="CL19" s="56"/>
    </row>
    <row r="20" customFormat="false" ht="14.25" hidden="false" customHeight="false" outlineLevel="0" collapsed="false">
      <c r="A20" s="51"/>
      <c r="B20" s="52" t="s">
        <v>62</v>
      </c>
      <c r="C20" s="52"/>
      <c r="D20" s="53"/>
      <c r="G20" s="54"/>
      <c r="L20" s="57"/>
      <c r="CL20" s="56"/>
    </row>
    <row r="21" customFormat="false" ht="14.25" hidden="false" customHeight="false" outlineLevel="0" collapsed="false">
      <c r="A21" s="51"/>
      <c r="B21" s="52" t="s">
        <v>63</v>
      </c>
      <c r="C21" s="52"/>
      <c r="D21" s="53"/>
      <c r="G21" s="54"/>
      <c r="L21" s="57"/>
      <c r="CL21" s="56"/>
    </row>
    <row r="22" customFormat="false" ht="14.25" hidden="false" customHeight="false" outlineLevel="0" collapsed="false">
      <c r="A22" s="51"/>
      <c r="B22" s="52" t="s">
        <v>64</v>
      </c>
      <c r="C22" s="52"/>
      <c r="D22" s="53"/>
      <c r="E22" s="58" t="s">
        <v>65</v>
      </c>
      <c r="F22" s="59" t="s">
        <v>66</v>
      </c>
      <c r="G22" s="60" t="s">
        <v>67</v>
      </c>
      <c r="H22" s="31" t="s">
        <v>68</v>
      </c>
      <c r="I22" s="11"/>
      <c r="L22" s="61"/>
      <c r="M22" s="45"/>
      <c r="N22" s="62"/>
      <c r="CL22" s="56"/>
    </row>
    <row r="23" customFormat="false" ht="14.25" hidden="false" customHeight="false" outlineLevel="0" collapsed="false">
      <c r="A23" s="47" t="s">
        <v>69</v>
      </c>
      <c r="B23" s="48"/>
      <c r="C23" s="48"/>
      <c r="D23" s="48"/>
      <c r="E23" s="47" t="s">
        <v>70</v>
      </c>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50"/>
    </row>
    <row r="24" customFormat="false" ht="15" hidden="false" customHeight="true" outlineLevel="0" collapsed="false">
      <c r="A24" s="18" t="s">
        <v>71</v>
      </c>
      <c r="B24" s="30" t="s">
        <v>72</v>
      </c>
      <c r="C24" s="63" t="s">
        <v>73</v>
      </c>
      <c r="D24" s="45"/>
      <c r="E24" s="18" t="s">
        <v>74</v>
      </c>
      <c r="F24" s="64" t="s">
        <v>28</v>
      </c>
      <c r="G24" s="19"/>
      <c r="I24" s="18" t="s">
        <v>75</v>
      </c>
      <c r="J24" s="30" t="s">
        <v>76</v>
      </c>
      <c r="K24" s="19"/>
      <c r="CL24" s="56"/>
    </row>
    <row r="25" customFormat="false" ht="14.25" hidden="false" customHeight="false" outlineLevel="0" collapsed="false">
      <c r="A25" s="18" t="s">
        <v>77</v>
      </c>
      <c r="B25" s="30" t="s">
        <v>78</v>
      </c>
      <c r="C25" s="65" t="s">
        <v>79</v>
      </c>
      <c r="D25" s="66"/>
      <c r="E25" s="18" t="s">
        <v>80</v>
      </c>
      <c r="F25" s="64" t="s">
        <v>28</v>
      </c>
      <c r="G25" s="19"/>
      <c r="CL25" s="56"/>
    </row>
    <row r="26" customFormat="false" ht="14.25" hidden="false" customHeight="true" outlineLevel="0" collapsed="false">
      <c r="A26" s="18" t="s">
        <v>81</v>
      </c>
      <c r="B26" s="30" t="s">
        <v>72</v>
      </c>
      <c r="C26" s="67" t="s">
        <v>82</v>
      </c>
      <c r="D26" s="45"/>
      <c r="E26" s="18" t="s">
        <v>83</v>
      </c>
      <c r="F26" s="64" t="s">
        <v>28</v>
      </c>
      <c r="G26" s="19"/>
      <c r="CL26" s="56"/>
    </row>
    <row r="27" customFormat="false" ht="14.25" hidden="false" customHeight="false" outlineLevel="0" collapsed="false">
      <c r="A27" s="18" t="s">
        <v>84</v>
      </c>
      <c r="B27" s="30" t="s">
        <v>72</v>
      </c>
      <c r="C27" s="67" t="s">
        <v>85</v>
      </c>
      <c r="D27" s="45"/>
      <c r="E27" s="47" t="s">
        <v>86</v>
      </c>
      <c r="CL27" s="56"/>
    </row>
    <row r="28" customFormat="false" ht="14.25" hidden="false" customHeight="false" outlineLevel="0" collapsed="false">
      <c r="A28" s="18" t="s">
        <v>87</v>
      </c>
      <c r="B28" s="30" t="s">
        <v>72</v>
      </c>
      <c r="C28" s="65" t="s">
        <v>88</v>
      </c>
      <c r="D28" s="45"/>
      <c r="E28" s="18" t="s">
        <v>89</v>
      </c>
      <c r="F28" s="64" t="s">
        <v>28</v>
      </c>
      <c r="G28" s="68"/>
      <c r="CL28" s="56"/>
    </row>
    <row r="29" customFormat="false" ht="14.25" hidden="false" customHeight="false" outlineLevel="0" collapsed="false">
      <c r="A29" s="18" t="s">
        <v>90</v>
      </c>
      <c r="B29" s="30" t="s">
        <v>72</v>
      </c>
      <c r="C29" s="65" t="s">
        <v>91</v>
      </c>
      <c r="D29" s="45"/>
      <c r="E29" s="18" t="s">
        <v>92</v>
      </c>
      <c r="F29" s="64" t="s">
        <v>28</v>
      </c>
      <c r="G29" s="69"/>
      <c r="CL29" s="56"/>
    </row>
    <row r="30" customFormat="false" ht="14.25" hidden="false" customHeight="false" outlineLevel="0" collapsed="false">
      <c r="A30" s="64"/>
      <c r="B30" s="30"/>
      <c r="C30" s="70"/>
      <c r="D30" s="45"/>
      <c r="E30" s="18" t="s">
        <v>93</v>
      </c>
      <c r="F30" s="64" t="s">
        <v>28</v>
      </c>
      <c r="G30" s="71"/>
      <c r="CL30" s="56"/>
    </row>
    <row r="31" customFormat="false" ht="14.25" hidden="false" customHeight="false" outlineLevel="0" collapsed="false">
      <c r="A31" s="47" t="s">
        <v>94</v>
      </c>
      <c r="B31" s="48"/>
      <c r="C31" s="48"/>
      <c r="D31" s="49"/>
      <c r="E31" s="72"/>
      <c r="F31" s="73"/>
      <c r="G31" s="73"/>
      <c r="H31" s="47" t="s">
        <v>95</v>
      </c>
      <c r="I31" s="48"/>
      <c r="J31" s="48"/>
      <c r="K31" s="48"/>
      <c r="L31" s="48"/>
      <c r="M31" s="48"/>
      <c r="N31" s="48"/>
      <c r="O31" s="48"/>
      <c r="P31" s="73"/>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50"/>
    </row>
    <row r="32" customFormat="false" ht="14.25" hidden="false" customHeight="false" outlineLevel="0" collapsed="false">
      <c r="A32" s="18" t="s">
        <v>96</v>
      </c>
      <c r="B32" s="30" t="s">
        <v>97</v>
      </c>
      <c r="C32" s="74" t="s">
        <v>98</v>
      </c>
      <c r="D32" s="18" t="s">
        <v>99</v>
      </c>
      <c r="E32" s="30" t="s">
        <v>36</v>
      </c>
      <c r="F32" s="31" t="s">
        <v>100</v>
      </c>
      <c r="G32" s="75"/>
      <c r="H32" s="18" t="s">
        <v>74</v>
      </c>
      <c r="I32" s="64" t="s">
        <v>28</v>
      </c>
      <c r="J32" s="76" t="s">
        <v>101</v>
      </c>
      <c r="K32" s="76"/>
      <c r="L32" s="76"/>
      <c r="M32" s="76"/>
      <c r="N32" s="76"/>
      <c r="O32" s="76"/>
      <c r="P32" s="45"/>
      <c r="Q32" s="75"/>
      <c r="R32" s="75"/>
      <c r="S32" s="75"/>
      <c r="CK32" s="56"/>
    </row>
    <row r="33" customFormat="false" ht="14.25" hidden="false" customHeight="false" outlineLevel="0" collapsed="false">
      <c r="A33" s="18" t="s">
        <v>102</v>
      </c>
      <c r="B33" s="30" t="s">
        <v>97</v>
      </c>
      <c r="C33" s="74" t="s">
        <v>98</v>
      </c>
      <c r="D33" s="18" t="s">
        <v>103</v>
      </c>
      <c r="E33" s="30" t="s">
        <v>36</v>
      </c>
      <c r="F33" s="74" t="s">
        <v>104</v>
      </c>
      <c r="G33" s="75"/>
      <c r="H33" s="18" t="s">
        <v>80</v>
      </c>
      <c r="I33" s="64" t="s">
        <v>28</v>
      </c>
      <c r="J33" s="76" t="s">
        <v>105</v>
      </c>
      <c r="K33" s="76"/>
      <c r="L33" s="76"/>
      <c r="M33" s="76"/>
      <c r="N33" s="76"/>
      <c r="O33" s="76"/>
      <c r="P33" s="45"/>
      <c r="Q33" s="75"/>
      <c r="R33" s="75"/>
      <c r="S33" s="75"/>
      <c r="CK33" s="56"/>
    </row>
    <row r="34" customFormat="false" ht="14.25" hidden="false" customHeight="false" outlineLevel="0" collapsed="false">
      <c r="A34" s="18" t="s">
        <v>106</v>
      </c>
      <c r="B34" s="30" t="s">
        <v>97</v>
      </c>
      <c r="C34" s="74" t="s">
        <v>98</v>
      </c>
      <c r="D34" s="75"/>
      <c r="E34" s="75"/>
      <c r="F34" s="75"/>
      <c r="G34" s="75"/>
      <c r="H34" s="18" t="s">
        <v>83</v>
      </c>
      <c r="I34" s="64" t="s">
        <v>28</v>
      </c>
      <c r="J34" s="76" t="s">
        <v>107</v>
      </c>
      <c r="K34" s="76"/>
      <c r="L34" s="76"/>
      <c r="M34" s="76"/>
      <c r="N34" s="76"/>
      <c r="O34" s="76"/>
      <c r="P34" s="45"/>
      <c r="Q34" s="75"/>
      <c r="R34" s="75"/>
      <c r="S34" s="75"/>
      <c r="CK34" s="56"/>
    </row>
    <row r="35" customFormat="false" ht="14.25" hidden="false" customHeight="false" outlineLevel="0" collapsed="false">
      <c r="A35" s="18" t="s">
        <v>108</v>
      </c>
      <c r="B35" s="30" t="s">
        <v>97</v>
      </c>
      <c r="C35" s="74" t="s">
        <v>98</v>
      </c>
      <c r="D35" s="18" t="s">
        <v>109</v>
      </c>
      <c r="E35" s="64" t="s">
        <v>28</v>
      </c>
      <c r="F35" s="77" t="n">
        <v>0.5</v>
      </c>
      <c r="J35" s="76"/>
      <c r="K35" s="76"/>
      <c r="L35" s="76"/>
      <c r="M35" s="76"/>
      <c r="N35" s="76"/>
      <c r="O35" s="76"/>
      <c r="CK35" s="56"/>
    </row>
    <row r="36" customFormat="false" ht="14.25" hidden="false" customHeight="false" outlineLevel="0" collapsed="false">
      <c r="A36" s="18" t="s">
        <v>110</v>
      </c>
      <c r="B36" s="30" t="s">
        <v>97</v>
      </c>
      <c r="C36" s="74" t="s">
        <v>98</v>
      </c>
      <c r="D36" s="75"/>
      <c r="E36" s="75"/>
      <c r="F36" s="78"/>
      <c r="H36" s="18" t="s">
        <v>89</v>
      </c>
      <c r="I36" s="64" t="s">
        <v>28</v>
      </c>
      <c r="J36" s="76" t="s">
        <v>111</v>
      </c>
      <c r="K36" s="76"/>
      <c r="L36" s="76"/>
      <c r="M36" s="76"/>
      <c r="N36" s="76"/>
      <c r="O36" s="76"/>
      <c r="P36" s="79"/>
      <c r="CK36" s="56"/>
    </row>
    <row r="37" customFormat="false" ht="14.25" hidden="false" customHeight="false" outlineLevel="0" collapsed="false">
      <c r="A37" s="18" t="s">
        <v>112</v>
      </c>
      <c r="B37" s="30" t="s">
        <v>97</v>
      </c>
      <c r="C37" s="74" t="s">
        <v>98</v>
      </c>
      <c r="D37" s="18" t="s">
        <v>113</v>
      </c>
      <c r="E37" s="30" t="s">
        <v>97</v>
      </c>
      <c r="F37" s="74" t="s">
        <v>98</v>
      </c>
      <c r="H37" s="18" t="s">
        <v>114</v>
      </c>
      <c r="I37" s="64" t="s">
        <v>28</v>
      </c>
      <c r="J37" s="76" t="s">
        <v>115</v>
      </c>
      <c r="K37" s="76"/>
      <c r="L37" s="76"/>
      <c r="M37" s="76"/>
      <c r="N37" s="76"/>
      <c r="O37" s="76"/>
      <c r="P37" s="46"/>
      <c r="Q37" s="18" t="s">
        <v>93</v>
      </c>
      <c r="R37" s="64" t="s">
        <v>28</v>
      </c>
      <c r="S37" s="69" t="n">
        <v>0.5</v>
      </c>
      <c r="CK37" s="56"/>
    </row>
    <row r="38" customFormat="false" ht="14.25" hidden="false" customHeight="false" outlineLevel="0" collapsed="false">
      <c r="A38" s="18" t="s">
        <v>116</v>
      </c>
      <c r="B38" s="30" t="s">
        <v>97</v>
      </c>
      <c r="C38" s="74" t="s">
        <v>98</v>
      </c>
      <c r="D38" s="18" t="s">
        <v>117</v>
      </c>
      <c r="E38" s="30" t="s">
        <v>97</v>
      </c>
      <c r="F38" s="74" t="s">
        <v>98</v>
      </c>
      <c r="H38" s="18" t="s">
        <v>118</v>
      </c>
      <c r="I38" s="64" t="s">
        <v>28</v>
      </c>
      <c r="J38" s="76" t="s">
        <v>119</v>
      </c>
      <c r="K38" s="76"/>
      <c r="L38" s="76"/>
      <c r="M38" s="76"/>
      <c r="N38" s="76"/>
      <c r="O38" s="76"/>
      <c r="CK38" s="56"/>
    </row>
    <row r="39" customFormat="false" ht="14.25" hidden="false" customHeight="false" outlineLevel="0" collapsed="false">
      <c r="A39" s="80" t="s">
        <v>120</v>
      </c>
      <c r="B39" s="48"/>
      <c r="C39" s="48"/>
      <c r="D39" s="73"/>
      <c r="E39" s="73"/>
      <c r="F39" s="73"/>
      <c r="G39" s="48"/>
      <c r="H39" s="73"/>
      <c r="I39" s="73"/>
      <c r="J39" s="73"/>
      <c r="K39" s="73"/>
      <c r="L39" s="73"/>
      <c r="M39" s="73"/>
      <c r="N39" s="73"/>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50"/>
    </row>
    <row r="40" customFormat="false" ht="14.25" hidden="false" customHeight="false" outlineLevel="0" collapsed="false">
      <c r="A40" s="70"/>
      <c r="B40" s="70"/>
      <c r="C40" s="64"/>
      <c r="H40" s="45"/>
      <c r="J40" s="81"/>
      <c r="K40" s="45"/>
      <c r="M40" s="45"/>
      <c r="CL40" s="56"/>
    </row>
    <row r="41" customFormat="false" ht="14.25" hidden="false" customHeight="false" outlineLevel="0" collapsed="false">
      <c r="A41" s="18" t="s">
        <v>121</v>
      </c>
      <c r="B41" s="64" t="s">
        <v>122</v>
      </c>
      <c r="C41" s="65" t="s">
        <v>123</v>
      </c>
      <c r="D41" s="45"/>
      <c r="F41" s="45"/>
      <c r="H41" s="45"/>
      <c r="K41" s="45"/>
      <c r="M41" s="45"/>
      <c r="CL41" s="56"/>
    </row>
    <row r="42" customFormat="false" ht="14.25" hidden="false" customHeight="false" outlineLevel="0" collapsed="false">
      <c r="A42" s="18" t="s">
        <v>124</v>
      </c>
      <c r="B42" s="82" t="s">
        <v>125</v>
      </c>
      <c r="C42" s="65" t="s">
        <v>126</v>
      </c>
      <c r="D42" s="45"/>
      <c r="E42" s="45"/>
      <c r="F42" s="45"/>
      <c r="H42" s="45"/>
      <c r="J42" s="81"/>
      <c r="K42" s="45"/>
      <c r="CL42" s="56"/>
    </row>
    <row r="43" customFormat="false" ht="14.25" hidden="false" customHeight="false" outlineLevel="0" collapsed="false">
      <c r="A43" s="18" t="s">
        <v>127</v>
      </c>
      <c r="B43" s="82" t="s">
        <v>125</v>
      </c>
      <c r="C43" s="19" t="s">
        <v>128</v>
      </c>
      <c r="H43" s="45"/>
      <c r="K43" s="45"/>
      <c r="CL43" s="56"/>
    </row>
    <row r="44" customFormat="false" ht="14.25" hidden="false" customHeight="false" outlineLevel="0" collapsed="false">
      <c r="A44" s="80" t="s">
        <v>129</v>
      </c>
      <c r="B44" s="48"/>
      <c r="C44" s="48"/>
      <c r="D44" s="72"/>
      <c r="E44" s="72"/>
      <c r="F44" s="72"/>
      <c r="H44" s="45"/>
      <c r="CL44" s="56"/>
    </row>
    <row r="45" customFormat="false" ht="14.25" hidden="false" customHeight="false" outlineLevel="0" collapsed="false">
      <c r="A45" s="83" t="s">
        <v>130</v>
      </c>
      <c r="B45" s="84" t="s">
        <v>97</v>
      </c>
      <c r="C45" s="85" t="s">
        <v>131</v>
      </c>
      <c r="D45" s="18" t="s">
        <v>132</v>
      </c>
      <c r="E45" s="82" t="s">
        <v>36</v>
      </c>
      <c r="F45" s="86" t="s">
        <v>133</v>
      </c>
      <c r="H45" s="45"/>
      <c r="K45" s="45"/>
      <c r="M45" s="81"/>
      <c r="CL45" s="56"/>
    </row>
    <row r="46" customFormat="false" ht="14.25" hidden="false" customHeight="false" outlineLevel="0" collapsed="false">
      <c r="A46" s="18" t="s">
        <v>134</v>
      </c>
      <c r="B46" s="82" t="s">
        <v>36</v>
      </c>
      <c r="C46" s="63" t="s">
        <v>135</v>
      </c>
      <c r="D46" s="18" t="s">
        <v>136</v>
      </c>
      <c r="E46" s="30" t="s">
        <v>97</v>
      </c>
      <c r="F46" s="85" t="s">
        <v>98</v>
      </c>
      <c r="H46" s="45"/>
      <c r="CL46" s="56"/>
    </row>
    <row r="47" customFormat="false" ht="14.25" hidden="false" customHeight="false" outlineLevel="0" collapsed="false">
      <c r="A47" s="18" t="s">
        <v>137</v>
      </c>
      <c r="B47" s="82" t="s">
        <v>97</v>
      </c>
      <c r="C47" s="85" t="s">
        <v>131</v>
      </c>
      <c r="H47" s="45"/>
      <c r="CL47" s="56"/>
    </row>
    <row r="48" customFormat="false" ht="14.25" hidden="false" customHeight="false" outlineLevel="0" collapsed="false">
      <c r="A48" s="18" t="s">
        <v>138</v>
      </c>
      <c r="B48" s="82" t="s">
        <v>36</v>
      </c>
      <c r="C48" s="87" t="s">
        <v>139</v>
      </c>
      <c r="H48" s="45"/>
      <c r="J48" s="88"/>
      <c r="CL48" s="56"/>
    </row>
    <row r="49" customFormat="false" ht="14.25" hidden="false" customHeight="false" outlineLevel="0" collapsed="false">
      <c r="A49" s="18" t="s">
        <v>140</v>
      </c>
      <c r="B49" s="82" t="s">
        <v>28</v>
      </c>
      <c r="C49" s="31" t="s">
        <v>141</v>
      </c>
      <c r="H49" s="45"/>
      <c r="J49" s="45"/>
      <c r="CL49" s="56"/>
    </row>
    <row r="50" customFormat="false" ht="14.25" hidden="false" customHeight="false" outlineLevel="0" collapsed="false">
      <c r="A50" s="18" t="s">
        <v>142</v>
      </c>
      <c r="B50" s="82" t="s">
        <v>97</v>
      </c>
      <c r="C50" s="74" t="s">
        <v>98</v>
      </c>
      <c r="D50" s="45"/>
      <c r="F50" s="45"/>
      <c r="H50" s="45"/>
      <c r="CL50" s="56"/>
    </row>
    <row r="51" customFormat="false" ht="14.25" hidden="false" customHeight="false" outlineLevel="0" collapsed="false">
      <c r="A51" s="47" t="s">
        <v>143</v>
      </c>
      <c r="B51" s="48"/>
      <c r="C51" s="48"/>
      <c r="D51" s="89" t="s">
        <v>144</v>
      </c>
      <c r="E51" s="48"/>
      <c r="F51" s="48"/>
      <c r="G51" s="48"/>
      <c r="H51" s="49"/>
      <c r="I51" s="49"/>
      <c r="J51" s="49"/>
      <c r="K51" s="49"/>
      <c r="L51" s="49"/>
      <c r="M51" s="49"/>
      <c r="N51" s="49"/>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50"/>
    </row>
    <row r="52" customFormat="false" ht="14.25" hidden="false" customHeight="false" outlineLevel="0" collapsed="false">
      <c r="A52" s="18" t="s">
        <v>145</v>
      </c>
      <c r="B52" s="30" t="s">
        <v>146</v>
      </c>
      <c r="C52" s="19" t="s">
        <v>147</v>
      </c>
      <c r="D52" s="18" t="s">
        <v>148</v>
      </c>
      <c r="E52" s="30" t="s">
        <v>146</v>
      </c>
      <c r="F52" s="19" t="s">
        <v>149</v>
      </c>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50"/>
    </row>
    <row r="53" customFormat="false" ht="14.25" hidden="false" customHeight="false" outlineLevel="0" collapsed="false">
      <c r="A53" s="18" t="s">
        <v>150</v>
      </c>
      <c r="B53" s="30" t="s">
        <v>97</v>
      </c>
      <c r="C53" s="74" t="s">
        <v>98</v>
      </c>
      <c r="D53" s="18" t="s">
        <v>151</v>
      </c>
      <c r="E53" s="30" t="s">
        <v>97</v>
      </c>
      <c r="F53" s="74" t="s">
        <v>98</v>
      </c>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CL53" s="56"/>
    </row>
    <row r="54" customFormat="false" ht="14.25" hidden="false" customHeight="false" outlineLevel="0" collapsed="false">
      <c r="A54" s="89" t="s">
        <v>152</v>
      </c>
      <c r="B54" s="48"/>
      <c r="C54" s="48"/>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c r="CC54" s="73"/>
      <c r="CD54" s="73"/>
      <c r="CE54" s="73"/>
      <c r="CF54" s="73"/>
      <c r="CG54" s="73"/>
      <c r="CH54" s="73"/>
      <c r="CI54" s="73"/>
      <c r="CJ54" s="73"/>
      <c r="CK54" s="73"/>
      <c r="CL54" s="90"/>
    </row>
    <row r="55" customFormat="false" ht="14.25" hidden="false" customHeight="false" outlineLevel="0" collapsed="false">
      <c r="A55" s="18" t="s">
        <v>153</v>
      </c>
      <c r="B55" s="30" t="s">
        <v>122</v>
      </c>
      <c r="C55" s="91" t="s">
        <v>154</v>
      </c>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row>
    <row r="56" customFormat="false" ht="14.25" hidden="false" customHeight="false" outlineLevel="0" collapsed="false">
      <c r="A56" s="18" t="s">
        <v>155</v>
      </c>
      <c r="B56" s="30" t="s">
        <v>78</v>
      </c>
      <c r="C56" s="91" t="s">
        <v>156</v>
      </c>
      <c r="D56" s="45"/>
      <c r="E56" s="45"/>
      <c r="F56" s="45"/>
    </row>
    <row r="57" customFormat="false" ht="14.25" hidden="false" customHeight="false" outlineLevel="0" collapsed="false">
      <c r="A57" s="89" t="s">
        <v>157</v>
      </c>
      <c r="B57" s="48"/>
      <c r="C57" s="48"/>
    </row>
    <row r="58" customFormat="false" ht="14.25" hidden="false" customHeight="false" outlineLevel="0" collapsed="false">
      <c r="A58" s="18" t="s">
        <v>158</v>
      </c>
      <c r="B58" s="1" t="s">
        <v>36</v>
      </c>
      <c r="C58" s="92" t="s">
        <v>159</v>
      </c>
      <c r="G58" s="81"/>
    </row>
    <row r="59" customFormat="false" ht="14.25" hidden="false" customHeight="false" outlineLevel="0" collapsed="false">
      <c r="A59" s="18" t="s">
        <v>160</v>
      </c>
      <c r="B59" s="30" t="s">
        <v>36</v>
      </c>
      <c r="C59" s="93" t="s">
        <v>104</v>
      </c>
      <c r="G59" s="81"/>
    </row>
    <row r="60" customFormat="false" ht="14.25" hidden="false" customHeight="false" outlineLevel="0" collapsed="false">
      <c r="A60" s="18" t="s">
        <v>161</v>
      </c>
      <c r="B60" s="30" t="s">
        <v>97</v>
      </c>
      <c r="C60" s="94" t="s">
        <v>98</v>
      </c>
      <c r="D60" s="45"/>
    </row>
    <row r="61" customFormat="false" ht="14.25" hidden="false" customHeight="false" outlineLevel="0" collapsed="false">
      <c r="A61" s="18" t="s">
        <v>162</v>
      </c>
      <c r="B61" s="30" t="s">
        <v>97</v>
      </c>
      <c r="C61" s="94" t="s">
        <v>98</v>
      </c>
      <c r="D61" s="81"/>
    </row>
    <row r="62" customFormat="false" ht="14.25" hidden="false" customHeight="false" outlineLevel="0" collapsed="false">
      <c r="A62" s="18" t="s">
        <v>163</v>
      </c>
      <c r="B62" s="30" t="s">
        <v>97</v>
      </c>
      <c r="C62" s="94" t="s">
        <v>98</v>
      </c>
      <c r="D62" s="81"/>
    </row>
    <row r="63" customFormat="false" ht="14.25" hidden="false" customHeight="false" outlineLevel="0" collapsed="false">
      <c r="A63" s="18"/>
      <c r="B63" s="30"/>
      <c r="C63" s="94"/>
      <c r="D63" s="81"/>
    </row>
    <row r="64" customFormat="false" ht="14.25" hidden="false" customHeight="false" outlineLevel="0" collapsed="false">
      <c r="A64" s="89" t="s">
        <v>164</v>
      </c>
      <c r="B64" s="48"/>
      <c r="C64" s="48"/>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95"/>
    </row>
    <row r="65" customFormat="false" ht="14.25" hidden="false" customHeight="false" outlineLevel="0" collapsed="false">
      <c r="A65" s="18" t="s">
        <v>165</v>
      </c>
      <c r="B65" s="31" t="s">
        <v>166</v>
      </c>
      <c r="C65" s="84"/>
      <c r="D65" s="96"/>
      <c r="E65" s="96"/>
      <c r="F65" s="96"/>
      <c r="G65" s="96"/>
      <c r="CL65" s="56"/>
    </row>
    <row r="66" customFormat="false" ht="14.25" hidden="false" customHeight="false" outlineLevel="0" collapsed="false">
      <c r="A66" s="97" t="s">
        <v>167</v>
      </c>
      <c r="B66" s="73"/>
      <c r="C66" s="72"/>
      <c r="D66" s="49"/>
      <c r="E66" s="49"/>
      <c r="F66" s="49"/>
      <c r="G66" s="49"/>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50"/>
    </row>
    <row r="67" customFormat="false" ht="14.25" hidden="false" customHeight="false" outlineLevel="0" collapsed="false">
      <c r="A67" s="98" t="s">
        <v>168</v>
      </c>
      <c r="B67" s="99" t="s">
        <v>169</v>
      </c>
      <c r="C67" s="86" t="s">
        <v>170</v>
      </c>
      <c r="D67" s="18" t="s">
        <v>171</v>
      </c>
      <c r="E67" s="27" t="s">
        <v>172</v>
      </c>
      <c r="F67" s="100"/>
      <c r="G67" s="100"/>
      <c r="H67" s="101"/>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c r="BN67" s="72"/>
      <c r="BO67" s="72"/>
      <c r="BP67" s="72"/>
      <c r="BQ67" s="72"/>
      <c r="BR67" s="72"/>
      <c r="BS67" s="72"/>
      <c r="BT67" s="72"/>
      <c r="BU67" s="72"/>
      <c r="BV67" s="72"/>
      <c r="BW67" s="72"/>
      <c r="BX67" s="72"/>
      <c r="BY67" s="72"/>
      <c r="BZ67" s="72"/>
      <c r="CA67" s="72"/>
      <c r="CB67" s="72"/>
      <c r="CC67" s="72"/>
      <c r="CD67" s="72"/>
      <c r="CE67" s="72"/>
      <c r="CF67" s="72"/>
      <c r="CG67" s="72"/>
      <c r="CH67" s="72"/>
      <c r="CI67" s="72"/>
      <c r="CJ67" s="72"/>
      <c r="CK67" s="72"/>
      <c r="CL67" s="102"/>
    </row>
    <row r="68" customFormat="false" ht="14.25" hidden="false" customHeight="true" outlineLevel="0" collapsed="false">
      <c r="A68" s="103" t="s">
        <v>173</v>
      </c>
      <c r="B68" s="52" t="s">
        <v>174</v>
      </c>
      <c r="C68" s="52"/>
      <c r="D68" s="104" t="s">
        <v>175</v>
      </c>
      <c r="CL68" s="56"/>
    </row>
    <row r="69" customFormat="false" ht="14.25" hidden="false" customHeight="false" outlineLevel="0" collapsed="false">
      <c r="A69" s="103"/>
      <c r="B69" s="52" t="s">
        <v>176</v>
      </c>
      <c r="C69" s="52"/>
      <c r="D69" s="104"/>
      <c r="CL69" s="56"/>
    </row>
    <row r="70" customFormat="false" ht="14.25" hidden="false" customHeight="false" outlineLevel="0" collapsed="false">
      <c r="A70" s="103"/>
      <c r="B70" s="52" t="s">
        <v>177</v>
      </c>
      <c r="C70" s="52"/>
      <c r="D70" s="104"/>
      <c r="CL70" s="56"/>
    </row>
    <row r="71" customFormat="false" ht="14.25" hidden="false" customHeight="false" outlineLevel="0" collapsed="false">
      <c r="A71" s="103"/>
      <c r="B71" s="52" t="s">
        <v>178</v>
      </c>
      <c r="C71" s="52"/>
      <c r="D71" s="104"/>
      <c r="CL71" s="56"/>
    </row>
    <row r="72" customFormat="false" ht="14.25" hidden="false" customHeight="true" outlineLevel="0" collapsed="false">
      <c r="A72" s="103" t="s">
        <v>179</v>
      </c>
      <c r="B72" s="52" t="s">
        <v>180</v>
      </c>
      <c r="C72" s="52"/>
      <c r="D72" s="105" t="s">
        <v>175</v>
      </c>
      <c r="CL72" s="56"/>
    </row>
    <row r="73" customFormat="false" ht="14.25" hidden="false" customHeight="false" outlineLevel="0" collapsed="false">
      <c r="A73" s="103"/>
      <c r="B73" s="52" t="s">
        <v>181</v>
      </c>
      <c r="C73" s="52"/>
      <c r="D73" s="105"/>
      <c r="CL73" s="56"/>
    </row>
    <row r="74" customFormat="false" ht="14.25" hidden="false" customHeight="false" outlineLevel="0" collapsed="false">
      <c r="A74" s="103"/>
      <c r="B74" s="52" t="s">
        <v>182</v>
      </c>
      <c r="C74" s="52"/>
      <c r="D74" s="105"/>
      <c r="CL74" s="56"/>
    </row>
    <row r="75" customFormat="false" ht="14.25" hidden="false" customHeight="false" outlineLevel="0" collapsed="false">
      <c r="A75" s="103"/>
      <c r="B75" s="52" t="s">
        <v>183</v>
      </c>
      <c r="C75" s="52"/>
      <c r="D75" s="105"/>
      <c r="CL75" s="56"/>
    </row>
    <row r="76" customFormat="false" ht="14.25" hidden="false" customHeight="true" outlineLevel="0" collapsed="false">
      <c r="A76" s="103" t="s">
        <v>184</v>
      </c>
      <c r="B76" s="52" t="s">
        <v>185</v>
      </c>
      <c r="C76" s="52"/>
      <c r="D76" s="105" t="s">
        <v>175</v>
      </c>
      <c r="CL76" s="56"/>
    </row>
    <row r="77" customFormat="false" ht="14.25" hidden="false" customHeight="false" outlineLevel="0" collapsed="false">
      <c r="A77" s="103"/>
      <c r="B77" s="52" t="s">
        <v>186</v>
      </c>
      <c r="C77" s="52"/>
      <c r="D77" s="105"/>
      <c r="CL77" s="56"/>
    </row>
    <row r="78" customFormat="false" ht="14.25" hidden="false" customHeight="false" outlineLevel="0" collapsed="false">
      <c r="A78" s="103"/>
      <c r="B78" s="52"/>
      <c r="C78" s="52"/>
      <c r="D78" s="105"/>
      <c r="CL78" s="56"/>
    </row>
    <row r="79" customFormat="false" ht="14.25" hidden="false" customHeight="false" outlineLevel="0" collapsed="false">
      <c r="A79" s="103"/>
      <c r="B79" s="52"/>
      <c r="C79" s="52"/>
      <c r="D79" s="105"/>
      <c r="CL79" s="56"/>
    </row>
    <row r="80" customFormat="false" ht="14.25" hidden="false" customHeight="true" outlineLevel="0" collapsed="false">
      <c r="A80" s="103" t="s">
        <v>187</v>
      </c>
      <c r="B80" s="106" t="s">
        <v>188</v>
      </c>
      <c r="C80" s="107" t="s">
        <v>189</v>
      </c>
      <c r="D80" s="105" t="s">
        <v>190</v>
      </c>
      <c r="CL80" s="56"/>
    </row>
    <row r="81" customFormat="false" ht="14.25" hidden="false" customHeight="false" outlineLevel="0" collapsed="false">
      <c r="A81" s="103"/>
      <c r="B81" s="108" t="s">
        <v>191</v>
      </c>
      <c r="C81" s="109"/>
      <c r="D81" s="105"/>
      <c r="CL81" s="56"/>
    </row>
    <row r="82" customFormat="false" ht="14.25" hidden="false" customHeight="false" outlineLevel="0" collapsed="false">
      <c r="A82" s="103"/>
      <c r="B82" s="110"/>
      <c r="C82" s="111"/>
      <c r="D82" s="105"/>
      <c r="CL82" s="56"/>
    </row>
    <row r="83" customFormat="false" ht="14.25" hidden="false" customHeight="false" outlineLevel="0" collapsed="false">
      <c r="A83" s="112" t="s">
        <v>192</v>
      </c>
      <c r="B83" s="99" t="s">
        <v>193</v>
      </c>
      <c r="C83" s="86" t="s">
        <v>194</v>
      </c>
      <c r="D83" s="18" t="s">
        <v>195</v>
      </c>
      <c r="E83" s="27" t="s">
        <v>196</v>
      </c>
      <c r="F83" s="100"/>
      <c r="G83" s="100"/>
      <c r="H83" s="101"/>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50"/>
    </row>
    <row r="84" customFormat="false" ht="14.25" hidden="false" customHeight="true" outlineLevel="0" collapsed="false">
      <c r="A84" s="103" t="s">
        <v>197</v>
      </c>
      <c r="B84" s="52" t="s">
        <v>198</v>
      </c>
      <c r="C84" s="52"/>
      <c r="D84" s="105" t="s">
        <v>175</v>
      </c>
      <c r="CL84" s="56"/>
    </row>
    <row r="85" customFormat="false" ht="14.25" hidden="false" customHeight="false" outlineLevel="0" collapsed="false">
      <c r="A85" s="103"/>
      <c r="B85" s="52" t="s">
        <v>199</v>
      </c>
      <c r="C85" s="52"/>
      <c r="D85" s="105"/>
      <c r="CL85" s="56"/>
    </row>
    <row r="86" customFormat="false" ht="14.25" hidden="false" customHeight="false" outlineLevel="0" collapsed="false">
      <c r="A86" s="103"/>
      <c r="B86" s="52" t="s">
        <v>200</v>
      </c>
      <c r="C86" s="52"/>
      <c r="D86" s="105"/>
      <c r="CL86" s="56"/>
    </row>
    <row r="87" customFormat="false" ht="14.25" hidden="false" customHeight="false" outlineLevel="0" collapsed="false">
      <c r="A87" s="103"/>
      <c r="B87" s="52" t="s">
        <v>201</v>
      </c>
      <c r="C87" s="52"/>
      <c r="D87" s="105"/>
      <c r="CL87" s="56"/>
    </row>
    <row r="88" customFormat="false" ht="14.25" hidden="false" customHeight="true" outlineLevel="0" collapsed="false">
      <c r="A88" s="103" t="s">
        <v>202</v>
      </c>
      <c r="B88" s="52" t="s">
        <v>180</v>
      </c>
      <c r="C88" s="52"/>
      <c r="D88" s="105" t="s">
        <v>175</v>
      </c>
      <c r="CL88" s="56"/>
    </row>
    <row r="89" customFormat="false" ht="14.25" hidden="false" customHeight="false" outlineLevel="0" collapsed="false">
      <c r="A89" s="103"/>
      <c r="B89" s="52" t="s">
        <v>181</v>
      </c>
      <c r="C89" s="52"/>
      <c r="D89" s="105"/>
      <c r="CL89" s="56"/>
    </row>
    <row r="90" customFormat="false" ht="14.25" hidden="false" customHeight="false" outlineLevel="0" collapsed="false">
      <c r="A90" s="103"/>
      <c r="B90" s="52" t="s">
        <v>182</v>
      </c>
      <c r="C90" s="52"/>
      <c r="D90" s="105"/>
      <c r="CL90" s="56"/>
    </row>
    <row r="91" customFormat="false" ht="14.25" hidden="false" customHeight="false" outlineLevel="0" collapsed="false">
      <c r="A91" s="103"/>
      <c r="B91" s="52" t="s">
        <v>203</v>
      </c>
      <c r="C91" s="52"/>
      <c r="D91" s="105"/>
      <c r="CL91" s="56"/>
    </row>
    <row r="92" customFormat="false" ht="14.25" hidden="false" customHeight="true" outlineLevel="0" collapsed="false">
      <c r="A92" s="103" t="s">
        <v>204</v>
      </c>
      <c r="B92" s="52" t="s">
        <v>205</v>
      </c>
      <c r="C92" s="52"/>
      <c r="D92" s="105" t="s">
        <v>175</v>
      </c>
      <c r="CL92" s="56"/>
    </row>
    <row r="93" customFormat="false" ht="14.25" hidden="false" customHeight="false" outlineLevel="0" collapsed="false">
      <c r="A93" s="103"/>
      <c r="B93" s="52" t="s">
        <v>206</v>
      </c>
      <c r="C93" s="52"/>
      <c r="D93" s="105"/>
      <c r="CL93" s="56"/>
    </row>
    <row r="94" customFormat="false" ht="14.25" hidden="false" customHeight="false" outlineLevel="0" collapsed="false">
      <c r="A94" s="103"/>
      <c r="B94" s="52" t="s">
        <v>207</v>
      </c>
      <c r="C94" s="52"/>
      <c r="D94" s="105"/>
      <c r="CL94" s="56"/>
    </row>
    <row r="95" customFormat="false" ht="14.25" hidden="false" customHeight="false" outlineLevel="0" collapsed="false">
      <c r="A95" s="103"/>
      <c r="B95" s="52"/>
      <c r="C95" s="52"/>
      <c r="D95" s="105"/>
      <c r="CL95" s="56"/>
    </row>
    <row r="96" customFormat="false" ht="14.25" hidden="false" customHeight="true" outlineLevel="0" collapsed="false">
      <c r="A96" s="103" t="s">
        <v>208</v>
      </c>
      <c r="B96" s="106" t="s">
        <v>188</v>
      </c>
      <c r="C96" s="107" t="s">
        <v>209</v>
      </c>
      <c r="D96" s="105" t="s">
        <v>190</v>
      </c>
      <c r="CL96" s="56"/>
    </row>
    <row r="97" customFormat="false" ht="14.25" hidden="false" customHeight="false" outlineLevel="0" collapsed="false">
      <c r="A97" s="103"/>
      <c r="B97" s="108" t="s">
        <v>210</v>
      </c>
      <c r="C97" s="109"/>
      <c r="D97" s="105"/>
      <c r="CL97" s="56"/>
    </row>
    <row r="98" customFormat="false" ht="14.25" hidden="false" customHeight="false" outlineLevel="0" collapsed="false">
      <c r="A98" s="103"/>
      <c r="B98" s="113"/>
      <c r="C98" s="109"/>
      <c r="D98" s="105"/>
      <c r="CL98" s="56"/>
    </row>
    <row r="99" customFormat="false" ht="14.25" hidden="false" customHeight="false" outlineLevel="0" collapsed="false">
      <c r="A99" s="112" t="s">
        <v>211</v>
      </c>
      <c r="B99" s="49"/>
      <c r="C99" s="49"/>
      <c r="D99" s="18" t="s">
        <v>212</v>
      </c>
      <c r="E99" s="27" t="s">
        <v>213</v>
      </c>
      <c r="F99" s="114"/>
      <c r="G99" s="114"/>
      <c r="H99" s="114"/>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50"/>
    </row>
    <row r="100" customFormat="false" ht="14.25" hidden="false" customHeight="true" outlineLevel="0" collapsed="false">
      <c r="A100" s="103" t="s">
        <v>214</v>
      </c>
      <c r="B100" s="52" t="s">
        <v>215</v>
      </c>
      <c r="C100" s="52" t="s">
        <v>216</v>
      </c>
      <c r="D100" s="105" t="s">
        <v>217</v>
      </c>
      <c r="CL100" s="56"/>
    </row>
    <row r="101" customFormat="false" ht="14.25" hidden="false" customHeight="false" outlineLevel="0" collapsed="false">
      <c r="A101" s="103"/>
      <c r="B101" s="52" t="s">
        <v>218</v>
      </c>
      <c r="C101" s="52"/>
      <c r="D101" s="105"/>
      <c r="CL101" s="56"/>
    </row>
    <row r="102" customFormat="false" ht="14.25" hidden="false" customHeight="false" outlineLevel="0" collapsed="false">
      <c r="A102" s="103"/>
      <c r="B102" s="52" t="s">
        <v>219</v>
      </c>
      <c r="C102" s="52"/>
      <c r="D102" s="105"/>
      <c r="CL102" s="56"/>
    </row>
    <row r="103" customFormat="false" ht="14.25" hidden="false" customHeight="false" outlineLevel="0" collapsed="false">
      <c r="A103" s="103"/>
      <c r="B103" s="52" t="s">
        <v>220</v>
      </c>
      <c r="C103" s="52"/>
      <c r="D103" s="105"/>
      <c r="CL103" s="56"/>
    </row>
    <row r="104" customFormat="false" ht="14.25" hidden="false" customHeight="false" outlineLevel="0" collapsed="false">
      <c r="A104" s="112" t="s">
        <v>221</v>
      </c>
      <c r="B104" s="48"/>
      <c r="C104" s="48"/>
      <c r="D104" s="18" t="s">
        <v>222</v>
      </c>
      <c r="E104" s="27" t="s">
        <v>223</v>
      </c>
      <c r="F104" s="114"/>
      <c r="G104" s="114"/>
      <c r="H104" s="114"/>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50"/>
    </row>
    <row r="105" customFormat="false" ht="14.25" hidden="false" customHeight="true" outlineLevel="0" collapsed="false">
      <c r="A105" s="103" t="s">
        <v>224</v>
      </c>
      <c r="B105" s="52" t="s">
        <v>225</v>
      </c>
      <c r="C105" s="52"/>
      <c r="D105" s="105" t="s">
        <v>217</v>
      </c>
      <c r="CL105" s="56"/>
    </row>
    <row r="106" customFormat="false" ht="14.25" hidden="false" customHeight="false" outlineLevel="0" collapsed="false">
      <c r="A106" s="103"/>
      <c r="B106" s="115" t="s">
        <v>226</v>
      </c>
      <c r="C106" s="52"/>
      <c r="D106" s="105"/>
      <c r="CL106" s="56"/>
    </row>
    <row r="107" customFormat="false" ht="14.25" hidden="false" customHeight="false" outlineLevel="0" collapsed="false">
      <c r="A107" s="103"/>
      <c r="B107" s="52" t="s">
        <v>227</v>
      </c>
      <c r="C107" s="52"/>
      <c r="D107" s="105"/>
      <c r="CL107" s="56"/>
    </row>
    <row r="108" customFormat="false" ht="14.25" hidden="false" customHeight="false" outlineLevel="0" collapsed="false">
      <c r="A108" s="103"/>
      <c r="B108" s="30"/>
      <c r="C108" s="52"/>
      <c r="D108" s="105"/>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c r="BC108" s="116"/>
      <c r="BD108" s="116"/>
      <c r="BE108" s="116"/>
      <c r="BF108" s="116"/>
      <c r="BG108" s="116"/>
      <c r="BH108" s="116"/>
      <c r="BI108" s="116"/>
      <c r="BJ108" s="116"/>
      <c r="BK108" s="116"/>
      <c r="BL108" s="116"/>
      <c r="BM108" s="116"/>
      <c r="BN108" s="116"/>
      <c r="BO108" s="116"/>
      <c r="BP108" s="116"/>
      <c r="BQ108" s="116"/>
      <c r="BR108" s="116"/>
      <c r="BS108" s="116"/>
      <c r="BT108" s="116"/>
      <c r="BU108" s="116"/>
      <c r="BV108" s="116"/>
      <c r="BW108" s="116"/>
      <c r="BX108" s="116"/>
      <c r="BY108" s="116"/>
      <c r="BZ108" s="116"/>
      <c r="CA108" s="116"/>
      <c r="CB108" s="116"/>
      <c r="CC108" s="116"/>
      <c r="CD108" s="116"/>
      <c r="CE108" s="116"/>
      <c r="CF108" s="116"/>
      <c r="CG108" s="116"/>
      <c r="CH108" s="116"/>
      <c r="CI108" s="116"/>
      <c r="CJ108" s="116"/>
      <c r="CK108" s="116"/>
      <c r="CL108" s="117"/>
    </row>
    <row r="109" customFormat="false" ht="14.25" hidden="false" customHeight="false" outlineLevel="0" collapsed="false">
      <c r="A109" s="112" t="s">
        <v>228</v>
      </c>
      <c r="B109" s="49"/>
      <c r="C109" s="49"/>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c r="CK109" s="48"/>
      <c r="CL109" s="50"/>
    </row>
    <row r="110" customFormat="false" ht="14.25" hidden="false" customHeight="false" outlineLevel="0" collapsed="false">
      <c r="A110" s="18" t="s">
        <v>229</v>
      </c>
      <c r="B110" s="30" t="s">
        <v>97</v>
      </c>
      <c r="C110" s="74" t="s">
        <v>98</v>
      </c>
      <c r="D110" s="101"/>
      <c r="K110" s="118"/>
      <c r="L110" s="118"/>
      <c r="M110" s="118"/>
      <c r="N110" s="118"/>
      <c r="O110" s="118"/>
      <c r="P110" s="118"/>
      <c r="Q110" s="118"/>
      <c r="R110" s="118"/>
      <c r="S110" s="118"/>
      <c r="T110" s="118"/>
    </row>
    <row r="111" customFormat="false" ht="14.25" hidden="false" customHeight="false" outlineLevel="0" collapsed="false">
      <c r="A111" s="112" t="s">
        <v>230</v>
      </c>
      <c r="B111" s="49"/>
      <c r="C111" s="49"/>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c r="BY111" s="48"/>
      <c r="BZ111" s="48"/>
      <c r="CA111" s="48"/>
      <c r="CB111" s="48"/>
      <c r="CC111" s="48"/>
      <c r="CD111" s="48"/>
      <c r="CE111" s="48"/>
      <c r="CF111" s="48"/>
      <c r="CG111" s="48"/>
      <c r="CH111" s="48"/>
      <c r="CI111" s="48"/>
      <c r="CJ111" s="48"/>
      <c r="CK111" s="48"/>
      <c r="CL111" s="50"/>
    </row>
    <row r="112" customFormat="false" ht="14.25" hidden="false" customHeight="false" outlineLevel="0" collapsed="false">
      <c r="A112" s="18" t="s">
        <v>231</v>
      </c>
      <c r="B112" s="30" t="s">
        <v>97</v>
      </c>
      <c r="C112" s="74" t="s">
        <v>98</v>
      </c>
      <c r="D112" s="101"/>
      <c r="K112" s="118"/>
      <c r="L112" s="118"/>
      <c r="M112" s="118"/>
      <c r="N112" s="118"/>
      <c r="O112" s="118"/>
      <c r="P112" s="118"/>
      <c r="Q112" s="118"/>
      <c r="R112" s="118"/>
      <c r="S112" s="118"/>
      <c r="T112" s="118"/>
    </row>
    <row r="113" customFormat="false" ht="14.25" hidden="false" customHeight="false" outlineLevel="0" collapsed="false">
      <c r="K113" s="118"/>
      <c r="L113" s="118"/>
      <c r="M113" s="118"/>
      <c r="N113" s="118"/>
      <c r="O113" s="118"/>
      <c r="P113" s="118"/>
      <c r="Q113" s="118"/>
      <c r="R113" s="118"/>
      <c r="S113" s="118"/>
      <c r="T113" s="118"/>
    </row>
    <row r="114" customFormat="false" ht="14.25" hidden="false" customHeight="false" outlineLevel="0" collapsed="false">
      <c r="A114" s="99" t="s">
        <v>232</v>
      </c>
      <c r="B114" s="48"/>
      <c r="C114" s="48"/>
      <c r="D114" s="48"/>
      <c r="E114" s="119"/>
      <c r="K114" s="118"/>
      <c r="L114" s="118"/>
      <c r="M114" s="118"/>
      <c r="N114" s="118"/>
      <c r="O114" s="118"/>
      <c r="P114" s="118"/>
      <c r="Q114" s="118"/>
      <c r="R114" s="118"/>
      <c r="S114" s="118"/>
      <c r="T114" s="118"/>
    </row>
    <row r="115" customFormat="false" ht="14.25" hidden="false" customHeight="false" outlineLevel="0" collapsed="false">
      <c r="A115" s="120"/>
      <c r="B115" s="120"/>
      <c r="C115" s="120"/>
      <c r="D115" s="120"/>
      <c r="E115" s="120"/>
    </row>
    <row r="116" customFormat="false" ht="14.25" hidden="false" customHeight="false" outlineLevel="0" collapsed="false">
      <c r="A116" s="83"/>
      <c r="B116" s="121"/>
      <c r="C116" s="122"/>
      <c r="D116" s="122"/>
      <c r="E116" s="122"/>
    </row>
    <row r="117" customFormat="false" ht="14.25" hidden="false" customHeight="false" outlineLevel="0" collapsed="false">
      <c r="C117" s="118"/>
      <c r="D117" s="118"/>
      <c r="E117" s="118"/>
      <c r="F117" s="118"/>
      <c r="G117" s="118"/>
      <c r="H117" s="118"/>
    </row>
    <row r="118" customFormat="false" ht="14.25" hidden="false" customHeight="false" outlineLevel="0" collapsed="false">
      <c r="A118" s="99" t="s">
        <v>233</v>
      </c>
      <c r="B118" s="48"/>
      <c r="C118" s="73"/>
      <c r="D118" s="73"/>
      <c r="E118" s="123"/>
      <c r="F118" s="118"/>
      <c r="G118" s="118"/>
      <c r="H118" s="118"/>
      <c r="I118" s="118"/>
      <c r="J118" s="118"/>
      <c r="K118" s="118"/>
      <c r="L118" s="118"/>
      <c r="M118" s="118"/>
      <c r="N118" s="118"/>
      <c r="O118" s="118"/>
      <c r="P118" s="118"/>
      <c r="Q118" s="118"/>
      <c r="R118" s="118"/>
      <c r="S118" s="118"/>
      <c r="T118" s="118"/>
    </row>
    <row r="119" customFormat="false" ht="14.25" hidden="false" customHeight="false" outlineLevel="0" collapsed="false">
      <c r="A119" s="83" t="s">
        <v>234</v>
      </c>
      <c r="B119" s="84" t="s">
        <v>28</v>
      </c>
      <c r="C119" s="92" t="s">
        <v>235</v>
      </c>
      <c r="D119" s="92"/>
      <c r="E119" s="124"/>
      <c r="F119" s="118"/>
      <c r="G119" s="118"/>
      <c r="H119" s="118"/>
      <c r="I119" s="125"/>
      <c r="J119" s="125"/>
      <c r="K119" s="125"/>
      <c r="L119" s="125"/>
      <c r="M119" s="125"/>
      <c r="N119" s="125"/>
      <c r="O119" s="125"/>
      <c r="P119" s="125"/>
      <c r="Q119" s="125"/>
      <c r="R119" s="125"/>
      <c r="S119" s="125"/>
      <c r="T119" s="125"/>
    </row>
    <row r="120" customFormat="false" ht="14.25" hidden="false" customHeight="false" outlineLevel="0" collapsed="false">
      <c r="B120" s="118"/>
      <c r="C120" s="118"/>
      <c r="D120" s="118"/>
      <c r="E120" s="126"/>
      <c r="F120" s="118"/>
      <c r="G120" s="118"/>
      <c r="H120" s="118"/>
      <c r="I120" s="127"/>
      <c r="J120" s="127"/>
      <c r="K120" s="127"/>
      <c r="L120" s="127"/>
      <c r="M120" s="127"/>
      <c r="N120" s="127"/>
      <c r="O120" s="127"/>
      <c r="P120" s="127"/>
      <c r="Q120" s="127"/>
      <c r="R120" s="127"/>
      <c r="S120" s="127"/>
      <c r="T120" s="127"/>
    </row>
    <row r="121" customFormat="false" ht="14.25" hidden="false" customHeight="false" outlineLevel="0" collapsed="false">
      <c r="A121" s="99" t="s">
        <v>236</v>
      </c>
      <c r="B121" s="48"/>
      <c r="C121" s="48"/>
      <c r="D121" s="48"/>
      <c r="E121" s="48"/>
      <c r="F121" s="123"/>
      <c r="G121" s="118"/>
      <c r="H121" s="118"/>
      <c r="I121" s="127"/>
      <c r="J121" s="127"/>
      <c r="K121" s="127"/>
      <c r="L121" s="127"/>
      <c r="M121" s="127"/>
      <c r="N121" s="127"/>
      <c r="O121" s="127"/>
      <c r="P121" s="127"/>
      <c r="Q121" s="127"/>
      <c r="R121" s="127"/>
      <c r="S121" s="127"/>
      <c r="T121" s="127"/>
    </row>
    <row r="122" customFormat="false" ht="14.25" hidden="false" customHeight="false" outlineLevel="0" collapsed="false">
      <c r="A122" s="128" t="s">
        <v>237</v>
      </c>
      <c r="B122" s="129" t="s">
        <v>238</v>
      </c>
      <c r="C122" s="130" t="s">
        <v>239</v>
      </c>
      <c r="D122" s="131" t="s">
        <v>240</v>
      </c>
      <c r="E122" s="132" t="s">
        <v>238</v>
      </c>
      <c r="F122" s="105" t="s">
        <v>239</v>
      </c>
      <c r="G122" s="105"/>
    </row>
    <row r="123" customFormat="false" ht="31.3" hidden="false" customHeight="false" outlineLevel="0" collapsed="false">
      <c r="A123" s="128"/>
      <c r="B123" s="133" t="s">
        <v>241</v>
      </c>
      <c r="C123" s="134" t="s">
        <v>242</v>
      </c>
      <c r="D123" s="131"/>
      <c r="E123" s="132"/>
      <c r="F123" s="105"/>
      <c r="G123" s="105"/>
    </row>
    <row r="124" customFormat="false" ht="14.25" hidden="false" customHeight="false" outlineLevel="0" collapsed="false">
      <c r="A124" s="128" t="s">
        <v>243</v>
      </c>
      <c r="B124" s="129" t="s">
        <v>238</v>
      </c>
      <c r="C124" s="130" t="s">
        <v>239</v>
      </c>
      <c r="D124" s="131"/>
      <c r="E124" s="135" t="s">
        <v>241</v>
      </c>
      <c r="F124" s="136" t="s">
        <v>242</v>
      </c>
      <c r="G124" s="136"/>
    </row>
    <row r="125" customFormat="false" ht="31.3" hidden="false" customHeight="false" outlineLevel="0" collapsed="false">
      <c r="A125" s="128"/>
      <c r="B125" s="133" t="s">
        <v>241</v>
      </c>
      <c r="C125" s="134" t="s">
        <v>242</v>
      </c>
      <c r="D125" s="131"/>
      <c r="E125" s="135"/>
      <c r="F125" s="136"/>
      <c r="G125" s="136"/>
    </row>
    <row r="126" customFormat="false" ht="14.25" hidden="false" customHeight="false" outlineLevel="0" collapsed="false">
      <c r="A126" s="128" t="s">
        <v>244</v>
      </c>
      <c r="B126" s="129" t="s">
        <v>238</v>
      </c>
      <c r="C126" s="130" t="s">
        <v>239</v>
      </c>
      <c r="D126" s="128" t="s">
        <v>245</v>
      </c>
      <c r="E126" s="135" t="s">
        <v>238</v>
      </c>
      <c r="F126" s="105" t="s">
        <v>239</v>
      </c>
      <c r="G126" s="105"/>
      <c r="I126" s="125"/>
      <c r="J126" s="125"/>
      <c r="K126" s="125"/>
      <c r="L126" s="125"/>
      <c r="M126" s="125"/>
      <c r="N126" s="125"/>
      <c r="O126" s="125"/>
      <c r="P126" s="125"/>
      <c r="Q126" s="125"/>
      <c r="R126" s="125"/>
      <c r="S126" s="125"/>
      <c r="T126" s="125"/>
    </row>
    <row r="127" customFormat="false" ht="31.3" hidden="false" customHeight="false" outlineLevel="0" collapsed="false">
      <c r="A127" s="128"/>
      <c r="B127" s="133" t="s">
        <v>241</v>
      </c>
      <c r="C127" s="134" t="s">
        <v>242</v>
      </c>
      <c r="D127" s="128"/>
      <c r="E127" s="135"/>
      <c r="F127" s="105"/>
      <c r="G127" s="105"/>
      <c r="I127" s="125"/>
      <c r="J127" s="125"/>
      <c r="K127" s="125"/>
      <c r="L127" s="125"/>
      <c r="M127" s="125"/>
      <c r="N127" s="125"/>
      <c r="O127" s="125"/>
      <c r="P127" s="125"/>
      <c r="Q127" s="125"/>
      <c r="R127" s="125"/>
      <c r="S127" s="125"/>
      <c r="T127" s="125"/>
    </row>
    <row r="128" customFormat="false" ht="14.25" hidden="false" customHeight="false" outlineLevel="0" collapsed="false">
      <c r="A128" s="128" t="s">
        <v>246</v>
      </c>
      <c r="B128" s="129" t="s">
        <v>238</v>
      </c>
      <c r="C128" s="130" t="s">
        <v>239</v>
      </c>
      <c r="D128" s="128"/>
      <c r="E128" s="135" t="s">
        <v>241</v>
      </c>
      <c r="F128" s="137" t="s">
        <v>242</v>
      </c>
      <c r="G128" s="137"/>
      <c r="I128" s="125"/>
      <c r="J128" s="125"/>
      <c r="K128" s="125"/>
      <c r="L128" s="125"/>
      <c r="M128" s="125"/>
      <c r="N128" s="125"/>
      <c r="O128" s="125"/>
      <c r="P128" s="125"/>
      <c r="Q128" s="125"/>
      <c r="R128" s="125"/>
      <c r="S128" s="125"/>
      <c r="T128" s="125"/>
    </row>
    <row r="129" customFormat="false" ht="31.3" hidden="false" customHeight="false" outlineLevel="0" collapsed="false">
      <c r="A129" s="128"/>
      <c r="B129" s="133" t="s">
        <v>241</v>
      </c>
      <c r="C129" s="134" t="s">
        <v>242</v>
      </c>
      <c r="D129" s="128"/>
      <c r="E129" s="135"/>
      <c r="F129" s="137"/>
      <c r="G129" s="137"/>
      <c r="I129" s="125"/>
      <c r="J129" s="125"/>
      <c r="K129" s="125"/>
      <c r="L129" s="125"/>
      <c r="M129" s="125"/>
      <c r="N129" s="125"/>
      <c r="O129" s="125"/>
      <c r="P129" s="125"/>
      <c r="Q129" s="125"/>
      <c r="R129" s="125"/>
      <c r="S129" s="125"/>
      <c r="T129" s="125"/>
    </row>
    <row r="130" customFormat="false" ht="14.25" hidden="false" customHeight="false" outlineLevel="0" collapsed="false">
      <c r="A130" s="128" t="s">
        <v>211</v>
      </c>
      <c r="B130" s="129" t="s">
        <v>238</v>
      </c>
      <c r="C130" s="31" t="s">
        <v>239</v>
      </c>
      <c r="D130" s="27"/>
      <c r="G130" s="138"/>
      <c r="I130" s="125"/>
      <c r="J130" s="125"/>
      <c r="K130" s="125"/>
      <c r="L130" s="125"/>
      <c r="M130" s="125"/>
      <c r="N130" s="125"/>
      <c r="O130" s="125"/>
      <c r="P130" s="125"/>
      <c r="Q130" s="125"/>
      <c r="R130" s="125"/>
      <c r="S130" s="125"/>
      <c r="T130" s="125"/>
    </row>
    <row r="131" customFormat="false" ht="31.3" hidden="false" customHeight="false" outlineLevel="0" collapsed="false">
      <c r="A131" s="128"/>
      <c r="B131" s="133" t="s">
        <v>241</v>
      </c>
      <c r="C131" s="31" t="s">
        <v>242</v>
      </c>
      <c r="D131" s="27"/>
    </row>
    <row r="132" customFormat="false" ht="14.25" hidden="false" customHeight="false" outlineLevel="0" collapsed="false">
      <c r="A132" s="139" t="s">
        <v>247</v>
      </c>
    </row>
    <row r="134" customFormat="false" ht="14.25" hidden="true" customHeight="false" outlineLevel="0" collapsed="false"/>
    <row r="135" customFormat="false" ht="14.25" hidden="true" customHeight="false" outlineLevel="0" collapsed="false"/>
    <row r="136" customFormat="false" ht="14.25" hidden="true" customHeight="false" outlineLevel="0" collapsed="false"/>
    <row r="137" customFormat="false" ht="14.25" hidden="true" customHeight="false" outlineLevel="0" collapsed="false"/>
    <row r="138" customFormat="false" ht="14.25" hidden="true" customHeight="false" outlineLevel="0" collapsed="false"/>
    <row r="139" customFormat="false" ht="14.25" hidden="true" customHeight="false" outlineLevel="0" collapsed="false"/>
    <row r="140" customFormat="false" ht="14.25" hidden="true" customHeight="false" outlineLevel="0" collapsed="false"/>
    <row r="141" customFormat="false" ht="14.25" hidden="true" customHeight="false" outlineLevel="0" collapsed="false"/>
    <row r="142" customFormat="false" ht="14.25" hidden="true" customHeight="false" outlineLevel="0" collapsed="false"/>
    <row r="143" customFormat="false" ht="14.25" hidden="true" customHeight="false" outlineLevel="0" collapsed="false"/>
    <row r="144" customFormat="false" ht="14.25" hidden="true" customHeight="false" outlineLevel="0" collapsed="false"/>
    <row r="145" customFormat="false" ht="14.25" hidden="true" customHeight="false" outlineLevel="0" collapsed="false"/>
    <row r="146" customFormat="false" ht="14.25" hidden="true" customHeight="false" outlineLevel="0" collapsed="false"/>
    <row r="147" customFormat="false" ht="14.25" hidden="true" customHeight="false" outlineLevel="0" collapsed="false"/>
    <row r="148" customFormat="false" ht="14.25" hidden="true" customHeight="false" outlineLevel="0" collapsed="false"/>
    <row r="149" customFormat="false" ht="14.25" hidden="true" customHeight="false" outlineLevel="0" collapsed="false"/>
    <row r="150" customFormat="false" ht="14.25" hidden="true" customHeight="false" outlineLevel="0" collapsed="false"/>
    <row r="151" customFormat="false" ht="14.25" hidden="true" customHeight="false" outlineLevel="0" collapsed="false"/>
    <row r="152" customFormat="false" ht="14.25" hidden="true" customHeight="false" outlineLevel="0" collapsed="false"/>
    <row r="153" customFormat="false" ht="14.25" hidden="true" customHeight="false" outlineLevel="0" collapsed="false"/>
    <row r="154" customFormat="false" ht="14.25" hidden="true" customHeight="false" outlineLevel="0" collapsed="false"/>
    <row r="155" customFormat="false" ht="14.25" hidden="true" customHeight="false" outlineLevel="0" collapsed="false"/>
    <row r="156" customFormat="false" ht="14.25" hidden="true" customHeight="false" outlineLevel="0" collapsed="false"/>
    <row r="157" customFormat="false" ht="14.25" hidden="true" customHeight="false" outlineLevel="0" collapsed="false"/>
    <row r="158" customFormat="false" ht="14.25" hidden="true" customHeight="false" outlineLevel="0" collapsed="false"/>
    <row r="159" customFormat="false" ht="14.25" hidden="true" customHeight="false" outlineLevel="0" collapsed="false"/>
    <row r="160" customFormat="false" ht="14.25" hidden="true" customHeight="false" outlineLevel="0" collapsed="false"/>
    <row r="161" customFormat="false" ht="14.25" hidden="true" customHeight="false" outlineLevel="0" collapsed="false"/>
    <row r="162" customFormat="false" ht="14.25" hidden="true" customHeight="false" outlineLevel="0" collapsed="false"/>
    <row r="163" customFormat="false" ht="14.25" hidden="true" customHeight="false" outlineLevel="0" collapsed="false"/>
    <row r="164" customFormat="false" ht="14.25" hidden="true" customHeight="false" outlineLevel="0" collapsed="false"/>
    <row r="166" s="48" customFormat="true" ht="14.25" hidden="false" customHeight="false" outlineLevel="0" collapsed="false">
      <c r="A166" s="99" t="s">
        <v>248</v>
      </c>
      <c r="E166" s="119"/>
    </row>
    <row r="167" customFormat="false" ht="14.25" hidden="false" customHeight="false" outlineLevel="0" collapsed="false">
      <c r="A167" s="83" t="s">
        <v>249</v>
      </c>
      <c r="B167" s="84" t="s">
        <v>28</v>
      </c>
      <c r="C167" s="140" t="s">
        <v>250</v>
      </c>
      <c r="D167" s="141" t="s">
        <v>251</v>
      </c>
      <c r="E167" s="27" t="s">
        <v>252</v>
      </c>
      <c r="F167" s="141" t="s">
        <v>253</v>
      </c>
      <c r="G167" s="27" t="s">
        <v>254</v>
      </c>
      <c r="H167" s="142" t="s">
        <v>255</v>
      </c>
      <c r="I167" s="27" t="s">
        <v>255</v>
      </c>
      <c r="J167" s="11"/>
    </row>
    <row r="168" customFormat="false" ht="14.25" hidden="false" customHeight="false" outlineLevel="0" collapsed="false">
      <c r="A168" s="83" t="s">
        <v>256</v>
      </c>
      <c r="B168" s="84" t="s">
        <v>28</v>
      </c>
      <c r="C168" s="140" t="s">
        <v>250</v>
      </c>
      <c r="D168" s="143" t="s">
        <v>257</v>
      </c>
      <c r="E168" s="27" t="s">
        <v>258</v>
      </c>
      <c r="F168" s="143" t="s">
        <v>259</v>
      </c>
      <c r="G168" s="27" t="s">
        <v>260</v>
      </c>
      <c r="H168" s="142" t="s">
        <v>261</v>
      </c>
      <c r="I168" s="27" t="s">
        <v>261</v>
      </c>
      <c r="J168" s="11"/>
    </row>
    <row r="169" customFormat="false" ht="16.5" hidden="false" customHeight="true" outlineLevel="0" collapsed="false">
      <c r="A169" s="144" t="s">
        <v>262</v>
      </c>
      <c r="B169" s="144"/>
      <c r="C169" s="144"/>
      <c r="D169" s="72"/>
    </row>
    <row r="170" customFormat="false" ht="14.25" hidden="false" customHeight="false" outlineLevel="0" collapsed="false">
      <c r="A170" s="143" t="s">
        <v>263</v>
      </c>
      <c r="B170" s="30" t="s">
        <v>28</v>
      </c>
      <c r="C170" s="31" t="s">
        <v>264</v>
      </c>
      <c r="D170" s="27"/>
    </row>
    <row r="171" customFormat="false" ht="14.25" hidden="false" customHeight="false" outlineLevel="0" collapsed="false">
      <c r="A171" s="143" t="s">
        <v>265</v>
      </c>
      <c r="B171" s="30" t="s">
        <v>28</v>
      </c>
      <c r="C171" s="31" t="s">
        <v>266</v>
      </c>
      <c r="D171" s="27"/>
    </row>
    <row r="172" customFormat="false" ht="14.25" hidden="false" customHeight="false" outlineLevel="0" collapsed="false">
      <c r="A172" s="143" t="s">
        <v>267</v>
      </c>
      <c r="B172" s="30" t="s">
        <v>36</v>
      </c>
      <c r="C172" s="31" t="s">
        <v>268</v>
      </c>
      <c r="D172" s="27"/>
    </row>
    <row r="173" customFormat="false" ht="14.25" hidden="false" customHeight="false" outlineLevel="0" collapsed="false">
      <c r="A173" s="143" t="s">
        <v>269</v>
      </c>
      <c r="B173" s="30" t="s">
        <v>36</v>
      </c>
      <c r="C173" s="31" t="s">
        <v>270</v>
      </c>
      <c r="D173" s="27"/>
    </row>
    <row r="174" customFormat="false" ht="14.25" hidden="false" customHeight="false" outlineLevel="0" collapsed="false">
      <c r="A174" s="143" t="s">
        <v>271</v>
      </c>
      <c r="B174" s="30" t="s">
        <v>36</v>
      </c>
      <c r="C174" s="31" t="s">
        <v>272</v>
      </c>
      <c r="D174" s="27"/>
    </row>
    <row r="175" customFormat="false" ht="14.25" hidden="false" customHeight="false" outlineLevel="0" collapsed="false">
      <c r="A175" s="143" t="s">
        <v>273</v>
      </c>
      <c r="B175" s="30" t="s">
        <v>36</v>
      </c>
      <c r="C175" s="31" t="s">
        <v>274</v>
      </c>
      <c r="D175" s="27"/>
    </row>
    <row r="176" customFormat="false" ht="14.25" hidden="false" customHeight="false" outlineLevel="0" collapsed="false">
      <c r="A176" s="144" t="s">
        <v>275</v>
      </c>
      <c r="B176" s="144"/>
      <c r="C176" s="72"/>
      <c r="D176" s="72"/>
    </row>
    <row r="177" customFormat="false" ht="14.25" hidden="false" customHeight="false" outlineLevel="0" collapsed="false">
      <c r="A177" s="143" t="s">
        <v>276</v>
      </c>
      <c r="B177" s="30" t="s">
        <v>28</v>
      </c>
      <c r="C177" s="31" t="s">
        <v>277</v>
      </c>
      <c r="D177" s="27"/>
      <c r="E177" s="1" t="s">
        <v>278</v>
      </c>
    </row>
    <row r="178" customFormat="false" ht="14.25" hidden="false" customHeight="false" outlineLevel="0" collapsed="false">
      <c r="A178" s="143" t="s">
        <v>279</v>
      </c>
      <c r="B178" s="30" t="s">
        <v>28</v>
      </c>
      <c r="C178" s="31" t="s">
        <v>280</v>
      </c>
      <c r="D178" s="27"/>
      <c r="E178" s="1" t="s">
        <v>281</v>
      </c>
    </row>
    <row r="179" customFormat="false" ht="14.25" hidden="false" customHeight="false" outlineLevel="0" collapsed="false">
      <c r="A179" s="143" t="s">
        <v>282</v>
      </c>
      <c r="B179" s="30" t="s">
        <v>28</v>
      </c>
      <c r="C179" s="31" t="s">
        <v>283</v>
      </c>
      <c r="D179" s="27"/>
      <c r="E179" s="1" t="s">
        <v>284</v>
      </c>
    </row>
    <row r="180" customFormat="false" ht="14.25" hidden="false" customHeight="false" outlineLevel="0" collapsed="false">
      <c r="A180" s="143" t="s">
        <v>285</v>
      </c>
      <c r="B180" s="30" t="s">
        <v>28</v>
      </c>
      <c r="C180" s="31" t="s">
        <v>286</v>
      </c>
      <c r="D180" s="27"/>
      <c r="E180" s="1" t="s">
        <v>287</v>
      </c>
    </row>
    <row r="181" customFormat="false" ht="14.25" hidden="false" customHeight="false" outlineLevel="0" collapsed="false">
      <c r="A181" s="143" t="s">
        <v>288</v>
      </c>
      <c r="B181" s="30" t="s">
        <v>28</v>
      </c>
      <c r="C181" s="31" t="s">
        <v>289</v>
      </c>
      <c r="D181" s="27"/>
      <c r="E181" s="1" t="s">
        <v>290</v>
      </c>
    </row>
    <row r="182" customFormat="false" ht="14.25" hidden="false" customHeight="false" outlineLevel="0" collapsed="false">
      <c r="A182" s="144" t="s">
        <v>291</v>
      </c>
      <c r="B182" s="144"/>
      <c r="C182" s="144" t="s">
        <v>292</v>
      </c>
      <c r="D182" s="72"/>
    </row>
    <row r="183" customFormat="false" ht="14.25" hidden="false" customHeight="false" outlineLevel="0" collapsed="false">
      <c r="A183" s="143" t="s">
        <v>293</v>
      </c>
      <c r="B183" s="30" t="s">
        <v>28</v>
      </c>
      <c r="C183" s="31" t="s">
        <v>294</v>
      </c>
      <c r="D183" s="27"/>
      <c r="E183" s="1" t="s">
        <v>295</v>
      </c>
    </row>
    <row r="184" customFormat="false" ht="14.25" hidden="false" customHeight="false" outlineLevel="0" collapsed="false">
      <c r="A184" s="143" t="s">
        <v>296</v>
      </c>
      <c r="B184" s="30" t="s">
        <v>28</v>
      </c>
      <c r="C184" s="31" t="s">
        <v>297</v>
      </c>
      <c r="D184" s="27"/>
      <c r="E184" s="1" t="s">
        <v>298</v>
      </c>
    </row>
    <row r="185" customFormat="false" ht="14.25" hidden="false" customHeight="false" outlineLevel="0" collapsed="false">
      <c r="A185" s="143" t="s">
        <v>299</v>
      </c>
      <c r="B185" s="30" t="s">
        <v>28</v>
      </c>
      <c r="C185" s="31" t="s">
        <v>300</v>
      </c>
      <c r="D185" s="27"/>
      <c r="E185" s="1" t="s">
        <v>301</v>
      </c>
    </row>
    <row r="186" customFormat="false" ht="14.25" hidden="false" customHeight="false" outlineLevel="0" collapsed="false">
      <c r="A186" s="143" t="s">
        <v>302</v>
      </c>
      <c r="B186" s="30" t="s">
        <v>28</v>
      </c>
      <c r="C186" s="31" t="s">
        <v>303</v>
      </c>
      <c r="D186" s="27"/>
      <c r="E186" s="1" t="s">
        <v>304</v>
      </c>
    </row>
    <row r="187" customFormat="false" ht="14.25" hidden="false" customHeight="false" outlineLevel="0" collapsed="false">
      <c r="A187" s="143" t="s">
        <v>305</v>
      </c>
      <c r="B187" s="30" t="s">
        <v>28</v>
      </c>
      <c r="C187" s="31" t="s">
        <v>306</v>
      </c>
      <c r="D187" s="27"/>
      <c r="E187" s="1" t="s">
        <v>307</v>
      </c>
    </row>
    <row r="188" customFormat="false" ht="14.25" hidden="false" customHeight="false" outlineLevel="0" collapsed="false">
      <c r="A188" s="143" t="s">
        <v>308</v>
      </c>
      <c r="B188" s="30" t="s">
        <v>28</v>
      </c>
      <c r="C188" s="31" t="s">
        <v>309</v>
      </c>
      <c r="D188" s="27"/>
    </row>
    <row r="189" customFormat="false" ht="14.25" hidden="false" customHeight="false" outlineLevel="0" collapsed="false">
      <c r="A189" s="143" t="s">
        <v>310</v>
      </c>
      <c r="B189" s="30" t="s">
        <v>28</v>
      </c>
      <c r="C189" s="31" t="s">
        <v>311</v>
      </c>
      <c r="D189" s="27"/>
      <c r="E189" s="1" t="s">
        <v>312</v>
      </c>
    </row>
    <row r="190" customFormat="false" ht="14.25" hidden="false" customHeight="false" outlineLevel="0" collapsed="false">
      <c r="A190" s="143" t="s">
        <v>313</v>
      </c>
      <c r="B190" s="30" t="s">
        <v>28</v>
      </c>
      <c r="C190" s="31" t="s">
        <v>314</v>
      </c>
      <c r="D190" s="27"/>
    </row>
    <row r="191" customFormat="false" ht="14.25" hidden="false" customHeight="false" outlineLevel="0" collapsed="false">
      <c r="A191" s="143" t="s">
        <v>315</v>
      </c>
      <c r="B191" s="121" t="s">
        <v>28</v>
      </c>
      <c r="C191" s="31" t="s">
        <v>316</v>
      </c>
      <c r="D191" s="27"/>
    </row>
    <row r="193" customFormat="false" ht="16.4" hidden="false" customHeight="false" outlineLevel="0" collapsed="false">
      <c r="A193" s="145" t="s">
        <v>317</v>
      </c>
      <c r="B193" s="72"/>
      <c r="C193" s="72"/>
      <c r="D193" s="72"/>
      <c r="E193" s="72"/>
    </row>
    <row r="194" customFormat="false" ht="71.25" hidden="false" customHeight="true" outlineLevel="0" collapsed="false">
      <c r="A194" s="146" t="s">
        <v>318</v>
      </c>
      <c r="B194" s="146"/>
      <c r="C194" s="146"/>
      <c r="D194" s="146"/>
      <c r="E194" s="146"/>
    </row>
    <row r="195" customFormat="false" ht="13.5" hidden="false" customHeight="true" outlineLevel="0" collapsed="false">
      <c r="A195" s="147" t="s">
        <v>319</v>
      </c>
      <c r="B195" s="52" t="s">
        <v>320</v>
      </c>
      <c r="C195" s="148" t="s">
        <v>175</v>
      </c>
      <c r="D195" s="78"/>
      <c r="F195" s="78"/>
      <c r="G195" s="78"/>
      <c r="H195" s="78"/>
      <c r="I195" s="78"/>
      <c r="J195" s="78"/>
      <c r="K195" s="149"/>
      <c r="L195" s="149"/>
      <c r="M195" s="78"/>
      <c r="N195" s="78"/>
    </row>
    <row r="196" customFormat="false" ht="16.4" hidden="false" customHeight="false" outlineLevel="0" collapsed="false">
      <c r="A196" s="147"/>
      <c r="B196" s="150" t="s">
        <v>321</v>
      </c>
      <c r="C196" s="148"/>
      <c r="D196" s="151"/>
      <c r="E196" s="151"/>
      <c r="F196" s="151"/>
      <c r="G196" s="151"/>
      <c r="H196" s="151"/>
      <c r="I196" s="151"/>
      <c r="J196" s="151"/>
      <c r="K196" s="151"/>
      <c r="L196" s="151"/>
      <c r="M196" s="151"/>
      <c r="N196" s="151"/>
    </row>
    <row r="197" customFormat="false" ht="28.5" hidden="false" customHeight="true" outlineLevel="0" collapsed="false">
      <c r="A197" s="147"/>
      <c r="B197" s="152" t="s">
        <v>322</v>
      </c>
      <c r="C197" s="148"/>
      <c r="D197" s="78"/>
      <c r="E197" s="78"/>
      <c r="F197" s="78"/>
      <c r="G197" s="78"/>
      <c r="H197" s="78"/>
      <c r="I197" s="78"/>
      <c r="J197" s="78"/>
      <c r="K197" s="78"/>
      <c r="L197" s="78"/>
      <c r="M197" s="78"/>
      <c r="N197" s="78"/>
    </row>
    <row r="198" customFormat="false" ht="13.5" hidden="false" customHeight="true" outlineLevel="0" collapsed="false">
      <c r="A198" s="153" t="s">
        <v>323</v>
      </c>
      <c r="B198" s="153"/>
      <c r="C198" s="153"/>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c r="AB198" s="154"/>
      <c r="AC198" s="154"/>
      <c r="AD198" s="154"/>
      <c r="AE198" s="154"/>
      <c r="AF198" s="154"/>
      <c r="AG198" s="154"/>
      <c r="AH198" s="154"/>
      <c r="AI198" s="154"/>
      <c r="AJ198" s="154"/>
      <c r="AK198" s="154"/>
      <c r="AL198" s="154"/>
      <c r="AM198" s="154"/>
      <c r="AN198" s="154"/>
      <c r="AO198" s="154"/>
      <c r="AP198" s="154"/>
      <c r="AQ198" s="154"/>
      <c r="AR198" s="154"/>
      <c r="AS198" s="154"/>
      <c r="AT198" s="154"/>
      <c r="AU198" s="154"/>
      <c r="AV198" s="154"/>
      <c r="AW198" s="154"/>
      <c r="AX198" s="154"/>
      <c r="AY198" s="154"/>
      <c r="AZ198" s="154"/>
      <c r="BA198" s="154"/>
      <c r="BB198" s="154"/>
      <c r="BC198" s="154"/>
      <c r="BD198" s="154"/>
      <c r="BE198" s="154"/>
      <c r="BF198" s="154"/>
      <c r="BG198" s="154"/>
      <c r="BH198" s="154"/>
      <c r="BI198" s="154"/>
      <c r="BJ198" s="154"/>
      <c r="BK198" s="154"/>
      <c r="BL198" s="154"/>
      <c r="BM198" s="154"/>
      <c r="BN198" s="154"/>
      <c r="BO198" s="154"/>
      <c r="BP198" s="154"/>
      <c r="BQ198" s="154"/>
      <c r="BR198" s="154"/>
      <c r="BS198" s="154"/>
      <c r="BT198" s="154"/>
      <c r="BU198" s="154"/>
      <c r="BV198" s="154"/>
      <c r="BW198" s="154"/>
      <c r="BX198" s="154"/>
      <c r="BY198" s="154"/>
      <c r="BZ198" s="154"/>
      <c r="CA198" s="154"/>
      <c r="CB198" s="154"/>
      <c r="CC198" s="154"/>
      <c r="CD198" s="154"/>
      <c r="CE198" s="154"/>
      <c r="CF198" s="154"/>
      <c r="CG198" s="154"/>
      <c r="CH198" s="154"/>
      <c r="CI198" s="154"/>
      <c r="CJ198" s="154"/>
      <c r="CK198" s="154"/>
      <c r="CL198" s="154"/>
      <c r="CM198" s="154"/>
      <c r="CN198" s="154"/>
      <c r="CO198" s="154"/>
      <c r="CP198" s="154"/>
      <c r="CQ198" s="154"/>
      <c r="CR198" s="154"/>
      <c r="CS198" s="154"/>
      <c r="CT198" s="154"/>
      <c r="CU198" s="154"/>
      <c r="CV198" s="154"/>
      <c r="CW198" s="154"/>
      <c r="CX198" s="154"/>
      <c r="CY198" s="154"/>
      <c r="CZ198" s="154"/>
      <c r="DA198" s="154"/>
      <c r="DB198" s="154"/>
      <c r="DC198" s="154"/>
      <c r="DD198" s="154"/>
      <c r="DE198" s="154"/>
      <c r="DF198" s="154"/>
      <c r="DG198" s="154"/>
      <c r="DH198" s="154"/>
      <c r="DI198" s="154"/>
      <c r="DJ198" s="154"/>
      <c r="DK198" s="154"/>
      <c r="DL198" s="154"/>
      <c r="DM198" s="154"/>
      <c r="DN198" s="154"/>
      <c r="DO198" s="154"/>
      <c r="DP198" s="154"/>
      <c r="DQ198" s="154"/>
      <c r="DR198" s="154"/>
      <c r="DS198" s="154"/>
      <c r="DT198" s="154"/>
      <c r="DU198" s="154"/>
      <c r="DV198" s="154"/>
      <c r="DW198" s="154"/>
      <c r="DX198" s="154"/>
      <c r="DY198" s="154"/>
      <c r="DZ198" s="154"/>
      <c r="EA198" s="154"/>
      <c r="EB198" s="154"/>
      <c r="EC198" s="154"/>
      <c r="ED198" s="154"/>
      <c r="EE198" s="154"/>
      <c r="EF198" s="154"/>
      <c r="EG198" s="154"/>
      <c r="EH198" s="154"/>
      <c r="EI198" s="154"/>
      <c r="EJ198" s="154"/>
      <c r="EK198" s="154"/>
      <c r="EL198" s="154"/>
      <c r="EM198" s="154"/>
      <c r="EN198" s="154"/>
      <c r="EO198" s="154"/>
      <c r="EP198" s="154"/>
      <c r="EQ198" s="154"/>
      <c r="ER198" s="154"/>
      <c r="ES198" s="154"/>
      <c r="ET198" s="154"/>
      <c r="EU198" s="154"/>
      <c r="EV198" s="154"/>
      <c r="EW198" s="154"/>
      <c r="EX198" s="154"/>
      <c r="EY198" s="154"/>
      <c r="EZ198" s="154"/>
      <c r="FA198" s="154"/>
      <c r="FB198" s="154"/>
      <c r="FC198" s="154"/>
      <c r="FD198" s="154"/>
      <c r="FE198" s="154"/>
      <c r="FF198" s="154"/>
      <c r="FG198" s="154"/>
      <c r="FH198" s="154"/>
      <c r="FI198" s="154"/>
      <c r="FJ198" s="154"/>
      <c r="FK198" s="154"/>
      <c r="FL198" s="154"/>
      <c r="FM198" s="154"/>
      <c r="FN198" s="154"/>
      <c r="FO198" s="154"/>
      <c r="FP198" s="154"/>
      <c r="FQ198" s="154"/>
      <c r="FR198" s="154"/>
      <c r="FS198" s="154"/>
      <c r="FT198" s="154"/>
      <c r="FU198" s="154"/>
      <c r="FV198" s="154"/>
      <c r="FW198" s="154"/>
      <c r="FX198" s="154"/>
      <c r="FY198" s="154"/>
    </row>
    <row r="199" customFormat="false" ht="16.4" hidden="false" customHeight="false" outlineLevel="0" collapsed="false">
      <c r="A199" s="155" t="s">
        <v>324</v>
      </c>
      <c r="B199" s="30" t="s">
        <v>28</v>
      </c>
      <c r="C199" s="63" t="s">
        <v>325</v>
      </c>
    </row>
    <row r="200" customFormat="false" ht="31.3" hidden="false" customHeight="false" outlineLevel="0" collapsed="false">
      <c r="A200" s="156" t="s">
        <v>326</v>
      </c>
      <c r="B200" s="30" t="s">
        <v>327</v>
      </c>
      <c r="C200" s="157" t="s">
        <v>326</v>
      </c>
      <c r="D200" s="158"/>
      <c r="E200" s="159"/>
      <c r="F200" s="159"/>
      <c r="G200" s="159"/>
      <c r="H200" s="159"/>
      <c r="I200" s="159"/>
      <c r="J200" s="159"/>
      <c r="K200" s="159"/>
      <c r="L200" s="159"/>
      <c r="M200" s="159"/>
      <c r="N200" s="159"/>
    </row>
    <row r="201" customFormat="false" ht="14.25" hidden="false" customHeight="false" outlineLevel="0" collapsed="false">
      <c r="A201" s="78"/>
      <c r="B201" s="30"/>
      <c r="C201" s="160"/>
    </row>
    <row r="202" customFormat="false" ht="16.4" hidden="false" customHeight="false" outlineLevel="0" collapsed="false">
      <c r="A202" s="161" t="s">
        <v>328</v>
      </c>
    </row>
    <row r="203" customFormat="false" ht="16.4" hidden="false" customHeight="false" outlineLevel="0" collapsed="false">
      <c r="A203" s="155" t="s">
        <v>329</v>
      </c>
      <c r="B203" s="31" t="s">
        <v>330</v>
      </c>
      <c r="C203" s="27"/>
    </row>
    <row r="204" customFormat="false" ht="16.4" hidden="false" customHeight="false" outlineLevel="0" collapsed="false">
      <c r="A204" s="162" t="s">
        <v>331</v>
      </c>
      <c r="B204" s="30" t="s">
        <v>36</v>
      </c>
      <c r="C204" s="31" t="s">
        <v>332</v>
      </c>
      <c r="D204" s="27"/>
    </row>
    <row r="205" customFormat="false" ht="14.25" hidden="false" customHeight="false" outlineLevel="0" collapsed="false">
      <c r="A205" s="83" t="s">
        <v>333</v>
      </c>
      <c r="B205" s="30" t="s">
        <v>36</v>
      </c>
      <c r="C205" s="31" t="s">
        <v>334</v>
      </c>
      <c r="D205" s="27"/>
    </row>
    <row r="206" customFormat="false" ht="16.4" hidden="false" customHeight="false" outlineLevel="0" collapsed="false">
      <c r="A206" s="163" t="s">
        <v>335</v>
      </c>
    </row>
    <row r="207" customFormat="false" ht="52.5" hidden="false" customHeight="true" outlineLevel="0" collapsed="false">
      <c r="A207" s="164" t="s">
        <v>336</v>
      </c>
      <c r="B207" s="165" t="s">
        <v>337</v>
      </c>
      <c r="C207" s="165"/>
      <c r="D207" s="165"/>
      <c r="E207" s="165"/>
      <c r="F207" s="165"/>
      <c r="G207" s="165" t="s">
        <v>338</v>
      </c>
      <c r="H207" s="165"/>
      <c r="I207" s="165"/>
      <c r="J207" s="165"/>
      <c r="K207" s="165"/>
      <c r="L207" s="165" t="s">
        <v>339</v>
      </c>
      <c r="M207" s="165"/>
      <c r="N207" s="165"/>
      <c r="O207" s="165"/>
      <c r="P207" s="165"/>
      <c r="Q207" s="165" t="s">
        <v>340</v>
      </c>
      <c r="R207" s="165"/>
      <c r="S207" s="165"/>
      <c r="T207" s="165"/>
      <c r="U207" s="165"/>
      <c r="V207" s="165" t="s">
        <v>341</v>
      </c>
      <c r="W207" s="165"/>
      <c r="X207" s="165"/>
      <c r="Y207" s="165"/>
      <c r="Z207" s="165"/>
      <c r="AA207" s="165" t="s">
        <v>342</v>
      </c>
      <c r="AB207" s="165"/>
      <c r="AC207" s="165"/>
      <c r="AD207" s="165"/>
      <c r="AE207" s="165"/>
      <c r="AF207" s="165" t="s">
        <v>343</v>
      </c>
      <c r="AG207" s="165"/>
      <c r="AH207" s="165"/>
      <c r="AI207" s="165"/>
      <c r="AJ207" s="165"/>
      <c r="AK207" s="165" t="s">
        <v>344</v>
      </c>
      <c r="AL207" s="165"/>
      <c r="AM207" s="165"/>
      <c r="AN207" s="165"/>
      <c r="AO207" s="165"/>
      <c r="AP207" s="165" t="s">
        <v>345</v>
      </c>
      <c r="AQ207" s="165"/>
      <c r="AR207" s="165"/>
      <c r="AS207" s="165"/>
      <c r="AT207" s="165"/>
      <c r="AU207" s="165" t="s">
        <v>346</v>
      </c>
      <c r="AV207" s="165"/>
      <c r="AW207" s="165"/>
      <c r="AX207" s="165"/>
      <c r="AY207" s="165"/>
      <c r="AZ207" s="165" t="s">
        <v>347</v>
      </c>
      <c r="BA207" s="165"/>
      <c r="BB207" s="165"/>
      <c r="BC207" s="165"/>
      <c r="BD207" s="165"/>
      <c r="BE207" s="165" t="s">
        <v>348</v>
      </c>
      <c r="BF207" s="165"/>
      <c r="BG207" s="165"/>
      <c r="BH207" s="165"/>
      <c r="BI207" s="165"/>
      <c r="BJ207" s="165" t="s">
        <v>349</v>
      </c>
      <c r="BK207" s="165"/>
      <c r="BL207" s="165"/>
      <c r="BM207" s="165"/>
      <c r="BN207" s="165"/>
      <c r="BO207" s="165" t="s">
        <v>350</v>
      </c>
      <c r="BP207" s="165"/>
      <c r="BQ207" s="165"/>
      <c r="BR207" s="165"/>
      <c r="BS207" s="165"/>
      <c r="BT207" s="165" t="s">
        <v>351</v>
      </c>
      <c r="BU207" s="165"/>
      <c r="BV207" s="165"/>
      <c r="BW207" s="165"/>
      <c r="BX207" s="165"/>
      <c r="BY207" s="165" t="s">
        <v>352</v>
      </c>
      <c r="BZ207" s="165"/>
      <c r="CA207" s="165"/>
      <c r="CB207" s="165"/>
      <c r="CC207" s="165"/>
      <c r="CD207" s="165" t="s">
        <v>353</v>
      </c>
      <c r="CE207" s="165"/>
      <c r="CF207" s="165"/>
      <c r="CG207" s="165"/>
      <c r="CH207" s="165"/>
      <c r="CI207" s="165" t="s">
        <v>354</v>
      </c>
      <c r="CJ207" s="165"/>
      <c r="CK207" s="165"/>
      <c r="CL207" s="165"/>
      <c r="CM207" s="165"/>
      <c r="CN207" s="165" t="s">
        <v>355</v>
      </c>
      <c r="CO207" s="165"/>
      <c r="CP207" s="165"/>
      <c r="CQ207" s="165"/>
      <c r="CR207" s="165"/>
      <c r="CS207" s="165" t="s">
        <v>356</v>
      </c>
      <c r="CT207" s="165"/>
      <c r="CU207" s="165"/>
      <c r="CV207" s="165"/>
      <c r="CW207" s="165"/>
      <c r="CX207" s="165" t="s">
        <v>357</v>
      </c>
      <c r="CY207" s="165"/>
      <c r="CZ207" s="165"/>
      <c r="DA207" s="165"/>
      <c r="DB207" s="165"/>
      <c r="DC207" s="165" t="s">
        <v>358</v>
      </c>
      <c r="DD207" s="165"/>
      <c r="DE207" s="165"/>
      <c r="DF207" s="165"/>
      <c r="DG207" s="165"/>
      <c r="DH207" s="166" t="s">
        <v>359</v>
      </c>
      <c r="DI207" s="166"/>
      <c r="DJ207" s="166"/>
      <c r="DK207" s="167" t="s">
        <v>360</v>
      </c>
      <c r="DL207" s="167" t="n">
        <v>1</v>
      </c>
      <c r="DM207" s="165" t="s">
        <v>361</v>
      </c>
      <c r="DN207" s="165"/>
      <c r="DO207" s="165"/>
      <c r="DP207" s="165"/>
      <c r="DQ207" s="165"/>
      <c r="DR207" s="165" t="s">
        <v>362</v>
      </c>
      <c r="DS207" s="165"/>
      <c r="DT207" s="165"/>
      <c r="DU207" s="165"/>
      <c r="DV207" s="165"/>
      <c r="DW207" s="165" t="s">
        <v>363</v>
      </c>
      <c r="DX207" s="165"/>
      <c r="DY207" s="165"/>
      <c r="DZ207" s="165"/>
      <c r="EA207" s="165"/>
      <c r="EB207" s="165" t="s">
        <v>364</v>
      </c>
      <c r="EC207" s="165"/>
      <c r="ED207" s="165"/>
      <c r="EE207" s="165"/>
      <c r="EF207" s="165"/>
      <c r="EG207" s="165" t="s">
        <v>365</v>
      </c>
      <c r="EH207" s="165"/>
      <c r="EI207" s="165"/>
      <c r="EJ207" s="165"/>
      <c r="EK207" s="165"/>
      <c r="EL207" s="165" t="s">
        <v>366</v>
      </c>
      <c r="EM207" s="165"/>
      <c r="EN207" s="165"/>
      <c r="EO207" s="165"/>
      <c r="EP207" s="165"/>
      <c r="EQ207" s="165" t="s">
        <v>367</v>
      </c>
      <c r="ER207" s="165"/>
      <c r="ES207" s="165"/>
      <c r="ET207" s="165"/>
      <c r="EU207" s="165"/>
      <c r="EV207" s="165" t="s">
        <v>368</v>
      </c>
      <c r="EW207" s="165"/>
      <c r="EX207" s="165"/>
      <c r="EY207" s="165"/>
      <c r="EZ207" s="165"/>
      <c r="FA207" s="165" t="s">
        <v>369</v>
      </c>
      <c r="FB207" s="165"/>
      <c r="FC207" s="165"/>
      <c r="FD207" s="165"/>
      <c r="FE207" s="165"/>
      <c r="FF207" s="165" t="s">
        <v>370</v>
      </c>
      <c r="FG207" s="165"/>
      <c r="FH207" s="165"/>
      <c r="FI207" s="165"/>
      <c r="FJ207" s="165"/>
      <c r="FK207" s="165" t="s">
        <v>371</v>
      </c>
      <c r="FL207" s="165"/>
      <c r="FM207" s="165"/>
      <c r="FN207" s="165"/>
      <c r="FO207" s="165"/>
      <c r="FP207" s="165" t="s">
        <v>372</v>
      </c>
      <c r="FQ207" s="165"/>
      <c r="FR207" s="165"/>
      <c r="FS207" s="165"/>
      <c r="FT207" s="165"/>
      <c r="FU207" s="166" t="s">
        <v>373</v>
      </c>
      <c r="FV207" s="166"/>
      <c r="FW207" s="166"/>
      <c r="FX207" s="167" t="s">
        <v>360</v>
      </c>
      <c r="FY207" s="167" t="n">
        <v>1</v>
      </c>
    </row>
    <row r="208" customFormat="false" ht="14.25" hidden="false" customHeight="false" outlineLevel="0" collapsed="false">
      <c r="A208" s="78"/>
      <c r="B208" s="31" t="s">
        <v>374</v>
      </c>
      <c r="C208" s="31" t="s">
        <v>375</v>
      </c>
      <c r="D208" s="31" t="s">
        <v>376</v>
      </c>
      <c r="E208" s="31" t="s">
        <v>377</v>
      </c>
      <c r="F208" s="31" t="s">
        <v>378</v>
      </c>
      <c r="G208" s="31" t="s">
        <v>374</v>
      </c>
      <c r="H208" s="31" t="s">
        <v>375</v>
      </c>
      <c r="I208" s="31" t="s">
        <v>376</v>
      </c>
      <c r="J208" s="31" t="s">
        <v>377</v>
      </c>
      <c r="K208" s="31" t="s">
        <v>378</v>
      </c>
      <c r="L208" s="31" t="s">
        <v>374</v>
      </c>
      <c r="M208" s="31" t="s">
        <v>375</v>
      </c>
      <c r="N208" s="31" t="s">
        <v>376</v>
      </c>
      <c r="O208" s="31" t="s">
        <v>377</v>
      </c>
      <c r="P208" s="31" t="s">
        <v>378</v>
      </c>
      <c r="Q208" s="31" t="s">
        <v>374</v>
      </c>
      <c r="R208" s="31" t="s">
        <v>375</v>
      </c>
      <c r="S208" s="31" t="s">
        <v>376</v>
      </c>
      <c r="T208" s="31" t="s">
        <v>377</v>
      </c>
      <c r="U208" s="31" t="s">
        <v>378</v>
      </c>
      <c r="V208" s="31" t="s">
        <v>374</v>
      </c>
      <c r="W208" s="31" t="s">
        <v>375</v>
      </c>
      <c r="X208" s="31" t="s">
        <v>376</v>
      </c>
      <c r="Y208" s="31" t="s">
        <v>377</v>
      </c>
      <c r="Z208" s="31" t="s">
        <v>378</v>
      </c>
      <c r="AA208" s="31" t="s">
        <v>374</v>
      </c>
      <c r="AB208" s="31" t="s">
        <v>375</v>
      </c>
      <c r="AC208" s="31" t="s">
        <v>376</v>
      </c>
      <c r="AD208" s="31" t="s">
        <v>377</v>
      </c>
      <c r="AE208" s="31" t="s">
        <v>378</v>
      </c>
      <c r="AF208" s="31" t="s">
        <v>374</v>
      </c>
      <c r="AG208" s="31" t="s">
        <v>375</v>
      </c>
      <c r="AH208" s="31" t="s">
        <v>376</v>
      </c>
      <c r="AI208" s="31" t="s">
        <v>377</v>
      </c>
      <c r="AJ208" s="31" t="s">
        <v>378</v>
      </c>
      <c r="AK208" s="31" t="s">
        <v>374</v>
      </c>
      <c r="AL208" s="31" t="s">
        <v>375</v>
      </c>
      <c r="AM208" s="31" t="s">
        <v>376</v>
      </c>
      <c r="AN208" s="31" t="s">
        <v>377</v>
      </c>
      <c r="AO208" s="31" t="s">
        <v>378</v>
      </c>
      <c r="AP208" s="31" t="s">
        <v>374</v>
      </c>
      <c r="AQ208" s="31" t="s">
        <v>375</v>
      </c>
      <c r="AR208" s="31" t="s">
        <v>376</v>
      </c>
      <c r="AS208" s="31" t="s">
        <v>377</v>
      </c>
      <c r="AT208" s="31" t="s">
        <v>378</v>
      </c>
      <c r="AU208" s="31" t="s">
        <v>374</v>
      </c>
      <c r="AV208" s="31" t="s">
        <v>375</v>
      </c>
      <c r="AW208" s="31" t="s">
        <v>376</v>
      </c>
      <c r="AX208" s="31" t="s">
        <v>377</v>
      </c>
      <c r="AY208" s="31" t="s">
        <v>378</v>
      </c>
      <c r="AZ208" s="31" t="s">
        <v>374</v>
      </c>
      <c r="BA208" s="31" t="s">
        <v>375</v>
      </c>
      <c r="BB208" s="31" t="s">
        <v>376</v>
      </c>
      <c r="BC208" s="31" t="s">
        <v>377</v>
      </c>
      <c r="BD208" s="31" t="s">
        <v>378</v>
      </c>
      <c r="BE208" s="31" t="s">
        <v>374</v>
      </c>
      <c r="BF208" s="31" t="s">
        <v>375</v>
      </c>
      <c r="BG208" s="31" t="s">
        <v>376</v>
      </c>
      <c r="BH208" s="31" t="s">
        <v>377</v>
      </c>
      <c r="BI208" s="31" t="s">
        <v>378</v>
      </c>
      <c r="BJ208" s="31" t="s">
        <v>374</v>
      </c>
      <c r="BK208" s="31" t="s">
        <v>375</v>
      </c>
      <c r="BL208" s="31" t="s">
        <v>376</v>
      </c>
      <c r="BM208" s="31" t="s">
        <v>377</v>
      </c>
      <c r="BN208" s="31" t="s">
        <v>378</v>
      </c>
      <c r="BO208" s="31" t="s">
        <v>374</v>
      </c>
      <c r="BP208" s="31" t="s">
        <v>375</v>
      </c>
      <c r="BQ208" s="31" t="s">
        <v>376</v>
      </c>
      <c r="BR208" s="31" t="s">
        <v>377</v>
      </c>
      <c r="BS208" s="31" t="s">
        <v>378</v>
      </c>
      <c r="BT208" s="31" t="s">
        <v>374</v>
      </c>
      <c r="BU208" s="31" t="s">
        <v>375</v>
      </c>
      <c r="BV208" s="31" t="s">
        <v>376</v>
      </c>
      <c r="BW208" s="31" t="s">
        <v>377</v>
      </c>
      <c r="BX208" s="31" t="s">
        <v>378</v>
      </c>
      <c r="BY208" s="31" t="s">
        <v>374</v>
      </c>
      <c r="BZ208" s="31" t="s">
        <v>375</v>
      </c>
      <c r="CA208" s="31" t="s">
        <v>376</v>
      </c>
      <c r="CB208" s="31" t="s">
        <v>377</v>
      </c>
      <c r="CC208" s="31" t="s">
        <v>378</v>
      </c>
      <c r="CD208" s="31" t="s">
        <v>374</v>
      </c>
      <c r="CE208" s="31" t="s">
        <v>375</v>
      </c>
      <c r="CF208" s="31" t="s">
        <v>376</v>
      </c>
      <c r="CG208" s="31" t="s">
        <v>377</v>
      </c>
      <c r="CH208" s="31" t="s">
        <v>378</v>
      </c>
      <c r="CI208" s="31" t="s">
        <v>374</v>
      </c>
      <c r="CJ208" s="31" t="s">
        <v>375</v>
      </c>
      <c r="CK208" s="31" t="s">
        <v>376</v>
      </c>
      <c r="CL208" s="31" t="s">
        <v>377</v>
      </c>
      <c r="CM208" s="31" t="s">
        <v>378</v>
      </c>
      <c r="CN208" s="31" t="s">
        <v>374</v>
      </c>
      <c r="CO208" s="31" t="s">
        <v>375</v>
      </c>
      <c r="CP208" s="31" t="s">
        <v>376</v>
      </c>
      <c r="CQ208" s="31" t="s">
        <v>377</v>
      </c>
      <c r="CR208" s="31" t="s">
        <v>378</v>
      </c>
      <c r="CS208" s="31" t="s">
        <v>374</v>
      </c>
      <c r="CT208" s="31" t="s">
        <v>375</v>
      </c>
      <c r="CU208" s="31" t="s">
        <v>376</v>
      </c>
      <c r="CV208" s="31" t="s">
        <v>377</v>
      </c>
      <c r="CW208" s="31" t="s">
        <v>378</v>
      </c>
      <c r="CX208" s="31" t="s">
        <v>374</v>
      </c>
      <c r="CY208" s="31" t="s">
        <v>375</v>
      </c>
      <c r="CZ208" s="31" t="s">
        <v>376</v>
      </c>
      <c r="DA208" s="31" t="s">
        <v>377</v>
      </c>
      <c r="DB208" s="31" t="s">
        <v>378</v>
      </c>
      <c r="DC208" s="31" t="s">
        <v>374</v>
      </c>
      <c r="DD208" s="31" t="s">
        <v>375</v>
      </c>
      <c r="DE208" s="31" t="s">
        <v>376</v>
      </c>
      <c r="DF208" s="31" t="s">
        <v>377</v>
      </c>
      <c r="DG208" s="31" t="s">
        <v>378</v>
      </c>
      <c r="DH208" s="140" t="s">
        <v>374</v>
      </c>
      <c r="DI208" s="140" t="s">
        <v>375</v>
      </c>
      <c r="DJ208" s="140" t="s">
        <v>376</v>
      </c>
      <c r="DK208" s="140" t="s">
        <v>377</v>
      </c>
      <c r="DL208" s="31" t="s">
        <v>378</v>
      </c>
      <c r="DM208" s="31" t="s">
        <v>374</v>
      </c>
      <c r="DN208" s="31" t="s">
        <v>375</v>
      </c>
      <c r="DO208" s="31" t="s">
        <v>376</v>
      </c>
      <c r="DP208" s="31" t="s">
        <v>377</v>
      </c>
      <c r="DQ208" s="31" t="s">
        <v>378</v>
      </c>
      <c r="DR208" s="31" t="s">
        <v>374</v>
      </c>
      <c r="DS208" s="31" t="s">
        <v>375</v>
      </c>
      <c r="DT208" s="31" t="s">
        <v>376</v>
      </c>
      <c r="DU208" s="31" t="s">
        <v>377</v>
      </c>
      <c r="DV208" s="31" t="s">
        <v>378</v>
      </c>
      <c r="DW208" s="31" t="s">
        <v>374</v>
      </c>
      <c r="DX208" s="31" t="s">
        <v>375</v>
      </c>
      <c r="DY208" s="31" t="s">
        <v>376</v>
      </c>
      <c r="DZ208" s="31" t="s">
        <v>377</v>
      </c>
      <c r="EA208" s="31" t="s">
        <v>378</v>
      </c>
      <c r="EB208" s="31" t="s">
        <v>374</v>
      </c>
      <c r="EC208" s="31" t="s">
        <v>375</v>
      </c>
      <c r="ED208" s="31" t="s">
        <v>376</v>
      </c>
      <c r="EE208" s="31" t="s">
        <v>377</v>
      </c>
      <c r="EF208" s="31" t="s">
        <v>378</v>
      </c>
      <c r="EG208" s="31" t="s">
        <v>374</v>
      </c>
      <c r="EH208" s="31" t="s">
        <v>375</v>
      </c>
      <c r="EI208" s="31" t="s">
        <v>376</v>
      </c>
      <c r="EJ208" s="31" t="s">
        <v>377</v>
      </c>
      <c r="EK208" s="31" t="s">
        <v>378</v>
      </c>
      <c r="EL208" s="31" t="s">
        <v>374</v>
      </c>
      <c r="EM208" s="31" t="s">
        <v>375</v>
      </c>
      <c r="EN208" s="31" t="s">
        <v>376</v>
      </c>
      <c r="EO208" s="31" t="s">
        <v>377</v>
      </c>
      <c r="EP208" s="31" t="s">
        <v>378</v>
      </c>
      <c r="EQ208" s="31" t="s">
        <v>374</v>
      </c>
      <c r="ER208" s="31" t="s">
        <v>375</v>
      </c>
      <c r="ES208" s="31" t="s">
        <v>376</v>
      </c>
      <c r="ET208" s="31" t="s">
        <v>377</v>
      </c>
      <c r="EU208" s="31" t="s">
        <v>378</v>
      </c>
      <c r="EV208" s="31" t="s">
        <v>374</v>
      </c>
      <c r="EW208" s="31" t="s">
        <v>375</v>
      </c>
      <c r="EX208" s="31" t="s">
        <v>376</v>
      </c>
      <c r="EY208" s="31" t="s">
        <v>377</v>
      </c>
      <c r="EZ208" s="31" t="s">
        <v>378</v>
      </c>
      <c r="FA208" s="31" t="s">
        <v>374</v>
      </c>
      <c r="FB208" s="31" t="s">
        <v>375</v>
      </c>
      <c r="FC208" s="31" t="s">
        <v>376</v>
      </c>
      <c r="FD208" s="31" t="s">
        <v>377</v>
      </c>
      <c r="FE208" s="31" t="s">
        <v>378</v>
      </c>
      <c r="FF208" s="31" t="s">
        <v>374</v>
      </c>
      <c r="FG208" s="31" t="s">
        <v>375</v>
      </c>
      <c r="FH208" s="31" t="s">
        <v>376</v>
      </c>
      <c r="FI208" s="31" t="s">
        <v>377</v>
      </c>
      <c r="FJ208" s="31" t="s">
        <v>378</v>
      </c>
      <c r="FK208" s="31" t="s">
        <v>374</v>
      </c>
      <c r="FL208" s="31" t="s">
        <v>375</v>
      </c>
      <c r="FM208" s="31" t="s">
        <v>376</v>
      </c>
      <c r="FN208" s="31" t="s">
        <v>377</v>
      </c>
      <c r="FO208" s="31" t="s">
        <v>378</v>
      </c>
      <c r="FP208" s="31" t="s">
        <v>374</v>
      </c>
      <c r="FQ208" s="31" t="s">
        <v>375</v>
      </c>
      <c r="FR208" s="31" t="s">
        <v>376</v>
      </c>
      <c r="FS208" s="31" t="s">
        <v>377</v>
      </c>
      <c r="FT208" s="31" t="s">
        <v>378</v>
      </c>
      <c r="FU208" s="31" t="s">
        <v>374</v>
      </c>
      <c r="FV208" s="31" t="s">
        <v>375</v>
      </c>
      <c r="FW208" s="31" t="s">
        <v>376</v>
      </c>
      <c r="FX208" s="31" t="s">
        <v>377</v>
      </c>
      <c r="FY208" s="31" t="s">
        <v>378</v>
      </c>
    </row>
    <row r="209" customFormat="false" ht="16.4" hidden="false" customHeight="false" outlineLevel="0" collapsed="false">
      <c r="A209" s="164" t="s">
        <v>379</v>
      </c>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4"/>
      <c r="AQ209" s="144"/>
      <c r="AR209" s="144"/>
      <c r="AS209" s="144"/>
      <c r="AT209" s="144"/>
      <c r="AU209" s="144"/>
      <c r="AV209" s="144"/>
      <c r="AW209" s="144"/>
      <c r="AX209" s="144"/>
      <c r="AY209" s="144"/>
      <c r="AZ209" s="144"/>
      <c r="BA209" s="144"/>
      <c r="BB209" s="144"/>
      <c r="BC209" s="144"/>
      <c r="BD209" s="144"/>
      <c r="BE209" s="144"/>
      <c r="BF209" s="144"/>
      <c r="BG209" s="144"/>
      <c r="BH209" s="144"/>
      <c r="BI209" s="144"/>
      <c r="BJ209" s="144"/>
      <c r="BK209" s="144"/>
      <c r="BL209" s="144"/>
      <c r="BM209" s="144"/>
      <c r="BN209" s="144"/>
      <c r="BO209" s="144"/>
      <c r="BP209" s="144"/>
      <c r="BQ209" s="144"/>
      <c r="BR209" s="144"/>
      <c r="BS209" s="144"/>
      <c r="BT209" s="144"/>
      <c r="BU209" s="144"/>
      <c r="BV209" s="144"/>
      <c r="BW209" s="144"/>
      <c r="BX209" s="144"/>
      <c r="BY209" s="144"/>
      <c r="BZ209" s="144"/>
      <c r="CA209" s="144"/>
      <c r="CB209" s="144"/>
      <c r="CC209" s="144"/>
      <c r="CD209" s="144"/>
      <c r="CE209" s="144"/>
      <c r="CF209" s="144"/>
      <c r="CG209" s="144"/>
      <c r="CH209" s="144"/>
      <c r="CI209" s="144"/>
      <c r="CJ209" s="144"/>
      <c r="CK209" s="144"/>
      <c r="CL209" s="144"/>
      <c r="CM209" s="144"/>
      <c r="CN209" s="144"/>
      <c r="CO209" s="144"/>
      <c r="CP209" s="144"/>
      <c r="CQ209" s="144"/>
      <c r="CR209" s="144"/>
      <c r="CS209" s="144"/>
      <c r="CT209" s="144"/>
      <c r="CU209" s="144"/>
      <c r="CV209" s="144"/>
      <c r="CW209" s="144"/>
      <c r="CX209" s="144"/>
      <c r="CY209" s="144"/>
      <c r="CZ209" s="144"/>
      <c r="DA209" s="144"/>
      <c r="DB209" s="144"/>
      <c r="DC209" s="144"/>
      <c r="DD209" s="144"/>
      <c r="DE209" s="144"/>
      <c r="DF209" s="144"/>
      <c r="DG209" s="144"/>
      <c r="DH209" s="144"/>
      <c r="DI209" s="144"/>
      <c r="DJ209" s="144"/>
      <c r="DK209" s="144"/>
      <c r="DL209" s="144"/>
      <c r="DM209" s="144"/>
      <c r="DN209" s="144"/>
      <c r="DO209" s="144"/>
      <c r="DP209" s="144"/>
      <c r="DQ209" s="144"/>
      <c r="DR209" s="144"/>
      <c r="DS209" s="144"/>
      <c r="DT209" s="144"/>
      <c r="DU209" s="144"/>
      <c r="DV209" s="144"/>
      <c r="DW209" s="144"/>
      <c r="DX209" s="144"/>
      <c r="DY209" s="144"/>
      <c r="DZ209" s="144"/>
      <c r="EA209" s="144"/>
      <c r="EB209" s="144"/>
      <c r="EC209" s="144"/>
      <c r="ED209" s="144"/>
      <c r="EE209" s="144"/>
      <c r="EF209" s="144"/>
      <c r="EG209" s="144"/>
      <c r="EH209" s="144"/>
      <c r="EI209" s="144"/>
      <c r="EJ209" s="144"/>
      <c r="EK209" s="144"/>
      <c r="EL209" s="144"/>
      <c r="EM209" s="144"/>
      <c r="EN209" s="144"/>
      <c r="EO209" s="144"/>
      <c r="EP209" s="144"/>
      <c r="EQ209" s="144"/>
      <c r="ER209" s="144"/>
      <c r="ES209" s="144"/>
      <c r="ET209" s="144"/>
      <c r="EU209" s="144"/>
      <c r="EV209" s="144"/>
      <c r="EW209" s="144"/>
      <c r="EX209" s="144"/>
      <c r="EY209" s="144"/>
      <c r="EZ209" s="144"/>
      <c r="FA209" s="144"/>
      <c r="FB209" s="144"/>
      <c r="FC209" s="144"/>
      <c r="FD209" s="144"/>
      <c r="FE209" s="144"/>
      <c r="FF209" s="144"/>
      <c r="FG209" s="144"/>
      <c r="FH209" s="144"/>
      <c r="FI209" s="144"/>
      <c r="FJ209" s="144"/>
      <c r="FK209" s="144"/>
      <c r="FL209" s="144"/>
      <c r="FM209" s="144"/>
      <c r="FN209" s="144"/>
      <c r="FO209" s="144"/>
      <c r="FP209" s="144"/>
      <c r="FQ209" s="144"/>
      <c r="FR209" s="144"/>
      <c r="FS209" s="144"/>
      <c r="FT209" s="144"/>
      <c r="FU209" s="144"/>
      <c r="FV209" s="144"/>
      <c r="FW209" s="144"/>
      <c r="FX209" s="144"/>
      <c r="FY209" s="144"/>
    </row>
    <row r="210" customFormat="false" ht="16.4" hidden="false" customHeight="false" outlineLevel="0" collapsed="false">
      <c r="A210" s="168" t="s">
        <v>380</v>
      </c>
      <c r="B210" s="30" t="n">
        <v>0</v>
      </c>
      <c r="C210" s="30" t="n">
        <v>0</v>
      </c>
      <c r="D210" s="30" t="n">
        <v>0</v>
      </c>
      <c r="E210" s="30" t="n">
        <v>0</v>
      </c>
      <c r="F210" s="30" t="n">
        <v>0</v>
      </c>
      <c r="G210" s="30" t="n">
        <v>0</v>
      </c>
      <c r="H210" s="30" t="n">
        <v>0</v>
      </c>
      <c r="I210" s="30" t="n">
        <v>0</v>
      </c>
      <c r="J210" s="30" t="n">
        <v>0</v>
      </c>
      <c r="K210" s="30" t="n">
        <v>0</v>
      </c>
      <c r="L210" s="30" t="n">
        <v>0</v>
      </c>
      <c r="M210" s="30" t="n">
        <v>0</v>
      </c>
      <c r="N210" s="30" t="n">
        <v>0</v>
      </c>
      <c r="O210" s="30" t="n">
        <v>0</v>
      </c>
      <c r="P210" s="30" t="n">
        <v>0</v>
      </c>
      <c r="Q210" s="30" t="n">
        <v>0</v>
      </c>
      <c r="R210" s="30" t="n">
        <v>0</v>
      </c>
      <c r="S210" s="30" t="n">
        <v>0</v>
      </c>
      <c r="T210" s="30" t="n">
        <v>0</v>
      </c>
      <c r="U210" s="30" t="n">
        <v>0</v>
      </c>
      <c r="V210" s="30" t="n">
        <v>0</v>
      </c>
      <c r="W210" s="30" t="n">
        <v>0</v>
      </c>
      <c r="X210" s="30" t="n">
        <v>0</v>
      </c>
      <c r="Y210" s="30" t="n">
        <v>0</v>
      </c>
      <c r="Z210" s="30" t="n">
        <v>0</v>
      </c>
      <c r="AA210" s="30" t="n">
        <v>0</v>
      </c>
      <c r="AB210" s="30" t="n">
        <v>0</v>
      </c>
      <c r="AC210" s="30" t="n">
        <v>0</v>
      </c>
      <c r="AD210" s="30" t="n">
        <v>0</v>
      </c>
      <c r="AE210" s="30" t="n">
        <v>0</v>
      </c>
      <c r="AF210" s="30" t="n">
        <v>0</v>
      </c>
      <c r="AG210" s="30" t="n">
        <v>0</v>
      </c>
      <c r="AH210" s="30" t="n">
        <v>0</v>
      </c>
      <c r="AI210" s="30" t="n">
        <v>0</v>
      </c>
      <c r="AJ210" s="30" t="n">
        <v>0</v>
      </c>
      <c r="AK210" s="30" t="n">
        <v>0</v>
      </c>
      <c r="AL210" s="30" t="n">
        <v>0</v>
      </c>
      <c r="AM210" s="30" t="n">
        <v>0</v>
      </c>
      <c r="AN210" s="30" t="n">
        <v>0</v>
      </c>
      <c r="AO210" s="30" t="n">
        <v>0</v>
      </c>
      <c r="AP210" s="30" t="n">
        <v>0</v>
      </c>
      <c r="AQ210" s="30" t="n">
        <v>0</v>
      </c>
      <c r="AR210" s="30" t="n">
        <v>0</v>
      </c>
      <c r="AS210" s="30" t="n">
        <v>0</v>
      </c>
      <c r="AT210" s="30" t="n">
        <v>0</v>
      </c>
      <c r="AU210" s="30" t="n">
        <v>0</v>
      </c>
      <c r="AV210" s="30" t="n">
        <v>0</v>
      </c>
      <c r="AW210" s="30" t="n">
        <v>0</v>
      </c>
      <c r="AX210" s="30" t="n">
        <v>0</v>
      </c>
      <c r="AY210" s="30" t="n">
        <v>0</v>
      </c>
      <c r="AZ210" s="30" t="n">
        <v>0</v>
      </c>
      <c r="BA210" s="30" t="n">
        <v>0</v>
      </c>
      <c r="BB210" s="30" t="n">
        <v>0</v>
      </c>
      <c r="BC210" s="30" t="n">
        <v>0</v>
      </c>
      <c r="BD210" s="30" t="n">
        <v>0</v>
      </c>
      <c r="BE210" s="30" t="n">
        <v>0</v>
      </c>
      <c r="BF210" s="30" t="n">
        <v>0</v>
      </c>
      <c r="BG210" s="30" t="n">
        <v>0</v>
      </c>
      <c r="BH210" s="30" t="n">
        <v>0</v>
      </c>
      <c r="BI210" s="30" t="n">
        <v>0</v>
      </c>
      <c r="BJ210" s="30" t="n">
        <v>0</v>
      </c>
      <c r="BK210" s="30" t="n">
        <v>0</v>
      </c>
      <c r="BL210" s="30" t="n">
        <v>0</v>
      </c>
      <c r="BM210" s="30" t="n">
        <v>0</v>
      </c>
      <c r="BN210" s="30" t="n">
        <v>0</v>
      </c>
      <c r="BO210" s="30" t="n">
        <v>0</v>
      </c>
      <c r="BP210" s="30" t="n">
        <v>0</v>
      </c>
      <c r="BQ210" s="30" t="n">
        <v>0</v>
      </c>
      <c r="BR210" s="30" t="n">
        <v>0</v>
      </c>
      <c r="BS210" s="30" t="n">
        <v>0</v>
      </c>
      <c r="BT210" s="30" t="n">
        <v>0</v>
      </c>
      <c r="BU210" s="30" t="n">
        <v>0</v>
      </c>
      <c r="BV210" s="30" t="n">
        <v>0</v>
      </c>
      <c r="BW210" s="30" t="n">
        <v>0</v>
      </c>
      <c r="BX210" s="30" t="n">
        <v>0</v>
      </c>
      <c r="BY210" s="30" t="n">
        <v>0</v>
      </c>
      <c r="BZ210" s="30" t="n">
        <v>0</v>
      </c>
      <c r="CA210" s="30" t="n">
        <v>0</v>
      </c>
      <c r="CB210" s="30" t="n">
        <v>0</v>
      </c>
      <c r="CC210" s="30" t="n">
        <v>0</v>
      </c>
      <c r="CD210" s="30" t="n">
        <v>0</v>
      </c>
      <c r="CE210" s="30" t="n">
        <v>0</v>
      </c>
      <c r="CF210" s="30" t="n">
        <v>0</v>
      </c>
      <c r="CG210" s="30" t="n">
        <v>0</v>
      </c>
      <c r="CH210" s="30" t="n">
        <v>0</v>
      </c>
      <c r="CI210" s="30" t="n">
        <v>0</v>
      </c>
      <c r="CJ210" s="30" t="n">
        <v>0</v>
      </c>
      <c r="CK210" s="30" t="n">
        <v>0</v>
      </c>
      <c r="CL210" s="30" t="n">
        <v>0</v>
      </c>
      <c r="CM210" s="30" t="n">
        <v>0</v>
      </c>
      <c r="CN210" s="30" t="n">
        <v>0</v>
      </c>
      <c r="CO210" s="30" t="n">
        <v>0</v>
      </c>
      <c r="CP210" s="30" t="n">
        <v>0</v>
      </c>
      <c r="CQ210" s="30" t="n">
        <v>0</v>
      </c>
      <c r="CR210" s="30" t="n">
        <v>0</v>
      </c>
      <c r="CS210" s="30" t="n">
        <v>0</v>
      </c>
      <c r="CT210" s="30" t="n">
        <v>0</v>
      </c>
      <c r="CU210" s="30" t="n">
        <v>0</v>
      </c>
      <c r="CV210" s="30" t="n">
        <v>0</v>
      </c>
      <c r="CW210" s="30" t="n">
        <v>0</v>
      </c>
      <c r="CX210" s="30" t="n">
        <v>0</v>
      </c>
      <c r="CY210" s="30" t="n">
        <v>0</v>
      </c>
      <c r="CZ210" s="30" t="n">
        <v>0</v>
      </c>
      <c r="DA210" s="30" t="n">
        <v>0</v>
      </c>
      <c r="DB210" s="30" t="n">
        <v>0</v>
      </c>
      <c r="DC210" s="30" t="n">
        <v>0</v>
      </c>
      <c r="DD210" s="30" t="n">
        <v>0</v>
      </c>
      <c r="DE210" s="30" t="n">
        <v>0</v>
      </c>
      <c r="DF210" s="30" t="n">
        <v>0</v>
      </c>
      <c r="DG210" s="30" t="n">
        <v>0</v>
      </c>
      <c r="DH210" s="30" t="n">
        <v>0</v>
      </c>
      <c r="DI210" s="30" t="n">
        <v>0</v>
      </c>
      <c r="DJ210" s="30" t="n">
        <v>0</v>
      </c>
      <c r="DK210" s="30" t="n">
        <v>0</v>
      </c>
      <c r="DL210" s="30" t="n">
        <v>0</v>
      </c>
      <c r="DM210" s="30" t="n">
        <v>0</v>
      </c>
      <c r="DN210" s="30" t="n">
        <v>0</v>
      </c>
      <c r="DO210" s="30" t="n">
        <v>0</v>
      </c>
      <c r="DP210" s="30" t="n">
        <v>0</v>
      </c>
      <c r="DQ210" s="30" t="n">
        <v>0</v>
      </c>
      <c r="DR210" s="30" t="n">
        <v>0</v>
      </c>
      <c r="DS210" s="30" t="n">
        <v>0</v>
      </c>
      <c r="DT210" s="30" t="n">
        <v>0</v>
      </c>
      <c r="DU210" s="30" t="n">
        <v>0</v>
      </c>
      <c r="DV210" s="30" t="n">
        <v>0</v>
      </c>
      <c r="DW210" s="30" t="n">
        <v>0</v>
      </c>
      <c r="DX210" s="30" t="n">
        <v>0</v>
      </c>
      <c r="DY210" s="30" t="n">
        <v>0</v>
      </c>
      <c r="DZ210" s="30" t="n">
        <v>0</v>
      </c>
      <c r="EA210" s="30" t="n">
        <v>0</v>
      </c>
      <c r="EB210" s="30" t="n">
        <v>0</v>
      </c>
      <c r="EC210" s="30" t="n">
        <v>0</v>
      </c>
      <c r="ED210" s="30" t="n">
        <v>0</v>
      </c>
      <c r="EE210" s="30" t="n">
        <v>0</v>
      </c>
      <c r="EF210" s="30" t="n">
        <v>0</v>
      </c>
      <c r="EG210" s="30" t="n">
        <v>0</v>
      </c>
      <c r="EH210" s="30" t="n">
        <v>0</v>
      </c>
      <c r="EI210" s="30" t="n">
        <v>0</v>
      </c>
      <c r="EJ210" s="30" t="n">
        <v>0</v>
      </c>
      <c r="EK210" s="30" t="n">
        <v>0</v>
      </c>
      <c r="EL210" s="30" t="n">
        <v>0</v>
      </c>
      <c r="EM210" s="30" t="n">
        <v>0</v>
      </c>
      <c r="EN210" s="30" t="n">
        <v>0</v>
      </c>
      <c r="EO210" s="30" t="n">
        <v>0</v>
      </c>
      <c r="EP210" s="30" t="n">
        <v>0</v>
      </c>
      <c r="EQ210" s="30" t="n">
        <v>0</v>
      </c>
      <c r="ER210" s="30" t="n">
        <v>0</v>
      </c>
      <c r="ES210" s="30" t="n">
        <v>0</v>
      </c>
      <c r="ET210" s="30" t="n">
        <v>0</v>
      </c>
      <c r="EU210" s="30" t="n">
        <v>0</v>
      </c>
      <c r="EV210" s="30" t="n">
        <v>0</v>
      </c>
      <c r="EW210" s="30" t="n">
        <v>0</v>
      </c>
      <c r="EX210" s="30" t="n">
        <v>0</v>
      </c>
      <c r="EY210" s="30" t="n">
        <v>0</v>
      </c>
      <c r="EZ210" s="30" t="n">
        <v>0</v>
      </c>
      <c r="FA210" s="30" t="n">
        <v>0</v>
      </c>
      <c r="FB210" s="30" t="n">
        <v>0</v>
      </c>
      <c r="FC210" s="30" t="n">
        <v>0</v>
      </c>
      <c r="FD210" s="30" t="n">
        <v>0</v>
      </c>
      <c r="FE210" s="30" t="n">
        <v>0</v>
      </c>
      <c r="FF210" s="30" t="n">
        <v>0</v>
      </c>
      <c r="FG210" s="30" t="n">
        <v>0</v>
      </c>
      <c r="FH210" s="30" t="n">
        <v>0</v>
      </c>
      <c r="FI210" s="30" t="n">
        <v>0</v>
      </c>
      <c r="FJ210" s="30" t="n">
        <v>0</v>
      </c>
      <c r="FK210" s="30" t="n">
        <v>0</v>
      </c>
      <c r="FL210" s="30" t="n">
        <v>0</v>
      </c>
      <c r="FM210" s="30" t="n">
        <v>0</v>
      </c>
      <c r="FN210" s="30" t="n">
        <v>0</v>
      </c>
      <c r="FO210" s="30" t="n">
        <v>0</v>
      </c>
      <c r="FP210" s="30" t="n">
        <v>0</v>
      </c>
      <c r="FQ210" s="30" t="n">
        <v>0</v>
      </c>
      <c r="FR210" s="30" t="n">
        <v>0</v>
      </c>
      <c r="FS210" s="30" t="n">
        <v>0</v>
      </c>
      <c r="FT210" s="30" t="n">
        <v>0</v>
      </c>
      <c r="FU210" s="30" t="n">
        <v>0</v>
      </c>
      <c r="FV210" s="30" t="n">
        <v>0</v>
      </c>
      <c r="FW210" s="30" t="n">
        <v>0</v>
      </c>
      <c r="FX210" s="30" t="n">
        <v>0</v>
      </c>
      <c r="FY210" s="30" t="n">
        <v>0</v>
      </c>
    </row>
    <row r="211" customFormat="false" ht="16.4" hidden="false" customHeight="false" outlineLevel="0" collapsed="false">
      <c r="A211" s="168" t="s">
        <v>381</v>
      </c>
      <c r="B211" s="30" t="n">
        <v>0</v>
      </c>
      <c r="C211" s="30" t="n">
        <v>0</v>
      </c>
      <c r="D211" s="30" t="n">
        <v>0</v>
      </c>
      <c r="E211" s="30" t="n">
        <v>0</v>
      </c>
      <c r="F211" s="30" t="n">
        <v>0</v>
      </c>
      <c r="G211" s="30" t="n">
        <v>0</v>
      </c>
      <c r="H211" s="30" t="n">
        <v>0</v>
      </c>
      <c r="I211" s="30" t="n">
        <v>0</v>
      </c>
      <c r="J211" s="30" t="n">
        <v>0</v>
      </c>
      <c r="K211" s="30" t="n">
        <v>0</v>
      </c>
      <c r="L211" s="30" t="n">
        <v>0</v>
      </c>
      <c r="M211" s="30" t="n">
        <v>0</v>
      </c>
      <c r="N211" s="30" t="n">
        <v>0</v>
      </c>
      <c r="O211" s="30" t="n">
        <v>0</v>
      </c>
      <c r="P211" s="30" t="n">
        <v>0</v>
      </c>
      <c r="Q211" s="30" t="n">
        <v>0</v>
      </c>
      <c r="R211" s="30" t="n">
        <v>0</v>
      </c>
      <c r="S211" s="30" t="n">
        <v>0</v>
      </c>
      <c r="T211" s="30" t="n">
        <v>0</v>
      </c>
      <c r="U211" s="30" t="n">
        <v>0</v>
      </c>
      <c r="V211" s="30" t="n">
        <v>0</v>
      </c>
      <c r="W211" s="30" t="n">
        <v>0</v>
      </c>
      <c r="X211" s="30" t="n">
        <v>0</v>
      </c>
      <c r="Y211" s="30" t="n">
        <v>0</v>
      </c>
      <c r="Z211" s="30" t="n">
        <v>0</v>
      </c>
      <c r="AA211" s="30" t="n">
        <v>0</v>
      </c>
      <c r="AB211" s="30" t="n">
        <v>0</v>
      </c>
      <c r="AC211" s="30" t="n">
        <v>0</v>
      </c>
      <c r="AD211" s="30" t="n">
        <v>0</v>
      </c>
      <c r="AE211" s="30" t="n">
        <v>0</v>
      </c>
      <c r="AF211" s="30" t="n">
        <v>0</v>
      </c>
      <c r="AG211" s="30" t="n">
        <v>0</v>
      </c>
      <c r="AH211" s="30" t="n">
        <v>0</v>
      </c>
      <c r="AI211" s="30" t="n">
        <v>0</v>
      </c>
      <c r="AJ211" s="30" t="n">
        <v>0</v>
      </c>
      <c r="AK211" s="30" t="n">
        <v>0</v>
      </c>
      <c r="AL211" s="30" t="n">
        <v>0</v>
      </c>
      <c r="AM211" s="30" t="n">
        <v>0</v>
      </c>
      <c r="AN211" s="30" t="n">
        <v>0</v>
      </c>
      <c r="AO211" s="30" t="n">
        <v>0</v>
      </c>
      <c r="AP211" s="30" t="n">
        <v>0</v>
      </c>
      <c r="AQ211" s="30" t="n">
        <v>0</v>
      </c>
      <c r="AR211" s="30" t="n">
        <v>0</v>
      </c>
      <c r="AS211" s="30" t="n">
        <v>0</v>
      </c>
      <c r="AT211" s="30" t="n">
        <v>0</v>
      </c>
      <c r="AU211" s="30" t="n">
        <v>0</v>
      </c>
      <c r="AV211" s="30" t="n">
        <v>0</v>
      </c>
      <c r="AW211" s="30" t="n">
        <v>0</v>
      </c>
      <c r="AX211" s="30" t="n">
        <v>0</v>
      </c>
      <c r="AY211" s="30" t="n">
        <v>0</v>
      </c>
      <c r="AZ211" s="30" t="n">
        <v>0</v>
      </c>
      <c r="BA211" s="30" t="n">
        <v>0</v>
      </c>
      <c r="BB211" s="30" t="n">
        <v>0</v>
      </c>
      <c r="BC211" s="30" t="n">
        <v>0</v>
      </c>
      <c r="BD211" s="30" t="n">
        <v>0</v>
      </c>
      <c r="BE211" s="30" t="n">
        <v>0</v>
      </c>
      <c r="BF211" s="30" t="n">
        <v>0</v>
      </c>
      <c r="BG211" s="30" t="n">
        <v>0</v>
      </c>
      <c r="BH211" s="30" t="n">
        <v>0</v>
      </c>
      <c r="BI211" s="30" t="n">
        <v>0</v>
      </c>
      <c r="BJ211" s="30" t="n">
        <v>0</v>
      </c>
      <c r="BK211" s="30" t="n">
        <v>0</v>
      </c>
      <c r="BL211" s="30" t="n">
        <v>0</v>
      </c>
      <c r="BM211" s="30" t="n">
        <v>0</v>
      </c>
      <c r="BN211" s="30" t="n">
        <v>0</v>
      </c>
      <c r="BO211" s="30" t="n">
        <v>0</v>
      </c>
      <c r="BP211" s="30" t="n">
        <v>0</v>
      </c>
      <c r="BQ211" s="30" t="n">
        <v>0</v>
      </c>
      <c r="BR211" s="30" t="n">
        <v>0</v>
      </c>
      <c r="BS211" s="30" t="n">
        <v>0</v>
      </c>
      <c r="BT211" s="30" t="n">
        <v>0</v>
      </c>
      <c r="BU211" s="30" t="n">
        <v>0</v>
      </c>
      <c r="BV211" s="30" t="n">
        <v>0</v>
      </c>
      <c r="BW211" s="30" t="n">
        <v>0</v>
      </c>
      <c r="BX211" s="30" t="n">
        <v>0</v>
      </c>
      <c r="BY211" s="30" t="n">
        <v>0</v>
      </c>
      <c r="BZ211" s="30" t="n">
        <v>0</v>
      </c>
      <c r="CA211" s="30" t="n">
        <v>0</v>
      </c>
      <c r="CB211" s="30" t="n">
        <v>0</v>
      </c>
      <c r="CC211" s="30" t="n">
        <v>0</v>
      </c>
      <c r="CD211" s="30" t="n">
        <v>0</v>
      </c>
      <c r="CE211" s="30" t="n">
        <v>0</v>
      </c>
      <c r="CF211" s="30" t="n">
        <v>0</v>
      </c>
      <c r="CG211" s="30" t="n">
        <v>0</v>
      </c>
      <c r="CH211" s="30" t="n">
        <v>0</v>
      </c>
      <c r="CI211" s="30" t="n">
        <v>0</v>
      </c>
      <c r="CJ211" s="30" t="n">
        <v>0</v>
      </c>
      <c r="CK211" s="30" t="n">
        <v>0</v>
      </c>
      <c r="CL211" s="30" t="n">
        <v>0</v>
      </c>
      <c r="CM211" s="30" t="n">
        <v>0</v>
      </c>
      <c r="CN211" s="30" t="n">
        <v>0</v>
      </c>
      <c r="CO211" s="30" t="n">
        <v>0</v>
      </c>
      <c r="CP211" s="30" t="n">
        <v>0</v>
      </c>
      <c r="CQ211" s="30" t="n">
        <v>0</v>
      </c>
      <c r="CR211" s="30" t="n">
        <v>0</v>
      </c>
      <c r="CS211" s="30" t="n">
        <v>0</v>
      </c>
      <c r="CT211" s="30" t="n">
        <v>0</v>
      </c>
      <c r="CU211" s="30" t="n">
        <v>0</v>
      </c>
      <c r="CV211" s="30" t="n">
        <v>0</v>
      </c>
      <c r="CW211" s="30" t="n">
        <v>0</v>
      </c>
      <c r="CX211" s="30" t="n">
        <v>0</v>
      </c>
      <c r="CY211" s="30" t="n">
        <v>0</v>
      </c>
      <c r="CZ211" s="30" t="n">
        <v>0</v>
      </c>
      <c r="DA211" s="30" t="n">
        <v>0</v>
      </c>
      <c r="DB211" s="30" t="n">
        <v>0</v>
      </c>
      <c r="DC211" s="30" t="n">
        <v>0</v>
      </c>
      <c r="DD211" s="30" t="n">
        <v>0</v>
      </c>
      <c r="DE211" s="30" t="n">
        <v>0</v>
      </c>
      <c r="DF211" s="30" t="n">
        <v>0</v>
      </c>
      <c r="DG211" s="30" t="n">
        <v>0</v>
      </c>
      <c r="DH211" s="30" t="n">
        <v>0</v>
      </c>
      <c r="DI211" s="30" t="n">
        <v>0</v>
      </c>
      <c r="DJ211" s="30" t="n">
        <v>0</v>
      </c>
      <c r="DK211" s="30" t="n">
        <v>0</v>
      </c>
      <c r="DL211" s="30" t="n">
        <v>0</v>
      </c>
      <c r="DM211" s="30" t="n">
        <v>0</v>
      </c>
      <c r="DN211" s="30" t="n">
        <v>0</v>
      </c>
      <c r="DO211" s="30" t="n">
        <v>0</v>
      </c>
      <c r="DP211" s="30" t="n">
        <v>0</v>
      </c>
      <c r="DQ211" s="30" t="n">
        <v>0</v>
      </c>
      <c r="DR211" s="30" t="n">
        <v>0</v>
      </c>
      <c r="DS211" s="30" t="n">
        <v>0</v>
      </c>
      <c r="DT211" s="30" t="n">
        <v>0</v>
      </c>
      <c r="DU211" s="30" t="n">
        <v>0</v>
      </c>
      <c r="DV211" s="30" t="n">
        <v>0</v>
      </c>
      <c r="DW211" s="30" t="n">
        <v>0</v>
      </c>
      <c r="DX211" s="30" t="n">
        <v>0</v>
      </c>
      <c r="DY211" s="30" t="n">
        <v>0</v>
      </c>
      <c r="DZ211" s="30" t="n">
        <v>0</v>
      </c>
      <c r="EA211" s="30" t="n">
        <v>0</v>
      </c>
      <c r="EB211" s="30" t="n">
        <v>0</v>
      </c>
      <c r="EC211" s="30" t="n">
        <v>0</v>
      </c>
      <c r="ED211" s="30" t="n">
        <v>0</v>
      </c>
      <c r="EE211" s="30" t="n">
        <v>0</v>
      </c>
      <c r="EF211" s="30" t="n">
        <v>0</v>
      </c>
      <c r="EG211" s="30" t="n">
        <v>0</v>
      </c>
      <c r="EH211" s="30" t="n">
        <v>0</v>
      </c>
      <c r="EI211" s="30" t="n">
        <v>0</v>
      </c>
      <c r="EJ211" s="30" t="n">
        <v>0</v>
      </c>
      <c r="EK211" s="30" t="n">
        <v>0</v>
      </c>
      <c r="EL211" s="30" t="n">
        <v>0</v>
      </c>
      <c r="EM211" s="30" t="n">
        <v>0</v>
      </c>
      <c r="EN211" s="30" t="n">
        <v>0</v>
      </c>
      <c r="EO211" s="30" t="n">
        <v>0</v>
      </c>
      <c r="EP211" s="30" t="n">
        <v>0</v>
      </c>
      <c r="EQ211" s="30" t="n">
        <v>0</v>
      </c>
      <c r="ER211" s="30" t="n">
        <v>0</v>
      </c>
      <c r="ES211" s="30" t="n">
        <v>0</v>
      </c>
      <c r="ET211" s="30" t="n">
        <v>0</v>
      </c>
      <c r="EU211" s="30" t="n">
        <v>0</v>
      </c>
      <c r="EV211" s="30" t="n">
        <v>0</v>
      </c>
      <c r="EW211" s="30" t="n">
        <v>0</v>
      </c>
      <c r="EX211" s="30" t="n">
        <v>0</v>
      </c>
      <c r="EY211" s="30" t="n">
        <v>0</v>
      </c>
      <c r="EZ211" s="30" t="n">
        <v>0</v>
      </c>
      <c r="FA211" s="30" t="n">
        <v>0</v>
      </c>
      <c r="FB211" s="30" t="n">
        <v>0</v>
      </c>
      <c r="FC211" s="30" t="n">
        <v>0</v>
      </c>
      <c r="FD211" s="30" t="n">
        <v>0</v>
      </c>
      <c r="FE211" s="30" t="n">
        <v>0</v>
      </c>
      <c r="FF211" s="30" t="n">
        <v>0</v>
      </c>
      <c r="FG211" s="30" t="n">
        <v>0</v>
      </c>
      <c r="FH211" s="30" t="n">
        <v>0</v>
      </c>
      <c r="FI211" s="30" t="n">
        <v>0</v>
      </c>
      <c r="FJ211" s="30" t="n">
        <v>0</v>
      </c>
      <c r="FK211" s="30" t="n">
        <v>0</v>
      </c>
      <c r="FL211" s="30" t="n">
        <v>0</v>
      </c>
      <c r="FM211" s="30" t="n">
        <v>0</v>
      </c>
      <c r="FN211" s="30" t="n">
        <v>0</v>
      </c>
      <c r="FO211" s="30" t="n">
        <v>0</v>
      </c>
      <c r="FP211" s="30" t="n">
        <v>0</v>
      </c>
      <c r="FQ211" s="30" t="n">
        <v>0</v>
      </c>
      <c r="FR211" s="30" t="n">
        <v>0</v>
      </c>
      <c r="FS211" s="30" t="n">
        <v>0</v>
      </c>
      <c r="FT211" s="30" t="n">
        <v>0</v>
      </c>
      <c r="FU211" s="30" t="n">
        <v>0</v>
      </c>
      <c r="FV211" s="30" t="n">
        <v>0</v>
      </c>
      <c r="FW211" s="30" t="n">
        <v>0</v>
      </c>
      <c r="FX211" s="30" t="n">
        <v>0</v>
      </c>
      <c r="FY211" s="30" t="n">
        <v>0</v>
      </c>
    </row>
    <row r="212" customFormat="false" ht="16.4" hidden="false" customHeight="false" outlineLevel="0" collapsed="false">
      <c r="A212" s="164" t="s">
        <v>382</v>
      </c>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c r="AX212" s="144"/>
      <c r="AY212" s="144"/>
      <c r="AZ212" s="144"/>
      <c r="BA212" s="144"/>
      <c r="BB212" s="144"/>
      <c r="BC212" s="144"/>
      <c r="BD212" s="144"/>
      <c r="BE212" s="144"/>
      <c r="BF212" s="144"/>
      <c r="BG212" s="144"/>
      <c r="BH212" s="144"/>
      <c r="BI212" s="144"/>
      <c r="BJ212" s="144"/>
      <c r="BK212" s="144"/>
      <c r="BL212" s="144"/>
      <c r="BM212" s="144"/>
      <c r="BN212" s="144"/>
      <c r="BO212" s="144"/>
      <c r="BP212" s="144"/>
      <c r="BQ212" s="144"/>
      <c r="BR212" s="144"/>
      <c r="BS212" s="144"/>
      <c r="BT212" s="144"/>
      <c r="BU212" s="144"/>
      <c r="BV212" s="144"/>
      <c r="BW212" s="144"/>
      <c r="BX212" s="144"/>
      <c r="BY212" s="144"/>
      <c r="BZ212" s="144"/>
      <c r="CA212" s="144"/>
      <c r="CB212" s="144"/>
      <c r="CC212" s="144"/>
      <c r="CD212" s="144"/>
      <c r="CE212" s="144"/>
      <c r="CF212" s="144"/>
      <c r="CG212" s="144"/>
      <c r="CH212" s="144"/>
      <c r="CI212" s="144"/>
      <c r="CJ212" s="144"/>
      <c r="CK212" s="144"/>
      <c r="CL212" s="144"/>
      <c r="CM212" s="144"/>
      <c r="CN212" s="144"/>
      <c r="CO212" s="144"/>
      <c r="CP212" s="144"/>
      <c r="CQ212" s="144"/>
      <c r="CR212" s="144"/>
      <c r="CS212" s="144"/>
      <c r="CT212" s="144"/>
      <c r="CU212" s="144"/>
      <c r="CV212" s="144"/>
      <c r="CW212" s="144"/>
      <c r="CX212" s="144"/>
      <c r="CY212" s="144"/>
      <c r="CZ212" s="144"/>
      <c r="DA212" s="144"/>
      <c r="DB212" s="144"/>
      <c r="DC212" s="144"/>
      <c r="DD212" s="144"/>
      <c r="DE212" s="144"/>
      <c r="DF212" s="144"/>
      <c r="DG212" s="144"/>
      <c r="DH212" s="144"/>
      <c r="DI212" s="144"/>
      <c r="DJ212" s="144"/>
      <c r="DK212" s="144"/>
      <c r="DL212" s="144"/>
      <c r="DM212" s="144"/>
      <c r="DN212" s="144"/>
      <c r="DO212" s="144"/>
      <c r="DP212" s="144"/>
      <c r="DQ212" s="144"/>
      <c r="DR212" s="144"/>
      <c r="DS212" s="144"/>
      <c r="DT212" s="144"/>
      <c r="DU212" s="144"/>
      <c r="DV212" s="144"/>
      <c r="DW212" s="144"/>
      <c r="DX212" s="144"/>
      <c r="DY212" s="144"/>
      <c r="DZ212" s="144"/>
      <c r="EA212" s="144"/>
      <c r="EB212" s="144"/>
      <c r="EC212" s="144"/>
      <c r="ED212" s="144"/>
      <c r="EE212" s="144"/>
      <c r="EF212" s="144"/>
      <c r="EG212" s="144"/>
      <c r="EH212" s="144"/>
      <c r="EI212" s="144"/>
      <c r="EJ212" s="144"/>
      <c r="EK212" s="144"/>
      <c r="EL212" s="144"/>
      <c r="EM212" s="144"/>
      <c r="EN212" s="144"/>
      <c r="EO212" s="144"/>
      <c r="EP212" s="144"/>
      <c r="EQ212" s="144"/>
      <c r="ER212" s="144"/>
      <c r="ES212" s="144"/>
      <c r="ET212" s="144"/>
      <c r="EU212" s="144"/>
      <c r="EV212" s="144"/>
      <c r="EW212" s="144"/>
      <c r="EX212" s="144"/>
      <c r="EY212" s="144"/>
      <c r="EZ212" s="144"/>
      <c r="FA212" s="144"/>
      <c r="FB212" s="144"/>
      <c r="FC212" s="144"/>
      <c r="FD212" s="144"/>
      <c r="FE212" s="144"/>
      <c r="FF212" s="144"/>
      <c r="FG212" s="144"/>
      <c r="FH212" s="144"/>
      <c r="FI212" s="144"/>
      <c r="FJ212" s="144"/>
      <c r="FK212" s="144"/>
      <c r="FL212" s="144"/>
      <c r="FM212" s="144"/>
      <c r="FN212" s="144"/>
      <c r="FO212" s="144"/>
      <c r="FP212" s="144"/>
      <c r="FQ212" s="144"/>
      <c r="FR212" s="144"/>
      <c r="FS212" s="144"/>
      <c r="FT212" s="144"/>
      <c r="FU212" s="144"/>
      <c r="FV212" s="144"/>
      <c r="FW212" s="144"/>
      <c r="FX212" s="144"/>
      <c r="FY212" s="144"/>
    </row>
    <row r="213" customFormat="false" ht="16.4" hidden="false" customHeight="false" outlineLevel="0" collapsed="false">
      <c r="A213" s="168" t="s">
        <v>380</v>
      </c>
      <c r="B213" s="30" t="n">
        <v>0</v>
      </c>
      <c r="C213" s="30" t="n">
        <v>0</v>
      </c>
      <c r="D213" s="30" t="n">
        <v>0</v>
      </c>
      <c r="E213" s="30" t="n">
        <v>0</v>
      </c>
      <c r="F213" s="30" t="n">
        <v>0</v>
      </c>
      <c r="G213" s="30" t="n">
        <v>0</v>
      </c>
      <c r="H213" s="30" t="n">
        <v>0</v>
      </c>
      <c r="I213" s="30" t="n">
        <v>0</v>
      </c>
      <c r="J213" s="30" t="n">
        <v>0</v>
      </c>
      <c r="K213" s="30" t="n">
        <v>0</v>
      </c>
      <c r="L213" s="30" t="n">
        <v>0</v>
      </c>
      <c r="M213" s="30" t="n">
        <v>0</v>
      </c>
      <c r="N213" s="30" t="n">
        <v>0</v>
      </c>
      <c r="O213" s="30" t="n">
        <v>0</v>
      </c>
      <c r="P213" s="30" t="n">
        <v>0</v>
      </c>
      <c r="Q213" s="30" t="n">
        <v>0</v>
      </c>
      <c r="R213" s="30" t="n">
        <v>0</v>
      </c>
      <c r="S213" s="30" t="n">
        <v>0</v>
      </c>
      <c r="T213" s="30" t="n">
        <v>0</v>
      </c>
      <c r="U213" s="30" t="n">
        <v>0</v>
      </c>
      <c r="V213" s="30" t="n">
        <v>0</v>
      </c>
      <c r="W213" s="30" t="n">
        <v>0</v>
      </c>
      <c r="X213" s="30" t="n">
        <v>0</v>
      </c>
      <c r="Y213" s="30" t="n">
        <v>0</v>
      </c>
      <c r="Z213" s="30" t="n">
        <v>0</v>
      </c>
      <c r="AA213" s="30" t="n">
        <v>0</v>
      </c>
      <c r="AB213" s="30" t="n">
        <v>0</v>
      </c>
      <c r="AC213" s="30" t="n">
        <v>0</v>
      </c>
      <c r="AD213" s="30" t="n">
        <v>0</v>
      </c>
      <c r="AE213" s="30" t="n">
        <v>0</v>
      </c>
      <c r="AF213" s="30" t="n">
        <v>0</v>
      </c>
      <c r="AG213" s="30" t="n">
        <v>0</v>
      </c>
      <c r="AH213" s="30" t="n">
        <v>0</v>
      </c>
      <c r="AI213" s="30" t="n">
        <v>0</v>
      </c>
      <c r="AJ213" s="30" t="n">
        <v>0</v>
      </c>
      <c r="AK213" s="30" t="n">
        <v>0</v>
      </c>
      <c r="AL213" s="30" t="n">
        <v>0</v>
      </c>
      <c r="AM213" s="30" t="n">
        <v>0</v>
      </c>
      <c r="AN213" s="30" t="n">
        <v>0</v>
      </c>
      <c r="AO213" s="30" t="n">
        <v>0</v>
      </c>
      <c r="AP213" s="30" t="n">
        <v>0</v>
      </c>
      <c r="AQ213" s="30" t="n">
        <v>0</v>
      </c>
      <c r="AR213" s="30" t="n">
        <v>0</v>
      </c>
      <c r="AS213" s="30" t="n">
        <v>0</v>
      </c>
      <c r="AT213" s="30" t="n">
        <v>0</v>
      </c>
      <c r="AU213" s="30" t="n">
        <v>0</v>
      </c>
      <c r="AV213" s="30" t="n">
        <v>0</v>
      </c>
      <c r="AW213" s="30" t="n">
        <v>0</v>
      </c>
      <c r="AX213" s="30" t="n">
        <v>0</v>
      </c>
      <c r="AY213" s="30" t="n">
        <v>0</v>
      </c>
      <c r="AZ213" s="30" t="n">
        <v>0</v>
      </c>
      <c r="BA213" s="30" t="n">
        <v>0</v>
      </c>
      <c r="BB213" s="30" t="n">
        <v>0</v>
      </c>
      <c r="BC213" s="30" t="n">
        <v>0</v>
      </c>
      <c r="BD213" s="30" t="n">
        <v>0</v>
      </c>
      <c r="BE213" s="30" t="n">
        <v>0</v>
      </c>
      <c r="BF213" s="30" t="n">
        <v>0</v>
      </c>
      <c r="BG213" s="30" t="n">
        <v>0</v>
      </c>
      <c r="BH213" s="30" t="n">
        <v>0</v>
      </c>
      <c r="BI213" s="30" t="n">
        <v>0</v>
      </c>
      <c r="BJ213" s="30" t="n">
        <v>0</v>
      </c>
      <c r="BK213" s="30" t="n">
        <v>0</v>
      </c>
      <c r="BL213" s="30" t="n">
        <v>0</v>
      </c>
      <c r="BM213" s="30" t="n">
        <v>0</v>
      </c>
      <c r="BN213" s="30" t="n">
        <v>0</v>
      </c>
      <c r="BO213" s="30" t="n">
        <v>0</v>
      </c>
      <c r="BP213" s="30" t="n">
        <v>0</v>
      </c>
      <c r="BQ213" s="30" t="n">
        <v>0</v>
      </c>
      <c r="BR213" s="30" t="n">
        <v>0</v>
      </c>
      <c r="BS213" s="30" t="n">
        <v>0</v>
      </c>
      <c r="BT213" s="30" t="n">
        <v>0</v>
      </c>
      <c r="BU213" s="30" t="n">
        <v>0</v>
      </c>
      <c r="BV213" s="30" t="n">
        <v>0</v>
      </c>
      <c r="BW213" s="30" t="n">
        <v>0</v>
      </c>
      <c r="BX213" s="30" t="n">
        <v>0</v>
      </c>
      <c r="BY213" s="30" t="n">
        <v>0</v>
      </c>
      <c r="BZ213" s="30" t="n">
        <v>0</v>
      </c>
      <c r="CA213" s="30" t="n">
        <v>0</v>
      </c>
      <c r="CB213" s="30" t="n">
        <v>0</v>
      </c>
      <c r="CC213" s="30" t="n">
        <v>0</v>
      </c>
      <c r="CD213" s="30" t="n">
        <v>0</v>
      </c>
      <c r="CE213" s="30" t="n">
        <v>0</v>
      </c>
      <c r="CF213" s="30" t="n">
        <v>0</v>
      </c>
      <c r="CG213" s="30" t="n">
        <v>0</v>
      </c>
      <c r="CH213" s="30" t="n">
        <v>0</v>
      </c>
      <c r="CI213" s="30" t="n">
        <v>0</v>
      </c>
      <c r="CJ213" s="30" t="n">
        <v>0</v>
      </c>
      <c r="CK213" s="30" t="n">
        <v>0</v>
      </c>
      <c r="CL213" s="30" t="n">
        <v>0</v>
      </c>
      <c r="CM213" s="30" t="n">
        <v>0</v>
      </c>
      <c r="CN213" s="30" t="n">
        <v>0</v>
      </c>
      <c r="CO213" s="30" t="n">
        <v>0</v>
      </c>
      <c r="CP213" s="30" t="n">
        <v>0</v>
      </c>
      <c r="CQ213" s="30" t="n">
        <v>0</v>
      </c>
      <c r="CR213" s="30" t="n">
        <v>0</v>
      </c>
      <c r="CS213" s="30" t="n">
        <v>0</v>
      </c>
      <c r="CT213" s="30" t="n">
        <v>0</v>
      </c>
      <c r="CU213" s="30" t="n">
        <v>0</v>
      </c>
      <c r="CV213" s="30" t="n">
        <v>0</v>
      </c>
      <c r="CW213" s="30" t="n">
        <v>0</v>
      </c>
      <c r="CX213" s="30" t="n">
        <v>0</v>
      </c>
      <c r="CY213" s="30" t="n">
        <v>0</v>
      </c>
      <c r="CZ213" s="30" t="n">
        <v>0</v>
      </c>
      <c r="DA213" s="30" t="n">
        <v>0</v>
      </c>
      <c r="DB213" s="30" t="n">
        <v>0</v>
      </c>
      <c r="DC213" s="30" t="n">
        <v>0</v>
      </c>
      <c r="DD213" s="30" t="n">
        <v>0</v>
      </c>
      <c r="DE213" s="30" t="n">
        <v>0</v>
      </c>
      <c r="DF213" s="30" t="n">
        <v>0</v>
      </c>
      <c r="DG213" s="30" t="n">
        <v>0</v>
      </c>
      <c r="DH213" s="30" t="n">
        <v>0</v>
      </c>
      <c r="DI213" s="30" t="n">
        <v>0</v>
      </c>
      <c r="DJ213" s="30" t="n">
        <v>0</v>
      </c>
      <c r="DK213" s="30" t="n">
        <v>0</v>
      </c>
      <c r="DL213" s="30" t="n">
        <v>0</v>
      </c>
      <c r="DM213" s="30" t="n">
        <v>0</v>
      </c>
      <c r="DN213" s="30" t="n">
        <v>0</v>
      </c>
      <c r="DO213" s="30" t="n">
        <v>0</v>
      </c>
      <c r="DP213" s="30" t="n">
        <v>0</v>
      </c>
      <c r="DQ213" s="30" t="n">
        <v>0</v>
      </c>
      <c r="DR213" s="30" t="n">
        <v>0</v>
      </c>
      <c r="DS213" s="30" t="n">
        <v>0</v>
      </c>
      <c r="DT213" s="30" t="n">
        <v>0</v>
      </c>
      <c r="DU213" s="30" t="n">
        <v>0</v>
      </c>
      <c r="DV213" s="30" t="n">
        <v>0</v>
      </c>
      <c r="DW213" s="30" t="n">
        <v>0</v>
      </c>
      <c r="DX213" s="30" t="n">
        <v>0</v>
      </c>
      <c r="DY213" s="30" t="n">
        <v>0</v>
      </c>
      <c r="DZ213" s="30" t="n">
        <v>0</v>
      </c>
      <c r="EA213" s="30" t="n">
        <v>0</v>
      </c>
      <c r="EB213" s="30" t="n">
        <v>0</v>
      </c>
      <c r="EC213" s="30" t="n">
        <v>0</v>
      </c>
      <c r="ED213" s="30" t="n">
        <v>0</v>
      </c>
      <c r="EE213" s="30" t="n">
        <v>0</v>
      </c>
      <c r="EF213" s="30" t="n">
        <v>0</v>
      </c>
      <c r="EG213" s="30" t="n">
        <v>0</v>
      </c>
      <c r="EH213" s="30" t="n">
        <v>0</v>
      </c>
      <c r="EI213" s="30" t="n">
        <v>0</v>
      </c>
      <c r="EJ213" s="30" t="n">
        <v>0</v>
      </c>
      <c r="EK213" s="30" t="n">
        <v>0</v>
      </c>
      <c r="EL213" s="30" t="n">
        <v>0</v>
      </c>
      <c r="EM213" s="30" t="n">
        <v>0</v>
      </c>
      <c r="EN213" s="30" t="n">
        <v>0</v>
      </c>
      <c r="EO213" s="30" t="n">
        <v>0</v>
      </c>
      <c r="EP213" s="30" t="n">
        <v>0</v>
      </c>
      <c r="EQ213" s="30" t="n">
        <v>0</v>
      </c>
      <c r="ER213" s="30" t="n">
        <v>0</v>
      </c>
      <c r="ES213" s="30" t="n">
        <v>0</v>
      </c>
      <c r="ET213" s="30" t="n">
        <v>0</v>
      </c>
      <c r="EU213" s="30" t="n">
        <v>0</v>
      </c>
      <c r="EV213" s="30" t="n">
        <v>0</v>
      </c>
      <c r="EW213" s="30" t="n">
        <v>0</v>
      </c>
      <c r="EX213" s="30" t="n">
        <v>0</v>
      </c>
      <c r="EY213" s="30" t="n">
        <v>0</v>
      </c>
      <c r="EZ213" s="30" t="n">
        <v>0</v>
      </c>
      <c r="FA213" s="30" t="n">
        <v>0</v>
      </c>
      <c r="FB213" s="30" t="n">
        <v>0</v>
      </c>
      <c r="FC213" s="30" t="n">
        <v>0</v>
      </c>
      <c r="FD213" s="30" t="n">
        <v>0</v>
      </c>
      <c r="FE213" s="30" t="n">
        <v>0</v>
      </c>
      <c r="FF213" s="30" t="n">
        <v>0</v>
      </c>
      <c r="FG213" s="30" t="n">
        <v>0</v>
      </c>
      <c r="FH213" s="30" t="n">
        <v>0</v>
      </c>
      <c r="FI213" s="30" t="n">
        <v>0</v>
      </c>
      <c r="FJ213" s="30" t="n">
        <v>0</v>
      </c>
      <c r="FK213" s="30" t="n">
        <v>0</v>
      </c>
      <c r="FL213" s="30" t="n">
        <v>0</v>
      </c>
      <c r="FM213" s="30" t="n">
        <v>0</v>
      </c>
      <c r="FN213" s="30" t="n">
        <v>0</v>
      </c>
      <c r="FO213" s="30" t="n">
        <v>0</v>
      </c>
      <c r="FP213" s="30" t="n">
        <v>0</v>
      </c>
      <c r="FQ213" s="30" t="n">
        <v>0</v>
      </c>
      <c r="FR213" s="30" t="n">
        <v>0</v>
      </c>
      <c r="FS213" s="30" t="n">
        <v>0</v>
      </c>
      <c r="FT213" s="30" t="n">
        <v>0</v>
      </c>
      <c r="FU213" s="30" t="n">
        <v>0</v>
      </c>
      <c r="FV213" s="30" t="n">
        <v>0</v>
      </c>
      <c r="FW213" s="30" t="n">
        <v>0</v>
      </c>
      <c r="FX213" s="30" t="n">
        <v>0</v>
      </c>
      <c r="FY213" s="30" t="n">
        <v>0</v>
      </c>
    </row>
    <row r="214" customFormat="false" ht="16.4" hidden="false" customHeight="false" outlineLevel="0" collapsed="false">
      <c r="A214" s="168" t="s">
        <v>381</v>
      </c>
      <c r="B214" s="30" t="n">
        <v>0</v>
      </c>
      <c r="C214" s="30" t="n">
        <v>0</v>
      </c>
      <c r="D214" s="30" t="n">
        <v>0</v>
      </c>
      <c r="E214" s="30" t="n">
        <v>0</v>
      </c>
      <c r="F214" s="30" t="n">
        <v>0</v>
      </c>
      <c r="G214" s="30" t="n">
        <v>0</v>
      </c>
      <c r="H214" s="30" t="n">
        <v>0</v>
      </c>
      <c r="I214" s="30" t="n">
        <v>0</v>
      </c>
      <c r="J214" s="30" t="n">
        <v>0</v>
      </c>
      <c r="K214" s="30" t="n">
        <v>0</v>
      </c>
      <c r="L214" s="30" t="n">
        <v>0</v>
      </c>
      <c r="M214" s="30" t="n">
        <v>0</v>
      </c>
      <c r="N214" s="30" t="n">
        <v>0</v>
      </c>
      <c r="O214" s="30" t="n">
        <v>0</v>
      </c>
      <c r="P214" s="30" t="n">
        <v>0</v>
      </c>
      <c r="Q214" s="30" t="n">
        <v>0</v>
      </c>
      <c r="R214" s="30" t="n">
        <v>0</v>
      </c>
      <c r="S214" s="30" t="n">
        <v>0</v>
      </c>
      <c r="T214" s="30" t="n">
        <v>0</v>
      </c>
      <c r="U214" s="30" t="n">
        <v>0</v>
      </c>
      <c r="V214" s="30" t="n">
        <v>0</v>
      </c>
      <c r="W214" s="30" t="n">
        <v>0</v>
      </c>
      <c r="X214" s="30" t="n">
        <v>0</v>
      </c>
      <c r="Y214" s="30" t="n">
        <v>0</v>
      </c>
      <c r="Z214" s="30" t="n">
        <v>0</v>
      </c>
      <c r="AA214" s="30" t="n">
        <v>0</v>
      </c>
      <c r="AB214" s="30" t="n">
        <v>0</v>
      </c>
      <c r="AC214" s="30" t="n">
        <v>0</v>
      </c>
      <c r="AD214" s="30" t="n">
        <v>0</v>
      </c>
      <c r="AE214" s="30" t="n">
        <v>0</v>
      </c>
      <c r="AF214" s="30" t="n">
        <v>0</v>
      </c>
      <c r="AG214" s="30" t="n">
        <v>0</v>
      </c>
      <c r="AH214" s="30" t="n">
        <v>0</v>
      </c>
      <c r="AI214" s="30" t="n">
        <v>0</v>
      </c>
      <c r="AJ214" s="30" t="n">
        <v>0</v>
      </c>
      <c r="AK214" s="30" t="n">
        <v>0</v>
      </c>
      <c r="AL214" s="30" t="n">
        <v>0</v>
      </c>
      <c r="AM214" s="30" t="n">
        <v>0</v>
      </c>
      <c r="AN214" s="30" t="n">
        <v>0</v>
      </c>
      <c r="AO214" s="30" t="n">
        <v>0</v>
      </c>
      <c r="AP214" s="30" t="n">
        <v>0</v>
      </c>
      <c r="AQ214" s="30" t="n">
        <v>0</v>
      </c>
      <c r="AR214" s="30" t="n">
        <v>0</v>
      </c>
      <c r="AS214" s="30" t="n">
        <v>0</v>
      </c>
      <c r="AT214" s="30" t="n">
        <v>0</v>
      </c>
      <c r="AU214" s="30" t="n">
        <v>0</v>
      </c>
      <c r="AV214" s="30" t="n">
        <v>0</v>
      </c>
      <c r="AW214" s="30" t="n">
        <v>0</v>
      </c>
      <c r="AX214" s="30" t="n">
        <v>0</v>
      </c>
      <c r="AY214" s="30" t="n">
        <v>0</v>
      </c>
      <c r="AZ214" s="30" t="n">
        <v>0</v>
      </c>
      <c r="BA214" s="30" t="n">
        <v>0</v>
      </c>
      <c r="BB214" s="30" t="n">
        <v>0</v>
      </c>
      <c r="BC214" s="30" t="n">
        <v>0</v>
      </c>
      <c r="BD214" s="30" t="n">
        <v>0</v>
      </c>
      <c r="BE214" s="30" t="n">
        <v>0</v>
      </c>
      <c r="BF214" s="30" t="n">
        <v>0</v>
      </c>
      <c r="BG214" s="30" t="n">
        <v>0</v>
      </c>
      <c r="BH214" s="30" t="n">
        <v>0</v>
      </c>
      <c r="BI214" s="30" t="n">
        <v>0</v>
      </c>
      <c r="BJ214" s="30" t="n">
        <v>0</v>
      </c>
      <c r="BK214" s="30" t="n">
        <v>0</v>
      </c>
      <c r="BL214" s="30" t="n">
        <v>0</v>
      </c>
      <c r="BM214" s="30" t="n">
        <v>0</v>
      </c>
      <c r="BN214" s="30" t="n">
        <v>0</v>
      </c>
      <c r="BO214" s="30" t="n">
        <v>0</v>
      </c>
      <c r="BP214" s="30" t="n">
        <v>0</v>
      </c>
      <c r="BQ214" s="30" t="n">
        <v>0</v>
      </c>
      <c r="BR214" s="30" t="n">
        <v>0</v>
      </c>
      <c r="BS214" s="30" t="n">
        <v>0</v>
      </c>
      <c r="BT214" s="30" t="n">
        <v>0</v>
      </c>
      <c r="BU214" s="30" t="n">
        <v>0</v>
      </c>
      <c r="BV214" s="30" t="n">
        <v>0</v>
      </c>
      <c r="BW214" s="30" t="n">
        <v>0</v>
      </c>
      <c r="BX214" s="30" t="n">
        <v>0</v>
      </c>
      <c r="BY214" s="30" t="n">
        <v>0</v>
      </c>
      <c r="BZ214" s="30" t="n">
        <v>0</v>
      </c>
      <c r="CA214" s="30" t="n">
        <v>0</v>
      </c>
      <c r="CB214" s="30" t="n">
        <v>0</v>
      </c>
      <c r="CC214" s="30" t="n">
        <v>0</v>
      </c>
      <c r="CD214" s="30" t="n">
        <v>0</v>
      </c>
      <c r="CE214" s="30" t="n">
        <v>0</v>
      </c>
      <c r="CF214" s="30" t="n">
        <v>0</v>
      </c>
      <c r="CG214" s="30" t="n">
        <v>0</v>
      </c>
      <c r="CH214" s="30" t="n">
        <v>0</v>
      </c>
      <c r="CI214" s="30" t="n">
        <v>0</v>
      </c>
      <c r="CJ214" s="30" t="n">
        <v>0</v>
      </c>
      <c r="CK214" s="30" t="n">
        <v>0</v>
      </c>
      <c r="CL214" s="30" t="n">
        <v>0</v>
      </c>
      <c r="CM214" s="30" t="n">
        <v>0</v>
      </c>
      <c r="CN214" s="30" t="n">
        <v>0</v>
      </c>
      <c r="CO214" s="30" t="n">
        <v>0</v>
      </c>
      <c r="CP214" s="30" t="n">
        <v>0</v>
      </c>
      <c r="CQ214" s="30" t="n">
        <v>0</v>
      </c>
      <c r="CR214" s="30" t="n">
        <v>0</v>
      </c>
      <c r="CS214" s="30" t="n">
        <v>0</v>
      </c>
      <c r="CT214" s="30" t="n">
        <v>0</v>
      </c>
      <c r="CU214" s="30" t="n">
        <v>0</v>
      </c>
      <c r="CV214" s="30" t="n">
        <v>0</v>
      </c>
      <c r="CW214" s="30" t="n">
        <v>0</v>
      </c>
      <c r="CX214" s="30" t="n">
        <v>0</v>
      </c>
      <c r="CY214" s="30" t="n">
        <v>0</v>
      </c>
      <c r="CZ214" s="30" t="n">
        <v>0</v>
      </c>
      <c r="DA214" s="30" t="n">
        <v>0</v>
      </c>
      <c r="DB214" s="30" t="n">
        <v>0</v>
      </c>
      <c r="DC214" s="30" t="n">
        <v>0</v>
      </c>
      <c r="DD214" s="30" t="n">
        <v>0</v>
      </c>
      <c r="DE214" s="30" t="n">
        <v>0</v>
      </c>
      <c r="DF214" s="30" t="n">
        <v>0</v>
      </c>
      <c r="DG214" s="30" t="n">
        <v>0</v>
      </c>
      <c r="DH214" s="30" t="n">
        <v>0</v>
      </c>
      <c r="DI214" s="30" t="n">
        <v>0</v>
      </c>
      <c r="DJ214" s="30" t="n">
        <v>0</v>
      </c>
      <c r="DK214" s="30" t="n">
        <v>0</v>
      </c>
      <c r="DL214" s="30" t="n">
        <v>0</v>
      </c>
      <c r="DM214" s="30" t="n">
        <v>0</v>
      </c>
      <c r="DN214" s="30" t="n">
        <v>0</v>
      </c>
      <c r="DO214" s="30" t="n">
        <v>0</v>
      </c>
      <c r="DP214" s="30" t="n">
        <v>0</v>
      </c>
      <c r="DQ214" s="30" t="n">
        <v>0</v>
      </c>
      <c r="DR214" s="30" t="n">
        <v>0</v>
      </c>
      <c r="DS214" s="30" t="n">
        <v>0</v>
      </c>
      <c r="DT214" s="30" t="n">
        <v>0</v>
      </c>
      <c r="DU214" s="30" t="n">
        <v>0</v>
      </c>
      <c r="DV214" s="30" t="n">
        <v>0</v>
      </c>
      <c r="DW214" s="30" t="n">
        <v>0</v>
      </c>
      <c r="DX214" s="30" t="n">
        <v>0</v>
      </c>
      <c r="DY214" s="30" t="n">
        <v>0</v>
      </c>
      <c r="DZ214" s="30" t="n">
        <v>0</v>
      </c>
      <c r="EA214" s="30" t="n">
        <v>0</v>
      </c>
      <c r="EB214" s="30" t="n">
        <v>0</v>
      </c>
      <c r="EC214" s="30" t="n">
        <v>0</v>
      </c>
      <c r="ED214" s="30" t="n">
        <v>0</v>
      </c>
      <c r="EE214" s="30" t="n">
        <v>0</v>
      </c>
      <c r="EF214" s="30" t="n">
        <v>0</v>
      </c>
      <c r="EG214" s="30" t="n">
        <v>0</v>
      </c>
      <c r="EH214" s="30" t="n">
        <v>0</v>
      </c>
      <c r="EI214" s="30" t="n">
        <v>0</v>
      </c>
      <c r="EJ214" s="30" t="n">
        <v>0</v>
      </c>
      <c r="EK214" s="30" t="n">
        <v>0</v>
      </c>
      <c r="EL214" s="30" t="n">
        <v>0</v>
      </c>
      <c r="EM214" s="30" t="n">
        <v>0</v>
      </c>
      <c r="EN214" s="30" t="n">
        <v>0</v>
      </c>
      <c r="EO214" s="30" t="n">
        <v>0</v>
      </c>
      <c r="EP214" s="30" t="n">
        <v>0</v>
      </c>
      <c r="EQ214" s="30" t="n">
        <v>0</v>
      </c>
      <c r="ER214" s="30" t="n">
        <v>0</v>
      </c>
      <c r="ES214" s="30" t="n">
        <v>0</v>
      </c>
      <c r="ET214" s="30" t="n">
        <v>0</v>
      </c>
      <c r="EU214" s="30" t="n">
        <v>0</v>
      </c>
      <c r="EV214" s="30" t="n">
        <v>0</v>
      </c>
      <c r="EW214" s="30" t="n">
        <v>0</v>
      </c>
      <c r="EX214" s="30" t="n">
        <v>0</v>
      </c>
      <c r="EY214" s="30" t="n">
        <v>0</v>
      </c>
      <c r="EZ214" s="30" t="n">
        <v>0</v>
      </c>
      <c r="FA214" s="30" t="n">
        <v>0</v>
      </c>
      <c r="FB214" s="30" t="n">
        <v>0</v>
      </c>
      <c r="FC214" s="30" t="n">
        <v>0</v>
      </c>
      <c r="FD214" s="30" t="n">
        <v>0</v>
      </c>
      <c r="FE214" s="30" t="n">
        <v>0</v>
      </c>
      <c r="FF214" s="30" t="n">
        <v>0</v>
      </c>
      <c r="FG214" s="30" t="n">
        <v>0</v>
      </c>
      <c r="FH214" s="30" t="n">
        <v>0</v>
      </c>
      <c r="FI214" s="30" t="n">
        <v>0</v>
      </c>
      <c r="FJ214" s="30" t="n">
        <v>0</v>
      </c>
      <c r="FK214" s="30" t="n">
        <v>0</v>
      </c>
      <c r="FL214" s="30" t="n">
        <v>0</v>
      </c>
      <c r="FM214" s="30" t="n">
        <v>0</v>
      </c>
      <c r="FN214" s="30" t="n">
        <v>0</v>
      </c>
      <c r="FO214" s="30" t="n">
        <v>0</v>
      </c>
      <c r="FP214" s="30" t="n">
        <v>0</v>
      </c>
      <c r="FQ214" s="30" t="n">
        <v>0</v>
      </c>
      <c r="FR214" s="30" t="n">
        <v>0</v>
      </c>
      <c r="FS214" s="30" t="n">
        <v>0</v>
      </c>
      <c r="FT214" s="30" t="n">
        <v>0</v>
      </c>
      <c r="FU214" s="30" t="n">
        <v>0</v>
      </c>
      <c r="FV214" s="30" t="n">
        <v>0</v>
      </c>
      <c r="FW214" s="30" t="n">
        <v>0</v>
      </c>
      <c r="FX214" s="30" t="n">
        <v>0</v>
      </c>
      <c r="FY214" s="30" t="n">
        <v>0</v>
      </c>
    </row>
    <row r="215" customFormat="false" ht="16.4" hidden="false" customHeight="false" outlineLevel="0" collapsed="false">
      <c r="A215" s="164" t="s">
        <v>383</v>
      </c>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c r="BC215" s="144"/>
      <c r="BD215" s="144"/>
      <c r="BE215" s="144"/>
      <c r="BF215" s="144"/>
      <c r="BG215" s="144"/>
      <c r="BH215" s="144"/>
      <c r="BI215" s="144"/>
      <c r="BJ215" s="144"/>
      <c r="BK215" s="144"/>
      <c r="BL215" s="144"/>
      <c r="BM215" s="144"/>
      <c r="BN215" s="144"/>
      <c r="BO215" s="144"/>
      <c r="BP215" s="144"/>
      <c r="BQ215" s="144"/>
      <c r="BR215" s="144"/>
      <c r="BS215" s="144"/>
      <c r="BT215" s="144"/>
      <c r="BU215" s="144"/>
      <c r="BV215" s="144"/>
      <c r="BW215" s="144"/>
      <c r="BX215" s="144"/>
      <c r="BY215" s="144"/>
      <c r="BZ215" s="144"/>
      <c r="CA215" s="144"/>
      <c r="CB215" s="144"/>
      <c r="CC215" s="144"/>
      <c r="CD215" s="144"/>
      <c r="CE215" s="144"/>
      <c r="CF215" s="144"/>
      <c r="CG215" s="144"/>
      <c r="CH215" s="144"/>
      <c r="CI215" s="144"/>
      <c r="CJ215" s="144"/>
      <c r="CK215" s="144"/>
      <c r="CL215" s="144"/>
      <c r="CM215" s="144"/>
      <c r="CN215" s="144"/>
      <c r="CO215" s="144"/>
      <c r="CP215" s="144"/>
      <c r="CQ215" s="144"/>
      <c r="CR215" s="144"/>
      <c r="CS215" s="144"/>
      <c r="CT215" s="144"/>
      <c r="CU215" s="144"/>
      <c r="CV215" s="144"/>
      <c r="CW215" s="144"/>
      <c r="CX215" s="144"/>
      <c r="CY215" s="144"/>
      <c r="CZ215" s="144"/>
      <c r="DA215" s="144"/>
      <c r="DB215" s="144"/>
      <c r="DC215" s="144"/>
      <c r="DD215" s="144"/>
      <c r="DE215" s="144"/>
      <c r="DF215" s="144"/>
      <c r="DG215" s="144"/>
      <c r="DH215" s="144"/>
      <c r="DI215" s="144"/>
      <c r="DJ215" s="144"/>
      <c r="DK215" s="144"/>
      <c r="DL215" s="144"/>
      <c r="DM215" s="144"/>
      <c r="DN215" s="144"/>
      <c r="DO215" s="144"/>
      <c r="DP215" s="144"/>
      <c r="DQ215" s="144"/>
      <c r="DR215" s="144"/>
      <c r="DS215" s="144"/>
      <c r="DT215" s="144"/>
      <c r="DU215" s="144"/>
      <c r="DV215" s="144"/>
      <c r="DW215" s="144"/>
      <c r="DX215" s="144"/>
      <c r="DY215" s="144"/>
      <c r="DZ215" s="144"/>
      <c r="EA215" s="144"/>
      <c r="EB215" s="144"/>
      <c r="EC215" s="144"/>
      <c r="ED215" s="144"/>
      <c r="EE215" s="144"/>
      <c r="EF215" s="144"/>
      <c r="EG215" s="144"/>
      <c r="EH215" s="144"/>
      <c r="EI215" s="144"/>
      <c r="EJ215" s="144"/>
      <c r="EK215" s="144"/>
      <c r="EL215" s="144"/>
      <c r="EM215" s="144"/>
      <c r="EN215" s="144"/>
      <c r="EO215" s="144"/>
      <c r="EP215" s="144"/>
      <c r="EQ215" s="144"/>
      <c r="ER215" s="144"/>
      <c r="ES215" s="144"/>
      <c r="ET215" s="144"/>
      <c r="EU215" s="144"/>
      <c r="EV215" s="144"/>
      <c r="EW215" s="144"/>
      <c r="EX215" s="144"/>
      <c r="EY215" s="144"/>
      <c r="EZ215" s="144"/>
      <c r="FA215" s="144"/>
      <c r="FB215" s="144"/>
      <c r="FC215" s="144"/>
      <c r="FD215" s="144"/>
      <c r="FE215" s="144"/>
      <c r="FF215" s="144"/>
      <c r="FG215" s="144"/>
      <c r="FH215" s="144"/>
      <c r="FI215" s="144"/>
      <c r="FJ215" s="144"/>
      <c r="FK215" s="144"/>
      <c r="FL215" s="144"/>
      <c r="FM215" s="144"/>
      <c r="FN215" s="144"/>
      <c r="FO215" s="144"/>
      <c r="FP215" s="144"/>
      <c r="FQ215" s="144"/>
      <c r="FR215" s="144"/>
      <c r="FS215" s="144"/>
      <c r="FT215" s="144"/>
      <c r="FU215" s="144"/>
      <c r="FV215" s="144"/>
      <c r="FW215" s="144"/>
      <c r="FX215" s="144"/>
      <c r="FY215" s="144"/>
    </row>
    <row r="216" customFormat="false" ht="16.4" hidden="false" customHeight="false" outlineLevel="0" collapsed="false">
      <c r="A216" s="169" t="s">
        <v>374</v>
      </c>
      <c r="B216" s="170" t="n">
        <v>0</v>
      </c>
      <c r="C216" s="171" t="n">
        <v>0</v>
      </c>
      <c r="D216" s="171" t="n">
        <v>0</v>
      </c>
      <c r="E216" s="171" t="n">
        <v>0</v>
      </c>
      <c r="F216" s="171" t="n">
        <v>0</v>
      </c>
      <c r="G216" s="170" t="n">
        <v>0</v>
      </c>
      <c r="H216" s="171" t="n">
        <v>0</v>
      </c>
      <c r="I216" s="171" t="n">
        <v>0</v>
      </c>
      <c r="J216" s="171" t="n">
        <v>0</v>
      </c>
      <c r="K216" s="171" t="n">
        <v>0</v>
      </c>
      <c r="L216" s="170" t="n">
        <v>0</v>
      </c>
      <c r="M216" s="171" t="n">
        <v>0</v>
      </c>
      <c r="N216" s="171" t="n">
        <v>0</v>
      </c>
      <c r="O216" s="171" t="n">
        <v>0</v>
      </c>
      <c r="P216" s="171" t="n">
        <v>0</v>
      </c>
      <c r="Q216" s="170" t="n">
        <v>0</v>
      </c>
      <c r="R216" s="171" t="n">
        <v>0</v>
      </c>
      <c r="S216" s="171" t="n">
        <v>0</v>
      </c>
      <c r="T216" s="171" t="n">
        <v>0</v>
      </c>
      <c r="U216" s="171" t="n">
        <v>0</v>
      </c>
      <c r="V216" s="170" t="n">
        <v>0</v>
      </c>
      <c r="W216" s="171" t="n">
        <v>0</v>
      </c>
      <c r="X216" s="171" t="n">
        <v>0</v>
      </c>
      <c r="Y216" s="171" t="n">
        <v>0</v>
      </c>
      <c r="Z216" s="171" t="n">
        <v>0</v>
      </c>
      <c r="AA216" s="170" t="n">
        <v>0</v>
      </c>
      <c r="AB216" s="171" t="n">
        <v>0</v>
      </c>
      <c r="AC216" s="171" t="n">
        <v>0</v>
      </c>
      <c r="AD216" s="171" t="n">
        <v>0</v>
      </c>
      <c r="AE216" s="171" t="n">
        <v>0</v>
      </c>
      <c r="AF216" s="170" t="n">
        <v>0</v>
      </c>
      <c r="AG216" s="171" t="n">
        <v>0</v>
      </c>
      <c r="AH216" s="171" t="n">
        <v>0</v>
      </c>
      <c r="AI216" s="171" t="n">
        <v>0</v>
      </c>
      <c r="AJ216" s="171" t="n">
        <v>0</v>
      </c>
      <c r="AK216" s="170" t="n">
        <v>0</v>
      </c>
      <c r="AL216" s="171" t="n">
        <v>0</v>
      </c>
      <c r="AM216" s="171" t="n">
        <v>0</v>
      </c>
      <c r="AN216" s="171" t="n">
        <v>0</v>
      </c>
      <c r="AO216" s="171" t="n">
        <v>0</v>
      </c>
      <c r="AP216" s="170" t="n">
        <v>0</v>
      </c>
      <c r="AQ216" s="171" t="n">
        <v>0</v>
      </c>
      <c r="AR216" s="171" t="n">
        <v>0</v>
      </c>
      <c r="AS216" s="171" t="n">
        <v>0</v>
      </c>
      <c r="AT216" s="171" t="n">
        <v>0</v>
      </c>
      <c r="AU216" s="170" t="n">
        <v>0</v>
      </c>
      <c r="AV216" s="171" t="n">
        <v>0</v>
      </c>
      <c r="AW216" s="171" t="n">
        <v>0</v>
      </c>
      <c r="AX216" s="171" t="n">
        <v>0</v>
      </c>
      <c r="AY216" s="171" t="n">
        <v>0</v>
      </c>
      <c r="AZ216" s="170" t="n">
        <v>0</v>
      </c>
      <c r="BA216" s="171" t="n">
        <v>0</v>
      </c>
      <c r="BB216" s="171" t="n">
        <v>0</v>
      </c>
      <c r="BC216" s="171" t="n">
        <v>0</v>
      </c>
      <c r="BD216" s="171" t="n">
        <v>0</v>
      </c>
      <c r="BE216" s="170" t="n">
        <v>0</v>
      </c>
      <c r="BF216" s="171" t="n">
        <v>0</v>
      </c>
      <c r="BG216" s="171" t="n">
        <v>0</v>
      </c>
      <c r="BH216" s="171" t="n">
        <v>0</v>
      </c>
      <c r="BI216" s="171" t="n">
        <v>0</v>
      </c>
      <c r="BJ216" s="170" t="n">
        <v>0</v>
      </c>
      <c r="BK216" s="171" t="n">
        <v>0</v>
      </c>
      <c r="BL216" s="171" t="n">
        <v>0</v>
      </c>
      <c r="BM216" s="171" t="n">
        <v>0</v>
      </c>
      <c r="BN216" s="171" t="n">
        <v>0</v>
      </c>
      <c r="BO216" s="170" t="n">
        <v>0</v>
      </c>
      <c r="BP216" s="171" t="n">
        <v>0</v>
      </c>
      <c r="BQ216" s="171" t="n">
        <v>0</v>
      </c>
      <c r="BR216" s="171" t="n">
        <v>0</v>
      </c>
      <c r="BS216" s="171" t="n">
        <v>0</v>
      </c>
      <c r="BT216" s="170" t="n">
        <v>0</v>
      </c>
      <c r="BU216" s="171" t="n">
        <v>0</v>
      </c>
      <c r="BV216" s="171" t="n">
        <v>0</v>
      </c>
      <c r="BW216" s="171" t="n">
        <v>0</v>
      </c>
      <c r="BX216" s="171" t="n">
        <v>0</v>
      </c>
      <c r="BY216" s="170" t="n">
        <v>0</v>
      </c>
      <c r="BZ216" s="171" t="n">
        <v>0</v>
      </c>
      <c r="CA216" s="171" t="n">
        <v>0</v>
      </c>
      <c r="CB216" s="171" t="n">
        <v>0</v>
      </c>
      <c r="CC216" s="171" t="n">
        <v>0</v>
      </c>
      <c r="CD216" s="170" t="n">
        <v>0</v>
      </c>
      <c r="CE216" s="171" t="n">
        <v>0</v>
      </c>
      <c r="CF216" s="171" t="n">
        <v>0</v>
      </c>
      <c r="CG216" s="171" t="n">
        <v>0</v>
      </c>
      <c r="CH216" s="171" t="n">
        <v>0</v>
      </c>
      <c r="CI216" s="170" t="n">
        <v>0</v>
      </c>
      <c r="CJ216" s="171" t="n">
        <v>0</v>
      </c>
      <c r="CK216" s="171" t="n">
        <v>0</v>
      </c>
      <c r="CL216" s="171" t="n">
        <v>0</v>
      </c>
      <c r="CM216" s="171" t="n">
        <v>0</v>
      </c>
      <c r="CN216" s="170" t="n">
        <v>0</v>
      </c>
      <c r="CO216" s="171" t="n">
        <v>0</v>
      </c>
      <c r="CP216" s="171" t="n">
        <v>0</v>
      </c>
      <c r="CQ216" s="171" t="n">
        <v>0</v>
      </c>
      <c r="CR216" s="171" t="n">
        <v>0</v>
      </c>
      <c r="CS216" s="170" t="n">
        <v>0</v>
      </c>
      <c r="CT216" s="171" t="n">
        <v>0</v>
      </c>
      <c r="CU216" s="171" t="n">
        <v>0</v>
      </c>
      <c r="CV216" s="171" t="n">
        <v>0</v>
      </c>
      <c r="CW216" s="171" t="n">
        <v>0</v>
      </c>
      <c r="CX216" s="170" t="n">
        <v>0</v>
      </c>
      <c r="CY216" s="171" t="n">
        <v>0</v>
      </c>
      <c r="CZ216" s="171" t="n">
        <v>0</v>
      </c>
      <c r="DA216" s="171" t="n">
        <v>0</v>
      </c>
      <c r="DB216" s="171" t="n">
        <v>0</v>
      </c>
      <c r="DC216" s="170" t="n">
        <v>0</v>
      </c>
      <c r="DD216" s="171" t="n">
        <v>0</v>
      </c>
      <c r="DE216" s="171" t="n">
        <v>0</v>
      </c>
      <c r="DF216" s="171" t="n">
        <v>0</v>
      </c>
      <c r="DG216" s="171" t="n">
        <v>0</v>
      </c>
      <c r="DH216" s="170" t="n">
        <v>0</v>
      </c>
      <c r="DI216" s="171" t="n">
        <v>0</v>
      </c>
      <c r="DJ216" s="171" t="n">
        <v>0</v>
      </c>
      <c r="DK216" s="171" t="n">
        <v>0</v>
      </c>
      <c r="DL216" s="171" t="n">
        <v>0</v>
      </c>
      <c r="DM216" s="170" t="n">
        <v>0</v>
      </c>
      <c r="DN216" s="171" t="n">
        <v>0</v>
      </c>
      <c r="DO216" s="171" t="n">
        <v>0</v>
      </c>
      <c r="DP216" s="171" t="n">
        <v>0</v>
      </c>
      <c r="DQ216" s="171" t="n">
        <v>0</v>
      </c>
      <c r="DR216" s="170" t="n">
        <v>0</v>
      </c>
      <c r="DS216" s="171" t="n">
        <v>0</v>
      </c>
      <c r="DT216" s="171" t="n">
        <v>0</v>
      </c>
      <c r="DU216" s="171" t="n">
        <v>0</v>
      </c>
      <c r="DV216" s="171" t="n">
        <v>0</v>
      </c>
      <c r="DW216" s="170" t="n">
        <v>0</v>
      </c>
      <c r="DX216" s="171" t="n">
        <v>0</v>
      </c>
      <c r="DY216" s="171" t="n">
        <v>0</v>
      </c>
      <c r="DZ216" s="171" t="n">
        <v>0</v>
      </c>
      <c r="EA216" s="171" t="n">
        <v>0</v>
      </c>
      <c r="EB216" s="170" t="n">
        <v>0</v>
      </c>
      <c r="EC216" s="171" t="n">
        <v>0</v>
      </c>
      <c r="ED216" s="171" t="n">
        <v>0</v>
      </c>
      <c r="EE216" s="171" t="n">
        <v>0</v>
      </c>
      <c r="EF216" s="171" t="n">
        <v>0</v>
      </c>
      <c r="EG216" s="170" t="n">
        <v>0</v>
      </c>
      <c r="EH216" s="171" t="n">
        <v>0</v>
      </c>
      <c r="EI216" s="171" t="n">
        <v>0</v>
      </c>
      <c r="EJ216" s="171" t="n">
        <v>0</v>
      </c>
      <c r="EK216" s="171" t="n">
        <v>0</v>
      </c>
      <c r="EL216" s="170" t="n">
        <v>0</v>
      </c>
      <c r="EM216" s="171" t="n">
        <v>0</v>
      </c>
      <c r="EN216" s="171" t="n">
        <v>0</v>
      </c>
      <c r="EO216" s="171" t="n">
        <v>0</v>
      </c>
      <c r="EP216" s="171" t="n">
        <v>0</v>
      </c>
      <c r="EQ216" s="170" t="n">
        <v>0</v>
      </c>
      <c r="ER216" s="171" t="n">
        <v>0</v>
      </c>
      <c r="ES216" s="171" t="n">
        <v>0</v>
      </c>
      <c r="ET216" s="171" t="n">
        <v>0</v>
      </c>
      <c r="EU216" s="171" t="n">
        <v>0</v>
      </c>
      <c r="EV216" s="170" t="n">
        <v>0</v>
      </c>
      <c r="EW216" s="171" t="n">
        <v>0</v>
      </c>
      <c r="EX216" s="171" t="n">
        <v>0</v>
      </c>
      <c r="EY216" s="171" t="n">
        <v>0</v>
      </c>
      <c r="EZ216" s="171" t="n">
        <v>0</v>
      </c>
      <c r="FA216" s="170" t="n">
        <v>0</v>
      </c>
      <c r="FB216" s="171" t="n">
        <v>0</v>
      </c>
      <c r="FC216" s="171" t="n">
        <v>0</v>
      </c>
      <c r="FD216" s="171" t="n">
        <v>0</v>
      </c>
      <c r="FE216" s="171" t="n">
        <v>0</v>
      </c>
      <c r="FF216" s="170" t="n">
        <v>0</v>
      </c>
      <c r="FG216" s="171" t="n">
        <v>0</v>
      </c>
      <c r="FH216" s="171" t="n">
        <v>0</v>
      </c>
      <c r="FI216" s="171" t="n">
        <v>0</v>
      </c>
      <c r="FJ216" s="171" t="n">
        <v>0</v>
      </c>
      <c r="FK216" s="170" t="n">
        <v>0</v>
      </c>
      <c r="FL216" s="171" t="n">
        <v>0</v>
      </c>
      <c r="FM216" s="171" t="n">
        <v>0</v>
      </c>
      <c r="FN216" s="171" t="n">
        <v>0</v>
      </c>
      <c r="FO216" s="171" t="n">
        <v>0</v>
      </c>
      <c r="FP216" s="170" t="n">
        <v>0</v>
      </c>
      <c r="FQ216" s="171" t="n">
        <v>0</v>
      </c>
      <c r="FR216" s="171" t="n">
        <v>0</v>
      </c>
      <c r="FS216" s="171" t="n">
        <v>0</v>
      </c>
      <c r="FT216" s="171" t="n">
        <v>0</v>
      </c>
      <c r="FU216" s="170" t="n">
        <v>0</v>
      </c>
      <c r="FV216" s="171" t="n">
        <v>0</v>
      </c>
      <c r="FW216" s="171" t="n">
        <v>0</v>
      </c>
      <c r="FX216" s="171" t="n">
        <v>0</v>
      </c>
      <c r="FY216" s="171" t="n">
        <v>0</v>
      </c>
    </row>
    <row r="217" customFormat="false" ht="16.4" hidden="false" customHeight="false" outlineLevel="0" collapsed="false">
      <c r="A217" s="169" t="s">
        <v>375</v>
      </c>
      <c r="B217" s="171" t="n">
        <v>0</v>
      </c>
      <c r="C217" s="170" t="n">
        <v>0</v>
      </c>
      <c r="D217" s="171" t="n">
        <v>0</v>
      </c>
      <c r="E217" s="171" t="n">
        <v>0</v>
      </c>
      <c r="F217" s="171" t="n">
        <v>0</v>
      </c>
      <c r="G217" s="171" t="n">
        <v>0</v>
      </c>
      <c r="H217" s="170" t="n">
        <v>0</v>
      </c>
      <c r="I217" s="171" t="n">
        <v>0</v>
      </c>
      <c r="J217" s="171" t="n">
        <v>0</v>
      </c>
      <c r="K217" s="171" t="n">
        <v>0</v>
      </c>
      <c r="L217" s="171" t="n">
        <v>0</v>
      </c>
      <c r="M217" s="170" t="n">
        <v>0</v>
      </c>
      <c r="N217" s="171" t="n">
        <v>0</v>
      </c>
      <c r="O217" s="171" t="n">
        <v>0</v>
      </c>
      <c r="P217" s="171" t="n">
        <v>0</v>
      </c>
      <c r="Q217" s="171" t="n">
        <v>0</v>
      </c>
      <c r="R217" s="170" t="n">
        <v>0</v>
      </c>
      <c r="S217" s="171" t="n">
        <v>0</v>
      </c>
      <c r="T217" s="171" t="n">
        <v>0</v>
      </c>
      <c r="U217" s="171" t="n">
        <v>0</v>
      </c>
      <c r="V217" s="171" t="n">
        <v>0</v>
      </c>
      <c r="W217" s="170" t="n">
        <v>0</v>
      </c>
      <c r="X217" s="171" t="n">
        <v>0</v>
      </c>
      <c r="Y217" s="171" t="n">
        <v>0</v>
      </c>
      <c r="Z217" s="171" t="n">
        <v>0</v>
      </c>
      <c r="AA217" s="171" t="n">
        <v>0</v>
      </c>
      <c r="AB217" s="170" t="n">
        <v>0</v>
      </c>
      <c r="AC217" s="171" t="n">
        <v>0</v>
      </c>
      <c r="AD217" s="171" t="n">
        <v>0</v>
      </c>
      <c r="AE217" s="171" t="n">
        <v>0</v>
      </c>
      <c r="AF217" s="171" t="n">
        <v>0</v>
      </c>
      <c r="AG217" s="170" t="n">
        <v>0</v>
      </c>
      <c r="AH217" s="171" t="n">
        <v>0</v>
      </c>
      <c r="AI217" s="171" t="n">
        <v>0</v>
      </c>
      <c r="AJ217" s="171" t="n">
        <v>0</v>
      </c>
      <c r="AK217" s="171" t="n">
        <v>0</v>
      </c>
      <c r="AL217" s="170" t="n">
        <v>0</v>
      </c>
      <c r="AM217" s="171" t="n">
        <v>0</v>
      </c>
      <c r="AN217" s="171" t="n">
        <v>0</v>
      </c>
      <c r="AO217" s="171" t="n">
        <v>0</v>
      </c>
      <c r="AP217" s="171" t="n">
        <v>0</v>
      </c>
      <c r="AQ217" s="170" t="n">
        <v>0</v>
      </c>
      <c r="AR217" s="171" t="n">
        <v>0</v>
      </c>
      <c r="AS217" s="171" t="n">
        <v>0</v>
      </c>
      <c r="AT217" s="171" t="n">
        <v>0</v>
      </c>
      <c r="AU217" s="171" t="n">
        <v>0</v>
      </c>
      <c r="AV217" s="170" t="n">
        <v>0</v>
      </c>
      <c r="AW217" s="171" t="n">
        <v>0</v>
      </c>
      <c r="AX217" s="171" t="n">
        <v>0</v>
      </c>
      <c r="AY217" s="171" t="n">
        <v>0</v>
      </c>
      <c r="AZ217" s="171" t="n">
        <v>0</v>
      </c>
      <c r="BA217" s="170" t="n">
        <v>0</v>
      </c>
      <c r="BB217" s="171" t="n">
        <v>0</v>
      </c>
      <c r="BC217" s="171" t="n">
        <v>0</v>
      </c>
      <c r="BD217" s="171" t="n">
        <v>0</v>
      </c>
      <c r="BE217" s="171" t="n">
        <v>0</v>
      </c>
      <c r="BF217" s="170" t="n">
        <v>0</v>
      </c>
      <c r="BG217" s="171" t="n">
        <v>0</v>
      </c>
      <c r="BH217" s="171" t="n">
        <v>0</v>
      </c>
      <c r="BI217" s="171" t="n">
        <v>0</v>
      </c>
      <c r="BJ217" s="171" t="n">
        <v>0</v>
      </c>
      <c r="BK217" s="170" t="n">
        <v>0</v>
      </c>
      <c r="BL217" s="171" t="n">
        <v>0</v>
      </c>
      <c r="BM217" s="171" t="n">
        <v>0</v>
      </c>
      <c r="BN217" s="171" t="n">
        <v>0</v>
      </c>
      <c r="BO217" s="171" t="n">
        <v>0</v>
      </c>
      <c r="BP217" s="170" t="n">
        <v>0</v>
      </c>
      <c r="BQ217" s="171" t="n">
        <v>0</v>
      </c>
      <c r="BR217" s="171" t="n">
        <v>0</v>
      </c>
      <c r="BS217" s="171" t="n">
        <v>0</v>
      </c>
      <c r="BT217" s="171" t="n">
        <v>0</v>
      </c>
      <c r="BU217" s="170" t="n">
        <v>0</v>
      </c>
      <c r="BV217" s="171" t="n">
        <v>0</v>
      </c>
      <c r="BW217" s="171" t="n">
        <v>0</v>
      </c>
      <c r="BX217" s="171" t="n">
        <v>0</v>
      </c>
      <c r="BY217" s="171" t="n">
        <v>0</v>
      </c>
      <c r="BZ217" s="170" t="n">
        <v>0</v>
      </c>
      <c r="CA217" s="171" t="n">
        <v>0</v>
      </c>
      <c r="CB217" s="171" t="n">
        <v>0</v>
      </c>
      <c r="CC217" s="171" t="n">
        <v>0</v>
      </c>
      <c r="CD217" s="171" t="n">
        <v>0</v>
      </c>
      <c r="CE217" s="170" t="n">
        <v>0</v>
      </c>
      <c r="CF217" s="171" t="n">
        <v>0</v>
      </c>
      <c r="CG217" s="171" t="n">
        <v>0</v>
      </c>
      <c r="CH217" s="171" t="n">
        <v>0</v>
      </c>
      <c r="CI217" s="171" t="n">
        <v>0</v>
      </c>
      <c r="CJ217" s="170" t="n">
        <v>0</v>
      </c>
      <c r="CK217" s="171" t="n">
        <v>0</v>
      </c>
      <c r="CL217" s="171" t="n">
        <v>0</v>
      </c>
      <c r="CM217" s="171" t="n">
        <v>0</v>
      </c>
      <c r="CN217" s="171" t="n">
        <v>0</v>
      </c>
      <c r="CO217" s="170" t="n">
        <v>0</v>
      </c>
      <c r="CP217" s="171" t="n">
        <v>0</v>
      </c>
      <c r="CQ217" s="171" t="n">
        <v>0</v>
      </c>
      <c r="CR217" s="171" t="n">
        <v>0</v>
      </c>
      <c r="CS217" s="171" t="n">
        <v>0</v>
      </c>
      <c r="CT217" s="170" t="n">
        <v>0</v>
      </c>
      <c r="CU217" s="171" t="n">
        <v>0</v>
      </c>
      <c r="CV217" s="171" t="n">
        <v>0</v>
      </c>
      <c r="CW217" s="171" t="n">
        <v>0</v>
      </c>
      <c r="CX217" s="171" t="n">
        <v>0</v>
      </c>
      <c r="CY217" s="170" t="n">
        <v>0</v>
      </c>
      <c r="CZ217" s="171" t="n">
        <v>0</v>
      </c>
      <c r="DA217" s="171" t="n">
        <v>0</v>
      </c>
      <c r="DB217" s="171" t="n">
        <v>0</v>
      </c>
      <c r="DC217" s="171" t="n">
        <v>0</v>
      </c>
      <c r="DD217" s="170" t="n">
        <v>0</v>
      </c>
      <c r="DE217" s="171" t="n">
        <v>0</v>
      </c>
      <c r="DF217" s="171" t="n">
        <v>0</v>
      </c>
      <c r="DG217" s="171" t="n">
        <v>0</v>
      </c>
      <c r="DH217" s="171" t="n">
        <v>0</v>
      </c>
      <c r="DI217" s="170" t="n">
        <v>0</v>
      </c>
      <c r="DJ217" s="171" t="n">
        <v>0</v>
      </c>
      <c r="DK217" s="171" t="n">
        <v>0</v>
      </c>
      <c r="DL217" s="171" t="n">
        <v>0</v>
      </c>
      <c r="DM217" s="171" t="n">
        <v>0</v>
      </c>
      <c r="DN217" s="170" t="n">
        <v>0</v>
      </c>
      <c r="DO217" s="171" t="n">
        <v>0</v>
      </c>
      <c r="DP217" s="171" t="n">
        <v>0</v>
      </c>
      <c r="DQ217" s="171" t="n">
        <v>0</v>
      </c>
      <c r="DR217" s="171" t="n">
        <v>0</v>
      </c>
      <c r="DS217" s="170" t="n">
        <v>0</v>
      </c>
      <c r="DT217" s="171" t="n">
        <v>0</v>
      </c>
      <c r="DU217" s="171" t="n">
        <v>0</v>
      </c>
      <c r="DV217" s="171" t="n">
        <v>0</v>
      </c>
      <c r="DW217" s="171" t="n">
        <v>0</v>
      </c>
      <c r="DX217" s="170" t="n">
        <v>0</v>
      </c>
      <c r="DY217" s="171" t="n">
        <v>0</v>
      </c>
      <c r="DZ217" s="171" t="n">
        <v>0</v>
      </c>
      <c r="EA217" s="171" t="n">
        <v>0</v>
      </c>
      <c r="EB217" s="171" t="n">
        <v>0</v>
      </c>
      <c r="EC217" s="170" t="n">
        <v>0</v>
      </c>
      <c r="ED217" s="171" t="n">
        <v>0</v>
      </c>
      <c r="EE217" s="171" t="n">
        <v>0</v>
      </c>
      <c r="EF217" s="171" t="n">
        <v>0</v>
      </c>
      <c r="EG217" s="171" t="n">
        <v>0</v>
      </c>
      <c r="EH217" s="170" t="n">
        <v>0</v>
      </c>
      <c r="EI217" s="171" t="n">
        <v>0</v>
      </c>
      <c r="EJ217" s="171" t="n">
        <v>0</v>
      </c>
      <c r="EK217" s="171" t="n">
        <v>0</v>
      </c>
      <c r="EL217" s="171" t="n">
        <v>0</v>
      </c>
      <c r="EM217" s="170" t="n">
        <v>0</v>
      </c>
      <c r="EN217" s="171" t="n">
        <v>0</v>
      </c>
      <c r="EO217" s="171" t="n">
        <v>0</v>
      </c>
      <c r="EP217" s="171" t="n">
        <v>0</v>
      </c>
      <c r="EQ217" s="171" t="n">
        <v>0</v>
      </c>
      <c r="ER217" s="170" t="n">
        <v>0</v>
      </c>
      <c r="ES217" s="171" t="n">
        <v>0</v>
      </c>
      <c r="ET217" s="171" t="n">
        <v>0</v>
      </c>
      <c r="EU217" s="171" t="n">
        <v>0</v>
      </c>
      <c r="EV217" s="171" t="n">
        <v>0</v>
      </c>
      <c r="EW217" s="170" t="n">
        <v>0</v>
      </c>
      <c r="EX217" s="171" t="n">
        <v>0</v>
      </c>
      <c r="EY217" s="171" t="n">
        <v>0</v>
      </c>
      <c r="EZ217" s="171" t="n">
        <v>0</v>
      </c>
      <c r="FA217" s="171" t="n">
        <v>0</v>
      </c>
      <c r="FB217" s="170" t="n">
        <v>0</v>
      </c>
      <c r="FC217" s="171" t="n">
        <v>0</v>
      </c>
      <c r="FD217" s="171" t="n">
        <v>0</v>
      </c>
      <c r="FE217" s="171" t="n">
        <v>0</v>
      </c>
      <c r="FF217" s="171" t="n">
        <v>0</v>
      </c>
      <c r="FG217" s="170" t="n">
        <v>0</v>
      </c>
      <c r="FH217" s="171" t="n">
        <v>0</v>
      </c>
      <c r="FI217" s="171" t="n">
        <v>0</v>
      </c>
      <c r="FJ217" s="171" t="n">
        <v>0</v>
      </c>
      <c r="FK217" s="171" t="n">
        <v>0</v>
      </c>
      <c r="FL217" s="170" t="n">
        <v>0</v>
      </c>
      <c r="FM217" s="171" t="n">
        <v>0</v>
      </c>
      <c r="FN217" s="171" t="n">
        <v>0</v>
      </c>
      <c r="FO217" s="171" t="n">
        <v>0</v>
      </c>
      <c r="FP217" s="171" t="n">
        <v>0</v>
      </c>
      <c r="FQ217" s="170" t="n">
        <v>0</v>
      </c>
      <c r="FR217" s="171" t="n">
        <v>0</v>
      </c>
      <c r="FS217" s="171" t="n">
        <v>0</v>
      </c>
      <c r="FT217" s="171" t="n">
        <v>0</v>
      </c>
      <c r="FU217" s="171" t="n">
        <v>0</v>
      </c>
      <c r="FV217" s="170" t="n">
        <v>0</v>
      </c>
      <c r="FW217" s="171" t="n">
        <v>0</v>
      </c>
      <c r="FX217" s="171" t="n">
        <v>0</v>
      </c>
      <c r="FY217" s="171" t="n">
        <v>0</v>
      </c>
    </row>
    <row r="218" customFormat="false" ht="16.4" hidden="false" customHeight="false" outlineLevel="0" collapsed="false">
      <c r="A218" s="169" t="s">
        <v>376</v>
      </c>
      <c r="B218" s="171" t="n">
        <v>0</v>
      </c>
      <c r="C218" s="171" t="n">
        <v>0</v>
      </c>
      <c r="D218" s="170" t="n">
        <v>0</v>
      </c>
      <c r="E218" s="171" t="n">
        <v>0</v>
      </c>
      <c r="F218" s="171" t="n">
        <v>0</v>
      </c>
      <c r="G218" s="171" t="n">
        <v>0</v>
      </c>
      <c r="H218" s="171" t="n">
        <v>0</v>
      </c>
      <c r="I218" s="170" t="n">
        <v>0</v>
      </c>
      <c r="J218" s="171" t="n">
        <v>0</v>
      </c>
      <c r="K218" s="171" t="n">
        <v>0</v>
      </c>
      <c r="L218" s="171" t="n">
        <v>0</v>
      </c>
      <c r="M218" s="171" t="n">
        <v>0</v>
      </c>
      <c r="N218" s="170" t="n">
        <v>0</v>
      </c>
      <c r="O218" s="171" t="n">
        <v>0</v>
      </c>
      <c r="P218" s="171" t="n">
        <v>0</v>
      </c>
      <c r="Q218" s="171" t="n">
        <v>0</v>
      </c>
      <c r="R218" s="171" t="n">
        <v>0</v>
      </c>
      <c r="S218" s="170" t="n">
        <v>0</v>
      </c>
      <c r="T218" s="171" t="n">
        <v>0</v>
      </c>
      <c r="U218" s="171" t="n">
        <v>0</v>
      </c>
      <c r="V218" s="171" t="n">
        <v>0</v>
      </c>
      <c r="W218" s="171" t="n">
        <v>0</v>
      </c>
      <c r="X218" s="170" t="n">
        <v>0</v>
      </c>
      <c r="Y218" s="171" t="n">
        <v>0</v>
      </c>
      <c r="Z218" s="171" t="n">
        <v>0</v>
      </c>
      <c r="AA218" s="171" t="n">
        <v>0</v>
      </c>
      <c r="AB218" s="171" t="n">
        <v>0</v>
      </c>
      <c r="AC218" s="170" t="n">
        <v>0</v>
      </c>
      <c r="AD218" s="171" t="n">
        <v>0</v>
      </c>
      <c r="AE218" s="171" t="n">
        <v>0</v>
      </c>
      <c r="AF218" s="171" t="n">
        <v>0</v>
      </c>
      <c r="AG218" s="171" t="n">
        <v>0</v>
      </c>
      <c r="AH218" s="170" t="n">
        <v>0</v>
      </c>
      <c r="AI218" s="171" t="n">
        <v>0</v>
      </c>
      <c r="AJ218" s="171" t="n">
        <v>0</v>
      </c>
      <c r="AK218" s="171" t="n">
        <v>0</v>
      </c>
      <c r="AL218" s="171" t="n">
        <v>0</v>
      </c>
      <c r="AM218" s="170" t="n">
        <v>0</v>
      </c>
      <c r="AN218" s="171" t="n">
        <v>0</v>
      </c>
      <c r="AO218" s="171" t="n">
        <v>0</v>
      </c>
      <c r="AP218" s="171" t="n">
        <v>0</v>
      </c>
      <c r="AQ218" s="171" t="n">
        <v>0</v>
      </c>
      <c r="AR218" s="170" t="n">
        <v>0</v>
      </c>
      <c r="AS218" s="171" t="n">
        <v>0</v>
      </c>
      <c r="AT218" s="171" t="n">
        <v>0</v>
      </c>
      <c r="AU218" s="171" t="n">
        <v>0</v>
      </c>
      <c r="AV218" s="171" t="n">
        <v>0</v>
      </c>
      <c r="AW218" s="170" t="n">
        <v>0</v>
      </c>
      <c r="AX218" s="171" t="n">
        <v>0</v>
      </c>
      <c r="AY218" s="171" t="n">
        <v>0</v>
      </c>
      <c r="AZ218" s="171" t="n">
        <v>0</v>
      </c>
      <c r="BA218" s="171" t="n">
        <v>0</v>
      </c>
      <c r="BB218" s="170" t="n">
        <v>0</v>
      </c>
      <c r="BC218" s="171" t="n">
        <v>0</v>
      </c>
      <c r="BD218" s="171" t="n">
        <v>0</v>
      </c>
      <c r="BE218" s="171" t="n">
        <v>0</v>
      </c>
      <c r="BF218" s="171" t="n">
        <v>0</v>
      </c>
      <c r="BG218" s="170" t="n">
        <v>0</v>
      </c>
      <c r="BH218" s="171" t="n">
        <v>0</v>
      </c>
      <c r="BI218" s="171" t="n">
        <v>0</v>
      </c>
      <c r="BJ218" s="171" t="n">
        <v>0</v>
      </c>
      <c r="BK218" s="171" t="n">
        <v>0</v>
      </c>
      <c r="BL218" s="170" t="n">
        <v>0</v>
      </c>
      <c r="BM218" s="171" t="n">
        <v>0</v>
      </c>
      <c r="BN218" s="171" t="n">
        <v>0</v>
      </c>
      <c r="BO218" s="171" t="n">
        <v>0</v>
      </c>
      <c r="BP218" s="171" t="n">
        <v>0</v>
      </c>
      <c r="BQ218" s="170" t="n">
        <v>0</v>
      </c>
      <c r="BR218" s="171" t="n">
        <v>0</v>
      </c>
      <c r="BS218" s="171" t="n">
        <v>0</v>
      </c>
      <c r="BT218" s="171" t="n">
        <v>0</v>
      </c>
      <c r="BU218" s="171" t="n">
        <v>0</v>
      </c>
      <c r="BV218" s="170" t="n">
        <v>0</v>
      </c>
      <c r="BW218" s="171" t="n">
        <v>0</v>
      </c>
      <c r="BX218" s="171" t="n">
        <v>0</v>
      </c>
      <c r="BY218" s="171" t="n">
        <v>0</v>
      </c>
      <c r="BZ218" s="171" t="n">
        <v>0</v>
      </c>
      <c r="CA218" s="170" t="n">
        <v>0</v>
      </c>
      <c r="CB218" s="171" t="n">
        <v>0</v>
      </c>
      <c r="CC218" s="171" t="n">
        <v>0</v>
      </c>
      <c r="CD218" s="171" t="n">
        <v>0</v>
      </c>
      <c r="CE218" s="171" t="n">
        <v>0</v>
      </c>
      <c r="CF218" s="170" t="n">
        <v>0</v>
      </c>
      <c r="CG218" s="171" t="n">
        <v>0</v>
      </c>
      <c r="CH218" s="171" t="n">
        <v>0</v>
      </c>
      <c r="CI218" s="171" t="n">
        <v>0</v>
      </c>
      <c r="CJ218" s="171" t="n">
        <v>0</v>
      </c>
      <c r="CK218" s="170" t="n">
        <v>0</v>
      </c>
      <c r="CL218" s="171" t="n">
        <v>0</v>
      </c>
      <c r="CM218" s="171" t="n">
        <v>0</v>
      </c>
      <c r="CN218" s="171" t="n">
        <v>0</v>
      </c>
      <c r="CO218" s="171" t="n">
        <v>0</v>
      </c>
      <c r="CP218" s="170" t="n">
        <v>0</v>
      </c>
      <c r="CQ218" s="171" t="n">
        <v>0</v>
      </c>
      <c r="CR218" s="171" t="n">
        <v>0</v>
      </c>
      <c r="CS218" s="171" t="n">
        <v>0</v>
      </c>
      <c r="CT218" s="171" t="n">
        <v>0</v>
      </c>
      <c r="CU218" s="170" t="n">
        <v>0</v>
      </c>
      <c r="CV218" s="171" t="n">
        <v>0</v>
      </c>
      <c r="CW218" s="171" t="n">
        <v>0</v>
      </c>
      <c r="CX218" s="171" t="n">
        <v>0</v>
      </c>
      <c r="CY218" s="171" t="n">
        <v>0</v>
      </c>
      <c r="CZ218" s="170" t="n">
        <v>0</v>
      </c>
      <c r="DA218" s="171" t="n">
        <v>0</v>
      </c>
      <c r="DB218" s="171" t="n">
        <v>0</v>
      </c>
      <c r="DC218" s="171" t="n">
        <v>0</v>
      </c>
      <c r="DD218" s="171" t="n">
        <v>0</v>
      </c>
      <c r="DE218" s="170" t="n">
        <v>0</v>
      </c>
      <c r="DF218" s="171" t="n">
        <v>0</v>
      </c>
      <c r="DG218" s="171" t="n">
        <v>0</v>
      </c>
      <c r="DH218" s="171" t="n">
        <v>0</v>
      </c>
      <c r="DI218" s="171" t="n">
        <v>0</v>
      </c>
      <c r="DJ218" s="170" t="n">
        <v>0</v>
      </c>
      <c r="DK218" s="171" t="n">
        <v>0</v>
      </c>
      <c r="DL218" s="171" t="n">
        <v>0</v>
      </c>
      <c r="DM218" s="171" t="n">
        <v>0</v>
      </c>
      <c r="DN218" s="171" t="n">
        <v>0</v>
      </c>
      <c r="DO218" s="170" t="n">
        <v>0</v>
      </c>
      <c r="DP218" s="171" t="n">
        <v>0</v>
      </c>
      <c r="DQ218" s="171" t="n">
        <v>0</v>
      </c>
      <c r="DR218" s="171" t="n">
        <v>0</v>
      </c>
      <c r="DS218" s="171" t="n">
        <v>0</v>
      </c>
      <c r="DT218" s="170" t="n">
        <v>0</v>
      </c>
      <c r="DU218" s="171" t="n">
        <v>0</v>
      </c>
      <c r="DV218" s="171" t="n">
        <v>0</v>
      </c>
      <c r="DW218" s="171" t="n">
        <v>0</v>
      </c>
      <c r="DX218" s="171" t="n">
        <v>0</v>
      </c>
      <c r="DY218" s="170" t="n">
        <v>0</v>
      </c>
      <c r="DZ218" s="171" t="n">
        <v>0</v>
      </c>
      <c r="EA218" s="171" t="n">
        <v>0</v>
      </c>
      <c r="EB218" s="171" t="n">
        <v>0</v>
      </c>
      <c r="EC218" s="171" t="n">
        <v>0</v>
      </c>
      <c r="ED218" s="170" t="n">
        <v>0</v>
      </c>
      <c r="EE218" s="171" t="n">
        <v>0</v>
      </c>
      <c r="EF218" s="171" t="n">
        <v>0</v>
      </c>
      <c r="EG218" s="171" t="n">
        <v>0</v>
      </c>
      <c r="EH218" s="171" t="n">
        <v>0</v>
      </c>
      <c r="EI218" s="170" t="n">
        <v>0</v>
      </c>
      <c r="EJ218" s="171" t="n">
        <v>0</v>
      </c>
      <c r="EK218" s="171" t="n">
        <v>0</v>
      </c>
      <c r="EL218" s="171" t="n">
        <v>0</v>
      </c>
      <c r="EM218" s="171" t="n">
        <v>0</v>
      </c>
      <c r="EN218" s="170" t="n">
        <v>0</v>
      </c>
      <c r="EO218" s="171" t="n">
        <v>0</v>
      </c>
      <c r="EP218" s="171" t="n">
        <v>0</v>
      </c>
      <c r="EQ218" s="171" t="n">
        <v>0</v>
      </c>
      <c r="ER218" s="171" t="n">
        <v>0</v>
      </c>
      <c r="ES218" s="170" t="n">
        <v>0</v>
      </c>
      <c r="ET218" s="171" t="n">
        <v>0</v>
      </c>
      <c r="EU218" s="171" t="n">
        <v>0</v>
      </c>
      <c r="EV218" s="171" t="n">
        <v>0</v>
      </c>
      <c r="EW218" s="171" t="n">
        <v>0</v>
      </c>
      <c r="EX218" s="170" t="n">
        <v>0</v>
      </c>
      <c r="EY218" s="171" t="n">
        <v>0</v>
      </c>
      <c r="EZ218" s="171" t="n">
        <v>0</v>
      </c>
      <c r="FA218" s="171" t="n">
        <v>0</v>
      </c>
      <c r="FB218" s="171" t="n">
        <v>0</v>
      </c>
      <c r="FC218" s="170" t="n">
        <v>0</v>
      </c>
      <c r="FD218" s="171" t="n">
        <v>0</v>
      </c>
      <c r="FE218" s="171" t="n">
        <v>0</v>
      </c>
      <c r="FF218" s="171" t="n">
        <v>0</v>
      </c>
      <c r="FG218" s="171" t="n">
        <v>0</v>
      </c>
      <c r="FH218" s="170" t="n">
        <v>0</v>
      </c>
      <c r="FI218" s="171" t="n">
        <v>0</v>
      </c>
      <c r="FJ218" s="171" t="n">
        <v>0</v>
      </c>
      <c r="FK218" s="171" t="n">
        <v>0</v>
      </c>
      <c r="FL218" s="171" t="n">
        <v>0</v>
      </c>
      <c r="FM218" s="170" t="n">
        <v>0</v>
      </c>
      <c r="FN218" s="171" t="n">
        <v>0</v>
      </c>
      <c r="FO218" s="171" t="n">
        <v>0</v>
      </c>
      <c r="FP218" s="171" t="n">
        <v>0</v>
      </c>
      <c r="FQ218" s="171" t="n">
        <v>0</v>
      </c>
      <c r="FR218" s="170" t="n">
        <v>0</v>
      </c>
      <c r="FS218" s="171" t="n">
        <v>0</v>
      </c>
      <c r="FT218" s="171" t="n">
        <v>0</v>
      </c>
      <c r="FU218" s="171" t="n">
        <v>0</v>
      </c>
      <c r="FV218" s="171" t="n">
        <v>0</v>
      </c>
      <c r="FW218" s="170" t="n">
        <v>0</v>
      </c>
      <c r="FX218" s="171" t="n">
        <v>0</v>
      </c>
      <c r="FY218" s="171" t="n">
        <v>0</v>
      </c>
    </row>
    <row r="219" customFormat="false" ht="16.4" hidden="false" customHeight="false" outlineLevel="0" collapsed="false">
      <c r="A219" s="169" t="s">
        <v>377</v>
      </c>
      <c r="B219" s="171" t="n">
        <v>0</v>
      </c>
      <c r="C219" s="171" t="n">
        <v>0</v>
      </c>
      <c r="D219" s="171" t="n">
        <v>0</v>
      </c>
      <c r="E219" s="170" t="n">
        <v>0</v>
      </c>
      <c r="F219" s="171" t="n">
        <v>0</v>
      </c>
      <c r="G219" s="171" t="n">
        <v>0</v>
      </c>
      <c r="H219" s="171" t="n">
        <v>0</v>
      </c>
      <c r="I219" s="171" t="n">
        <v>0</v>
      </c>
      <c r="J219" s="170" t="n">
        <v>0</v>
      </c>
      <c r="K219" s="171" t="n">
        <v>0</v>
      </c>
      <c r="L219" s="171" t="n">
        <v>0</v>
      </c>
      <c r="M219" s="171" t="n">
        <v>0</v>
      </c>
      <c r="N219" s="171" t="n">
        <v>0</v>
      </c>
      <c r="O219" s="170" t="n">
        <v>0</v>
      </c>
      <c r="P219" s="171" t="n">
        <v>0</v>
      </c>
      <c r="Q219" s="171" t="n">
        <v>0</v>
      </c>
      <c r="R219" s="171" t="n">
        <v>0</v>
      </c>
      <c r="S219" s="171" t="n">
        <v>0</v>
      </c>
      <c r="T219" s="170" t="n">
        <v>0</v>
      </c>
      <c r="U219" s="171" t="n">
        <v>0</v>
      </c>
      <c r="V219" s="171" t="n">
        <v>0</v>
      </c>
      <c r="W219" s="171" t="n">
        <v>0</v>
      </c>
      <c r="X219" s="171" t="n">
        <v>0</v>
      </c>
      <c r="Y219" s="170" t="n">
        <v>0</v>
      </c>
      <c r="Z219" s="171" t="n">
        <v>0</v>
      </c>
      <c r="AA219" s="171" t="n">
        <v>0</v>
      </c>
      <c r="AB219" s="171" t="n">
        <v>0</v>
      </c>
      <c r="AC219" s="171" t="n">
        <v>0</v>
      </c>
      <c r="AD219" s="170" t="n">
        <v>0</v>
      </c>
      <c r="AE219" s="171" t="n">
        <v>0</v>
      </c>
      <c r="AF219" s="171" t="n">
        <v>0</v>
      </c>
      <c r="AG219" s="171" t="n">
        <v>0</v>
      </c>
      <c r="AH219" s="171" t="n">
        <v>0</v>
      </c>
      <c r="AI219" s="170" t="n">
        <v>0</v>
      </c>
      <c r="AJ219" s="171" t="n">
        <v>0</v>
      </c>
      <c r="AK219" s="171" t="n">
        <v>0</v>
      </c>
      <c r="AL219" s="171" t="n">
        <v>0</v>
      </c>
      <c r="AM219" s="171" t="n">
        <v>0</v>
      </c>
      <c r="AN219" s="170" t="n">
        <v>0</v>
      </c>
      <c r="AO219" s="171" t="n">
        <v>0</v>
      </c>
      <c r="AP219" s="171" t="n">
        <v>0</v>
      </c>
      <c r="AQ219" s="171" t="n">
        <v>0</v>
      </c>
      <c r="AR219" s="171" t="n">
        <v>0</v>
      </c>
      <c r="AS219" s="170" t="n">
        <v>0</v>
      </c>
      <c r="AT219" s="171" t="n">
        <v>0</v>
      </c>
      <c r="AU219" s="171" t="n">
        <v>0</v>
      </c>
      <c r="AV219" s="171" t="n">
        <v>0</v>
      </c>
      <c r="AW219" s="171" t="n">
        <v>0</v>
      </c>
      <c r="AX219" s="170" t="n">
        <v>0</v>
      </c>
      <c r="AY219" s="171" t="n">
        <v>0</v>
      </c>
      <c r="AZ219" s="171" t="n">
        <v>0</v>
      </c>
      <c r="BA219" s="171" t="n">
        <v>0</v>
      </c>
      <c r="BB219" s="171" t="n">
        <v>0</v>
      </c>
      <c r="BC219" s="170" t="n">
        <v>0</v>
      </c>
      <c r="BD219" s="171" t="n">
        <v>0</v>
      </c>
      <c r="BE219" s="171" t="n">
        <v>0</v>
      </c>
      <c r="BF219" s="171" t="n">
        <v>0</v>
      </c>
      <c r="BG219" s="171" t="n">
        <v>0</v>
      </c>
      <c r="BH219" s="170" t="n">
        <v>0</v>
      </c>
      <c r="BI219" s="171" t="n">
        <v>0</v>
      </c>
      <c r="BJ219" s="171" t="n">
        <v>0</v>
      </c>
      <c r="BK219" s="171" t="n">
        <v>0</v>
      </c>
      <c r="BL219" s="171" t="n">
        <v>0</v>
      </c>
      <c r="BM219" s="170" t="n">
        <v>0</v>
      </c>
      <c r="BN219" s="171" t="n">
        <v>0</v>
      </c>
      <c r="BO219" s="171" t="n">
        <v>0</v>
      </c>
      <c r="BP219" s="171" t="n">
        <v>0</v>
      </c>
      <c r="BQ219" s="171" t="n">
        <v>0</v>
      </c>
      <c r="BR219" s="170" t="n">
        <v>0</v>
      </c>
      <c r="BS219" s="171" t="n">
        <v>0</v>
      </c>
      <c r="BT219" s="171" t="n">
        <v>0</v>
      </c>
      <c r="BU219" s="171" t="n">
        <v>0</v>
      </c>
      <c r="BV219" s="171" t="n">
        <v>0</v>
      </c>
      <c r="BW219" s="170" t="n">
        <v>0</v>
      </c>
      <c r="BX219" s="171" t="n">
        <v>0</v>
      </c>
      <c r="BY219" s="171" t="n">
        <v>0</v>
      </c>
      <c r="BZ219" s="171" t="n">
        <v>0</v>
      </c>
      <c r="CA219" s="171" t="n">
        <v>0</v>
      </c>
      <c r="CB219" s="170" t="n">
        <v>0</v>
      </c>
      <c r="CC219" s="171" t="n">
        <v>0</v>
      </c>
      <c r="CD219" s="171" t="n">
        <v>0</v>
      </c>
      <c r="CE219" s="171" t="n">
        <v>0</v>
      </c>
      <c r="CF219" s="171" t="n">
        <v>0</v>
      </c>
      <c r="CG219" s="170" t="n">
        <v>0</v>
      </c>
      <c r="CH219" s="171" t="n">
        <v>0</v>
      </c>
      <c r="CI219" s="171" t="n">
        <v>0</v>
      </c>
      <c r="CJ219" s="171" t="n">
        <v>0</v>
      </c>
      <c r="CK219" s="171" t="n">
        <v>0</v>
      </c>
      <c r="CL219" s="170" t="n">
        <v>0</v>
      </c>
      <c r="CM219" s="171" t="n">
        <v>0</v>
      </c>
      <c r="CN219" s="171" t="n">
        <v>0</v>
      </c>
      <c r="CO219" s="171" t="n">
        <v>0</v>
      </c>
      <c r="CP219" s="171" t="n">
        <v>0</v>
      </c>
      <c r="CQ219" s="170" t="n">
        <v>0</v>
      </c>
      <c r="CR219" s="171" t="n">
        <v>0</v>
      </c>
      <c r="CS219" s="171" t="n">
        <v>0</v>
      </c>
      <c r="CT219" s="171" t="n">
        <v>0</v>
      </c>
      <c r="CU219" s="171" t="n">
        <v>0</v>
      </c>
      <c r="CV219" s="170" t="n">
        <v>0</v>
      </c>
      <c r="CW219" s="171" t="n">
        <v>0</v>
      </c>
      <c r="CX219" s="171" t="n">
        <v>0</v>
      </c>
      <c r="CY219" s="171" t="n">
        <v>0</v>
      </c>
      <c r="CZ219" s="171" t="n">
        <v>0</v>
      </c>
      <c r="DA219" s="170" t="n">
        <v>0</v>
      </c>
      <c r="DB219" s="171" t="n">
        <v>0</v>
      </c>
      <c r="DC219" s="171" t="n">
        <v>0</v>
      </c>
      <c r="DD219" s="171" t="n">
        <v>0</v>
      </c>
      <c r="DE219" s="171" t="n">
        <v>0</v>
      </c>
      <c r="DF219" s="170" t="n">
        <v>0</v>
      </c>
      <c r="DG219" s="171" t="n">
        <v>0</v>
      </c>
      <c r="DH219" s="171" t="n">
        <v>0</v>
      </c>
      <c r="DI219" s="171" t="n">
        <v>0</v>
      </c>
      <c r="DJ219" s="171" t="n">
        <v>0</v>
      </c>
      <c r="DK219" s="170" t="n">
        <v>0</v>
      </c>
      <c r="DL219" s="171" t="n">
        <v>0</v>
      </c>
      <c r="DM219" s="171" t="n">
        <v>0</v>
      </c>
      <c r="DN219" s="171" t="n">
        <v>0</v>
      </c>
      <c r="DO219" s="171" t="n">
        <v>0</v>
      </c>
      <c r="DP219" s="170" t="n">
        <v>0</v>
      </c>
      <c r="DQ219" s="171" t="n">
        <v>0</v>
      </c>
      <c r="DR219" s="171" t="n">
        <v>0</v>
      </c>
      <c r="DS219" s="171" t="n">
        <v>0</v>
      </c>
      <c r="DT219" s="171" t="n">
        <v>0</v>
      </c>
      <c r="DU219" s="170" t="n">
        <v>0</v>
      </c>
      <c r="DV219" s="171" t="n">
        <v>0</v>
      </c>
      <c r="DW219" s="171" t="n">
        <v>0</v>
      </c>
      <c r="DX219" s="171" t="n">
        <v>0</v>
      </c>
      <c r="DY219" s="171" t="n">
        <v>0</v>
      </c>
      <c r="DZ219" s="170" t="n">
        <v>0</v>
      </c>
      <c r="EA219" s="171" t="n">
        <v>0</v>
      </c>
      <c r="EB219" s="171" t="n">
        <v>0</v>
      </c>
      <c r="EC219" s="171" t="n">
        <v>0</v>
      </c>
      <c r="ED219" s="171" t="n">
        <v>0</v>
      </c>
      <c r="EE219" s="170" t="n">
        <v>0</v>
      </c>
      <c r="EF219" s="171" t="n">
        <v>0</v>
      </c>
      <c r="EG219" s="171" t="n">
        <v>0</v>
      </c>
      <c r="EH219" s="171" t="n">
        <v>0</v>
      </c>
      <c r="EI219" s="171" t="n">
        <v>0</v>
      </c>
      <c r="EJ219" s="170" t="n">
        <v>0</v>
      </c>
      <c r="EK219" s="171" t="n">
        <v>0</v>
      </c>
      <c r="EL219" s="171" t="n">
        <v>0</v>
      </c>
      <c r="EM219" s="171" t="n">
        <v>0</v>
      </c>
      <c r="EN219" s="171" t="n">
        <v>0</v>
      </c>
      <c r="EO219" s="170" t="n">
        <v>0</v>
      </c>
      <c r="EP219" s="171" t="n">
        <v>0</v>
      </c>
      <c r="EQ219" s="171" t="n">
        <v>0</v>
      </c>
      <c r="ER219" s="171" t="n">
        <v>0</v>
      </c>
      <c r="ES219" s="171" t="n">
        <v>0</v>
      </c>
      <c r="ET219" s="170" t="n">
        <v>0</v>
      </c>
      <c r="EU219" s="171" t="n">
        <v>0</v>
      </c>
      <c r="EV219" s="171" t="n">
        <v>0</v>
      </c>
      <c r="EW219" s="171" t="n">
        <v>0</v>
      </c>
      <c r="EX219" s="171" t="n">
        <v>0</v>
      </c>
      <c r="EY219" s="170" t="n">
        <v>0</v>
      </c>
      <c r="EZ219" s="171" t="n">
        <v>0</v>
      </c>
      <c r="FA219" s="171" t="n">
        <v>0</v>
      </c>
      <c r="FB219" s="171" t="n">
        <v>0</v>
      </c>
      <c r="FC219" s="171" t="n">
        <v>0</v>
      </c>
      <c r="FD219" s="170" t="n">
        <v>0</v>
      </c>
      <c r="FE219" s="171" t="n">
        <v>0</v>
      </c>
      <c r="FF219" s="171" t="n">
        <v>0</v>
      </c>
      <c r="FG219" s="171" t="n">
        <v>0</v>
      </c>
      <c r="FH219" s="171" t="n">
        <v>0</v>
      </c>
      <c r="FI219" s="170" t="n">
        <v>0</v>
      </c>
      <c r="FJ219" s="171" t="n">
        <v>0</v>
      </c>
      <c r="FK219" s="171" t="n">
        <v>0</v>
      </c>
      <c r="FL219" s="171" t="n">
        <v>0</v>
      </c>
      <c r="FM219" s="171" t="n">
        <v>0</v>
      </c>
      <c r="FN219" s="170" t="n">
        <v>0</v>
      </c>
      <c r="FO219" s="171" t="n">
        <v>0</v>
      </c>
      <c r="FP219" s="171" t="n">
        <v>0</v>
      </c>
      <c r="FQ219" s="171" t="n">
        <v>0</v>
      </c>
      <c r="FR219" s="171" t="n">
        <v>0</v>
      </c>
      <c r="FS219" s="170" t="n">
        <v>0</v>
      </c>
      <c r="FT219" s="171" t="n">
        <v>0</v>
      </c>
      <c r="FU219" s="171" t="n">
        <v>0</v>
      </c>
      <c r="FV219" s="171" t="n">
        <v>0</v>
      </c>
      <c r="FW219" s="171" t="n">
        <v>0</v>
      </c>
      <c r="FX219" s="170" t="n">
        <v>0</v>
      </c>
      <c r="FY219" s="171" t="n">
        <v>0</v>
      </c>
    </row>
    <row r="220" customFormat="false" ht="16.4" hidden="false" customHeight="false" outlineLevel="0" collapsed="false">
      <c r="A220" s="169" t="s">
        <v>378</v>
      </c>
      <c r="B220" s="171" t="n">
        <v>0</v>
      </c>
      <c r="C220" s="171" t="n">
        <v>0</v>
      </c>
      <c r="D220" s="171" t="n">
        <v>0</v>
      </c>
      <c r="E220" s="171" t="n">
        <v>0</v>
      </c>
      <c r="F220" s="170" t="n">
        <v>0</v>
      </c>
      <c r="G220" s="171" t="n">
        <v>0</v>
      </c>
      <c r="H220" s="171" t="n">
        <v>0</v>
      </c>
      <c r="I220" s="171" t="n">
        <v>0</v>
      </c>
      <c r="J220" s="171" t="n">
        <v>0</v>
      </c>
      <c r="K220" s="170" t="n">
        <v>0</v>
      </c>
      <c r="L220" s="171" t="n">
        <v>0</v>
      </c>
      <c r="M220" s="171" t="n">
        <v>0</v>
      </c>
      <c r="N220" s="171" t="n">
        <v>0</v>
      </c>
      <c r="O220" s="171" t="n">
        <v>0</v>
      </c>
      <c r="P220" s="170" t="n">
        <v>0</v>
      </c>
      <c r="Q220" s="171" t="n">
        <v>0</v>
      </c>
      <c r="R220" s="171" t="n">
        <v>0</v>
      </c>
      <c r="S220" s="171" t="n">
        <v>0</v>
      </c>
      <c r="T220" s="171" t="n">
        <v>0</v>
      </c>
      <c r="U220" s="170" t="n">
        <v>0</v>
      </c>
      <c r="V220" s="171" t="n">
        <v>0</v>
      </c>
      <c r="W220" s="171" t="n">
        <v>0</v>
      </c>
      <c r="X220" s="171" t="n">
        <v>0</v>
      </c>
      <c r="Y220" s="171" t="n">
        <v>0</v>
      </c>
      <c r="Z220" s="170" t="n">
        <v>0</v>
      </c>
      <c r="AA220" s="171" t="n">
        <v>0</v>
      </c>
      <c r="AB220" s="171" t="n">
        <v>0</v>
      </c>
      <c r="AC220" s="171" t="n">
        <v>0</v>
      </c>
      <c r="AD220" s="171" t="n">
        <v>0</v>
      </c>
      <c r="AE220" s="170" t="n">
        <v>0</v>
      </c>
      <c r="AF220" s="171" t="n">
        <v>0</v>
      </c>
      <c r="AG220" s="171" t="n">
        <v>0</v>
      </c>
      <c r="AH220" s="171" t="n">
        <v>0</v>
      </c>
      <c r="AI220" s="171" t="n">
        <v>0</v>
      </c>
      <c r="AJ220" s="170" t="n">
        <v>0</v>
      </c>
      <c r="AK220" s="171" t="n">
        <v>0</v>
      </c>
      <c r="AL220" s="171" t="n">
        <v>0</v>
      </c>
      <c r="AM220" s="171" t="n">
        <v>0</v>
      </c>
      <c r="AN220" s="171" t="n">
        <v>0</v>
      </c>
      <c r="AO220" s="170" t="n">
        <v>0</v>
      </c>
      <c r="AP220" s="171" t="n">
        <v>0</v>
      </c>
      <c r="AQ220" s="171" t="n">
        <v>0</v>
      </c>
      <c r="AR220" s="171" t="n">
        <v>0</v>
      </c>
      <c r="AS220" s="171" t="n">
        <v>0</v>
      </c>
      <c r="AT220" s="170" t="n">
        <v>0</v>
      </c>
      <c r="AU220" s="171" t="n">
        <v>0</v>
      </c>
      <c r="AV220" s="171" t="n">
        <v>0</v>
      </c>
      <c r="AW220" s="171" t="n">
        <v>0</v>
      </c>
      <c r="AX220" s="171" t="n">
        <v>0</v>
      </c>
      <c r="AY220" s="170" t="n">
        <v>0</v>
      </c>
      <c r="AZ220" s="171" t="n">
        <v>0</v>
      </c>
      <c r="BA220" s="171" t="n">
        <v>0</v>
      </c>
      <c r="BB220" s="171" t="n">
        <v>0</v>
      </c>
      <c r="BC220" s="171" t="n">
        <v>0</v>
      </c>
      <c r="BD220" s="170" t="n">
        <v>0</v>
      </c>
      <c r="BE220" s="171" t="n">
        <v>0</v>
      </c>
      <c r="BF220" s="171" t="n">
        <v>0</v>
      </c>
      <c r="BG220" s="171" t="n">
        <v>0</v>
      </c>
      <c r="BH220" s="171" t="n">
        <v>0</v>
      </c>
      <c r="BI220" s="170" t="n">
        <v>0</v>
      </c>
      <c r="BJ220" s="171" t="n">
        <v>0</v>
      </c>
      <c r="BK220" s="171" t="n">
        <v>0</v>
      </c>
      <c r="BL220" s="171" t="n">
        <v>0</v>
      </c>
      <c r="BM220" s="171" t="n">
        <v>0</v>
      </c>
      <c r="BN220" s="170" t="n">
        <v>0</v>
      </c>
      <c r="BO220" s="171" t="n">
        <v>0</v>
      </c>
      <c r="BP220" s="171" t="n">
        <v>0</v>
      </c>
      <c r="BQ220" s="171" t="n">
        <v>0</v>
      </c>
      <c r="BR220" s="171" t="n">
        <v>0</v>
      </c>
      <c r="BS220" s="170" t="n">
        <v>0</v>
      </c>
      <c r="BT220" s="171" t="n">
        <v>0</v>
      </c>
      <c r="BU220" s="171" t="n">
        <v>0</v>
      </c>
      <c r="BV220" s="171" t="n">
        <v>0</v>
      </c>
      <c r="BW220" s="171" t="n">
        <v>0</v>
      </c>
      <c r="BX220" s="170" t="n">
        <v>0</v>
      </c>
      <c r="BY220" s="171" t="n">
        <v>0</v>
      </c>
      <c r="BZ220" s="171" t="n">
        <v>0</v>
      </c>
      <c r="CA220" s="171" t="n">
        <v>0</v>
      </c>
      <c r="CB220" s="171" t="n">
        <v>0</v>
      </c>
      <c r="CC220" s="170" t="n">
        <v>0</v>
      </c>
      <c r="CD220" s="171" t="n">
        <v>0</v>
      </c>
      <c r="CE220" s="171" t="n">
        <v>0</v>
      </c>
      <c r="CF220" s="171" t="n">
        <v>0</v>
      </c>
      <c r="CG220" s="171" t="n">
        <v>0</v>
      </c>
      <c r="CH220" s="170" t="n">
        <v>0</v>
      </c>
      <c r="CI220" s="171" t="n">
        <v>0</v>
      </c>
      <c r="CJ220" s="171" t="n">
        <v>0</v>
      </c>
      <c r="CK220" s="171" t="n">
        <v>0</v>
      </c>
      <c r="CL220" s="171" t="n">
        <v>0</v>
      </c>
      <c r="CM220" s="170" t="n">
        <v>0</v>
      </c>
      <c r="CN220" s="171" t="n">
        <v>0</v>
      </c>
      <c r="CO220" s="171" t="n">
        <v>0</v>
      </c>
      <c r="CP220" s="171" t="n">
        <v>0</v>
      </c>
      <c r="CQ220" s="171" t="n">
        <v>0</v>
      </c>
      <c r="CR220" s="170" t="n">
        <v>0</v>
      </c>
      <c r="CS220" s="171" t="n">
        <v>0</v>
      </c>
      <c r="CT220" s="171" t="n">
        <v>0</v>
      </c>
      <c r="CU220" s="171" t="n">
        <v>0</v>
      </c>
      <c r="CV220" s="171" t="n">
        <v>0</v>
      </c>
      <c r="CW220" s="170" t="n">
        <v>0</v>
      </c>
      <c r="CX220" s="171" t="n">
        <v>0</v>
      </c>
      <c r="CY220" s="171" t="n">
        <v>0</v>
      </c>
      <c r="CZ220" s="171" t="n">
        <v>0</v>
      </c>
      <c r="DA220" s="171" t="n">
        <v>0</v>
      </c>
      <c r="DB220" s="170" t="n">
        <v>0</v>
      </c>
      <c r="DC220" s="171" t="n">
        <v>0</v>
      </c>
      <c r="DD220" s="171" t="n">
        <v>0</v>
      </c>
      <c r="DE220" s="171" t="n">
        <v>0</v>
      </c>
      <c r="DF220" s="171" t="n">
        <v>0</v>
      </c>
      <c r="DG220" s="170" t="n">
        <v>0</v>
      </c>
      <c r="DH220" s="171" t="n">
        <v>0</v>
      </c>
      <c r="DI220" s="171" t="n">
        <v>0</v>
      </c>
      <c r="DJ220" s="171" t="n">
        <v>0</v>
      </c>
      <c r="DK220" s="171" t="n">
        <v>0</v>
      </c>
      <c r="DL220" s="170" t="n">
        <v>0</v>
      </c>
      <c r="DM220" s="171" t="n">
        <v>0</v>
      </c>
      <c r="DN220" s="171" t="n">
        <v>0</v>
      </c>
      <c r="DO220" s="171" t="n">
        <v>0</v>
      </c>
      <c r="DP220" s="171" t="n">
        <v>0</v>
      </c>
      <c r="DQ220" s="170" t="n">
        <v>0</v>
      </c>
      <c r="DR220" s="171" t="n">
        <v>0</v>
      </c>
      <c r="DS220" s="171" t="n">
        <v>0</v>
      </c>
      <c r="DT220" s="171" t="n">
        <v>0</v>
      </c>
      <c r="DU220" s="171" t="n">
        <v>0</v>
      </c>
      <c r="DV220" s="170" t="n">
        <v>0</v>
      </c>
      <c r="DW220" s="171" t="n">
        <v>0</v>
      </c>
      <c r="DX220" s="171" t="n">
        <v>0</v>
      </c>
      <c r="DY220" s="171" t="n">
        <v>0</v>
      </c>
      <c r="DZ220" s="171" t="n">
        <v>0</v>
      </c>
      <c r="EA220" s="170" t="n">
        <v>0</v>
      </c>
      <c r="EB220" s="171" t="n">
        <v>0</v>
      </c>
      <c r="EC220" s="171" t="n">
        <v>0</v>
      </c>
      <c r="ED220" s="171" t="n">
        <v>0</v>
      </c>
      <c r="EE220" s="171" t="n">
        <v>0</v>
      </c>
      <c r="EF220" s="170" t="n">
        <v>0</v>
      </c>
      <c r="EG220" s="171" t="n">
        <v>0</v>
      </c>
      <c r="EH220" s="171" t="n">
        <v>0</v>
      </c>
      <c r="EI220" s="171" t="n">
        <v>0</v>
      </c>
      <c r="EJ220" s="171" t="n">
        <v>0</v>
      </c>
      <c r="EK220" s="170" t="n">
        <v>0</v>
      </c>
      <c r="EL220" s="171" t="n">
        <v>0</v>
      </c>
      <c r="EM220" s="171" t="n">
        <v>0</v>
      </c>
      <c r="EN220" s="171" t="n">
        <v>0</v>
      </c>
      <c r="EO220" s="171" t="n">
        <v>0</v>
      </c>
      <c r="EP220" s="170" t="n">
        <v>0</v>
      </c>
      <c r="EQ220" s="171" t="n">
        <v>0</v>
      </c>
      <c r="ER220" s="171" t="n">
        <v>0</v>
      </c>
      <c r="ES220" s="171" t="n">
        <v>0</v>
      </c>
      <c r="ET220" s="171" t="n">
        <v>0</v>
      </c>
      <c r="EU220" s="170" t="n">
        <v>0</v>
      </c>
      <c r="EV220" s="171" t="n">
        <v>0</v>
      </c>
      <c r="EW220" s="171" t="n">
        <v>0</v>
      </c>
      <c r="EX220" s="171" t="n">
        <v>0</v>
      </c>
      <c r="EY220" s="171" t="n">
        <v>0</v>
      </c>
      <c r="EZ220" s="170" t="n">
        <v>0</v>
      </c>
      <c r="FA220" s="171" t="n">
        <v>0</v>
      </c>
      <c r="FB220" s="171" t="n">
        <v>0</v>
      </c>
      <c r="FC220" s="171" t="n">
        <v>0</v>
      </c>
      <c r="FD220" s="171" t="n">
        <v>0</v>
      </c>
      <c r="FE220" s="170" t="n">
        <v>0</v>
      </c>
      <c r="FF220" s="171" t="n">
        <v>0</v>
      </c>
      <c r="FG220" s="171" t="n">
        <v>0</v>
      </c>
      <c r="FH220" s="171" t="n">
        <v>0</v>
      </c>
      <c r="FI220" s="171" t="n">
        <v>0</v>
      </c>
      <c r="FJ220" s="170" t="n">
        <v>0</v>
      </c>
      <c r="FK220" s="171" t="n">
        <v>0</v>
      </c>
      <c r="FL220" s="171" t="n">
        <v>0</v>
      </c>
      <c r="FM220" s="171" t="n">
        <v>0</v>
      </c>
      <c r="FN220" s="171" t="n">
        <v>0</v>
      </c>
      <c r="FO220" s="170" t="n">
        <v>0</v>
      </c>
      <c r="FP220" s="171" t="n">
        <v>0</v>
      </c>
      <c r="FQ220" s="171" t="n">
        <v>0</v>
      </c>
      <c r="FR220" s="171" t="n">
        <v>0</v>
      </c>
      <c r="FS220" s="171" t="n">
        <v>0</v>
      </c>
      <c r="FT220" s="170" t="n">
        <v>0</v>
      </c>
      <c r="FU220" s="171" t="n">
        <v>0</v>
      </c>
      <c r="FV220" s="171" t="n">
        <v>0</v>
      </c>
      <c r="FW220" s="171" t="n">
        <v>0</v>
      </c>
      <c r="FX220" s="171" t="n">
        <v>0</v>
      </c>
      <c r="FY220" s="170" t="n">
        <v>0</v>
      </c>
    </row>
    <row r="221" customFormat="false" ht="14.25" hidden="false" customHeight="false" outlineLevel="0" collapsed="false">
      <c r="A221" s="78"/>
    </row>
    <row r="222" customFormat="false" ht="14.25" hidden="false" customHeight="false" outlineLevel="0" collapsed="false">
      <c r="A222" s="78"/>
    </row>
    <row r="223" customFormat="false" ht="16.4" hidden="false" customHeight="false" outlineLevel="0" collapsed="false">
      <c r="A223" s="163" t="s">
        <v>384</v>
      </c>
    </row>
    <row r="224" customFormat="false" ht="14.25" hidden="false" customHeight="true" outlineLevel="0" collapsed="false">
      <c r="A224" s="164" t="s">
        <v>336</v>
      </c>
      <c r="B224" s="165" t="s">
        <v>385</v>
      </c>
      <c r="C224" s="165"/>
      <c r="D224" s="165"/>
      <c r="E224" s="165"/>
      <c r="F224" s="165"/>
      <c r="G224" s="165" t="s">
        <v>373</v>
      </c>
      <c r="H224" s="165"/>
      <c r="I224" s="165"/>
      <c r="J224" s="165"/>
      <c r="K224" s="165"/>
    </row>
    <row r="225" customFormat="false" ht="14.25" hidden="false" customHeight="false" outlineLevel="0" collapsed="false">
      <c r="A225" s="78"/>
      <c r="B225" s="31" t="s">
        <v>374</v>
      </c>
      <c r="C225" s="31" t="s">
        <v>375</v>
      </c>
      <c r="D225" s="31" t="s">
        <v>376</v>
      </c>
      <c r="E225" s="31" t="s">
        <v>377</v>
      </c>
      <c r="F225" s="31" t="s">
        <v>378</v>
      </c>
      <c r="G225" s="31" t="s">
        <v>374</v>
      </c>
      <c r="H225" s="31" t="s">
        <v>375</v>
      </c>
      <c r="I225" s="31" t="s">
        <v>376</v>
      </c>
      <c r="J225" s="31" t="s">
        <v>377</v>
      </c>
      <c r="K225" s="31" t="s">
        <v>378</v>
      </c>
    </row>
    <row r="226" customFormat="false" ht="16.4" hidden="false" customHeight="false" outlineLevel="0" collapsed="false">
      <c r="A226" s="164" t="s">
        <v>379</v>
      </c>
      <c r="B226" s="144"/>
      <c r="C226" s="144"/>
      <c r="D226" s="144"/>
      <c r="E226" s="144"/>
      <c r="F226" s="144"/>
      <c r="G226" s="144"/>
      <c r="H226" s="144"/>
      <c r="I226" s="144"/>
      <c r="J226" s="144"/>
      <c r="K226" s="144"/>
    </row>
    <row r="227" customFormat="false" ht="16.4" hidden="false" customHeight="false" outlineLevel="0" collapsed="false">
      <c r="A227" s="168" t="s">
        <v>380</v>
      </c>
      <c r="B227" s="30" t="n">
        <v>0</v>
      </c>
      <c r="C227" s="30" t="n">
        <v>0</v>
      </c>
      <c r="D227" s="30" t="n">
        <v>0</v>
      </c>
      <c r="E227" s="30" t="n">
        <v>0</v>
      </c>
      <c r="F227" s="30" t="n">
        <v>0</v>
      </c>
      <c r="G227" s="30" t="n">
        <v>0</v>
      </c>
      <c r="H227" s="30" t="n">
        <v>0</v>
      </c>
      <c r="I227" s="30" t="n">
        <v>0</v>
      </c>
      <c r="J227" s="30" t="n">
        <v>0</v>
      </c>
      <c r="K227" s="30" t="n">
        <v>0</v>
      </c>
    </row>
    <row r="228" customFormat="false" ht="16.4" hidden="false" customHeight="false" outlineLevel="0" collapsed="false">
      <c r="A228" s="168" t="s">
        <v>381</v>
      </c>
      <c r="B228" s="30" t="n">
        <v>0</v>
      </c>
      <c r="C228" s="30" t="n">
        <v>0</v>
      </c>
      <c r="D228" s="30" t="n">
        <v>0</v>
      </c>
      <c r="E228" s="30" t="n">
        <v>0</v>
      </c>
      <c r="F228" s="30" t="n">
        <v>0</v>
      </c>
      <c r="G228" s="30" t="n">
        <v>0</v>
      </c>
      <c r="H228" s="30" t="n">
        <v>0</v>
      </c>
      <c r="I228" s="30" t="n">
        <v>0</v>
      </c>
      <c r="J228" s="30" t="n">
        <v>0</v>
      </c>
      <c r="K228" s="30" t="n">
        <v>0</v>
      </c>
    </row>
    <row r="229" customFormat="false" ht="16.4" hidden="false" customHeight="false" outlineLevel="0" collapsed="false">
      <c r="A229" s="164" t="s">
        <v>382</v>
      </c>
      <c r="B229" s="172"/>
      <c r="C229" s="172"/>
      <c r="D229" s="172"/>
      <c r="E229" s="172"/>
      <c r="F229" s="172"/>
      <c r="G229" s="172"/>
      <c r="H229" s="172"/>
      <c r="I229" s="172"/>
      <c r="J229" s="172"/>
      <c r="K229" s="172"/>
    </row>
    <row r="230" customFormat="false" ht="16.4" hidden="false" customHeight="false" outlineLevel="0" collapsed="false">
      <c r="A230" s="168" t="s">
        <v>380</v>
      </c>
      <c r="B230" s="30" t="n">
        <v>0</v>
      </c>
      <c r="C230" s="30" t="n">
        <v>0</v>
      </c>
      <c r="D230" s="30" t="n">
        <v>0</v>
      </c>
      <c r="E230" s="30" t="n">
        <v>0</v>
      </c>
      <c r="F230" s="30" t="n">
        <v>0</v>
      </c>
      <c r="G230" s="30" t="n">
        <v>0</v>
      </c>
      <c r="H230" s="30" t="n">
        <v>0</v>
      </c>
      <c r="I230" s="30" t="n">
        <v>0</v>
      </c>
      <c r="J230" s="30" t="n">
        <v>0</v>
      </c>
      <c r="K230" s="30" t="n">
        <v>0</v>
      </c>
    </row>
    <row r="231" customFormat="false" ht="16.4" hidden="false" customHeight="false" outlineLevel="0" collapsed="false">
      <c r="A231" s="168" t="s">
        <v>381</v>
      </c>
      <c r="B231" s="30" t="n">
        <v>0</v>
      </c>
      <c r="C231" s="30" t="n">
        <v>0</v>
      </c>
      <c r="D231" s="30" t="n">
        <v>0</v>
      </c>
      <c r="E231" s="30" t="n">
        <v>0</v>
      </c>
      <c r="F231" s="30" t="n">
        <v>0</v>
      </c>
      <c r="G231" s="30" t="n">
        <v>0</v>
      </c>
      <c r="H231" s="30" t="n">
        <v>0</v>
      </c>
      <c r="I231" s="30" t="n">
        <v>0</v>
      </c>
      <c r="J231" s="30" t="n">
        <v>0</v>
      </c>
      <c r="K231" s="30" t="n">
        <v>0</v>
      </c>
    </row>
    <row r="232" customFormat="false" ht="16.4" hidden="false" customHeight="false" outlineLevel="0" collapsed="false">
      <c r="A232" s="164" t="s">
        <v>383</v>
      </c>
      <c r="B232" s="172"/>
      <c r="C232" s="172"/>
      <c r="D232" s="172"/>
      <c r="E232" s="172"/>
      <c r="F232" s="172"/>
      <c r="G232" s="172"/>
      <c r="H232" s="172"/>
      <c r="I232" s="172"/>
      <c r="J232" s="172"/>
      <c r="K232" s="172"/>
    </row>
    <row r="233" customFormat="false" ht="16.4" hidden="false" customHeight="false" outlineLevel="0" collapsed="false">
      <c r="A233" s="169" t="s">
        <v>374</v>
      </c>
      <c r="B233" s="170" t="n">
        <v>0</v>
      </c>
      <c r="C233" s="171" t="n">
        <v>0</v>
      </c>
      <c r="D233" s="171" t="n">
        <v>0</v>
      </c>
      <c r="E233" s="171" t="n">
        <v>0</v>
      </c>
      <c r="F233" s="171" t="n">
        <v>0</v>
      </c>
      <c r="G233" s="170" t="n">
        <v>0</v>
      </c>
      <c r="H233" s="171" t="n">
        <v>0</v>
      </c>
      <c r="I233" s="171" t="n">
        <v>0</v>
      </c>
      <c r="J233" s="171" t="n">
        <v>0</v>
      </c>
      <c r="K233" s="171" t="n">
        <v>0</v>
      </c>
    </row>
    <row r="234" customFormat="false" ht="16.4" hidden="false" customHeight="false" outlineLevel="0" collapsed="false">
      <c r="A234" s="169" t="s">
        <v>375</v>
      </c>
      <c r="B234" s="171" t="n">
        <v>0</v>
      </c>
      <c r="C234" s="170" t="n">
        <v>0</v>
      </c>
      <c r="D234" s="171" t="n">
        <v>0</v>
      </c>
      <c r="E234" s="171" t="n">
        <v>0</v>
      </c>
      <c r="F234" s="171" t="n">
        <v>0</v>
      </c>
      <c r="G234" s="171" t="n">
        <v>0</v>
      </c>
      <c r="H234" s="170" t="n">
        <v>0</v>
      </c>
      <c r="I234" s="171" t="n">
        <v>0</v>
      </c>
      <c r="J234" s="171" t="n">
        <v>0</v>
      </c>
      <c r="K234" s="171" t="n">
        <v>0</v>
      </c>
    </row>
    <row r="235" customFormat="false" ht="16.4" hidden="false" customHeight="false" outlineLevel="0" collapsed="false">
      <c r="A235" s="169" t="s">
        <v>376</v>
      </c>
      <c r="B235" s="171" t="n">
        <v>0</v>
      </c>
      <c r="C235" s="171" t="n">
        <v>0</v>
      </c>
      <c r="D235" s="170" t="n">
        <v>0</v>
      </c>
      <c r="E235" s="171" t="n">
        <v>0</v>
      </c>
      <c r="F235" s="171" t="n">
        <v>0</v>
      </c>
      <c r="G235" s="171" t="n">
        <v>0</v>
      </c>
      <c r="H235" s="171" t="n">
        <v>0</v>
      </c>
      <c r="I235" s="170" t="n">
        <v>0</v>
      </c>
      <c r="J235" s="171" t="n">
        <v>0</v>
      </c>
      <c r="K235" s="171" t="n">
        <v>0</v>
      </c>
    </row>
    <row r="236" customFormat="false" ht="16.4" hidden="false" customHeight="false" outlineLevel="0" collapsed="false">
      <c r="A236" s="169" t="s">
        <v>377</v>
      </c>
      <c r="B236" s="171" t="n">
        <v>0</v>
      </c>
      <c r="C236" s="171" t="n">
        <v>0</v>
      </c>
      <c r="D236" s="171" t="n">
        <v>0</v>
      </c>
      <c r="E236" s="170" t="n">
        <v>0</v>
      </c>
      <c r="F236" s="171" t="n">
        <v>0</v>
      </c>
      <c r="G236" s="171" t="n">
        <v>0</v>
      </c>
      <c r="H236" s="171" t="n">
        <v>0</v>
      </c>
      <c r="I236" s="171" t="n">
        <v>0</v>
      </c>
      <c r="J236" s="170" t="n">
        <v>0</v>
      </c>
      <c r="K236" s="171" t="n">
        <v>0</v>
      </c>
    </row>
    <row r="237" customFormat="false" ht="16.4" hidden="false" customHeight="false" outlineLevel="0" collapsed="false">
      <c r="A237" s="169" t="s">
        <v>378</v>
      </c>
      <c r="B237" s="171" t="n">
        <v>0</v>
      </c>
      <c r="C237" s="171" t="n">
        <v>0</v>
      </c>
      <c r="D237" s="171" t="n">
        <v>0</v>
      </c>
      <c r="E237" s="171" t="n">
        <v>0</v>
      </c>
      <c r="F237" s="170" t="n">
        <v>0</v>
      </c>
      <c r="G237" s="171" t="n">
        <v>0</v>
      </c>
      <c r="H237" s="171" t="n">
        <v>0</v>
      </c>
      <c r="I237" s="171" t="n">
        <v>0</v>
      </c>
      <c r="J237" s="171" t="n">
        <v>0</v>
      </c>
      <c r="K237" s="170" t="n">
        <v>0</v>
      </c>
    </row>
    <row r="238" customFormat="false" ht="14.25" hidden="false" customHeight="false" outlineLevel="0" collapsed="false">
      <c r="A238" s="78"/>
    </row>
    <row r="239" customFormat="false" ht="14.25" hidden="false" customHeight="false" outlineLevel="0" collapsed="false">
      <c r="A239" s="78"/>
    </row>
    <row r="240" customFormat="false" ht="31.3" hidden="false" customHeight="false" outlineLevel="0" collapsed="false">
      <c r="A240" s="164" t="s">
        <v>386</v>
      </c>
    </row>
    <row r="241" customFormat="false" ht="14.25" hidden="false" customHeight="true" outlineLevel="0" collapsed="false">
      <c r="A241" s="173" t="s">
        <v>387</v>
      </c>
      <c r="B241" s="52" t="s">
        <v>388</v>
      </c>
      <c r="C241" s="105" t="s">
        <v>175</v>
      </c>
    </row>
    <row r="242" customFormat="false" ht="14.25" hidden="false" customHeight="false" outlineLevel="0" collapsed="false">
      <c r="A242" s="173"/>
      <c r="B242" s="52" t="s">
        <v>389</v>
      </c>
      <c r="C242" s="105"/>
    </row>
    <row r="243" customFormat="false" ht="16.4" hidden="false" customHeight="false" outlineLevel="0" collapsed="false">
      <c r="A243" s="174" t="s">
        <v>390</v>
      </c>
      <c r="B243" s="31" t="s">
        <v>391</v>
      </c>
      <c r="D243" s="174" t="s">
        <v>392</v>
      </c>
      <c r="E243" s="31" t="s">
        <v>393</v>
      </c>
    </row>
    <row r="244" customFormat="false" ht="14.25" hidden="false" customHeight="false" outlineLevel="0" collapsed="false">
      <c r="A244" s="175" t="s">
        <v>394</v>
      </c>
    </row>
    <row r="245" customFormat="false" ht="52.5" hidden="false" customHeight="true" outlineLevel="0" collapsed="false">
      <c r="A245" s="176" t="s">
        <v>395</v>
      </c>
      <c r="B245" s="165" t="s">
        <v>337</v>
      </c>
      <c r="C245" s="165"/>
      <c r="D245" s="165"/>
      <c r="E245" s="165"/>
      <c r="F245" s="165"/>
      <c r="G245" s="165" t="s">
        <v>338</v>
      </c>
      <c r="H245" s="165"/>
      <c r="I245" s="165"/>
      <c r="J245" s="165"/>
      <c r="K245" s="165"/>
      <c r="L245" s="165" t="s">
        <v>339</v>
      </c>
      <c r="M245" s="165"/>
      <c r="N245" s="165"/>
      <c r="O245" s="165"/>
      <c r="P245" s="165"/>
      <c r="Q245" s="165" t="s">
        <v>340</v>
      </c>
      <c r="R245" s="165"/>
      <c r="S245" s="165"/>
      <c r="T245" s="165"/>
      <c r="U245" s="165"/>
      <c r="V245" s="165" t="s">
        <v>341</v>
      </c>
      <c r="W245" s="165"/>
      <c r="X245" s="165"/>
      <c r="Y245" s="165"/>
      <c r="Z245" s="165"/>
      <c r="AA245" s="165" t="s">
        <v>342</v>
      </c>
      <c r="AB245" s="165"/>
      <c r="AC245" s="165"/>
      <c r="AD245" s="165"/>
      <c r="AE245" s="165"/>
      <c r="AF245" s="165" t="s">
        <v>343</v>
      </c>
      <c r="AG245" s="165"/>
      <c r="AH245" s="165"/>
      <c r="AI245" s="165"/>
      <c r="AJ245" s="165"/>
      <c r="AK245" s="165" t="s">
        <v>344</v>
      </c>
      <c r="AL245" s="165"/>
      <c r="AM245" s="165"/>
      <c r="AN245" s="165"/>
      <c r="AO245" s="165"/>
      <c r="AP245" s="165" t="s">
        <v>345</v>
      </c>
      <c r="AQ245" s="165"/>
      <c r="AR245" s="165"/>
      <c r="AS245" s="165"/>
      <c r="AT245" s="165"/>
      <c r="AU245" s="165" t="s">
        <v>346</v>
      </c>
      <c r="AV245" s="165"/>
      <c r="AW245" s="165"/>
      <c r="AX245" s="165"/>
      <c r="AY245" s="165"/>
      <c r="AZ245" s="165" t="s">
        <v>347</v>
      </c>
      <c r="BA245" s="165"/>
      <c r="BB245" s="165"/>
      <c r="BC245" s="165"/>
      <c r="BD245" s="165"/>
      <c r="BE245" s="165" t="s">
        <v>348</v>
      </c>
      <c r="BF245" s="165"/>
      <c r="BG245" s="165"/>
      <c r="BH245" s="165"/>
      <c r="BI245" s="165"/>
      <c r="BJ245" s="165" t="s">
        <v>349</v>
      </c>
      <c r="BK245" s="165"/>
      <c r="BL245" s="165"/>
      <c r="BM245" s="165"/>
      <c r="BN245" s="165"/>
      <c r="BO245" s="165" t="s">
        <v>350</v>
      </c>
      <c r="BP245" s="165"/>
      <c r="BQ245" s="165"/>
      <c r="BR245" s="165"/>
      <c r="BS245" s="165"/>
      <c r="BT245" s="165" t="s">
        <v>351</v>
      </c>
      <c r="BU245" s="165"/>
      <c r="BV245" s="165"/>
      <c r="BW245" s="165"/>
      <c r="BX245" s="165"/>
      <c r="BY245" s="165" t="s">
        <v>352</v>
      </c>
      <c r="BZ245" s="165"/>
      <c r="CA245" s="165"/>
      <c r="CB245" s="165"/>
      <c r="CC245" s="165"/>
      <c r="CD245" s="165" t="s">
        <v>353</v>
      </c>
      <c r="CE245" s="165"/>
      <c r="CF245" s="165"/>
      <c r="CG245" s="165"/>
      <c r="CH245" s="165"/>
      <c r="CI245" s="165" t="s">
        <v>354</v>
      </c>
      <c r="CJ245" s="165"/>
      <c r="CK245" s="165"/>
      <c r="CL245" s="165"/>
      <c r="CM245" s="165"/>
      <c r="CN245" s="165" t="s">
        <v>355</v>
      </c>
      <c r="CO245" s="165"/>
      <c r="CP245" s="165"/>
      <c r="CQ245" s="165"/>
      <c r="CR245" s="165"/>
      <c r="CS245" s="165" t="s">
        <v>356</v>
      </c>
      <c r="CT245" s="165"/>
      <c r="CU245" s="165"/>
      <c r="CV245" s="165"/>
      <c r="CW245" s="165"/>
      <c r="CX245" s="165" t="s">
        <v>357</v>
      </c>
      <c r="CY245" s="165"/>
      <c r="CZ245" s="165"/>
      <c r="DA245" s="165"/>
      <c r="DB245" s="165"/>
      <c r="DC245" s="165" t="s">
        <v>358</v>
      </c>
      <c r="DD245" s="165"/>
      <c r="DE245" s="165"/>
      <c r="DF245" s="165"/>
      <c r="DG245" s="165"/>
      <c r="DH245" s="166" t="s">
        <v>359</v>
      </c>
      <c r="DI245" s="166"/>
      <c r="DJ245" s="166"/>
      <c r="DK245" s="167" t="s">
        <v>360</v>
      </c>
      <c r="DL245" s="167" t="n">
        <v>0</v>
      </c>
      <c r="DM245" s="165" t="s">
        <v>361</v>
      </c>
      <c r="DN245" s="165"/>
      <c r="DO245" s="165"/>
      <c r="DP245" s="165"/>
      <c r="DQ245" s="165"/>
      <c r="DR245" s="165" t="s">
        <v>362</v>
      </c>
      <c r="DS245" s="165"/>
      <c r="DT245" s="165"/>
      <c r="DU245" s="165"/>
      <c r="DV245" s="165"/>
      <c r="DW245" s="165" t="s">
        <v>363</v>
      </c>
      <c r="DX245" s="165"/>
      <c r="DY245" s="165"/>
      <c r="DZ245" s="165"/>
      <c r="EA245" s="165"/>
      <c r="EB245" s="165" t="s">
        <v>364</v>
      </c>
      <c r="EC245" s="165"/>
      <c r="ED245" s="165"/>
      <c r="EE245" s="165"/>
      <c r="EF245" s="165"/>
      <c r="EG245" s="165" t="s">
        <v>365</v>
      </c>
      <c r="EH245" s="165"/>
      <c r="EI245" s="165"/>
      <c r="EJ245" s="165"/>
      <c r="EK245" s="165"/>
      <c r="EL245" s="165" t="s">
        <v>366</v>
      </c>
      <c r="EM245" s="165"/>
      <c r="EN245" s="165"/>
      <c r="EO245" s="165"/>
      <c r="EP245" s="165"/>
      <c r="EQ245" s="165" t="s">
        <v>367</v>
      </c>
      <c r="ER245" s="165"/>
      <c r="ES245" s="165"/>
      <c r="ET245" s="165"/>
      <c r="EU245" s="165"/>
      <c r="EV245" s="165" t="s">
        <v>368</v>
      </c>
      <c r="EW245" s="165"/>
      <c r="EX245" s="165"/>
      <c r="EY245" s="165"/>
      <c r="EZ245" s="165"/>
      <c r="FA245" s="165" t="s">
        <v>369</v>
      </c>
      <c r="FB245" s="165"/>
      <c r="FC245" s="165"/>
      <c r="FD245" s="165"/>
      <c r="FE245" s="165"/>
      <c r="FF245" s="165" t="s">
        <v>370</v>
      </c>
      <c r="FG245" s="165"/>
      <c r="FH245" s="165"/>
      <c r="FI245" s="165"/>
      <c r="FJ245" s="165"/>
      <c r="FK245" s="165" t="s">
        <v>371</v>
      </c>
      <c r="FL245" s="165"/>
      <c r="FM245" s="165"/>
      <c r="FN245" s="165"/>
      <c r="FO245" s="165"/>
      <c r="FP245" s="165" t="s">
        <v>372</v>
      </c>
      <c r="FQ245" s="165"/>
      <c r="FR245" s="165"/>
      <c r="FS245" s="165"/>
      <c r="FT245" s="165"/>
      <c r="FU245" s="165" t="s">
        <v>373</v>
      </c>
      <c r="FV245" s="165"/>
      <c r="FW245" s="165"/>
      <c r="FX245" s="165"/>
      <c r="FY245" s="165"/>
    </row>
    <row r="246" customFormat="false" ht="14.25" hidden="false" customHeight="false" outlineLevel="0" collapsed="false">
      <c r="A246" s="78"/>
      <c r="B246" s="31" t="s">
        <v>374</v>
      </c>
      <c r="C246" s="31" t="s">
        <v>375</v>
      </c>
      <c r="D246" s="31" t="s">
        <v>376</v>
      </c>
      <c r="E246" s="31" t="s">
        <v>377</v>
      </c>
      <c r="F246" s="31" t="s">
        <v>378</v>
      </c>
      <c r="G246" s="31" t="s">
        <v>374</v>
      </c>
      <c r="H246" s="31" t="s">
        <v>375</v>
      </c>
      <c r="I246" s="31" t="s">
        <v>376</v>
      </c>
      <c r="J246" s="31" t="s">
        <v>377</v>
      </c>
      <c r="K246" s="31" t="s">
        <v>378</v>
      </c>
      <c r="L246" s="31" t="s">
        <v>374</v>
      </c>
      <c r="M246" s="31" t="s">
        <v>375</v>
      </c>
      <c r="N246" s="31" t="s">
        <v>376</v>
      </c>
      <c r="O246" s="31" t="s">
        <v>377</v>
      </c>
      <c r="P246" s="31" t="s">
        <v>378</v>
      </c>
      <c r="Q246" s="31" t="s">
        <v>374</v>
      </c>
      <c r="R246" s="31" t="s">
        <v>375</v>
      </c>
      <c r="S246" s="31" t="s">
        <v>376</v>
      </c>
      <c r="T246" s="31" t="s">
        <v>377</v>
      </c>
      <c r="U246" s="31" t="s">
        <v>378</v>
      </c>
      <c r="V246" s="31" t="s">
        <v>374</v>
      </c>
      <c r="W246" s="31" t="s">
        <v>375</v>
      </c>
      <c r="X246" s="31" t="s">
        <v>376</v>
      </c>
      <c r="Y246" s="31" t="s">
        <v>377</v>
      </c>
      <c r="Z246" s="31" t="s">
        <v>378</v>
      </c>
      <c r="AA246" s="31" t="s">
        <v>374</v>
      </c>
      <c r="AB246" s="31" t="s">
        <v>375</v>
      </c>
      <c r="AC246" s="31" t="s">
        <v>376</v>
      </c>
      <c r="AD246" s="31" t="s">
        <v>377</v>
      </c>
      <c r="AE246" s="31" t="s">
        <v>378</v>
      </c>
      <c r="AF246" s="31" t="s">
        <v>374</v>
      </c>
      <c r="AG246" s="31" t="s">
        <v>375</v>
      </c>
      <c r="AH246" s="31" t="s">
        <v>376</v>
      </c>
      <c r="AI246" s="31" t="s">
        <v>377</v>
      </c>
      <c r="AJ246" s="31" t="s">
        <v>378</v>
      </c>
      <c r="AK246" s="31" t="s">
        <v>374</v>
      </c>
      <c r="AL246" s="31" t="s">
        <v>375</v>
      </c>
      <c r="AM246" s="31" t="s">
        <v>376</v>
      </c>
      <c r="AN246" s="31" t="s">
        <v>377</v>
      </c>
      <c r="AO246" s="31" t="s">
        <v>378</v>
      </c>
      <c r="AP246" s="31" t="s">
        <v>374</v>
      </c>
      <c r="AQ246" s="31" t="s">
        <v>375</v>
      </c>
      <c r="AR246" s="31" t="s">
        <v>376</v>
      </c>
      <c r="AS246" s="31" t="s">
        <v>377</v>
      </c>
      <c r="AT246" s="31" t="s">
        <v>378</v>
      </c>
      <c r="AU246" s="31" t="s">
        <v>374</v>
      </c>
      <c r="AV246" s="31" t="s">
        <v>375</v>
      </c>
      <c r="AW246" s="31" t="s">
        <v>376</v>
      </c>
      <c r="AX246" s="31" t="s">
        <v>377</v>
      </c>
      <c r="AY246" s="31" t="s">
        <v>378</v>
      </c>
      <c r="AZ246" s="31" t="s">
        <v>374</v>
      </c>
      <c r="BA246" s="31" t="s">
        <v>375</v>
      </c>
      <c r="BB246" s="31" t="s">
        <v>376</v>
      </c>
      <c r="BC246" s="31" t="s">
        <v>377</v>
      </c>
      <c r="BD246" s="31" t="s">
        <v>378</v>
      </c>
      <c r="BE246" s="31" t="s">
        <v>374</v>
      </c>
      <c r="BF246" s="31" t="s">
        <v>375</v>
      </c>
      <c r="BG246" s="31" t="s">
        <v>376</v>
      </c>
      <c r="BH246" s="31" t="s">
        <v>377</v>
      </c>
      <c r="BI246" s="31" t="s">
        <v>378</v>
      </c>
      <c r="BJ246" s="31" t="s">
        <v>374</v>
      </c>
      <c r="BK246" s="31" t="s">
        <v>375</v>
      </c>
      <c r="BL246" s="31" t="s">
        <v>376</v>
      </c>
      <c r="BM246" s="31" t="s">
        <v>377</v>
      </c>
      <c r="BN246" s="31" t="s">
        <v>378</v>
      </c>
      <c r="BO246" s="31" t="s">
        <v>374</v>
      </c>
      <c r="BP246" s="31" t="s">
        <v>375</v>
      </c>
      <c r="BQ246" s="31" t="s">
        <v>376</v>
      </c>
      <c r="BR246" s="31" t="s">
        <v>377</v>
      </c>
      <c r="BS246" s="31" t="s">
        <v>378</v>
      </c>
      <c r="BT246" s="31" t="s">
        <v>374</v>
      </c>
      <c r="BU246" s="31" t="s">
        <v>375</v>
      </c>
      <c r="BV246" s="31" t="s">
        <v>376</v>
      </c>
      <c r="BW246" s="31" t="s">
        <v>377</v>
      </c>
      <c r="BX246" s="31" t="s">
        <v>378</v>
      </c>
      <c r="BY246" s="31" t="s">
        <v>374</v>
      </c>
      <c r="BZ246" s="31" t="s">
        <v>375</v>
      </c>
      <c r="CA246" s="31" t="s">
        <v>376</v>
      </c>
      <c r="CB246" s="31" t="s">
        <v>377</v>
      </c>
      <c r="CC246" s="31" t="s">
        <v>378</v>
      </c>
      <c r="CD246" s="31" t="s">
        <v>374</v>
      </c>
      <c r="CE246" s="31" t="s">
        <v>375</v>
      </c>
      <c r="CF246" s="31" t="s">
        <v>376</v>
      </c>
      <c r="CG246" s="31" t="s">
        <v>377</v>
      </c>
      <c r="CH246" s="31" t="s">
        <v>378</v>
      </c>
      <c r="CI246" s="31" t="s">
        <v>374</v>
      </c>
      <c r="CJ246" s="31" t="s">
        <v>375</v>
      </c>
      <c r="CK246" s="31" t="s">
        <v>376</v>
      </c>
      <c r="CL246" s="31" t="s">
        <v>377</v>
      </c>
      <c r="CM246" s="31" t="s">
        <v>378</v>
      </c>
      <c r="CN246" s="31" t="s">
        <v>374</v>
      </c>
      <c r="CO246" s="31" t="s">
        <v>375</v>
      </c>
      <c r="CP246" s="31" t="s">
        <v>376</v>
      </c>
      <c r="CQ246" s="31" t="s">
        <v>377</v>
      </c>
      <c r="CR246" s="31" t="s">
        <v>378</v>
      </c>
      <c r="CS246" s="31" t="s">
        <v>374</v>
      </c>
      <c r="CT246" s="31" t="s">
        <v>375</v>
      </c>
      <c r="CU246" s="31" t="s">
        <v>376</v>
      </c>
      <c r="CV246" s="31" t="s">
        <v>377</v>
      </c>
      <c r="CW246" s="31" t="s">
        <v>378</v>
      </c>
      <c r="CX246" s="31" t="s">
        <v>374</v>
      </c>
      <c r="CY246" s="31" t="s">
        <v>375</v>
      </c>
      <c r="CZ246" s="31" t="s">
        <v>376</v>
      </c>
      <c r="DA246" s="31" t="s">
        <v>377</v>
      </c>
      <c r="DB246" s="31" t="s">
        <v>378</v>
      </c>
      <c r="DC246" s="31" t="s">
        <v>374</v>
      </c>
      <c r="DD246" s="31" t="s">
        <v>375</v>
      </c>
      <c r="DE246" s="31" t="s">
        <v>376</v>
      </c>
      <c r="DF246" s="31" t="s">
        <v>377</v>
      </c>
      <c r="DG246" s="31" t="s">
        <v>378</v>
      </c>
      <c r="DH246" s="140" t="s">
        <v>374</v>
      </c>
      <c r="DI246" s="140" t="s">
        <v>375</v>
      </c>
      <c r="DJ246" s="140" t="s">
        <v>376</v>
      </c>
      <c r="DK246" s="140" t="s">
        <v>377</v>
      </c>
      <c r="DL246" s="31" t="s">
        <v>378</v>
      </c>
      <c r="DM246" s="31" t="s">
        <v>374</v>
      </c>
      <c r="DN246" s="31" t="s">
        <v>375</v>
      </c>
      <c r="DO246" s="31" t="s">
        <v>376</v>
      </c>
      <c r="DP246" s="31" t="s">
        <v>377</v>
      </c>
      <c r="DQ246" s="31" t="s">
        <v>378</v>
      </c>
      <c r="DR246" s="31" t="s">
        <v>374</v>
      </c>
      <c r="DS246" s="31" t="s">
        <v>375</v>
      </c>
      <c r="DT246" s="31" t="s">
        <v>376</v>
      </c>
      <c r="DU246" s="31" t="s">
        <v>377</v>
      </c>
      <c r="DV246" s="31" t="s">
        <v>378</v>
      </c>
      <c r="DW246" s="31" t="s">
        <v>374</v>
      </c>
      <c r="DX246" s="31" t="s">
        <v>375</v>
      </c>
      <c r="DY246" s="31" t="s">
        <v>376</v>
      </c>
      <c r="DZ246" s="31" t="s">
        <v>377</v>
      </c>
      <c r="EA246" s="31" t="s">
        <v>378</v>
      </c>
      <c r="EB246" s="31" t="s">
        <v>374</v>
      </c>
      <c r="EC246" s="31" t="s">
        <v>375</v>
      </c>
      <c r="ED246" s="31" t="s">
        <v>376</v>
      </c>
      <c r="EE246" s="31" t="s">
        <v>377</v>
      </c>
      <c r="EF246" s="31" t="s">
        <v>378</v>
      </c>
      <c r="EG246" s="31" t="s">
        <v>374</v>
      </c>
      <c r="EH246" s="31" t="s">
        <v>375</v>
      </c>
      <c r="EI246" s="31" t="s">
        <v>376</v>
      </c>
      <c r="EJ246" s="31" t="s">
        <v>377</v>
      </c>
      <c r="EK246" s="31" t="s">
        <v>378</v>
      </c>
      <c r="EL246" s="31" t="s">
        <v>374</v>
      </c>
      <c r="EM246" s="31" t="s">
        <v>375</v>
      </c>
      <c r="EN246" s="31" t="s">
        <v>376</v>
      </c>
      <c r="EO246" s="31" t="s">
        <v>377</v>
      </c>
      <c r="EP246" s="31" t="s">
        <v>378</v>
      </c>
      <c r="EQ246" s="31" t="s">
        <v>374</v>
      </c>
      <c r="ER246" s="31" t="s">
        <v>375</v>
      </c>
      <c r="ES246" s="31" t="s">
        <v>376</v>
      </c>
      <c r="ET246" s="31" t="s">
        <v>377</v>
      </c>
      <c r="EU246" s="31" t="s">
        <v>378</v>
      </c>
      <c r="EV246" s="31" t="s">
        <v>374</v>
      </c>
      <c r="EW246" s="31" t="s">
        <v>375</v>
      </c>
      <c r="EX246" s="31" t="s">
        <v>376</v>
      </c>
      <c r="EY246" s="31" t="s">
        <v>377</v>
      </c>
      <c r="EZ246" s="31" t="s">
        <v>378</v>
      </c>
      <c r="FA246" s="31" t="s">
        <v>374</v>
      </c>
      <c r="FB246" s="31" t="s">
        <v>375</v>
      </c>
      <c r="FC246" s="31" t="s">
        <v>376</v>
      </c>
      <c r="FD246" s="31" t="s">
        <v>377</v>
      </c>
      <c r="FE246" s="31" t="s">
        <v>378</v>
      </c>
      <c r="FF246" s="31" t="s">
        <v>374</v>
      </c>
      <c r="FG246" s="31" t="s">
        <v>375</v>
      </c>
      <c r="FH246" s="31" t="s">
        <v>376</v>
      </c>
      <c r="FI246" s="31" t="s">
        <v>377</v>
      </c>
      <c r="FJ246" s="31" t="s">
        <v>378</v>
      </c>
      <c r="FK246" s="31" t="s">
        <v>374</v>
      </c>
      <c r="FL246" s="31" t="s">
        <v>375</v>
      </c>
      <c r="FM246" s="31" t="s">
        <v>376</v>
      </c>
      <c r="FN246" s="31" t="s">
        <v>377</v>
      </c>
      <c r="FO246" s="31" t="s">
        <v>378</v>
      </c>
      <c r="FP246" s="31" t="s">
        <v>374</v>
      </c>
      <c r="FQ246" s="31" t="s">
        <v>375</v>
      </c>
      <c r="FR246" s="31" t="s">
        <v>376</v>
      </c>
      <c r="FS246" s="31" t="s">
        <v>377</v>
      </c>
      <c r="FT246" s="31" t="s">
        <v>378</v>
      </c>
      <c r="FU246" s="31" t="s">
        <v>374</v>
      </c>
      <c r="FV246" s="31" t="s">
        <v>375</v>
      </c>
      <c r="FW246" s="31" t="s">
        <v>376</v>
      </c>
      <c r="FX246" s="31" t="s">
        <v>377</v>
      </c>
      <c r="FY246" s="31" t="s">
        <v>378</v>
      </c>
    </row>
    <row r="247" customFormat="false" ht="16.4" hidden="false" customHeight="false" outlineLevel="0" collapsed="false">
      <c r="A247" s="174" t="s">
        <v>396</v>
      </c>
      <c r="B247" s="30" t="n">
        <v>0.6750516890263</v>
      </c>
      <c r="C247" s="30" t="n">
        <v>0.0510942878679188</v>
      </c>
      <c r="D247" s="30" t="n">
        <v>2.62911863403387</v>
      </c>
      <c r="E247" s="30" t="n">
        <v>0.260234081175191</v>
      </c>
      <c r="F247" s="30" t="n">
        <v>0.254453630249139</v>
      </c>
      <c r="G247" s="30" t="n">
        <v>1.3283417503967</v>
      </c>
      <c r="H247" s="30" t="n">
        <v>0.216619824252217</v>
      </c>
      <c r="I247" s="30" t="n">
        <v>1.19570220906588</v>
      </c>
      <c r="J247" s="30" t="n">
        <v>4.66277570791695</v>
      </c>
      <c r="K247" s="30" t="n">
        <v>1.18704845165241</v>
      </c>
      <c r="L247" s="30" t="n">
        <v>0.411626216911533</v>
      </c>
      <c r="M247" s="30" t="n">
        <v>0.120106306553901</v>
      </c>
      <c r="N247" s="30" t="n">
        <v>0.436954905287924</v>
      </c>
      <c r="O247" s="30" t="n">
        <v>0.333934656077224</v>
      </c>
      <c r="P247" s="30" t="n">
        <v>0.970447618444432</v>
      </c>
      <c r="Q247" s="30" t="n">
        <v>0.702407897351298</v>
      </c>
      <c r="R247" s="30" t="n">
        <v>0.187575496682129</v>
      </c>
      <c r="S247" s="30" t="n">
        <v>0.390441886525578</v>
      </c>
      <c r="T247" s="30" t="n">
        <v>0.233200309534118</v>
      </c>
      <c r="U247" s="30" t="n">
        <v>0.497242912892324</v>
      </c>
      <c r="V247" s="30" t="n">
        <v>0.257570487271157</v>
      </c>
      <c r="W247" s="30" t="n">
        <v>0.0722096977320404</v>
      </c>
      <c r="X247" s="30" t="n">
        <v>0.323739665899489</v>
      </c>
      <c r="Y247" s="30" t="n">
        <v>0.0823960205306156</v>
      </c>
      <c r="Z247" s="30" t="n">
        <v>0.202486877090432</v>
      </c>
      <c r="AA247" s="30" t="n">
        <v>0.677783793231337</v>
      </c>
      <c r="AB247" s="30" t="n">
        <v>0.178755051947868</v>
      </c>
      <c r="AC247" s="30" t="n">
        <v>0.573425420586137</v>
      </c>
      <c r="AD247" s="30" t="n">
        <v>0.246573794513261</v>
      </c>
      <c r="AE247" s="30" t="n">
        <v>1.4033225078919</v>
      </c>
      <c r="AF247" s="30" t="n">
        <v>1.06762092739865</v>
      </c>
      <c r="AG247" s="30" t="n">
        <v>0.270184207174555</v>
      </c>
      <c r="AH247" s="30" t="n">
        <v>0.412706024909926</v>
      </c>
      <c r="AI247" s="30" t="n">
        <v>0.460511324381507</v>
      </c>
      <c r="AJ247" s="30" t="n">
        <v>1.67114614923083</v>
      </c>
      <c r="AK247" s="30" t="n">
        <v>0.706912387002718</v>
      </c>
      <c r="AL247" s="30" t="n">
        <v>0.721964121049831</v>
      </c>
      <c r="AM247" s="30" t="n">
        <v>7.19251400186161</v>
      </c>
      <c r="AN247" s="30" t="n">
        <v>2.0365279736233</v>
      </c>
      <c r="AO247" s="30" t="n">
        <v>0.581302866704845</v>
      </c>
      <c r="AP247" s="30" t="n">
        <v>1.51459974828503</v>
      </c>
      <c r="AQ247" s="30" t="n">
        <v>0.669743068585975</v>
      </c>
      <c r="AR247" s="30" t="n">
        <v>1.14787789861261</v>
      </c>
      <c r="AS247" s="30" t="n">
        <v>1.43936435037349</v>
      </c>
      <c r="AT247" s="30" t="n">
        <v>1.0175599074126</v>
      </c>
      <c r="AU247" s="30" t="n">
        <v>1.73611014300962</v>
      </c>
      <c r="AV247" s="30" t="n">
        <v>0.243921797736897</v>
      </c>
      <c r="AW247" s="30" t="n">
        <v>1.59707255186028</v>
      </c>
      <c r="AX247" s="30" t="n">
        <v>0.988506771535562</v>
      </c>
      <c r="AY247" s="30" t="n">
        <v>2.33995545498264</v>
      </c>
      <c r="AZ247" s="30" t="n">
        <v>1.95197536822884</v>
      </c>
      <c r="BA247" s="30" t="n">
        <v>0.128754834699087</v>
      </c>
      <c r="BB247" s="30" t="n">
        <v>1.78498551045562</v>
      </c>
      <c r="BC247" s="30" t="n">
        <v>1.64611432649006</v>
      </c>
      <c r="BD247" s="30" t="n">
        <v>8.31214949821282</v>
      </c>
      <c r="BE247" s="30" t="n">
        <v>2.19480244602311</v>
      </c>
      <c r="BF247" s="30" t="n">
        <v>0.223249463396342</v>
      </c>
      <c r="BG247" s="30" t="n">
        <v>0.389259710531579</v>
      </c>
      <c r="BH247" s="30" t="n">
        <v>1.12000650774837</v>
      </c>
      <c r="BI247" s="30" t="n">
        <v>2.74096286220382</v>
      </c>
      <c r="BJ247" s="30" t="n">
        <v>0.324095429192924</v>
      </c>
      <c r="BK247" s="30" t="n">
        <v>0.0494909959322901</v>
      </c>
      <c r="BL247" s="30" t="n">
        <v>0.19970663635058</v>
      </c>
      <c r="BM247" s="30" t="n">
        <v>0.122871570331517</v>
      </c>
      <c r="BN247" s="30" t="n">
        <v>0.16728426817746</v>
      </c>
      <c r="BO247" s="30" t="n">
        <v>0.216582423833204</v>
      </c>
      <c r="BP247" s="30" t="n">
        <v>0.019164866737161</v>
      </c>
      <c r="BQ247" s="30" t="n">
        <v>0.161117872047018</v>
      </c>
      <c r="BR247" s="30" t="n">
        <v>0.0696880791985734</v>
      </c>
      <c r="BS247" s="30" t="n">
        <v>0.026689358813394</v>
      </c>
      <c r="BT247" s="30" t="n">
        <v>0.261991508082564</v>
      </c>
      <c r="BU247" s="30" t="n">
        <v>0.049945510007376</v>
      </c>
      <c r="BV247" s="30" t="n">
        <v>0.148610140641578</v>
      </c>
      <c r="BW247" s="30" t="n">
        <v>0.110171715083225</v>
      </c>
      <c r="BX247" s="30" t="n">
        <v>0.0963991095174627</v>
      </c>
      <c r="BY247" s="30" t="n">
        <v>0.817073910627103</v>
      </c>
      <c r="BZ247" s="30" t="n">
        <v>0.195326355095624</v>
      </c>
      <c r="CA247" s="30" t="n">
        <v>1.53687059086135</v>
      </c>
      <c r="CB247" s="30" t="n">
        <v>0.692203406799194</v>
      </c>
      <c r="CC247" s="30" t="n">
        <v>1.04995255922894</v>
      </c>
      <c r="CD247" s="30" t="n">
        <v>2.85747288372126</v>
      </c>
      <c r="CE247" s="30" t="n">
        <v>0.23420824672911</v>
      </c>
      <c r="CF247" s="30" t="n">
        <v>0.479982908595301</v>
      </c>
      <c r="CG247" s="30" t="n">
        <v>2.73119171262086</v>
      </c>
      <c r="CH247" s="30" t="n">
        <v>2.47366288294792</v>
      </c>
      <c r="CI247" s="30" t="n">
        <v>0.104738268920659</v>
      </c>
      <c r="CJ247" s="30" t="n">
        <v>0.00995205666152553</v>
      </c>
      <c r="CK247" s="30" t="n">
        <v>0.667369225996975</v>
      </c>
      <c r="CL247" s="30" t="n">
        <v>0.0637982613667247</v>
      </c>
      <c r="CM247" s="30" t="n">
        <v>0.0933828698886065</v>
      </c>
      <c r="CN247" s="30" t="n">
        <v>0.318072531836175</v>
      </c>
      <c r="CO247" s="30" t="n">
        <v>0.0317373555049949</v>
      </c>
      <c r="CP247" s="30" t="n">
        <v>0.480221006065384</v>
      </c>
      <c r="CQ247" s="30" t="n">
        <v>0.113555332303892</v>
      </c>
      <c r="CR247" s="30" t="n">
        <v>0.0146886167669856</v>
      </c>
      <c r="CS247" s="30" t="n">
        <v>0.199851830456028</v>
      </c>
      <c r="CT247" s="30" t="n">
        <v>0.0397430930281387</v>
      </c>
      <c r="CU247" s="30" t="n">
        <v>0.410682033252801</v>
      </c>
      <c r="CV247" s="30" t="n">
        <v>0.0591093360034018</v>
      </c>
      <c r="CW247" s="30" t="n">
        <v>0.0232669871177717</v>
      </c>
      <c r="CX247" s="30" t="n">
        <v>0.476284967386667</v>
      </c>
      <c r="CY247" s="30" t="n">
        <v>0.0358369539506182</v>
      </c>
      <c r="CZ247" s="30" t="n">
        <v>0.930146671805007</v>
      </c>
      <c r="DA247" s="30" t="n">
        <v>0.177020471261964</v>
      </c>
      <c r="DB247" s="30" t="n">
        <v>0.0194947810052268</v>
      </c>
      <c r="DC247" s="30" t="n">
        <v>0.816234068512467</v>
      </c>
      <c r="DD247" s="30" t="n">
        <v>0.0511994977092531</v>
      </c>
      <c r="DE247" s="30" t="n">
        <v>0.94101911196563</v>
      </c>
      <c r="DF247" s="30" t="n">
        <v>0.405675491520472</v>
      </c>
      <c r="DG247" s="30" t="n">
        <v>0.403935817625079</v>
      </c>
      <c r="DH247" s="30" t="n">
        <v>0.426985238182552</v>
      </c>
      <c r="DI247" s="30" t="n">
        <v>0</v>
      </c>
      <c r="DJ247" s="30" t="n">
        <v>6.03997682472478</v>
      </c>
      <c r="DK247" s="30" t="n">
        <v>1.58529839300859</v>
      </c>
      <c r="DL247" s="30" t="n">
        <v>0.0691376588125263</v>
      </c>
      <c r="DM247" s="30" t="n">
        <v>1.79643577722684E-005</v>
      </c>
      <c r="DN247" s="30" t="n">
        <v>0</v>
      </c>
      <c r="DO247" s="30" t="n">
        <v>23.6284519796705</v>
      </c>
      <c r="DP247" s="30" t="n">
        <v>2.67502700628266E-006</v>
      </c>
      <c r="DQ247" s="30" t="n">
        <v>0.00979235053287537</v>
      </c>
      <c r="DR247" s="30" t="n">
        <v>0</v>
      </c>
      <c r="DS247" s="30" t="n">
        <v>0</v>
      </c>
      <c r="DT247" s="30" t="n">
        <v>25.0856884022442</v>
      </c>
      <c r="DU247" s="30" t="n">
        <v>1.8955822151764E-005</v>
      </c>
      <c r="DV247" s="30" t="n">
        <v>1.49272736667712E-006</v>
      </c>
      <c r="DW247" s="30" t="n">
        <v>0.385387817272461</v>
      </c>
      <c r="DX247" s="30" t="n">
        <v>0.0894167229283429</v>
      </c>
      <c r="DY247" s="30" t="n">
        <v>2.499832934789</v>
      </c>
      <c r="DZ247" s="30" t="n">
        <v>0.104646096355553</v>
      </c>
      <c r="EA247" s="30" t="n">
        <v>0.0358332240499424</v>
      </c>
      <c r="EB247" s="30" t="n">
        <v>0.260025663572746</v>
      </c>
      <c r="EC247" s="30" t="n">
        <v>0.0246470801131046</v>
      </c>
      <c r="ED247" s="30" t="n">
        <v>0.429852686313705</v>
      </c>
      <c r="EE247" s="30" t="n">
        <v>0.195722998339221</v>
      </c>
      <c r="EF247" s="30" t="n">
        <v>0.00632167139261299</v>
      </c>
      <c r="EG247" s="30" t="n">
        <v>0.131409056074476</v>
      </c>
      <c r="EH247" s="30" t="n">
        <v>0.0130423164071394</v>
      </c>
      <c r="EI247" s="30" t="n">
        <v>0.189642374427881</v>
      </c>
      <c r="EJ247" s="30" t="n">
        <v>0.0412757712053878</v>
      </c>
      <c r="EK247" s="30" t="n">
        <v>0.00352348572153754</v>
      </c>
      <c r="EL247" s="30" t="n">
        <v>0.278330462248868</v>
      </c>
      <c r="EM247" s="30" t="n">
        <v>0.0489440774223038</v>
      </c>
      <c r="EN247" s="30" t="n">
        <v>0.0979735380526657</v>
      </c>
      <c r="EO247" s="30" t="n">
        <v>0.0729654632524095</v>
      </c>
      <c r="EP247" s="30" t="n">
        <v>0.0149440203014114</v>
      </c>
      <c r="EQ247" s="30" t="n">
        <v>0.193785812294351</v>
      </c>
      <c r="ER247" s="30" t="n">
        <v>0.0182327483816318</v>
      </c>
      <c r="ES247" s="30" t="n">
        <v>0.512903730388795</v>
      </c>
      <c r="ET247" s="30" t="n">
        <v>0.103563634999209</v>
      </c>
      <c r="EU247" s="30" t="n">
        <v>0.0297555885234137</v>
      </c>
      <c r="EV247" s="30" t="n">
        <v>0.526111382334883</v>
      </c>
      <c r="EW247" s="30" t="n">
        <v>0.0420666807269213</v>
      </c>
      <c r="EX247" s="30" t="n">
        <v>0.839994674858347</v>
      </c>
      <c r="EY247" s="30" t="n">
        <v>0.794258987880708</v>
      </c>
      <c r="EZ247" s="30" t="n">
        <v>0.082128427517319</v>
      </c>
      <c r="FA247" s="30" t="n">
        <v>0.741378349143948</v>
      </c>
      <c r="FB247" s="30" t="n">
        <v>0.0691462477230877</v>
      </c>
      <c r="FC247" s="30" t="n">
        <v>0.850083084793572</v>
      </c>
      <c r="FD247" s="30" t="n">
        <v>0.210821693031492</v>
      </c>
      <c r="FE247" s="30" t="n">
        <v>0.114546005930678</v>
      </c>
      <c r="FF247" s="30" t="n">
        <v>0.392701815730974</v>
      </c>
      <c r="FG247" s="30" t="n">
        <v>0.0392434145450208</v>
      </c>
      <c r="FH247" s="30" t="n">
        <v>0.753856141811599</v>
      </c>
      <c r="FI247" s="30" t="n">
        <v>0.153047089869717</v>
      </c>
      <c r="FJ247" s="30" t="n">
        <v>0.0789741172107411</v>
      </c>
      <c r="FK247" s="30" t="n">
        <v>0.452237169807247</v>
      </c>
      <c r="FL247" s="30" t="n">
        <v>0.0749919850281646</v>
      </c>
      <c r="FM247" s="30" t="n">
        <v>0.927888044563641</v>
      </c>
      <c r="FN247" s="30" t="n">
        <v>0.197406512641192</v>
      </c>
      <c r="FO247" s="30" t="n">
        <v>0.0813764299006377</v>
      </c>
      <c r="FP247" s="30" t="n">
        <v>0</v>
      </c>
      <c r="FQ247" s="30" t="n">
        <v>0</v>
      </c>
      <c r="FR247" s="30" t="n">
        <v>0</v>
      </c>
      <c r="FS247" s="30" t="n">
        <v>0</v>
      </c>
      <c r="FT247" s="30" t="n">
        <v>0</v>
      </c>
      <c r="FU247" s="30" t="n">
        <v>0.668275972558369</v>
      </c>
      <c r="FV247" s="30" t="n">
        <v>0.158901439155964</v>
      </c>
      <c r="FW247" s="30" t="n">
        <v>1.57877870665412</v>
      </c>
      <c r="FX247" s="30" t="n">
        <v>0.690080675387289</v>
      </c>
      <c r="FY247" s="30" t="n">
        <v>1.45256951961667</v>
      </c>
    </row>
    <row r="248" customFormat="false" ht="14.25" hidden="false" customHeight="false" outlineLevel="0" collapsed="false">
      <c r="A248" s="175" t="s">
        <v>397</v>
      </c>
      <c r="B248" s="175"/>
    </row>
    <row r="249" customFormat="false" ht="31.3" hidden="false" customHeight="false" outlineLevel="0" collapsed="false">
      <c r="A249" s="174" t="s">
        <v>398</v>
      </c>
      <c r="B249" s="30" t="s">
        <v>36</v>
      </c>
      <c r="C249" s="31" t="s">
        <v>398</v>
      </c>
      <c r="D249" s="27"/>
    </row>
    <row r="250" customFormat="false" ht="31.3" hidden="false" customHeight="false" outlineLevel="0" collapsed="false">
      <c r="A250" s="174" t="s">
        <v>399</v>
      </c>
      <c r="B250" s="30" t="s">
        <v>327</v>
      </c>
      <c r="C250" s="177" t="s">
        <v>399</v>
      </c>
      <c r="D250" s="27"/>
    </row>
    <row r="251" customFormat="false" ht="14.25" hidden="false" customHeight="false" outlineLevel="0" collapsed="false">
      <c r="A251" s="78"/>
    </row>
    <row r="252" customFormat="false" ht="14.25" hidden="false" customHeight="false" outlineLevel="0" collapsed="false">
      <c r="A252" s="78"/>
    </row>
    <row r="253" customFormat="false" ht="14.25" hidden="false" customHeight="false" outlineLevel="0" collapsed="false">
      <c r="A253" s="78"/>
    </row>
    <row r="254" customFormat="false" ht="14.25" hidden="false" customHeight="false" outlineLevel="0" collapsed="false">
      <c r="A254" s="78"/>
    </row>
    <row r="255" customFormat="false" ht="14.25" hidden="false" customHeight="true" outlineLevel="0" collapsed="false">
      <c r="A255" s="178" t="s">
        <v>400</v>
      </c>
      <c r="B255" s="178"/>
      <c r="C255" s="178"/>
      <c r="D255" s="178"/>
      <c r="E255" s="179"/>
      <c r="F255" s="179"/>
    </row>
    <row r="256" customFormat="false" ht="28.5" hidden="false" customHeight="true" outlineLevel="0" collapsed="false">
      <c r="A256" s="180" t="s">
        <v>401</v>
      </c>
      <c r="B256" s="104" t="s">
        <v>402</v>
      </c>
      <c r="C256" s="181"/>
      <c r="D256" s="182"/>
      <c r="F256" s="181"/>
    </row>
    <row r="257" customFormat="false" ht="14.25" hidden="false" customHeight="true" outlineLevel="0" collapsed="false">
      <c r="A257" s="183" t="s">
        <v>403</v>
      </c>
      <c r="B257" s="115" t="s">
        <v>404</v>
      </c>
      <c r="C257" s="53" t="s">
        <v>405</v>
      </c>
      <c r="D257" s="184" t="s">
        <v>406</v>
      </c>
      <c r="E257" s="52" t="s">
        <v>404</v>
      </c>
      <c r="F257" s="53" t="s">
        <v>407</v>
      </c>
    </row>
    <row r="258" customFormat="false" ht="14.25" hidden="false" customHeight="false" outlineLevel="0" collapsed="false">
      <c r="A258" s="183"/>
      <c r="B258" s="52" t="s">
        <v>408</v>
      </c>
      <c r="C258" s="53"/>
      <c r="D258" s="53"/>
      <c r="E258" s="52" t="s">
        <v>408</v>
      </c>
      <c r="F258" s="53"/>
    </row>
    <row r="259" customFormat="false" ht="14.25" hidden="false" customHeight="false" outlineLevel="0" collapsed="false">
      <c r="A259" s="183"/>
      <c r="B259" s="52" t="s">
        <v>409</v>
      </c>
      <c r="C259" s="53"/>
      <c r="D259" s="53"/>
      <c r="E259" s="52" t="s">
        <v>409</v>
      </c>
      <c r="F259" s="53"/>
    </row>
    <row r="260" customFormat="false" ht="47.25" hidden="false" customHeight="true" outlineLevel="0" collapsed="false">
      <c r="A260" s="174" t="s">
        <v>410</v>
      </c>
      <c r="B260" s="30" t="s">
        <v>411</v>
      </c>
      <c r="C260" s="185" t="s">
        <v>412</v>
      </c>
      <c r="D260" s="60" t="s">
        <v>413</v>
      </c>
      <c r="E260" s="30" t="s">
        <v>411</v>
      </c>
      <c r="F260" s="185" t="s">
        <v>414</v>
      </c>
    </row>
    <row r="267" customFormat="false" ht="14.25" hidden="false" customHeight="false" outlineLevel="0" collapsed="false">
      <c r="A267" s="144" t="s">
        <v>415</v>
      </c>
      <c r="B267" s="144"/>
      <c r="C267" s="144"/>
    </row>
    <row r="268" customFormat="false" ht="14.25" hidden="false" customHeight="false" outlineLevel="0" collapsed="false">
      <c r="A268" s="143" t="s">
        <v>416</v>
      </c>
      <c r="B268" s="30" t="s">
        <v>28</v>
      </c>
      <c r="C268" s="31" t="s">
        <v>417</v>
      </c>
    </row>
    <row r="269" customFormat="false" ht="14.25" hidden="false" customHeight="false" outlineLevel="0" collapsed="false">
      <c r="A269" s="83"/>
      <c r="B269" s="30"/>
      <c r="C269" s="31"/>
    </row>
    <row r="270" customFormat="false" ht="14.25" hidden="false" customHeight="false" outlineLevel="0" collapsed="false">
      <c r="A270" s="83" t="s">
        <v>418</v>
      </c>
      <c r="B270" s="30" t="s">
        <v>125</v>
      </c>
      <c r="C270" s="31" t="s">
        <v>419</v>
      </c>
    </row>
    <row r="271" customFormat="false" ht="14.25" hidden="false" customHeight="false" outlineLevel="0" collapsed="false">
      <c r="A271" s="83" t="s">
        <v>420</v>
      </c>
      <c r="B271" s="30" t="s">
        <v>421</v>
      </c>
      <c r="C271" s="31" t="s">
        <v>422</v>
      </c>
      <c r="D271" s="83" t="s">
        <v>423</v>
      </c>
      <c r="E271" s="1" t="n">
        <v>2020</v>
      </c>
    </row>
    <row r="272" customFormat="false" ht="14.25" hidden="false" customHeight="false" outlineLevel="0" collapsed="false">
      <c r="A272" s="143"/>
      <c r="B272" s="30"/>
      <c r="C272" s="31"/>
    </row>
    <row r="273" customFormat="false" ht="14.25" hidden="false" customHeight="false" outlineLevel="0" collapsed="false">
      <c r="A273" s="143"/>
      <c r="B273" s="30"/>
      <c r="C273" s="31"/>
    </row>
    <row r="274" customFormat="false" ht="14.25" hidden="false" customHeight="false" outlineLevel="0" collapsed="false">
      <c r="A274" s="83" t="s">
        <v>424</v>
      </c>
      <c r="B274" s="30" t="s">
        <v>425</v>
      </c>
      <c r="C274" s="31" t="s">
        <v>426</v>
      </c>
    </row>
    <row r="275" customFormat="false" ht="14.25" hidden="false" customHeight="false" outlineLevel="0" collapsed="false">
      <c r="A275" s="18" t="s">
        <v>427</v>
      </c>
      <c r="B275" s="30" t="s">
        <v>36</v>
      </c>
      <c r="C275" s="31"/>
    </row>
    <row r="276" customFormat="false" ht="14.25" hidden="false" customHeight="false" outlineLevel="0" collapsed="false">
      <c r="A276" s="18" t="s">
        <v>428</v>
      </c>
      <c r="B276" s="30" t="s">
        <v>36</v>
      </c>
      <c r="C276" s="31"/>
    </row>
    <row r="281" customFormat="false" ht="14.25" hidden="false" customHeight="false" outlineLevel="0" collapsed="false">
      <c r="A281" s="186" t="s">
        <v>429</v>
      </c>
      <c r="B281" s="72"/>
      <c r="C281" s="72"/>
      <c r="D281" s="72"/>
      <c r="E281" s="72"/>
      <c r="F281" s="72"/>
    </row>
    <row r="282" customFormat="false" ht="14.25" hidden="false" customHeight="false" outlineLevel="0" collapsed="false">
      <c r="A282" s="72" t="s">
        <v>430</v>
      </c>
      <c r="B282" s="72"/>
      <c r="C282" s="72"/>
      <c r="D282" s="72"/>
    </row>
    <row r="283" customFormat="false" ht="14.25" hidden="false" customHeight="false" outlineLevel="0" collapsed="false">
      <c r="A283" s="187" t="s">
        <v>431</v>
      </c>
      <c r="B283" s="187"/>
      <c r="C283" s="187"/>
      <c r="D283" s="188" t="n">
        <v>2</v>
      </c>
    </row>
    <row r="284" customFormat="false" ht="14.25" hidden="false" customHeight="false" outlineLevel="0" collapsed="false">
      <c r="A284" s="49" t="s">
        <v>432</v>
      </c>
      <c r="B284" s="49"/>
      <c r="C284" s="189"/>
      <c r="D284" s="72"/>
    </row>
    <row r="285" customFormat="false" ht="14.25" hidden="false" customHeight="false" outlineLevel="0" collapsed="false">
      <c r="A285" s="143" t="s">
        <v>433</v>
      </c>
      <c r="B285" s="188" t="s">
        <v>434</v>
      </c>
    </row>
    <row r="286" customFormat="false" ht="14.25" hidden="false" customHeight="false" outlineLevel="0" collapsed="false">
      <c r="A286" s="190" t="s">
        <v>435</v>
      </c>
      <c r="B286" s="191" t="s">
        <v>436</v>
      </c>
      <c r="D286" s="142" t="s">
        <v>437</v>
      </c>
      <c r="E286" s="142" t="s">
        <v>438</v>
      </c>
    </row>
    <row r="287" customFormat="false" ht="14.25" hidden="false" customHeight="true" outlineLevel="0" collapsed="false">
      <c r="A287" s="192" t="s">
        <v>439</v>
      </c>
      <c r="B287" s="30" t="s">
        <v>440</v>
      </c>
      <c r="C287" s="30" t="s">
        <v>441</v>
      </c>
      <c r="D287" s="31" t="s">
        <v>442</v>
      </c>
      <c r="E287" s="31" t="s">
        <v>442</v>
      </c>
    </row>
    <row r="288" customFormat="false" ht="14.25" hidden="false" customHeight="false" outlineLevel="0" collapsed="false">
      <c r="A288" s="192"/>
      <c r="B288" s="30" t="s">
        <v>443</v>
      </c>
      <c r="C288" s="30" t="s">
        <v>441</v>
      </c>
      <c r="D288" s="31" t="s">
        <v>442</v>
      </c>
      <c r="E288" s="31" t="s">
        <v>442</v>
      </c>
    </row>
    <row r="289" customFormat="false" ht="14.25" hidden="false" customHeight="false" outlineLevel="0" collapsed="false">
      <c r="A289" s="192"/>
      <c r="B289" s="30" t="s">
        <v>444</v>
      </c>
      <c r="C289" s="30" t="s">
        <v>441</v>
      </c>
      <c r="D289" s="31" t="s">
        <v>442</v>
      </c>
      <c r="E289" s="31" t="s">
        <v>442</v>
      </c>
    </row>
    <row r="290" customFormat="false" ht="14.25" hidden="false" customHeight="false" outlineLevel="0" collapsed="false">
      <c r="A290" s="192"/>
      <c r="B290" s="30" t="s">
        <v>445</v>
      </c>
      <c r="C290" s="30" t="s">
        <v>441</v>
      </c>
      <c r="D290" s="31" t="s">
        <v>442</v>
      </c>
      <c r="E290" s="31" t="s">
        <v>442</v>
      </c>
    </row>
    <row r="291" customFormat="false" ht="14.25" hidden="false" customHeight="false" outlineLevel="0" collapsed="false">
      <c r="A291" s="192"/>
      <c r="B291" s="30" t="s">
        <v>446</v>
      </c>
      <c r="C291" s="30" t="s">
        <v>441</v>
      </c>
      <c r="D291" s="31" t="s">
        <v>442</v>
      </c>
      <c r="E291" s="31" t="s">
        <v>442</v>
      </c>
    </row>
    <row r="292" customFormat="false" ht="14.25" hidden="false" customHeight="false" outlineLevel="0" collapsed="false">
      <c r="A292" s="192"/>
      <c r="B292" s="30" t="s">
        <v>447</v>
      </c>
      <c r="C292" s="30" t="s">
        <v>441</v>
      </c>
      <c r="D292" s="31" t="s">
        <v>442</v>
      </c>
      <c r="E292" s="31" t="s">
        <v>442</v>
      </c>
    </row>
    <row r="293" customFormat="false" ht="14.25" hidden="false" customHeight="false" outlineLevel="0" collapsed="false">
      <c r="A293" s="192"/>
      <c r="B293" s="30" t="s">
        <v>448</v>
      </c>
      <c r="C293" s="30" t="s">
        <v>441</v>
      </c>
      <c r="D293" s="31" t="s">
        <v>442</v>
      </c>
      <c r="E293" s="31" t="s">
        <v>442</v>
      </c>
    </row>
    <row r="294" customFormat="false" ht="14.25" hidden="false" customHeight="false" outlineLevel="0" collapsed="false">
      <c r="A294" s="192"/>
      <c r="B294" s="30" t="s">
        <v>449</v>
      </c>
      <c r="C294" s="30" t="s">
        <v>441</v>
      </c>
      <c r="D294" s="31" t="s">
        <v>442</v>
      </c>
      <c r="E294" s="31" t="s">
        <v>442</v>
      </c>
    </row>
    <row r="295" customFormat="false" ht="14.25" hidden="false" customHeight="false" outlineLevel="0" collapsed="false">
      <c r="A295" s="192"/>
      <c r="B295" s="30" t="s">
        <v>450</v>
      </c>
      <c r="C295" s="30" t="s">
        <v>441</v>
      </c>
      <c r="D295" s="31" t="s">
        <v>442</v>
      </c>
      <c r="E295" s="31" t="s">
        <v>442</v>
      </c>
    </row>
    <row r="296" customFormat="false" ht="14.25" hidden="false" customHeight="false" outlineLevel="0" collapsed="false">
      <c r="A296" s="192"/>
      <c r="B296" s="30" t="s">
        <v>451</v>
      </c>
      <c r="C296" s="30" t="s">
        <v>441</v>
      </c>
      <c r="D296" s="31" t="s">
        <v>442</v>
      </c>
      <c r="E296" s="31" t="s">
        <v>442</v>
      </c>
    </row>
    <row r="297" customFormat="false" ht="14.25" hidden="false" customHeight="false" outlineLevel="0" collapsed="false">
      <c r="A297" s="192"/>
      <c r="B297" s="30" t="s">
        <v>452</v>
      </c>
      <c r="C297" s="30" t="s">
        <v>441</v>
      </c>
      <c r="D297" s="31" t="s">
        <v>442</v>
      </c>
      <c r="E297" s="31" t="s">
        <v>442</v>
      </c>
    </row>
    <row r="298" customFormat="false" ht="14.25" hidden="false" customHeight="false" outlineLevel="0" collapsed="false">
      <c r="A298" s="192"/>
      <c r="B298" s="30" t="s">
        <v>453</v>
      </c>
      <c r="C298" s="30" t="s">
        <v>441</v>
      </c>
      <c r="D298" s="31" t="s">
        <v>442</v>
      </c>
      <c r="E298" s="31" t="s">
        <v>442</v>
      </c>
    </row>
    <row r="299" customFormat="false" ht="14.25" hidden="false" customHeight="false" outlineLevel="0" collapsed="false">
      <c r="A299" s="192"/>
      <c r="B299" s="30" t="s">
        <v>454</v>
      </c>
      <c r="C299" s="30" t="s">
        <v>441</v>
      </c>
      <c r="D299" s="31" t="s">
        <v>442</v>
      </c>
      <c r="E299" s="31" t="s">
        <v>442</v>
      </c>
    </row>
    <row r="300" customFormat="false" ht="14.25" hidden="false" customHeight="false" outlineLevel="0" collapsed="false">
      <c r="A300" s="192"/>
      <c r="B300" s="30" t="s">
        <v>455</v>
      </c>
      <c r="C300" s="30" t="s">
        <v>441</v>
      </c>
      <c r="D300" s="31" t="s">
        <v>442</v>
      </c>
      <c r="E300" s="31" t="s">
        <v>442</v>
      </c>
    </row>
    <row r="301" customFormat="false" ht="14.25" hidden="false" customHeight="false" outlineLevel="0" collapsed="false">
      <c r="A301" s="192"/>
      <c r="B301" s="30" t="s">
        <v>456</v>
      </c>
      <c r="C301" s="30" t="s">
        <v>441</v>
      </c>
      <c r="D301" s="31" t="s">
        <v>442</v>
      </c>
      <c r="E301" s="31" t="s">
        <v>442</v>
      </c>
    </row>
    <row r="302" customFormat="false" ht="14.25" hidden="false" customHeight="false" outlineLevel="0" collapsed="false">
      <c r="A302" s="192"/>
      <c r="B302" s="30" t="s">
        <v>457</v>
      </c>
      <c r="C302" s="30" t="s">
        <v>441</v>
      </c>
      <c r="D302" s="31" t="s">
        <v>442</v>
      </c>
      <c r="E302" s="31" t="s">
        <v>442</v>
      </c>
    </row>
    <row r="303" customFormat="false" ht="14.25" hidden="false" customHeight="false" outlineLevel="0" collapsed="false">
      <c r="A303" s="192"/>
      <c r="B303" s="30" t="s">
        <v>458</v>
      </c>
      <c r="C303" s="30" t="s">
        <v>441</v>
      </c>
      <c r="D303" s="31" t="s">
        <v>442</v>
      </c>
      <c r="E303" s="31" t="s">
        <v>442</v>
      </c>
    </row>
    <row r="304" customFormat="false" ht="14.25" hidden="false" customHeight="false" outlineLevel="0" collapsed="false">
      <c r="A304" s="192"/>
      <c r="B304" s="30" t="s">
        <v>459</v>
      </c>
      <c r="C304" s="30" t="s">
        <v>441</v>
      </c>
      <c r="D304" s="31" t="s">
        <v>442</v>
      </c>
      <c r="E304" s="31" t="s">
        <v>442</v>
      </c>
    </row>
    <row r="305" customFormat="false" ht="14.25" hidden="false" customHeight="false" outlineLevel="0" collapsed="false">
      <c r="A305" s="192"/>
      <c r="B305" s="30" t="s">
        <v>460</v>
      </c>
      <c r="C305" s="30" t="s">
        <v>441</v>
      </c>
      <c r="D305" s="31" t="s">
        <v>442</v>
      </c>
      <c r="E305" s="31" t="s">
        <v>442</v>
      </c>
    </row>
    <row r="306" customFormat="false" ht="14.25" hidden="false" customHeight="false" outlineLevel="0" collapsed="false">
      <c r="A306" s="49" t="s">
        <v>461</v>
      </c>
      <c r="B306" s="49"/>
      <c r="C306" s="30" t="s">
        <v>441</v>
      </c>
      <c r="D306" s="72"/>
    </row>
    <row r="307" customFormat="false" ht="14.25" hidden="false" customHeight="false" outlineLevel="0" collapsed="false">
      <c r="A307" s="18" t="s">
        <v>462</v>
      </c>
      <c r="B307" s="22" t="s">
        <v>463</v>
      </c>
      <c r="C307" s="27" t="s">
        <v>464</v>
      </c>
      <c r="D307" s="18" t="s">
        <v>465</v>
      </c>
      <c r="E307" s="30" t="s">
        <v>423</v>
      </c>
      <c r="F307" s="27" t="s">
        <v>466</v>
      </c>
    </row>
    <row r="308" customFormat="false" ht="14.25" hidden="false" customHeight="false" outlineLevel="0" collapsed="false">
      <c r="A308" s="18" t="s">
        <v>467</v>
      </c>
      <c r="B308" s="22" t="s">
        <v>463</v>
      </c>
      <c r="C308" s="27" t="s">
        <v>468</v>
      </c>
      <c r="D308" s="18" t="s">
        <v>469</v>
      </c>
      <c r="E308" s="30" t="s">
        <v>423</v>
      </c>
      <c r="F308" s="27" t="s">
        <v>470</v>
      </c>
    </row>
    <row r="315" s="72" customFormat="true" ht="14.25" hidden="false" customHeight="false" outlineLevel="0" collapsed="false">
      <c r="A315" s="186" t="s">
        <v>471</v>
      </c>
    </row>
    <row r="316" s="72" customFormat="true" ht="14.25" hidden="false" customHeight="false" outlineLevel="0" collapsed="false">
      <c r="A316" s="72" t="s">
        <v>472</v>
      </c>
    </row>
    <row r="317" customFormat="false" ht="14.25" hidden="false" customHeight="true" outlineLevel="0" collapsed="false">
      <c r="A317" s="193" t="s">
        <v>473</v>
      </c>
      <c r="B317" s="194" t="s">
        <v>474</v>
      </c>
      <c r="C317" s="194"/>
      <c r="D317" s="195" t="s">
        <v>175</v>
      </c>
    </row>
    <row r="318" customFormat="false" ht="14.25" hidden="false" customHeight="false" outlineLevel="0" collapsed="false">
      <c r="A318" s="193"/>
      <c r="B318" s="196" t="s">
        <v>475</v>
      </c>
      <c r="C318" s="196"/>
      <c r="D318" s="195"/>
    </row>
    <row r="319" customFormat="false" ht="14.25" hidden="false" customHeight="false" outlineLevel="0" collapsed="false">
      <c r="A319" s="193"/>
      <c r="B319" s="194" t="s">
        <v>476</v>
      </c>
      <c r="C319" s="194"/>
      <c r="D319" s="195"/>
      <c r="E319" s="18" t="s">
        <v>477</v>
      </c>
      <c r="F319" s="27" t="s">
        <v>478</v>
      </c>
    </row>
    <row r="320" s="72" customFormat="true" ht="14.25" hidden="false" customHeight="false" outlineLevel="0" collapsed="false">
      <c r="A320" s="72" t="s">
        <v>479</v>
      </c>
    </row>
    <row r="321" customFormat="false" ht="14.25" hidden="false" customHeight="true" outlineLevel="0" collapsed="false">
      <c r="A321" s="193" t="s">
        <v>480</v>
      </c>
      <c r="B321" s="194" t="s">
        <v>481</v>
      </c>
      <c r="C321" s="194"/>
      <c r="D321" s="195" t="s">
        <v>175</v>
      </c>
    </row>
    <row r="322" customFormat="false" ht="14.25" hidden="false" customHeight="false" outlineLevel="0" collapsed="false">
      <c r="A322" s="193"/>
      <c r="B322" s="196" t="s">
        <v>482</v>
      </c>
      <c r="C322" s="196"/>
      <c r="D322" s="195"/>
    </row>
    <row r="323" customFormat="false" ht="14.25" hidden="false" customHeight="false" outlineLevel="0" collapsed="false">
      <c r="A323" s="193"/>
      <c r="B323" s="194" t="s">
        <v>483</v>
      </c>
      <c r="C323" s="194"/>
      <c r="D323" s="195"/>
      <c r="E323" s="18" t="s">
        <v>484</v>
      </c>
      <c r="F323" s="27" t="s">
        <v>478</v>
      </c>
    </row>
    <row r="324" s="72" customFormat="true" ht="14.25" hidden="false" customHeight="false" outlineLevel="0" collapsed="false">
      <c r="A324" s="72" t="s">
        <v>485</v>
      </c>
    </row>
    <row r="325" customFormat="false" ht="14.25" hidden="false" customHeight="true" outlineLevel="0" collapsed="false">
      <c r="A325" s="193" t="s">
        <v>486</v>
      </c>
      <c r="B325" s="194" t="s">
        <v>474</v>
      </c>
      <c r="C325" s="194"/>
      <c r="D325" s="195" t="s">
        <v>175</v>
      </c>
    </row>
    <row r="326" customFormat="false" ht="14.25" hidden="false" customHeight="false" outlineLevel="0" collapsed="false">
      <c r="A326" s="193"/>
      <c r="B326" s="196" t="s">
        <v>487</v>
      </c>
      <c r="C326" s="196"/>
      <c r="D326" s="195"/>
    </row>
    <row r="327" customFormat="false" ht="14.25" hidden="false" customHeight="false" outlineLevel="0" collapsed="false">
      <c r="A327" s="193"/>
      <c r="B327" s="194" t="s">
        <v>488</v>
      </c>
      <c r="C327" s="194"/>
      <c r="D327" s="195"/>
      <c r="E327" s="18" t="s">
        <v>489</v>
      </c>
      <c r="F327" s="27" t="s">
        <v>478</v>
      </c>
    </row>
  </sheetData>
  <mergeCells count="164">
    <mergeCell ref="A4:A8"/>
    <mergeCell ref="B4:B8"/>
    <mergeCell ref="C5:C6"/>
    <mergeCell ref="D7:D8"/>
    <mergeCell ref="E7:E8"/>
    <mergeCell ref="A11:A15"/>
    <mergeCell ref="B11:B15"/>
    <mergeCell ref="C12:C13"/>
    <mergeCell ref="D14:D15"/>
    <mergeCell ref="E14:E15"/>
    <mergeCell ref="A19:A22"/>
    <mergeCell ref="B19:C19"/>
    <mergeCell ref="D19:D22"/>
    <mergeCell ref="B20:C20"/>
    <mergeCell ref="B21:C21"/>
    <mergeCell ref="B22:C22"/>
    <mergeCell ref="J32:O32"/>
    <mergeCell ref="J33:O33"/>
    <mergeCell ref="J34:O34"/>
    <mergeCell ref="J35:O35"/>
    <mergeCell ref="J36:O36"/>
    <mergeCell ref="J37:O37"/>
    <mergeCell ref="J38:O38"/>
    <mergeCell ref="A68:A71"/>
    <mergeCell ref="D68:D71"/>
    <mergeCell ref="A72:A75"/>
    <mergeCell ref="D72:D75"/>
    <mergeCell ref="A76:A79"/>
    <mergeCell ref="D76:D79"/>
    <mergeCell ref="A80:A82"/>
    <mergeCell ref="D80:D82"/>
    <mergeCell ref="A84:A87"/>
    <mergeCell ref="D84:D87"/>
    <mergeCell ref="A88:A91"/>
    <mergeCell ref="D88:D91"/>
    <mergeCell ref="A92:A95"/>
    <mergeCell ref="D92:D95"/>
    <mergeCell ref="A96:A98"/>
    <mergeCell ref="D96:D98"/>
    <mergeCell ref="A100:A103"/>
    <mergeCell ref="D100:D103"/>
    <mergeCell ref="A105:A108"/>
    <mergeCell ref="D105:D108"/>
    <mergeCell ref="A115:E115"/>
    <mergeCell ref="C116:E116"/>
    <mergeCell ref="C119:D119"/>
    <mergeCell ref="A122:A123"/>
    <mergeCell ref="D122:D125"/>
    <mergeCell ref="E122:E123"/>
    <mergeCell ref="F122:G123"/>
    <mergeCell ref="A124:A125"/>
    <mergeCell ref="E124:E125"/>
    <mergeCell ref="F124:G125"/>
    <mergeCell ref="A126:A127"/>
    <mergeCell ref="D126:D129"/>
    <mergeCell ref="E126:E127"/>
    <mergeCell ref="F126:G127"/>
    <mergeCell ref="A128:A129"/>
    <mergeCell ref="E128:E129"/>
    <mergeCell ref="F128:G129"/>
    <mergeCell ref="A130:A131"/>
    <mergeCell ref="A194:E194"/>
    <mergeCell ref="A195:A197"/>
    <mergeCell ref="C195:C197"/>
    <mergeCell ref="A198:C198"/>
    <mergeCell ref="B207:F207"/>
    <mergeCell ref="G207:K207"/>
    <mergeCell ref="L207:P207"/>
    <mergeCell ref="Q207:U207"/>
    <mergeCell ref="V207:Z207"/>
    <mergeCell ref="AA207:AE207"/>
    <mergeCell ref="AF207:AJ207"/>
    <mergeCell ref="AK207:AO207"/>
    <mergeCell ref="AP207:AT207"/>
    <mergeCell ref="AU207:AY207"/>
    <mergeCell ref="AZ207:BD207"/>
    <mergeCell ref="BE207:BI207"/>
    <mergeCell ref="BJ207:BN207"/>
    <mergeCell ref="BO207:BS207"/>
    <mergeCell ref="BT207:BX207"/>
    <mergeCell ref="BY207:CC207"/>
    <mergeCell ref="CD207:CH207"/>
    <mergeCell ref="CI207:CM207"/>
    <mergeCell ref="CN207:CR207"/>
    <mergeCell ref="CS207:CW207"/>
    <mergeCell ref="CX207:DB207"/>
    <mergeCell ref="DC207:DG207"/>
    <mergeCell ref="DH207:DJ207"/>
    <mergeCell ref="DM207:DQ207"/>
    <mergeCell ref="DR207:DV207"/>
    <mergeCell ref="DW207:EA207"/>
    <mergeCell ref="EB207:EF207"/>
    <mergeCell ref="EG207:EK207"/>
    <mergeCell ref="EL207:EP207"/>
    <mergeCell ref="EQ207:EU207"/>
    <mergeCell ref="EV207:EZ207"/>
    <mergeCell ref="FA207:FE207"/>
    <mergeCell ref="FF207:FJ207"/>
    <mergeCell ref="FK207:FO207"/>
    <mergeCell ref="FP207:FT207"/>
    <mergeCell ref="FU207:FW207"/>
    <mergeCell ref="B224:F224"/>
    <mergeCell ref="G224:K224"/>
    <mergeCell ref="A241:A242"/>
    <mergeCell ref="C241:C242"/>
    <mergeCell ref="B245:F245"/>
    <mergeCell ref="G245:K245"/>
    <mergeCell ref="L245:P245"/>
    <mergeCell ref="Q245:U245"/>
    <mergeCell ref="V245:Z245"/>
    <mergeCell ref="AA245:AE245"/>
    <mergeCell ref="AF245:AJ245"/>
    <mergeCell ref="AK245:AO245"/>
    <mergeCell ref="AP245:AT245"/>
    <mergeCell ref="AU245:AY245"/>
    <mergeCell ref="AZ245:BD245"/>
    <mergeCell ref="BE245:BI245"/>
    <mergeCell ref="BJ245:BN245"/>
    <mergeCell ref="BO245:BS245"/>
    <mergeCell ref="BT245:BX245"/>
    <mergeCell ref="BY245:CC245"/>
    <mergeCell ref="CD245:CH245"/>
    <mergeCell ref="CI245:CM245"/>
    <mergeCell ref="CN245:CR245"/>
    <mergeCell ref="CS245:CW245"/>
    <mergeCell ref="CX245:DB245"/>
    <mergeCell ref="DC245:DG245"/>
    <mergeCell ref="DH245:DJ245"/>
    <mergeCell ref="DM245:DQ245"/>
    <mergeCell ref="DR245:DV245"/>
    <mergeCell ref="DW245:EA245"/>
    <mergeCell ref="EB245:EF245"/>
    <mergeCell ref="EG245:EK245"/>
    <mergeCell ref="EL245:EP245"/>
    <mergeCell ref="EQ245:EU245"/>
    <mergeCell ref="EV245:EZ245"/>
    <mergeCell ref="FA245:FE245"/>
    <mergeCell ref="FF245:FJ245"/>
    <mergeCell ref="FK245:FO245"/>
    <mergeCell ref="FP245:FT245"/>
    <mergeCell ref="FU245:FY245"/>
    <mergeCell ref="A255:D255"/>
    <mergeCell ref="E255:F255"/>
    <mergeCell ref="A257:A259"/>
    <mergeCell ref="C257:C259"/>
    <mergeCell ref="D257:D259"/>
    <mergeCell ref="F257:F259"/>
    <mergeCell ref="A283:C283"/>
    <mergeCell ref="A287:A305"/>
    <mergeCell ref="A317:A319"/>
    <mergeCell ref="B317:C317"/>
    <mergeCell ref="D317:D319"/>
    <mergeCell ref="B318:C318"/>
    <mergeCell ref="B319:C319"/>
    <mergeCell ref="A321:A323"/>
    <mergeCell ref="B321:C321"/>
    <mergeCell ref="D321:D323"/>
    <mergeCell ref="B322:C322"/>
    <mergeCell ref="B323:C323"/>
    <mergeCell ref="A325:A327"/>
    <mergeCell ref="B325:C325"/>
    <mergeCell ref="D325:D327"/>
    <mergeCell ref="B326:C326"/>
    <mergeCell ref="B327:C327"/>
  </mergeCells>
  <dataValidations count="1">
    <dataValidation allowBlank="true" error="Energy intensity per sector is selected" errorStyle="stop" errorTitle="Error" operator="between" showDropDown="false" showErrorMessage="true" showInputMessage="true" sqref="B227:K238" type="custom">
      <formula1>#ref!=0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Y428"/>
  <sheetViews>
    <sheetView showFormulas="false" showGridLines="true" showRowColHeaders="true" showZeros="true" rightToLeft="false" tabSelected="true" showOutlineSymbols="true" defaultGridColor="true" view="normal" topLeftCell="D303" colorId="64" zoomScale="75" zoomScaleNormal="75" zoomScalePageLayoutView="100" workbookViewId="0">
      <selection pane="topLeft" activeCell="J336" activeCellId="0" sqref="J336"/>
    </sheetView>
  </sheetViews>
  <sheetFormatPr defaultColWidth="11.4453125" defaultRowHeight="14.25" zeroHeight="false" outlineLevelRow="0" outlineLevelCol="0"/>
  <cols>
    <col collapsed="false" customWidth="true" hidden="false" outlineLevel="0" max="1" min="1" style="1" width="48.67"/>
    <col collapsed="false" customWidth="true" hidden="false" outlineLevel="0" max="2" min="2" style="1" width="50"/>
    <col collapsed="false" customWidth="true" hidden="false" outlineLevel="0" max="3" min="3" style="1" width="59.89"/>
    <col collapsed="false" customWidth="true" hidden="false" outlineLevel="0" max="4" min="4" style="1" width="55.88"/>
    <col collapsed="false" customWidth="true" hidden="false" outlineLevel="0" max="5" min="5" style="1" width="49.33"/>
    <col collapsed="false" customWidth="true" hidden="false" outlineLevel="0" max="6" min="6" style="1" width="30.88"/>
    <col collapsed="false" customWidth="true" hidden="false" outlineLevel="0" max="7" min="7" style="1" width="34.34"/>
    <col collapsed="false" customWidth="true" hidden="false" outlineLevel="0" max="8" min="8" style="1" width="32.44"/>
    <col collapsed="false" customWidth="true" hidden="false" outlineLevel="0" max="9" min="9" style="1" width="21.88"/>
    <col collapsed="false" customWidth="true" hidden="false" outlineLevel="0" max="10" min="10" style="1" width="29"/>
    <col collapsed="false" customWidth="true" hidden="false" outlineLevel="0" max="12" min="12" style="1" width="35.44"/>
    <col collapsed="false" customWidth="true" hidden="false" outlineLevel="0" max="18" min="18" style="1" width="12.56"/>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4.2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4.2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4.2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4.2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4.2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0.0114814377510482</v>
      </c>
      <c r="N10" s="206"/>
      <c r="O10" s="206"/>
      <c r="P10" s="206"/>
      <c r="Q10" s="206"/>
      <c r="R10" s="206" t="n">
        <v>0.011217229240813</v>
      </c>
      <c r="S10" s="206"/>
      <c r="T10" s="206"/>
      <c r="U10" s="206"/>
      <c r="V10" s="206"/>
      <c r="W10" s="206" t="n">
        <v>0.0137073065541908</v>
      </c>
      <c r="X10" s="206"/>
      <c r="Y10" s="206"/>
      <c r="Z10" s="206"/>
      <c r="AA10" s="206"/>
      <c r="AB10" s="206" t="n">
        <v>0.0153085880531061</v>
      </c>
      <c r="AC10" s="206"/>
      <c r="AD10" s="206"/>
      <c r="AE10" s="206"/>
      <c r="AF10" s="206"/>
      <c r="AG10" s="206" t="n">
        <v>0.015501328315761</v>
      </c>
      <c r="AH10" s="206"/>
      <c r="AI10" s="206"/>
      <c r="AJ10" s="206"/>
      <c r="AK10" s="206"/>
      <c r="AL10" s="206" t="n">
        <v>0.0157092931538709</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4.2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4.25" hidden="false" customHeight="false" outlineLevel="0" collapsed="false">
      <c r="A16" s="211" t="s">
        <v>498</v>
      </c>
      <c r="B16" s="202" t="s">
        <v>499</v>
      </c>
      <c r="C16" s="212" t="n">
        <v>0.117609721833719</v>
      </c>
      <c r="D16" s="212" t="n">
        <v>0.113707811921418</v>
      </c>
      <c r="E16" s="212" t="n">
        <v>0.1268050283133</v>
      </c>
      <c r="F16" s="212" t="n">
        <v>0.135126859489025</v>
      </c>
      <c r="G16" s="212" t="n">
        <v>0.140282729162163</v>
      </c>
      <c r="H16" s="212" t="n">
        <v>0.146916832301251</v>
      </c>
      <c r="I16" s="213" t="n">
        <v>0.148630915135189</v>
      </c>
      <c r="J16" s="81"/>
      <c r="K16" s="160"/>
      <c r="L16" s="81"/>
    </row>
    <row r="17" customFormat="false" ht="14.25" hidden="false" customHeight="false" outlineLevel="0" collapsed="false">
      <c r="A17" s="211" t="s">
        <v>500</v>
      </c>
      <c r="B17" s="202" t="s">
        <v>499</v>
      </c>
      <c r="C17" s="212" t="n">
        <v>0.000878474</v>
      </c>
      <c r="D17" s="212" t="n">
        <v>0.0011024</v>
      </c>
      <c r="E17" s="212" t="n">
        <v>0.0011334</v>
      </c>
      <c r="F17" s="212" t="n">
        <v>0.00200848238735286</v>
      </c>
      <c r="G17" s="212" t="n">
        <v>0.0025763285102634</v>
      </c>
      <c r="H17" s="212" t="n">
        <v>0.00298497591757019</v>
      </c>
      <c r="I17" s="213" t="n">
        <v>0.00339362332487698</v>
      </c>
      <c r="J17" s="81"/>
      <c r="K17" s="81"/>
      <c r="L17" s="81"/>
    </row>
    <row r="18" customFormat="false" ht="14.25" hidden="false" customHeight="false" outlineLevel="0" collapsed="false">
      <c r="A18" s="211" t="s">
        <v>501</v>
      </c>
      <c r="B18" s="202" t="s">
        <v>499</v>
      </c>
      <c r="C18" s="212" t="n">
        <v>0.0374522</v>
      </c>
      <c r="D18" s="212" t="n">
        <v>0.0396114137098256</v>
      </c>
      <c r="E18" s="212" t="n">
        <v>0.06069115</v>
      </c>
      <c r="F18" s="214" t="n">
        <v>0.08975165</v>
      </c>
      <c r="G18" s="214" t="n">
        <v>0.12725</v>
      </c>
      <c r="H18" s="214" t="n">
        <v>0.1769065</v>
      </c>
      <c r="I18" s="213" t="n">
        <v>0.2118585</v>
      </c>
      <c r="J18" s="81"/>
      <c r="K18" s="81"/>
      <c r="L18" s="81"/>
    </row>
    <row r="19" customFormat="false" ht="14.25" hidden="false" customHeight="false" outlineLevel="0" collapsed="false">
      <c r="A19" s="211" t="s">
        <v>502</v>
      </c>
      <c r="B19" s="202" t="s">
        <v>499</v>
      </c>
      <c r="C19" s="212" t="n">
        <v>0.0008299085</v>
      </c>
      <c r="D19" s="212" t="n">
        <v>0.00160824276183273</v>
      </c>
      <c r="E19" s="212" t="n">
        <v>0.014096475</v>
      </c>
      <c r="F19" s="214" t="n">
        <v>0.02532925</v>
      </c>
      <c r="G19" s="214" t="n">
        <v>0.03581605</v>
      </c>
      <c r="H19" s="214" t="n">
        <v>0.04635715</v>
      </c>
      <c r="I19" s="213" t="n">
        <v>0.05620975</v>
      </c>
      <c r="J19" s="160"/>
      <c r="K19" s="81"/>
      <c r="L19" s="81"/>
    </row>
    <row r="20" customFormat="false" ht="14.25" hidden="false" customHeight="false" outlineLevel="0" collapsed="false">
      <c r="A20" s="211" t="s">
        <v>503</v>
      </c>
      <c r="B20" s="202" t="s">
        <v>499</v>
      </c>
      <c r="C20" s="212" t="n">
        <v>0.146914125126844</v>
      </c>
      <c r="D20" s="212" t="n">
        <v>0.170956271387911</v>
      </c>
      <c r="E20" s="212" t="n">
        <v>0.359162426436101</v>
      </c>
      <c r="F20" s="214" t="n">
        <v>0.526015222710319</v>
      </c>
      <c r="G20" s="214" t="n">
        <v>0.6707412377823</v>
      </c>
      <c r="H20" s="214" t="n">
        <v>0.895000988463177</v>
      </c>
      <c r="I20" s="213" t="n">
        <v>1.01362210322222</v>
      </c>
    </row>
    <row r="21" customFormat="false" ht="14.25" hidden="false" customHeight="false" outlineLevel="0" collapsed="false">
      <c r="A21" s="211" t="s">
        <v>504</v>
      </c>
      <c r="B21" s="202" t="s">
        <v>499</v>
      </c>
      <c r="C21" s="212" t="n">
        <v>0.0121029772625668</v>
      </c>
      <c r="D21" s="212" t="n">
        <v>0.0392747193946296</v>
      </c>
      <c r="E21" s="212" t="n">
        <v>0.0638937271994091</v>
      </c>
      <c r="F21" s="214" t="n">
        <v>0.105000218961605</v>
      </c>
      <c r="G21" s="214" t="n">
        <v>0.186851022344914</v>
      </c>
      <c r="H21" s="214" t="n">
        <v>0.324965157175987</v>
      </c>
      <c r="I21" s="213" t="n">
        <v>0.362987208788995</v>
      </c>
      <c r="K21" s="81"/>
      <c r="L21" s="81"/>
    </row>
    <row r="22" customFormat="false" ht="14.25" hidden="false" customHeight="false" outlineLevel="0" collapsed="false">
      <c r="A22" s="211" t="s">
        <v>505</v>
      </c>
      <c r="B22" s="202" t="s">
        <v>499</v>
      </c>
      <c r="C22" s="212" t="n">
        <v>0.125671151626567</v>
      </c>
      <c r="D22" s="212" t="n">
        <v>0.156494540934672</v>
      </c>
      <c r="E22" s="212" t="n">
        <v>0.389285836686693</v>
      </c>
      <c r="F22" s="214" t="n">
        <v>0.545212013431527</v>
      </c>
      <c r="G22" s="214" t="n">
        <v>0.755351384766724</v>
      </c>
      <c r="H22" s="214" t="n">
        <v>0.97004701873674</v>
      </c>
      <c r="I22" s="213" t="n">
        <v>1.15086859750692</v>
      </c>
      <c r="K22" s="81"/>
      <c r="L22" s="81"/>
    </row>
    <row r="23" customFormat="false" ht="14.25" hidden="false" customHeight="false" outlineLevel="0" collapsed="false">
      <c r="A23" s="211" t="s">
        <v>506</v>
      </c>
      <c r="B23" s="202" t="s">
        <v>499</v>
      </c>
      <c r="C23" s="212" t="n">
        <v>0.0023288</v>
      </c>
      <c r="D23" s="212" t="n">
        <v>0.0049788</v>
      </c>
      <c r="E23" s="212" t="n">
        <v>0.0076288</v>
      </c>
      <c r="F23" s="212" t="n">
        <v>0.0092216</v>
      </c>
      <c r="G23" s="212" t="n">
        <v>0.0108144</v>
      </c>
      <c r="H23" s="212" t="n">
        <v>0.0124072</v>
      </c>
      <c r="I23" s="215" t="n">
        <v>0.014</v>
      </c>
    </row>
    <row r="24" customFormat="false" ht="15" hidden="false" customHeight="true" outlineLevel="0" collapsed="false">
      <c r="A24" s="211" t="s">
        <v>507</v>
      </c>
      <c r="B24" s="202" t="s">
        <v>499</v>
      </c>
      <c r="C24" s="212" t="n">
        <v>0.045</v>
      </c>
      <c r="D24" s="212" t="n">
        <v>0.055</v>
      </c>
      <c r="E24" s="212" t="n">
        <v>0.065</v>
      </c>
      <c r="F24" s="212" t="n">
        <v>0.065</v>
      </c>
      <c r="G24" s="212" t="n">
        <v>0.065</v>
      </c>
      <c r="H24" s="212" t="n">
        <v>0.065</v>
      </c>
      <c r="I24" s="213" t="n">
        <v>0.065</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t="s">
        <v>510</v>
      </c>
      <c r="B27" s="200"/>
      <c r="C27" s="200"/>
      <c r="D27" s="200"/>
      <c r="E27" s="200"/>
      <c r="F27" s="200"/>
      <c r="G27" s="200"/>
      <c r="H27" s="200"/>
      <c r="I27" s="200"/>
    </row>
    <row r="28" customFormat="false" ht="14.25" hidden="false" customHeight="false" outlineLevel="0" collapsed="false">
      <c r="A28" s="218" t="s">
        <v>511</v>
      </c>
      <c r="B28" s="219" t="s">
        <v>146</v>
      </c>
      <c r="C28" s="220" t="n">
        <v>0</v>
      </c>
      <c r="D28" s="220" t="n">
        <v>0</v>
      </c>
      <c r="E28" s="220" t="n">
        <v>0</v>
      </c>
      <c r="F28" s="220" t="n">
        <v>0</v>
      </c>
      <c r="G28" s="220" t="n">
        <v>0</v>
      </c>
      <c r="H28" s="220" t="n">
        <v>0</v>
      </c>
      <c r="I28" s="220" t="n">
        <v>0</v>
      </c>
    </row>
    <row r="29" customFormat="false" ht="14.2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512</v>
      </c>
      <c r="B31" s="222"/>
      <c r="C31" s="222"/>
      <c r="E31" s="81"/>
      <c r="F31" s="81"/>
      <c r="G31" s="81"/>
      <c r="H31" s="160"/>
      <c r="I31" s="81"/>
      <c r="L31" s="75"/>
    </row>
    <row r="32" customFormat="false" ht="14.25" hidden="false" customHeight="false" outlineLevel="0" collapsed="false">
      <c r="A32" s="211" t="s">
        <v>513</v>
      </c>
      <c r="B32" s="202" t="s">
        <v>514</v>
      </c>
      <c r="C32" s="223" t="n">
        <v>0.1</v>
      </c>
      <c r="H32" s="160"/>
      <c r="K32" s="45"/>
      <c r="M32" s="81"/>
    </row>
    <row r="33" customFormat="false" ht="14.25" hidden="false" customHeight="false" outlineLevel="0" collapsed="false">
      <c r="A33" s="211" t="s">
        <v>515</v>
      </c>
      <c r="B33" s="202" t="s">
        <v>36</v>
      </c>
      <c r="C33" s="204" t="n">
        <v>2035</v>
      </c>
      <c r="E33" s="81"/>
      <c r="F33" s="81"/>
      <c r="G33" s="81"/>
      <c r="H33" s="160"/>
      <c r="I33" s="81"/>
      <c r="J33" s="62"/>
    </row>
    <row r="34" customFormat="false" ht="14.25" hidden="false" customHeight="false" outlineLevel="0" collapsed="false">
      <c r="A34" s="211" t="s">
        <v>516</v>
      </c>
      <c r="B34" s="202" t="s">
        <v>514</v>
      </c>
      <c r="C34" s="224"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517</v>
      </c>
      <c r="B35" s="222"/>
      <c r="C35" s="222"/>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4.25" hidden="false" customHeight="false" outlineLevel="0" collapsed="false">
      <c r="A36" s="211" t="s">
        <v>518</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4.25" hidden="false" customHeight="false" outlineLevel="0" collapsed="false">
      <c r="A37" s="211" t="s">
        <v>519</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4.25" hidden="false" customHeight="false" outlineLevel="0" collapsed="false">
      <c r="A38" s="211" t="s">
        <v>520</v>
      </c>
      <c r="B38" s="202" t="s">
        <v>514</v>
      </c>
      <c r="C38" s="224"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4.25" hidden="false" customHeight="false" outlineLevel="0" collapsed="false">
      <c r="A39" s="211" t="s">
        <v>521</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4.25" hidden="false" customHeight="false" outlineLevel="0" collapsed="false">
      <c r="A40" s="211" t="s">
        <v>522</v>
      </c>
      <c r="B40" s="202" t="s">
        <v>514</v>
      </c>
      <c r="C40" s="224"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4.25" hidden="false" customHeight="false" outlineLevel="0" collapsed="false">
      <c r="A42" s="216" t="s">
        <v>523</v>
      </c>
      <c r="B42" s="205" t="s">
        <v>514</v>
      </c>
      <c r="C42" s="225"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4.25" hidden="false" customHeight="false" outlineLevel="0" collapsed="false">
      <c r="A45" s="216" t="s">
        <v>524</v>
      </c>
      <c r="B45" s="205" t="s">
        <v>514</v>
      </c>
      <c r="C45" s="225"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4.25" hidden="false" customHeight="false" outlineLevel="0" collapsed="false">
      <c r="A48" s="211" t="s">
        <v>525</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4.25" hidden="false" customHeight="false" outlineLevel="0" collapsed="false">
      <c r="A49" s="211" t="s">
        <v>526</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4.25" hidden="false" customHeight="false" outlineLevel="0" collapsed="false">
      <c r="A50" s="211" t="s">
        <v>527</v>
      </c>
      <c r="B50" s="202" t="s">
        <v>514</v>
      </c>
      <c r="C50" s="224"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4.25" hidden="false" customHeight="false" outlineLevel="0" collapsed="false">
      <c r="A51" s="211" t="s">
        <v>528</v>
      </c>
      <c r="B51" s="202" t="s">
        <v>514</v>
      </c>
      <c r="C51" s="224"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4.25" hidden="false" customHeight="false" outlineLevel="0" collapsed="false">
      <c r="A52" s="216" t="s">
        <v>529</v>
      </c>
      <c r="B52" s="205" t="s">
        <v>514</v>
      </c>
      <c r="C52" s="226" t="n">
        <v>0.01</v>
      </c>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s="81" customFormat="true" ht="17.35" hidden="false" customHeight="false" outlineLevel="0" collapsed="false">
      <c r="A53" s="200" t="s">
        <v>530</v>
      </c>
      <c r="B53" s="200"/>
      <c r="C53" s="200"/>
    </row>
    <row r="54" s="81" customFormat="true" ht="14.25" hidden="false" customHeight="false" outlineLevel="0" collapsed="false">
      <c r="A54" s="227" t="s">
        <v>531</v>
      </c>
      <c r="B54" s="202" t="s">
        <v>36</v>
      </c>
      <c r="C54" s="203" t="n">
        <v>2050</v>
      </c>
    </row>
    <row r="55" s="81" customFormat="true" ht="14.25" hidden="false" customHeight="false" outlineLevel="0" collapsed="false">
      <c r="A55" s="227" t="s">
        <v>532</v>
      </c>
      <c r="B55" s="202" t="s">
        <v>533</v>
      </c>
      <c r="C55" s="228" t="n">
        <v>0</v>
      </c>
    </row>
    <row r="56" s="81" customFormat="true" ht="14.25" hidden="false" customHeight="false" outlineLevel="0" collapsed="false">
      <c r="A56" s="227" t="s">
        <v>534</v>
      </c>
      <c r="B56" s="202" t="s">
        <v>533</v>
      </c>
      <c r="C56" s="228" t="n">
        <v>0</v>
      </c>
    </row>
    <row r="57" s="81" customFormat="true" ht="14.25" hidden="false" customHeight="false" outlineLevel="0" collapsed="false">
      <c r="A57" s="227" t="s">
        <v>535</v>
      </c>
      <c r="B57" s="202" t="s">
        <v>533</v>
      </c>
      <c r="C57" s="228" t="n">
        <v>0.1</v>
      </c>
    </row>
    <row r="58" s="81" customFormat="true" ht="14.25" hidden="false" customHeight="false" outlineLevel="0" collapsed="false">
      <c r="A58" s="227" t="s">
        <v>536</v>
      </c>
      <c r="B58" s="202" t="s">
        <v>533</v>
      </c>
      <c r="C58" s="228" t="n">
        <v>0.5</v>
      </c>
    </row>
    <row r="59" s="81" customFormat="true" ht="14.25" hidden="false" customHeight="false" outlineLevel="0" collapsed="false"/>
    <row r="60" customFormat="false" ht="17.35" hidden="false" customHeight="false" outlineLevel="0" collapsed="false">
      <c r="A60" s="200" t="s">
        <v>537</v>
      </c>
      <c r="B60" s="200"/>
      <c r="C60" s="200"/>
      <c r="D60" s="200"/>
      <c r="E60" s="200"/>
      <c r="F60" s="200"/>
      <c r="G60" s="200"/>
      <c r="H60" s="200"/>
      <c r="I60" s="200"/>
    </row>
    <row r="61" customFormat="false" ht="14.25" hidden="false" customHeight="false" outlineLevel="0" collapsed="false">
      <c r="A61" s="227" t="s">
        <v>36</v>
      </c>
      <c r="B61" s="202" t="s">
        <v>36</v>
      </c>
      <c r="C61" s="229" t="n">
        <v>2020</v>
      </c>
      <c r="D61" s="229" t="n">
        <v>2025</v>
      </c>
      <c r="E61" s="229" t="n">
        <v>2030</v>
      </c>
      <c r="F61" s="229" t="n">
        <v>2035</v>
      </c>
      <c r="G61" s="229" t="n">
        <v>2040</v>
      </c>
      <c r="H61" s="229" t="n">
        <v>2045</v>
      </c>
      <c r="I61" s="230" t="n">
        <v>2050</v>
      </c>
    </row>
    <row r="62" customFormat="false" ht="14.25" hidden="false" customHeight="false" outlineLevel="0" collapsed="false">
      <c r="A62" s="227" t="s">
        <v>538</v>
      </c>
      <c r="B62" s="202" t="s">
        <v>146</v>
      </c>
      <c r="C62" s="231" t="n">
        <v>0</v>
      </c>
      <c r="D62" s="231" t="n">
        <v>0</v>
      </c>
      <c r="E62" s="231" t="n">
        <v>0</v>
      </c>
      <c r="F62" s="231" t="n">
        <v>0</v>
      </c>
      <c r="G62" s="231" t="n">
        <v>0</v>
      </c>
      <c r="H62" s="231" t="n">
        <v>0</v>
      </c>
      <c r="I62" s="231" t="n">
        <v>0</v>
      </c>
      <c r="J62" s="221"/>
      <c r="K62" s="221"/>
    </row>
    <row r="63" customFormat="false" ht="14.25" hidden="false" customHeight="false" outlineLevel="0" collapsed="false">
      <c r="A63" s="227" t="s">
        <v>539</v>
      </c>
      <c r="B63" s="202" t="s">
        <v>146</v>
      </c>
      <c r="C63" s="231" t="n">
        <v>0</v>
      </c>
      <c r="D63" s="231" t="n">
        <v>0</v>
      </c>
      <c r="E63" s="231" t="n">
        <v>0.00189148985353949</v>
      </c>
      <c r="F63" s="231" t="n">
        <v>0.482964256198595</v>
      </c>
      <c r="G63" s="231" t="n">
        <v>1.23853129255308</v>
      </c>
      <c r="H63" s="231" t="n">
        <v>2.86141754184028</v>
      </c>
      <c r="I63" s="231" t="n">
        <v>2.81340799792693</v>
      </c>
      <c r="J63" s="221"/>
      <c r="K63" s="221"/>
    </row>
    <row r="64" customFormat="false" ht="14.25" hidden="false" customHeight="false" outlineLevel="0" collapsed="false">
      <c r="A64" s="227" t="s">
        <v>540</v>
      </c>
      <c r="B64" s="202" t="s">
        <v>146</v>
      </c>
      <c r="C64" s="232" t="n">
        <v>4E-005</v>
      </c>
      <c r="D64" s="231" t="n">
        <v>0.00071</v>
      </c>
      <c r="E64" s="231" t="n">
        <v>0.0152316875119172</v>
      </c>
      <c r="F64" s="231" t="n">
        <v>0.138807762777472</v>
      </c>
      <c r="G64" s="231" t="n">
        <v>0.868480719185939</v>
      </c>
      <c r="H64" s="231" t="n">
        <v>1.87867682957348</v>
      </c>
      <c r="I64" s="231" t="n">
        <v>2.78389156693196</v>
      </c>
    </row>
    <row r="65" customFormat="false" ht="14.25" hidden="false" customHeight="false" outlineLevel="0" collapsed="false">
      <c r="A65" s="227" t="s">
        <v>541</v>
      </c>
      <c r="B65" s="202" t="s">
        <v>146</v>
      </c>
      <c r="C65" s="231" t="n">
        <v>0</v>
      </c>
      <c r="D65" s="231" t="n">
        <v>0</v>
      </c>
      <c r="E65" s="231" t="n">
        <v>0</v>
      </c>
      <c r="F65" s="231" t="n">
        <v>0</v>
      </c>
      <c r="G65" s="231" t="n">
        <v>0</v>
      </c>
      <c r="H65" s="231" t="n">
        <v>0</v>
      </c>
      <c r="I65" s="231" t="n">
        <v>0</v>
      </c>
    </row>
    <row r="66" s="81" customFormat="true" ht="14.25" hidden="false" customHeight="false" outlineLevel="0" collapsed="false"/>
    <row r="67" s="81" customFormat="true" ht="14.25" hidden="false" customHeight="false" outlineLevel="0" collapsed="false"/>
    <row r="68" customFormat="false" ht="24.45" hidden="false" customHeight="false" outlineLevel="0" collapsed="false">
      <c r="A68" s="199" t="s">
        <v>542</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3" t="s">
        <v>168</v>
      </c>
      <c r="B69" s="234"/>
      <c r="C69" s="235"/>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6"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4.25" hidden="false" customHeight="false" outlineLevel="0" collapsed="false">
      <c r="A71" s="236"/>
      <c r="B71" s="205" t="s">
        <v>543</v>
      </c>
      <c r="C71" s="226"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s="81" customFormat="true" ht="14.25" hidden="false" customHeight="false" outlineLevel="0" collapsed="false"/>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6"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4.25" hidden="false" customHeight="false" outlineLevel="0" collapsed="false">
      <c r="A75" s="236"/>
      <c r="B75" s="205" t="s">
        <v>544</v>
      </c>
      <c r="C75" s="226"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7" t="s">
        <v>228</v>
      </c>
      <c r="B77" s="237"/>
      <c r="C77" s="237"/>
      <c r="D77" s="238" t="s">
        <v>545</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4.25" hidden="false" customHeight="false" outlineLevel="0" collapsed="false">
      <c r="A78" s="211" t="s">
        <v>546</v>
      </c>
      <c r="B78" s="202" t="s">
        <v>547</v>
      </c>
      <c r="C78" s="228"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39" t="s">
        <v>230</v>
      </c>
      <c r="B79" s="239"/>
      <c r="C79" s="239"/>
      <c r="D79" s="240" t="s">
        <v>548</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549</v>
      </c>
      <c r="B80" s="205" t="s">
        <v>547</v>
      </c>
      <c r="C80" s="241" t="n">
        <v>0.2</v>
      </c>
      <c r="D80" s="242"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s="81" customFormat="true" ht="14.25" hidden="false" customHeight="false" outlineLevel="0" collapsed="false"/>
    <row r="82" customFormat="false" ht="17.35" hidden="false" customHeight="false" outlineLevel="0" collapsed="false">
      <c r="A82" s="200" t="s">
        <v>236</v>
      </c>
      <c r="B82" s="200"/>
      <c r="C82" s="200"/>
    </row>
    <row r="83" customFormat="false" ht="14.25" hidden="false" customHeight="false" outlineLevel="0" collapsed="false">
      <c r="A83" s="243" t="s">
        <v>550</v>
      </c>
      <c r="B83" s="202" t="s">
        <v>551</v>
      </c>
      <c r="C83" s="244" t="n">
        <v>0</v>
      </c>
    </row>
    <row r="84" customFormat="false" ht="14.25" hidden="false" customHeight="false" outlineLevel="0" collapsed="false">
      <c r="A84" s="243"/>
      <c r="B84" s="202" t="s">
        <v>552</v>
      </c>
      <c r="C84" s="244" t="n">
        <v>2023</v>
      </c>
    </row>
    <row r="85" customFormat="false" ht="14.25" hidden="false" customHeight="false" outlineLevel="0" collapsed="false">
      <c r="A85" s="243" t="s">
        <v>237</v>
      </c>
      <c r="B85" s="202" t="s">
        <v>238</v>
      </c>
      <c r="C85" s="244" t="n">
        <v>2015</v>
      </c>
      <c r="G85" s="118"/>
      <c r="H85" s="118"/>
      <c r="I85" s="127"/>
      <c r="J85" s="127"/>
      <c r="K85" s="127"/>
      <c r="L85" s="127"/>
      <c r="M85" s="127"/>
      <c r="N85" s="127"/>
      <c r="O85" s="127"/>
      <c r="P85" s="127"/>
      <c r="Q85" s="127"/>
      <c r="R85" s="127"/>
      <c r="S85" s="127"/>
      <c r="T85" s="127"/>
    </row>
    <row r="86" customFormat="false" ht="14.25" hidden="false" customHeight="false" outlineLevel="0" collapsed="false">
      <c r="A86" s="243"/>
      <c r="B86" s="202" t="s">
        <v>241</v>
      </c>
      <c r="C86" s="245" t="n">
        <v>0</v>
      </c>
      <c r="G86" s="118"/>
      <c r="H86" s="118"/>
      <c r="I86" s="127"/>
      <c r="J86" s="127"/>
      <c r="K86" s="127"/>
      <c r="L86" s="127"/>
      <c r="M86" s="127"/>
      <c r="N86" s="127"/>
      <c r="O86" s="127"/>
      <c r="P86" s="127"/>
      <c r="Q86" s="127"/>
      <c r="R86" s="127"/>
      <c r="S86" s="127"/>
      <c r="T86" s="127"/>
    </row>
    <row r="87" customFormat="false" ht="14.25" hidden="false" customHeight="false" outlineLevel="0" collapsed="false">
      <c r="A87" s="243" t="s">
        <v>243</v>
      </c>
      <c r="B87" s="202" t="s">
        <v>238</v>
      </c>
      <c r="C87" s="244" t="n">
        <v>2015</v>
      </c>
    </row>
    <row r="88" customFormat="false" ht="14.25" hidden="false" customHeight="false" outlineLevel="0" collapsed="false">
      <c r="A88" s="243"/>
      <c r="B88" s="202" t="s">
        <v>241</v>
      </c>
      <c r="C88" s="245" t="n">
        <v>0</v>
      </c>
    </row>
    <row r="89" customFormat="false" ht="14.25" hidden="false" customHeight="false" outlineLevel="0" collapsed="false">
      <c r="A89" s="243" t="s">
        <v>244</v>
      </c>
      <c r="B89" s="202" t="s">
        <v>238</v>
      </c>
      <c r="C89" s="244" t="n">
        <v>2023</v>
      </c>
    </row>
    <row r="90" customFormat="false" ht="14.25" hidden="false" customHeight="false" outlineLevel="0" collapsed="false">
      <c r="A90" s="243"/>
      <c r="B90" s="202" t="s">
        <v>241</v>
      </c>
      <c r="C90" s="245" t="n">
        <v>0</v>
      </c>
    </row>
    <row r="91" customFormat="false" ht="14.25" hidden="false" customHeight="false" outlineLevel="0" collapsed="false">
      <c r="A91" s="243" t="s">
        <v>246</v>
      </c>
      <c r="B91" s="202" t="s">
        <v>238</v>
      </c>
      <c r="C91" s="244" t="n">
        <v>2023</v>
      </c>
      <c r="G91" s="138"/>
      <c r="I91" s="125"/>
      <c r="J91" s="125"/>
      <c r="K91" s="125"/>
      <c r="L91" s="125"/>
      <c r="M91" s="125"/>
      <c r="N91" s="125"/>
      <c r="O91" s="125"/>
      <c r="P91" s="125"/>
      <c r="Q91" s="125"/>
      <c r="R91" s="125"/>
      <c r="S91" s="125"/>
      <c r="T91" s="125"/>
    </row>
    <row r="92" customFormat="false" ht="14.25" hidden="false" customHeight="false" outlineLevel="0" collapsed="false">
      <c r="A92" s="243"/>
      <c r="B92" s="202" t="s">
        <v>241</v>
      </c>
      <c r="C92" s="245" t="n">
        <v>0</v>
      </c>
    </row>
    <row r="93" customFormat="false" ht="14.25" hidden="false" customHeight="false" outlineLevel="0" collapsed="false">
      <c r="A93" s="243" t="s">
        <v>211</v>
      </c>
      <c r="B93" s="202" t="s">
        <v>238</v>
      </c>
      <c r="C93" s="244" t="n">
        <v>2023</v>
      </c>
    </row>
    <row r="94" customFormat="false" ht="14.25" hidden="false" customHeight="false" outlineLevel="0" collapsed="false">
      <c r="A94" s="243"/>
      <c r="B94" s="202" t="s">
        <v>241</v>
      </c>
      <c r="C94" s="245" t="n">
        <v>0.97</v>
      </c>
    </row>
    <row r="95" customFormat="false" ht="14.25" hidden="false" customHeight="false" outlineLevel="0" collapsed="false">
      <c r="A95" s="243" t="s">
        <v>240</v>
      </c>
      <c r="B95" s="202" t="s">
        <v>238</v>
      </c>
      <c r="C95" s="244" t="n">
        <v>2023</v>
      </c>
    </row>
    <row r="96" customFormat="false" ht="14.25" hidden="false" customHeight="false" outlineLevel="0" collapsed="false">
      <c r="A96" s="243"/>
      <c r="B96" s="202" t="s">
        <v>241</v>
      </c>
      <c r="C96" s="245" t="n">
        <v>0.74</v>
      </c>
    </row>
    <row r="97" customFormat="false" ht="14.25" hidden="false" customHeight="false" outlineLevel="0" collapsed="false">
      <c r="A97" s="236" t="s">
        <v>245</v>
      </c>
      <c r="B97" s="202" t="s">
        <v>238</v>
      </c>
      <c r="C97" s="244" t="n">
        <v>2023</v>
      </c>
    </row>
    <row r="98" customFormat="false" ht="14.25" hidden="false" customHeight="false" outlineLevel="0" collapsed="false">
      <c r="A98" s="236"/>
      <c r="B98" s="205" t="s">
        <v>241</v>
      </c>
      <c r="C98" s="246" t="n">
        <v>0.87</v>
      </c>
    </row>
    <row r="99" customFormat="false" ht="14.25" hidden="false" customHeight="false" outlineLevel="0" collapsed="false">
      <c r="A99" s="139" t="s">
        <v>247</v>
      </c>
    </row>
    <row r="101" customFormat="false" ht="14.25" hidden="false" customHeight="true" outlineLevel="0" collapsed="false">
      <c r="A101" s="200" t="s">
        <v>248</v>
      </c>
      <c r="B101" s="200"/>
      <c r="C101" s="200"/>
    </row>
    <row r="102" customFormat="false" ht="14.25" hidden="false" customHeight="false" outlineLevel="0" collapsed="false">
      <c r="A102" s="211" t="s">
        <v>249</v>
      </c>
      <c r="B102" s="202" t="s">
        <v>28</v>
      </c>
      <c r="C102" s="244" t="n">
        <v>1</v>
      </c>
    </row>
    <row r="103" customFormat="false" ht="14.25" hidden="false" customHeight="false" outlineLevel="0" collapsed="false">
      <c r="A103" s="211" t="s">
        <v>256</v>
      </c>
      <c r="B103" s="202" t="s">
        <v>28</v>
      </c>
      <c r="C103" s="244" t="n">
        <v>1</v>
      </c>
    </row>
    <row r="104" customFormat="false" ht="14.25" hidden="false" customHeight="false" outlineLevel="0" collapsed="false">
      <c r="A104" s="211" t="s">
        <v>553</v>
      </c>
      <c r="B104" s="202" t="s">
        <v>36</v>
      </c>
      <c r="C104" s="244" t="n">
        <v>2020</v>
      </c>
    </row>
    <row r="105" customFormat="false" ht="14.25" hidden="false" customHeight="false" outlineLevel="0" collapsed="false">
      <c r="A105" s="211" t="s">
        <v>554</v>
      </c>
      <c r="B105" s="202" t="s">
        <v>36</v>
      </c>
      <c r="C105" s="244" t="n">
        <v>2025</v>
      </c>
    </row>
    <row r="106" customFormat="false" ht="14.25" hidden="false" customHeight="false" outlineLevel="0" collapsed="false">
      <c r="A106" s="211" t="s">
        <v>555</v>
      </c>
      <c r="B106" s="202" t="s">
        <v>36</v>
      </c>
      <c r="C106" s="244" t="n">
        <v>2035</v>
      </c>
    </row>
    <row r="107" customFormat="false" ht="14.25" hidden="false" customHeight="false" outlineLevel="0" collapsed="false">
      <c r="A107" s="211" t="s">
        <v>556</v>
      </c>
      <c r="B107" s="202" t="s">
        <v>36</v>
      </c>
      <c r="C107" s="244" t="n">
        <v>2050</v>
      </c>
    </row>
    <row r="108" customFormat="false" ht="14.25" hidden="false" customHeight="false" outlineLevel="0" collapsed="false">
      <c r="A108" s="211" t="s">
        <v>255</v>
      </c>
      <c r="B108" s="202" t="s">
        <v>28</v>
      </c>
      <c r="C108" s="244" t="n">
        <v>0</v>
      </c>
    </row>
    <row r="109" customFormat="false" ht="14.25" hidden="false" customHeight="false" outlineLevel="0" collapsed="false">
      <c r="A109" s="211" t="s">
        <v>261</v>
      </c>
      <c r="B109" s="202" t="s">
        <v>28</v>
      </c>
      <c r="C109" s="244" t="n">
        <v>0</v>
      </c>
    </row>
    <row r="110" customFormat="false" ht="14.25" hidden="false" customHeight="false" outlineLevel="0" collapsed="false">
      <c r="A110" s="211" t="s">
        <v>557</v>
      </c>
      <c r="B110" s="202"/>
      <c r="C110" s="204" t="n">
        <v>2050</v>
      </c>
    </row>
    <row r="111" customFormat="false" ht="14.25" hidden="false" customHeight="false" outlineLevel="0" collapsed="false">
      <c r="A111" s="216" t="s">
        <v>558</v>
      </c>
      <c r="B111" s="205" t="s">
        <v>28</v>
      </c>
      <c r="C111" s="242" t="n">
        <v>0.8</v>
      </c>
    </row>
    <row r="112" customFormat="false" ht="14.25" hidden="false" customHeight="true" outlineLevel="0" collapsed="false"/>
    <row r="113" customFormat="false" ht="14.25" hidden="false" customHeight="true" outlineLevel="0" collapsed="false">
      <c r="A113" s="200" t="s">
        <v>58</v>
      </c>
      <c r="B113" s="200"/>
      <c r="C113" s="200"/>
      <c r="D113" s="200"/>
      <c r="E113" s="200"/>
    </row>
    <row r="114" customFormat="false" ht="14.25" hidden="false" customHeight="true" outlineLevel="0" collapsed="false">
      <c r="A114" s="236" t="s">
        <v>59</v>
      </c>
      <c r="B114" s="247" t="n">
        <v>4</v>
      </c>
      <c r="C114" s="227" t="s">
        <v>60</v>
      </c>
      <c r="D114" s="202" t="s">
        <v>65</v>
      </c>
      <c r="E114" s="224" t="n">
        <v>-0.012</v>
      </c>
    </row>
    <row r="115" customFormat="false" ht="14.25" hidden="false" customHeight="true" outlineLevel="0" collapsed="false">
      <c r="A115" s="236"/>
      <c r="B115" s="247"/>
      <c r="C115" s="227" t="s">
        <v>62</v>
      </c>
      <c r="D115" s="202" t="s">
        <v>559</v>
      </c>
      <c r="E115" s="204" t="n">
        <v>2017</v>
      </c>
    </row>
    <row r="116" customFormat="false" ht="14.25" hidden="false" customHeight="true" outlineLevel="0" collapsed="false">
      <c r="A116" s="236"/>
      <c r="B116" s="247"/>
      <c r="C116" s="227" t="s">
        <v>63</v>
      </c>
      <c r="D116" s="248"/>
      <c r="E116" s="248"/>
    </row>
    <row r="117" customFormat="false" ht="14.25" hidden="false" customHeight="true" outlineLevel="0" collapsed="false">
      <c r="A117" s="236"/>
      <c r="B117" s="247"/>
      <c r="C117" s="249" t="s">
        <v>64</v>
      </c>
      <c r="D117" s="248"/>
      <c r="E117" s="248"/>
    </row>
    <row r="118" customFormat="false" ht="14.25" hidden="false" customHeight="true" outlineLevel="0" collapsed="false"/>
    <row r="119" customFormat="false" ht="14.25" hidden="false" customHeight="true" outlineLevel="0" collapsed="false"/>
    <row r="120" customFormat="false" ht="24.45" hidden="false" customHeight="false" outlineLevel="0" collapsed="false">
      <c r="A120" s="199" t="s">
        <v>560</v>
      </c>
    </row>
    <row r="121" customFormat="false" ht="17.35" hidden="false" customHeight="false" outlineLevel="0" collapsed="false">
      <c r="A121" s="200" t="s">
        <v>561</v>
      </c>
      <c r="B121" s="200"/>
      <c r="C121" s="200"/>
      <c r="D121" s="200"/>
      <c r="E121" s="200"/>
      <c r="F121" s="200"/>
      <c r="G121" s="200"/>
      <c r="H121" s="200"/>
      <c r="I121" s="200"/>
      <c r="J121" s="200"/>
    </row>
    <row r="122" customFormat="false" ht="14.2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4.25" hidden="false" customHeight="false" outlineLevel="0" collapsed="false">
      <c r="A123" s="250" t="s">
        <v>562</v>
      </c>
      <c r="B123" s="203" t="s">
        <v>563</v>
      </c>
      <c r="C123" s="202" t="s">
        <v>28</v>
      </c>
      <c r="D123" s="251" t="n">
        <v>0.884728649558267</v>
      </c>
      <c r="E123" s="251" t="n">
        <v>0.880334612500551</v>
      </c>
      <c r="F123" s="251" t="n">
        <v>0.875347755270832</v>
      </c>
      <c r="G123" s="251" t="n">
        <v>0.8703</v>
      </c>
      <c r="H123" s="251" t="n">
        <v>0.8651</v>
      </c>
      <c r="I123" s="251" t="n">
        <v>0.85981</v>
      </c>
      <c r="J123" s="223" t="n">
        <v>0.85439</v>
      </c>
    </row>
    <row r="124" customFormat="false" ht="14.25" hidden="false" customHeight="false" outlineLevel="0" collapsed="false">
      <c r="A124" s="250"/>
      <c r="B124" s="203" t="s">
        <v>564</v>
      </c>
      <c r="C124" s="202" t="s">
        <v>28</v>
      </c>
      <c r="D124" s="251" t="n">
        <v>0.115271350441733</v>
      </c>
      <c r="E124" s="251" t="n">
        <v>0.119665387499449</v>
      </c>
      <c r="F124" s="251" t="n">
        <v>0.124652244729168</v>
      </c>
      <c r="G124" s="251" t="n">
        <v>0.1297</v>
      </c>
      <c r="H124" s="251" t="n">
        <v>0.13493</v>
      </c>
      <c r="I124" s="251" t="n">
        <v>0.1402</v>
      </c>
      <c r="J124" s="223" t="n">
        <v>0.14556</v>
      </c>
    </row>
    <row r="125" customFormat="false" ht="14.25" hidden="false" customHeight="false" outlineLevel="0" collapsed="false">
      <c r="A125" s="250"/>
      <c r="B125" s="203" t="s">
        <v>565</v>
      </c>
      <c r="C125" s="202" t="s">
        <v>28</v>
      </c>
      <c r="D125" s="251" t="n">
        <v>0</v>
      </c>
      <c r="E125" s="251" t="n">
        <v>0</v>
      </c>
      <c r="F125" s="251" t="n">
        <v>0</v>
      </c>
      <c r="G125" s="251" t="n">
        <v>0</v>
      </c>
      <c r="H125" s="251" t="n">
        <v>0</v>
      </c>
      <c r="I125" s="251" t="n">
        <v>0</v>
      </c>
      <c r="J125" s="223" t="n">
        <v>0</v>
      </c>
    </row>
    <row r="126" customFormat="false" ht="14.25" hidden="false" customHeight="false" outlineLevel="0" collapsed="false">
      <c r="A126" s="250" t="s">
        <v>566</v>
      </c>
      <c r="B126" s="203" t="s">
        <v>563</v>
      </c>
      <c r="C126" s="202" t="s">
        <v>28</v>
      </c>
      <c r="D126" s="251" t="n">
        <v>0.941542565014448</v>
      </c>
      <c r="E126" s="251" t="n">
        <v>0.900290185698342</v>
      </c>
      <c r="F126" s="251" t="n">
        <v>0.899485949917109</v>
      </c>
      <c r="G126" s="251" t="n">
        <v>0.898682485967326</v>
      </c>
      <c r="H126" s="251" t="n">
        <v>0.897879793054911</v>
      </c>
      <c r="I126" s="251" t="n">
        <v>0.897077870386644</v>
      </c>
      <c r="J126" s="223" t="n">
        <v>0.8962</v>
      </c>
    </row>
    <row r="127" customFormat="false" ht="14.25" hidden="false" customHeight="false" outlineLevel="0" collapsed="false">
      <c r="A127" s="250"/>
      <c r="B127" s="203" t="s">
        <v>564</v>
      </c>
      <c r="C127" s="202" t="s">
        <v>28</v>
      </c>
      <c r="D127" s="251" t="n">
        <v>0.00422316070237831</v>
      </c>
      <c r="E127" s="251" t="n">
        <v>0.00591359689433226</v>
      </c>
      <c r="F127" s="251" t="n">
        <v>0.00606680081830671</v>
      </c>
      <c r="G127" s="251" t="n">
        <v>0.0062248184197547</v>
      </c>
      <c r="H127" s="251" t="n">
        <v>0.00638782522707298</v>
      </c>
      <c r="I127" s="251" t="n">
        <v>0.0065</v>
      </c>
      <c r="J127" s="223" t="n">
        <v>0.00672954375025719</v>
      </c>
    </row>
    <row r="128" customFormat="false" ht="14.25" hidden="false" customHeight="false" outlineLevel="0" collapsed="false">
      <c r="A128" s="250"/>
      <c r="B128" s="203" t="s">
        <v>565</v>
      </c>
      <c r="C128" s="202" t="s">
        <v>28</v>
      </c>
      <c r="D128" s="251" t="n">
        <v>0.054234274283174</v>
      </c>
      <c r="E128" s="251" t="n">
        <v>0.0937962174073255</v>
      </c>
      <c r="F128" s="251" t="n">
        <v>0.0944472492645847</v>
      </c>
      <c r="G128" s="251" t="n">
        <v>0.0951030367253953</v>
      </c>
      <c r="H128" s="251" t="n">
        <v>0.0957636163505924</v>
      </c>
      <c r="I128" s="251" t="n">
        <v>0.096429024995418</v>
      </c>
      <c r="J128" s="223" t="n">
        <v>0.0970992998119844</v>
      </c>
    </row>
    <row r="129" customFormat="false" ht="14.25" hidden="false" customHeight="false" outlineLevel="0" collapsed="false">
      <c r="A129" s="208" t="s">
        <v>567</v>
      </c>
      <c r="B129" s="252"/>
      <c r="C129" s="202" t="s">
        <v>28</v>
      </c>
      <c r="D129" s="251" t="n">
        <v>0.861189801699717</v>
      </c>
      <c r="E129" s="251" t="n">
        <v>0.816445790051332</v>
      </c>
      <c r="F129" s="251" t="n">
        <v>0.797371103788976</v>
      </c>
      <c r="G129" s="251" t="n">
        <v>0.778743906218434</v>
      </c>
      <c r="H129" s="251" t="n">
        <v>0.760553654678055</v>
      </c>
      <c r="I129" s="251" t="n">
        <v>0.742790055964014</v>
      </c>
      <c r="J129" s="223" t="n">
        <v>0.725443060401842</v>
      </c>
    </row>
    <row r="130" customFormat="false" ht="14.25" hidden="false" customHeight="false" outlineLevel="0" collapsed="false">
      <c r="A130" s="208" t="s">
        <v>568</v>
      </c>
      <c r="B130" s="252"/>
      <c r="C130" s="202" t="s">
        <v>569</v>
      </c>
      <c r="D130" s="253" t="n">
        <f aca="false">SUM(D123:D125)</f>
        <v>1</v>
      </c>
      <c r="E130" s="253" t="n">
        <f aca="false">SUM(E123:E125)</f>
        <v>1</v>
      </c>
      <c r="F130" s="253" t="n">
        <f aca="false">SUM(F123:F125)</f>
        <v>1</v>
      </c>
      <c r="G130" s="253" t="n">
        <f aca="false">SUM(G123:G125)</f>
        <v>1</v>
      </c>
      <c r="H130" s="253" t="n">
        <f aca="false">SUM(H123:H125)</f>
        <v>1.00003</v>
      </c>
      <c r="I130" s="253" t="n">
        <f aca="false">SUM(I123:I125)</f>
        <v>1.00001</v>
      </c>
      <c r="J130" s="253" t="n">
        <f aca="false">SUM(J123:J125)</f>
        <v>0.99995</v>
      </c>
    </row>
    <row r="131" customFormat="false" ht="14.25" hidden="false" customHeight="false" outlineLevel="0" collapsed="false">
      <c r="A131" s="254" t="s">
        <v>570</v>
      </c>
      <c r="B131" s="252"/>
      <c r="C131" s="205" t="s">
        <v>569</v>
      </c>
      <c r="D131" s="253" t="n">
        <f aca="false">SUM(D126:D128)</f>
        <v>1</v>
      </c>
      <c r="E131" s="253" t="n">
        <f aca="false">SUM(E126:E128)</f>
        <v>1</v>
      </c>
      <c r="F131" s="253" t="n">
        <f aca="false">SUM(F126:F128)</f>
        <v>1</v>
      </c>
      <c r="G131" s="253" t="n">
        <f aca="false">SUM(G126:G128)</f>
        <v>1.00001034111248</v>
      </c>
      <c r="H131" s="253" t="n">
        <f aca="false">SUM(H126:H128)</f>
        <v>1.00003123463258</v>
      </c>
      <c r="I131" s="253" t="n">
        <f aca="false">SUM(I126:I128)</f>
        <v>1.00000689538206</v>
      </c>
      <c r="J131" s="253" t="n">
        <f aca="false">SUM(J126:J128)</f>
        <v>1.00002884356224</v>
      </c>
    </row>
    <row r="133" customFormat="false" ht="17.35" hidden="false" customHeight="false" outlineLevel="0" collapsed="false">
      <c r="A133" s="200" t="s">
        <v>571</v>
      </c>
      <c r="B133" s="200"/>
      <c r="C133" s="200"/>
      <c r="D133" s="200"/>
      <c r="E133" s="200"/>
      <c r="F133" s="200"/>
      <c r="G133" s="200"/>
      <c r="H133" s="200"/>
      <c r="I133" s="200"/>
    </row>
    <row r="134" customFormat="false" ht="14.25" hidden="false" customHeight="false" outlineLevel="0" collapsed="false">
      <c r="A134" s="208" t="s">
        <v>36</v>
      </c>
      <c r="B134" s="202" t="s">
        <v>36</v>
      </c>
      <c r="C134" s="203" t="n">
        <v>2020</v>
      </c>
      <c r="D134" s="203" t="n">
        <v>2025</v>
      </c>
      <c r="E134" s="203" t="n">
        <v>2030</v>
      </c>
      <c r="F134" s="203" t="n">
        <v>2035</v>
      </c>
      <c r="G134" s="203" t="n">
        <v>2040</v>
      </c>
      <c r="H134" s="203" t="n">
        <v>2045</v>
      </c>
      <c r="I134" s="204" t="n">
        <v>2050</v>
      </c>
    </row>
    <row r="135" customFormat="false" ht="14.25" hidden="false" customHeight="false" outlineLevel="0" collapsed="false">
      <c r="A135" s="250" t="s">
        <v>572</v>
      </c>
      <c r="B135" s="202" t="s">
        <v>573</v>
      </c>
      <c r="C135" s="251" t="n">
        <v>0.806894766766191</v>
      </c>
      <c r="D135" s="251" t="n">
        <v>0.710215421760778</v>
      </c>
      <c r="E135" s="251" t="n">
        <v>0.60650331097056</v>
      </c>
      <c r="F135" s="251" t="n">
        <v>0.519297101522442</v>
      </c>
      <c r="G135" s="251" t="n">
        <v>0.432090892074324</v>
      </c>
      <c r="H135" s="251" t="n">
        <v>0.344884682626206</v>
      </c>
      <c r="I135" s="223" t="n">
        <v>0.272681803709289</v>
      </c>
    </row>
    <row r="136" customFormat="false" ht="14.25" hidden="false" customHeight="false" outlineLevel="0" collapsed="false">
      <c r="A136" s="250"/>
      <c r="B136" s="202" t="s">
        <v>192</v>
      </c>
      <c r="C136" s="251" t="n">
        <v>0.0257197201277087</v>
      </c>
      <c r="D136" s="251" t="n">
        <v>0.0504865457750533</v>
      </c>
      <c r="E136" s="251" t="n">
        <v>0.0725226414272688</v>
      </c>
      <c r="F136" s="251" t="n">
        <v>0.0966968552363585</v>
      </c>
      <c r="G136" s="251" t="n">
        <v>0.120871069045448</v>
      </c>
      <c r="H136" s="251" t="n">
        <v>0.145045282854538</v>
      </c>
      <c r="I136" s="223" t="n">
        <v>0.169219496663627</v>
      </c>
    </row>
    <row r="137" customFormat="false" ht="14.25" hidden="false" customHeight="false" outlineLevel="0" collapsed="false">
      <c r="A137" s="250"/>
      <c r="B137" s="202" t="s">
        <v>374</v>
      </c>
      <c r="C137" s="251" t="n">
        <v>0.14108125388458</v>
      </c>
      <c r="D137" s="251" t="n">
        <v>0.187664065194228</v>
      </c>
      <c r="E137" s="251" t="n">
        <v>0.246803164324282</v>
      </c>
      <c r="F137" s="251" t="n">
        <v>0.285111532204015</v>
      </c>
      <c r="G137" s="251" t="n">
        <v>0.323419900083747</v>
      </c>
      <c r="H137" s="251" t="n">
        <v>0.361728267963479</v>
      </c>
      <c r="I137" s="223" t="n">
        <v>0.38503330531201</v>
      </c>
    </row>
    <row r="138" customFormat="false" ht="14.25" hidden="false" customHeight="false" outlineLevel="0" collapsed="false">
      <c r="A138" s="250"/>
      <c r="B138" s="202" t="s">
        <v>574</v>
      </c>
      <c r="C138" s="251" t="n">
        <v>0.0263042592215203</v>
      </c>
      <c r="D138" s="251" t="n">
        <v>0.0516339672699409</v>
      </c>
      <c r="E138" s="251" t="n">
        <v>0.0741708832778886</v>
      </c>
      <c r="F138" s="251" t="n">
        <v>0.0988945110371848</v>
      </c>
      <c r="G138" s="251" t="n">
        <v>0.123618138796481</v>
      </c>
      <c r="H138" s="251" t="n">
        <v>0.148341766555777</v>
      </c>
      <c r="I138" s="223" t="n">
        <v>0.173065394315073</v>
      </c>
    </row>
    <row r="139" customFormat="false" ht="14.25" hidden="false" customHeight="false" outlineLevel="0" collapsed="false">
      <c r="A139" s="250" t="s">
        <v>564</v>
      </c>
      <c r="B139" s="202" t="s">
        <v>573</v>
      </c>
      <c r="C139" s="251" t="n">
        <v>0.966386554621849</v>
      </c>
      <c r="D139" s="251" t="n">
        <v>0.932773109243698</v>
      </c>
      <c r="E139" s="251" t="n">
        <v>0.899159663865546</v>
      </c>
      <c r="F139" s="251" t="n">
        <v>0.865546218487395</v>
      </c>
      <c r="G139" s="251" t="n">
        <v>0.831932773109244</v>
      </c>
      <c r="H139" s="251" t="n">
        <v>0.798319327731093</v>
      </c>
      <c r="I139" s="223" t="n">
        <v>0.764705882352941</v>
      </c>
    </row>
    <row r="140" customFormat="false" ht="14.25" hidden="false" customHeight="false" outlineLevel="0" collapsed="false">
      <c r="A140" s="250"/>
      <c r="B140" s="202" t="s">
        <v>192</v>
      </c>
      <c r="C140" s="251" t="n">
        <v>0.0336134453781513</v>
      </c>
      <c r="D140" s="251" t="n">
        <v>0.0672268907563025</v>
      </c>
      <c r="E140" s="251" t="n">
        <v>0.100840336134454</v>
      </c>
      <c r="F140" s="251" t="n">
        <v>0.134453781512605</v>
      </c>
      <c r="G140" s="251" t="n">
        <v>0.168067226890756</v>
      </c>
      <c r="H140" s="251" t="n">
        <v>0.201680672268908</v>
      </c>
      <c r="I140" s="223" t="n">
        <v>0.235294117647059</v>
      </c>
    </row>
    <row r="141" customFormat="false" ht="14.25" hidden="false" customHeight="false" outlineLevel="0" collapsed="false">
      <c r="A141" s="250"/>
      <c r="B141" s="202" t="s">
        <v>374</v>
      </c>
      <c r="C141" s="251" t="n">
        <v>0</v>
      </c>
      <c r="D141" s="251" t="n">
        <v>0</v>
      </c>
      <c r="E141" s="251" t="n">
        <v>0</v>
      </c>
      <c r="F141" s="251" t="n">
        <v>0</v>
      </c>
      <c r="G141" s="251" t="n">
        <v>0</v>
      </c>
      <c r="H141" s="251" t="n">
        <v>0</v>
      </c>
      <c r="I141" s="223" t="n">
        <v>0</v>
      </c>
    </row>
    <row r="142" customFormat="false" ht="14.25" hidden="false" customHeight="false" outlineLevel="0" collapsed="false">
      <c r="A142" s="250"/>
      <c r="B142" s="202" t="s">
        <v>574</v>
      </c>
      <c r="C142" s="251" t="n">
        <v>0</v>
      </c>
      <c r="D142" s="251" t="n">
        <v>0</v>
      </c>
      <c r="E142" s="251" t="n">
        <v>0</v>
      </c>
      <c r="F142" s="251" t="n">
        <v>0</v>
      </c>
      <c r="G142" s="251" t="n">
        <v>0</v>
      </c>
      <c r="H142" s="251" t="n">
        <v>0</v>
      </c>
      <c r="I142" s="223" t="n">
        <v>0</v>
      </c>
    </row>
    <row r="143" customFormat="false" ht="14.25" hidden="false" customHeight="false" outlineLevel="0" collapsed="false">
      <c r="A143" s="250" t="s">
        <v>565</v>
      </c>
      <c r="B143" s="202" t="s">
        <v>573</v>
      </c>
      <c r="C143" s="251" t="n">
        <v>0</v>
      </c>
      <c r="D143" s="251" t="n">
        <v>0</v>
      </c>
      <c r="E143" s="251" t="n">
        <v>0</v>
      </c>
      <c r="F143" s="251" t="n">
        <v>0</v>
      </c>
      <c r="G143" s="251" t="n">
        <v>0</v>
      </c>
      <c r="H143" s="251" t="n">
        <v>0</v>
      </c>
      <c r="I143" s="223" t="n">
        <v>0</v>
      </c>
    </row>
    <row r="144" customFormat="false" ht="14.25" hidden="false" customHeight="false" outlineLevel="0" collapsed="false">
      <c r="A144" s="250"/>
      <c r="B144" s="202" t="s">
        <v>192</v>
      </c>
      <c r="C144" s="251" t="n">
        <v>0</v>
      </c>
      <c r="D144" s="251" t="n">
        <v>0</v>
      </c>
      <c r="E144" s="251" t="n">
        <v>0</v>
      </c>
      <c r="F144" s="251" t="n">
        <v>0</v>
      </c>
      <c r="G144" s="251" t="n">
        <v>0</v>
      </c>
      <c r="H144" s="251" t="n">
        <v>0</v>
      </c>
      <c r="I144" s="223" t="n">
        <v>0</v>
      </c>
    </row>
    <row r="145" customFormat="false" ht="14.25" hidden="false" customHeight="false" outlineLevel="0" collapsed="false">
      <c r="A145" s="250"/>
      <c r="B145" s="202" t="s">
        <v>374</v>
      </c>
      <c r="C145" s="251" t="n">
        <v>0</v>
      </c>
      <c r="D145" s="251" t="n">
        <v>0</v>
      </c>
      <c r="E145" s="251" t="n">
        <v>0</v>
      </c>
      <c r="F145" s="251" t="n">
        <v>0</v>
      </c>
      <c r="G145" s="251" t="n">
        <v>0</v>
      </c>
      <c r="H145" s="251" t="n">
        <v>0</v>
      </c>
      <c r="I145" s="223" t="n">
        <v>0</v>
      </c>
    </row>
    <row r="146" customFormat="false" ht="14.25" hidden="false" customHeight="false" outlineLevel="0" collapsed="false">
      <c r="A146" s="250"/>
      <c r="B146" s="202" t="s">
        <v>574</v>
      </c>
      <c r="C146" s="251" t="n">
        <v>0</v>
      </c>
      <c r="D146" s="251" t="n">
        <v>0</v>
      </c>
      <c r="E146" s="251" t="n">
        <v>0</v>
      </c>
      <c r="F146" s="251" t="n">
        <v>0</v>
      </c>
      <c r="G146" s="251" t="n">
        <v>0</v>
      </c>
      <c r="H146" s="251" t="n">
        <v>0</v>
      </c>
      <c r="I146" s="223" t="n">
        <v>0</v>
      </c>
    </row>
    <row r="147" customFormat="false" ht="17.35" hidden="false" customHeight="false" outlineLevel="0" collapsed="false">
      <c r="A147" s="255" t="s">
        <v>575</v>
      </c>
      <c r="B147" s="255"/>
      <c r="C147" s="255"/>
      <c r="D147" s="255"/>
      <c r="E147" s="255"/>
      <c r="F147" s="255"/>
      <c r="G147" s="255"/>
      <c r="H147" s="255"/>
      <c r="I147" s="255"/>
    </row>
    <row r="148" customFormat="false" ht="14.25" hidden="false" customHeight="false" outlineLevel="0" collapsed="false">
      <c r="A148" s="208" t="s">
        <v>36</v>
      </c>
      <c r="B148" s="202" t="s">
        <v>36</v>
      </c>
      <c r="C148" s="203" t="n">
        <v>2020</v>
      </c>
      <c r="D148" s="203" t="n">
        <v>2025</v>
      </c>
      <c r="E148" s="203" t="n">
        <v>2030</v>
      </c>
      <c r="F148" s="203" t="n">
        <v>2035</v>
      </c>
      <c r="G148" s="203" t="n">
        <v>2040</v>
      </c>
      <c r="H148" s="203" t="n">
        <v>2045</v>
      </c>
      <c r="I148" s="204" t="n">
        <v>2050</v>
      </c>
    </row>
    <row r="149" customFormat="false" ht="14.25" hidden="false" customHeight="false" outlineLevel="0" collapsed="false">
      <c r="A149" s="250" t="s">
        <v>572</v>
      </c>
      <c r="B149" s="202" t="s">
        <v>573</v>
      </c>
      <c r="C149" s="251" t="n">
        <v>0.812328070617052</v>
      </c>
      <c r="D149" s="251" t="n">
        <v>0.690704484080468</v>
      </c>
      <c r="E149" s="251" t="n">
        <v>0.581219325384736</v>
      </c>
      <c r="F149" s="251" t="n">
        <v>0.47324615070277</v>
      </c>
      <c r="G149" s="251" t="n">
        <v>0.365272976020804</v>
      </c>
      <c r="H149" s="251" t="n">
        <v>0.257299801338838</v>
      </c>
      <c r="I149" s="223" t="n">
        <v>0.0473264628821185</v>
      </c>
    </row>
    <row r="150" customFormat="false" ht="14.25" hidden="false" customHeight="false" outlineLevel="0" collapsed="false">
      <c r="A150" s="250"/>
      <c r="B150" s="202" t="s">
        <v>192</v>
      </c>
      <c r="C150" s="251" t="n">
        <v>0.0505115435433495</v>
      </c>
      <c r="D150" s="251" t="n">
        <v>0.0639897564814042</v>
      </c>
      <c r="E150" s="251" t="n">
        <v>0.0782975707697648</v>
      </c>
      <c r="F150" s="251" t="n">
        <v>0.0938225342940677</v>
      </c>
      <c r="G150" s="251" t="n">
        <v>0.10934749781837</v>
      </c>
      <c r="H150" s="251" t="n">
        <v>0.124872461342673</v>
      </c>
      <c r="I150" s="223" t="n">
        <v>0.147110104070304</v>
      </c>
    </row>
    <row r="151" customFormat="false" ht="14.25" hidden="false" customHeight="false" outlineLevel="0" collapsed="false">
      <c r="A151" s="250"/>
      <c r="B151" s="202" t="s">
        <v>374</v>
      </c>
      <c r="C151" s="251" t="n">
        <v>0.133646787816532</v>
      </c>
      <c r="D151" s="251" t="n">
        <v>0.238252494368915</v>
      </c>
      <c r="E151" s="251" t="n">
        <v>0.329808059781831</v>
      </c>
      <c r="F151" s="251" t="n">
        <v>0.418734491739984</v>
      </c>
      <c r="G151" s="251" t="n">
        <v>0.507660923698136</v>
      </c>
      <c r="H151" s="251" t="n">
        <v>0.596587355656288</v>
      </c>
      <c r="I151" s="223" t="n">
        <v>0.780910978650999</v>
      </c>
    </row>
    <row r="152" customFormat="false" ht="14.25" hidden="false" customHeight="false" outlineLevel="0" collapsed="false">
      <c r="A152" s="250"/>
      <c r="B152" s="202" t="s">
        <v>574</v>
      </c>
      <c r="C152" s="251" t="n">
        <v>0.00351359802306619</v>
      </c>
      <c r="D152" s="251" t="n">
        <v>0.00705326506921272</v>
      </c>
      <c r="E152" s="251" t="n">
        <v>0.0106750440636676</v>
      </c>
      <c r="F152" s="251" t="n">
        <v>0.0141968232631788</v>
      </c>
      <c r="G152" s="251" t="n">
        <v>0.01771860246269</v>
      </c>
      <c r="H152" s="251" t="n">
        <v>0.0212403816622012</v>
      </c>
      <c r="I152" s="223" t="n">
        <v>0.0246524543965785</v>
      </c>
    </row>
    <row r="153" customFormat="false" ht="14.25" hidden="false" customHeight="false" outlineLevel="0" collapsed="false">
      <c r="A153" s="250" t="s">
        <v>564</v>
      </c>
      <c r="B153" s="202" t="s">
        <v>573</v>
      </c>
      <c r="C153" s="251" t="n">
        <v>0.966386554621849</v>
      </c>
      <c r="D153" s="251" t="n">
        <v>0.932773109243698</v>
      </c>
      <c r="E153" s="251" t="n">
        <v>0.899159663865546</v>
      </c>
      <c r="F153" s="251" t="n">
        <v>0.865546218487395</v>
      </c>
      <c r="G153" s="251" t="n">
        <v>0.831932773109244</v>
      </c>
      <c r="H153" s="251" t="n">
        <v>0.798319327731093</v>
      </c>
      <c r="I153" s="223" t="n">
        <v>0.764705882352941</v>
      </c>
    </row>
    <row r="154" customFormat="false" ht="14.25" hidden="false" customHeight="false" outlineLevel="0" collapsed="false">
      <c r="A154" s="250"/>
      <c r="B154" s="202" t="s">
        <v>192</v>
      </c>
      <c r="C154" s="251" t="n">
        <v>0.0336134453781513</v>
      </c>
      <c r="D154" s="251" t="n">
        <v>0.0672268907563025</v>
      </c>
      <c r="E154" s="251" t="n">
        <v>0.100840336134454</v>
      </c>
      <c r="F154" s="251" t="n">
        <v>0.134453781512605</v>
      </c>
      <c r="G154" s="251" t="n">
        <v>0.168067226890756</v>
      </c>
      <c r="H154" s="251" t="n">
        <v>0.201680672268908</v>
      </c>
      <c r="I154" s="223" t="n">
        <v>0.235294117647059</v>
      </c>
    </row>
    <row r="155" customFormat="false" ht="14.25" hidden="false" customHeight="false" outlineLevel="0" collapsed="false">
      <c r="A155" s="250"/>
      <c r="B155" s="202" t="s">
        <v>374</v>
      </c>
      <c r="C155" s="251" t="n">
        <v>0</v>
      </c>
      <c r="D155" s="251" t="n">
        <v>0</v>
      </c>
      <c r="E155" s="251" t="n">
        <v>0</v>
      </c>
      <c r="F155" s="251" t="n">
        <v>0</v>
      </c>
      <c r="G155" s="251" t="n">
        <v>0</v>
      </c>
      <c r="H155" s="251" t="n">
        <v>0</v>
      </c>
      <c r="I155" s="223" t="n">
        <v>0</v>
      </c>
    </row>
    <row r="156" customFormat="false" ht="14.25" hidden="false" customHeight="false" outlineLevel="0" collapsed="false">
      <c r="A156" s="250"/>
      <c r="B156" s="202" t="s">
        <v>574</v>
      </c>
      <c r="C156" s="251" t="n">
        <v>0</v>
      </c>
      <c r="D156" s="251" t="n">
        <v>0</v>
      </c>
      <c r="E156" s="251" t="n">
        <v>0</v>
      </c>
      <c r="F156" s="251" t="n">
        <v>0</v>
      </c>
      <c r="G156" s="251" t="n">
        <v>0</v>
      </c>
      <c r="H156" s="251" t="n">
        <v>0</v>
      </c>
      <c r="I156" s="223" t="n">
        <v>0</v>
      </c>
    </row>
    <row r="157" customFormat="false" ht="14.25" hidden="false" customHeight="false" outlineLevel="0" collapsed="false">
      <c r="A157" s="250" t="s">
        <v>565</v>
      </c>
      <c r="B157" s="202" t="s">
        <v>573</v>
      </c>
      <c r="C157" s="251" t="n">
        <v>0.997198879551821</v>
      </c>
      <c r="D157" s="251" t="n">
        <v>0.994397759103642</v>
      </c>
      <c r="E157" s="251" t="n">
        <v>0.991596638655462</v>
      </c>
      <c r="F157" s="251" t="n">
        <v>0.988795518207283</v>
      </c>
      <c r="G157" s="251" t="n">
        <v>0.985994397759104</v>
      </c>
      <c r="H157" s="251" t="n">
        <v>0.983193277310924</v>
      </c>
      <c r="I157" s="223" t="n">
        <v>0.980392156862745</v>
      </c>
    </row>
    <row r="158" customFormat="false" ht="14.25" hidden="false" customHeight="false" outlineLevel="0" collapsed="false">
      <c r="A158" s="250"/>
      <c r="B158" s="202" t="s">
        <v>192</v>
      </c>
      <c r="C158" s="251" t="n">
        <v>0</v>
      </c>
      <c r="D158" s="251" t="n">
        <v>0</v>
      </c>
      <c r="E158" s="251" t="n">
        <v>0</v>
      </c>
      <c r="F158" s="251" t="n">
        <v>0</v>
      </c>
      <c r="G158" s="251" t="n">
        <v>0</v>
      </c>
      <c r="H158" s="251" t="n">
        <v>0</v>
      </c>
      <c r="I158" s="223" t="n">
        <v>0</v>
      </c>
    </row>
    <row r="159" customFormat="false" ht="14.25" hidden="false" customHeight="false" outlineLevel="0" collapsed="false">
      <c r="A159" s="250"/>
      <c r="B159" s="202" t="s">
        <v>374</v>
      </c>
      <c r="C159" s="251" t="n">
        <v>0.00280112044817927</v>
      </c>
      <c r="D159" s="251" t="n">
        <v>0.00560224089635854</v>
      </c>
      <c r="E159" s="251" t="n">
        <v>0.00840336134453782</v>
      </c>
      <c r="F159" s="251" t="n">
        <v>0.0112044817927171</v>
      </c>
      <c r="G159" s="251" t="n">
        <v>0.0140056022408964</v>
      </c>
      <c r="H159" s="251" t="n">
        <v>0.0168067226890756</v>
      </c>
      <c r="I159" s="223" t="n">
        <v>0.0196078431372549</v>
      </c>
    </row>
    <row r="160" customFormat="false" ht="14.25" hidden="false" customHeight="false" outlineLevel="0" collapsed="false">
      <c r="A160" s="250"/>
      <c r="B160" s="202" t="s">
        <v>574</v>
      </c>
      <c r="C160" s="251" t="n">
        <v>0</v>
      </c>
      <c r="D160" s="251" t="n">
        <v>0</v>
      </c>
      <c r="E160" s="251" t="n">
        <v>0</v>
      </c>
      <c r="F160" s="251" t="n">
        <v>0</v>
      </c>
      <c r="G160" s="251" t="n">
        <v>0</v>
      </c>
      <c r="H160" s="251" t="n">
        <v>0</v>
      </c>
      <c r="I160" s="223" t="n">
        <v>0</v>
      </c>
    </row>
    <row r="161" customFormat="false" ht="14.25" hidden="false" customHeight="false" outlineLevel="0" collapsed="false">
      <c r="A161" s="201" t="s">
        <v>576</v>
      </c>
      <c r="B161" s="202" t="s">
        <v>573</v>
      </c>
      <c r="C161" s="251" t="n">
        <v>0.828710839598997</v>
      </c>
      <c r="D161" s="251" t="n">
        <v>0.696621510611267</v>
      </c>
      <c r="E161" s="251" t="n">
        <v>0.564597266908706</v>
      </c>
      <c r="F161" s="251" t="n">
        <v>0.4325196526178</v>
      </c>
      <c r="G161" s="251" t="n">
        <v>0.300442038326894</v>
      </c>
      <c r="H161" s="251" t="n">
        <v>0.168364424035988</v>
      </c>
      <c r="I161" s="223" t="n">
        <v>0.0362868097450825</v>
      </c>
    </row>
    <row r="162" customFormat="false" ht="14.25" hidden="false" customHeight="false" outlineLevel="0" collapsed="false">
      <c r="A162" s="201"/>
      <c r="B162" s="202" t="s">
        <v>192</v>
      </c>
      <c r="C162" s="251" t="n">
        <v>0.0569658521303258</v>
      </c>
      <c r="D162" s="251" t="n">
        <v>0.075022347727485</v>
      </c>
      <c r="E162" s="251" t="n">
        <v>0.0930658402211721</v>
      </c>
      <c r="F162" s="251" t="n">
        <v>0.111123391308862</v>
      </c>
      <c r="G162" s="251" t="n">
        <v>0.129180942396552</v>
      </c>
      <c r="H162" s="251" t="n">
        <v>0.147238493484242</v>
      </c>
      <c r="I162" s="223" t="n">
        <v>0.165296044571933</v>
      </c>
    </row>
    <row r="163" customFormat="false" ht="14.25" hidden="false" customHeight="false" outlineLevel="0" collapsed="false">
      <c r="A163" s="201"/>
      <c r="B163" s="202" t="s">
        <v>374</v>
      </c>
      <c r="C163" s="251" t="n">
        <v>0.111544486215539</v>
      </c>
      <c r="D163" s="251" t="n">
        <v>0.222798930718471</v>
      </c>
      <c r="E163" s="251" t="n">
        <v>0.334002638521957</v>
      </c>
      <c r="F163" s="251" t="n">
        <v>0.445244616942451</v>
      </c>
      <c r="G163" s="251" t="n">
        <v>0.556486595362946</v>
      </c>
      <c r="H163" s="251" t="n">
        <v>0.66772857378344</v>
      </c>
      <c r="I163" s="223" t="n">
        <v>0.778970552203934</v>
      </c>
    </row>
    <row r="164" customFormat="false" ht="14.25" hidden="false" customHeight="false" outlineLevel="0" collapsed="false">
      <c r="A164" s="201"/>
      <c r="B164" s="205" t="s">
        <v>574</v>
      </c>
      <c r="C164" s="206" t="n">
        <v>0.00277882205513784</v>
      </c>
      <c r="D164" s="206" t="n">
        <v>0.00555721094277666</v>
      </c>
      <c r="E164" s="206" t="n">
        <v>0.00833425434816467</v>
      </c>
      <c r="F164" s="206" t="n">
        <v>0.0111123391308862</v>
      </c>
      <c r="G164" s="206" t="n">
        <v>0.0138904239136078</v>
      </c>
      <c r="H164" s="206" t="n">
        <v>0.0166685086963293</v>
      </c>
      <c r="I164" s="207" t="n">
        <v>0.0194465934790509</v>
      </c>
    </row>
    <row r="165" s="256" customFormat="true" ht="14.25" hidden="false" customHeight="false" outlineLevel="0" collapsed="false"/>
    <row r="166" customFormat="false" ht="15" hidden="false" customHeight="true" outlineLevel="0" collapsed="false"/>
    <row r="167" customFormat="false" ht="21.75" hidden="false" customHeight="true" outlineLevel="0" collapsed="false">
      <c r="A167" s="199" t="s">
        <v>577</v>
      </c>
    </row>
    <row r="168" customFormat="false" ht="17.35" hidden="false" customHeight="false" outlineLevel="0" collapsed="false">
      <c r="A168" s="200" t="s">
        <v>317</v>
      </c>
      <c r="B168" s="200"/>
      <c r="C168" s="200"/>
      <c r="D168" s="200"/>
      <c r="E168" s="200"/>
    </row>
    <row r="169" customFormat="false" ht="85.5" hidden="false" customHeight="true" outlineLevel="0" collapsed="false">
      <c r="A169" s="257" t="s">
        <v>318</v>
      </c>
      <c r="B169" s="257"/>
      <c r="C169" s="257"/>
      <c r="D169" s="257"/>
      <c r="E169" s="257"/>
    </row>
    <row r="170" s="78" customFormat="true" ht="15" hidden="false" customHeight="true" outlineLevel="0" collapsed="false"/>
    <row r="171" customFormat="false" ht="13.5" hidden="false" customHeight="true" outlineLevel="0" collapsed="false">
      <c r="A171" s="258" t="s">
        <v>319</v>
      </c>
      <c r="B171" s="259" t="s">
        <v>320</v>
      </c>
      <c r="C171" s="260" t="n">
        <v>3</v>
      </c>
      <c r="D171" s="78"/>
      <c r="F171" s="78"/>
      <c r="G171" s="78"/>
      <c r="H171" s="78"/>
      <c r="I171" s="78"/>
      <c r="J171" s="78"/>
      <c r="K171" s="149"/>
      <c r="L171" s="149"/>
      <c r="M171" s="78"/>
      <c r="N171" s="78"/>
    </row>
    <row r="172" customFormat="false" ht="14.25" hidden="false" customHeight="false" outlineLevel="0" collapsed="false">
      <c r="A172" s="258"/>
      <c r="B172" s="202" t="s">
        <v>321</v>
      </c>
      <c r="C172" s="260"/>
      <c r="D172" s="151"/>
      <c r="E172" s="151"/>
      <c r="F172" s="151"/>
      <c r="G172" s="151"/>
      <c r="H172" s="151"/>
      <c r="I172" s="151"/>
      <c r="J172" s="151"/>
      <c r="K172" s="151"/>
      <c r="L172" s="151"/>
      <c r="M172" s="151"/>
      <c r="N172" s="151"/>
    </row>
    <row r="173" customFormat="false" ht="28.5" hidden="false" customHeight="true" outlineLevel="0" collapsed="false">
      <c r="A173" s="258"/>
      <c r="B173" s="205" t="s">
        <v>322</v>
      </c>
      <c r="C173" s="260"/>
      <c r="D173" s="78"/>
      <c r="E173" s="78"/>
      <c r="F173" s="78"/>
      <c r="G173" s="78"/>
      <c r="H173" s="78"/>
      <c r="I173" s="78"/>
      <c r="J173" s="78"/>
      <c r="K173" s="78"/>
      <c r="L173" s="78"/>
      <c r="M173" s="78"/>
      <c r="N173" s="78"/>
    </row>
    <row r="175" customFormat="false" ht="15.75" hidden="false" customHeight="true" outlineLevel="0" collapsed="false">
      <c r="A175" s="200" t="s">
        <v>323</v>
      </c>
      <c r="B175" s="200"/>
      <c r="C175" s="200"/>
    </row>
    <row r="176" customFormat="false" ht="14.25" hidden="false" customHeight="false" outlineLevel="0" collapsed="false">
      <c r="A176" s="208" t="s">
        <v>324</v>
      </c>
      <c r="B176" s="202" t="s">
        <v>28</v>
      </c>
      <c r="C176" s="204" t="n">
        <v>0.3</v>
      </c>
    </row>
    <row r="177" customFormat="false" ht="31.3" hidden="false" customHeight="false" outlineLevel="0" collapsed="false">
      <c r="A177" s="261" t="s">
        <v>326</v>
      </c>
      <c r="B177" s="205" t="s">
        <v>327</v>
      </c>
      <c r="C177" s="246" t="n">
        <v>0.031</v>
      </c>
    </row>
    <row r="178" customFormat="false" ht="15.75" hidden="false" customHeight="true" outlineLevel="0" collapsed="false">
      <c r="A178" s="237" t="s">
        <v>578</v>
      </c>
      <c r="B178" s="237"/>
      <c r="C178" s="262" t="s">
        <v>576</v>
      </c>
      <c r="D178" s="262" t="s">
        <v>579</v>
      </c>
      <c r="E178" s="262" t="s">
        <v>362</v>
      </c>
      <c r="F178" s="262" t="s">
        <v>580</v>
      </c>
      <c r="G178" s="262" t="s">
        <v>581</v>
      </c>
      <c r="H178" s="262" t="s">
        <v>582</v>
      </c>
      <c r="I178" s="262" t="s">
        <v>583</v>
      </c>
      <c r="J178" s="262" t="s">
        <v>354</v>
      </c>
      <c r="K178" s="262" t="s">
        <v>584</v>
      </c>
      <c r="L178" s="262" t="s">
        <v>585</v>
      </c>
      <c r="M178" s="262" t="s">
        <v>586</v>
      </c>
      <c r="N178" s="262" t="s">
        <v>587</v>
      </c>
      <c r="O178" s="262" t="s">
        <v>588</v>
      </c>
      <c r="P178" s="262" t="s">
        <v>589</v>
      </c>
      <c r="Q178" s="263" t="s">
        <v>590</v>
      </c>
      <c r="R178" s="263" t="s">
        <v>338</v>
      </c>
      <c r="S178" s="263" t="s">
        <v>591</v>
      </c>
      <c r="T178" s="263" t="s">
        <v>592</v>
      </c>
      <c r="U178" s="263" t="s">
        <v>593</v>
      </c>
      <c r="V178" s="263" t="s">
        <v>594</v>
      </c>
      <c r="W178" s="263" t="s">
        <v>595</v>
      </c>
      <c r="X178" s="263" t="s">
        <v>596</v>
      </c>
      <c r="Y178" s="263" t="s">
        <v>597</v>
      </c>
      <c r="Z178" s="263" t="s">
        <v>598</v>
      </c>
      <c r="AA178" s="263" t="s">
        <v>599</v>
      </c>
      <c r="AB178" s="263" t="s">
        <v>351</v>
      </c>
      <c r="AC178" s="263" t="s">
        <v>361</v>
      </c>
      <c r="AD178" s="263" t="s">
        <v>600</v>
      </c>
    </row>
    <row r="179" customFormat="false" ht="14.25" hidden="false" customHeight="false" outlineLevel="0" collapsed="false">
      <c r="A179" s="264" t="s">
        <v>374</v>
      </c>
      <c r="B179" s="264"/>
      <c r="C179" s="265" t="n">
        <v>2030</v>
      </c>
      <c r="D179" s="265" t="n">
        <v>2030</v>
      </c>
      <c r="E179" s="265" t="n">
        <v>2030</v>
      </c>
      <c r="F179" s="265" t="n">
        <v>2030</v>
      </c>
      <c r="G179" s="265" t="n">
        <v>2030</v>
      </c>
      <c r="H179" s="265" t="n">
        <v>2030</v>
      </c>
      <c r="I179" s="265" t="n">
        <v>2030</v>
      </c>
      <c r="J179" s="265" t="n">
        <v>2030</v>
      </c>
      <c r="K179" s="265" t="n">
        <v>2030</v>
      </c>
      <c r="L179" s="265" t="n">
        <v>2030</v>
      </c>
      <c r="M179" s="265" t="n">
        <v>2030</v>
      </c>
      <c r="N179" s="265" t="n">
        <v>2030</v>
      </c>
      <c r="O179" s="265" t="n">
        <v>2030</v>
      </c>
      <c r="P179" s="265" t="n">
        <v>2030</v>
      </c>
      <c r="Q179" s="266" t="n">
        <v>2030</v>
      </c>
      <c r="R179" s="266" t="n">
        <v>2030</v>
      </c>
      <c r="S179" s="266" t="n">
        <v>2030</v>
      </c>
      <c r="T179" s="266" t="n">
        <v>2030</v>
      </c>
      <c r="U179" s="266" t="n">
        <v>2030</v>
      </c>
      <c r="V179" s="266" t="n">
        <v>2030</v>
      </c>
      <c r="W179" s="266" t="n">
        <v>2030</v>
      </c>
      <c r="X179" s="266" t="n">
        <v>2030</v>
      </c>
      <c r="Y179" s="266" t="n">
        <v>2030</v>
      </c>
      <c r="Z179" s="266" t="n">
        <v>2030</v>
      </c>
      <c r="AA179" s="266" t="n">
        <v>2030</v>
      </c>
      <c r="AB179" s="266" t="n">
        <v>2030</v>
      </c>
      <c r="AC179" s="266" t="n">
        <v>2030</v>
      </c>
      <c r="AD179" s="266" t="n">
        <v>2030</v>
      </c>
    </row>
    <row r="180" customFormat="false" ht="14.25" hidden="false" customHeight="false" outlineLevel="0" collapsed="false">
      <c r="A180" s="264" t="s">
        <v>375</v>
      </c>
      <c r="B180" s="264"/>
      <c r="C180" s="265" t="n">
        <v>2030</v>
      </c>
      <c r="D180" s="265" t="n">
        <v>2030</v>
      </c>
      <c r="E180" s="265" t="n">
        <v>2030</v>
      </c>
      <c r="F180" s="265" t="n">
        <v>2030</v>
      </c>
      <c r="G180" s="265" t="n">
        <v>2030</v>
      </c>
      <c r="H180" s="265" t="n">
        <v>2030</v>
      </c>
      <c r="I180" s="265" t="n">
        <v>2030</v>
      </c>
      <c r="J180" s="265" t="n">
        <v>2030</v>
      </c>
      <c r="K180" s="265" t="n">
        <v>2030</v>
      </c>
      <c r="L180" s="265" t="n">
        <v>2030</v>
      </c>
      <c r="M180" s="265" t="n">
        <v>2030</v>
      </c>
      <c r="N180" s="265" t="n">
        <v>2030</v>
      </c>
      <c r="O180" s="265" t="n">
        <v>2030</v>
      </c>
      <c r="P180" s="265" t="n">
        <v>2030</v>
      </c>
      <c r="Q180" s="266" t="n">
        <v>2030</v>
      </c>
      <c r="R180" s="266" t="n">
        <v>2030</v>
      </c>
      <c r="S180" s="266" t="n">
        <v>2030</v>
      </c>
      <c r="T180" s="266" t="n">
        <v>2030</v>
      </c>
      <c r="U180" s="266" t="n">
        <v>2030</v>
      </c>
      <c r="V180" s="266" t="n">
        <v>2030</v>
      </c>
      <c r="W180" s="266" t="n">
        <v>2030</v>
      </c>
      <c r="X180" s="266" t="n">
        <v>2030</v>
      </c>
      <c r="Y180" s="266" t="n">
        <v>2030</v>
      </c>
      <c r="Z180" s="266" t="n">
        <v>2030</v>
      </c>
      <c r="AA180" s="266" t="n">
        <v>2030</v>
      </c>
      <c r="AB180" s="266" t="n">
        <v>2030</v>
      </c>
      <c r="AC180" s="266" t="n">
        <v>2030</v>
      </c>
      <c r="AD180" s="266" t="n">
        <v>2030</v>
      </c>
    </row>
    <row r="181" customFormat="false" ht="14.25" hidden="false" customHeight="false" outlineLevel="0" collapsed="false">
      <c r="A181" s="264" t="s">
        <v>376</v>
      </c>
      <c r="B181" s="264"/>
      <c r="C181" s="265" t="n">
        <v>2030</v>
      </c>
      <c r="D181" s="265" t="n">
        <v>2030</v>
      </c>
      <c r="E181" s="265" t="n">
        <v>2030</v>
      </c>
      <c r="F181" s="265" t="n">
        <v>2030</v>
      </c>
      <c r="G181" s="265" t="n">
        <v>2030</v>
      </c>
      <c r="H181" s="265" t="n">
        <v>2030</v>
      </c>
      <c r="I181" s="265" t="n">
        <v>2030</v>
      </c>
      <c r="J181" s="265" t="n">
        <v>2030</v>
      </c>
      <c r="K181" s="265" t="n">
        <v>2030</v>
      </c>
      <c r="L181" s="265" t="n">
        <v>2030</v>
      </c>
      <c r="M181" s="265" t="n">
        <v>2030</v>
      </c>
      <c r="N181" s="265" t="n">
        <v>2030</v>
      </c>
      <c r="O181" s="265" t="n">
        <v>2030</v>
      </c>
      <c r="P181" s="265" t="n">
        <v>2030</v>
      </c>
      <c r="Q181" s="266" t="n">
        <v>2030</v>
      </c>
      <c r="R181" s="266" t="n">
        <v>2030</v>
      </c>
      <c r="S181" s="266" t="n">
        <v>2030</v>
      </c>
      <c r="T181" s="266" t="n">
        <v>2030</v>
      </c>
      <c r="U181" s="266" t="n">
        <v>2030</v>
      </c>
      <c r="V181" s="266" t="n">
        <v>2030</v>
      </c>
      <c r="W181" s="266" t="n">
        <v>2030</v>
      </c>
      <c r="X181" s="266" t="n">
        <v>2030</v>
      </c>
      <c r="Y181" s="266" t="n">
        <v>2030</v>
      </c>
      <c r="Z181" s="266" t="n">
        <v>2030</v>
      </c>
      <c r="AA181" s="266" t="n">
        <v>2030</v>
      </c>
      <c r="AB181" s="266" t="n">
        <v>2030</v>
      </c>
      <c r="AC181" s="266" t="n">
        <v>2030</v>
      </c>
      <c r="AD181" s="266" t="n">
        <v>2030</v>
      </c>
    </row>
    <row r="182" customFormat="false" ht="14.25" hidden="false" customHeight="false" outlineLevel="0" collapsed="false">
      <c r="A182" s="264" t="s">
        <v>377</v>
      </c>
      <c r="B182" s="264"/>
      <c r="C182" s="265" t="n">
        <v>2030</v>
      </c>
      <c r="D182" s="265" t="n">
        <v>2030</v>
      </c>
      <c r="E182" s="265" t="n">
        <v>2030</v>
      </c>
      <c r="F182" s="265" t="n">
        <v>2030</v>
      </c>
      <c r="G182" s="265" t="n">
        <v>2030</v>
      </c>
      <c r="H182" s="265" t="n">
        <v>2030</v>
      </c>
      <c r="I182" s="265" t="n">
        <v>2030</v>
      </c>
      <c r="J182" s="265" t="n">
        <v>2030</v>
      </c>
      <c r="K182" s="265" t="n">
        <v>2030</v>
      </c>
      <c r="L182" s="265" t="n">
        <v>2030</v>
      </c>
      <c r="M182" s="265" t="n">
        <v>2030</v>
      </c>
      <c r="N182" s="265" t="n">
        <v>2030</v>
      </c>
      <c r="O182" s="265" t="n">
        <v>2030</v>
      </c>
      <c r="P182" s="265" t="n">
        <v>2030</v>
      </c>
      <c r="Q182" s="266" t="n">
        <v>2030</v>
      </c>
      <c r="R182" s="266" t="n">
        <v>2030</v>
      </c>
      <c r="S182" s="266" t="n">
        <v>2030</v>
      </c>
      <c r="T182" s="266" t="n">
        <v>2030</v>
      </c>
      <c r="U182" s="266" t="n">
        <v>2030</v>
      </c>
      <c r="V182" s="266" t="n">
        <v>2030</v>
      </c>
      <c r="W182" s="266" t="n">
        <v>2030</v>
      </c>
      <c r="X182" s="266" t="n">
        <v>2030</v>
      </c>
      <c r="Y182" s="266" t="n">
        <v>2030</v>
      </c>
      <c r="Z182" s="266" t="n">
        <v>2030</v>
      </c>
      <c r="AA182" s="266" t="n">
        <v>2030</v>
      </c>
      <c r="AB182" s="266" t="n">
        <v>2030</v>
      </c>
      <c r="AC182" s="266" t="n">
        <v>2030</v>
      </c>
      <c r="AD182" s="266" t="n">
        <v>2030</v>
      </c>
    </row>
    <row r="183" customFormat="false" ht="14.25" hidden="false" customHeight="false" outlineLevel="0" collapsed="false">
      <c r="A183" s="264" t="s">
        <v>378</v>
      </c>
      <c r="B183" s="264"/>
      <c r="C183" s="265" t="n">
        <v>2030</v>
      </c>
      <c r="D183" s="265" t="n">
        <v>2030</v>
      </c>
      <c r="E183" s="265" t="n">
        <v>2030</v>
      </c>
      <c r="F183" s="265" t="n">
        <v>2030</v>
      </c>
      <c r="G183" s="265" t="n">
        <v>2030</v>
      </c>
      <c r="H183" s="265" t="n">
        <v>2030</v>
      </c>
      <c r="I183" s="265" t="n">
        <v>2030</v>
      </c>
      <c r="J183" s="265" t="n">
        <v>2030</v>
      </c>
      <c r="K183" s="265" t="n">
        <v>2030</v>
      </c>
      <c r="L183" s="265" t="n">
        <v>2030</v>
      </c>
      <c r="M183" s="265" t="n">
        <v>2030</v>
      </c>
      <c r="N183" s="265" t="n">
        <v>2030</v>
      </c>
      <c r="O183" s="265" t="n">
        <v>2030</v>
      </c>
      <c r="P183" s="265" t="n">
        <v>2030</v>
      </c>
      <c r="Q183" s="266" t="n">
        <v>2030</v>
      </c>
      <c r="R183" s="266" t="n">
        <v>2030</v>
      </c>
      <c r="S183" s="266" t="n">
        <v>2030</v>
      </c>
      <c r="T183" s="266" t="n">
        <v>2030</v>
      </c>
      <c r="U183" s="266" t="n">
        <v>2030</v>
      </c>
      <c r="V183" s="266" t="n">
        <v>2030</v>
      </c>
      <c r="W183" s="266" t="n">
        <v>2030</v>
      </c>
      <c r="X183" s="266" t="n">
        <v>2030</v>
      </c>
      <c r="Y183" s="266" t="n">
        <v>2030</v>
      </c>
      <c r="Z183" s="266" t="n">
        <v>2030</v>
      </c>
      <c r="AA183" s="266" t="n">
        <v>2030</v>
      </c>
      <c r="AB183" s="266" t="n">
        <v>2030</v>
      </c>
      <c r="AC183" s="266" t="n">
        <v>2030</v>
      </c>
      <c r="AD183" s="266" t="n">
        <v>2030</v>
      </c>
    </row>
    <row r="184" customFormat="false" ht="15.75" hidden="false" customHeight="true" outlineLevel="0" collapsed="false">
      <c r="A184" s="200" t="s">
        <v>601</v>
      </c>
      <c r="B184" s="200"/>
      <c r="C184" s="200"/>
      <c r="D184" s="200"/>
      <c r="E184" s="200"/>
      <c r="F184" s="200"/>
      <c r="G184" s="200"/>
      <c r="H184" s="200"/>
      <c r="I184" s="200"/>
      <c r="J184" s="200"/>
      <c r="K184" s="200"/>
      <c r="L184" s="200"/>
      <c r="M184" s="200"/>
      <c r="N184" s="200"/>
      <c r="O184" s="200"/>
      <c r="P184" s="200"/>
      <c r="Q184" s="200"/>
    </row>
    <row r="185" customFormat="false" ht="14.25" hidden="false" customHeight="false" outlineLevel="0" collapsed="false">
      <c r="A185" s="264" t="s">
        <v>374</v>
      </c>
      <c r="B185" s="264"/>
      <c r="C185" s="265" t="n">
        <v>1</v>
      </c>
      <c r="D185" s="265" t="n">
        <v>1</v>
      </c>
      <c r="E185" s="265" t="n">
        <v>1</v>
      </c>
      <c r="F185" s="265" t="n">
        <v>1</v>
      </c>
      <c r="G185" s="265" t="n">
        <v>1</v>
      </c>
      <c r="H185" s="265" t="n">
        <v>1</v>
      </c>
      <c r="I185" s="265" t="n">
        <v>1</v>
      </c>
      <c r="J185" s="265" t="n">
        <v>1</v>
      </c>
      <c r="K185" s="265" t="n">
        <v>1</v>
      </c>
      <c r="L185" s="265" t="n">
        <v>1</v>
      </c>
      <c r="M185" s="265" t="n">
        <v>1</v>
      </c>
      <c r="N185" s="265" t="n">
        <v>1</v>
      </c>
      <c r="O185" s="265" t="n">
        <v>1</v>
      </c>
      <c r="P185" s="265" t="n">
        <v>1</v>
      </c>
      <c r="Q185" s="266" t="n">
        <v>1</v>
      </c>
      <c r="R185" s="266" t="n">
        <v>1</v>
      </c>
      <c r="S185" s="266" t="n">
        <v>1</v>
      </c>
      <c r="T185" s="266" t="n">
        <v>1</v>
      </c>
      <c r="U185" s="266" t="n">
        <v>1</v>
      </c>
      <c r="V185" s="266" t="n">
        <v>1</v>
      </c>
      <c r="W185" s="266" t="n">
        <v>1</v>
      </c>
      <c r="X185" s="266" t="n">
        <v>1</v>
      </c>
      <c r="Y185" s="266" t="n">
        <v>1</v>
      </c>
      <c r="Z185" s="266" t="n">
        <v>1</v>
      </c>
      <c r="AA185" s="266" t="n">
        <v>1</v>
      </c>
      <c r="AB185" s="266" t="n">
        <v>1</v>
      </c>
      <c r="AC185" s="266" t="n">
        <v>1</v>
      </c>
      <c r="AD185" s="266" t="n">
        <v>1</v>
      </c>
    </row>
    <row r="186" customFormat="false" ht="14.25" hidden="false" customHeight="false" outlineLevel="0" collapsed="false">
      <c r="A186" s="264" t="s">
        <v>375</v>
      </c>
      <c r="B186" s="264"/>
      <c r="C186" s="265" t="n">
        <v>1</v>
      </c>
      <c r="D186" s="265" t="n">
        <v>1</v>
      </c>
      <c r="E186" s="265" t="n">
        <v>1</v>
      </c>
      <c r="F186" s="265" t="n">
        <v>1</v>
      </c>
      <c r="G186" s="265" t="n">
        <v>1</v>
      </c>
      <c r="H186" s="265" t="n">
        <v>1</v>
      </c>
      <c r="I186" s="265" t="n">
        <v>1</v>
      </c>
      <c r="J186" s="265" t="n">
        <v>1</v>
      </c>
      <c r="K186" s="265" t="n">
        <v>1</v>
      </c>
      <c r="L186" s="265" t="n">
        <v>1</v>
      </c>
      <c r="M186" s="265" t="n">
        <v>1</v>
      </c>
      <c r="N186" s="265" t="n">
        <v>1</v>
      </c>
      <c r="O186" s="265" t="n">
        <v>1</v>
      </c>
      <c r="P186" s="265" t="n">
        <v>1</v>
      </c>
      <c r="Q186" s="266" t="n">
        <v>1</v>
      </c>
      <c r="R186" s="266" t="n">
        <v>1</v>
      </c>
      <c r="S186" s="266" t="n">
        <v>1</v>
      </c>
      <c r="T186" s="266" t="n">
        <v>1</v>
      </c>
      <c r="U186" s="266" t="n">
        <v>1</v>
      </c>
      <c r="V186" s="266" t="n">
        <v>1</v>
      </c>
      <c r="W186" s="266" t="n">
        <v>1</v>
      </c>
      <c r="X186" s="266" t="n">
        <v>1</v>
      </c>
      <c r="Y186" s="266" t="n">
        <v>1</v>
      </c>
      <c r="Z186" s="266" t="n">
        <v>1</v>
      </c>
      <c r="AA186" s="266" t="n">
        <v>1</v>
      </c>
      <c r="AB186" s="266" t="n">
        <v>1</v>
      </c>
      <c r="AC186" s="266" t="n">
        <v>1</v>
      </c>
      <c r="AD186" s="266" t="n">
        <v>1</v>
      </c>
    </row>
    <row r="187" customFormat="false" ht="14.25" hidden="false" customHeight="false" outlineLevel="0" collapsed="false">
      <c r="A187" s="264" t="s">
        <v>376</v>
      </c>
      <c r="B187" s="264"/>
      <c r="C187" s="265" t="n">
        <v>1</v>
      </c>
      <c r="D187" s="265" t="n">
        <v>1</v>
      </c>
      <c r="E187" s="265" t="n">
        <v>1</v>
      </c>
      <c r="F187" s="265" t="n">
        <v>1</v>
      </c>
      <c r="G187" s="265" t="n">
        <v>1</v>
      </c>
      <c r="H187" s="265" t="n">
        <v>1</v>
      </c>
      <c r="I187" s="265" t="n">
        <v>1</v>
      </c>
      <c r="J187" s="265" t="n">
        <v>1</v>
      </c>
      <c r="K187" s="265" t="n">
        <v>1</v>
      </c>
      <c r="L187" s="265" t="n">
        <v>1</v>
      </c>
      <c r="M187" s="265" t="n">
        <v>1</v>
      </c>
      <c r="N187" s="265" t="n">
        <v>1</v>
      </c>
      <c r="O187" s="265" t="n">
        <v>1</v>
      </c>
      <c r="P187" s="265" t="n">
        <v>1</v>
      </c>
      <c r="Q187" s="266" t="n">
        <v>1</v>
      </c>
      <c r="R187" s="266" t="n">
        <v>1</v>
      </c>
      <c r="S187" s="266" t="n">
        <v>1</v>
      </c>
      <c r="T187" s="266" t="n">
        <v>1</v>
      </c>
      <c r="U187" s="266" t="n">
        <v>1</v>
      </c>
      <c r="V187" s="266" t="n">
        <v>1</v>
      </c>
      <c r="W187" s="266" t="n">
        <v>1</v>
      </c>
      <c r="X187" s="266" t="n">
        <v>1</v>
      </c>
      <c r="Y187" s="266" t="n">
        <v>1</v>
      </c>
      <c r="Z187" s="266" t="n">
        <v>1</v>
      </c>
      <c r="AA187" s="266" t="n">
        <v>1</v>
      </c>
      <c r="AB187" s="266" t="n">
        <v>1</v>
      </c>
      <c r="AC187" s="266" t="n">
        <v>1</v>
      </c>
      <c r="AD187" s="266" t="n">
        <v>1</v>
      </c>
    </row>
    <row r="188" customFormat="false" ht="14.25" hidden="false" customHeight="false" outlineLevel="0" collapsed="false">
      <c r="A188" s="264" t="s">
        <v>377</v>
      </c>
      <c r="B188" s="264"/>
      <c r="C188" s="265" t="n">
        <v>1</v>
      </c>
      <c r="D188" s="265" t="n">
        <v>1</v>
      </c>
      <c r="E188" s="265" t="n">
        <v>1</v>
      </c>
      <c r="F188" s="265" t="n">
        <v>1</v>
      </c>
      <c r="G188" s="265" t="n">
        <v>1</v>
      </c>
      <c r="H188" s="265" t="n">
        <v>1</v>
      </c>
      <c r="I188" s="265" t="n">
        <v>1</v>
      </c>
      <c r="J188" s="265" t="n">
        <v>1</v>
      </c>
      <c r="K188" s="265" t="n">
        <v>1</v>
      </c>
      <c r="L188" s="265" t="n">
        <v>1</v>
      </c>
      <c r="M188" s="265" t="n">
        <v>1</v>
      </c>
      <c r="N188" s="265" t="n">
        <v>1</v>
      </c>
      <c r="O188" s="265" t="n">
        <v>1</v>
      </c>
      <c r="P188" s="265" t="n">
        <v>1</v>
      </c>
      <c r="Q188" s="266" t="n">
        <v>1</v>
      </c>
      <c r="R188" s="266" t="n">
        <v>1</v>
      </c>
      <c r="S188" s="266" t="n">
        <v>1</v>
      </c>
      <c r="T188" s="266" t="n">
        <v>1</v>
      </c>
      <c r="U188" s="266" t="n">
        <v>1</v>
      </c>
      <c r="V188" s="266" t="n">
        <v>1</v>
      </c>
      <c r="W188" s="266" t="n">
        <v>1</v>
      </c>
      <c r="X188" s="266" t="n">
        <v>1</v>
      </c>
      <c r="Y188" s="266" t="n">
        <v>1</v>
      </c>
      <c r="Z188" s="266" t="n">
        <v>1</v>
      </c>
      <c r="AA188" s="266" t="n">
        <v>1</v>
      </c>
      <c r="AB188" s="266" t="n">
        <v>1</v>
      </c>
      <c r="AC188" s="266" t="n">
        <v>1</v>
      </c>
      <c r="AD188" s="266" t="n">
        <v>1</v>
      </c>
    </row>
    <row r="189" customFormat="false" ht="14.25" hidden="false" customHeight="false" outlineLevel="0" collapsed="false">
      <c r="A189" s="264" t="s">
        <v>378</v>
      </c>
      <c r="B189" s="264"/>
      <c r="C189" s="265" t="n">
        <v>1</v>
      </c>
      <c r="D189" s="265" t="n">
        <v>1</v>
      </c>
      <c r="E189" s="265" t="n">
        <v>1</v>
      </c>
      <c r="F189" s="265" t="n">
        <v>1</v>
      </c>
      <c r="G189" s="265" t="n">
        <v>1</v>
      </c>
      <c r="H189" s="265" t="n">
        <v>1</v>
      </c>
      <c r="I189" s="265" t="n">
        <v>1</v>
      </c>
      <c r="J189" s="265" t="n">
        <v>1</v>
      </c>
      <c r="K189" s="265" t="n">
        <v>1</v>
      </c>
      <c r="L189" s="265" t="n">
        <v>1</v>
      </c>
      <c r="M189" s="265" t="n">
        <v>1</v>
      </c>
      <c r="N189" s="265" t="n">
        <v>1</v>
      </c>
      <c r="O189" s="265" t="n">
        <v>1</v>
      </c>
      <c r="P189" s="265" t="n">
        <v>1</v>
      </c>
      <c r="Q189" s="266" t="n">
        <v>1</v>
      </c>
      <c r="R189" s="266" t="n">
        <v>1</v>
      </c>
      <c r="S189" s="266" t="n">
        <v>1</v>
      </c>
      <c r="T189" s="266" t="n">
        <v>1</v>
      </c>
      <c r="U189" s="266" t="n">
        <v>1</v>
      </c>
      <c r="V189" s="266" t="n">
        <v>1</v>
      </c>
      <c r="W189" s="266" t="n">
        <v>1</v>
      </c>
      <c r="X189" s="266" t="n">
        <v>1</v>
      </c>
      <c r="Y189" s="266" t="n">
        <v>1</v>
      </c>
      <c r="Z189" s="266" t="n">
        <v>1</v>
      </c>
      <c r="AA189" s="266" t="n">
        <v>1</v>
      </c>
      <c r="AB189" s="266" t="n">
        <v>1</v>
      </c>
      <c r="AC189" s="266" t="n">
        <v>1</v>
      </c>
      <c r="AD189" s="266" t="n">
        <v>1</v>
      </c>
    </row>
    <row r="190" customFormat="false" ht="15.75" hidden="false" customHeight="true" outlineLevel="0" collapsed="false">
      <c r="A190" s="200" t="s">
        <v>602</v>
      </c>
      <c r="B190" s="200"/>
      <c r="C190" s="200"/>
      <c r="D190" s="200"/>
      <c r="E190" s="200"/>
      <c r="F190" s="200"/>
      <c r="G190" s="200"/>
      <c r="H190" s="200"/>
      <c r="I190" s="200"/>
      <c r="J190" s="200"/>
      <c r="K190" s="200"/>
      <c r="L190" s="200"/>
      <c r="M190" s="200"/>
      <c r="N190" s="200"/>
      <c r="O190" s="200"/>
      <c r="P190" s="200"/>
      <c r="Q190" s="200"/>
    </row>
    <row r="191" customFormat="false" ht="14.25" hidden="false" customHeight="false" outlineLevel="0" collapsed="false">
      <c r="A191" s="264" t="s">
        <v>374</v>
      </c>
      <c r="B191" s="264"/>
      <c r="C191" s="265" t="n">
        <v>2040</v>
      </c>
      <c r="D191" s="265" t="n">
        <v>2040</v>
      </c>
      <c r="E191" s="265" t="n">
        <v>2040</v>
      </c>
      <c r="F191" s="265" t="n">
        <v>2040</v>
      </c>
      <c r="G191" s="265" t="n">
        <v>2040</v>
      </c>
      <c r="H191" s="265" t="n">
        <v>2040</v>
      </c>
      <c r="I191" s="265" t="n">
        <v>2040</v>
      </c>
      <c r="J191" s="265" t="n">
        <v>2040</v>
      </c>
      <c r="K191" s="265" t="n">
        <v>2040</v>
      </c>
      <c r="L191" s="265" t="n">
        <v>2040</v>
      </c>
      <c r="M191" s="265" t="n">
        <v>2040</v>
      </c>
      <c r="N191" s="265" t="n">
        <v>2040</v>
      </c>
      <c r="O191" s="265" t="n">
        <v>2040</v>
      </c>
      <c r="P191" s="265" t="n">
        <v>2040</v>
      </c>
      <c r="Q191" s="265" t="n">
        <v>2040</v>
      </c>
      <c r="R191" s="265" t="n">
        <v>2040</v>
      </c>
      <c r="S191" s="265" t="n">
        <v>2040</v>
      </c>
      <c r="T191" s="265" t="n">
        <v>2040</v>
      </c>
      <c r="U191" s="265" t="n">
        <v>2040</v>
      </c>
      <c r="V191" s="265" t="n">
        <v>2040</v>
      </c>
      <c r="W191" s="265" t="n">
        <v>2040</v>
      </c>
      <c r="X191" s="265" t="n">
        <v>2040</v>
      </c>
      <c r="Y191" s="265" t="n">
        <v>2040</v>
      </c>
      <c r="Z191" s="265" t="n">
        <v>2040</v>
      </c>
      <c r="AA191" s="265" t="n">
        <v>2040</v>
      </c>
      <c r="AB191" s="265" t="n">
        <v>2040</v>
      </c>
      <c r="AC191" s="265" t="n">
        <v>2040</v>
      </c>
      <c r="AD191" s="265" t="n">
        <v>2040</v>
      </c>
    </row>
    <row r="192" customFormat="false" ht="14.25" hidden="false" customHeight="false" outlineLevel="0" collapsed="false">
      <c r="A192" s="264" t="s">
        <v>375</v>
      </c>
      <c r="B192" s="264"/>
      <c r="C192" s="265" t="n">
        <v>2040</v>
      </c>
      <c r="D192" s="265" t="n">
        <v>2040</v>
      </c>
      <c r="E192" s="265" t="n">
        <v>2040</v>
      </c>
      <c r="F192" s="265" t="n">
        <v>2040</v>
      </c>
      <c r="G192" s="265" t="n">
        <v>2040</v>
      </c>
      <c r="H192" s="265" t="n">
        <v>2040</v>
      </c>
      <c r="I192" s="265" t="n">
        <v>2040</v>
      </c>
      <c r="J192" s="265" t="n">
        <v>2040</v>
      </c>
      <c r="K192" s="265" t="n">
        <v>2040</v>
      </c>
      <c r="L192" s="265" t="n">
        <v>2040</v>
      </c>
      <c r="M192" s="265" t="n">
        <v>2040</v>
      </c>
      <c r="N192" s="265" t="n">
        <v>2040</v>
      </c>
      <c r="O192" s="265" t="n">
        <v>2040</v>
      </c>
      <c r="P192" s="265" t="n">
        <v>2040</v>
      </c>
      <c r="Q192" s="265" t="n">
        <v>2040</v>
      </c>
      <c r="R192" s="265" t="n">
        <v>2040</v>
      </c>
      <c r="S192" s="265" t="n">
        <v>2040</v>
      </c>
      <c r="T192" s="265" t="n">
        <v>2040</v>
      </c>
      <c r="U192" s="265" t="n">
        <v>2040</v>
      </c>
      <c r="V192" s="265" t="n">
        <v>2040</v>
      </c>
      <c r="W192" s="265" t="n">
        <v>2040</v>
      </c>
      <c r="X192" s="265" t="n">
        <v>2040</v>
      </c>
      <c r="Y192" s="265" t="n">
        <v>2040</v>
      </c>
      <c r="Z192" s="265" t="n">
        <v>2040</v>
      </c>
      <c r="AA192" s="265" t="n">
        <v>2040</v>
      </c>
      <c r="AB192" s="265" t="n">
        <v>2040</v>
      </c>
      <c r="AC192" s="265" t="n">
        <v>2040</v>
      </c>
      <c r="AD192" s="265" t="n">
        <v>2040</v>
      </c>
    </row>
    <row r="193" customFormat="false" ht="14.25" hidden="false" customHeight="false" outlineLevel="0" collapsed="false">
      <c r="A193" s="264" t="s">
        <v>376</v>
      </c>
      <c r="B193" s="264"/>
      <c r="C193" s="265" t="n">
        <v>2040</v>
      </c>
      <c r="D193" s="265" t="n">
        <v>2040</v>
      </c>
      <c r="E193" s="265" t="n">
        <v>2040</v>
      </c>
      <c r="F193" s="265" t="n">
        <v>2040</v>
      </c>
      <c r="G193" s="265" t="n">
        <v>2040</v>
      </c>
      <c r="H193" s="265" t="n">
        <v>2040</v>
      </c>
      <c r="I193" s="265" t="n">
        <v>2040</v>
      </c>
      <c r="J193" s="265" t="n">
        <v>2040</v>
      </c>
      <c r="K193" s="265" t="n">
        <v>2040</v>
      </c>
      <c r="L193" s="265" t="n">
        <v>2040</v>
      </c>
      <c r="M193" s="265" t="n">
        <v>2040</v>
      </c>
      <c r="N193" s="265" t="n">
        <v>2040</v>
      </c>
      <c r="O193" s="265" t="n">
        <v>2040</v>
      </c>
      <c r="P193" s="265" t="n">
        <v>2040</v>
      </c>
      <c r="Q193" s="265" t="n">
        <v>2040</v>
      </c>
      <c r="R193" s="265" t="n">
        <v>2040</v>
      </c>
      <c r="S193" s="265" t="n">
        <v>2040</v>
      </c>
      <c r="T193" s="265" t="n">
        <v>2040</v>
      </c>
      <c r="U193" s="265" t="n">
        <v>2040</v>
      </c>
      <c r="V193" s="265" t="n">
        <v>2040</v>
      </c>
      <c r="W193" s="265" t="n">
        <v>2040</v>
      </c>
      <c r="X193" s="265" t="n">
        <v>2040</v>
      </c>
      <c r="Y193" s="265" t="n">
        <v>2040</v>
      </c>
      <c r="Z193" s="265" t="n">
        <v>2040</v>
      </c>
      <c r="AA193" s="265" t="n">
        <v>2040</v>
      </c>
      <c r="AB193" s="265" t="n">
        <v>2040</v>
      </c>
      <c r="AC193" s="265" t="n">
        <v>2040</v>
      </c>
      <c r="AD193" s="265" t="n">
        <v>2040</v>
      </c>
    </row>
    <row r="194" customFormat="false" ht="14.25" hidden="false" customHeight="false" outlineLevel="0" collapsed="false">
      <c r="A194" s="264" t="s">
        <v>377</v>
      </c>
      <c r="B194" s="264"/>
      <c r="C194" s="265" t="n">
        <v>2040</v>
      </c>
      <c r="D194" s="265" t="n">
        <v>2040</v>
      </c>
      <c r="E194" s="265" t="n">
        <v>2040</v>
      </c>
      <c r="F194" s="265" t="n">
        <v>2040</v>
      </c>
      <c r="G194" s="265" t="n">
        <v>2040</v>
      </c>
      <c r="H194" s="265" t="n">
        <v>2040</v>
      </c>
      <c r="I194" s="265" t="n">
        <v>2040</v>
      </c>
      <c r="J194" s="265" t="n">
        <v>2040</v>
      </c>
      <c r="K194" s="265" t="n">
        <v>2040</v>
      </c>
      <c r="L194" s="265" t="n">
        <v>2040</v>
      </c>
      <c r="M194" s="265" t="n">
        <v>2040</v>
      </c>
      <c r="N194" s="265" t="n">
        <v>2040</v>
      </c>
      <c r="O194" s="265" t="n">
        <v>2040</v>
      </c>
      <c r="P194" s="265" t="n">
        <v>2040</v>
      </c>
      <c r="Q194" s="265" t="n">
        <v>2040</v>
      </c>
      <c r="R194" s="265" t="n">
        <v>2040</v>
      </c>
      <c r="S194" s="265" t="n">
        <v>2040</v>
      </c>
      <c r="T194" s="265" t="n">
        <v>2040</v>
      </c>
      <c r="U194" s="265" t="n">
        <v>2040</v>
      </c>
      <c r="V194" s="265" t="n">
        <v>2040</v>
      </c>
      <c r="W194" s="265" t="n">
        <v>2040</v>
      </c>
      <c r="X194" s="265" t="n">
        <v>2040</v>
      </c>
      <c r="Y194" s="265" t="n">
        <v>2040</v>
      </c>
      <c r="Z194" s="265" t="n">
        <v>2040</v>
      </c>
      <c r="AA194" s="265" t="n">
        <v>2040</v>
      </c>
      <c r="AB194" s="265" t="n">
        <v>2040</v>
      </c>
      <c r="AC194" s="265" t="n">
        <v>2040</v>
      </c>
      <c r="AD194" s="265" t="n">
        <v>2040</v>
      </c>
    </row>
    <row r="195" customFormat="false" ht="14.25" hidden="false" customHeight="false" outlineLevel="0" collapsed="false">
      <c r="A195" s="264" t="s">
        <v>378</v>
      </c>
      <c r="B195" s="264"/>
      <c r="C195" s="265" t="n">
        <v>2040</v>
      </c>
      <c r="D195" s="265" t="n">
        <v>2040</v>
      </c>
      <c r="E195" s="265" t="n">
        <v>2040</v>
      </c>
      <c r="F195" s="265" t="n">
        <v>2040</v>
      </c>
      <c r="G195" s="265" t="n">
        <v>2040</v>
      </c>
      <c r="H195" s="265" t="n">
        <v>2040</v>
      </c>
      <c r="I195" s="265" t="n">
        <v>2040</v>
      </c>
      <c r="J195" s="265" t="n">
        <v>2040</v>
      </c>
      <c r="K195" s="265" t="n">
        <v>2040</v>
      </c>
      <c r="L195" s="265" t="n">
        <v>2040</v>
      </c>
      <c r="M195" s="265" t="n">
        <v>2040</v>
      </c>
      <c r="N195" s="265" t="n">
        <v>2040</v>
      </c>
      <c r="O195" s="265" t="n">
        <v>2040</v>
      </c>
      <c r="P195" s="265" t="n">
        <v>2040</v>
      </c>
      <c r="Q195" s="265" t="n">
        <v>2040</v>
      </c>
      <c r="R195" s="265" t="n">
        <v>2040</v>
      </c>
      <c r="S195" s="265" t="n">
        <v>2040</v>
      </c>
      <c r="T195" s="265" t="n">
        <v>2040</v>
      </c>
      <c r="U195" s="265" t="n">
        <v>2040</v>
      </c>
      <c r="V195" s="265" t="n">
        <v>2040</v>
      </c>
      <c r="W195" s="265" t="n">
        <v>2040</v>
      </c>
      <c r="X195" s="265" t="n">
        <v>2040</v>
      </c>
      <c r="Y195" s="265" t="n">
        <v>2040</v>
      </c>
      <c r="Z195" s="265" t="n">
        <v>2040</v>
      </c>
      <c r="AA195" s="265" t="n">
        <v>2040</v>
      </c>
      <c r="AB195" s="265" t="n">
        <v>2040</v>
      </c>
      <c r="AC195" s="265" t="n">
        <v>2040</v>
      </c>
      <c r="AD195" s="265" t="n">
        <v>2040</v>
      </c>
    </row>
    <row r="196" customFormat="false" ht="15.75" hidden="false" customHeight="true" outlineLevel="0" collapsed="false">
      <c r="A196" s="200" t="s">
        <v>603</v>
      </c>
      <c r="B196" s="200"/>
      <c r="C196" s="200"/>
      <c r="D196" s="200"/>
      <c r="E196" s="200"/>
      <c r="F196" s="200"/>
      <c r="G196" s="200"/>
      <c r="H196" s="200"/>
      <c r="I196" s="200"/>
      <c r="J196" s="200"/>
      <c r="K196" s="200"/>
      <c r="L196" s="200"/>
      <c r="M196" s="200"/>
      <c r="N196" s="200"/>
      <c r="O196" s="200"/>
      <c r="P196" s="200"/>
      <c r="Q196" s="200"/>
    </row>
    <row r="197" customFormat="false" ht="14.25" hidden="false" customHeight="false" outlineLevel="0" collapsed="false">
      <c r="A197" s="264" t="s">
        <v>374</v>
      </c>
      <c r="B197" s="264"/>
      <c r="C197" s="265" t="n">
        <v>1</v>
      </c>
      <c r="D197" s="265" t="n">
        <v>1</v>
      </c>
      <c r="E197" s="265" t="n">
        <v>1</v>
      </c>
      <c r="F197" s="265" t="n">
        <v>1</v>
      </c>
      <c r="G197" s="265" t="n">
        <v>1</v>
      </c>
      <c r="H197" s="265" t="n">
        <v>1</v>
      </c>
      <c r="I197" s="265" t="n">
        <v>1</v>
      </c>
      <c r="J197" s="265" t="n">
        <v>1</v>
      </c>
      <c r="K197" s="265" t="n">
        <v>1</v>
      </c>
      <c r="L197" s="265" t="n">
        <v>1</v>
      </c>
      <c r="M197" s="265" t="n">
        <v>1</v>
      </c>
      <c r="N197" s="265" t="n">
        <v>1</v>
      </c>
      <c r="O197" s="265" t="n">
        <v>1</v>
      </c>
      <c r="P197" s="265" t="n">
        <v>1</v>
      </c>
      <c r="Q197" s="266" t="n">
        <v>1</v>
      </c>
      <c r="R197" s="266" t="n">
        <v>1</v>
      </c>
      <c r="S197" s="266" t="n">
        <v>1</v>
      </c>
      <c r="T197" s="266" t="n">
        <v>1</v>
      </c>
      <c r="U197" s="266" t="n">
        <v>1</v>
      </c>
      <c r="V197" s="266" t="n">
        <v>1</v>
      </c>
      <c r="W197" s="266" t="n">
        <v>1</v>
      </c>
      <c r="X197" s="266" t="n">
        <v>1</v>
      </c>
      <c r="Y197" s="266" t="n">
        <v>1</v>
      </c>
      <c r="Z197" s="266" t="n">
        <v>1</v>
      </c>
      <c r="AA197" s="266" t="n">
        <v>1</v>
      </c>
      <c r="AB197" s="266" t="n">
        <v>1</v>
      </c>
      <c r="AC197" s="266" t="n">
        <v>1</v>
      </c>
      <c r="AD197" s="266" t="n">
        <v>1</v>
      </c>
    </row>
    <row r="198" customFormat="false" ht="14.25" hidden="false" customHeight="false" outlineLevel="0" collapsed="false">
      <c r="A198" s="264" t="s">
        <v>375</v>
      </c>
      <c r="B198" s="264"/>
      <c r="C198" s="265" t="n">
        <v>1</v>
      </c>
      <c r="D198" s="265" t="n">
        <v>1</v>
      </c>
      <c r="E198" s="265" t="n">
        <v>1</v>
      </c>
      <c r="F198" s="265" t="n">
        <v>1</v>
      </c>
      <c r="G198" s="265" t="n">
        <v>1</v>
      </c>
      <c r="H198" s="265" t="n">
        <v>1</v>
      </c>
      <c r="I198" s="265" t="n">
        <v>1</v>
      </c>
      <c r="J198" s="265" t="n">
        <v>1</v>
      </c>
      <c r="K198" s="265" t="n">
        <v>1</v>
      </c>
      <c r="L198" s="265" t="n">
        <v>1</v>
      </c>
      <c r="M198" s="265" t="n">
        <v>1</v>
      </c>
      <c r="N198" s="265" t="n">
        <v>1</v>
      </c>
      <c r="O198" s="265" t="n">
        <v>1</v>
      </c>
      <c r="P198" s="265" t="n">
        <v>1</v>
      </c>
      <c r="Q198" s="266" t="n">
        <v>1</v>
      </c>
      <c r="R198" s="266" t="n">
        <v>1</v>
      </c>
      <c r="S198" s="266" t="n">
        <v>1</v>
      </c>
      <c r="T198" s="266" t="n">
        <v>1</v>
      </c>
      <c r="U198" s="266" t="n">
        <v>1</v>
      </c>
      <c r="V198" s="266" t="n">
        <v>1</v>
      </c>
      <c r="W198" s="266" t="n">
        <v>1</v>
      </c>
      <c r="X198" s="266" t="n">
        <v>1</v>
      </c>
      <c r="Y198" s="266" t="n">
        <v>1</v>
      </c>
      <c r="Z198" s="266" t="n">
        <v>1</v>
      </c>
      <c r="AA198" s="266" t="n">
        <v>1</v>
      </c>
      <c r="AB198" s="266" t="n">
        <v>1</v>
      </c>
      <c r="AC198" s="266" t="n">
        <v>1</v>
      </c>
      <c r="AD198" s="266" t="n">
        <v>1</v>
      </c>
    </row>
    <row r="199" customFormat="false" ht="14.25" hidden="false" customHeight="false" outlineLevel="0" collapsed="false">
      <c r="A199" s="264" t="s">
        <v>376</v>
      </c>
      <c r="B199" s="264"/>
      <c r="C199" s="265" t="n">
        <v>1</v>
      </c>
      <c r="D199" s="265" t="n">
        <v>1</v>
      </c>
      <c r="E199" s="265" t="n">
        <v>1</v>
      </c>
      <c r="F199" s="265" t="n">
        <v>1</v>
      </c>
      <c r="G199" s="265" t="n">
        <v>1</v>
      </c>
      <c r="H199" s="265" t="n">
        <v>1</v>
      </c>
      <c r="I199" s="265" t="n">
        <v>1</v>
      </c>
      <c r="J199" s="265" t="n">
        <v>1</v>
      </c>
      <c r="K199" s="265" t="n">
        <v>1</v>
      </c>
      <c r="L199" s="265" t="n">
        <v>1</v>
      </c>
      <c r="M199" s="265" t="n">
        <v>1</v>
      </c>
      <c r="N199" s="265" t="n">
        <v>1</v>
      </c>
      <c r="O199" s="265" t="n">
        <v>1</v>
      </c>
      <c r="P199" s="265" t="n">
        <v>1</v>
      </c>
      <c r="Q199" s="266" t="n">
        <v>1</v>
      </c>
      <c r="R199" s="266" t="n">
        <v>1</v>
      </c>
      <c r="S199" s="266" t="n">
        <v>1</v>
      </c>
      <c r="T199" s="266" t="n">
        <v>1</v>
      </c>
      <c r="U199" s="266" t="n">
        <v>1</v>
      </c>
      <c r="V199" s="266" t="n">
        <v>1</v>
      </c>
      <c r="W199" s="266" t="n">
        <v>1</v>
      </c>
      <c r="X199" s="266" t="n">
        <v>1</v>
      </c>
      <c r="Y199" s="266" t="n">
        <v>1</v>
      </c>
      <c r="Z199" s="266" t="n">
        <v>1</v>
      </c>
      <c r="AA199" s="266" t="n">
        <v>1</v>
      </c>
      <c r="AB199" s="266" t="n">
        <v>1</v>
      </c>
      <c r="AC199" s="266" t="n">
        <v>1</v>
      </c>
      <c r="AD199" s="266" t="n">
        <v>1</v>
      </c>
    </row>
    <row r="200" customFormat="false" ht="14.25" hidden="false" customHeight="false" outlineLevel="0" collapsed="false">
      <c r="A200" s="264" t="s">
        <v>377</v>
      </c>
      <c r="B200" s="264"/>
      <c r="C200" s="265" t="n">
        <v>1</v>
      </c>
      <c r="D200" s="265" t="n">
        <v>1</v>
      </c>
      <c r="E200" s="265" t="n">
        <v>1</v>
      </c>
      <c r="F200" s="265" t="n">
        <v>1</v>
      </c>
      <c r="G200" s="265" t="n">
        <v>1</v>
      </c>
      <c r="H200" s="265" t="n">
        <v>1</v>
      </c>
      <c r="I200" s="265" t="n">
        <v>1</v>
      </c>
      <c r="J200" s="265" t="n">
        <v>1</v>
      </c>
      <c r="K200" s="265" t="n">
        <v>1</v>
      </c>
      <c r="L200" s="265" t="n">
        <v>1</v>
      </c>
      <c r="M200" s="265" t="n">
        <v>1</v>
      </c>
      <c r="N200" s="265" t="n">
        <v>1</v>
      </c>
      <c r="O200" s="265" t="n">
        <v>1</v>
      </c>
      <c r="P200" s="265" t="n">
        <v>1</v>
      </c>
      <c r="Q200" s="266" t="n">
        <v>1</v>
      </c>
      <c r="R200" s="266" t="n">
        <v>1</v>
      </c>
      <c r="S200" s="266" t="n">
        <v>1</v>
      </c>
      <c r="T200" s="266" t="n">
        <v>1</v>
      </c>
      <c r="U200" s="266" t="n">
        <v>1</v>
      </c>
      <c r="V200" s="266" t="n">
        <v>1</v>
      </c>
      <c r="W200" s="266" t="n">
        <v>1</v>
      </c>
      <c r="X200" s="266" t="n">
        <v>1</v>
      </c>
      <c r="Y200" s="266" t="n">
        <v>1</v>
      </c>
      <c r="Z200" s="266" t="n">
        <v>1</v>
      </c>
      <c r="AA200" s="266" t="n">
        <v>1</v>
      </c>
      <c r="AB200" s="266" t="n">
        <v>1</v>
      </c>
      <c r="AC200" s="266" t="n">
        <v>1</v>
      </c>
      <c r="AD200" s="266" t="n">
        <v>1</v>
      </c>
    </row>
    <row r="201" customFormat="false" ht="14.25" hidden="false" customHeight="false" outlineLevel="0" collapsed="false">
      <c r="A201" s="264" t="s">
        <v>378</v>
      </c>
      <c r="B201" s="264"/>
      <c r="C201" s="265" t="n">
        <v>1</v>
      </c>
      <c r="D201" s="265" t="n">
        <v>1</v>
      </c>
      <c r="E201" s="265" t="n">
        <v>1</v>
      </c>
      <c r="F201" s="265" t="n">
        <v>1</v>
      </c>
      <c r="G201" s="265" t="n">
        <v>1</v>
      </c>
      <c r="H201" s="265" t="n">
        <v>1</v>
      </c>
      <c r="I201" s="265" t="n">
        <v>1</v>
      </c>
      <c r="J201" s="265" t="n">
        <v>1</v>
      </c>
      <c r="K201" s="265" t="n">
        <v>1</v>
      </c>
      <c r="L201" s="265" t="n">
        <v>1</v>
      </c>
      <c r="M201" s="265" t="n">
        <v>1</v>
      </c>
      <c r="N201" s="265" t="n">
        <v>1</v>
      </c>
      <c r="O201" s="265" t="n">
        <v>1</v>
      </c>
      <c r="P201" s="265" t="n">
        <v>1</v>
      </c>
      <c r="Q201" s="266" t="n">
        <v>1</v>
      </c>
      <c r="R201" s="266" t="n">
        <v>1</v>
      </c>
      <c r="S201" s="266" t="n">
        <v>1</v>
      </c>
      <c r="T201" s="266" t="n">
        <v>1</v>
      </c>
      <c r="U201" s="266" t="n">
        <v>1</v>
      </c>
      <c r="V201" s="266" t="n">
        <v>1</v>
      </c>
      <c r="W201" s="266" t="n">
        <v>1</v>
      </c>
      <c r="X201" s="266" t="n">
        <v>1</v>
      </c>
      <c r="Y201" s="266" t="n">
        <v>1</v>
      </c>
      <c r="Z201" s="266" t="n">
        <v>1</v>
      </c>
      <c r="AA201" s="266" t="n">
        <v>1</v>
      </c>
      <c r="AB201" s="266" t="n">
        <v>1</v>
      </c>
      <c r="AC201" s="266" t="n">
        <v>1</v>
      </c>
      <c r="AD201" s="266" t="n">
        <v>1</v>
      </c>
    </row>
    <row r="202" customFormat="false" ht="15.75" hidden="false" customHeight="true" outlineLevel="0" collapsed="false">
      <c r="A202" s="200" t="s">
        <v>604</v>
      </c>
      <c r="B202" s="200"/>
      <c r="C202" s="200"/>
      <c r="D202" s="200"/>
      <c r="E202" s="200"/>
      <c r="F202" s="200"/>
      <c r="G202" s="200"/>
      <c r="H202" s="200"/>
      <c r="I202" s="200"/>
      <c r="J202" s="200"/>
      <c r="K202" s="200"/>
      <c r="L202" s="200"/>
      <c r="M202" s="200"/>
      <c r="N202" s="200"/>
      <c r="O202" s="200"/>
      <c r="P202" s="200"/>
      <c r="Q202" s="200"/>
    </row>
    <row r="203" customFormat="false" ht="14.25" hidden="false" customHeight="false" outlineLevel="0" collapsed="false">
      <c r="A203" s="264" t="s">
        <v>374</v>
      </c>
      <c r="B203" s="264"/>
      <c r="C203" s="265" t="n">
        <v>2050</v>
      </c>
      <c r="D203" s="265" t="n">
        <v>2050</v>
      </c>
      <c r="E203" s="265" t="n">
        <v>2050</v>
      </c>
      <c r="F203" s="265" t="n">
        <v>2050</v>
      </c>
      <c r="G203" s="265" t="n">
        <v>2050</v>
      </c>
      <c r="H203" s="265" t="n">
        <v>2050</v>
      </c>
      <c r="I203" s="265" t="n">
        <v>2050</v>
      </c>
      <c r="J203" s="265" t="n">
        <v>2050</v>
      </c>
      <c r="K203" s="265" t="n">
        <v>2050</v>
      </c>
      <c r="L203" s="265" t="n">
        <v>2050</v>
      </c>
      <c r="M203" s="265" t="n">
        <v>2050</v>
      </c>
      <c r="N203" s="265" t="n">
        <v>2050</v>
      </c>
      <c r="O203" s="265" t="n">
        <v>2050</v>
      </c>
      <c r="P203" s="265" t="n">
        <v>2050</v>
      </c>
      <c r="Q203" s="266" t="n">
        <v>2050</v>
      </c>
      <c r="R203" s="266" t="n">
        <v>2050</v>
      </c>
      <c r="S203" s="266" t="n">
        <v>2050</v>
      </c>
      <c r="T203" s="266" t="n">
        <v>2050</v>
      </c>
      <c r="U203" s="266" t="n">
        <v>2050</v>
      </c>
      <c r="V203" s="266" t="n">
        <v>2050</v>
      </c>
      <c r="W203" s="266" t="n">
        <v>2050</v>
      </c>
      <c r="X203" s="266" t="n">
        <v>2050</v>
      </c>
      <c r="Y203" s="266" t="n">
        <v>2050</v>
      </c>
      <c r="Z203" s="266" t="n">
        <v>2050</v>
      </c>
      <c r="AA203" s="266" t="n">
        <v>2050</v>
      </c>
      <c r="AB203" s="266" t="n">
        <v>2050</v>
      </c>
      <c r="AC203" s="266" t="n">
        <v>2050</v>
      </c>
      <c r="AD203" s="266" t="n">
        <v>2050</v>
      </c>
    </row>
    <row r="204" customFormat="false" ht="14.25" hidden="false" customHeight="false" outlineLevel="0" collapsed="false">
      <c r="A204" s="264" t="s">
        <v>375</v>
      </c>
      <c r="B204" s="264"/>
      <c r="C204" s="265" t="n">
        <v>2050</v>
      </c>
      <c r="D204" s="265" t="n">
        <v>2050</v>
      </c>
      <c r="E204" s="265" t="n">
        <v>2050</v>
      </c>
      <c r="F204" s="265" t="n">
        <v>2050</v>
      </c>
      <c r="G204" s="265" t="n">
        <v>2050</v>
      </c>
      <c r="H204" s="265" t="n">
        <v>2050</v>
      </c>
      <c r="I204" s="265" t="n">
        <v>2050</v>
      </c>
      <c r="J204" s="265" t="n">
        <v>2050</v>
      </c>
      <c r="K204" s="265" t="n">
        <v>2050</v>
      </c>
      <c r="L204" s="265" t="n">
        <v>2050</v>
      </c>
      <c r="M204" s="265" t="n">
        <v>2050</v>
      </c>
      <c r="N204" s="265" t="n">
        <v>2050</v>
      </c>
      <c r="O204" s="265" t="n">
        <v>2050</v>
      </c>
      <c r="P204" s="265" t="n">
        <v>2050</v>
      </c>
      <c r="Q204" s="266" t="n">
        <v>2050</v>
      </c>
      <c r="R204" s="266" t="n">
        <v>2050</v>
      </c>
      <c r="S204" s="266" t="n">
        <v>2050</v>
      </c>
      <c r="T204" s="266" t="n">
        <v>2050</v>
      </c>
      <c r="U204" s="266" t="n">
        <v>2050</v>
      </c>
      <c r="V204" s="266" t="n">
        <v>2050</v>
      </c>
      <c r="W204" s="266" t="n">
        <v>2050</v>
      </c>
      <c r="X204" s="266" t="n">
        <v>2050</v>
      </c>
      <c r="Y204" s="266" t="n">
        <v>2050</v>
      </c>
      <c r="Z204" s="266" t="n">
        <v>2050</v>
      </c>
      <c r="AA204" s="266" t="n">
        <v>2050</v>
      </c>
      <c r="AB204" s="266" t="n">
        <v>2050</v>
      </c>
      <c r="AC204" s="266" t="n">
        <v>2050</v>
      </c>
      <c r="AD204" s="266" t="n">
        <v>2050</v>
      </c>
    </row>
    <row r="205" customFormat="false" ht="14.25" hidden="false" customHeight="false" outlineLevel="0" collapsed="false">
      <c r="A205" s="264" t="s">
        <v>376</v>
      </c>
      <c r="B205" s="264"/>
      <c r="C205" s="265" t="n">
        <v>2050</v>
      </c>
      <c r="D205" s="265" t="n">
        <v>2050</v>
      </c>
      <c r="E205" s="265" t="n">
        <v>2050</v>
      </c>
      <c r="F205" s="265" t="n">
        <v>2050</v>
      </c>
      <c r="G205" s="265" t="n">
        <v>2050</v>
      </c>
      <c r="H205" s="265" t="n">
        <v>2050</v>
      </c>
      <c r="I205" s="265" t="n">
        <v>2050</v>
      </c>
      <c r="J205" s="265" t="n">
        <v>2050</v>
      </c>
      <c r="K205" s="265" t="n">
        <v>2050</v>
      </c>
      <c r="L205" s="265" t="n">
        <v>2050</v>
      </c>
      <c r="M205" s="265" t="n">
        <v>2050</v>
      </c>
      <c r="N205" s="265" t="n">
        <v>2050</v>
      </c>
      <c r="O205" s="265" t="n">
        <v>2050</v>
      </c>
      <c r="P205" s="265" t="n">
        <v>2050</v>
      </c>
      <c r="Q205" s="266" t="n">
        <v>2050</v>
      </c>
      <c r="R205" s="266" t="n">
        <v>2050</v>
      </c>
      <c r="S205" s="266" t="n">
        <v>2050</v>
      </c>
      <c r="T205" s="266" t="n">
        <v>2050</v>
      </c>
      <c r="U205" s="266" t="n">
        <v>2050</v>
      </c>
      <c r="V205" s="266" t="n">
        <v>2050</v>
      </c>
      <c r="W205" s="266" t="n">
        <v>2050</v>
      </c>
      <c r="X205" s="266" t="n">
        <v>2050</v>
      </c>
      <c r="Y205" s="266" t="n">
        <v>2050</v>
      </c>
      <c r="Z205" s="266" t="n">
        <v>2050</v>
      </c>
      <c r="AA205" s="266" t="n">
        <v>2050</v>
      </c>
      <c r="AB205" s="266" t="n">
        <v>2050</v>
      </c>
      <c r="AC205" s="266" t="n">
        <v>2050</v>
      </c>
      <c r="AD205" s="266" t="n">
        <v>2050</v>
      </c>
    </row>
    <row r="206" customFormat="false" ht="14.25" hidden="false" customHeight="false" outlineLevel="0" collapsed="false">
      <c r="A206" s="264" t="s">
        <v>377</v>
      </c>
      <c r="B206" s="264"/>
      <c r="C206" s="265" t="n">
        <v>2050</v>
      </c>
      <c r="D206" s="265" t="n">
        <v>2050</v>
      </c>
      <c r="E206" s="265" t="n">
        <v>2050</v>
      </c>
      <c r="F206" s="265" t="n">
        <v>2050</v>
      </c>
      <c r="G206" s="265" t="n">
        <v>2050</v>
      </c>
      <c r="H206" s="265" t="n">
        <v>2050</v>
      </c>
      <c r="I206" s="265" t="n">
        <v>2050</v>
      </c>
      <c r="J206" s="265" t="n">
        <v>2050</v>
      </c>
      <c r="K206" s="265" t="n">
        <v>2050</v>
      </c>
      <c r="L206" s="265" t="n">
        <v>2050</v>
      </c>
      <c r="M206" s="265" t="n">
        <v>2050</v>
      </c>
      <c r="N206" s="265" t="n">
        <v>2050</v>
      </c>
      <c r="O206" s="265" t="n">
        <v>2050</v>
      </c>
      <c r="P206" s="265" t="n">
        <v>2050</v>
      </c>
      <c r="Q206" s="266" t="n">
        <v>2050</v>
      </c>
      <c r="R206" s="266" t="n">
        <v>2050</v>
      </c>
      <c r="S206" s="266" t="n">
        <v>2050</v>
      </c>
      <c r="T206" s="266" t="n">
        <v>2050</v>
      </c>
      <c r="U206" s="266" t="n">
        <v>2050</v>
      </c>
      <c r="V206" s="266" t="n">
        <v>2050</v>
      </c>
      <c r="W206" s="266" t="n">
        <v>2050</v>
      </c>
      <c r="X206" s="266" t="n">
        <v>2050</v>
      </c>
      <c r="Y206" s="266" t="n">
        <v>2050</v>
      </c>
      <c r="Z206" s="266" t="n">
        <v>2050</v>
      </c>
      <c r="AA206" s="266" t="n">
        <v>2050</v>
      </c>
      <c r="AB206" s="266" t="n">
        <v>2050</v>
      </c>
      <c r="AC206" s="266" t="n">
        <v>2050</v>
      </c>
      <c r="AD206" s="266" t="n">
        <v>2050</v>
      </c>
    </row>
    <row r="207" customFormat="false" ht="14.25" hidden="false" customHeight="false" outlineLevel="0" collapsed="false">
      <c r="A207" s="264" t="s">
        <v>378</v>
      </c>
      <c r="B207" s="264"/>
      <c r="C207" s="267" t="n">
        <v>2050</v>
      </c>
      <c r="D207" s="267" t="n">
        <v>2050</v>
      </c>
      <c r="E207" s="267" t="n">
        <v>2050</v>
      </c>
      <c r="F207" s="267" t="n">
        <v>2050</v>
      </c>
      <c r="G207" s="267" t="n">
        <v>2050</v>
      </c>
      <c r="H207" s="267" t="n">
        <v>2050</v>
      </c>
      <c r="I207" s="267" t="n">
        <v>2050</v>
      </c>
      <c r="J207" s="267" t="n">
        <v>2050</v>
      </c>
      <c r="K207" s="267" t="n">
        <v>2050</v>
      </c>
      <c r="L207" s="267" t="n">
        <v>2050</v>
      </c>
      <c r="M207" s="267" t="n">
        <v>2050</v>
      </c>
      <c r="N207" s="267" t="n">
        <v>2050</v>
      </c>
      <c r="O207" s="267" t="n">
        <v>2050</v>
      </c>
      <c r="P207" s="267" t="n">
        <v>2050</v>
      </c>
      <c r="Q207" s="268" t="n">
        <v>2050</v>
      </c>
      <c r="R207" s="268" t="n">
        <v>2050</v>
      </c>
      <c r="S207" s="268" t="n">
        <v>2050</v>
      </c>
      <c r="T207" s="268" t="n">
        <v>2050</v>
      </c>
      <c r="U207" s="268" t="n">
        <v>2050</v>
      </c>
      <c r="V207" s="268" t="n">
        <v>2050</v>
      </c>
      <c r="W207" s="268" t="n">
        <v>2050</v>
      </c>
      <c r="X207" s="268" t="n">
        <v>2050</v>
      </c>
      <c r="Y207" s="268" t="n">
        <v>2050</v>
      </c>
      <c r="Z207" s="268" t="n">
        <v>2050</v>
      </c>
      <c r="AA207" s="268" t="n">
        <v>2050</v>
      </c>
      <c r="AB207" s="268" t="n">
        <v>2050</v>
      </c>
      <c r="AC207" s="268" t="n">
        <v>2050</v>
      </c>
      <c r="AD207" s="268" t="n">
        <v>2050</v>
      </c>
    </row>
    <row r="209" customFormat="false" ht="23.25" hidden="false" customHeight="true" outlineLevel="0" collapsed="false">
      <c r="A209" s="200" t="s">
        <v>386</v>
      </c>
      <c r="B209" s="200"/>
      <c r="C209" s="200"/>
    </row>
    <row r="210" customFormat="false" ht="15.75" hidden="false" customHeight="true" outlineLevel="0" collapsed="false">
      <c r="A210" s="243" t="s">
        <v>387</v>
      </c>
      <c r="B210" s="269" t="s">
        <v>388</v>
      </c>
      <c r="C210" s="270" t="n">
        <v>1</v>
      </c>
    </row>
    <row r="211" customFormat="false" ht="14.25" hidden="false" customHeight="true" outlineLevel="0" collapsed="false">
      <c r="A211" s="243"/>
      <c r="B211" s="269" t="s">
        <v>389</v>
      </c>
      <c r="C211" s="270"/>
    </row>
    <row r="212" customFormat="false" ht="14.25" hidden="false" customHeight="false" outlineLevel="0" collapsed="false">
      <c r="A212" s="208" t="s">
        <v>605</v>
      </c>
      <c r="B212" s="269" t="s">
        <v>36</v>
      </c>
      <c r="C212" s="204" t="n">
        <v>2025</v>
      </c>
    </row>
    <row r="213" customFormat="false" ht="14.25" hidden="false" customHeight="false" outlineLevel="0" collapsed="false">
      <c r="A213" s="271" t="s">
        <v>390</v>
      </c>
      <c r="B213" s="272" t="s">
        <v>36</v>
      </c>
      <c r="C213" s="273" t="n">
        <v>2050</v>
      </c>
    </row>
    <row r="214" customFormat="false" ht="14.25" hidden="false" customHeight="true" outlineLevel="0" collapsed="false">
      <c r="A214" s="200" t="s">
        <v>394</v>
      </c>
      <c r="B214" s="200"/>
      <c r="C214" s="200"/>
      <c r="D214" s="200"/>
      <c r="E214" s="200"/>
      <c r="F214" s="200"/>
      <c r="G214" s="200"/>
      <c r="H214" s="200"/>
      <c r="I214" s="200"/>
      <c r="J214" s="200"/>
      <c r="K214" s="200"/>
      <c r="L214" s="200"/>
      <c r="M214" s="200"/>
      <c r="N214" s="200"/>
      <c r="O214" s="200"/>
      <c r="P214" s="200"/>
      <c r="Q214" s="200"/>
    </row>
    <row r="215" customFormat="false" ht="14.25" hidden="false" customHeight="false" outlineLevel="0" collapsed="false">
      <c r="A215" s="274" t="s">
        <v>606</v>
      </c>
      <c r="B215" s="274"/>
      <c r="C215" s="262" t="s">
        <v>576</v>
      </c>
      <c r="D215" s="262" t="s">
        <v>579</v>
      </c>
      <c r="E215" s="262" t="s">
        <v>362</v>
      </c>
      <c r="F215" s="262" t="s">
        <v>580</v>
      </c>
      <c r="G215" s="262" t="s">
        <v>581</v>
      </c>
      <c r="H215" s="262" t="s">
        <v>582</v>
      </c>
      <c r="I215" s="262" t="s">
        <v>583</v>
      </c>
      <c r="J215" s="262" t="s">
        <v>354</v>
      </c>
      <c r="K215" s="262" t="s">
        <v>584</v>
      </c>
      <c r="L215" s="262" t="s">
        <v>585</v>
      </c>
      <c r="M215" s="262" t="s">
        <v>586</v>
      </c>
      <c r="N215" s="262" t="s">
        <v>587</v>
      </c>
      <c r="O215" s="262" t="s">
        <v>588</v>
      </c>
      <c r="P215" s="262" t="s">
        <v>589</v>
      </c>
      <c r="Q215" s="263" t="s">
        <v>590</v>
      </c>
      <c r="R215" s="263" t="s">
        <v>338</v>
      </c>
      <c r="S215" s="263" t="s">
        <v>591</v>
      </c>
      <c r="T215" s="263" t="s">
        <v>592</v>
      </c>
      <c r="U215" s="263" t="s">
        <v>593</v>
      </c>
      <c r="V215" s="263" t="s">
        <v>594</v>
      </c>
      <c r="W215" s="263" t="s">
        <v>595</v>
      </c>
      <c r="X215" s="263" t="s">
        <v>596</v>
      </c>
      <c r="Y215" s="263" t="s">
        <v>597</v>
      </c>
      <c r="Z215" s="263" t="s">
        <v>598</v>
      </c>
      <c r="AA215" s="263" t="s">
        <v>599</v>
      </c>
      <c r="AB215" s="263" t="s">
        <v>351</v>
      </c>
      <c r="AC215" s="263" t="s">
        <v>361</v>
      </c>
      <c r="AD215" s="263" t="s">
        <v>600</v>
      </c>
    </row>
    <row r="216" customFormat="false" ht="16.4" hidden="false" customHeight="false" outlineLevel="0" collapsed="false">
      <c r="A216" s="275" t="s">
        <v>374</v>
      </c>
      <c r="B216" s="275"/>
      <c r="C216" s="276" t="n">
        <v>4.91439259825986E-007</v>
      </c>
      <c r="D216" s="276" t="n">
        <v>3.5721808570239E-007</v>
      </c>
      <c r="E216" s="276" t="n">
        <v>0</v>
      </c>
      <c r="F216" s="276" t="n">
        <v>1.33580538164496E-006</v>
      </c>
      <c r="G216" s="276" t="n">
        <v>1.22341908960222E-006</v>
      </c>
      <c r="H216" s="276" t="n">
        <v>4.12033274627188E-007</v>
      </c>
      <c r="I216" s="276" t="n">
        <v>1.83490380176835E-007</v>
      </c>
      <c r="J216" s="276" t="n">
        <v>3.51072910355092E-008</v>
      </c>
      <c r="K216" s="276" t="n">
        <v>1.40517866161901E-006</v>
      </c>
      <c r="L216" s="276" t="n">
        <v>1.66962597983647E-007</v>
      </c>
      <c r="M216" s="276" t="n">
        <v>3.65540334299614E-007</v>
      </c>
      <c r="N216" s="276" t="n">
        <v>7.70921065248543E-007</v>
      </c>
      <c r="O216" s="276" t="n">
        <v>2.02518317476721E-007</v>
      </c>
      <c r="P216" s="276" t="n">
        <v>5.59542505208503E-007</v>
      </c>
      <c r="Q216" s="277" t="n">
        <v>9.73962267366326E-008</v>
      </c>
      <c r="R216" s="277" t="n">
        <v>5.37054258225633E-007</v>
      </c>
      <c r="S216" s="277" t="n">
        <v>3.64568503475434E-007</v>
      </c>
      <c r="T216" s="277" t="n">
        <v>5.05139197122688E-007</v>
      </c>
      <c r="U216" s="277" t="n">
        <v>4.43213583132507E-007</v>
      </c>
      <c r="V216" s="277" t="n">
        <v>2.36045780097966E-007</v>
      </c>
      <c r="W216" s="277" t="n">
        <v>8.21087808284778E-008</v>
      </c>
      <c r="X216" s="277" t="n">
        <v>1.79901548666926E-007</v>
      </c>
      <c r="Y216" s="277" t="n">
        <v>6.23240405683315E-007</v>
      </c>
      <c r="Z216" s="277" t="n">
        <v>1.31168125984731E-007</v>
      </c>
      <c r="AA216" s="277" t="n">
        <v>1.64652951941808E-007</v>
      </c>
      <c r="AB216" s="277" t="n">
        <v>8.93692743290543E-008</v>
      </c>
      <c r="AC216" s="277" t="n">
        <v>0</v>
      </c>
      <c r="AD216" s="277" t="n">
        <v>2.68608327323E-007</v>
      </c>
    </row>
    <row r="217" customFormat="false" ht="16.4" hidden="false" customHeight="false" outlineLevel="0" collapsed="false">
      <c r="A217" s="275" t="s">
        <v>375</v>
      </c>
      <c r="B217" s="275"/>
      <c r="C217" s="276" t="n">
        <v>2.22622378824385E-007</v>
      </c>
      <c r="D217" s="276" t="n">
        <v>2.65109839166996E-008</v>
      </c>
      <c r="E217" s="276" t="n">
        <v>0</v>
      </c>
      <c r="F217" s="276" t="n">
        <v>9.69014368382836E-007</v>
      </c>
      <c r="G217" s="276" t="n">
        <v>6.13799274597379E-007</v>
      </c>
      <c r="H217" s="276" t="n">
        <v>5.49867131596347E-007</v>
      </c>
      <c r="I217" s="276" t="n">
        <v>3.54387378163174E-008</v>
      </c>
      <c r="J217" s="276" t="n">
        <v>7.50269525657188E-010</v>
      </c>
      <c r="K217" s="276" t="n">
        <v>1.56609380270801E-007</v>
      </c>
      <c r="L217" s="276" t="n">
        <v>2.36960970006208E-012</v>
      </c>
      <c r="M217" s="276" t="n">
        <v>7.13887522936256E-008</v>
      </c>
      <c r="N217" s="276" t="n">
        <v>5.39736389872573E-008</v>
      </c>
      <c r="O217" s="276" t="n">
        <v>0</v>
      </c>
      <c r="P217" s="276" t="n">
        <v>2.76702410896041E-007</v>
      </c>
      <c r="Q217" s="277" t="n">
        <v>8.23816316569662E-009</v>
      </c>
      <c r="R217" s="277" t="n">
        <v>6.36735331902732E-008</v>
      </c>
      <c r="S217" s="277" t="n">
        <v>1.3172626613462E-008</v>
      </c>
      <c r="T217" s="277" t="n">
        <v>3.38816410979464E-008</v>
      </c>
      <c r="U217" s="277" t="n">
        <v>0</v>
      </c>
      <c r="V217" s="277" t="n">
        <v>1.73853833216028E-007</v>
      </c>
      <c r="W217" s="277" t="n">
        <v>3.70271275272898E-010</v>
      </c>
      <c r="X217" s="277" t="n">
        <v>6.44004406467672E-008</v>
      </c>
      <c r="Y217" s="277" t="n">
        <v>2.03105589569859E-007</v>
      </c>
      <c r="Z217" s="277" t="n">
        <v>0</v>
      </c>
      <c r="AA217" s="277" t="n">
        <v>2.11269055303602E-008</v>
      </c>
      <c r="AB217" s="277" t="n">
        <v>1.61632191813348E-008</v>
      </c>
      <c r="AC217" s="277" t="n">
        <v>0</v>
      </c>
      <c r="AD217" s="277" t="n">
        <v>9.58151766262172E-008</v>
      </c>
    </row>
    <row r="218" customFormat="false" ht="16.4" hidden="false" customHeight="false" outlineLevel="0" collapsed="false">
      <c r="A218" s="275" t="s">
        <v>376</v>
      </c>
      <c r="B218" s="275"/>
      <c r="C218" s="276" t="n">
        <v>3.0119512839776E-007</v>
      </c>
      <c r="D218" s="276" t="n">
        <v>2.19312289390501E-007</v>
      </c>
      <c r="E218" s="276" t="n">
        <v>1.72746672310205E-007</v>
      </c>
      <c r="F218" s="276" t="n">
        <v>5.23957875618843E-008</v>
      </c>
      <c r="G218" s="276" t="n">
        <v>1.56753159385315E-008</v>
      </c>
      <c r="H218" s="276" t="n">
        <v>0</v>
      </c>
      <c r="I218" s="276" t="n">
        <v>0</v>
      </c>
      <c r="J218" s="276" t="n">
        <v>0</v>
      </c>
      <c r="K218" s="276" t="n">
        <v>1.241724530167E-009</v>
      </c>
      <c r="L218" s="276" t="n">
        <v>0</v>
      </c>
      <c r="M218" s="276" t="n">
        <v>1.01779679917288E-008</v>
      </c>
      <c r="N218" s="276" t="n">
        <v>6.36432014536712E-009</v>
      </c>
      <c r="O218" s="276" t="n">
        <v>6.97034403933276E-007</v>
      </c>
      <c r="P218" s="276" t="n">
        <v>0</v>
      </c>
      <c r="Q218" s="277" t="n">
        <v>1.617506349308E-009</v>
      </c>
      <c r="R218" s="277" t="n">
        <v>5.05429807119243E-008</v>
      </c>
      <c r="S218" s="277" t="n">
        <v>3.73934570094193E-009</v>
      </c>
      <c r="T218" s="277" t="n">
        <v>2.02426879467313E-008</v>
      </c>
      <c r="U218" s="277" t="n">
        <v>0</v>
      </c>
      <c r="V218" s="277" t="n">
        <v>4.18626826148413E-008</v>
      </c>
      <c r="W218" s="277" t="n">
        <v>0</v>
      </c>
      <c r="X218" s="277" t="n">
        <v>3.21856520921028E-009</v>
      </c>
      <c r="Y218" s="277" t="n">
        <v>0</v>
      </c>
      <c r="Z218" s="277" t="n">
        <v>0</v>
      </c>
      <c r="AA218" s="277" t="n">
        <v>0</v>
      </c>
      <c r="AB218" s="277" t="n">
        <v>0</v>
      </c>
      <c r="AC218" s="277" t="n">
        <v>0</v>
      </c>
      <c r="AD218" s="277" t="n">
        <v>0</v>
      </c>
    </row>
    <row r="219" customFormat="false" ht="16.4" hidden="false" customHeight="false" outlineLevel="0" collapsed="false">
      <c r="A219" s="275" t="s">
        <v>377</v>
      </c>
      <c r="B219" s="275"/>
      <c r="C219" s="276" t="n">
        <v>1.7843708992308E-007</v>
      </c>
      <c r="D219" s="276" t="n">
        <v>9.80233180769964E-008</v>
      </c>
      <c r="E219" s="276" t="n">
        <v>0</v>
      </c>
      <c r="F219" s="276" t="n">
        <v>5.81535604614238E-007</v>
      </c>
      <c r="G219" s="276" t="n">
        <v>1.43642819631374E-008</v>
      </c>
      <c r="H219" s="276" t="n">
        <v>0</v>
      </c>
      <c r="I219" s="276" t="n">
        <v>0</v>
      </c>
      <c r="J219" s="276" t="n">
        <v>0</v>
      </c>
      <c r="K219" s="276" t="n">
        <v>2.82005466549391E-009</v>
      </c>
      <c r="L219" s="276" t="n">
        <v>0</v>
      </c>
      <c r="M219" s="276" t="n">
        <v>1.35602108518813E-007</v>
      </c>
      <c r="N219" s="276" t="n">
        <v>3.12693981307369E-007</v>
      </c>
      <c r="O219" s="276" t="n">
        <v>1.79260974535792E-008</v>
      </c>
      <c r="P219" s="276" t="n">
        <v>1.60164134468073E-006</v>
      </c>
      <c r="Q219" s="277" t="n">
        <v>1.60811169510761E-008</v>
      </c>
      <c r="R219" s="277" t="n">
        <v>6.90288364250751E-008</v>
      </c>
      <c r="S219" s="277" t="n">
        <v>6.78957232883377E-008</v>
      </c>
      <c r="T219" s="277" t="n">
        <v>3.25178562493753E-007</v>
      </c>
      <c r="U219" s="277" t="n">
        <v>0</v>
      </c>
      <c r="V219" s="277" t="n">
        <v>6.47814377055759E-007</v>
      </c>
      <c r="W219" s="277" t="n">
        <v>0</v>
      </c>
      <c r="X219" s="277" t="n">
        <v>1.8513722680003E-008</v>
      </c>
      <c r="Y219" s="277" t="n">
        <v>0</v>
      </c>
      <c r="Z219" s="277" t="n">
        <v>0</v>
      </c>
      <c r="AA219" s="277" t="n">
        <v>0</v>
      </c>
      <c r="AB219" s="277" t="n">
        <v>0</v>
      </c>
      <c r="AC219" s="277" t="n">
        <v>0</v>
      </c>
      <c r="AD219" s="277" t="n">
        <v>0</v>
      </c>
    </row>
    <row r="220" customFormat="false" ht="16.4" hidden="false" customHeight="false" outlineLevel="0" collapsed="false">
      <c r="A220" s="278" t="s">
        <v>378</v>
      </c>
      <c r="B220" s="278"/>
      <c r="C220" s="279" t="n">
        <v>2.82226311056575E-007</v>
      </c>
      <c r="D220" s="280" t="n">
        <v>1.36027626479745E-007</v>
      </c>
      <c r="E220" s="280" t="n">
        <v>0</v>
      </c>
      <c r="F220" s="280" t="n">
        <v>2.30269903439123E-007</v>
      </c>
      <c r="G220" s="280" t="n">
        <v>3.72766800333114E-007</v>
      </c>
      <c r="H220" s="280" t="n">
        <v>0</v>
      </c>
      <c r="I220" s="280" t="n">
        <v>0</v>
      </c>
      <c r="J220" s="280" t="n">
        <v>0</v>
      </c>
      <c r="K220" s="280" t="n">
        <v>2.29449184640331E-009</v>
      </c>
      <c r="L220" s="280" t="n">
        <v>0</v>
      </c>
      <c r="M220" s="280" t="n">
        <v>5.6037026771344E-008</v>
      </c>
      <c r="N220" s="280" t="n">
        <v>2.13294699935347E-007</v>
      </c>
      <c r="O220" s="280" t="n">
        <v>2.68591773911319E-011</v>
      </c>
      <c r="P220" s="280" t="n">
        <v>0</v>
      </c>
      <c r="Q220" s="281" t="n">
        <v>1.28070161907843E-009</v>
      </c>
      <c r="R220" s="281" t="n">
        <v>5.12847520151702E-008</v>
      </c>
      <c r="S220" s="281" t="n">
        <v>2.0896750956327E-008</v>
      </c>
      <c r="T220" s="281" t="n">
        <v>8.80033530487951E-007</v>
      </c>
      <c r="U220" s="281" t="n">
        <v>0</v>
      </c>
      <c r="V220" s="281" t="n">
        <v>1.66374682264879E-007</v>
      </c>
      <c r="W220" s="281" t="n">
        <v>0</v>
      </c>
      <c r="X220" s="281" t="n">
        <v>1.15240108939526E-008</v>
      </c>
      <c r="Y220" s="281" t="n">
        <v>0</v>
      </c>
      <c r="Z220" s="281" t="n">
        <v>0</v>
      </c>
      <c r="AA220" s="281" t="n">
        <v>0</v>
      </c>
      <c r="AB220" s="281" t="n">
        <v>0</v>
      </c>
      <c r="AC220" s="281" t="n">
        <v>0</v>
      </c>
      <c r="AD220" s="281" t="n">
        <v>0</v>
      </c>
    </row>
    <row r="221" customFormat="false" ht="17.35" hidden="false" customHeight="false" outlineLevel="0" collapsed="false">
      <c r="A221" s="200" t="s">
        <v>397</v>
      </c>
      <c r="B221" s="200"/>
      <c r="C221" s="200"/>
    </row>
    <row r="222" customFormat="false" ht="31.3" hidden="false" customHeight="false" outlineLevel="0" collapsed="false">
      <c r="A222" s="282" t="s">
        <v>398</v>
      </c>
      <c r="B222" s="269" t="s">
        <v>36</v>
      </c>
      <c r="C222" s="204" t="n">
        <v>2020</v>
      </c>
    </row>
    <row r="223" customFormat="false" ht="31.3" hidden="false" customHeight="false" outlineLevel="0" collapsed="false">
      <c r="A223" s="261" t="s">
        <v>399</v>
      </c>
      <c r="B223" s="283" t="s">
        <v>327</v>
      </c>
      <c r="C223" s="242" t="n">
        <v>-0.3</v>
      </c>
    </row>
    <row r="225" customFormat="false" ht="14.25" hidden="false" customHeight="true" outlineLevel="0" collapsed="false">
      <c r="A225" s="200" t="s">
        <v>400</v>
      </c>
      <c r="B225" s="200"/>
      <c r="C225" s="200"/>
    </row>
    <row r="226" customFormat="false" ht="28.5" hidden="false" customHeight="true" outlineLevel="0" collapsed="false">
      <c r="A226" s="284" t="s">
        <v>401</v>
      </c>
      <c r="B226" s="269" t="s">
        <v>28</v>
      </c>
      <c r="C226" s="270" t="n">
        <v>1</v>
      </c>
    </row>
    <row r="227" customFormat="false" ht="14.25" hidden="false" customHeight="true" outlineLevel="0" collapsed="false">
      <c r="A227" s="285" t="s">
        <v>403</v>
      </c>
      <c r="B227" s="269" t="s">
        <v>404</v>
      </c>
      <c r="C227" s="286" t="n">
        <v>1</v>
      </c>
    </row>
    <row r="228" customFormat="false" ht="14.25" hidden="false" customHeight="false" outlineLevel="0" collapsed="false">
      <c r="A228" s="285"/>
      <c r="B228" s="269" t="s">
        <v>408</v>
      </c>
      <c r="C228" s="286"/>
    </row>
    <row r="229" customFormat="false" ht="14.25" hidden="false" customHeight="false" outlineLevel="0" collapsed="false">
      <c r="A229" s="285"/>
      <c r="B229" s="269" t="s">
        <v>409</v>
      </c>
      <c r="C229" s="286"/>
    </row>
    <row r="230" customFormat="false" ht="16.4" hidden="false" customHeight="false" outlineLevel="0" collapsed="false">
      <c r="A230" s="284" t="s">
        <v>607</v>
      </c>
      <c r="B230" s="269" t="s">
        <v>608</v>
      </c>
      <c r="C230" s="204" t="n">
        <v>0.1</v>
      </c>
    </row>
    <row r="231" customFormat="false" ht="15" hidden="false" customHeight="true" outlineLevel="0" collapsed="false">
      <c r="A231" s="285" t="s">
        <v>406</v>
      </c>
      <c r="B231" s="269" t="s">
        <v>404</v>
      </c>
      <c r="C231" s="286" t="n">
        <v>1</v>
      </c>
    </row>
    <row r="232" customFormat="false" ht="14.25" hidden="false" customHeight="false" outlineLevel="0" collapsed="false">
      <c r="A232" s="285"/>
      <c r="B232" s="269" t="s">
        <v>408</v>
      </c>
      <c r="C232" s="286"/>
    </row>
    <row r="233" customFormat="false" ht="14.25" hidden="false" customHeight="false" outlineLevel="0" collapsed="false">
      <c r="A233" s="285"/>
      <c r="B233" s="269" t="s">
        <v>409</v>
      </c>
      <c r="C233" s="286"/>
    </row>
    <row r="234" customFormat="false" ht="16.4" hidden="false" customHeight="false" outlineLevel="0" collapsed="false">
      <c r="A234" s="287" t="s">
        <v>413</v>
      </c>
      <c r="B234" s="283" t="s">
        <v>608</v>
      </c>
      <c r="C234" s="242" t="n">
        <v>0.1</v>
      </c>
    </row>
    <row r="237" customFormat="false" ht="24.45" hidden="false" customHeight="false" outlineLevel="0" collapsed="false">
      <c r="A237" s="199" t="s">
        <v>609</v>
      </c>
    </row>
    <row r="238" customFormat="false" ht="15.75" hidden="false" customHeight="true" outlineLevel="0" collapsed="false">
      <c r="A238" s="200" t="s">
        <v>429</v>
      </c>
      <c r="B238" s="200"/>
      <c r="C238" s="200"/>
      <c r="D238" s="200"/>
    </row>
    <row r="239" customFormat="false" ht="15.75" hidden="false" customHeight="true" outlineLevel="0" collapsed="false">
      <c r="A239" s="288" t="s">
        <v>430</v>
      </c>
      <c r="B239" s="288"/>
      <c r="C239" s="288"/>
      <c r="D239" s="288"/>
    </row>
    <row r="240" customFormat="false" ht="15" hidden="false" customHeight="true" outlineLevel="0" collapsed="false">
      <c r="A240" s="284" t="s">
        <v>431</v>
      </c>
      <c r="B240" s="284"/>
      <c r="C240" s="284"/>
      <c r="D240" s="289" t="n">
        <v>2</v>
      </c>
    </row>
    <row r="241" customFormat="false" ht="16.4" hidden="false" customHeight="false" outlineLevel="0" collapsed="false">
      <c r="A241" s="290" t="s">
        <v>432</v>
      </c>
      <c r="B241" s="291"/>
      <c r="C241" s="291"/>
      <c r="D241" s="292"/>
    </row>
    <row r="242" customFormat="false" ht="14.25" hidden="false" customHeight="false" outlineLevel="0" collapsed="false">
      <c r="A242" s="293" t="s">
        <v>433</v>
      </c>
      <c r="B242" s="294" t="n">
        <v>2050</v>
      </c>
      <c r="C242" s="295"/>
      <c r="D242" s="295"/>
      <c r="E242" s="295"/>
    </row>
    <row r="243" customFormat="false" ht="16.4" hidden="false" customHeight="false" outlineLevel="0" collapsed="false">
      <c r="A243" s="296" t="s">
        <v>435</v>
      </c>
      <c r="B243" s="297" t="n">
        <v>2020</v>
      </c>
      <c r="C243" s="203"/>
      <c r="D243" s="298" t="s">
        <v>437</v>
      </c>
      <c r="E243" s="299" t="s">
        <v>438</v>
      </c>
    </row>
    <row r="244" customFormat="false" ht="13.5" hidden="false" customHeight="true" outlineLevel="0" collapsed="false">
      <c r="A244" s="300" t="s">
        <v>439</v>
      </c>
      <c r="B244" s="301" t="s">
        <v>440</v>
      </c>
      <c r="C244" s="269" t="s">
        <v>610</v>
      </c>
      <c r="D244" s="251" t="n">
        <v>0.201666666666667</v>
      </c>
      <c r="E244" s="223" t="n">
        <v>0.605</v>
      </c>
    </row>
    <row r="245" customFormat="false" ht="14.25" hidden="false" customHeight="false" outlineLevel="0" collapsed="false">
      <c r="A245" s="300"/>
      <c r="B245" s="301" t="s">
        <v>443</v>
      </c>
      <c r="C245" s="269" t="s">
        <v>610</v>
      </c>
      <c r="D245" s="251" t="n">
        <v>0.05</v>
      </c>
      <c r="E245" s="223" t="n">
        <v>0.15</v>
      </c>
    </row>
    <row r="246" customFormat="false" ht="14.25" hidden="false" customHeight="false" outlineLevel="0" collapsed="false">
      <c r="A246" s="300"/>
      <c r="B246" s="301" t="s">
        <v>444</v>
      </c>
      <c r="C246" s="269" t="s">
        <v>610</v>
      </c>
      <c r="D246" s="251" t="n">
        <v>0.196666666666667</v>
      </c>
      <c r="E246" s="223" t="n">
        <v>0.59</v>
      </c>
    </row>
    <row r="247" customFormat="false" ht="14.25" hidden="false" customHeight="false" outlineLevel="0" collapsed="false">
      <c r="A247" s="300"/>
      <c r="B247" s="301" t="s">
        <v>445</v>
      </c>
      <c r="C247" s="269" t="s">
        <v>610</v>
      </c>
      <c r="D247" s="251" t="n">
        <v>0.163333333333333</v>
      </c>
      <c r="E247" s="223" t="n">
        <v>0.49</v>
      </c>
    </row>
    <row r="248" customFormat="false" ht="14.25" hidden="false" customHeight="false" outlineLevel="0" collapsed="false">
      <c r="A248" s="300"/>
      <c r="B248" s="301" t="s">
        <v>446</v>
      </c>
      <c r="C248" s="269" t="s">
        <v>610</v>
      </c>
      <c r="D248" s="251" t="n">
        <v>0.00166666666666667</v>
      </c>
      <c r="E248" s="223" t="n">
        <v>0.005</v>
      </c>
    </row>
    <row r="249" customFormat="false" ht="14.25" hidden="false" customHeight="false" outlineLevel="0" collapsed="false">
      <c r="A249" s="300"/>
      <c r="B249" s="301" t="s">
        <v>447</v>
      </c>
      <c r="C249" s="269" t="s">
        <v>610</v>
      </c>
      <c r="D249" s="251" t="n">
        <v>0.0633333333333333</v>
      </c>
      <c r="E249" s="223" t="n">
        <v>0.19</v>
      </c>
    </row>
    <row r="250" customFormat="false" ht="14.25" hidden="false" customHeight="false" outlineLevel="0" collapsed="false">
      <c r="A250" s="300"/>
      <c r="B250" s="301" t="s">
        <v>448</v>
      </c>
      <c r="C250" s="269" t="s">
        <v>610</v>
      </c>
      <c r="D250" s="251" t="n">
        <v>0.253333333333333</v>
      </c>
      <c r="E250" s="223" t="n">
        <v>0.76</v>
      </c>
    </row>
    <row r="251" customFormat="false" ht="14.25" hidden="false" customHeight="false" outlineLevel="0" collapsed="false">
      <c r="A251" s="300"/>
      <c r="B251" s="301" t="s">
        <v>449</v>
      </c>
      <c r="C251" s="269" t="s">
        <v>610</v>
      </c>
      <c r="D251" s="251" t="n">
        <v>0.00166666666666667</v>
      </c>
      <c r="E251" s="223" t="n">
        <v>0.005</v>
      </c>
    </row>
    <row r="252" customFormat="false" ht="14.25" hidden="false" customHeight="false" outlineLevel="0" collapsed="false">
      <c r="A252" s="300"/>
      <c r="B252" s="301" t="s">
        <v>450</v>
      </c>
      <c r="C252" s="269" t="s">
        <v>610</v>
      </c>
      <c r="D252" s="251" t="n">
        <v>0.13</v>
      </c>
      <c r="E252" s="223" t="n">
        <v>0.39</v>
      </c>
    </row>
    <row r="253" customFormat="false" ht="14.25" hidden="false" customHeight="false" outlineLevel="0" collapsed="false">
      <c r="A253" s="300"/>
      <c r="B253" s="301" t="s">
        <v>451</v>
      </c>
      <c r="C253" s="269" t="s">
        <v>610</v>
      </c>
      <c r="D253" s="251" t="n">
        <v>0.176666666666667</v>
      </c>
      <c r="E253" s="223" t="n">
        <v>0.53</v>
      </c>
    </row>
    <row r="254" customFormat="false" ht="14.25" hidden="false" customHeight="false" outlineLevel="0" collapsed="false">
      <c r="A254" s="300"/>
      <c r="B254" s="301" t="s">
        <v>452</v>
      </c>
      <c r="C254" s="269" t="s">
        <v>610</v>
      </c>
      <c r="D254" s="251" t="n">
        <v>0.116666666666667</v>
      </c>
      <c r="E254" s="223" t="n">
        <v>0.35</v>
      </c>
    </row>
    <row r="255" customFormat="false" ht="14.25" hidden="false" customHeight="false" outlineLevel="0" collapsed="false">
      <c r="A255" s="300"/>
      <c r="B255" s="301" t="s">
        <v>453</v>
      </c>
      <c r="C255" s="269" t="s">
        <v>610</v>
      </c>
      <c r="D255" s="251" t="n">
        <v>0.188333333333333</v>
      </c>
      <c r="E255" s="223" t="n">
        <v>0.565</v>
      </c>
    </row>
    <row r="256" customFormat="false" ht="14.25" hidden="false" customHeight="false" outlineLevel="0" collapsed="false">
      <c r="A256" s="300"/>
      <c r="B256" s="301" t="s">
        <v>454</v>
      </c>
      <c r="C256" s="269" t="s">
        <v>610</v>
      </c>
      <c r="D256" s="251" t="n">
        <v>0.245</v>
      </c>
      <c r="E256" s="223" t="n">
        <v>0.735</v>
      </c>
    </row>
    <row r="257" customFormat="false" ht="14.25" hidden="false" customHeight="false" outlineLevel="0" collapsed="false">
      <c r="A257" s="300"/>
      <c r="B257" s="301" t="s">
        <v>455</v>
      </c>
      <c r="C257" s="269" t="s">
        <v>610</v>
      </c>
      <c r="D257" s="251" t="n">
        <v>0.191666666666667</v>
      </c>
      <c r="E257" s="223" t="n">
        <v>0.575</v>
      </c>
    </row>
    <row r="258" customFormat="false" ht="14.25" hidden="false" customHeight="false" outlineLevel="0" collapsed="false">
      <c r="A258" s="300"/>
      <c r="B258" s="301" t="s">
        <v>456</v>
      </c>
      <c r="C258" s="269" t="s">
        <v>610</v>
      </c>
      <c r="D258" s="251" t="n">
        <v>0.101666666666667</v>
      </c>
      <c r="E258" s="223" t="n">
        <v>0.305</v>
      </c>
    </row>
    <row r="259" customFormat="false" ht="14.25" hidden="false" customHeight="false" outlineLevel="0" collapsed="false">
      <c r="A259" s="300"/>
      <c r="B259" s="301" t="s">
        <v>457</v>
      </c>
      <c r="C259" s="269" t="s">
        <v>610</v>
      </c>
      <c r="D259" s="251" t="n">
        <v>0.00166666666666667</v>
      </c>
      <c r="E259" s="223" t="n">
        <v>0.005</v>
      </c>
    </row>
    <row r="260" customFormat="false" ht="14.25" hidden="false" customHeight="false" outlineLevel="0" collapsed="false">
      <c r="A260" s="300"/>
      <c r="B260" s="301" t="s">
        <v>458</v>
      </c>
      <c r="C260" s="269" t="s">
        <v>610</v>
      </c>
      <c r="D260" s="251" t="n">
        <v>0.303333333333333</v>
      </c>
      <c r="E260" s="223" t="n">
        <v>0.91</v>
      </c>
    </row>
    <row r="261" customFormat="false" ht="14.25" hidden="false" customHeight="false" outlineLevel="0" collapsed="false">
      <c r="A261" s="300"/>
      <c r="B261" s="301" t="s">
        <v>459</v>
      </c>
      <c r="C261" s="269" t="s">
        <v>610</v>
      </c>
      <c r="D261" s="251" t="n">
        <v>0.00166666666666667</v>
      </c>
      <c r="E261" s="223" t="n">
        <v>0.005</v>
      </c>
    </row>
    <row r="262" customFormat="false" ht="14.25" hidden="false" customHeight="false" outlineLevel="0" collapsed="false">
      <c r="A262" s="300"/>
      <c r="B262" s="302" t="s">
        <v>460</v>
      </c>
      <c r="C262" s="283" t="s">
        <v>610</v>
      </c>
      <c r="D262" s="206" t="n">
        <v>0.183333333333333</v>
      </c>
      <c r="E262" s="207" t="n">
        <v>0.55</v>
      </c>
    </row>
    <row r="263" customFormat="false" ht="15" hidden="false" customHeight="true" outlineLevel="0" collapsed="false">
      <c r="A263" s="303" t="s">
        <v>461</v>
      </c>
      <c r="B263" s="303"/>
      <c r="C263" s="303"/>
    </row>
    <row r="264" customFormat="false" ht="31.3" hidden="false" customHeight="false" outlineLevel="0" collapsed="false">
      <c r="A264" s="284" t="s">
        <v>611</v>
      </c>
      <c r="B264" s="269" t="s">
        <v>612</v>
      </c>
      <c r="C264" s="304" t="n">
        <v>0.014</v>
      </c>
    </row>
    <row r="265" customFormat="false" ht="16.4" hidden="false" customHeight="false" outlineLevel="0" collapsed="false">
      <c r="A265" s="284" t="s">
        <v>613</v>
      </c>
      <c r="B265" s="269" t="s">
        <v>423</v>
      </c>
      <c r="C265" s="204" t="n">
        <v>2020</v>
      </c>
    </row>
    <row r="266" customFormat="false" ht="16.4" hidden="false" customHeight="false" outlineLevel="0" collapsed="false">
      <c r="A266" s="284" t="s">
        <v>614</v>
      </c>
      <c r="B266" s="269" t="s">
        <v>612</v>
      </c>
      <c r="C266" s="304" t="n">
        <v>0.014</v>
      </c>
    </row>
    <row r="267" customFormat="false" ht="16.4" hidden="false" customHeight="false" outlineLevel="0" collapsed="false">
      <c r="A267" s="287" t="s">
        <v>615</v>
      </c>
      <c r="B267" s="283" t="s">
        <v>423</v>
      </c>
      <c r="C267" s="242" t="n">
        <v>2020</v>
      </c>
    </row>
    <row r="269" customFormat="false" ht="17.35" hidden="false" customHeight="false" outlineLevel="0" collapsed="false">
      <c r="A269" s="200" t="s">
        <v>232</v>
      </c>
      <c r="B269" s="200"/>
      <c r="C269" s="200"/>
    </row>
    <row r="270" customFormat="false" ht="14.25" hidden="false" customHeight="false" outlineLevel="0" collapsed="false">
      <c r="A270" s="305" t="s">
        <v>233</v>
      </c>
      <c r="B270" s="305"/>
      <c r="C270" s="305"/>
      <c r="H270" s="54"/>
      <c r="J270" s="57"/>
    </row>
    <row r="271" customFormat="false" ht="16.4" hidden="false" customHeight="false" outlineLevel="0" collapsed="false">
      <c r="A271" s="284" t="s">
        <v>234</v>
      </c>
      <c r="B271" s="203" t="s">
        <v>28</v>
      </c>
      <c r="C271" s="306" t="n">
        <v>1</v>
      </c>
      <c r="H271" s="54"/>
      <c r="J271" s="57"/>
    </row>
    <row r="272" customFormat="false" ht="14.25" hidden="false" customHeight="false" outlineLevel="0" collapsed="false">
      <c r="A272" s="305" t="s">
        <v>616</v>
      </c>
      <c r="B272" s="305"/>
      <c r="C272" s="305"/>
      <c r="H272" s="54"/>
      <c r="J272" s="57"/>
    </row>
    <row r="273" customFormat="false" ht="15" hidden="false" customHeight="true" outlineLevel="0" collapsed="false">
      <c r="A273" s="300" t="s">
        <v>617</v>
      </c>
      <c r="B273" s="269" t="s">
        <v>618</v>
      </c>
      <c r="C273" s="307" t="n">
        <v>4</v>
      </c>
      <c r="H273" s="54"/>
      <c r="J273" s="57"/>
    </row>
    <row r="274" customFormat="false" ht="14.25" hidden="false" customHeight="false" outlineLevel="0" collapsed="false">
      <c r="A274" s="300"/>
      <c r="B274" s="269" t="s">
        <v>619</v>
      </c>
      <c r="C274" s="307"/>
      <c r="H274" s="54"/>
      <c r="J274" s="57"/>
    </row>
    <row r="275" customFormat="false" ht="14.25" hidden="false" customHeight="false" outlineLevel="0" collapsed="false">
      <c r="A275" s="300"/>
      <c r="B275" s="269" t="s">
        <v>620</v>
      </c>
      <c r="C275" s="307"/>
      <c r="H275" s="54"/>
      <c r="J275" s="57"/>
    </row>
    <row r="276" customFormat="false" ht="14.25" hidden="false" customHeight="false" outlineLevel="0" collapsed="false">
      <c r="A276" s="300"/>
      <c r="B276" s="283" t="s">
        <v>621</v>
      </c>
      <c r="C276" s="307"/>
      <c r="H276" s="54"/>
      <c r="J276" s="57"/>
    </row>
    <row r="277" customFormat="false" ht="14.25" hidden="false" customHeight="false" outlineLevel="0" collapsed="false">
      <c r="H277" s="54"/>
      <c r="J277" s="57"/>
    </row>
    <row r="278" customFormat="false" ht="14.25" hidden="false" customHeight="false" outlineLevel="0" collapsed="false">
      <c r="A278" s="308" t="s">
        <v>164</v>
      </c>
      <c r="B278" s="309"/>
      <c r="H278" s="54"/>
      <c r="J278" s="57"/>
    </row>
    <row r="279" customFormat="false" ht="14.25" hidden="false" customHeight="false" outlineLevel="0" collapsed="false">
      <c r="A279" s="310" t="s">
        <v>165</v>
      </c>
      <c r="B279" s="311" t="n">
        <v>1</v>
      </c>
      <c r="J279" s="57"/>
    </row>
    <row r="280" customFormat="false" ht="14.25" hidden="false" customHeight="false" outlineLevel="0" collapsed="false">
      <c r="J280" s="57"/>
    </row>
    <row r="281" customFormat="false" ht="17.35" hidden="false" customHeight="false" outlineLevel="0" collapsed="false">
      <c r="A281" s="200" t="s">
        <v>622</v>
      </c>
      <c r="B281" s="200"/>
      <c r="C281" s="200"/>
      <c r="D281" s="200"/>
      <c r="E281" s="200"/>
      <c r="F281" s="200"/>
      <c r="G281" s="200"/>
      <c r="H281" s="200"/>
      <c r="I281" s="200"/>
      <c r="J281" s="57"/>
    </row>
    <row r="282" customFormat="false" ht="14.25" hidden="false" customHeight="false" outlineLevel="0" collapsed="false">
      <c r="A282" s="312" t="s">
        <v>623</v>
      </c>
      <c r="B282" s="202" t="s">
        <v>36</v>
      </c>
      <c r="C282" s="203" t="n">
        <v>2020</v>
      </c>
      <c r="D282" s="203" t="n">
        <v>2025</v>
      </c>
      <c r="E282" s="203" t="n">
        <v>2030</v>
      </c>
      <c r="F282" s="203" t="n">
        <v>2035</v>
      </c>
      <c r="G282" s="203" t="n">
        <v>2040</v>
      </c>
      <c r="H282" s="203" t="n">
        <v>2045</v>
      </c>
      <c r="I282" s="204" t="n">
        <v>2050</v>
      </c>
      <c r="J282" s="57"/>
    </row>
    <row r="283" customFormat="false" ht="14.25" hidden="false" customHeight="false" outlineLevel="0" collapsed="false">
      <c r="A283" s="312" t="s">
        <v>576</v>
      </c>
      <c r="B283" s="202" t="s">
        <v>499</v>
      </c>
      <c r="C283" s="203" t="n">
        <v>0</v>
      </c>
      <c r="D283" s="203" t="n">
        <v>0</v>
      </c>
      <c r="E283" s="203" t="n">
        <v>0</v>
      </c>
      <c r="F283" s="203" t="n">
        <v>0</v>
      </c>
      <c r="G283" s="203" t="n">
        <v>0</v>
      </c>
      <c r="H283" s="203" t="n">
        <v>0</v>
      </c>
      <c r="I283" s="204" t="n">
        <v>0</v>
      </c>
      <c r="J283" s="57"/>
    </row>
    <row r="284" customFormat="false" ht="14.25" hidden="false" customHeight="false" outlineLevel="0" collapsed="false">
      <c r="A284" s="312" t="s">
        <v>579</v>
      </c>
      <c r="B284" s="202" t="s">
        <v>499</v>
      </c>
      <c r="C284" s="203" t="n">
        <v>0</v>
      </c>
      <c r="D284" s="203" t="n">
        <v>0</v>
      </c>
      <c r="E284" s="203" t="n">
        <v>0</v>
      </c>
      <c r="F284" s="203" t="n">
        <v>0</v>
      </c>
      <c r="G284" s="203" t="n">
        <v>0</v>
      </c>
      <c r="H284" s="203" t="n">
        <v>0</v>
      </c>
      <c r="I284" s="204" t="n">
        <v>0</v>
      </c>
      <c r="J284" s="57"/>
    </row>
    <row r="285" customFormat="false" ht="14.25" hidden="false" customHeight="false" outlineLevel="0" collapsed="false">
      <c r="A285" s="312" t="s">
        <v>362</v>
      </c>
      <c r="B285" s="202" t="s">
        <v>499</v>
      </c>
      <c r="C285" s="203" t="n">
        <v>0</v>
      </c>
      <c r="D285" s="203" t="n">
        <v>0</v>
      </c>
      <c r="E285" s="203" t="n">
        <v>0</v>
      </c>
      <c r="F285" s="203" t="n">
        <v>0</v>
      </c>
      <c r="G285" s="203" t="n">
        <v>0</v>
      </c>
      <c r="H285" s="203" t="n">
        <v>0</v>
      </c>
      <c r="I285" s="204" t="n">
        <v>0</v>
      </c>
      <c r="J285" s="57"/>
    </row>
    <row r="286" customFormat="false" ht="14.25" hidden="false" customHeight="false" outlineLevel="0" collapsed="false">
      <c r="A286" s="312" t="s">
        <v>580</v>
      </c>
      <c r="B286" s="202" t="s">
        <v>499</v>
      </c>
      <c r="C286" s="203" t="n">
        <v>0</v>
      </c>
      <c r="D286" s="203" t="n">
        <v>0</v>
      </c>
      <c r="E286" s="203" t="n">
        <v>0</v>
      </c>
      <c r="F286" s="203" t="n">
        <v>0</v>
      </c>
      <c r="G286" s="203" t="n">
        <v>0</v>
      </c>
      <c r="H286" s="203" t="n">
        <v>0</v>
      </c>
      <c r="I286" s="204" t="n">
        <v>0</v>
      </c>
      <c r="J286" s="57"/>
    </row>
    <row r="287" customFormat="false" ht="14.25" hidden="false" customHeight="false" outlineLevel="0" collapsed="false">
      <c r="A287" s="312" t="s">
        <v>581</v>
      </c>
      <c r="B287" s="202" t="s">
        <v>499</v>
      </c>
      <c r="C287" s="203" t="n">
        <v>0</v>
      </c>
      <c r="D287" s="203" t="n">
        <v>0</v>
      </c>
      <c r="E287" s="203" t="n">
        <v>0</v>
      </c>
      <c r="F287" s="203" t="n">
        <v>0</v>
      </c>
      <c r="G287" s="203" t="n">
        <v>0</v>
      </c>
      <c r="H287" s="203" t="n">
        <v>0</v>
      </c>
      <c r="I287" s="204" t="n">
        <v>0</v>
      </c>
      <c r="J287" s="57"/>
    </row>
    <row r="288" customFormat="false" ht="14.25" hidden="false" customHeight="false" outlineLevel="0" collapsed="false">
      <c r="A288" s="312" t="s">
        <v>582</v>
      </c>
      <c r="B288" s="202" t="s">
        <v>499</v>
      </c>
      <c r="C288" s="203" t="n">
        <v>0</v>
      </c>
      <c r="D288" s="203" t="n">
        <v>0</v>
      </c>
      <c r="E288" s="203" t="n">
        <v>0</v>
      </c>
      <c r="F288" s="203" t="n">
        <v>0</v>
      </c>
      <c r="G288" s="203" t="n">
        <v>0</v>
      </c>
      <c r="H288" s="203" t="n">
        <v>0</v>
      </c>
      <c r="I288" s="204" t="n">
        <v>0</v>
      </c>
      <c r="J288" s="57"/>
    </row>
    <row r="289" customFormat="false" ht="14.25" hidden="false" customHeight="false" outlineLevel="0" collapsed="false">
      <c r="A289" s="312" t="s">
        <v>583</v>
      </c>
      <c r="B289" s="202" t="s">
        <v>499</v>
      </c>
      <c r="C289" s="203" t="n">
        <v>0</v>
      </c>
      <c r="D289" s="203" t="n">
        <v>0</v>
      </c>
      <c r="E289" s="203" t="n">
        <v>0</v>
      </c>
      <c r="F289" s="203" t="n">
        <v>0</v>
      </c>
      <c r="G289" s="203" t="n">
        <v>0</v>
      </c>
      <c r="H289" s="203" t="n">
        <v>0</v>
      </c>
      <c r="I289" s="204" t="n">
        <v>0</v>
      </c>
      <c r="J289" s="57"/>
    </row>
    <row r="290" customFormat="false" ht="14.25" hidden="false" customHeight="false" outlineLevel="0" collapsed="false">
      <c r="A290" s="312" t="s">
        <v>354</v>
      </c>
      <c r="B290" s="202" t="s">
        <v>499</v>
      </c>
      <c r="C290" s="203" t="n">
        <v>0</v>
      </c>
      <c r="D290" s="203" t="n">
        <v>0</v>
      </c>
      <c r="E290" s="203" t="n">
        <v>0</v>
      </c>
      <c r="F290" s="203" t="n">
        <v>0</v>
      </c>
      <c r="G290" s="203" t="n">
        <v>0</v>
      </c>
      <c r="H290" s="203" t="n">
        <v>0</v>
      </c>
      <c r="I290" s="204" t="n">
        <v>0</v>
      </c>
      <c r="J290" s="57"/>
    </row>
    <row r="291" customFormat="false" ht="14.25" hidden="false" customHeight="false" outlineLevel="0" collapsed="false">
      <c r="A291" s="312" t="s">
        <v>584</v>
      </c>
      <c r="B291" s="202" t="s">
        <v>499</v>
      </c>
      <c r="C291" s="203" t="n">
        <v>0</v>
      </c>
      <c r="D291" s="203" t="n">
        <v>0</v>
      </c>
      <c r="E291" s="203" t="n">
        <v>0</v>
      </c>
      <c r="F291" s="203" t="n">
        <v>0</v>
      </c>
      <c r="G291" s="203" t="n">
        <v>0</v>
      </c>
      <c r="H291" s="203" t="n">
        <v>0</v>
      </c>
      <c r="I291" s="204" t="n">
        <v>0</v>
      </c>
      <c r="J291" s="57"/>
    </row>
    <row r="292" customFormat="false" ht="14.25" hidden="false" customHeight="false" outlineLevel="0" collapsed="false">
      <c r="A292" s="312" t="s">
        <v>585</v>
      </c>
      <c r="B292" s="202" t="s">
        <v>499</v>
      </c>
      <c r="C292" s="203" t="n">
        <v>0</v>
      </c>
      <c r="D292" s="203" t="n">
        <v>0</v>
      </c>
      <c r="E292" s="203" t="n">
        <v>0</v>
      </c>
      <c r="F292" s="203" t="n">
        <v>0</v>
      </c>
      <c r="G292" s="203" t="n">
        <v>0</v>
      </c>
      <c r="H292" s="203" t="n">
        <v>0</v>
      </c>
      <c r="I292" s="204" t="n">
        <v>0</v>
      </c>
      <c r="J292" s="57"/>
    </row>
    <row r="293" customFormat="false" ht="14.25" hidden="false" customHeight="false" outlineLevel="0" collapsed="false">
      <c r="A293" s="312" t="s">
        <v>586</v>
      </c>
      <c r="B293" s="202" t="s">
        <v>499</v>
      </c>
      <c r="C293" s="203" t="n">
        <v>0</v>
      </c>
      <c r="D293" s="203" t="n">
        <v>0</v>
      </c>
      <c r="E293" s="203" t="n">
        <v>0</v>
      </c>
      <c r="F293" s="203" t="n">
        <v>0</v>
      </c>
      <c r="G293" s="203" t="n">
        <v>0</v>
      </c>
      <c r="H293" s="203" t="n">
        <v>0</v>
      </c>
      <c r="I293" s="204" t="n">
        <v>0</v>
      </c>
      <c r="J293" s="57"/>
    </row>
    <row r="294" customFormat="false" ht="14.25" hidden="false" customHeight="false" outlineLevel="0" collapsed="false">
      <c r="A294" s="312" t="s">
        <v>587</v>
      </c>
      <c r="B294" s="202" t="s">
        <v>499</v>
      </c>
      <c r="C294" s="203" t="n">
        <v>0</v>
      </c>
      <c r="D294" s="203" t="n">
        <v>0</v>
      </c>
      <c r="E294" s="203" t="n">
        <v>0</v>
      </c>
      <c r="F294" s="203" t="n">
        <v>0</v>
      </c>
      <c r="G294" s="203" t="n">
        <v>0</v>
      </c>
      <c r="H294" s="203" t="n">
        <v>0</v>
      </c>
      <c r="I294" s="204" t="n">
        <v>0</v>
      </c>
      <c r="J294" s="57"/>
    </row>
    <row r="295" customFormat="false" ht="14.25" hidden="false" customHeight="false" outlineLevel="0" collapsed="false">
      <c r="A295" s="312" t="s">
        <v>588</v>
      </c>
      <c r="B295" s="202" t="s">
        <v>499</v>
      </c>
      <c r="C295" s="203" t="n">
        <v>0</v>
      </c>
      <c r="D295" s="203" t="n">
        <v>0</v>
      </c>
      <c r="E295" s="203" t="n">
        <v>0</v>
      </c>
      <c r="F295" s="203" t="n">
        <v>0</v>
      </c>
      <c r="G295" s="203" t="n">
        <v>0</v>
      </c>
      <c r="H295" s="203" t="n">
        <v>0</v>
      </c>
      <c r="I295" s="204" t="n">
        <v>0</v>
      </c>
      <c r="J295" s="57"/>
    </row>
    <row r="296" customFormat="false" ht="14.25" hidden="false" customHeight="false" outlineLevel="0" collapsed="false">
      <c r="A296" s="312" t="s">
        <v>589</v>
      </c>
      <c r="B296" s="202" t="s">
        <v>499</v>
      </c>
      <c r="C296" s="203" t="n">
        <v>0</v>
      </c>
      <c r="D296" s="203" t="n">
        <v>0</v>
      </c>
      <c r="E296" s="203" t="n">
        <v>0</v>
      </c>
      <c r="F296" s="203" t="n">
        <v>0</v>
      </c>
      <c r="G296" s="203" t="n">
        <v>0</v>
      </c>
      <c r="H296" s="203" t="n">
        <v>0</v>
      </c>
      <c r="I296" s="204" t="n">
        <v>0</v>
      </c>
      <c r="J296" s="57"/>
    </row>
    <row r="297" customFormat="false" ht="14.25" hidden="false" customHeight="false" outlineLevel="0" collapsed="false">
      <c r="A297" s="312" t="s">
        <v>590</v>
      </c>
      <c r="B297" s="202" t="s">
        <v>499</v>
      </c>
      <c r="C297" s="203" t="n">
        <v>0</v>
      </c>
      <c r="D297" s="203" t="n">
        <v>0</v>
      </c>
      <c r="E297" s="203" t="n">
        <v>0</v>
      </c>
      <c r="F297" s="203" t="n">
        <v>0</v>
      </c>
      <c r="G297" s="203" t="n">
        <v>0</v>
      </c>
      <c r="H297" s="203" t="n">
        <v>0</v>
      </c>
      <c r="I297" s="204" t="n">
        <v>0</v>
      </c>
      <c r="J297" s="57"/>
    </row>
    <row r="298" customFormat="false" ht="14.25" hidden="false" customHeight="false" outlineLevel="0" collapsed="false">
      <c r="A298" s="312" t="s">
        <v>338</v>
      </c>
      <c r="B298" s="202" t="s">
        <v>499</v>
      </c>
      <c r="C298" s="203" t="n">
        <v>0</v>
      </c>
      <c r="D298" s="203" t="n">
        <v>0</v>
      </c>
      <c r="E298" s="203" t="n">
        <v>0</v>
      </c>
      <c r="F298" s="203" t="n">
        <v>0</v>
      </c>
      <c r="G298" s="203" t="n">
        <v>0</v>
      </c>
      <c r="H298" s="203" t="n">
        <v>0</v>
      </c>
      <c r="I298" s="204" t="n">
        <v>0</v>
      </c>
      <c r="J298" s="57"/>
    </row>
    <row r="299" customFormat="false" ht="14.25" hidden="false" customHeight="false" outlineLevel="0" collapsed="false">
      <c r="A299" s="312" t="s">
        <v>591</v>
      </c>
      <c r="B299" s="202" t="s">
        <v>499</v>
      </c>
      <c r="C299" s="203" t="n">
        <v>0</v>
      </c>
      <c r="D299" s="203" t="n">
        <v>0</v>
      </c>
      <c r="E299" s="203" t="n">
        <v>0</v>
      </c>
      <c r="F299" s="203" t="n">
        <v>0</v>
      </c>
      <c r="G299" s="203" t="n">
        <v>0</v>
      </c>
      <c r="H299" s="203" t="n">
        <v>0</v>
      </c>
      <c r="I299" s="204" t="n">
        <v>0</v>
      </c>
      <c r="J299" s="57"/>
    </row>
    <row r="300" customFormat="false" ht="14.25" hidden="false" customHeight="false" outlineLevel="0" collapsed="false">
      <c r="A300" s="312" t="s">
        <v>592</v>
      </c>
      <c r="B300" s="202" t="s">
        <v>499</v>
      </c>
      <c r="C300" s="203" t="n">
        <v>0</v>
      </c>
      <c r="D300" s="203" t="n">
        <v>0</v>
      </c>
      <c r="E300" s="203" t="n">
        <f aca="false">$C300+(($G300-$C300)/20)*(E282-2020)</f>
        <v>0.00249870235247261</v>
      </c>
      <c r="F300" s="203" t="n">
        <f aca="false">$C300+(($G300-$C300)/20)*(F282-2020)</f>
        <v>0.00374805352870891</v>
      </c>
      <c r="G300" s="203" t="n">
        <v>0.00499740470494521</v>
      </c>
      <c r="H300" s="203" t="n">
        <f aca="false">G300+(I300-G300)/2</f>
        <v>0.00532267956739727</v>
      </c>
      <c r="I300" s="204" t="n">
        <v>0.00564795442984932</v>
      </c>
      <c r="J300" s="57"/>
    </row>
    <row r="301" customFormat="false" ht="14.25" hidden="false" customHeight="false" outlineLevel="0" collapsed="false">
      <c r="A301" s="312" t="s">
        <v>593</v>
      </c>
      <c r="B301" s="202" t="s">
        <v>499</v>
      </c>
      <c r="C301" s="203" t="n">
        <v>0</v>
      </c>
      <c r="D301" s="203" t="n">
        <v>0</v>
      </c>
      <c r="E301" s="203" t="n">
        <v>0</v>
      </c>
      <c r="F301" s="203" t="n">
        <v>0</v>
      </c>
      <c r="G301" s="203" t="n">
        <v>0</v>
      </c>
      <c r="H301" s="203" t="n">
        <v>0</v>
      </c>
      <c r="I301" s="204" t="n">
        <v>0</v>
      </c>
      <c r="J301" s="57"/>
    </row>
    <row r="302" customFormat="false" ht="14.25" hidden="false" customHeight="false" outlineLevel="0" collapsed="false">
      <c r="A302" s="312" t="s">
        <v>594</v>
      </c>
      <c r="B302" s="202" t="s">
        <v>499</v>
      </c>
      <c r="C302" s="203" t="n">
        <v>0</v>
      </c>
      <c r="D302" s="203" t="n">
        <v>0</v>
      </c>
      <c r="E302" s="203" t="n">
        <v>0</v>
      </c>
      <c r="F302" s="203" t="n">
        <v>0</v>
      </c>
      <c r="G302" s="203" t="n">
        <v>0</v>
      </c>
      <c r="H302" s="203" t="n">
        <v>0</v>
      </c>
      <c r="I302" s="204" t="n">
        <v>0</v>
      </c>
      <c r="J302" s="57"/>
    </row>
    <row r="303" customFormat="false" ht="14.25" hidden="false" customHeight="false" outlineLevel="0" collapsed="false">
      <c r="A303" s="312" t="s">
        <v>595</v>
      </c>
      <c r="B303" s="202" t="s">
        <v>499</v>
      </c>
      <c r="C303" s="203" t="n">
        <v>0</v>
      </c>
      <c r="D303" s="203" t="n">
        <v>0</v>
      </c>
      <c r="E303" s="203" t="n">
        <v>0.00629850415475343</v>
      </c>
      <c r="F303" s="203" t="n">
        <v>0.00944775623213014</v>
      </c>
      <c r="G303" s="203" t="n">
        <v>0.0125970083095069</v>
      </c>
      <c r="H303" s="203" t="n">
        <v>0.0145486574842192</v>
      </c>
      <c r="I303" s="204" t="n">
        <v>0.0165003066589315</v>
      </c>
      <c r="J303" s="57"/>
    </row>
    <row r="304" customFormat="false" ht="14.25" hidden="false" customHeight="false" outlineLevel="0" collapsed="false">
      <c r="A304" s="312" t="s">
        <v>596</v>
      </c>
      <c r="B304" s="202" t="s">
        <v>499</v>
      </c>
      <c r="C304" s="203" t="n">
        <v>0</v>
      </c>
      <c r="D304" s="203" t="n">
        <v>0</v>
      </c>
      <c r="E304" s="203" t="n">
        <v>0.000787313019344178</v>
      </c>
      <c r="F304" s="203" t="n">
        <v>0.00118096952901627</v>
      </c>
      <c r="G304" s="203" t="n">
        <v>0.00157462603868836</v>
      </c>
      <c r="H304" s="203" t="n">
        <v>0.0018185821855274</v>
      </c>
      <c r="I304" s="204" t="n">
        <v>0.00206253833236644</v>
      </c>
      <c r="J304" s="57"/>
    </row>
    <row r="305" customFormat="false" ht="14.25" hidden="false" customHeight="false" outlineLevel="0" collapsed="false">
      <c r="A305" s="312" t="s">
        <v>597</v>
      </c>
      <c r="B305" s="202" t="s">
        <v>499</v>
      </c>
      <c r="C305" s="203" t="n">
        <v>0</v>
      </c>
      <c r="D305" s="203" t="n">
        <v>0</v>
      </c>
      <c r="E305" s="203" t="n">
        <v>0.000787313019344178</v>
      </c>
      <c r="F305" s="203" t="n">
        <v>0.00118096952901627</v>
      </c>
      <c r="G305" s="203" t="n">
        <v>0.00157462603868836</v>
      </c>
      <c r="H305" s="203" t="n">
        <v>0.0018185821855274</v>
      </c>
      <c r="I305" s="204" t="n">
        <v>0.00206253833236644</v>
      </c>
      <c r="J305" s="57"/>
    </row>
    <row r="306" customFormat="false" ht="14.25" hidden="false" customHeight="false" outlineLevel="0" collapsed="false">
      <c r="A306" s="312" t="s">
        <v>598</v>
      </c>
      <c r="B306" s="202" t="s">
        <v>499</v>
      </c>
      <c r="C306" s="203" t="n">
        <v>0</v>
      </c>
      <c r="D306" s="203" t="n">
        <v>0</v>
      </c>
      <c r="E306" s="203" t="n">
        <v>0</v>
      </c>
      <c r="F306" s="203" t="n">
        <f aca="false">$C306+(($G306-$C306)/20)*(F303-2020)</f>
        <v>0</v>
      </c>
      <c r="G306" s="203" t="n">
        <v>0</v>
      </c>
      <c r="H306" s="203" t="n">
        <v>0</v>
      </c>
      <c r="I306" s="204" t="n">
        <v>0</v>
      </c>
      <c r="J306" s="57"/>
    </row>
    <row r="307" customFormat="false" ht="14.25" hidden="false" customHeight="false" outlineLevel="0" collapsed="false">
      <c r="A307" s="312" t="s">
        <v>599</v>
      </c>
      <c r="B307" s="202" t="s">
        <v>499</v>
      </c>
      <c r="C307" s="203" t="n">
        <v>0</v>
      </c>
      <c r="D307" s="203" t="n">
        <v>0</v>
      </c>
      <c r="E307" s="203" t="n">
        <v>0</v>
      </c>
      <c r="F307" s="203" t="n">
        <v>0</v>
      </c>
      <c r="G307" s="203" t="n">
        <v>0</v>
      </c>
      <c r="H307" s="203" t="n">
        <v>0</v>
      </c>
      <c r="I307" s="204" t="n">
        <v>0</v>
      </c>
      <c r="J307" s="57"/>
    </row>
    <row r="308" customFormat="false" ht="14.25" hidden="false" customHeight="false" outlineLevel="0" collapsed="false">
      <c r="A308" s="312" t="s">
        <v>351</v>
      </c>
      <c r="B308" s="202" t="s">
        <v>499</v>
      </c>
      <c r="C308" s="203" t="n">
        <v>0</v>
      </c>
      <c r="D308" s="203" t="n">
        <v>0</v>
      </c>
      <c r="E308" s="203" t="n">
        <v>0</v>
      </c>
      <c r="F308" s="203" t="n">
        <v>0</v>
      </c>
      <c r="G308" s="203" t="n">
        <v>0</v>
      </c>
      <c r="H308" s="203" t="n">
        <v>0</v>
      </c>
      <c r="I308" s="204" t="n">
        <v>0</v>
      </c>
      <c r="J308" s="57"/>
    </row>
    <row r="309" customFormat="false" ht="14.25" hidden="false" customHeight="false" outlineLevel="0" collapsed="false">
      <c r="A309" s="312" t="s">
        <v>361</v>
      </c>
      <c r="B309" s="202" t="s">
        <v>499</v>
      </c>
      <c r="C309" s="203" t="n">
        <v>0</v>
      </c>
      <c r="D309" s="203" t="n">
        <v>0</v>
      </c>
      <c r="E309" s="203" t="n">
        <v>0</v>
      </c>
      <c r="F309" s="203" t="n">
        <v>0</v>
      </c>
      <c r="G309" s="203" t="n">
        <v>0</v>
      </c>
      <c r="H309" s="203" t="n">
        <v>0</v>
      </c>
      <c r="I309" s="204" t="n">
        <v>0</v>
      </c>
      <c r="J309" s="57"/>
    </row>
    <row r="310" customFormat="false" ht="14.25" hidden="false" customHeight="false" outlineLevel="0" collapsed="false">
      <c r="A310" s="312" t="s">
        <v>600</v>
      </c>
      <c r="B310" s="202" t="s">
        <v>499</v>
      </c>
      <c r="C310" s="203" t="n">
        <v>0</v>
      </c>
      <c r="D310" s="203" t="n">
        <v>0</v>
      </c>
      <c r="E310" s="203" t="n">
        <v>0</v>
      </c>
      <c r="F310" s="203" t="n">
        <v>0</v>
      </c>
      <c r="G310" s="203" t="n">
        <v>0</v>
      </c>
      <c r="H310" s="203" t="n">
        <v>0</v>
      </c>
      <c r="I310" s="204" t="n">
        <v>0</v>
      </c>
      <c r="J310" s="57"/>
    </row>
    <row r="311" customFormat="false" ht="14.25" hidden="false" customHeight="false" outlineLevel="0" collapsed="false">
      <c r="A311" s="313" t="s">
        <v>624</v>
      </c>
      <c r="B311" s="314"/>
      <c r="C311" s="314"/>
      <c r="D311" s="314"/>
      <c r="E311" s="314"/>
      <c r="F311" s="314"/>
      <c r="G311" s="314"/>
      <c r="H311" s="315"/>
      <c r="I311" s="314"/>
      <c r="J311" s="57"/>
    </row>
    <row r="312" customFormat="false" ht="14.25" hidden="false" customHeight="false" outlineLevel="0" collapsed="false">
      <c r="A312" s="312" t="s">
        <v>576</v>
      </c>
      <c r="B312" s="202" t="s">
        <v>28</v>
      </c>
      <c r="C312" s="203" t="n">
        <v>0.189349112426035</v>
      </c>
      <c r="D312" s="203" t="n">
        <v>0.189349112426035</v>
      </c>
      <c r="E312" s="203" t="n">
        <v>0.189349112426035</v>
      </c>
      <c r="F312" s="203" t="n">
        <v>0.189349112426035</v>
      </c>
      <c r="G312" s="203" t="n">
        <v>0.189349112426035</v>
      </c>
      <c r="H312" s="203" t="n">
        <f aca="false">G312+(I312-G312)/2</f>
        <v>0.238653613804641</v>
      </c>
      <c r="I312" s="203" t="n">
        <v>0.287958115183246</v>
      </c>
      <c r="J312" s="57"/>
    </row>
    <row r="313" customFormat="false" ht="14.25" hidden="false" customHeight="false" outlineLevel="0" collapsed="false">
      <c r="A313" s="312" t="s">
        <v>579</v>
      </c>
      <c r="B313" s="202" t="s">
        <v>28</v>
      </c>
      <c r="C313" s="203" t="n">
        <v>0.189349112426035</v>
      </c>
      <c r="D313" s="203" t="n">
        <v>0.189349112426035</v>
      </c>
      <c r="E313" s="203" t="n">
        <v>0.189349112426035</v>
      </c>
      <c r="F313" s="203" t="n">
        <v>0.189349112426035</v>
      </c>
      <c r="G313" s="203" t="n">
        <v>0.189349112426035</v>
      </c>
      <c r="H313" s="203" t="n">
        <f aca="false">G313+(I313-G313)/2</f>
        <v>0.238653613804641</v>
      </c>
      <c r="I313" s="203" t="n">
        <v>0.287958115183246</v>
      </c>
      <c r="J313" s="57"/>
    </row>
    <row r="314" customFormat="false" ht="14.25" hidden="false" customHeight="false" outlineLevel="0" collapsed="false">
      <c r="A314" s="312" t="s">
        <v>362</v>
      </c>
      <c r="B314" s="202" t="s">
        <v>28</v>
      </c>
      <c r="C314" s="203" t="n">
        <v>0.189349112426035</v>
      </c>
      <c r="D314" s="203" t="n">
        <v>0.189349112426035</v>
      </c>
      <c r="E314" s="203" t="n">
        <v>0.189349112426035</v>
      </c>
      <c r="F314" s="203" t="n">
        <v>0.189349112426035</v>
      </c>
      <c r="G314" s="203" t="n">
        <v>0.189349112426035</v>
      </c>
      <c r="H314" s="203" t="n">
        <f aca="false">G314+(I314-G314)/2</f>
        <v>0.238653613804641</v>
      </c>
      <c r="I314" s="203" t="n">
        <v>0.287958115183246</v>
      </c>
      <c r="J314" s="57"/>
    </row>
    <row r="315" customFormat="false" ht="14.25" hidden="false" customHeight="false" outlineLevel="0" collapsed="false">
      <c r="A315" s="312" t="s">
        <v>580</v>
      </c>
      <c r="B315" s="202" t="s">
        <v>28</v>
      </c>
      <c r="C315" s="203" t="n">
        <v>0.189349112426035</v>
      </c>
      <c r="D315" s="203" t="n">
        <v>0.189349112426035</v>
      </c>
      <c r="E315" s="203" t="n">
        <v>0.189349112426035</v>
      </c>
      <c r="F315" s="203" t="n">
        <v>0.189349112426035</v>
      </c>
      <c r="G315" s="203" t="n">
        <v>0.189349112426035</v>
      </c>
      <c r="H315" s="203" t="n">
        <f aca="false">G315+(I315-G315)/2</f>
        <v>0.238653613804641</v>
      </c>
      <c r="I315" s="203" t="n">
        <v>0.287958115183246</v>
      </c>
      <c r="J315" s="57"/>
    </row>
    <row r="316" customFormat="false" ht="14.25" hidden="false" customHeight="false" outlineLevel="0" collapsed="false">
      <c r="A316" s="312" t="s">
        <v>581</v>
      </c>
      <c r="B316" s="202" t="s">
        <v>28</v>
      </c>
      <c r="C316" s="203" t="n">
        <v>0.189349112426035</v>
      </c>
      <c r="D316" s="203" t="n">
        <v>0.189349112426035</v>
      </c>
      <c r="E316" s="203" t="n">
        <v>0.189349112426035</v>
      </c>
      <c r="F316" s="203" t="n">
        <v>0.189349112426035</v>
      </c>
      <c r="G316" s="203" t="n">
        <v>0.189349112426035</v>
      </c>
      <c r="H316" s="203" t="n">
        <f aca="false">G316+(I316-G316)/2</f>
        <v>0.238653613804641</v>
      </c>
      <c r="I316" s="203" t="n">
        <v>0.287958115183246</v>
      </c>
      <c r="J316" s="57"/>
    </row>
    <row r="317" customFormat="false" ht="14.25" hidden="false" customHeight="false" outlineLevel="0" collapsed="false">
      <c r="A317" s="312" t="s">
        <v>582</v>
      </c>
      <c r="B317" s="202" t="s">
        <v>28</v>
      </c>
      <c r="C317" s="203" t="n">
        <v>0.189349112426035</v>
      </c>
      <c r="D317" s="203" t="n">
        <v>0.189349112426035</v>
      </c>
      <c r="E317" s="203" t="n">
        <v>0.189349112426035</v>
      </c>
      <c r="F317" s="203" t="n">
        <v>0.189349112426035</v>
      </c>
      <c r="G317" s="203" t="n">
        <v>0.189349112426035</v>
      </c>
      <c r="H317" s="203" t="n">
        <f aca="false">G317+(I317-G317)/2</f>
        <v>0.238653613804641</v>
      </c>
      <c r="I317" s="203" t="n">
        <v>0.287958115183246</v>
      </c>
      <c r="J317" s="57"/>
    </row>
    <row r="318" customFormat="false" ht="14.25" hidden="false" customHeight="false" outlineLevel="0" collapsed="false">
      <c r="A318" s="312" t="s">
        <v>583</v>
      </c>
      <c r="B318" s="202" t="s">
        <v>28</v>
      </c>
      <c r="C318" s="203" t="n">
        <v>0.189349112426035</v>
      </c>
      <c r="D318" s="203" t="n">
        <v>0.189349112426035</v>
      </c>
      <c r="E318" s="203" t="n">
        <v>0.189349112426035</v>
      </c>
      <c r="F318" s="203" t="n">
        <v>0.189349112426035</v>
      </c>
      <c r="G318" s="203" t="n">
        <v>0.189349112426035</v>
      </c>
      <c r="H318" s="203" t="n">
        <f aca="false">G318+(I318-G318)/2</f>
        <v>0.238653613804641</v>
      </c>
      <c r="I318" s="203" t="n">
        <v>0.287958115183246</v>
      </c>
      <c r="J318" s="57"/>
    </row>
    <row r="319" customFormat="false" ht="14.25" hidden="false" customHeight="false" outlineLevel="0" collapsed="false">
      <c r="A319" s="312" t="s">
        <v>354</v>
      </c>
      <c r="B319" s="202" t="s">
        <v>28</v>
      </c>
      <c r="C319" s="203" t="n">
        <v>0.189349112426035</v>
      </c>
      <c r="D319" s="203" t="n">
        <v>0.189349112426035</v>
      </c>
      <c r="E319" s="203" t="n">
        <v>0.189349112426035</v>
      </c>
      <c r="F319" s="203" t="n">
        <v>0.189349112426035</v>
      </c>
      <c r="G319" s="203" t="n">
        <v>0.189349112426035</v>
      </c>
      <c r="H319" s="203" t="n">
        <f aca="false">G319+(I319-G319)/2</f>
        <v>0.238653613804641</v>
      </c>
      <c r="I319" s="203" t="n">
        <v>0.287958115183246</v>
      </c>
      <c r="J319" s="57"/>
    </row>
    <row r="320" customFormat="false" ht="14.25" hidden="false" customHeight="false" outlineLevel="0" collapsed="false">
      <c r="A320" s="312" t="s">
        <v>584</v>
      </c>
      <c r="B320" s="202" t="s">
        <v>28</v>
      </c>
      <c r="C320" s="203" t="n">
        <v>0.189349112426035</v>
      </c>
      <c r="D320" s="203" t="n">
        <v>0.189349112426035</v>
      </c>
      <c r="E320" s="203" t="n">
        <v>0.189349112426035</v>
      </c>
      <c r="F320" s="203" t="n">
        <v>0.189349112426035</v>
      </c>
      <c r="G320" s="203" t="n">
        <v>0.189349112426035</v>
      </c>
      <c r="H320" s="203" t="n">
        <f aca="false">G320+(I320-G320)/2</f>
        <v>0.238653613804641</v>
      </c>
      <c r="I320" s="203" t="n">
        <v>0.287958115183246</v>
      </c>
      <c r="J320" s="57"/>
    </row>
    <row r="321" customFormat="false" ht="14.25" hidden="false" customHeight="false" outlineLevel="0" collapsed="false">
      <c r="A321" s="312" t="s">
        <v>585</v>
      </c>
      <c r="B321" s="202" t="s">
        <v>28</v>
      </c>
      <c r="C321" s="203" t="n">
        <v>0.189349112426035</v>
      </c>
      <c r="D321" s="203" t="n">
        <v>0.189349112426035</v>
      </c>
      <c r="E321" s="203" t="n">
        <v>0.189349112426035</v>
      </c>
      <c r="F321" s="203" t="n">
        <v>0.189349112426035</v>
      </c>
      <c r="G321" s="203" t="n">
        <v>0.189349112426035</v>
      </c>
      <c r="H321" s="203" t="n">
        <f aca="false">G321+(I321-G321)/2</f>
        <v>0.238653613804641</v>
      </c>
      <c r="I321" s="203" t="n">
        <v>0.287958115183246</v>
      </c>
      <c r="J321" s="57"/>
    </row>
    <row r="322" customFormat="false" ht="14.25" hidden="false" customHeight="false" outlineLevel="0" collapsed="false">
      <c r="A322" s="312" t="s">
        <v>586</v>
      </c>
      <c r="B322" s="202" t="s">
        <v>28</v>
      </c>
      <c r="C322" s="203" t="n">
        <v>0.189349112426035</v>
      </c>
      <c r="D322" s="203" t="n">
        <v>0.189349112426035</v>
      </c>
      <c r="E322" s="203" t="n">
        <v>0.189349112426035</v>
      </c>
      <c r="F322" s="203" t="n">
        <v>0.189349112426035</v>
      </c>
      <c r="G322" s="203" t="n">
        <v>0.189349112426035</v>
      </c>
      <c r="H322" s="203" t="n">
        <f aca="false">G322+(I322-G322)/2</f>
        <v>0.238653613804641</v>
      </c>
      <c r="I322" s="203" t="n">
        <v>0.287958115183246</v>
      </c>
      <c r="J322" s="57"/>
    </row>
    <row r="323" customFormat="false" ht="14.25" hidden="false" customHeight="false" outlineLevel="0" collapsed="false">
      <c r="A323" s="312" t="s">
        <v>587</v>
      </c>
      <c r="B323" s="202" t="s">
        <v>28</v>
      </c>
      <c r="C323" s="203" t="n">
        <v>0.189349112426035</v>
      </c>
      <c r="D323" s="203" t="n">
        <v>0.189349112426035</v>
      </c>
      <c r="E323" s="203" t="n">
        <v>0.189349112426035</v>
      </c>
      <c r="F323" s="203" t="n">
        <v>0.189349112426035</v>
      </c>
      <c r="G323" s="203" t="n">
        <v>0.189349112426035</v>
      </c>
      <c r="H323" s="203" t="n">
        <f aca="false">G323+(I323-G323)/2</f>
        <v>0.238653613804641</v>
      </c>
      <c r="I323" s="203" t="n">
        <v>0.287958115183246</v>
      </c>
      <c r="J323" s="57"/>
    </row>
    <row r="324" customFormat="false" ht="14.25" hidden="false" customHeight="false" outlineLevel="0" collapsed="false">
      <c r="A324" s="312" t="s">
        <v>588</v>
      </c>
      <c r="B324" s="202" t="s">
        <v>28</v>
      </c>
      <c r="C324" s="203" t="n">
        <v>0.189349112426035</v>
      </c>
      <c r="D324" s="203" t="n">
        <v>0.189349112426035</v>
      </c>
      <c r="E324" s="203" t="n">
        <v>0.189349112426035</v>
      </c>
      <c r="F324" s="203" t="n">
        <v>0.189349112426035</v>
      </c>
      <c r="G324" s="203" t="n">
        <v>0.189349112426035</v>
      </c>
      <c r="H324" s="203" t="n">
        <f aca="false">G324+(I324-G324)/2</f>
        <v>0.238653613804641</v>
      </c>
      <c r="I324" s="203" t="n">
        <v>0.287958115183246</v>
      </c>
      <c r="J324" s="57"/>
    </row>
    <row r="325" customFormat="false" ht="14.25" hidden="false" customHeight="false" outlineLevel="0" collapsed="false">
      <c r="A325" s="312" t="s">
        <v>589</v>
      </c>
      <c r="B325" s="202" t="s">
        <v>28</v>
      </c>
      <c r="C325" s="203" t="n">
        <v>0.189349112426035</v>
      </c>
      <c r="D325" s="203" t="n">
        <v>0.189349112426035</v>
      </c>
      <c r="E325" s="203" t="n">
        <v>0.189349112426035</v>
      </c>
      <c r="F325" s="203" t="n">
        <v>0.189349112426035</v>
      </c>
      <c r="G325" s="203" t="n">
        <v>0.189349112426035</v>
      </c>
      <c r="H325" s="203" t="n">
        <f aca="false">G325+(I325-G325)/2</f>
        <v>0.238653613804641</v>
      </c>
      <c r="I325" s="203" t="n">
        <v>0.287958115183246</v>
      </c>
      <c r="J325" s="57"/>
    </row>
    <row r="326" customFormat="false" ht="14.25" hidden="false" customHeight="false" outlineLevel="0" collapsed="false">
      <c r="A326" s="312" t="s">
        <v>590</v>
      </c>
      <c r="B326" s="202" t="s">
        <v>28</v>
      </c>
      <c r="C326" s="203" t="n">
        <v>0.189349112426035</v>
      </c>
      <c r="D326" s="203" t="n">
        <v>0.189349112426035</v>
      </c>
      <c r="E326" s="203" t="n">
        <v>0.189349112426035</v>
      </c>
      <c r="F326" s="203" t="n">
        <v>0.189349112426035</v>
      </c>
      <c r="G326" s="203" t="n">
        <v>0.189349112426035</v>
      </c>
      <c r="H326" s="203" t="n">
        <f aca="false">G326+(I326-G326)/2</f>
        <v>0.238653613804641</v>
      </c>
      <c r="I326" s="203" t="n">
        <v>0.287958115183246</v>
      </c>
      <c r="J326" s="57"/>
    </row>
    <row r="327" customFormat="false" ht="14.25" hidden="false" customHeight="false" outlineLevel="0" collapsed="false">
      <c r="A327" s="312" t="s">
        <v>338</v>
      </c>
      <c r="B327" s="202" t="s">
        <v>28</v>
      </c>
      <c r="C327" s="203" t="n">
        <v>0.189349112426035</v>
      </c>
      <c r="D327" s="203" t="n">
        <v>0.189349112426035</v>
      </c>
      <c r="E327" s="203" t="n">
        <v>0.189349112426035</v>
      </c>
      <c r="F327" s="203" t="n">
        <v>0.189349112426035</v>
      </c>
      <c r="G327" s="203" t="n">
        <v>0.189349112426035</v>
      </c>
      <c r="H327" s="203" t="n">
        <f aca="false">G327+(I327-G327)/2</f>
        <v>0.238653613804641</v>
      </c>
      <c r="I327" s="203" t="n">
        <v>0.287958115183246</v>
      </c>
      <c r="J327" s="57"/>
    </row>
    <row r="328" customFormat="false" ht="14.25" hidden="false" customHeight="false" outlineLevel="0" collapsed="false">
      <c r="A328" s="312" t="s">
        <v>591</v>
      </c>
      <c r="B328" s="202" t="s">
        <v>28</v>
      </c>
      <c r="C328" s="203" t="n">
        <v>0.189349112426035</v>
      </c>
      <c r="D328" s="203" t="n">
        <v>0.189349112426035</v>
      </c>
      <c r="E328" s="203" t="n">
        <v>0.189349112426035</v>
      </c>
      <c r="F328" s="203" t="n">
        <v>0.189349112426035</v>
      </c>
      <c r="G328" s="203" t="n">
        <v>0.189349112426035</v>
      </c>
      <c r="H328" s="203" t="n">
        <f aca="false">G328+(I328-G328)/2</f>
        <v>0.238653613804641</v>
      </c>
      <c r="I328" s="203" t="n">
        <v>0.287958115183246</v>
      </c>
      <c r="J328" s="57"/>
    </row>
    <row r="329" customFormat="false" ht="14.25" hidden="false" customHeight="false" outlineLevel="0" collapsed="false">
      <c r="A329" s="312" t="s">
        <v>592</v>
      </c>
      <c r="B329" s="202" t="s">
        <v>28</v>
      </c>
      <c r="C329" s="203" t="n">
        <v>0.189349112426035</v>
      </c>
      <c r="D329" s="203" t="n">
        <v>0.189349112426035</v>
      </c>
      <c r="E329" s="203" t="n">
        <v>0.189349112426035</v>
      </c>
      <c r="F329" s="203" t="n">
        <v>0.189349112426035</v>
      </c>
      <c r="G329" s="203" t="n">
        <v>0.189349112426035</v>
      </c>
      <c r="H329" s="203" t="n">
        <f aca="false">G329+(I329-G329)/2</f>
        <v>0.238653613804641</v>
      </c>
      <c r="I329" s="203" t="n">
        <v>0.287958115183246</v>
      </c>
      <c r="J329" s="57"/>
    </row>
    <row r="330" customFormat="false" ht="14.25" hidden="false" customHeight="false" outlineLevel="0" collapsed="false">
      <c r="A330" s="312" t="s">
        <v>593</v>
      </c>
      <c r="B330" s="202" t="s">
        <v>28</v>
      </c>
      <c r="C330" s="203" t="n">
        <v>0.189349112426035</v>
      </c>
      <c r="D330" s="203" t="n">
        <v>0.189349112426035</v>
      </c>
      <c r="E330" s="203" t="n">
        <v>0.189349112426035</v>
      </c>
      <c r="F330" s="203" t="n">
        <v>0.189349112426035</v>
      </c>
      <c r="G330" s="203" t="n">
        <v>0.189349112426035</v>
      </c>
      <c r="H330" s="203" t="n">
        <f aca="false">G330+(I330-G330)/2</f>
        <v>0.169674556213018</v>
      </c>
      <c r="I330" s="203" t="n">
        <v>0.15</v>
      </c>
      <c r="J330" s="57"/>
    </row>
    <row r="331" customFormat="false" ht="14.25" hidden="false" customHeight="false" outlineLevel="0" collapsed="false">
      <c r="A331" s="312" t="s">
        <v>594</v>
      </c>
      <c r="B331" s="202" t="s">
        <v>28</v>
      </c>
      <c r="C331" s="203" t="n">
        <v>0.189349112426035</v>
      </c>
      <c r="D331" s="203" t="n">
        <v>0.189349112426035</v>
      </c>
      <c r="E331" s="203" t="n">
        <v>0.189349112426035</v>
      </c>
      <c r="F331" s="203" t="n">
        <v>0.189349112426035</v>
      </c>
      <c r="G331" s="203" t="n">
        <v>0.189349112426035</v>
      </c>
      <c r="H331" s="203" t="n">
        <f aca="false">G331+(I331-G331)/2</f>
        <v>0.169674556213018</v>
      </c>
      <c r="I331" s="203" t="n">
        <v>0.15</v>
      </c>
      <c r="J331" s="57"/>
    </row>
    <row r="332" customFormat="false" ht="14.25" hidden="false" customHeight="false" outlineLevel="0" collapsed="false">
      <c r="A332" s="312" t="s">
        <v>595</v>
      </c>
      <c r="B332" s="202" t="s">
        <v>28</v>
      </c>
      <c r="C332" s="203" t="n">
        <v>0.189349112426035</v>
      </c>
      <c r="D332" s="203" t="n">
        <v>0.189349112426035</v>
      </c>
      <c r="E332" s="203" t="n">
        <v>0.189349112426035</v>
      </c>
      <c r="F332" s="203" t="n">
        <v>0.189349112426035</v>
      </c>
      <c r="G332" s="203" t="n">
        <v>0.189349112426035</v>
      </c>
      <c r="H332" s="203" t="n">
        <f aca="false">G332+(I332-G332)/2</f>
        <v>0.169674556213018</v>
      </c>
      <c r="I332" s="203" t="n">
        <v>0.15</v>
      </c>
      <c r="J332" s="57"/>
    </row>
    <row r="333" customFormat="false" ht="14.25" hidden="false" customHeight="false" outlineLevel="0" collapsed="false">
      <c r="A333" s="312" t="s">
        <v>596</v>
      </c>
      <c r="B333" s="202" t="s">
        <v>28</v>
      </c>
      <c r="C333" s="203" t="n">
        <v>0.189349112426035</v>
      </c>
      <c r="D333" s="203" t="n">
        <v>0.189349112426035</v>
      </c>
      <c r="E333" s="203" t="n">
        <v>0.189349112426035</v>
      </c>
      <c r="F333" s="203" t="n">
        <v>0.189349112426035</v>
      </c>
      <c r="G333" s="203" t="n">
        <v>0.189349112426035</v>
      </c>
      <c r="H333" s="203" t="n">
        <f aca="false">G333+(I333-G333)/2</f>
        <v>0.169674556213018</v>
      </c>
      <c r="I333" s="203" t="n">
        <v>0.15</v>
      </c>
      <c r="J333" s="57"/>
    </row>
    <row r="334" customFormat="false" ht="14.25" hidden="false" customHeight="false" outlineLevel="0" collapsed="false">
      <c r="A334" s="312" t="s">
        <v>597</v>
      </c>
      <c r="B334" s="202" t="s">
        <v>28</v>
      </c>
      <c r="C334" s="203" t="n">
        <v>0.189349112426035</v>
      </c>
      <c r="D334" s="203" t="n">
        <v>0.189349112426035</v>
      </c>
      <c r="E334" s="203" t="n">
        <v>0.189349112426035</v>
      </c>
      <c r="F334" s="203" t="n">
        <v>0.189349112426035</v>
      </c>
      <c r="G334" s="203" t="n">
        <v>0.189349112426035</v>
      </c>
      <c r="H334" s="203" t="n">
        <f aca="false">G334+(I334-G334)/2</f>
        <v>0.169674556213018</v>
      </c>
      <c r="I334" s="203" t="n">
        <v>0.15</v>
      </c>
      <c r="J334" s="57"/>
    </row>
    <row r="335" customFormat="false" ht="14.25" hidden="false" customHeight="false" outlineLevel="0" collapsed="false">
      <c r="A335" s="312" t="s">
        <v>598</v>
      </c>
      <c r="B335" s="202" t="s">
        <v>28</v>
      </c>
      <c r="C335" s="203" t="n">
        <v>0.189349112426035</v>
      </c>
      <c r="D335" s="203" t="n">
        <v>0.189349112426035</v>
      </c>
      <c r="E335" s="203" t="n">
        <v>0.189349112426035</v>
      </c>
      <c r="F335" s="203" t="n">
        <v>0.189349112426035</v>
      </c>
      <c r="G335" s="203" t="n">
        <v>0.189349112426035</v>
      </c>
      <c r="H335" s="203" t="n">
        <f aca="false">G335+(I335-G335)/2</f>
        <v>0.169674556213018</v>
      </c>
      <c r="I335" s="203" t="n">
        <v>0.15</v>
      </c>
      <c r="J335" s="57"/>
    </row>
    <row r="336" customFormat="false" ht="14.25" hidden="false" customHeight="false" outlineLevel="0" collapsed="false">
      <c r="A336" s="312" t="s">
        <v>599</v>
      </c>
      <c r="B336" s="202" t="s">
        <v>28</v>
      </c>
      <c r="C336" s="203" t="n">
        <v>0.189349112426035</v>
      </c>
      <c r="D336" s="203" t="n">
        <v>0.189349112426035</v>
      </c>
      <c r="E336" s="203" t="n">
        <v>0.189349112426035</v>
      </c>
      <c r="F336" s="203" t="n">
        <v>0.189349112426035</v>
      </c>
      <c r="G336" s="203" t="n">
        <v>0.189349112426035</v>
      </c>
      <c r="H336" s="203" t="n">
        <f aca="false">G336+(I336-G336)/2</f>
        <v>0.169674556213018</v>
      </c>
      <c r="I336" s="203" t="n">
        <v>0.15</v>
      </c>
      <c r="J336" s="57"/>
    </row>
    <row r="337" customFormat="false" ht="14.25" hidden="false" customHeight="false" outlineLevel="0" collapsed="false">
      <c r="A337" s="312" t="s">
        <v>351</v>
      </c>
      <c r="B337" s="202" t="s">
        <v>28</v>
      </c>
      <c r="C337" s="203" t="n">
        <v>0.189349112426035</v>
      </c>
      <c r="D337" s="203" t="n">
        <v>0.189349112426035</v>
      </c>
      <c r="E337" s="203" t="n">
        <v>0.189349112426035</v>
      </c>
      <c r="F337" s="203" t="n">
        <v>0.189349112426035</v>
      </c>
      <c r="G337" s="203" t="n">
        <v>0.189349112426035</v>
      </c>
      <c r="H337" s="203" t="n">
        <f aca="false">G337+(I337-G337)/2</f>
        <v>0.169674556213018</v>
      </c>
      <c r="I337" s="203" t="n">
        <v>0.15</v>
      </c>
      <c r="J337" s="57"/>
    </row>
    <row r="338" customFormat="false" ht="14.25" hidden="false" customHeight="false" outlineLevel="0" collapsed="false">
      <c r="A338" s="312" t="s">
        <v>361</v>
      </c>
      <c r="B338" s="202" t="s">
        <v>28</v>
      </c>
      <c r="C338" s="203" t="n">
        <v>0.189349112426035</v>
      </c>
      <c r="D338" s="203" t="n">
        <v>0.189349112426035</v>
      </c>
      <c r="E338" s="203" t="n">
        <v>0.189349112426035</v>
      </c>
      <c r="F338" s="203" t="n">
        <v>0.189349112426035</v>
      </c>
      <c r="G338" s="203" t="n">
        <v>0.189349112426035</v>
      </c>
      <c r="H338" s="203" t="n">
        <f aca="false">G338+(I338-G338)/2</f>
        <v>0.169674556213018</v>
      </c>
      <c r="I338" s="203" t="n">
        <v>0.15</v>
      </c>
      <c r="J338" s="57"/>
    </row>
    <row r="339" customFormat="false" ht="14.25" hidden="false" customHeight="false" outlineLevel="0" collapsed="false">
      <c r="A339" s="312" t="s">
        <v>600</v>
      </c>
      <c r="B339" s="202" t="s">
        <v>28</v>
      </c>
      <c r="C339" s="203" t="n">
        <v>0.189349112426035</v>
      </c>
      <c r="D339" s="203" t="n">
        <v>0.189349112426035</v>
      </c>
      <c r="E339" s="203" t="n">
        <v>0.189349112426035</v>
      </c>
      <c r="F339" s="203" t="n">
        <v>0.189349112426035</v>
      </c>
      <c r="G339" s="203" t="n">
        <v>0.189349112426035</v>
      </c>
      <c r="H339" s="203" t="n">
        <f aca="false">G339+(I339-G339)/2</f>
        <v>0.169674556213018</v>
      </c>
      <c r="I339" s="203" t="n">
        <v>0.15</v>
      </c>
      <c r="J339" s="57"/>
    </row>
    <row r="340" customFormat="false" ht="18" hidden="false" customHeight="true" outlineLevel="0" collapsed="false">
      <c r="A340" s="200" t="s">
        <v>625</v>
      </c>
      <c r="B340" s="200"/>
      <c r="C340" s="200"/>
      <c r="D340" s="200"/>
      <c r="E340" s="200"/>
      <c r="F340" s="200"/>
      <c r="G340" s="200"/>
      <c r="H340" s="200"/>
      <c r="I340" s="200"/>
    </row>
    <row r="341" customFormat="false" ht="14.25" hidden="false" customHeight="false" outlineLevel="0" collapsed="false">
      <c r="A341" s="312" t="s">
        <v>626</v>
      </c>
      <c r="B341" s="219" t="s">
        <v>499</v>
      </c>
      <c r="C341" s="203" t="n">
        <v>0</v>
      </c>
      <c r="D341" s="203" t="n">
        <v>0</v>
      </c>
      <c r="E341" s="203" t="n">
        <v>0.0125068665525114</v>
      </c>
      <c r="F341" s="203" t="n">
        <v>0.0135108581335616</v>
      </c>
      <c r="G341" s="203" t="n">
        <v>0.0145148497146119</v>
      </c>
      <c r="H341" s="203" t="n">
        <v>0.0155188412956621</v>
      </c>
      <c r="I341" s="203" t="n">
        <v>0.0165228328767123</v>
      </c>
    </row>
    <row r="342" customFormat="false" ht="14.25" hidden="false" customHeight="false" outlineLevel="0" collapsed="false">
      <c r="J342" s="57"/>
    </row>
    <row r="343" customFormat="false" ht="17.35" hidden="false" customHeight="false" outlineLevel="0" collapsed="false">
      <c r="A343" s="316" t="s">
        <v>627</v>
      </c>
      <c r="B343" s="317"/>
      <c r="C343" s="318"/>
    </row>
    <row r="344" customFormat="false" ht="14.25" hidden="false" customHeight="false" outlineLevel="0" collapsed="false">
      <c r="A344" s="312" t="s">
        <v>434</v>
      </c>
      <c r="B344" s="202" t="s">
        <v>36</v>
      </c>
      <c r="C344" s="204" t="n">
        <v>2050</v>
      </c>
    </row>
    <row r="345" customFormat="false" ht="14.25" hidden="false" customHeight="false" outlineLevel="0" collapsed="false">
      <c r="A345" s="319" t="s">
        <v>628</v>
      </c>
      <c r="B345" s="205" t="s">
        <v>327</v>
      </c>
      <c r="C345" s="320" t="n">
        <v>0.05</v>
      </c>
    </row>
    <row r="347" customFormat="false" ht="17.35" hidden="false" customHeight="false" outlineLevel="0" collapsed="false">
      <c r="A347" s="316" t="s">
        <v>629</v>
      </c>
      <c r="B347" s="316"/>
      <c r="C347" s="316"/>
      <c r="D347" s="316"/>
      <c r="E347" s="316"/>
      <c r="F347" s="316"/>
      <c r="G347" s="316"/>
      <c r="H347" s="316"/>
      <c r="I347" s="316"/>
    </row>
    <row r="348" customFormat="false" ht="14.25" hidden="false" customHeight="false" outlineLevel="0" collapsed="false">
      <c r="A348" s="312" t="s">
        <v>630</v>
      </c>
      <c r="B348" s="202" t="s">
        <v>36</v>
      </c>
      <c r="C348" s="203" t="n">
        <v>2020</v>
      </c>
      <c r="D348" s="203" t="n">
        <f aca="false">C348+5</f>
        <v>2025</v>
      </c>
      <c r="E348" s="203" t="n">
        <f aca="false">D348+5</f>
        <v>2030</v>
      </c>
      <c r="F348" s="203" t="n">
        <f aca="false">E348+5</f>
        <v>2035</v>
      </c>
      <c r="G348" s="203" t="n">
        <f aca="false">F348+5</f>
        <v>2040</v>
      </c>
      <c r="H348" s="203" t="n">
        <f aca="false">G348+5</f>
        <v>2045</v>
      </c>
      <c r="I348" s="203" t="n">
        <f aca="false">H348+5</f>
        <v>2050</v>
      </c>
    </row>
    <row r="349" customFormat="false" ht="14.25" hidden="false" customHeight="false" outlineLevel="0" collapsed="false">
      <c r="A349" s="312" t="s">
        <v>631</v>
      </c>
      <c r="B349" s="202" t="s">
        <v>632</v>
      </c>
      <c r="C349" s="203" t="n">
        <v>0</v>
      </c>
      <c r="D349" s="203" t="n">
        <v>0</v>
      </c>
      <c r="E349" s="203" t="n">
        <v>0</v>
      </c>
      <c r="F349" s="203" t="n">
        <v>0</v>
      </c>
      <c r="G349" s="203" t="n">
        <v>0</v>
      </c>
      <c r="H349" s="203" t="n">
        <v>0</v>
      </c>
      <c r="I349" s="203" t="n">
        <v>0</v>
      </c>
      <c r="M349" s="198"/>
      <c r="Q349" s="198"/>
      <c r="U349" s="198"/>
    </row>
    <row r="351" customFormat="false" ht="17.35" hidden="false" customHeight="false" outlineLevel="0" collapsed="false">
      <c r="A351" s="316" t="s">
        <v>633</v>
      </c>
      <c r="B351" s="316"/>
      <c r="C351" s="316"/>
      <c r="D351" s="316"/>
      <c r="E351" s="316"/>
      <c r="F351" s="316"/>
      <c r="G351" s="316"/>
      <c r="H351" s="316"/>
      <c r="I351" s="316"/>
      <c r="J351" s="316"/>
      <c r="K351" s="316"/>
      <c r="L351" s="316"/>
      <c r="M351" s="316"/>
      <c r="N351" s="316"/>
      <c r="O351" s="316"/>
      <c r="P351" s="316"/>
      <c r="Q351" s="316"/>
      <c r="R351" s="316"/>
      <c r="S351" s="316"/>
      <c r="T351" s="316"/>
      <c r="U351" s="316"/>
      <c r="V351" s="316"/>
      <c r="W351" s="316"/>
      <c r="X351" s="316"/>
    </row>
    <row r="352" customFormat="false" ht="14.25" hidden="false" customHeight="false" outlineLevel="0" collapsed="false">
      <c r="A352" s="312" t="s">
        <v>630</v>
      </c>
      <c r="B352" s="202" t="s">
        <v>36</v>
      </c>
      <c r="C352" s="203" t="n">
        <v>1980</v>
      </c>
      <c r="D352" s="203" t="n">
        <v>2020</v>
      </c>
      <c r="E352" s="203" t="n">
        <f aca="false">D352+5</f>
        <v>2025</v>
      </c>
      <c r="F352" s="203" t="n">
        <f aca="false">E352+5</f>
        <v>2030</v>
      </c>
      <c r="G352" s="203" t="n">
        <f aca="false">F352+5</f>
        <v>2035</v>
      </c>
      <c r="H352" s="203" t="n">
        <f aca="false">G352+5</f>
        <v>2040</v>
      </c>
      <c r="I352" s="203" t="n">
        <f aca="false">H352+5</f>
        <v>2045</v>
      </c>
      <c r="J352" s="203" t="n">
        <f aca="false">I352+5</f>
        <v>2050</v>
      </c>
      <c r="K352" s="203" t="n">
        <f aca="false">J352+5</f>
        <v>2055</v>
      </c>
      <c r="L352" s="203" t="n">
        <f aca="false">K352+5</f>
        <v>2060</v>
      </c>
      <c r="M352" s="203" t="n">
        <f aca="false">L352+5</f>
        <v>2065</v>
      </c>
      <c r="N352" s="203" t="n">
        <f aca="false">M352+5</f>
        <v>2070</v>
      </c>
      <c r="O352" s="203" t="n">
        <f aca="false">N352+5</f>
        <v>2075</v>
      </c>
      <c r="P352" s="203" t="n">
        <f aca="false">O352+5</f>
        <v>2080</v>
      </c>
      <c r="Q352" s="203" t="n">
        <f aca="false">P352+5</f>
        <v>2085</v>
      </c>
      <c r="R352" s="203" t="n">
        <f aca="false">Q352+5</f>
        <v>2090</v>
      </c>
      <c r="S352" s="203" t="n">
        <f aca="false">R352+5</f>
        <v>2095</v>
      </c>
      <c r="T352" s="203" t="n">
        <f aca="false">S352+5</f>
        <v>2100</v>
      </c>
      <c r="U352" s="203" t="n">
        <f aca="false">T352+5</f>
        <v>2105</v>
      </c>
      <c r="V352" s="203" t="n">
        <f aca="false">U352+5</f>
        <v>2110</v>
      </c>
      <c r="W352" s="203" t="n">
        <f aca="false">V352+5</f>
        <v>2115</v>
      </c>
      <c r="X352" s="203" t="n">
        <f aca="false">W352+5</f>
        <v>2120</v>
      </c>
    </row>
    <row r="353" customFormat="false" ht="14.25" hidden="false" customHeight="false" outlineLevel="0" collapsed="false">
      <c r="A353" s="312" t="s">
        <v>633</v>
      </c>
      <c r="B353" s="202" t="s">
        <v>634</v>
      </c>
      <c r="C353" s="203"/>
      <c r="D353" s="203" t="n">
        <v>345</v>
      </c>
      <c r="E353" s="203"/>
      <c r="F353" s="203" t="n">
        <v>345</v>
      </c>
      <c r="G353" s="203"/>
      <c r="H353" s="203" t="n">
        <v>298</v>
      </c>
      <c r="I353" s="203"/>
      <c r="J353" s="203" t="n">
        <v>333</v>
      </c>
      <c r="K353" s="203"/>
      <c r="L353" s="203"/>
      <c r="M353" s="203"/>
      <c r="N353" s="203"/>
      <c r="O353" s="203"/>
      <c r="P353" s="203"/>
      <c r="Q353" s="203"/>
      <c r="R353" s="203"/>
      <c r="S353" s="203"/>
      <c r="T353" s="203"/>
      <c r="U353" s="203"/>
      <c r="V353" s="203"/>
      <c r="W353" s="203"/>
      <c r="X353" s="203"/>
    </row>
    <row r="354" customFormat="false" ht="14.25" hidden="false" customHeight="false" outlineLevel="0" collapsed="false">
      <c r="H354" s="54"/>
      <c r="J354" s="57"/>
    </row>
    <row r="355" customFormat="false" ht="14.25" hidden="false" customHeight="false" outlineLevel="0" collapsed="false">
      <c r="H355" s="54"/>
      <c r="J355" s="57"/>
    </row>
    <row r="356" customFormat="false" ht="14.25" hidden="false" customHeight="false" outlineLevel="0" collapsed="false">
      <c r="H356" s="54"/>
      <c r="J356" s="57"/>
    </row>
    <row r="357" customFormat="false" ht="14.25" hidden="false" customHeight="false" outlineLevel="0" collapsed="false">
      <c r="H357" s="54"/>
      <c r="J357" s="57"/>
    </row>
    <row r="358" customFormat="false" ht="14.25" hidden="false" customHeight="false" outlineLevel="0" collapsed="false">
      <c r="H358" s="54"/>
      <c r="J358" s="57"/>
    </row>
    <row r="359" customFormat="false" ht="24.45" hidden="false" customHeight="false" outlineLevel="0" collapsed="false">
      <c r="A359" s="199" t="s">
        <v>635</v>
      </c>
    </row>
    <row r="362" customFormat="false" ht="14.25" hidden="false" customHeight="false" outlineLevel="0" collapsed="false">
      <c r="H362" s="321"/>
    </row>
    <row r="363" customFormat="false" ht="14.25" hidden="false" customHeight="false" outlineLevel="0" collapsed="false">
      <c r="H363" s="321"/>
    </row>
    <row r="364" customFormat="false" ht="17.35" hidden="false" customHeight="false" outlineLevel="0" collapsed="false">
      <c r="A364" s="200" t="s">
        <v>636</v>
      </c>
      <c r="B364" s="200"/>
      <c r="C364" s="200"/>
      <c r="D364" s="200"/>
      <c r="E364" s="200"/>
      <c r="F364" s="200"/>
      <c r="G364" s="200"/>
      <c r="H364" s="200"/>
    </row>
    <row r="365" customFormat="false" ht="14.25" hidden="false" customHeight="false" outlineLevel="0" collapsed="false">
      <c r="A365" s="322" t="s">
        <v>36</v>
      </c>
      <c r="B365" s="203" t="n">
        <v>2020</v>
      </c>
      <c r="C365" s="203" t="n">
        <v>2025</v>
      </c>
      <c r="D365" s="203" t="n">
        <v>2030</v>
      </c>
      <c r="E365" s="203" t="n">
        <v>2035</v>
      </c>
      <c r="F365" s="203" t="n">
        <v>2040</v>
      </c>
      <c r="G365" s="203" t="n">
        <v>2045</v>
      </c>
      <c r="H365" s="204" t="n">
        <v>2050</v>
      </c>
    </row>
    <row r="366" customFormat="false" ht="14.25" hidden="false" customHeight="false" outlineLevel="0" collapsed="false">
      <c r="A366" s="305" t="s">
        <v>472</v>
      </c>
      <c r="B366" s="305"/>
      <c r="C366" s="305"/>
      <c r="D366" s="305"/>
      <c r="E366" s="305"/>
      <c r="F366" s="305"/>
      <c r="G366" s="305"/>
      <c r="H366" s="305"/>
    </row>
    <row r="367" customFormat="false" ht="14.25" hidden="false" customHeight="false" outlineLevel="0" collapsed="false">
      <c r="A367" s="323" t="s">
        <v>637</v>
      </c>
      <c r="B367" s="203" t="n">
        <v>18.8</v>
      </c>
      <c r="C367" s="203" t="n">
        <v>16.1316315</v>
      </c>
      <c r="D367" s="203" t="n">
        <v>13.486491</v>
      </c>
      <c r="E367" s="203" t="n">
        <v>10.8413505</v>
      </c>
      <c r="F367" s="203" t="n">
        <v>8.19621</v>
      </c>
      <c r="G367" s="203" t="n">
        <v>5.5510695</v>
      </c>
      <c r="H367" s="204" t="n">
        <v>2.9</v>
      </c>
    </row>
    <row r="368" customFormat="false" ht="14.25" hidden="false" customHeight="false" outlineLevel="0" collapsed="false">
      <c r="A368" s="305" t="s">
        <v>479</v>
      </c>
      <c r="B368" s="305"/>
      <c r="C368" s="305"/>
      <c r="D368" s="305"/>
      <c r="E368" s="305"/>
      <c r="F368" s="305"/>
      <c r="G368" s="305"/>
      <c r="H368" s="305"/>
      <c r="I368" s="57"/>
    </row>
    <row r="369" customFormat="false" ht="14.25" hidden="false" customHeight="false" outlineLevel="0" collapsed="false">
      <c r="A369" s="323" t="s">
        <v>637</v>
      </c>
      <c r="B369" s="203" t="n">
        <v>13.3</v>
      </c>
      <c r="C369" s="203" t="n">
        <v>11.39042</v>
      </c>
      <c r="D369" s="203" t="n">
        <v>9.52904</v>
      </c>
      <c r="E369" s="203" t="n">
        <v>7.66766</v>
      </c>
      <c r="F369" s="203" t="n">
        <v>5.80628</v>
      </c>
      <c r="G369" s="203" t="n">
        <v>3.9449</v>
      </c>
      <c r="H369" s="204" t="n">
        <v>2.1</v>
      </c>
    </row>
    <row r="370" customFormat="false" ht="14.25" hidden="false" customHeight="false" outlineLevel="0" collapsed="false">
      <c r="A370" s="305" t="s">
        <v>485</v>
      </c>
      <c r="B370" s="305"/>
      <c r="C370" s="305"/>
      <c r="D370" s="305"/>
      <c r="E370" s="305"/>
      <c r="F370" s="305"/>
      <c r="G370" s="305"/>
      <c r="H370" s="305"/>
      <c r="I370" s="57"/>
    </row>
    <row r="371" customFormat="false" ht="14.25" hidden="false" customHeight="false" outlineLevel="0" collapsed="false">
      <c r="A371" s="324" t="s">
        <v>637</v>
      </c>
      <c r="B371" s="325" t="n">
        <v>2.4</v>
      </c>
      <c r="C371" s="325" t="n">
        <v>2.083</v>
      </c>
      <c r="D371" s="325" t="n">
        <v>1.769</v>
      </c>
      <c r="E371" s="325" t="n">
        <v>1.455</v>
      </c>
      <c r="F371" s="325" t="n">
        <v>1.141</v>
      </c>
      <c r="G371" s="325" t="n">
        <v>0.827</v>
      </c>
      <c r="H371" s="242" t="n">
        <v>0.5</v>
      </c>
    </row>
    <row r="373" customFormat="false" ht="17.35" hidden="false" customHeight="false" outlineLevel="0" collapsed="false">
      <c r="A373" s="200" t="s">
        <v>638</v>
      </c>
      <c r="B373" s="200"/>
      <c r="C373" s="200"/>
      <c r="D373" s="200"/>
      <c r="E373" s="200"/>
      <c r="F373" s="200"/>
      <c r="G373" s="200"/>
      <c r="H373" s="200"/>
      <c r="I373" s="200"/>
    </row>
    <row r="374" customFormat="false" ht="14.25" hidden="false" customHeight="false" outlineLevel="0" collapsed="false">
      <c r="A374" s="326"/>
      <c r="B374" s="202" t="s">
        <v>36</v>
      </c>
      <c r="C374" s="203" t="n">
        <v>2020</v>
      </c>
      <c r="D374" s="203" t="n">
        <v>2025</v>
      </c>
      <c r="E374" s="203" t="n">
        <v>2030</v>
      </c>
      <c r="F374" s="203" t="n">
        <v>2035</v>
      </c>
      <c r="G374" s="203" t="n">
        <v>2040</v>
      </c>
      <c r="H374" s="203" t="n">
        <v>2045</v>
      </c>
      <c r="I374" s="204" t="n">
        <v>2050</v>
      </c>
    </row>
    <row r="375" customFormat="false" ht="14.25" hidden="false" customHeight="false" outlineLevel="0" collapsed="false">
      <c r="A375" s="312" t="s">
        <v>639</v>
      </c>
      <c r="B375" s="202" t="s">
        <v>146</v>
      </c>
      <c r="C375" s="204" t="n">
        <v>-0.01</v>
      </c>
      <c r="D375" s="204" t="n">
        <v>-0.013</v>
      </c>
      <c r="E375" s="204" t="n">
        <v>-0.016</v>
      </c>
      <c r="F375" s="204" t="n">
        <v>-0.019</v>
      </c>
      <c r="G375" s="204" t="n">
        <v>-0.023</v>
      </c>
      <c r="H375" s="204" t="n">
        <v>-0.026</v>
      </c>
      <c r="I375" s="204" t="n">
        <v>-0.029</v>
      </c>
    </row>
    <row r="376" customFormat="false" ht="14.25" hidden="false" customHeight="false" outlineLevel="0" collapsed="false">
      <c r="A376" s="319" t="s">
        <v>640</v>
      </c>
      <c r="B376" s="205" t="s">
        <v>327</v>
      </c>
      <c r="C376" s="304" t="n">
        <v>0</v>
      </c>
      <c r="D376" s="304" t="n">
        <v>0</v>
      </c>
      <c r="E376" s="304" t="n">
        <v>0</v>
      </c>
      <c r="F376" s="304" t="n">
        <v>0</v>
      </c>
      <c r="G376" s="304" t="n">
        <v>0</v>
      </c>
      <c r="H376" s="304" t="n">
        <v>0</v>
      </c>
      <c r="I376" s="304" t="n">
        <v>0</v>
      </c>
    </row>
    <row r="380" customFormat="false" ht="24.45" hidden="false" customHeight="false" outlineLevel="0" collapsed="false">
      <c r="A380" s="199" t="s">
        <v>641</v>
      </c>
      <c r="H380" s="54"/>
      <c r="J380" s="57"/>
    </row>
    <row r="381" customFormat="false" ht="17.35" hidden="false" customHeight="false" outlineLevel="0" collapsed="false">
      <c r="A381" s="200" t="s">
        <v>642</v>
      </c>
      <c r="B381" s="200"/>
      <c r="C381" s="200"/>
      <c r="H381" s="54"/>
      <c r="J381" s="57"/>
    </row>
    <row r="382" customFormat="false" ht="14.25" hidden="false" customHeight="false" outlineLevel="0" collapsed="false">
      <c r="A382" s="312" t="s">
        <v>416</v>
      </c>
      <c r="B382" s="202" t="s">
        <v>28</v>
      </c>
      <c r="C382" s="204" t="n">
        <v>0</v>
      </c>
    </row>
    <row r="383" customFormat="false" ht="14.25" hidden="false" customHeight="false" outlineLevel="0" collapsed="false">
      <c r="A383" s="312" t="s">
        <v>418</v>
      </c>
      <c r="B383" s="202" t="s">
        <v>125</v>
      </c>
      <c r="C383" s="204" t="n">
        <v>200</v>
      </c>
    </row>
    <row r="384" customFormat="false" ht="14.25" hidden="false" customHeight="false" outlineLevel="0" collapsed="false">
      <c r="A384" s="312" t="s">
        <v>420</v>
      </c>
      <c r="B384" s="202" t="s">
        <v>643</v>
      </c>
      <c r="C384" s="327" t="n">
        <v>0.0074</v>
      </c>
    </row>
    <row r="385" customFormat="false" ht="14.25" hidden="false" customHeight="false" outlineLevel="0" collapsed="false">
      <c r="A385" s="312" t="s">
        <v>644</v>
      </c>
      <c r="B385" s="202" t="s">
        <v>36</v>
      </c>
      <c r="C385" s="204" t="n">
        <v>2020</v>
      </c>
    </row>
    <row r="386" customFormat="false" ht="14.25" hidden="false" customHeight="false" outlineLevel="0" collapsed="false">
      <c r="A386" s="312" t="s">
        <v>424</v>
      </c>
      <c r="B386" s="202" t="s">
        <v>645</v>
      </c>
      <c r="C386" s="204" t="n">
        <v>185</v>
      </c>
    </row>
    <row r="387" customFormat="false" ht="14.25" hidden="false" customHeight="false" outlineLevel="0" collapsed="false">
      <c r="A387" s="312" t="s">
        <v>427</v>
      </c>
      <c r="B387" s="202" t="s">
        <v>36</v>
      </c>
      <c r="C387" s="204" t="n">
        <v>2020</v>
      </c>
    </row>
    <row r="388" customFormat="false" ht="14.25" hidden="false" customHeight="false" outlineLevel="0" collapsed="false">
      <c r="A388" s="319" t="s">
        <v>428</v>
      </c>
      <c r="B388" s="205" t="s">
        <v>36</v>
      </c>
      <c r="C388" s="242" t="n">
        <v>2050</v>
      </c>
    </row>
    <row r="390" customFormat="false" ht="14.25" hidden="false" customHeight="true" outlineLevel="0" collapsed="false">
      <c r="A390" s="328" t="s">
        <v>70</v>
      </c>
      <c r="B390" s="328"/>
      <c r="C390" s="328"/>
      <c r="F390" s="321"/>
      <c r="G390" s="321"/>
      <c r="H390" s="321"/>
      <c r="I390" s="321"/>
      <c r="J390" s="321"/>
      <c r="K390" s="321"/>
      <c r="L390" s="321"/>
      <c r="M390" s="321"/>
      <c r="N390" s="321"/>
      <c r="O390" s="321"/>
      <c r="P390" s="321"/>
      <c r="Q390" s="321"/>
      <c r="R390" s="321"/>
      <c r="S390" s="321"/>
      <c r="T390" s="321"/>
      <c r="U390" s="321"/>
      <c r="V390" s="321"/>
      <c r="W390" s="321"/>
      <c r="X390" s="321"/>
      <c r="Y390" s="321"/>
      <c r="Z390" s="321"/>
      <c r="AA390" s="321"/>
      <c r="AB390" s="321"/>
      <c r="AC390" s="321"/>
      <c r="AD390" s="321"/>
      <c r="AE390" s="321"/>
      <c r="AF390" s="321"/>
      <c r="AG390" s="321"/>
      <c r="AH390" s="321"/>
      <c r="AI390" s="321"/>
      <c r="AJ390" s="321"/>
      <c r="AK390" s="321"/>
      <c r="AL390" s="321"/>
    </row>
    <row r="391" customFormat="false" ht="14.25" hidden="false" customHeight="false" outlineLevel="0" collapsed="false">
      <c r="A391" s="329" t="s">
        <v>75</v>
      </c>
      <c r="B391" s="259" t="s">
        <v>76</v>
      </c>
      <c r="C391" s="330" t="n">
        <v>135</v>
      </c>
      <c r="F391" s="321"/>
      <c r="G391" s="321"/>
      <c r="H391" s="321"/>
      <c r="I391" s="321"/>
      <c r="J391" s="321"/>
      <c r="K391" s="321"/>
      <c r="L391" s="321"/>
      <c r="M391" s="321"/>
      <c r="N391" s="321"/>
      <c r="O391" s="321"/>
      <c r="P391" s="321"/>
      <c r="Q391" s="321"/>
      <c r="R391" s="321"/>
      <c r="S391" s="321"/>
      <c r="T391" s="321"/>
      <c r="U391" s="321"/>
      <c r="V391" s="321"/>
      <c r="W391" s="321"/>
      <c r="X391" s="321"/>
      <c r="Y391" s="321"/>
      <c r="Z391" s="321"/>
      <c r="AA391" s="321"/>
      <c r="AB391" s="321"/>
      <c r="AC391" s="321"/>
      <c r="AD391" s="321"/>
      <c r="AE391" s="321"/>
      <c r="AF391" s="321"/>
      <c r="AG391" s="321"/>
      <c r="AH391" s="321"/>
      <c r="AI391" s="321"/>
      <c r="AJ391" s="321"/>
      <c r="AK391" s="321"/>
      <c r="AL391" s="321"/>
    </row>
    <row r="392" customFormat="false" ht="14.25" hidden="false" customHeight="false" outlineLevel="0" collapsed="false">
      <c r="A392" s="312" t="s">
        <v>74</v>
      </c>
      <c r="B392" s="202" t="s">
        <v>28</v>
      </c>
      <c r="C392" s="204" t="n">
        <v>0.2</v>
      </c>
      <c r="F392" s="321"/>
      <c r="G392" s="321"/>
      <c r="H392" s="321"/>
      <c r="I392" s="321"/>
      <c r="J392" s="321"/>
      <c r="K392" s="321"/>
      <c r="L392" s="321"/>
      <c r="M392" s="321"/>
      <c r="N392" s="321"/>
      <c r="O392" s="321"/>
      <c r="P392" s="321"/>
      <c r="Q392" s="321"/>
      <c r="R392" s="321"/>
      <c r="S392" s="321"/>
      <c r="T392" s="321"/>
      <c r="U392" s="321"/>
      <c r="V392" s="321"/>
      <c r="W392" s="321"/>
      <c r="X392" s="321"/>
      <c r="Y392" s="321"/>
      <c r="Z392" s="321"/>
      <c r="AA392" s="321"/>
      <c r="AB392" s="321"/>
      <c r="AC392" s="321"/>
      <c r="AD392" s="321"/>
      <c r="AE392" s="321"/>
      <c r="AF392" s="321"/>
      <c r="AG392" s="321"/>
      <c r="AH392" s="321"/>
      <c r="AI392" s="321"/>
      <c r="AJ392" s="321"/>
      <c r="AK392" s="321"/>
      <c r="AL392" s="321"/>
    </row>
    <row r="393" customFormat="false" ht="14.25" hidden="false" customHeight="false" outlineLevel="0" collapsed="false">
      <c r="A393" s="312" t="s">
        <v>80</v>
      </c>
      <c r="B393" s="202" t="s">
        <v>28</v>
      </c>
      <c r="C393" s="204" t="n">
        <v>2020</v>
      </c>
      <c r="F393" s="321"/>
      <c r="G393" s="321"/>
      <c r="H393" s="321"/>
      <c r="I393" s="321"/>
      <c r="J393" s="321"/>
      <c r="K393" s="321"/>
      <c r="L393" s="321"/>
      <c r="M393" s="321"/>
      <c r="N393" s="321"/>
      <c r="O393" s="321"/>
      <c r="P393" s="321"/>
      <c r="Q393" s="321"/>
      <c r="R393" s="321"/>
      <c r="S393" s="321"/>
      <c r="T393" s="321"/>
      <c r="U393" s="321"/>
      <c r="V393" s="321"/>
      <c r="W393" s="321"/>
      <c r="X393" s="321"/>
      <c r="Y393" s="321"/>
      <c r="Z393" s="321"/>
      <c r="AA393" s="321"/>
      <c r="AB393" s="321"/>
      <c r="AC393" s="321"/>
      <c r="AD393" s="321"/>
      <c r="AE393" s="321"/>
      <c r="AF393" s="321"/>
      <c r="AG393" s="321"/>
      <c r="AH393" s="321"/>
      <c r="AI393" s="321"/>
      <c r="AJ393" s="321"/>
      <c r="AK393" s="321"/>
      <c r="AL393" s="321"/>
    </row>
    <row r="394" customFormat="false" ht="14.25" hidden="false" customHeight="false" outlineLevel="0" collapsed="false">
      <c r="A394" s="319" t="s">
        <v>83</v>
      </c>
      <c r="B394" s="205" t="s">
        <v>28</v>
      </c>
      <c r="C394" s="242" t="n">
        <v>2050</v>
      </c>
      <c r="F394" s="321"/>
      <c r="G394" s="321"/>
      <c r="H394" s="321"/>
      <c r="I394" s="321"/>
      <c r="J394" s="321"/>
      <c r="K394" s="321"/>
      <c r="L394" s="321"/>
      <c r="M394" s="321"/>
      <c r="N394" s="321"/>
      <c r="O394" s="321"/>
      <c r="P394" s="321"/>
      <c r="Q394" s="321"/>
      <c r="R394" s="321"/>
      <c r="S394" s="321"/>
      <c r="T394" s="321"/>
      <c r="U394" s="321"/>
      <c r="V394" s="321"/>
      <c r="W394" s="321"/>
      <c r="X394" s="321"/>
      <c r="Y394" s="321"/>
      <c r="Z394" s="321"/>
      <c r="AA394" s="321"/>
      <c r="AB394" s="321"/>
      <c r="AC394" s="321"/>
      <c r="AD394" s="321"/>
      <c r="AE394" s="321"/>
      <c r="AF394" s="321"/>
      <c r="AG394" s="321"/>
      <c r="AH394" s="321"/>
      <c r="AI394" s="321"/>
      <c r="AJ394" s="321"/>
      <c r="AK394" s="321"/>
      <c r="AL394" s="321"/>
    </row>
    <row r="397" customFormat="false" ht="17.35" hidden="false" customHeight="false" outlineLevel="0" collapsed="false">
      <c r="A397" s="328" t="s">
        <v>86</v>
      </c>
      <c r="B397" s="328"/>
      <c r="C397" s="328"/>
    </row>
    <row r="398" customFormat="false" ht="14.25" hidden="false" customHeight="false" outlineLevel="0" collapsed="false">
      <c r="A398" s="312" t="s">
        <v>89</v>
      </c>
      <c r="B398" s="202" t="s">
        <v>28</v>
      </c>
      <c r="C398" s="304" t="n">
        <v>0.5</v>
      </c>
    </row>
    <row r="399" customFormat="false" ht="14.25" hidden="false" customHeight="false" outlineLevel="0" collapsed="false">
      <c r="A399" s="312" t="s">
        <v>92</v>
      </c>
      <c r="B399" s="202" t="s">
        <v>28</v>
      </c>
      <c r="C399" s="304" t="n">
        <v>0.5</v>
      </c>
    </row>
    <row r="400" customFormat="false" ht="14.25" hidden="false" customHeight="false" outlineLevel="0" collapsed="false">
      <c r="A400" s="312" t="s">
        <v>93</v>
      </c>
      <c r="B400" s="202" t="s">
        <v>28</v>
      </c>
      <c r="C400" s="304" t="n">
        <v>0.5</v>
      </c>
    </row>
    <row r="401" customFormat="false" ht="14.25" hidden="false" customHeight="false" outlineLevel="0" collapsed="false">
      <c r="A401" s="319" t="s">
        <v>118</v>
      </c>
      <c r="B401" s="205" t="s">
        <v>28</v>
      </c>
      <c r="C401" s="331" t="n">
        <v>0.5</v>
      </c>
    </row>
    <row r="403" customFormat="false" ht="15.75" hidden="false" customHeight="true" outlineLevel="0" collapsed="false">
      <c r="A403" s="328" t="s">
        <v>646</v>
      </c>
      <c r="B403" s="328"/>
      <c r="C403" s="332" t="s">
        <v>576</v>
      </c>
      <c r="D403" s="333" t="s">
        <v>579</v>
      </c>
      <c r="E403" s="333" t="s">
        <v>647</v>
      </c>
      <c r="F403" s="333" t="s">
        <v>648</v>
      </c>
      <c r="G403" s="333" t="s">
        <v>649</v>
      </c>
      <c r="H403" s="333" t="s">
        <v>650</v>
      </c>
      <c r="I403" s="333" t="s">
        <v>651</v>
      </c>
      <c r="J403" s="333" t="s">
        <v>652</v>
      </c>
      <c r="K403" s="333" t="s">
        <v>354</v>
      </c>
      <c r="L403" s="333" t="s">
        <v>653</v>
      </c>
      <c r="M403" s="333" t="s">
        <v>654</v>
      </c>
      <c r="N403" s="333" t="s">
        <v>655</v>
      </c>
      <c r="O403" s="333" t="s">
        <v>656</v>
      </c>
      <c r="P403" s="333" t="s">
        <v>657</v>
      </c>
      <c r="Q403" s="334" t="s">
        <v>658</v>
      </c>
    </row>
    <row r="404" customFormat="false" ht="14.25" hidden="false" customHeight="false" outlineLevel="0" collapsed="false">
      <c r="A404" s="312" t="s">
        <v>659</v>
      </c>
      <c r="B404" s="335" t="s">
        <v>374</v>
      </c>
      <c r="C404" s="204" t="s">
        <v>660</v>
      </c>
      <c r="D404" s="204" t="s">
        <v>660</v>
      </c>
      <c r="E404" s="204" t="s">
        <v>660</v>
      </c>
      <c r="F404" s="204" t="s">
        <v>660</v>
      </c>
      <c r="G404" s="204" t="s">
        <v>660</v>
      </c>
      <c r="H404" s="204" t="s">
        <v>660</v>
      </c>
      <c r="I404" s="204" t="s">
        <v>660</v>
      </c>
      <c r="J404" s="204" t="s">
        <v>660</v>
      </c>
      <c r="K404" s="204" t="s">
        <v>660</v>
      </c>
      <c r="L404" s="204" t="s">
        <v>660</v>
      </c>
      <c r="M404" s="204" t="s">
        <v>660</v>
      </c>
      <c r="N404" s="204" t="s">
        <v>660</v>
      </c>
      <c r="O404" s="204" t="s">
        <v>660</v>
      </c>
      <c r="P404" s="204" t="s">
        <v>660</v>
      </c>
      <c r="Q404" s="204" t="s">
        <v>660</v>
      </c>
    </row>
    <row r="405" customFormat="false" ht="14.25" hidden="false" customHeight="false" outlineLevel="0" collapsed="false">
      <c r="A405" s="312" t="s">
        <v>661</v>
      </c>
      <c r="B405" s="335"/>
      <c r="C405" s="204" t="s">
        <v>660</v>
      </c>
      <c r="D405" s="204" t="s">
        <v>660</v>
      </c>
      <c r="E405" s="204" t="s">
        <v>660</v>
      </c>
      <c r="F405" s="204" t="s">
        <v>660</v>
      </c>
      <c r="G405" s="204" t="s">
        <v>660</v>
      </c>
      <c r="H405" s="204" t="s">
        <v>660</v>
      </c>
      <c r="I405" s="204" t="s">
        <v>660</v>
      </c>
      <c r="J405" s="204" t="s">
        <v>660</v>
      </c>
      <c r="K405" s="204" t="s">
        <v>660</v>
      </c>
      <c r="L405" s="204" t="s">
        <v>660</v>
      </c>
      <c r="M405" s="204" t="s">
        <v>660</v>
      </c>
      <c r="N405" s="204" t="s">
        <v>660</v>
      </c>
      <c r="O405" s="204" t="s">
        <v>660</v>
      </c>
      <c r="P405" s="204" t="s">
        <v>660</v>
      </c>
      <c r="Q405" s="204" t="s">
        <v>660</v>
      </c>
    </row>
    <row r="406" customFormat="false" ht="14.25" hidden="false" customHeight="false" outlineLevel="0" collapsed="false">
      <c r="A406" s="312" t="s">
        <v>662</v>
      </c>
      <c r="B406" s="335"/>
      <c r="C406" s="204" t="s">
        <v>660</v>
      </c>
      <c r="D406" s="204" t="s">
        <v>660</v>
      </c>
      <c r="E406" s="204" t="s">
        <v>660</v>
      </c>
      <c r="F406" s="204" t="s">
        <v>660</v>
      </c>
      <c r="G406" s="204" t="s">
        <v>660</v>
      </c>
      <c r="H406" s="204" t="s">
        <v>660</v>
      </c>
      <c r="I406" s="204" t="s">
        <v>660</v>
      </c>
      <c r="J406" s="204" t="s">
        <v>660</v>
      </c>
      <c r="K406" s="204" t="s">
        <v>660</v>
      </c>
      <c r="L406" s="204" t="s">
        <v>660</v>
      </c>
      <c r="M406" s="204" t="s">
        <v>660</v>
      </c>
      <c r="N406" s="204" t="s">
        <v>660</v>
      </c>
      <c r="O406" s="204" t="s">
        <v>660</v>
      </c>
      <c r="P406" s="204" t="s">
        <v>660</v>
      </c>
      <c r="Q406" s="204" t="s">
        <v>660</v>
      </c>
    </row>
    <row r="407" customFormat="false" ht="14.25" hidden="false" customHeight="false" outlineLevel="0" collapsed="false">
      <c r="A407" s="312" t="s">
        <v>663</v>
      </c>
      <c r="B407" s="335"/>
      <c r="C407" s="204" t="s">
        <v>660</v>
      </c>
      <c r="D407" s="204" t="s">
        <v>660</v>
      </c>
      <c r="E407" s="204" t="s">
        <v>660</v>
      </c>
      <c r="F407" s="204" t="s">
        <v>660</v>
      </c>
      <c r="G407" s="204" t="s">
        <v>660</v>
      </c>
      <c r="H407" s="204" t="s">
        <v>660</v>
      </c>
      <c r="I407" s="204" t="s">
        <v>660</v>
      </c>
      <c r="J407" s="204" t="s">
        <v>660</v>
      </c>
      <c r="K407" s="204" t="s">
        <v>660</v>
      </c>
      <c r="L407" s="204" t="s">
        <v>660</v>
      </c>
      <c r="M407" s="204" t="s">
        <v>660</v>
      </c>
      <c r="N407" s="204" t="s">
        <v>660</v>
      </c>
      <c r="O407" s="204" t="s">
        <v>660</v>
      </c>
      <c r="P407" s="204" t="s">
        <v>660</v>
      </c>
      <c r="Q407" s="204" t="s">
        <v>660</v>
      </c>
    </row>
    <row r="408" customFormat="false" ht="14.25" hidden="false" customHeight="false" outlineLevel="0" collapsed="false">
      <c r="A408" s="312" t="s">
        <v>664</v>
      </c>
      <c r="B408" s="335"/>
      <c r="C408" s="204" t="s">
        <v>660</v>
      </c>
      <c r="D408" s="204" t="s">
        <v>660</v>
      </c>
      <c r="E408" s="204" t="s">
        <v>660</v>
      </c>
      <c r="F408" s="204" t="s">
        <v>660</v>
      </c>
      <c r="G408" s="204" t="s">
        <v>660</v>
      </c>
      <c r="H408" s="204" t="s">
        <v>660</v>
      </c>
      <c r="I408" s="204" t="s">
        <v>660</v>
      </c>
      <c r="J408" s="204" t="s">
        <v>660</v>
      </c>
      <c r="K408" s="204" t="s">
        <v>660</v>
      </c>
      <c r="L408" s="204" t="s">
        <v>660</v>
      </c>
      <c r="M408" s="204" t="s">
        <v>660</v>
      </c>
      <c r="N408" s="204" t="s">
        <v>660</v>
      </c>
      <c r="O408" s="204" t="s">
        <v>660</v>
      </c>
      <c r="P408" s="204" t="s">
        <v>660</v>
      </c>
      <c r="Q408" s="204" t="s">
        <v>660</v>
      </c>
    </row>
    <row r="409" customFormat="false" ht="14.25" hidden="false" customHeight="false" outlineLevel="0" collapsed="false">
      <c r="A409" s="312" t="s">
        <v>659</v>
      </c>
      <c r="B409" s="335" t="s">
        <v>375</v>
      </c>
      <c r="C409" s="204" t="s">
        <v>660</v>
      </c>
      <c r="D409" s="204" t="s">
        <v>660</v>
      </c>
      <c r="E409" s="204" t="s">
        <v>660</v>
      </c>
      <c r="F409" s="204" t="s">
        <v>660</v>
      </c>
      <c r="G409" s="204" t="s">
        <v>660</v>
      </c>
      <c r="H409" s="204" t="s">
        <v>660</v>
      </c>
      <c r="I409" s="204" t="s">
        <v>660</v>
      </c>
      <c r="J409" s="204" t="s">
        <v>660</v>
      </c>
      <c r="K409" s="204" t="s">
        <v>660</v>
      </c>
      <c r="L409" s="204" t="s">
        <v>660</v>
      </c>
      <c r="M409" s="204" t="s">
        <v>660</v>
      </c>
      <c r="N409" s="204" t="s">
        <v>660</v>
      </c>
      <c r="O409" s="204" t="s">
        <v>660</v>
      </c>
      <c r="P409" s="204" t="s">
        <v>660</v>
      </c>
      <c r="Q409" s="204" t="s">
        <v>660</v>
      </c>
    </row>
    <row r="410" customFormat="false" ht="14.25" hidden="false" customHeight="false" outlineLevel="0" collapsed="false">
      <c r="A410" s="312" t="s">
        <v>661</v>
      </c>
      <c r="B410" s="335"/>
      <c r="C410" s="204" t="s">
        <v>660</v>
      </c>
      <c r="D410" s="204" t="s">
        <v>660</v>
      </c>
      <c r="E410" s="204" t="s">
        <v>660</v>
      </c>
      <c r="F410" s="204" t="s">
        <v>660</v>
      </c>
      <c r="G410" s="204" t="s">
        <v>660</v>
      </c>
      <c r="H410" s="204" t="s">
        <v>660</v>
      </c>
      <c r="I410" s="204" t="s">
        <v>660</v>
      </c>
      <c r="J410" s="204" t="s">
        <v>660</v>
      </c>
      <c r="K410" s="204" t="s">
        <v>660</v>
      </c>
      <c r="L410" s="204" t="s">
        <v>660</v>
      </c>
      <c r="M410" s="204" t="s">
        <v>660</v>
      </c>
      <c r="N410" s="204" t="s">
        <v>660</v>
      </c>
      <c r="O410" s="204" t="s">
        <v>660</v>
      </c>
      <c r="P410" s="204" t="s">
        <v>660</v>
      </c>
      <c r="Q410" s="204" t="s">
        <v>660</v>
      </c>
    </row>
    <row r="411" customFormat="false" ht="14.25" hidden="false" customHeight="false" outlineLevel="0" collapsed="false">
      <c r="A411" s="312" t="s">
        <v>662</v>
      </c>
      <c r="B411" s="335"/>
      <c r="C411" s="204" t="s">
        <v>660</v>
      </c>
      <c r="D411" s="204" t="s">
        <v>660</v>
      </c>
      <c r="E411" s="204" t="s">
        <v>660</v>
      </c>
      <c r="F411" s="204" t="s">
        <v>660</v>
      </c>
      <c r="G411" s="204" t="s">
        <v>660</v>
      </c>
      <c r="H411" s="204" t="s">
        <v>660</v>
      </c>
      <c r="I411" s="204" t="s">
        <v>660</v>
      </c>
      <c r="J411" s="204" t="s">
        <v>660</v>
      </c>
      <c r="K411" s="204" t="s">
        <v>660</v>
      </c>
      <c r="L411" s="204" t="s">
        <v>660</v>
      </c>
      <c r="M411" s="204" t="s">
        <v>660</v>
      </c>
      <c r="N411" s="204" t="s">
        <v>660</v>
      </c>
      <c r="O411" s="204" t="s">
        <v>660</v>
      </c>
      <c r="P411" s="204" t="s">
        <v>660</v>
      </c>
      <c r="Q411" s="204" t="s">
        <v>660</v>
      </c>
    </row>
    <row r="412" customFormat="false" ht="14.25" hidden="false" customHeight="false" outlineLevel="0" collapsed="false">
      <c r="A412" s="312" t="s">
        <v>663</v>
      </c>
      <c r="B412" s="335"/>
      <c r="C412" s="204" t="s">
        <v>660</v>
      </c>
      <c r="D412" s="204" t="s">
        <v>660</v>
      </c>
      <c r="E412" s="204" t="s">
        <v>660</v>
      </c>
      <c r="F412" s="204" t="s">
        <v>660</v>
      </c>
      <c r="G412" s="204" t="s">
        <v>660</v>
      </c>
      <c r="H412" s="204" t="s">
        <v>660</v>
      </c>
      <c r="I412" s="204" t="s">
        <v>660</v>
      </c>
      <c r="J412" s="204" t="s">
        <v>660</v>
      </c>
      <c r="K412" s="204" t="s">
        <v>660</v>
      </c>
      <c r="L412" s="204" t="s">
        <v>660</v>
      </c>
      <c r="M412" s="204" t="s">
        <v>660</v>
      </c>
      <c r="N412" s="204" t="s">
        <v>660</v>
      </c>
      <c r="O412" s="204" t="s">
        <v>660</v>
      </c>
      <c r="P412" s="204" t="s">
        <v>660</v>
      </c>
      <c r="Q412" s="204" t="s">
        <v>660</v>
      </c>
    </row>
    <row r="413" customFormat="false" ht="14.25" hidden="false" customHeight="false" outlineLevel="0" collapsed="false">
      <c r="A413" s="312" t="s">
        <v>664</v>
      </c>
      <c r="B413" s="335"/>
      <c r="C413" s="204" t="s">
        <v>660</v>
      </c>
      <c r="D413" s="204" t="s">
        <v>660</v>
      </c>
      <c r="E413" s="204" t="s">
        <v>660</v>
      </c>
      <c r="F413" s="204" t="s">
        <v>660</v>
      </c>
      <c r="G413" s="204" t="s">
        <v>660</v>
      </c>
      <c r="H413" s="204" t="s">
        <v>660</v>
      </c>
      <c r="I413" s="204" t="s">
        <v>660</v>
      </c>
      <c r="J413" s="204" t="s">
        <v>660</v>
      </c>
      <c r="K413" s="204" t="s">
        <v>660</v>
      </c>
      <c r="L413" s="204" t="s">
        <v>660</v>
      </c>
      <c r="M413" s="204" t="s">
        <v>660</v>
      </c>
      <c r="N413" s="204" t="s">
        <v>660</v>
      </c>
      <c r="O413" s="204" t="s">
        <v>660</v>
      </c>
      <c r="P413" s="204" t="s">
        <v>660</v>
      </c>
      <c r="Q413" s="204" t="s">
        <v>660</v>
      </c>
    </row>
    <row r="414" customFormat="false" ht="14.25" hidden="false" customHeight="false" outlineLevel="0" collapsed="false">
      <c r="A414" s="312" t="s">
        <v>665</v>
      </c>
      <c r="B414" s="335" t="s">
        <v>376</v>
      </c>
      <c r="C414" s="204" t="s">
        <v>660</v>
      </c>
      <c r="D414" s="204" t="s">
        <v>660</v>
      </c>
      <c r="E414" s="204" t="s">
        <v>660</v>
      </c>
      <c r="F414" s="204" t="s">
        <v>660</v>
      </c>
      <c r="G414" s="204" t="s">
        <v>660</v>
      </c>
      <c r="H414" s="204" t="s">
        <v>660</v>
      </c>
      <c r="I414" s="204" t="s">
        <v>660</v>
      </c>
      <c r="J414" s="204" t="s">
        <v>660</v>
      </c>
      <c r="K414" s="204" t="s">
        <v>660</v>
      </c>
      <c r="L414" s="204" t="s">
        <v>660</v>
      </c>
      <c r="M414" s="204" t="s">
        <v>660</v>
      </c>
      <c r="N414" s="204" t="s">
        <v>660</v>
      </c>
      <c r="O414" s="204" t="s">
        <v>660</v>
      </c>
      <c r="P414" s="204" t="s">
        <v>660</v>
      </c>
      <c r="Q414" s="204" t="s">
        <v>660</v>
      </c>
    </row>
    <row r="415" customFormat="false" ht="14.25" hidden="false" customHeight="false" outlineLevel="0" collapsed="false">
      <c r="A415" s="312" t="s">
        <v>661</v>
      </c>
      <c r="B415" s="335"/>
      <c r="C415" s="204" t="s">
        <v>660</v>
      </c>
      <c r="D415" s="204" t="s">
        <v>660</v>
      </c>
      <c r="E415" s="204" t="s">
        <v>660</v>
      </c>
      <c r="F415" s="204" t="s">
        <v>660</v>
      </c>
      <c r="G415" s="204" t="s">
        <v>660</v>
      </c>
      <c r="H415" s="204" t="s">
        <v>660</v>
      </c>
      <c r="I415" s="204" t="s">
        <v>660</v>
      </c>
      <c r="J415" s="204" t="s">
        <v>660</v>
      </c>
      <c r="K415" s="204" t="s">
        <v>660</v>
      </c>
      <c r="L415" s="204" t="s">
        <v>660</v>
      </c>
      <c r="M415" s="204" t="s">
        <v>660</v>
      </c>
      <c r="N415" s="204" t="s">
        <v>660</v>
      </c>
      <c r="O415" s="204" t="s">
        <v>660</v>
      </c>
      <c r="P415" s="204" t="s">
        <v>660</v>
      </c>
      <c r="Q415" s="204" t="s">
        <v>660</v>
      </c>
    </row>
    <row r="416" customFormat="false" ht="14.25" hidden="false" customHeight="false" outlineLevel="0" collapsed="false">
      <c r="A416" s="312" t="s">
        <v>662</v>
      </c>
      <c r="B416" s="335"/>
      <c r="C416" s="204" t="s">
        <v>660</v>
      </c>
      <c r="D416" s="204" t="s">
        <v>660</v>
      </c>
      <c r="E416" s="204" t="s">
        <v>660</v>
      </c>
      <c r="F416" s="204" t="s">
        <v>660</v>
      </c>
      <c r="G416" s="204" t="s">
        <v>660</v>
      </c>
      <c r="H416" s="204" t="s">
        <v>660</v>
      </c>
      <c r="I416" s="204" t="s">
        <v>660</v>
      </c>
      <c r="J416" s="204" t="s">
        <v>660</v>
      </c>
      <c r="K416" s="204" t="s">
        <v>660</v>
      </c>
      <c r="L416" s="204" t="s">
        <v>660</v>
      </c>
      <c r="M416" s="204" t="s">
        <v>660</v>
      </c>
      <c r="N416" s="204" t="s">
        <v>660</v>
      </c>
      <c r="O416" s="204" t="s">
        <v>660</v>
      </c>
      <c r="P416" s="204" t="s">
        <v>660</v>
      </c>
      <c r="Q416" s="204" t="s">
        <v>660</v>
      </c>
    </row>
    <row r="417" customFormat="false" ht="14.25" hidden="false" customHeight="false" outlineLevel="0" collapsed="false">
      <c r="A417" s="312" t="s">
        <v>663</v>
      </c>
      <c r="B417" s="335"/>
      <c r="C417" s="204" t="s">
        <v>660</v>
      </c>
      <c r="D417" s="204" t="s">
        <v>660</v>
      </c>
      <c r="E417" s="204" t="s">
        <v>660</v>
      </c>
      <c r="F417" s="204" t="s">
        <v>660</v>
      </c>
      <c r="G417" s="204" t="s">
        <v>660</v>
      </c>
      <c r="H417" s="204" t="s">
        <v>660</v>
      </c>
      <c r="I417" s="204" t="s">
        <v>660</v>
      </c>
      <c r="J417" s="204" t="s">
        <v>660</v>
      </c>
      <c r="K417" s="204" t="s">
        <v>660</v>
      </c>
      <c r="L417" s="204" t="s">
        <v>660</v>
      </c>
      <c r="M417" s="204" t="s">
        <v>660</v>
      </c>
      <c r="N417" s="204" t="s">
        <v>660</v>
      </c>
      <c r="O417" s="204" t="s">
        <v>660</v>
      </c>
      <c r="P417" s="204" t="s">
        <v>660</v>
      </c>
      <c r="Q417" s="204" t="s">
        <v>660</v>
      </c>
    </row>
    <row r="418" customFormat="false" ht="14.25" hidden="false" customHeight="false" outlineLevel="0" collapsed="false">
      <c r="A418" s="312" t="s">
        <v>664</v>
      </c>
      <c r="B418" s="335"/>
      <c r="C418" s="204" t="s">
        <v>660</v>
      </c>
      <c r="D418" s="204" t="s">
        <v>660</v>
      </c>
      <c r="E418" s="204" t="s">
        <v>660</v>
      </c>
      <c r="F418" s="204" t="s">
        <v>660</v>
      </c>
      <c r="G418" s="204" t="s">
        <v>660</v>
      </c>
      <c r="H418" s="204" t="s">
        <v>660</v>
      </c>
      <c r="I418" s="204" t="s">
        <v>660</v>
      </c>
      <c r="J418" s="204" t="s">
        <v>660</v>
      </c>
      <c r="K418" s="204" t="s">
        <v>660</v>
      </c>
      <c r="L418" s="204" t="s">
        <v>660</v>
      </c>
      <c r="M418" s="204" t="s">
        <v>660</v>
      </c>
      <c r="N418" s="204" t="s">
        <v>660</v>
      </c>
      <c r="O418" s="204" t="s">
        <v>660</v>
      </c>
      <c r="P418" s="204" t="s">
        <v>660</v>
      </c>
      <c r="Q418" s="204" t="s">
        <v>660</v>
      </c>
    </row>
    <row r="419" customFormat="false" ht="14.25" hidden="false" customHeight="false" outlineLevel="0" collapsed="false">
      <c r="A419" s="312" t="s">
        <v>659</v>
      </c>
      <c r="B419" s="335" t="s">
        <v>377</v>
      </c>
      <c r="C419" s="204" t="s">
        <v>660</v>
      </c>
      <c r="D419" s="204" t="s">
        <v>660</v>
      </c>
      <c r="E419" s="204" t="s">
        <v>660</v>
      </c>
      <c r="F419" s="204" t="s">
        <v>660</v>
      </c>
      <c r="G419" s="204" t="s">
        <v>660</v>
      </c>
      <c r="H419" s="204" t="s">
        <v>660</v>
      </c>
      <c r="I419" s="204" t="s">
        <v>660</v>
      </c>
      <c r="J419" s="204" t="s">
        <v>660</v>
      </c>
      <c r="K419" s="204" t="s">
        <v>660</v>
      </c>
      <c r="L419" s="204" t="s">
        <v>660</v>
      </c>
      <c r="M419" s="204" t="s">
        <v>660</v>
      </c>
      <c r="N419" s="204" t="s">
        <v>660</v>
      </c>
      <c r="O419" s="204" t="s">
        <v>660</v>
      </c>
      <c r="P419" s="204" t="s">
        <v>660</v>
      </c>
      <c r="Q419" s="204" t="s">
        <v>660</v>
      </c>
    </row>
    <row r="420" customFormat="false" ht="14.25" hidden="false" customHeight="false" outlineLevel="0" collapsed="false">
      <c r="A420" s="312" t="s">
        <v>661</v>
      </c>
      <c r="B420" s="335"/>
      <c r="C420" s="204" t="s">
        <v>660</v>
      </c>
      <c r="D420" s="204" t="s">
        <v>660</v>
      </c>
      <c r="E420" s="204" t="s">
        <v>660</v>
      </c>
      <c r="F420" s="204" t="s">
        <v>660</v>
      </c>
      <c r="G420" s="204" t="s">
        <v>660</v>
      </c>
      <c r="H420" s="204" t="s">
        <v>660</v>
      </c>
      <c r="I420" s="204" t="s">
        <v>660</v>
      </c>
      <c r="J420" s="204" t="s">
        <v>660</v>
      </c>
      <c r="K420" s="204" t="s">
        <v>660</v>
      </c>
      <c r="L420" s="204" t="s">
        <v>660</v>
      </c>
      <c r="M420" s="204" t="s">
        <v>660</v>
      </c>
      <c r="N420" s="204" t="s">
        <v>660</v>
      </c>
      <c r="O420" s="204" t="s">
        <v>660</v>
      </c>
      <c r="P420" s="204" t="s">
        <v>660</v>
      </c>
      <c r="Q420" s="204" t="s">
        <v>660</v>
      </c>
    </row>
    <row r="421" customFormat="false" ht="14.25" hidden="false" customHeight="false" outlineLevel="0" collapsed="false">
      <c r="A421" s="312" t="s">
        <v>662</v>
      </c>
      <c r="B421" s="335"/>
      <c r="C421" s="204" t="s">
        <v>660</v>
      </c>
      <c r="D421" s="204" t="s">
        <v>660</v>
      </c>
      <c r="E421" s="204" t="s">
        <v>660</v>
      </c>
      <c r="F421" s="204" t="s">
        <v>660</v>
      </c>
      <c r="G421" s="204" t="s">
        <v>660</v>
      </c>
      <c r="H421" s="204" t="s">
        <v>660</v>
      </c>
      <c r="I421" s="204" t="s">
        <v>660</v>
      </c>
      <c r="J421" s="204" t="s">
        <v>660</v>
      </c>
      <c r="K421" s="204" t="s">
        <v>660</v>
      </c>
      <c r="L421" s="204" t="s">
        <v>660</v>
      </c>
      <c r="M421" s="204" t="s">
        <v>660</v>
      </c>
      <c r="N421" s="204" t="s">
        <v>660</v>
      </c>
      <c r="O421" s="204" t="s">
        <v>660</v>
      </c>
      <c r="P421" s="204" t="s">
        <v>660</v>
      </c>
      <c r="Q421" s="204" t="s">
        <v>660</v>
      </c>
    </row>
    <row r="422" customFormat="false" ht="14.25" hidden="false" customHeight="false" outlineLevel="0" collapsed="false">
      <c r="A422" s="312" t="s">
        <v>663</v>
      </c>
      <c r="B422" s="335"/>
      <c r="C422" s="204" t="s">
        <v>660</v>
      </c>
      <c r="D422" s="204" t="s">
        <v>660</v>
      </c>
      <c r="E422" s="204" t="s">
        <v>660</v>
      </c>
      <c r="F422" s="204" t="s">
        <v>660</v>
      </c>
      <c r="G422" s="204" t="s">
        <v>660</v>
      </c>
      <c r="H422" s="204" t="s">
        <v>660</v>
      </c>
      <c r="I422" s="204" t="s">
        <v>660</v>
      </c>
      <c r="J422" s="204" t="s">
        <v>660</v>
      </c>
      <c r="K422" s="204" t="s">
        <v>660</v>
      </c>
      <c r="L422" s="204" t="s">
        <v>660</v>
      </c>
      <c r="M422" s="204" t="s">
        <v>660</v>
      </c>
      <c r="N422" s="204" t="s">
        <v>660</v>
      </c>
      <c r="O422" s="204" t="s">
        <v>660</v>
      </c>
      <c r="P422" s="204" t="s">
        <v>660</v>
      </c>
      <c r="Q422" s="204" t="s">
        <v>660</v>
      </c>
    </row>
    <row r="423" customFormat="false" ht="14.25" hidden="false" customHeight="false" outlineLevel="0" collapsed="false">
      <c r="A423" s="312" t="s">
        <v>664</v>
      </c>
      <c r="B423" s="335"/>
      <c r="C423" s="204" t="s">
        <v>660</v>
      </c>
      <c r="D423" s="204" t="s">
        <v>660</v>
      </c>
      <c r="E423" s="204" t="s">
        <v>660</v>
      </c>
      <c r="F423" s="204" t="s">
        <v>660</v>
      </c>
      <c r="G423" s="204" t="s">
        <v>660</v>
      </c>
      <c r="H423" s="204" t="s">
        <v>660</v>
      </c>
      <c r="I423" s="204" t="s">
        <v>660</v>
      </c>
      <c r="J423" s="204" t="s">
        <v>660</v>
      </c>
      <c r="K423" s="204" t="s">
        <v>660</v>
      </c>
      <c r="L423" s="204" t="s">
        <v>660</v>
      </c>
      <c r="M423" s="204" t="s">
        <v>660</v>
      </c>
      <c r="N423" s="204" t="s">
        <v>660</v>
      </c>
      <c r="O423" s="204" t="s">
        <v>660</v>
      </c>
      <c r="P423" s="204" t="s">
        <v>660</v>
      </c>
      <c r="Q423" s="204" t="s">
        <v>660</v>
      </c>
    </row>
    <row r="424" customFormat="false" ht="14.25" hidden="false" customHeight="false" outlineLevel="0" collapsed="false">
      <c r="A424" s="312" t="s">
        <v>659</v>
      </c>
      <c r="B424" s="335" t="s">
        <v>378</v>
      </c>
      <c r="C424" s="204" t="s">
        <v>660</v>
      </c>
      <c r="D424" s="204" t="s">
        <v>660</v>
      </c>
      <c r="E424" s="204" t="s">
        <v>660</v>
      </c>
      <c r="F424" s="204" t="s">
        <v>660</v>
      </c>
      <c r="G424" s="204" t="s">
        <v>660</v>
      </c>
      <c r="H424" s="204" t="s">
        <v>660</v>
      </c>
      <c r="I424" s="204" t="s">
        <v>660</v>
      </c>
      <c r="J424" s="204" t="s">
        <v>660</v>
      </c>
      <c r="K424" s="204" t="s">
        <v>660</v>
      </c>
      <c r="L424" s="204" t="s">
        <v>660</v>
      </c>
      <c r="M424" s="204" t="s">
        <v>660</v>
      </c>
      <c r="N424" s="204" t="s">
        <v>660</v>
      </c>
      <c r="O424" s="204" t="s">
        <v>660</v>
      </c>
      <c r="P424" s="204" t="s">
        <v>660</v>
      </c>
      <c r="Q424" s="204" t="s">
        <v>660</v>
      </c>
    </row>
    <row r="425" customFormat="false" ht="14.25" hidden="false" customHeight="false" outlineLevel="0" collapsed="false">
      <c r="A425" s="312" t="s">
        <v>661</v>
      </c>
      <c r="B425" s="335"/>
      <c r="C425" s="204" t="s">
        <v>660</v>
      </c>
      <c r="D425" s="204" t="s">
        <v>660</v>
      </c>
      <c r="E425" s="204" t="s">
        <v>660</v>
      </c>
      <c r="F425" s="204" t="s">
        <v>660</v>
      </c>
      <c r="G425" s="204" t="s">
        <v>660</v>
      </c>
      <c r="H425" s="204" t="s">
        <v>660</v>
      </c>
      <c r="I425" s="204" t="s">
        <v>660</v>
      </c>
      <c r="J425" s="204" t="s">
        <v>660</v>
      </c>
      <c r="K425" s="204" t="s">
        <v>660</v>
      </c>
      <c r="L425" s="204" t="s">
        <v>660</v>
      </c>
      <c r="M425" s="204" t="s">
        <v>660</v>
      </c>
      <c r="N425" s="204" t="s">
        <v>660</v>
      </c>
      <c r="O425" s="204" t="s">
        <v>660</v>
      </c>
      <c r="P425" s="204" t="s">
        <v>660</v>
      </c>
      <c r="Q425" s="204" t="s">
        <v>660</v>
      </c>
    </row>
    <row r="426" customFormat="false" ht="14.25" hidden="false" customHeight="false" outlineLevel="0" collapsed="false">
      <c r="A426" s="312" t="s">
        <v>662</v>
      </c>
      <c r="B426" s="335"/>
      <c r="C426" s="204" t="s">
        <v>660</v>
      </c>
      <c r="D426" s="204" t="s">
        <v>660</v>
      </c>
      <c r="E426" s="204" t="s">
        <v>660</v>
      </c>
      <c r="F426" s="204" t="s">
        <v>660</v>
      </c>
      <c r="G426" s="204" t="s">
        <v>660</v>
      </c>
      <c r="H426" s="204" t="s">
        <v>660</v>
      </c>
      <c r="I426" s="204" t="s">
        <v>660</v>
      </c>
      <c r="J426" s="204" t="s">
        <v>660</v>
      </c>
      <c r="K426" s="204" t="s">
        <v>660</v>
      </c>
      <c r="L426" s="204" t="s">
        <v>660</v>
      </c>
      <c r="M426" s="204" t="s">
        <v>660</v>
      </c>
      <c r="N426" s="204" t="s">
        <v>660</v>
      </c>
      <c r="O426" s="204" t="s">
        <v>660</v>
      </c>
      <c r="P426" s="204" t="s">
        <v>660</v>
      </c>
      <c r="Q426" s="204" t="s">
        <v>660</v>
      </c>
    </row>
    <row r="427" customFormat="false" ht="14.25" hidden="false" customHeight="false" outlineLevel="0" collapsed="false">
      <c r="A427" s="312" t="s">
        <v>663</v>
      </c>
      <c r="B427" s="335"/>
      <c r="C427" s="204" t="s">
        <v>660</v>
      </c>
      <c r="D427" s="204" t="s">
        <v>660</v>
      </c>
      <c r="E427" s="204" t="s">
        <v>660</v>
      </c>
      <c r="F427" s="204" t="s">
        <v>660</v>
      </c>
      <c r="G427" s="204" t="s">
        <v>660</v>
      </c>
      <c r="H427" s="204" t="s">
        <v>660</v>
      </c>
      <c r="I427" s="204" t="s">
        <v>660</v>
      </c>
      <c r="J427" s="204" t="s">
        <v>660</v>
      </c>
      <c r="K427" s="204" t="s">
        <v>660</v>
      </c>
      <c r="L427" s="204" t="s">
        <v>660</v>
      </c>
      <c r="M427" s="204" t="s">
        <v>660</v>
      </c>
      <c r="N427" s="204" t="s">
        <v>660</v>
      </c>
      <c r="O427" s="204" t="s">
        <v>660</v>
      </c>
      <c r="P427" s="204" t="s">
        <v>660</v>
      </c>
      <c r="Q427" s="204" t="s">
        <v>660</v>
      </c>
    </row>
    <row r="428" customFormat="false" ht="14.25" hidden="false" customHeight="false" outlineLevel="0" collapsed="false">
      <c r="A428" s="319" t="s">
        <v>664</v>
      </c>
      <c r="B428" s="335"/>
      <c r="C428" s="242" t="s">
        <v>660</v>
      </c>
      <c r="D428" s="242" t="s">
        <v>660</v>
      </c>
      <c r="E428" s="242" t="s">
        <v>660</v>
      </c>
      <c r="F428" s="242" t="s">
        <v>660</v>
      </c>
      <c r="G428" s="242" t="s">
        <v>660</v>
      </c>
      <c r="H428" s="242" t="s">
        <v>660</v>
      </c>
      <c r="I428" s="242" t="s">
        <v>660</v>
      </c>
      <c r="J428" s="242" t="s">
        <v>660</v>
      </c>
      <c r="K428" s="242" t="s">
        <v>660</v>
      </c>
      <c r="L428" s="242" t="s">
        <v>660</v>
      </c>
      <c r="M428" s="242" t="s">
        <v>660</v>
      </c>
      <c r="N428" s="242" t="s">
        <v>660</v>
      </c>
      <c r="O428" s="242" t="s">
        <v>660</v>
      </c>
      <c r="P428" s="242" t="s">
        <v>660</v>
      </c>
      <c r="Q428" s="242" t="s">
        <v>660</v>
      </c>
    </row>
  </sheetData>
  <mergeCells count="126">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5"/>
    <mergeCell ref="A126:A128"/>
    <mergeCell ref="B129:B131"/>
    <mergeCell ref="A133:I133"/>
    <mergeCell ref="A135:A138"/>
    <mergeCell ref="A139:A142"/>
    <mergeCell ref="A143:A146"/>
    <mergeCell ref="A147:I147"/>
    <mergeCell ref="A149:A152"/>
    <mergeCell ref="A153:A156"/>
    <mergeCell ref="A157:A160"/>
    <mergeCell ref="A161:A164"/>
    <mergeCell ref="A168:E168"/>
    <mergeCell ref="A169:E169"/>
    <mergeCell ref="A171:A173"/>
    <mergeCell ref="C171:C173"/>
    <mergeCell ref="A175:C175"/>
    <mergeCell ref="A178:B178"/>
    <mergeCell ref="A179:B179"/>
    <mergeCell ref="A180:B180"/>
    <mergeCell ref="A181:B181"/>
    <mergeCell ref="A182:B182"/>
    <mergeCell ref="A183:B183"/>
    <mergeCell ref="A184:Q184"/>
    <mergeCell ref="A185:B185"/>
    <mergeCell ref="A186:B186"/>
    <mergeCell ref="A187:B187"/>
    <mergeCell ref="A188:B188"/>
    <mergeCell ref="A189:B189"/>
    <mergeCell ref="A190:Q190"/>
    <mergeCell ref="A191:B191"/>
    <mergeCell ref="A192:B192"/>
    <mergeCell ref="A193:B193"/>
    <mergeCell ref="A194:B194"/>
    <mergeCell ref="A195:B195"/>
    <mergeCell ref="A196:Q196"/>
    <mergeCell ref="A197:B197"/>
    <mergeCell ref="A198:B198"/>
    <mergeCell ref="A199:B199"/>
    <mergeCell ref="A200:B200"/>
    <mergeCell ref="A201:B201"/>
    <mergeCell ref="A202:Q202"/>
    <mergeCell ref="A203:B203"/>
    <mergeCell ref="A204:B204"/>
    <mergeCell ref="A205:B205"/>
    <mergeCell ref="A206:B206"/>
    <mergeCell ref="A207:B207"/>
    <mergeCell ref="A209:C209"/>
    <mergeCell ref="A210:A211"/>
    <mergeCell ref="C210:C211"/>
    <mergeCell ref="A214:Q214"/>
    <mergeCell ref="A215:B215"/>
    <mergeCell ref="A216:B216"/>
    <mergeCell ref="A217:B217"/>
    <mergeCell ref="A218:B218"/>
    <mergeCell ref="A219:B219"/>
    <mergeCell ref="A220:B220"/>
    <mergeCell ref="A221:C221"/>
    <mergeCell ref="A225:C225"/>
    <mergeCell ref="A227:A229"/>
    <mergeCell ref="C227:C229"/>
    <mergeCell ref="A231:A233"/>
    <mergeCell ref="C231:C233"/>
    <mergeCell ref="A238:D238"/>
    <mergeCell ref="A239:D239"/>
    <mergeCell ref="A240:C240"/>
    <mergeCell ref="C242:E242"/>
    <mergeCell ref="A244:A262"/>
    <mergeCell ref="A263:C263"/>
    <mergeCell ref="A269:C269"/>
    <mergeCell ref="A270:C270"/>
    <mergeCell ref="A272:C272"/>
    <mergeCell ref="A273:A276"/>
    <mergeCell ref="C273:C276"/>
    <mergeCell ref="A281:I281"/>
    <mergeCell ref="A340:I340"/>
    <mergeCell ref="A364:H364"/>
    <mergeCell ref="A366:H366"/>
    <mergeCell ref="A368:H368"/>
    <mergeCell ref="A370:H370"/>
    <mergeCell ref="A373:I373"/>
    <mergeCell ref="A381:C381"/>
    <mergeCell ref="A390:C390"/>
    <mergeCell ref="A397:C397"/>
    <mergeCell ref="A403:B403"/>
    <mergeCell ref="B404:B408"/>
    <mergeCell ref="B409:B413"/>
    <mergeCell ref="B414:B418"/>
    <mergeCell ref="B419:B423"/>
    <mergeCell ref="B424:B428"/>
  </mergeCells>
  <conditionalFormatting sqref="C216:AD220">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Y428"/>
  <sheetViews>
    <sheetView showFormulas="false" showGridLines="true" showRowColHeaders="true" showZeros="true" rightToLeft="false" tabSelected="false" showOutlineSymbols="true" defaultGridColor="true" view="normal" topLeftCell="A400" colorId="64" zoomScale="75" zoomScaleNormal="75" zoomScalePageLayoutView="100" workbookViewId="0">
      <selection pane="topLeft" activeCell="D341" activeCellId="0" sqref="D341"/>
    </sheetView>
  </sheetViews>
  <sheetFormatPr defaultColWidth="11.4453125" defaultRowHeight="14.25" zeroHeight="false" outlineLevelRow="0" outlineLevelCol="0"/>
  <cols>
    <col collapsed="false" customWidth="true" hidden="false" outlineLevel="0" max="1" min="1" style="1" width="48.67"/>
    <col collapsed="false" customWidth="true" hidden="false" outlineLevel="0" max="2" min="2" style="1" width="50"/>
    <col collapsed="false" customWidth="true" hidden="false" outlineLevel="0" max="3" min="3" style="1" width="59.89"/>
    <col collapsed="false" customWidth="true" hidden="false" outlineLevel="0" max="4" min="4" style="1" width="55.88"/>
    <col collapsed="false" customWidth="true" hidden="false" outlineLevel="0" max="5" min="5" style="1" width="49.33"/>
    <col collapsed="false" customWidth="true" hidden="false" outlineLevel="0" max="6" min="6" style="1" width="30.88"/>
    <col collapsed="false" customWidth="true" hidden="false" outlineLevel="0" max="7" min="7" style="1" width="34.34"/>
    <col collapsed="false" customWidth="true" hidden="false" outlineLevel="0" max="8" min="8" style="1" width="32.44"/>
    <col collapsed="false" customWidth="true" hidden="false" outlineLevel="0" max="9" min="9" style="1" width="21.88"/>
    <col collapsed="false" customWidth="true" hidden="false" outlineLevel="0" max="10" min="10" style="1" width="29"/>
    <col collapsed="false" customWidth="true" hidden="false" outlineLevel="0" max="12" min="12" style="1" width="35.44"/>
    <col collapsed="false" customWidth="true" hidden="false" outlineLevel="0" max="18" min="18" style="1" width="12.56"/>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4.2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4.2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4.2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4.2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4.2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0.0114814377510482</v>
      </c>
      <c r="N10" s="206"/>
      <c r="O10" s="206"/>
      <c r="P10" s="206"/>
      <c r="Q10" s="206"/>
      <c r="R10" s="206" t="n">
        <v>0.011217229240813</v>
      </c>
      <c r="S10" s="206"/>
      <c r="T10" s="206"/>
      <c r="U10" s="206"/>
      <c r="V10" s="206"/>
      <c r="W10" s="206" t="n">
        <v>0.0137073065541908</v>
      </c>
      <c r="X10" s="206"/>
      <c r="Y10" s="206"/>
      <c r="Z10" s="206"/>
      <c r="AA10" s="206"/>
      <c r="AB10" s="206" t="n">
        <v>0</v>
      </c>
      <c r="AC10" s="206"/>
      <c r="AD10" s="206"/>
      <c r="AE10" s="206"/>
      <c r="AF10" s="206"/>
      <c r="AG10" s="206" t="n">
        <v>0</v>
      </c>
      <c r="AH10" s="206"/>
      <c r="AI10" s="206"/>
      <c r="AJ10" s="206"/>
      <c r="AK10" s="206"/>
      <c r="AL10" s="206" t="n">
        <v>0</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4.2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4.25" hidden="false" customHeight="false" outlineLevel="0" collapsed="false">
      <c r="A16" s="211" t="s">
        <v>498</v>
      </c>
      <c r="B16" s="202" t="s">
        <v>499</v>
      </c>
      <c r="C16" s="212" t="n">
        <v>0.117609721833719</v>
      </c>
      <c r="D16" s="212" t="n">
        <v>0.113707811921418</v>
      </c>
      <c r="E16" s="212" t="n">
        <v>0.1268050283133</v>
      </c>
      <c r="F16" s="212" t="n">
        <v>0.135126859489025</v>
      </c>
      <c r="G16" s="212" t="n">
        <v>0.140282729162163</v>
      </c>
      <c r="H16" s="212" t="n">
        <v>0.146916832301251</v>
      </c>
      <c r="I16" s="213" t="n">
        <v>0.148630915135189</v>
      </c>
      <c r="J16" s="81"/>
      <c r="K16" s="160"/>
      <c r="L16" s="81"/>
    </row>
    <row r="17" customFormat="false" ht="14.25" hidden="false" customHeight="false" outlineLevel="0" collapsed="false">
      <c r="A17" s="211" t="s">
        <v>500</v>
      </c>
      <c r="B17" s="202" t="s">
        <v>499</v>
      </c>
      <c r="C17" s="212" t="n">
        <v>0.000878474</v>
      </c>
      <c r="D17" s="212" t="n">
        <v>0.0011024</v>
      </c>
      <c r="E17" s="212" t="n">
        <v>0.0011334</v>
      </c>
      <c r="F17" s="212" t="n">
        <v>0.00200848238735286</v>
      </c>
      <c r="G17" s="212" t="n">
        <v>0.0025763285102634</v>
      </c>
      <c r="H17" s="212" t="n">
        <v>0.00298497591757019</v>
      </c>
      <c r="I17" s="213" t="n">
        <v>0.00339362332487698</v>
      </c>
      <c r="J17" s="81"/>
      <c r="K17" s="81"/>
      <c r="L17" s="81"/>
    </row>
    <row r="18" customFormat="false" ht="14.25" hidden="false" customHeight="false" outlineLevel="0" collapsed="false">
      <c r="A18" s="211" t="s">
        <v>501</v>
      </c>
      <c r="B18" s="202" t="s">
        <v>499</v>
      </c>
      <c r="C18" s="212" t="n">
        <v>0.0374522</v>
      </c>
      <c r="D18" s="212" t="n">
        <v>0.0396114137098256</v>
      </c>
      <c r="E18" s="212" t="n">
        <v>0.06069115</v>
      </c>
      <c r="F18" s="214" t="n">
        <v>0.08975165</v>
      </c>
      <c r="G18" s="214" t="n">
        <v>0.12725</v>
      </c>
      <c r="H18" s="214" t="n">
        <v>0.1769065</v>
      </c>
      <c r="I18" s="213" t="n">
        <v>0.2118585</v>
      </c>
      <c r="J18" s="81"/>
      <c r="K18" s="81"/>
      <c r="L18" s="81"/>
    </row>
    <row r="19" customFormat="false" ht="14.25" hidden="false" customHeight="false" outlineLevel="0" collapsed="false">
      <c r="A19" s="211" t="s">
        <v>502</v>
      </c>
      <c r="B19" s="202" t="s">
        <v>499</v>
      </c>
      <c r="C19" s="212" t="n">
        <v>0.0008299085</v>
      </c>
      <c r="D19" s="212" t="n">
        <v>0.00160824276183273</v>
      </c>
      <c r="E19" s="212" t="n">
        <v>0.014096475</v>
      </c>
      <c r="F19" s="214" t="n">
        <v>0.02532925</v>
      </c>
      <c r="G19" s="214" t="n">
        <v>0.03581605</v>
      </c>
      <c r="H19" s="214" t="n">
        <v>0.04635715</v>
      </c>
      <c r="I19" s="213" t="n">
        <v>0.05620975</v>
      </c>
      <c r="J19" s="160"/>
      <c r="K19" s="81"/>
      <c r="L19" s="81"/>
    </row>
    <row r="20" customFormat="false" ht="14.25" hidden="false" customHeight="false" outlineLevel="0" collapsed="false">
      <c r="A20" s="211" t="s">
        <v>503</v>
      </c>
      <c r="B20" s="202" t="s">
        <v>499</v>
      </c>
      <c r="C20" s="212" t="n">
        <v>0.146914125126844</v>
      </c>
      <c r="D20" s="212" t="n">
        <v>0.170956271387911</v>
      </c>
      <c r="E20" s="212" t="n">
        <v>0.359162426436101</v>
      </c>
      <c r="F20" s="214" t="n">
        <v>0.526015222710319</v>
      </c>
      <c r="G20" s="214" t="n">
        <v>0.6707412377823</v>
      </c>
      <c r="H20" s="214" t="n">
        <v>0.895000988463177</v>
      </c>
      <c r="I20" s="213" t="n">
        <v>1.01362210322222</v>
      </c>
    </row>
    <row r="21" customFormat="false" ht="14.25" hidden="false" customHeight="false" outlineLevel="0" collapsed="false">
      <c r="A21" s="211" t="s">
        <v>504</v>
      </c>
      <c r="B21" s="202" t="s">
        <v>499</v>
      </c>
      <c r="C21" s="212" t="n">
        <v>0.0121029772625668</v>
      </c>
      <c r="D21" s="212" t="n">
        <v>0.0392747193946296</v>
      </c>
      <c r="E21" s="212" t="n">
        <v>0.0638937271994091</v>
      </c>
      <c r="F21" s="214" t="n">
        <v>0.105000218961605</v>
      </c>
      <c r="G21" s="214" t="n">
        <v>0.186851022344914</v>
      </c>
      <c r="H21" s="214" t="n">
        <v>0.324965157175987</v>
      </c>
      <c r="I21" s="213" t="n">
        <v>0.362987208788995</v>
      </c>
      <c r="K21" s="81"/>
      <c r="L21" s="81"/>
    </row>
    <row r="22" customFormat="false" ht="14.25" hidden="false" customHeight="false" outlineLevel="0" collapsed="false">
      <c r="A22" s="211" t="s">
        <v>505</v>
      </c>
      <c r="B22" s="202" t="s">
        <v>499</v>
      </c>
      <c r="C22" s="212" t="n">
        <v>0.125671151626567</v>
      </c>
      <c r="D22" s="212" t="n">
        <v>0.156494540934672</v>
      </c>
      <c r="E22" s="212" t="n">
        <v>0.389285836686693</v>
      </c>
      <c r="F22" s="214" t="n">
        <v>0.545212013431527</v>
      </c>
      <c r="G22" s="214" t="n">
        <v>0.755351384766724</v>
      </c>
      <c r="H22" s="214" t="n">
        <v>0.97004701873674</v>
      </c>
      <c r="I22" s="213" t="n">
        <v>1.15086859750692</v>
      </c>
      <c r="K22" s="81"/>
      <c r="L22" s="81"/>
    </row>
    <row r="23" customFormat="false" ht="14.25" hidden="false" customHeight="false" outlineLevel="0" collapsed="false">
      <c r="A23" s="211" t="s">
        <v>506</v>
      </c>
      <c r="B23" s="202" t="s">
        <v>499</v>
      </c>
      <c r="C23" s="212" t="n">
        <v>0.0023288</v>
      </c>
      <c r="D23" s="212" t="n">
        <v>0.0049788</v>
      </c>
      <c r="E23" s="212" t="n">
        <v>0.0076288</v>
      </c>
      <c r="F23" s="212" t="n">
        <v>0.0092216</v>
      </c>
      <c r="G23" s="212" t="n">
        <v>0.0108144</v>
      </c>
      <c r="H23" s="212" t="n">
        <v>0.0124072</v>
      </c>
      <c r="I23" s="215" t="n">
        <v>0.014</v>
      </c>
    </row>
    <row r="24" customFormat="false" ht="15" hidden="false" customHeight="true" outlineLevel="0" collapsed="false">
      <c r="A24" s="211" t="s">
        <v>507</v>
      </c>
      <c r="B24" s="202" t="s">
        <v>499</v>
      </c>
      <c r="C24" s="212" t="n">
        <v>0.045</v>
      </c>
      <c r="D24" s="212" t="n">
        <v>0.055</v>
      </c>
      <c r="E24" s="212" t="n">
        <v>0.065</v>
      </c>
      <c r="F24" s="212" t="n">
        <v>0.065</v>
      </c>
      <c r="G24" s="212" t="n">
        <v>0.065</v>
      </c>
      <c r="H24" s="212" t="n">
        <v>0.065</v>
      </c>
      <c r="I24" s="213" t="n">
        <v>0.065</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t="s">
        <v>510</v>
      </c>
      <c r="B27" s="200"/>
      <c r="C27" s="200"/>
      <c r="D27" s="200"/>
      <c r="E27" s="200"/>
      <c r="F27" s="200"/>
      <c r="G27" s="200"/>
      <c r="H27" s="200"/>
      <c r="I27" s="200"/>
    </row>
    <row r="28" customFormat="false" ht="14.25" hidden="false" customHeight="false" outlineLevel="0" collapsed="false">
      <c r="A28" s="218" t="s">
        <v>511</v>
      </c>
      <c r="B28" s="219" t="s">
        <v>146</v>
      </c>
      <c r="C28" s="220" t="n">
        <v>0</v>
      </c>
      <c r="D28" s="220" t="n">
        <v>0</v>
      </c>
      <c r="E28" s="220" t="n">
        <v>0</v>
      </c>
      <c r="F28" s="220" t="n">
        <v>0</v>
      </c>
      <c r="G28" s="220" t="n">
        <v>0</v>
      </c>
      <c r="H28" s="220" t="n">
        <v>0</v>
      </c>
      <c r="I28" s="220" t="n">
        <v>0</v>
      </c>
    </row>
    <row r="29" customFormat="false" ht="14.2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512</v>
      </c>
      <c r="B31" s="222"/>
      <c r="C31" s="222"/>
      <c r="E31" s="81"/>
      <c r="F31" s="81"/>
      <c r="G31" s="81"/>
      <c r="H31" s="160"/>
      <c r="I31" s="81"/>
      <c r="L31" s="75"/>
    </row>
    <row r="32" customFormat="false" ht="14.25" hidden="false" customHeight="false" outlineLevel="0" collapsed="false">
      <c r="A32" s="211" t="s">
        <v>513</v>
      </c>
      <c r="B32" s="202" t="s">
        <v>514</v>
      </c>
      <c r="C32" s="223" t="n">
        <v>0.1</v>
      </c>
      <c r="H32" s="160"/>
      <c r="K32" s="45"/>
      <c r="M32" s="81"/>
    </row>
    <row r="33" customFormat="false" ht="14.25" hidden="false" customHeight="false" outlineLevel="0" collapsed="false">
      <c r="A33" s="211" t="s">
        <v>515</v>
      </c>
      <c r="B33" s="202" t="s">
        <v>36</v>
      </c>
      <c r="C33" s="204" t="n">
        <v>2035</v>
      </c>
      <c r="E33" s="81"/>
      <c r="F33" s="81"/>
      <c r="G33" s="81"/>
      <c r="H33" s="160"/>
      <c r="I33" s="81"/>
      <c r="J33" s="62"/>
    </row>
    <row r="34" customFormat="false" ht="14.25" hidden="false" customHeight="false" outlineLevel="0" collapsed="false">
      <c r="A34" s="211" t="s">
        <v>516</v>
      </c>
      <c r="B34" s="202" t="s">
        <v>514</v>
      </c>
      <c r="C34" s="224"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517</v>
      </c>
      <c r="B35" s="222"/>
      <c r="C35" s="222"/>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4.25" hidden="false" customHeight="false" outlineLevel="0" collapsed="false">
      <c r="A36" s="211" t="s">
        <v>518</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4.25" hidden="false" customHeight="false" outlineLevel="0" collapsed="false">
      <c r="A37" s="211" t="s">
        <v>519</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4.25" hidden="false" customHeight="false" outlineLevel="0" collapsed="false">
      <c r="A38" s="211" t="s">
        <v>520</v>
      </c>
      <c r="B38" s="202" t="s">
        <v>514</v>
      </c>
      <c r="C38" s="224"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4.25" hidden="false" customHeight="false" outlineLevel="0" collapsed="false">
      <c r="A39" s="211" t="s">
        <v>521</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4.25" hidden="false" customHeight="false" outlineLevel="0" collapsed="false">
      <c r="A40" s="211" t="s">
        <v>522</v>
      </c>
      <c r="B40" s="202" t="s">
        <v>514</v>
      </c>
      <c r="C40" s="224"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4.25" hidden="false" customHeight="false" outlineLevel="0" collapsed="false">
      <c r="A42" s="216" t="s">
        <v>523</v>
      </c>
      <c r="B42" s="205" t="s">
        <v>514</v>
      </c>
      <c r="C42" s="225"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4.25" hidden="false" customHeight="false" outlineLevel="0" collapsed="false">
      <c r="A45" s="216" t="s">
        <v>524</v>
      </c>
      <c r="B45" s="205" t="s">
        <v>514</v>
      </c>
      <c r="C45" s="225"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4.25" hidden="false" customHeight="false" outlineLevel="0" collapsed="false">
      <c r="A48" s="211" t="s">
        <v>525</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4.25" hidden="false" customHeight="false" outlineLevel="0" collapsed="false">
      <c r="A49" s="211" t="s">
        <v>526</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4.25" hidden="false" customHeight="false" outlineLevel="0" collapsed="false">
      <c r="A50" s="211" t="s">
        <v>527</v>
      </c>
      <c r="B50" s="202" t="s">
        <v>514</v>
      </c>
      <c r="C50" s="224"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4.25" hidden="false" customHeight="false" outlineLevel="0" collapsed="false">
      <c r="A51" s="211" t="s">
        <v>528</v>
      </c>
      <c r="B51" s="202" t="s">
        <v>514</v>
      </c>
      <c r="C51" s="224"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4.25" hidden="false" customHeight="false" outlineLevel="0" collapsed="false">
      <c r="A52" s="216" t="s">
        <v>529</v>
      </c>
      <c r="B52" s="205" t="s">
        <v>514</v>
      </c>
      <c r="C52" s="226" t="n">
        <v>0.01</v>
      </c>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7.35" hidden="false" customHeight="false" outlineLevel="0" collapsed="false">
      <c r="A53" s="200" t="s">
        <v>530</v>
      </c>
      <c r="B53" s="200"/>
      <c r="C53" s="200"/>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row>
    <row r="54" customFormat="false" ht="14.25" hidden="false" customHeight="false" outlineLevel="0" collapsed="false">
      <c r="A54" s="227" t="s">
        <v>531</v>
      </c>
      <c r="B54" s="202" t="s">
        <v>36</v>
      </c>
      <c r="C54" s="203" t="n">
        <v>2050</v>
      </c>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row>
    <row r="55" customFormat="false" ht="14.25" hidden="false" customHeight="false" outlineLevel="0" collapsed="false">
      <c r="A55" s="227" t="s">
        <v>532</v>
      </c>
      <c r="B55" s="202" t="s">
        <v>533</v>
      </c>
      <c r="C55" s="228" t="n">
        <v>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row>
    <row r="56" customFormat="false" ht="14.25" hidden="false" customHeight="false" outlineLevel="0" collapsed="false">
      <c r="A56" s="227" t="s">
        <v>534</v>
      </c>
      <c r="B56" s="202" t="s">
        <v>533</v>
      </c>
      <c r="C56" s="228"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row>
    <row r="57" customFormat="false" ht="14.25" hidden="false" customHeight="false" outlineLevel="0" collapsed="false">
      <c r="A57" s="227" t="s">
        <v>535</v>
      </c>
      <c r="B57" s="202" t="s">
        <v>533</v>
      </c>
      <c r="C57" s="228" t="n">
        <v>0.1</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row>
    <row r="58" customFormat="false" ht="14.25" hidden="false" customHeight="false" outlineLevel="0" collapsed="false">
      <c r="A58" s="227" t="s">
        <v>536</v>
      </c>
      <c r="B58" s="202" t="s">
        <v>533</v>
      </c>
      <c r="C58" s="228" t="n">
        <v>0.5</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row>
    <row r="59" customFormat="false" ht="14.25" hidden="false" customHeight="false" outlineLevel="0" collapsed="false">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row>
    <row r="60" customFormat="false" ht="17.35" hidden="false" customHeight="false" outlineLevel="0" collapsed="false">
      <c r="A60" s="200" t="s">
        <v>537</v>
      </c>
      <c r="B60" s="200"/>
      <c r="C60" s="200"/>
      <c r="D60" s="200"/>
      <c r="E60" s="200"/>
      <c r="F60" s="200"/>
      <c r="G60" s="200"/>
      <c r="H60" s="200"/>
      <c r="I60" s="200"/>
    </row>
    <row r="61" customFormat="false" ht="14.25" hidden="false" customHeight="false" outlineLevel="0" collapsed="false">
      <c r="A61" s="227" t="s">
        <v>36</v>
      </c>
      <c r="B61" s="202" t="s">
        <v>36</v>
      </c>
      <c r="C61" s="229" t="n">
        <v>2020</v>
      </c>
      <c r="D61" s="229" t="n">
        <v>2025</v>
      </c>
      <c r="E61" s="229" t="n">
        <v>2030</v>
      </c>
      <c r="F61" s="229" t="n">
        <v>2035</v>
      </c>
      <c r="G61" s="229" t="n">
        <v>2040</v>
      </c>
      <c r="H61" s="229" t="n">
        <v>2045</v>
      </c>
      <c r="I61" s="230" t="n">
        <v>2050</v>
      </c>
    </row>
    <row r="62" customFormat="false" ht="14.25" hidden="false" customHeight="false" outlineLevel="0" collapsed="false">
      <c r="A62" s="227" t="s">
        <v>538</v>
      </c>
      <c r="B62" s="202" t="s">
        <v>146</v>
      </c>
      <c r="C62" s="231" t="n">
        <v>0</v>
      </c>
      <c r="D62" s="231" t="n">
        <v>0</v>
      </c>
      <c r="E62" s="231" t="n">
        <v>0</v>
      </c>
      <c r="F62" s="231" t="n">
        <v>0</v>
      </c>
      <c r="G62" s="231" t="n">
        <v>0</v>
      </c>
      <c r="H62" s="231" t="n">
        <v>0</v>
      </c>
      <c r="I62" s="231" t="n">
        <v>0</v>
      </c>
      <c r="J62" s="221"/>
      <c r="K62" s="221"/>
    </row>
    <row r="63" customFormat="false" ht="14.25" hidden="false" customHeight="false" outlineLevel="0" collapsed="false">
      <c r="A63" s="227" t="s">
        <v>539</v>
      </c>
      <c r="B63" s="202" t="s">
        <v>146</v>
      </c>
      <c r="C63" s="231" t="n">
        <v>0</v>
      </c>
      <c r="D63" s="231" t="n">
        <v>0</v>
      </c>
      <c r="E63" s="231" t="n">
        <v>0.00189148985353949</v>
      </c>
      <c r="F63" s="231" t="n">
        <v>0.482964256198595</v>
      </c>
      <c r="G63" s="231" t="n">
        <v>1.23853129255308</v>
      </c>
      <c r="H63" s="231" t="n">
        <v>2.86141754184028</v>
      </c>
      <c r="I63" s="231" t="n">
        <v>2.81340799792693</v>
      </c>
      <c r="J63" s="221"/>
      <c r="K63" s="221"/>
    </row>
    <row r="64" customFormat="false" ht="14.25" hidden="false" customHeight="false" outlineLevel="0" collapsed="false">
      <c r="A64" s="227" t="s">
        <v>540</v>
      </c>
      <c r="B64" s="202" t="s">
        <v>146</v>
      </c>
      <c r="C64" s="232" t="n">
        <v>4E-005</v>
      </c>
      <c r="D64" s="231" t="n">
        <v>0.00071</v>
      </c>
      <c r="E64" s="231" t="n">
        <v>0.0152316875119172</v>
      </c>
      <c r="F64" s="231" t="n">
        <v>0.138807762777472</v>
      </c>
      <c r="G64" s="231" t="n">
        <v>0.868480719185939</v>
      </c>
      <c r="H64" s="231" t="n">
        <v>1.87867682957348</v>
      </c>
      <c r="I64" s="231" t="n">
        <v>2.78389156693196</v>
      </c>
    </row>
    <row r="65" customFormat="false" ht="14.25" hidden="false" customHeight="false" outlineLevel="0" collapsed="false">
      <c r="A65" s="227" t="s">
        <v>541</v>
      </c>
      <c r="B65" s="202" t="s">
        <v>146</v>
      </c>
      <c r="C65" s="231" t="n">
        <v>0</v>
      </c>
      <c r="D65" s="231" t="n">
        <v>0</v>
      </c>
      <c r="E65" s="231" t="n">
        <v>0</v>
      </c>
      <c r="F65" s="231" t="n">
        <v>0</v>
      </c>
      <c r="G65" s="231" t="n">
        <v>0</v>
      </c>
      <c r="H65" s="231" t="n">
        <v>0</v>
      </c>
      <c r="I65" s="231" t="n">
        <v>0</v>
      </c>
    </row>
    <row r="66" customFormat="false" ht="14.25" hidden="false" customHeight="false" outlineLevel="0" collapsed="false">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row>
    <row r="67" customFormat="false" ht="14.2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row>
    <row r="68" customFormat="false" ht="24.45" hidden="false" customHeight="false" outlineLevel="0" collapsed="false">
      <c r="A68" s="199" t="s">
        <v>542</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3" t="s">
        <v>168</v>
      </c>
      <c r="B69" s="234"/>
      <c r="C69" s="235"/>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6"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4.25" hidden="false" customHeight="false" outlineLevel="0" collapsed="false">
      <c r="A71" s="236"/>
      <c r="B71" s="205" t="s">
        <v>543</v>
      </c>
      <c r="C71" s="226"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4.25" hidden="false" customHeight="false" outlineLevel="0" collapsed="false">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row>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6"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4.25" hidden="false" customHeight="false" outlineLevel="0" collapsed="false">
      <c r="A75" s="236"/>
      <c r="B75" s="205" t="s">
        <v>544</v>
      </c>
      <c r="C75" s="226"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7" t="s">
        <v>228</v>
      </c>
      <c r="B77" s="237"/>
      <c r="C77" s="237"/>
      <c r="D77" s="238" t="s">
        <v>545</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4.25" hidden="false" customHeight="false" outlineLevel="0" collapsed="false">
      <c r="A78" s="211" t="s">
        <v>546</v>
      </c>
      <c r="B78" s="202" t="s">
        <v>547</v>
      </c>
      <c r="C78" s="228"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39" t="s">
        <v>230</v>
      </c>
      <c r="B79" s="239"/>
      <c r="C79" s="239"/>
      <c r="D79" s="240" t="s">
        <v>548</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549</v>
      </c>
      <c r="B80" s="205" t="s">
        <v>547</v>
      </c>
      <c r="C80" s="241" t="n">
        <v>0.2</v>
      </c>
      <c r="D80" s="242"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4.25" hidden="false" customHeight="false" outlineLevel="0" collapsed="false">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row>
    <row r="82" customFormat="false" ht="17.35" hidden="false" customHeight="false" outlineLevel="0" collapsed="false">
      <c r="A82" s="200" t="s">
        <v>236</v>
      </c>
      <c r="B82" s="200"/>
      <c r="C82" s="200"/>
    </row>
    <row r="83" customFormat="false" ht="14.25" hidden="false" customHeight="false" outlineLevel="0" collapsed="false">
      <c r="A83" s="243" t="s">
        <v>550</v>
      </c>
      <c r="B83" s="202" t="s">
        <v>551</v>
      </c>
      <c r="C83" s="244" t="n">
        <v>0</v>
      </c>
    </row>
    <row r="84" customFormat="false" ht="14.25" hidden="false" customHeight="false" outlineLevel="0" collapsed="false">
      <c r="A84" s="243"/>
      <c r="B84" s="202" t="s">
        <v>552</v>
      </c>
      <c r="C84" s="244" t="n">
        <v>2023</v>
      </c>
    </row>
    <row r="85" customFormat="false" ht="14.25" hidden="false" customHeight="false" outlineLevel="0" collapsed="false">
      <c r="A85" s="243" t="s">
        <v>237</v>
      </c>
      <c r="B85" s="202" t="s">
        <v>238</v>
      </c>
      <c r="C85" s="244" t="n">
        <v>2015</v>
      </c>
      <c r="G85" s="118"/>
      <c r="H85" s="118"/>
      <c r="I85" s="127"/>
      <c r="J85" s="127"/>
      <c r="K85" s="127"/>
      <c r="L85" s="127"/>
      <c r="M85" s="127"/>
      <c r="N85" s="127"/>
      <c r="O85" s="127"/>
      <c r="P85" s="127"/>
      <c r="Q85" s="127"/>
      <c r="R85" s="127"/>
      <c r="S85" s="127"/>
      <c r="T85" s="127"/>
    </row>
    <row r="86" customFormat="false" ht="14.25" hidden="false" customHeight="false" outlineLevel="0" collapsed="false">
      <c r="A86" s="243"/>
      <c r="B86" s="202" t="s">
        <v>241</v>
      </c>
      <c r="C86" s="245" t="n">
        <v>0</v>
      </c>
      <c r="G86" s="118"/>
      <c r="H86" s="118"/>
      <c r="I86" s="127"/>
      <c r="J86" s="127"/>
      <c r="K86" s="127"/>
      <c r="L86" s="127"/>
      <c r="M86" s="127"/>
      <c r="N86" s="127"/>
      <c r="O86" s="127"/>
      <c r="P86" s="127"/>
      <c r="Q86" s="127"/>
      <c r="R86" s="127"/>
      <c r="S86" s="127"/>
      <c r="T86" s="127"/>
    </row>
    <row r="87" customFormat="false" ht="14.25" hidden="false" customHeight="false" outlineLevel="0" collapsed="false">
      <c r="A87" s="243" t="s">
        <v>243</v>
      </c>
      <c r="B87" s="202" t="s">
        <v>238</v>
      </c>
      <c r="C87" s="244" t="n">
        <v>2015</v>
      </c>
    </row>
    <row r="88" customFormat="false" ht="14.25" hidden="false" customHeight="false" outlineLevel="0" collapsed="false">
      <c r="A88" s="243"/>
      <c r="B88" s="202" t="s">
        <v>241</v>
      </c>
      <c r="C88" s="245" t="n">
        <v>0</v>
      </c>
    </row>
    <row r="89" customFormat="false" ht="14.25" hidden="false" customHeight="false" outlineLevel="0" collapsed="false">
      <c r="A89" s="243" t="s">
        <v>244</v>
      </c>
      <c r="B89" s="202" t="s">
        <v>238</v>
      </c>
      <c r="C89" s="244" t="n">
        <v>2023</v>
      </c>
    </row>
    <row r="90" customFormat="false" ht="14.25" hidden="false" customHeight="false" outlineLevel="0" collapsed="false">
      <c r="A90" s="243"/>
      <c r="B90" s="202" t="s">
        <v>241</v>
      </c>
      <c r="C90" s="245" t="n">
        <v>0</v>
      </c>
    </row>
    <row r="91" customFormat="false" ht="14.25" hidden="false" customHeight="false" outlineLevel="0" collapsed="false">
      <c r="A91" s="243" t="s">
        <v>246</v>
      </c>
      <c r="B91" s="202" t="s">
        <v>238</v>
      </c>
      <c r="C91" s="244" t="n">
        <v>2023</v>
      </c>
      <c r="G91" s="138"/>
      <c r="I91" s="125"/>
      <c r="J91" s="125"/>
      <c r="K91" s="125"/>
      <c r="L91" s="125"/>
      <c r="M91" s="125"/>
      <c r="N91" s="125"/>
      <c r="O91" s="125"/>
      <c r="P91" s="125"/>
      <c r="Q91" s="125"/>
      <c r="R91" s="125"/>
      <c r="S91" s="125"/>
      <c r="T91" s="125"/>
    </row>
    <row r="92" customFormat="false" ht="14.25" hidden="false" customHeight="false" outlineLevel="0" collapsed="false">
      <c r="A92" s="243"/>
      <c r="B92" s="202" t="s">
        <v>241</v>
      </c>
      <c r="C92" s="245" t="n">
        <v>0</v>
      </c>
    </row>
    <row r="93" customFormat="false" ht="14.25" hidden="false" customHeight="false" outlineLevel="0" collapsed="false">
      <c r="A93" s="243" t="s">
        <v>211</v>
      </c>
      <c r="B93" s="202" t="s">
        <v>238</v>
      </c>
      <c r="C93" s="244" t="n">
        <v>2023</v>
      </c>
    </row>
    <row r="94" customFormat="false" ht="14.25" hidden="false" customHeight="false" outlineLevel="0" collapsed="false">
      <c r="A94" s="243"/>
      <c r="B94" s="202" t="s">
        <v>241</v>
      </c>
      <c r="C94" s="245" t="n">
        <v>0.97</v>
      </c>
    </row>
    <row r="95" customFormat="false" ht="14.25" hidden="false" customHeight="false" outlineLevel="0" collapsed="false">
      <c r="A95" s="243" t="s">
        <v>240</v>
      </c>
      <c r="B95" s="202" t="s">
        <v>238</v>
      </c>
      <c r="C95" s="244" t="n">
        <v>2023</v>
      </c>
    </row>
    <row r="96" customFormat="false" ht="14.25" hidden="false" customHeight="false" outlineLevel="0" collapsed="false">
      <c r="A96" s="243"/>
      <c r="B96" s="202" t="s">
        <v>241</v>
      </c>
      <c r="C96" s="245" t="n">
        <v>0.74</v>
      </c>
    </row>
    <row r="97" customFormat="false" ht="14.25" hidden="false" customHeight="false" outlineLevel="0" collapsed="false">
      <c r="A97" s="236" t="s">
        <v>245</v>
      </c>
      <c r="B97" s="202" t="s">
        <v>238</v>
      </c>
      <c r="C97" s="244" t="n">
        <v>2023</v>
      </c>
    </row>
    <row r="98" customFormat="false" ht="14.25" hidden="false" customHeight="false" outlineLevel="0" collapsed="false">
      <c r="A98" s="236"/>
      <c r="B98" s="205" t="s">
        <v>241</v>
      </c>
      <c r="C98" s="246" t="n">
        <v>0.87</v>
      </c>
    </row>
    <row r="99" customFormat="false" ht="14.25" hidden="false" customHeight="false" outlineLevel="0" collapsed="false">
      <c r="A99" s="139" t="s">
        <v>247</v>
      </c>
    </row>
    <row r="101" customFormat="false" ht="14.25" hidden="false" customHeight="true" outlineLevel="0" collapsed="false">
      <c r="A101" s="200" t="s">
        <v>248</v>
      </c>
      <c r="B101" s="200"/>
      <c r="C101" s="200"/>
    </row>
    <row r="102" customFormat="false" ht="14.25" hidden="false" customHeight="false" outlineLevel="0" collapsed="false">
      <c r="A102" s="211" t="s">
        <v>249</v>
      </c>
      <c r="B102" s="202" t="s">
        <v>28</v>
      </c>
      <c r="C102" s="244" t="n">
        <v>1</v>
      </c>
    </row>
    <row r="103" customFormat="false" ht="14.25" hidden="false" customHeight="false" outlineLevel="0" collapsed="false">
      <c r="A103" s="211" t="s">
        <v>256</v>
      </c>
      <c r="B103" s="202" t="s">
        <v>28</v>
      </c>
      <c r="C103" s="244" t="n">
        <v>1</v>
      </c>
    </row>
    <row r="104" customFormat="false" ht="14.25" hidden="false" customHeight="false" outlineLevel="0" collapsed="false">
      <c r="A104" s="211" t="s">
        <v>553</v>
      </c>
      <c r="B104" s="202" t="s">
        <v>36</v>
      </c>
      <c r="C104" s="244" t="n">
        <v>2020</v>
      </c>
    </row>
    <row r="105" customFormat="false" ht="14.25" hidden="false" customHeight="false" outlineLevel="0" collapsed="false">
      <c r="A105" s="211" t="s">
        <v>554</v>
      </c>
      <c r="B105" s="202" t="s">
        <v>36</v>
      </c>
      <c r="C105" s="244" t="n">
        <v>2025</v>
      </c>
    </row>
    <row r="106" customFormat="false" ht="14.25" hidden="false" customHeight="false" outlineLevel="0" collapsed="false">
      <c r="A106" s="211" t="s">
        <v>555</v>
      </c>
      <c r="B106" s="202" t="s">
        <v>36</v>
      </c>
      <c r="C106" s="244" t="n">
        <v>2035</v>
      </c>
    </row>
    <row r="107" customFormat="false" ht="14.25" hidden="false" customHeight="false" outlineLevel="0" collapsed="false">
      <c r="A107" s="211" t="s">
        <v>556</v>
      </c>
      <c r="B107" s="202" t="s">
        <v>36</v>
      </c>
      <c r="C107" s="244" t="n">
        <v>2050</v>
      </c>
    </row>
    <row r="108" customFormat="false" ht="14.25" hidden="false" customHeight="false" outlineLevel="0" collapsed="false">
      <c r="A108" s="211" t="s">
        <v>255</v>
      </c>
      <c r="B108" s="202" t="s">
        <v>28</v>
      </c>
      <c r="C108" s="244" t="n">
        <v>0</v>
      </c>
    </row>
    <row r="109" customFormat="false" ht="14.25" hidden="false" customHeight="false" outlineLevel="0" collapsed="false">
      <c r="A109" s="211" t="s">
        <v>261</v>
      </c>
      <c r="B109" s="202" t="s">
        <v>28</v>
      </c>
      <c r="C109" s="244" t="n">
        <v>0</v>
      </c>
    </row>
    <row r="110" customFormat="false" ht="14.25" hidden="false" customHeight="false" outlineLevel="0" collapsed="false">
      <c r="A110" s="211" t="s">
        <v>557</v>
      </c>
      <c r="B110" s="202"/>
      <c r="C110" s="204" t="n">
        <v>2050</v>
      </c>
    </row>
    <row r="111" customFormat="false" ht="14.25" hidden="false" customHeight="false" outlineLevel="0" collapsed="false">
      <c r="A111" s="216" t="s">
        <v>558</v>
      </c>
      <c r="B111" s="205" t="s">
        <v>28</v>
      </c>
      <c r="C111" s="242" t="n">
        <v>0.8</v>
      </c>
    </row>
    <row r="112" customFormat="false" ht="14.25" hidden="false" customHeight="true" outlineLevel="0" collapsed="false"/>
    <row r="113" customFormat="false" ht="14.25" hidden="false" customHeight="true" outlineLevel="0" collapsed="false">
      <c r="A113" s="200" t="s">
        <v>58</v>
      </c>
      <c r="B113" s="200"/>
      <c r="C113" s="200"/>
      <c r="D113" s="200"/>
      <c r="E113" s="200"/>
    </row>
    <row r="114" customFormat="false" ht="14.25" hidden="false" customHeight="true" outlineLevel="0" collapsed="false">
      <c r="A114" s="236" t="s">
        <v>59</v>
      </c>
      <c r="B114" s="247" t="n">
        <v>4</v>
      </c>
      <c r="C114" s="227" t="s">
        <v>60</v>
      </c>
      <c r="D114" s="202" t="s">
        <v>65</v>
      </c>
      <c r="E114" s="224" t="n">
        <v>-0.012</v>
      </c>
    </row>
    <row r="115" customFormat="false" ht="14.25" hidden="false" customHeight="true" outlineLevel="0" collapsed="false">
      <c r="A115" s="236"/>
      <c r="B115" s="247"/>
      <c r="C115" s="227" t="s">
        <v>62</v>
      </c>
      <c r="D115" s="202" t="s">
        <v>559</v>
      </c>
      <c r="E115" s="204" t="n">
        <v>2017</v>
      </c>
    </row>
    <row r="116" customFormat="false" ht="14.25" hidden="false" customHeight="true" outlineLevel="0" collapsed="false">
      <c r="A116" s="236"/>
      <c r="B116" s="247"/>
      <c r="C116" s="227" t="s">
        <v>63</v>
      </c>
      <c r="D116" s="248"/>
      <c r="E116" s="248"/>
    </row>
    <row r="117" customFormat="false" ht="14.25" hidden="false" customHeight="true" outlineLevel="0" collapsed="false">
      <c r="A117" s="236"/>
      <c r="B117" s="247"/>
      <c r="C117" s="249" t="s">
        <v>64</v>
      </c>
      <c r="D117" s="248"/>
      <c r="E117" s="248"/>
    </row>
    <row r="118" customFormat="false" ht="14.25" hidden="false" customHeight="true" outlineLevel="0" collapsed="false"/>
    <row r="119" customFormat="false" ht="14.25" hidden="false" customHeight="true" outlineLevel="0" collapsed="false"/>
    <row r="120" customFormat="false" ht="24.45" hidden="false" customHeight="false" outlineLevel="0" collapsed="false">
      <c r="A120" s="199" t="s">
        <v>560</v>
      </c>
    </row>
    <row r="121" customFormat="false" ht="17.35" hidden="false" customHeight="false" outlineLevel="0" collapsed="false">
      <c r="A121" s="200" t="s">
        <v>561</v>
      </c>
      <c r="B121" s="200"/>
      <c r="C121" s="200"/>
      <c r="D121" s="200"/>
      <c r="E121" s="200"/>
      <c r="F121" s="200"/>
      <c r="G121" s="200"/>
      <c r="H121" s="200"/>
      <c r="I121" s="200"/>
      <c r="J121" s="200"/>
    </row>
    <row r="122" customFormat="false" ht="14.2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4.25" hidden="false" customHeight="false" outlineLevel="0" collapsed="false">
      <c r="A123" s="250" t="s">
        <v>562</v>
      </c>
      <c r="B123" s="203" t="s">
        <v>563</v>
      </c>
      <c r="C123" s="202" t="s">
        <v>28</v>
      </c>
      <c r="D123" s="251" t="n">
        <v>0.884728649558267</v>
      </c>
      <c r="E123" s="251" t="n">
        <v>0.880334612500551</v>
      </c>
      <c r="F123" s="251" t="n">
        <v>0.875347755270832</v>
      </c>
      <c r="G123" s="251" t="n">
        <v>0.8703</v>
      </c>
      <c r="H123" s="251" t="n">
        <v>0.8651</v>
      </c>
      <c r="I123" s="251" t="n">
        <v>0.85981</v>
      </c>
      <c r="J123" s="223" t="n">
        <v>0.85439</v>
      </c>
    </row>
    <row r="124" customFormat="false" ht="14.25" hidden="false" customHeight="false" outlineLevel="0" collapsed="false">
      <c r="A124" s="250"/>
      <c r="B124" s="203" t="s">
        <v>564</v>
      </c>
      <c r="C124" s="202" t="s">
        <v>28</v>
      </c>
      <c r="D124" s="251" t="n">
        <v>0.115271350441733</v>
      </c>
      <c r="E124" s="251" t="n">
        <v>0.119665387499449</v>
      </c>
      <c r="F124" s="251" t="n">
        <v>0.124652244729168</v>
      </c>
      <c r="G124" s="251" t="n">
        <v>0.1297</v>
      </c>
      <c r="H124" s="251" t="n">
        <v>0.13493</v>
      </c>
      <c r="I124" s="251" t="n">
        <v>0.1402</v>
      </c>
      <c r="J124" s="223" t="n">
        <v>0.14556</v>
      </c>
    </row>
    <row r="125" customFormat="false" ht="14.25" hidden="false" customHeight="false" outlineLevel="0" collapsed="false">
      <c r="A125" s="250"/>
      <c r="B125" s="203" t="s">
        <v>565</v>
      </c>
      <c r="C125" s="202" t="s">
        <v>28</v>
      </c>
      <c r="D125" s="251" t="n">
        <v>0</v>
      </c>
      <c r="E125" s="251" t="n">
        <v>0</v>
      </c>
      <c r="F125" s="251" t="n">
        <v>0</v>
      </c>
      <c r="G125" s="251" t="n">
        <v>0</v>
      </c>
      <c r="H125" s="251" t="n">
        <v>0</v>
      </c>
      <c r="I125" s="251" t="n">
        <v>0</v>
      </c>
      <c r="J125" s="223" t="n">
        <v>0</v>
      </c>
    </row>
    <row r="126" customFormat="false" ht="14.25" hidden="false" customHeight="false" outlineLevel="0" collapsed="false">
      <c r="A126" s="250" t="s">
        <v>566</v>
      </c>
      <c r="B126" s="203" t="s">
        <v>563</v>
      </c>
      <c r="C126" s="202" t="s">
        <v>28</v>
      </c>
      <c r="D126" s="251" t="n">
        <v>0.941542565014448</v>
      </c>
      <c r="E126" s="251" t="n">
        <v>0.900290185698342</v>
      </c>
      <c r="F126" s="251" t="n">
        <v>0.899485949917109</v>
      </c>
      <c r="G126" s="251" t="n">
        <v>0.898682485967326</v>
      </c>
      <c r="H126" s="251" t="n">
        <v>0.897879793054911</v>
      </c>
      <c r="I126" s="251" t="n">
        <v>0.897077870386644</v>
      </c>
      <c r="J126" s="223" t="n">
        <v>0.8962</v>
      </c>
    </row>
    <row r="127" customFormat="false" ht="14.25" hidden="false" customHeight="false" outlineLevel="0" collapsed="false">
      <c r="A127" s="250"/>
      <c r="B127" s="203" t="s">
        <v>564</v>
      </c>
      <c r="C127" s="202" t="s">
        <v>28</v>
      </c>
      <c r="D127" s="251" t="n">
        <v>0.00422316070237831</v>
      </c>
      <c r="E127" s="251" t="n">
        <v>0.00591359689433226</v>
      </c>
      <c r="F127" s="251" t="n">
        <v>0.00606680081830671</v>
      </c>
      <c r="G127" s="251" t="n">
        <v>0.0062248184197547</v>
      </c>
      <c r="H127" s="251" t="n">
        <v>0.00638782522707298</v>
      </c>
      <c r="I127" s="251" t="n">
        <v>0.0065</v>
      </c>
      <c r="J127" s="223" t="n">
        <v>0.00672954375025719</v>
      </c>
    </row>
    <row r="128" customFormat="false" ht="14.25" hidden="false" customHeight="false" outlineLevel="0" collapsed="false">
      <c r="A128" s="250"/>
      <c r="B128" s="203" t="s">
        <v>565</v>
      </c>
      <c r="C128" s="202" t="s">
        <v>28</v>
      </c>
      <c r="D128" s="251" t="n">
        <v>0.054234274283174</v>
      </c>
      <c r="E128" s="251" t="n">
        <v>0.0937962174073255</v>
      </c>
      <c r="F128" s="251" t="n">
        <v>0.0944472492645847</v>
      </c>
      <c r="G128" s="251" t="n">
        <v>0.0951030367253953</v>
      </c>
      <c r="H128" s="251" t="n">
        <v>0.0957636163505924</v>
      </c>
      <c r="I128" s="251" t="n">
        <v>0.096429024995418</v>
      </c>
      <c r="J128" s="223" t="n">
        <v>0.0970992998119844</v>
      </c>
    </row>
    <row r="129" customFormat="false" ht="14.25" hidden="false" customHeight="false" outlineLevel="0" collapsed="false">
      <c r="A129" s="208" t="s">
        <v>567</v>
      </c>
      <c r="B129" s="252"/>
      <c r="C129" s="202" t="s">
        <v>28</v>
      </c>
      <c r="D129" s="251" t="n">
        <v>0.861189801699717</v>
      </c>
      <c r="E129" s="251" t="n">
        <v>0.816445790051332</v>
      </c>
      <c r="F129" s="251" t="n">
        <v>0.797371103788976</v>
      </c>
      <c r="G129" s="251" t="n">
        <v>0.778743906218434</v>
      </c>
      <c r="H129" s="251" t="n">
        <v>0.760553654678055</v>
      </c>
      <c r="I129" s="251" t="n">
        <v>0.742790055964014</v>
      </c>
      <c r="J129" s="223" t="n">
        <v>0.725443060401842</v>
      </c>
    </row>
    <row r="130" customFormat="false" ht="14.25" hidden="false" customHeight="false" outlineLevel="0" collapsed="false">
      <c r="A130" s="208" t="s">
        <v>568</v>
      </c>
      <c r="B130" s="252"/>
      <c r="C130" s="202" t="s">
        <v>569</v>
      </c>
      <c r="D130" s="253" t="n">
        <f aca="false">SUM(D123:D125)</f>
        <v>1</v>
      </c>
      <c r="E130" s="253" t="n">
        <f aca="false">SUM(E123:E125)</f>
        <v>1</v>
      </c>
      <c r="F130" s="253" t="n">
        <f aca="false">SUM(F123:F125)</f>
        <v>1</v>
      </c>
      <c r="G130" s="253" t="n">
        <f aca="false">SUM(G123:G125)</f>
        <v>1</v>
      </c>
      <c r="H130" s="253" t="n">
        <f aca="false">SUM(H123:H125)</f>
        <v>1.00003</v>
      </c>
      <c r="I130" s="253" t="n">
        <f aca="false">SUM(I123:I125)</f>
        <v>1.00001</v>
      </c>
      <c r="J130" s="253" t="n">
        <f aca="false">SUM(J123:J125)</f>
        <v>0.99995</v>
      </c>
    </row>
    <row r="131" customFormat="false" ht="14.25" hidden="false" customHeight="false" outlineLevel="0" collapsed="false">
      <c r="A131" s="254" t="s">
        <v>570</v>
      </c>
      <c r="B131" s="252"/>
      <c r="C131" s="205" t="s">
        <v>569</v>
      </c>
      <c r="D131" s="253" t="n">
        <f aca="false">SUM(D126:D128)</f>
        <v>1</v>
      </c>
      <c r="E131" s="253" t="n">
        <f aca="false">SUM(E126:E128)</f>
        <v>1</v>
      </c>
      <c r="F131" s="253" t="n">
        <f aca="false">SUM(F126:F128)</f>
        <v>1</v>
      </c>
      <c r="G131" s="253" t="n">
        <f aca="false">SUM(G126:G128)</f>
        <v>1.00001034111248</v>
      </c>
      <c r="H131" s="253" t="n">
        <f aca="false">SUM(H126:H128)</f>
        <v>1.00003123463258</v>
      </c>
      <c r="I131" s="253" t="n">
        <f aca="false">SUM(I126:I128)</f>
        <v>1.00000689538206</v>
      </c>
      <c r="J131" s="253" t="n">
        <f aca="false">SUM(J126:J128)</f>
        <v>1.00002884356224</v>
      </c>
    </row>
    <row r="133" customFormat="false" ht="17.35" hidden="false" customHeight="false" outlineLevel="0" collapsed="false">
      <c r="A133" s="200" t="s">
        <v>571</v>
      </c>
      <c r="B133" s="200"/>
      <c r="C133" s="200"/>
      <c r="D133" s="200"/>
      <c r="E133" s="200"/>
      <c r="F133" s="200"/>
      <c r="G133" s="200"/>
      <c r="H133" s="200"/>
      <c r="I133" s="200"/>
    </row>
    <row r="134" customFormat="false" ht="14.25" hidden="false" customHeight="false" outlineLevel="0" collapsed="false">
      <c r="A134" s="208" t="s">
        <v>36</v>
      </c>
      <c r="B134" s="202" t="s">
        <v>36</v>
      </c>
      <c r="C134" s="203" t="n">
        <v>2020</v>
      </c>
      <c r="D134" s="203" t="n">
        <v>2025</v>
      </c>
      <c r="E134" s="203" t="n">
        <v>2030</v>
      </c>
      <c r="F134" s="203" t="n">
        <v>2035</v>
      </c>
      <c r="G134" s="203" t="n">
        <v>2040</v>
      </c>
      <c r="H134" s="203" t="n">
        <v>2045</v>
      </c>
      <c r="I134" s="204" t="n">
        <v>2050</v>
      </c>
    </row>
    <row r="135" customFormat="false" ht="14.25" hidden="false" customHeight="false" outlineLevel="0" collapsed="false">
      <c r="A135" s="250" t="s">
        <v>572</v>
      </c>
      <c r="B135" s="202" t="s">
        <v>573</v>
      </c>
      <c r="C135" s="251" t="n">
        <v>0.806894766766191</v>
      </c>
      <c r="D135" s="251" t="n">
        <v>0.710215421760778</v>
      </c>
      <c r="E135" s="251" t="n">
        <v>0.60650331097056</v>
      </c>
      <c r="F135" s="251" t="n">
        <v>0.519297101522442</v>
      </c>
      <c r="G135" s="251" t="n">
        <v>0.432090892074324</v>
      </c>
      <c r="H135" s="251" t="n">
        <v>0.344884682626206</v>
      </c>
      <c r="I135" s="223" t="n">
        <v>0.272681803709289</v>
      </c>
    </row>
    <row r="136" customFormat="false" ht="14.25" hidden="false" customHeight="false" outlineLevel="0" collapsed="false">
      <c r="A136" s="250"/>
      <c r="B136" s="202" t="s">
        <v>192</v>
      </c>
      <c r="C136" s="251" t="n">
        <v>0.0257197201277087</v>
      </c>
      <c r="D136" s="251" t="n">
        <v>0.0504865457750533</v>
      </c>
      <c r="E136" s="251" t="n">
        <v>0.0725226414272688</v>
      </c>
      <c r="F136" s="251" t="n">
        <v>0.0966968552363585</v>
      </c>
      <c r="G136" s="251" t="n">
        <v>0.120871069045448</v>
      </c>
      <c r="H136" s="251" t="n">
        <v>0.145045282854538</v>
      </c>
      <c r="I136" s="223" t="n">
        <v>0.169219496663627</v>
      </c>
    </row>
    <row r="137" customFormat="false" ht="14.25" hidden="false" customHeight="false" outlineLevel="0" collapsed="false">
      <c r="A137" s="250"/>
      <c r="B137" s="202" t="s">
        <v>374</v>
      </c>
      <c r="C137" s="251" t="n">
        <v>0.14108125388458</v>
      </c>
      <c r="D137" s="251" t="n">
        <v>0.187664065194228</v>
      </c>
      <c r="E137" s="251" t="n">
        <v>0.246803164324282</v>
      </c>
      <c r="F137" s="251" t="n">
        <v>0.285111532204015</v>
      </c>
      <c r="G137" s="251" t="n">
        <v>0.323419900083747</v>
      </c>
      <c r="H137" s="251" t="n">
        <v>0.361728267963479</v>
      </c>
      <c r="I137" s="223" t="n">
        <v>0.38503330531201</v>
      </c>
    </row>
    <row r="138" customFormat="false" ht="14.25" hidden="false" customHeight="false" outlineLevel="0" collapsed="false">
      <c r="A138" s="250"/>
      <c r="B138" s="202" t="s">
        <v>574</v>
      </c>
      <c r="C138" s="251" t="n">
        <v>0.0263042592215203</v>
      </c>
      <c r="D138" s="251" t="n">
        <v>0.0516339672699409</v>
      </c>
      <c r="E138" s="251" t="n">
        <v>0.0741708832778886</v>
      </c>
      <c r="F138" s="251" t="n">
        <v>0.0988945110371848</v>
      </c>
      <c r="G138" s="251" t="n">
        <v>0.123618138796481</v>
      </c>
      <c r="H138" s="251" t="n">
        <v>0.148341766555777</v>
      </c>
      <c r="I138" s="223" t="n">
        <v>0.173065394315073</v>
      </c>
    </row>
    <row r="139" customFormat="false" ht="14.25" hidden="false" customHeight="false" outlineLevel="0" collapsed="false">
      <c r="A139" s="250" t="s">
        <v>564</v>
      </c>
      <c r="B139" s="202" t="s">
        <v>573</v>
      </c>
      <c r="C139" s="251" t="n">
        <v>0.966386554621849</v>
      </c>
      <c r="D139" s="251" t="n">
        <v>0.932773109243698</v>
      </c>
      <c r="E139" s="251" t="n">
        <v>0.899159663865546</v>
      </c>
      <c r="F139" s="251" t="n">
        <v>0.865546218487395</v>
      </c>
      <c r="G139" s="251" t="n">
        <v>0.831932773109244</v>
      </c>
      <c r="H139" s="251" t="n">
        <v>0.798319327731093</v>
      </c>
      <c r="I139" s="223" t="n">
        <v>0.764705882352941</v>
      </c>
    </row>
    <row r="140" customFormat="false" ht="14.25" hidden="false" customHeight="false" outlineLevel="0" collapsed="false">
      <c r="A140" s="250"/>
      <c r="B140" s="202" t="s">
        <v>192</v>
      </c>
      <c r="C140" s="251" t="n">
        <v>0.0336134453781513</v>
      </c>
      <c r="D140" s="251" t="n">
        <v>0.0672268907563025</v>
      </c>
      <c r="E140" s="251" t="n">
        <v>0.100840336134454</v>
      </c>
      <c r="F140" s="251" t="n">
        <v>0.134453781512605</v>
      </c>
      <c r="G140" s="251" t="n">
        <v>0.168067226890756</v>
      </c>
      <c r="H140" s="251" t="n">
        <v>0.201680672268908</v>
      </c>
      <c r="I140" s="223" t="n">
        <v>0.235294117647059</v>
      </c>
    </row>
    <row r="141" customFormat="false" ht="14.25" hidden="false" customHeight="false" outlineLevel="0" collapsed="false">
      <c r="A141" s="250"/>
      <c r="B141" s="202" t="s">
        <v>374</v>
      </c>
      <c r="C141" s="251" t="n">
        <v>0</v>
      </c>
      <c r="D141" s="251" t="n">
        <v>0</v>
      </c>
      <c r="E141" s="251" t="n">
        <v>0</v>
      </c>
      <c r="F141" s="251" t="n">
        <v>0</v>
      </c>
      <c r="G141" s="251" t="n">
        <v>0</v>
      </c>
      <c r="H141" s="251" t="n">
        <v>0</v>
      </c>
      <c r="I141" s="223" t="n">
        <v>0</v>
      </c>
    </row>
    <row r="142" customFormat="false" ht="14.25" hidden="false" customHeight="false" outlineLevel="0" collapsed="false">
      <c r="A142" s="250"/>
      <c r="B142" s="202" t="s">
        <v>574</v>
      </c>
      <c r="C142" s="251" t="n">
        <v>0</v>
      </c>
      <c r="D142" s="251" t="n">
        <v>0</v>
      </c>
      <c r="E142" s="251" t="n">
        <v>0</v>
      </c>
      <c r="F142" s="251" t="n">
        <v>0</v>
      </c>
      <c r="G142" s="251" t="n">
        <v>0</v>
      </c>
      <c r="H142" s="251" t="n">
        <v>0</v>
      </c>
      <c r="I142" s="223" t="n">
        <v>0</v>
      </c>
    </row>
    <row r="143" customFormat="false" ht="14.25" hidden="false" customHeight="false" outlineLevel="0" collapsed="false">
      <c r="A143" s="250" t="s">
        <v>565</v>
      </c>
      <c r="B143" s="202" t="s">
        <v>573</v>
      </c>
      <c r="C143" s="251" t="n">
        <v>0</v>
      </c>
      <c r="D143" s="251" t="n">
        <v>0</v>
      </c>
      <c r="E143" s="251" t="n">
        <v>0</v>
      </c>
      <c r="F143" s="251" t="n">
        <v>0</v>
      </c>
      <c r="G143" s="251" t="n">
        <v>0</v>
      </c>
      <c r="H143" s="251" t="n">
        <v>0</v>
      </c>
      <c r="I143" s="223" t="n">
        <v>0</v>
      </c>
    </row>
    <row r="144" customFormat="false" ht="14.25" hidden="false" customHeight="false" outlineLevel="0" collapsed="false">
      <c r="A144" s="250"/>
      <c r="B144" s="202" t="s">
        <v>192</v>
      </c>
      <c r="C144" s="251" t="n">
        <v>0</v>
      </c>
      <c r="D144" s="251" t="n">
        <v>0</v>
      </c>
      <c r="E144" s="251" t="n">
        <v>0</v>
      </c>
      <c r="F144" s="251" t="n">
        <v>0</v>
      </c>
      <c r="G144" s="251" t="n">
        <v>0</v>
      </c>
      <c r="H144" s="251" t="n">
        <v>0</v>
      </c>
      <c r="I144" s="223" t="n">
        <v>0</v>
      </c>
    </row>
    <row r="145" customFormat="false" ht="14.25" hidden="false" customHeight="false" outlineLevel="0" collapsed="false">
      <c r="A145" s="250"/>
      <c r="B145" s="202" t="s">
        <v>374</v>
      </c>
      <c r="C145" s="251" t="n">
        <v>0</v>
      </c>
      <c r="D145" s="251" t="n">
        <v>0</v>
      </c>
      <c r="E145" s="251" t="n">
        <v>0</v>
      </c>
      <c r="F145" s="251" t="n">
        <v>0</v>
      </c>
      <c r="G145" s="251" t="n">
        <v>0</v>
      </c>
      <c r="H145" s="251" t="n">
        <v>0</v>
      </c>
      <c r="I145" s="223" t="n">
        <v>0</v>
      </c>
    </row>
    <row r="146" customFormat="false" ht="14.25" hidden="false" customHeight="false" outlineLevel="0" collapsed="false">
      <c r="A146" s="250"/>
      <c r="B146" s="202" t="s">
        <v>574</v>
      </c>
      <c r="C146" s="251" t="n">
        <v>0</v>
      </c>
      <c r="D146" s="251" t="n">
        <v>0</v>
      </c>
      <c r="E146" s="251" t="n">
        <v>0</v>
      </c>
      <c r="F146" s="251" t="n">
        <v>0</v>
      </c>
      <c r="G146" s="251" t="n">
        <v>0</v>
      </c>
      <c r="H146" s="251" t="n">
        <v>0</v>
      </c>
      <c r="I146" s="223" t="n">
        <v>0</v>
      </c>
    </row>
    <row r="147" customFormat="false" ht="17.35" hidden="false" customHeight="false" outlineLevel="0" collapsed="false">
      <c r="A147" s="255" t="s">
        <v>575</v>
      </c>
      <c r="B147" s="255"/>
      <c r="C147" s="255"/>
      <c r="D147" s="255"/>
      <c r="E147" s="255"/>
      <c r="F147" s="255"/>
      <c r="G147" s="255"/>
      <c r="H147" s="255"/>
      <c r="I147" s="255"/>
    </row>
    <row r="148" customFormat="false" ht="14.25" hidden="false" customHeight="false" outlineLevel="0" collapsed="false">
      <c r="A148" s="208" t="s">
        <v>36</v>
      </c>
      <c r="B148" s="202" t="s">
        <v>36</v>
      </c>
      <c r="C148" s="203" t="n">
        <v>2020</v>
      </c>
      <c r="D148" s="203" t="n">
        <v>2025</v>
      </c>
      <c r="E148" s="203" t="n">
        <v>2030</v>
      </c>
      <c r="F148" s="203" t="n">
        <v>2035</v>
      </c>
      <c r="G148" s="203" t="n">
        <v>2040</v>
      </c>
      <c r="H148" s="203" t="n">
        <v>2045</v>
      </c>
      <c r="I148" s="204" t="n">
        <v>2050</v>
      </c>
    </row>
    <row r="149" customFormat="false" ht="14.25" hidden="false" customHeight="false" outlineLevel="0" collapsed="false">
      <c r="A149" s="250" t="s">
        <v>572</v>
      </c>
      <c r="B149" s="202" t="s">
        <v>573</v>
      </c>
      <c r="C149" s="251" t="n">
        <v>0.812328070617052</v>
      </c>
      <c r="D149" s="251" t="n">
        <v>0.690704484080468</v>
      </c>
      <c r="E149" s="251" t="n">
        <v>0.581219325384736</v>
      </c>
      <c r="F149" s="251" t="n">
        <v>0.47324615070277</v>
      </c>
      <c r="G149" s="251" t="n">
        <v>0.365272976020804</v>
      </c>
      <c r="H149" s="251" t="n">
        <v>0.257299801338838</v>
      </c>
      <c r="I149" s="223" t="n">
        <v>0.0473264628821185</v>
      </c>
    </row>
    <row r="150" customFormat="false" ht="14.25" hidden="false" customHeight="false" outlineLevel="0" collapsed="false">
      <c r="A150" s="250"/>
      <c r="B150" s="202" t="s">
        <v>192</v>
      </c>
      <c r="C150" s="251" t="n">
        <v>0.0505115435433495</v>
      </c>
      <c r="D150" s="251" t="n">
        <v>0.0639897564814042</v>
      </c>
      <c r="E150" s="251" t="n">
        <v>0.0782975707697648</v>
      </c>
      <c r="F150" s="251" t="n">
        <v>0.0938225342940677</v>
      </c>
      <c r="G150" s="251" t="n">
        <v>0.10934749781837</v>
      </c>
      <c r="H150" s="251" t="n">
        <v>0.124872461342673</v>
      </c>
      <c r="I150" s="223" t="n">
        <v>0.147110104070304</v>
      </c>
    </row>
    <row r="151" customFormat="false" ht="14.25" hidden="false" customHeight="false" outlineLevel="0" collapsed="false">
      <c r="A151" s="250"/>
      <c r="B151" s="202" t="s">
        <v>374</v>
      </c>
      <c r="C151" s="251" t="n">
        <v>0.133646787816532</v>
      </c>
      <c r="D151" s="251" t="n">
        <v>0.238252494368915</v>
      </c>
      <c r="E151" s="251" t="n">
        <v>0.329808059781831</v>
      </c>
      <c r="F151" s="251" t="n">
        <v>0.418734491739984</v>
      </c>
      <c r="G151" s="251" t="n">
        <v>0.507660923698136</v>
      </c>
      <c r="H151" s="251" t="n">
        <v>0.596587355656288</v>
      </c>
      <c r="I151" s="223" t="n">
        <v>0.780910978650999</v>
      </c>
    </row>
    <row r="152" customFormat="false" ht="14.25" hidden="false" customHeight="false" outlineLevel="0" collapsed="false">
      <c r="A152" s="250"/>
      <c r="B152" s="202" t="s">
        <v>574</v>
      </c>
      <c r="C152" s="251" t="n">
        <v>0.00351359802306619</v>
      </c>
      <c r="D152" s="251" t="n">
        <v>0.00705326506921272</v>
      </c>
      <c r="E152" s="251" t="n">
        <v>0.0106750440636676</v>
      </c>
      <c r="F152" s="251" t="n">
        <v>0.0141968232631788</v>
      </c>
      <c r="G152" s="251" t="n">
        <v>0.01771860246269</v>
      </c>
      <c r="H152" s="251" t="n">
        <v>0.0212403816622012</v>
      </c>
      <c r="I152" s="223" t="n">
        <v>0.0246524543965785</v>
      </c>
    </row>
    <row r="153" customFormat="false" ht="14.25" hidden="false" customHeight="false" outlineLevel="0" collapsed="false">
      <c r="A153" s="250" t="s">
        <v>564</v>
      </c>
      <c r="B153" s="202" t="s">
        <v>573</v>
      </c>
      <c r="C153" s="251" t="n">
        <v>0.966386554621849</v>
      </c>
      <c r="D153" s="251" t="n">
        <v>0.932773109243698</v>
      </c>
      <c r="E153" s="251" t="n">
        <v>0.899159663865546</v>
      </c>
      <c r="F153" s="251" t="n">
        <v>0.865546218487395</v>
      </c>
      <c r="G153" s="251" t="n">
        <v>0.831932773109244</v>
      </c>
      <c r="H153" s="251" t="n">
        <v>0.798319327731093</v>
      </c>
      <c r="I153" s="223" t="n">
        <v>0.764705882352941</v>
      </c>
    </row>
    <row r="154" customFormat="false" ht="14.25" hidden="false" customHeight="false" outlineLevel="0" collapsed="false">
      <c r="A154" s="250"/>
      <c r="B154" s="202" t="s">
        <v>192</v>
      </c>
      <c r="C154" s="251" t="n">
        <v>0.0336134453781513</v>
      </c>
      <c r="D154" s="251" t="n">
        <v>0.0672268907563025</v>
      </c>
      <c r="E154" s="251" t="n">
        <v>0.100840336134454</v>
      </c>
      <c r="F154" s="251" t="n">
        <v>0.134453781512605</v>
      </c>
      <c r="G154" s="251" t="n">
        <v>0.168067226890756</v>
      </c>
      <c r="H154" s="251" t="n">
        <v>0.201680672268908</v>
      </c>
      <c r="I154" s="223" t="n">
        <v>0.235294117647059</v>
      </c>
    </row>
    <row r="155" customFormat="false" ht="14.25" hidden="false" customHeight="false" outlineLevel="0" collapsed="false">
      <c r="A155" s="250"/>
      <c r="B155" s="202" t="s">
        <v>374</v>
      </c>
      <c r="C155" s="251" t="n">
        <v>0</v>
      </c>
      <c r="D155" s="251" t="n">
        <v>0</v>
      </c>
      <c r="E155" s="251" t="n">
        <v>0</v>
      </c>
      <c r="F155" s="251" t="n">
        <v>0</v>
      </c>
      <c r="G155" s="251" t="n">
        <v>0</v>
      </c>
      <c r="H155" s="251" t="n">
        <v>0</v>
      </c>
      <c r="I155" s="223" t="n">
        <v>0</v>
      </c>
    </row>
    <row r="156" customFormat="false" ht="14.25" hidden="false" customHeight="false" outlineLevel="0" collapsed="false">
      <c r="A156" s="250"/>
      <c r="B156" s="202" t="s">
        <v>574</v>
      </c>
      <c r="C156" s="251" t="n">
        <v>0</v>
      </c>
      <c r="D156" s="251" t="n">
        <v>0</v>
      </c>
      <c r="E156" s="251" t="n">
        <v>0</v>
      </c>
      <c r="F156" s="251" t="n">
        <v>0</v>
      </c>
      <c r="G156" s="251" t="n">
        <v>0</v>
      </c>
      <c r="H156" s="251" t="n">
        <v>0</v>
      </c>
      <c r="I156" s="223" t="n">
        <v>0</v>
      </c>
    </row>
    <row r="157" customFormat="false" ht="14.25" hidden="false" customHeight="false" outlineLevel="0" collapsed="false">
      <c r="A157" s="250" t="s">
        <v>565</v>
      </c>
      <c r="B157" s="202" t="s">
        <v>573</v>
      </c>
      <c r="C157" s="251" t="n">
        <v>0.997198879551821</v>
      </c>
      <c r="D157" s="251" t="n">
        <v>0.994397759103642</v>
      </c>
      <c r="E157" s="251" t="n">
        <v>0.991596638655462</v>
      </c>
      <c r="F157" s="251" t="n">
        <v>0.988795518207283</v>
      </c>
      <c r="G157" s="251" t="n">
        <v>0.985994397759104</v>
      </c>
      <c r="H157" s="251" t="n">
        <v>0.983193277310924</v>
      </c>
      <c r="I157" s="223" t="n">
        <v>0.980392156862745</v>
      </c>
    </row>
    <row r="158" customFormat="false" ht="14.25" hidden="false" customHeight="false" outlineLevel="0" collapsed="false">
      <c r="A158" s="250"/>
      <c r="B158" s="202" t="s">
        <v>192</v>
      </c>
      <c r="C158" s="251" t="n">
        <v>0</v>
      </c>
      <c r="D158" s="251" t="n">
        <v>0</v>
      </c>
      <c r="E158" s="251" t="n">
        <v>0</v>
      </c>
      <c r="F158" s="251" t="n">
        <v>0</v>
      </c>
      <c r="G158" s="251" t="n">
        <v>0</v>
      </c>
      <c r="H158" s="251" t="n">
        <v>0</v>
      </c>
      <c r="I158" s="223" t="n">
        <v>0</v>
      </c>
    </row>
    <row r="159" customFormat="false" ht="14.25" hidden="false" customHeight="false" outlineLevel="0" collapsed="false">
      <c r="A159" s="250"/>
      <c r="B159" s="202" t="s">
        <v>374</v>
      </c>
      <c r="C159" s="251" t="n">
        <v>0.00280112044817927</v>
      </c>
      <c r="D159" s="251" t="n">
        <v>0.00560224089635854</v>
      </c>
      <c r="E159" s="251" t="n">
        <v>0.00840336134453782</v>
      </c>
      <c r="F159" s="251" t="n">
        <v>0.0112044817927171</v>
      </c>
      <c r="G159" s="251" t="n">
        <v>0.0140056022408964</v>
      </c>
      <c r="H159" s="251" t="n">
        <v>0.0168067226890756</v>
      </c>
      <c r="I159" s="223" t="n">
        <v>0.0196078431372549</v>
      </c>
    </row>
    <row r="160" customFormat="false" ht="14.25" hidden="false" customHeight="false" outlineLevel="0" collapsed="false">
      <c r="A160" s="250"/>
      <c r="B160" s="202" t="s">
        <v>574</v>
      </c>
      <c r="C160" s="251" t="n">
        <v>0</v>
      </c>
      <c r="D160" s="251" t="n">
        <v>0</v>
      </c>
      <c r="E160" s="251" t="n">
        <v>0</v>
      </c>
      <c r="F160" s="251" t="n">
        <v>0</v>
      </c>
      <c r="G160" s="251" t="n">
        <v>0</v>
      </c>
      <c r="H160" s="251" t="n">
        <v>0</v>
      </c>
      <c r="I160" s="223" t="n">
        <v>0</v>
      </c>
    </row>
    <row r="161" customFormat="false" ht="14.25" hidden="false" customHeight="false" outlineLevel="0" collapsed="false">
      <c r="A161" s="201" t="s">
        <v>576</v>
      </c>
      <c r="B161" s="202" t="s">
        <v>573</v>
      </c>
      <c r="C161" s="251" t="n">
        <v>0.828710839598997</v>
      </c>
      <c r="D161" s="251" t="n">
        <v>0.696621510611267</v>
      </c>
      <c r="E161" s="251" t="n">
        <v>0.564597266908706</v>
      </c>
      <c r="F161" s="251" t="n">
        <v>0.4325196526178</v>
      </c>
      <c r="G161" s="251" t="n">
        <v>0.300442038326894</v>
      </c>
      <c r="H161" s="251" t="n">
        <v>0.168364424035988</v>
      </c>
      <c r="I161" s="223" t="n">
        <v>0.0362868097450825</v>
      </c>
    </row>
    <row r="162" customFormat="false" ht="14.25" hidden="false" customHeight="false" outlineLevel="0" collapsed="false">
      <c r="A162" s="201"/>
      <c r="B162" s="202" t="s">
        <v>192</v>
      </c>
      <c r="C162" s="251" t="n">
        <v>0.0569658521303258</v>
      </c>
      <c r="D162" s="251" t="n">
        <v>0.075022347727485</v>
      </c>
      <c r="E162" s="251" t="n">
        <v>0.0930658402211721</v>
      </c>
      <c r="F162" s="251" t="n">
        <v>0.111123391308862</v>
      </c>
      <c r="G162" s="251" t="n">
        <v>0.129180942396552</v>
      </c>
      <c r="H162" s="251" t="n">
        <v>0.147238493484242</v>
      </c>
      <c r="I162" s="223" t="n">
        <v>0.165296044571933</v>
      </c>
    </row>
    <row r="163" customFormat="false" ht="14.25" hidden="false" customHeight="false" outlineLevel="0" collapsed="false">
      <c r="A163" s="201"/>
      <c r="B163" s="202" t="s">
        <v>374</v>
      </c>
      <c r="C163" s="251" t="n">
        <v>0.111544486215539</v>
      </c>
      <c r="D163" s="251" t="n">
        <v>0.222798930718471</v>
      </c>
      <c r="E163" s="251" t="n">
        <v>0.334002638521957</v>
      </c>
      <c r="F163" s="251" t="n">
        <v>0.445244616942451</v>
      </c>
      <c r="G163" s="251" t="n">
        <v>0.556486595362946</v>
      </c>
      <c r="H163" s="251" t="n">
        <v>0.66772857378344</v>
      </c>
      <c r="I163" s="223" t="n">
        <v>0.778970552203934</v>
      </c>
    </row>
    <row r="164" customFormat="false" ht="14.25" hidden="false" customHeight="false" outlineLevel="0" collapsed="false">
      <c r="A164" s="201"/>
      <c r="B164" s="205" t="s">
        <v>574</v>
      </c>
      <c r="C164" s="206" t="n">
        <v>0.00277882205513784</v>
      </c>
      <c r="D164" s="206" t="n">
        <v>0.00555721094277666</v>
      </c>
      <c r="E164" s="206" t="n">
        <v>0.00833425434816467</v>
      </c>
      <c r="F164" s="206" t="n">
        <v>0.0111123391308862</v>
      </c>
      <c r="G164" s="206" t="n">
        <v>0.0138904239136078</v>
      </c>
      <c r="H164" s="206" t="n">
        <v>0.0166685086963293</v>
      </c>
      <c r="I164" s="207" t="n">
        <v>0.0194465934790509</v>
      </c>
    </row>
    <row r="165" customFormat="false" ht="14.25" hidden="false" customHeight="false" outlineLevel="0" collapsed="false">
      <c r="A165" s="256"/>
      <c r="B165" s="256"/>
      <c r="C165" s="256"/>
      <c r="D165" s="256"/>
      <c r="E165" s="256"/>
      <c r="F165" s="256"/>
      <c r="G165" s="256"/>
      <c r="H165" s="256"/>
      <c r="I165" s="256"/>
      <c r="J165" s="256"/>
      <c r="K165" s="256"/>
      <c r="L165" s="256"/>
      <c r="M165" s="256"/>
      <c r="N165" s="256"/>
      <c r="O165" s="256"/>
      <c r="P165" s="256"/>
      <c r="Q165" s="256"/>
      <c r="R165" s="256"/>
      <c r="S165" s="256"/>
      <c r="T165" s="256"/>
      <c r="U165" s="256"/>
      <c r="V165" s="256"/>
      <c r="W165" s="256"/>
      <c r="X165" s="256"/>
      <c r="Y165" s="256"/>
      <c r="Z165" s="256"/>
      <c r="AA165" s="256"/>
      <c r="AB165" s="256"/>
      <c r="AC165" s="256"/>
      <c r="AD165" s="256"/>
      <c r="AE165" s="256"/>
      <c r="AF165" s="256"/>
      <c r="AG165" s="256"/>
      <c r="AH165" s="256"/>
      <c r="AI165" s="256"/>
      <c r="AJ165" s="256"/>
      <c r="AK165" s="256"/>
      <c r="AL165" s="256"/>
      <c r="AM165" s="256"/>
      <c r="AN165" s="256"/>
      <c r="AO165" s="256"/>
      <c r="AP165" s="256"/>
      <c r="AQ165" s="256"/>
      <c r="AR165" s="256"/>
      <c r="AS165" s="256"/>
      <c r="AT165" s="256"/>
      <c r="AU165" s="256"/>
      <c r="AV165" s="256"/>
      <c r="AW165" s="256"/>
      <c r="AX165" s="256"/>
      <c r="AY165" s="256"/>
    </row>
    <row r="166" customFormat="false" ht="15" hidden="false" customHeight="true" outlineLevel="0" collapsed="false"/>
    <row r="167" customFormat="false" ht="21.75" hidden="false" customHeight="true" outlineLevel="0" collapsed="false">
      <c r="A167" s="199" t="s">
        <v>577</v>
      </c>
    </row>
    <row r="168" customFormat="false" ht="17.35" hidden="false" customHeight="false" outlineLevel="0" collapsed="false">
      <c r="A168" s="200" t="s">
        <v>317</v>
      </c>
      <c r="B168" s="200"/>
      <c r="C168" s="200"/>
      <c r="D168" s="200"/>
      <c r="E168" s="200"/>
    </row>
    <row r="169" customFormat="false" ht="85.5" hidden="false" customHeight="true" outlineLevel="0" collapsed="false">
      <c r="A169" s="257" t="s">
        <v>318</v>
      </c>
      <c r="B169" s="257"/>
      <c r="C169" s="257"/>
      <c r="D169" s="257"/>
      <c r="E169" s="257"/>
    </row>
    <row r="170" customFormat="false" ht="15" hidden="false" customHeight="true" outlineLevel="0" collapsed="false">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row>
    <row r="171" customFormat="false" ht="13.5" hidden="false" customHeight="true" outlineLevel="0" collapsed="false">
      <c r="A171" s="258" t="s">
        <v>319</v>
      </c>
      <c r="B171" s="259" t="s">
        <v>320</v>
      </c>
      <c r="C171" s="260" t="n">
        <v>3</v>
      </c>
      <c r="D171" s="78"/>
      <c r="F171" s="78"/>
      <c r="G171" s="78"/>
      <c r="H171" s="78"/>
      <c r="I171" s="78"/>
      <c r="J171" s="78"/>
      <c r="K171" s="149"/>
      <c r="L171" s="149"/>
      <c r="M171" s="78"/>
      <c r="N171" s="78"/>
    </row>
    <row r="172" customFormat="false" ht="14.25" hidden="false" customHeight="false" outlineLevel="0" collapsed="false">
      <c r="A172" s="258"/>
      <c r="B172" s="202" t="s">
        <v>321</v>
      </c>
      <c r="C172" s="260"/>
      <c r="D172" s="151"/>
      <c r="E172" s="151"/>
      <c r="F172" s="151"/>
      <c r="G172" s="151"/>
      <c r="H172" s="151"/>
      <c r="I172" s="151"/>
      <c r="J172" s="151"/>
      <c r="K172" s="151"/>
      <c r="L172" s="151"/>
      <c r="M172" s="151"/>
      <c r="N172" s="151"/>
    </row>
    <row r="173" customFormat="false" ht="28.5" hidden="false" customHeight="true" outlineLevel="0" collapsed="false">
      <c r="A173" s="258"/>
      <c r="B173" s="205" t="s">
        <v>322</v>
      </c>
      <c r="C173" s="260"/>
      <c r="D173" s="78"/>
      <c r="E173" s="78"/>
      <c r="F173" s="78"/>
      <c r="G173" s="78"/>
      <c r="H173" s="78"/>
      <c r="I173" s="78"/>
      <c r="J173" s="78"/>
      <c r="K173" s="78"/>
      <c r="L173" s="78"/>
      <c r="M173" s="78"/>
      <c r="N173" s="78"/>
    </row>
    <row r="175" customFormat="false" ht="15.75" hidden="false" customHeight="true" outlineLevel="0" collapsed="false">
      <c r="A175" s="200" t="s">
        <v>323</v>
      </c>
      <c r="B175" s="200"/>
      <c r="C175" s="200"/>
    </row>
    <row r="176" customFormat="false" ht="14.25" hidden="false" customHeight="false" outlineLevel="0" collapsed="false">
      <c r="A176" s="208" t="s">
        <v>324</v>
      </c>
      <c r="B176" s="202" t="s">
        <v>28</v>
      </c>
      <c r="C176" s="204" t="n">
        <v>0.3</v>
      </c>
    </row>
    <row r="177" customFormat="false" ht="31.3" hidden="false" customHeight="false" outlineLevel="0" collapsed="false">
      <c r="A177" s="261" t="s">
        <v>326</v>
      </c>
      <c r="B177" s="205" t="s">
        <v>327</v>
      </c>
      <c r="C177" s="246" t="n">
        <v>0.031</v>
      </c>
    </row>
    <row r="178" customFormat="false" ht="15.75" hidden="false" customHeight="true" outlineLevel="0" collapsed="false">
      <c r="A178" s="237" t="s">
        <v>578</v>
      </c>
      <c r="B178" s="237"/>
      <c r="C178" s="262" t="s">
        <v>576</v>
      </c>
      <c r="D178" s="262" t="s">
        <v>579</v>
      </c>
      <c r="E178" s="262" t="s">
        <v>362</v>
      </c>
      <c r="F178" s="262" t="s">
        <v>580</v>
      </c>
      <c r="G178" s="262" t="s">
        <v>581</v>
      </c>
      <c r="H178" s="262" t="s">
        <v>582</v>
      </c>
      <c r="I178" s="262" t="s">
        <v>583</v>
      </c>
      <c r="J178" s="262" t="s">
        <v>354</v>
      </c>
      <c r="K178" s="262" t="s">
        <v>584</v>
      </c>
      <c r="L178" s="262" t="s">
        <v>585</v>
      </c>
      <c r="M178" s="262" t="s">
        <v>586</v>
      </c>
      <c r="N178" s="262" t="s">
        <v>587</v>
      </c>
      <c r="O178" s="262" t="s">
        <v>588</v>
      </c>
      <c r="P178" s="262" t="s">
        <v>589</v>
      </c>
      <c r="Q178" s="263" t="s">
        <v>590</v>
      </c>
      <c r="R178" s="263" t="s">
        <v>338</v>
      </c>
      <c r="S178" s="263" t="s">
        <v>591</v>
      </c>
      <c r="T178" s="263" t="s">
        <v>592</v>
      </c>
      <c r="U178" s="263" t="s">
        <v>593</v>
      </c>
      <c r="V178" s="263" t="s">
        <v>594</v>
      </c>
      <c r="W178" s="263" t="s">
        <v>595</v>
      </c>
      <c r="X178" s="263" t="s">
        <v>596</v>
      </c>
      <c r="Y178" s="263" t="s">
        <v>597</v>
      </c>
      <c r="Z178" s="263" t="s">
        <v>598</v>
      </c>
      <c r="AA178" s="263" t="s">
        <v>599</v>
      </c>
      <c r="AB178" s="263" t="s">
        <v>351</v>
      </c>
      <c r="AC178" s="263" t="s">
        <v>361</v>
      </c>
      <c r="AD178" s="263" t="s">
        <v>600</v>
      </c>
    </row>
    <row r="179" customFormat="false" ht="14.25" hidden="false" customHeight="false" outlineLevel="0" collapsed="false">
      <c r="A179" s="264" t="s">
        <v>374</v>
      </c>
      <c r="B179" s="264"/>
      <c r="C179" s="265" t="n">
        <v>2030</v>
      </c>
      <c r="D179" s="265" t="n">
        <v>2030</v>
      </c>
      <c r="E179" s="265" t="n">
        <v>2030</v>
      </c>
      <c r="F179" s="265" t="n">
        <v>2030</v>
      </c>
      <c r="G179" s="265" t="n">
        <v>2030</v>
      </c>
      <c r="H179" s="265" t="n">
        <v>2030</v>
      </c>
      <c r="I179" s="265" t="n">
        <v>2030</v>
      </c>
      <c r="J179" s="265" t="n">
        <v>2030</v>
      </c>
      <c r="K179" s="265" t="n">
        <v>2030</v>
      </c>
      <c r="L179" s="265" t="n">
        <v>2030</v>
      </c>
      <c r="M179" s="265" t="n">
        <v>2030</v>
      </c>
      <c r="N179" s="265" t="n">
        <v>2030</v>
      </c>
      <c r="O179" s="265" t="n">
        <v>2030</v>
      </c>
      <c r="P179" s="265" t="n">
        <v>2030</v>
      </c>
      <c r="Q179" s="266" t="n">
        <v>2030</v>
      </c>
      <c r="R179" s="266" t="n">
        <v>2030</v>
      </c>
      <c r="S179" s="266" t="n">
        <v>2030</v>
      </c>
      <c r="T179" s="266" t="n">
        <v>2030</v>
      </c>
      <c r="U179" s="266" t="n">
        <v>2030</v>
      </c>
      <c r="V179" s="266" t="n">
        <v>2030</v>
      </c>
      <c r="W179" s="266" t="n">
        <v>2030</v>
      </c>
      <c r="X179" s="266" t="n">
        <v>2030</v>
      </c>
      <c r="Y179" s="266" t="n">
        <v>2030</v>
      </c>
      <c r="Z179" s="266" t="n">
        <v>2030</v>
      </c>
      <c r="AA179" s="266" t="n">
        <v>2030</v>
      </c>
      <c r="AB179" s="266" t="n">
        <v>2030</v>
      </c>
      <c r="AC179" s="266" t="n">
        <v>2030</v>
      </c>
      <c r="AD179" s="266" t="n">
        <v>2030</v>
      </c>
    </row>
    <row r="180" customFormat="false" ht="14.25" hidden="false" customHeight="false" outlineLevel="0" collapsed="false">
      <c r="A180" s="264" t="s">
        <v>375</v>
      </c>
      <c r="B180" s="264"/>
      <c r="C180" s="265" t="n">
        <v>2030</v>
      </c>
      <c r="D180" s="265" t="n">
        <v>2030</v>
      </c>
      <c r="E180" s="265" t="n">
        <v>2030</v>
      </c>
      <c r="F180" s="265" t="n">
        <v>2030</v>
      </c>
      <c r="G180" s="265" t="n">
        <v>2030</v>
      </c>
      <c r="H180" s="265" t="n">
        <v>2030</v>
      </c>
      <c r="I180" s="265" t="n">
        <v>2030</v>
      </c>
      <c r="J180" s="265" t="n">
        <v>2030</v>
      </c>
      <c r="K180" s="265" t="n">
        <v>2030</v>
      </c>
      <c r="L180" s="265" t="n">
        <v>2030</v>
      </c>
      <c r="M180" s="265" t="n">
        <v>2030</v>
      </c>
      <c r="N180" s="265" t="n">
        <v>2030</v>
      </c>
      <c r="O180" s="265" t="n">
        <v>2030</v>
      </c>
      <c r="P180" s="265" t="n">
        <v>2030</v>
      </c>
      <c r="Q180" s="266" t="n">
        <v>2030</v>
      </c>
      <c r="R180" s="266" t="n">
        <v>2030</v>
      </c>
      <c r="S180" s="266" t="n">
        <v>2030</v>
      </c>
      <c r="T180" s="266" t="n">
        <v>2030</v>
      </c>
      <c r="U180" s="266" t="n">
        <v>2030</v>
      </c>
      <c r="V180" s="266" t="n">
        <v>2030</v>
      </c>
      <c r="W180" s="266" t="n">
        <v>2030</v>
      </c>
      <c r="X180" s="266" t="n">
        <v>2030</v>
      </c>
      <c r="Y180" s="266" t="n">
        <v>2030</v>
      </c>
      <c r="Z180" s="266" t="n">
        <v>2030</v>
      </c>
      <c r="AA180" s="266" t="n">
        <v>2030</v>
      </c>
      <c r="AB180" s="266" t="n">
        <v>2030</v>
      </c>
      <c r="AC180" s="266" t="n">
        <v>2030</v>
      </c>
      <c r="AD180" s="266" t="n">
        <v>2030</v>
      </c>
    </row>
    <row r="181" customFormat="false" ht="14.25" hidden="false" customHeight="false" outlineLevel="0" collapsed="false">
      <c r="A181" s="264" t="s">
        <v>376</v>
      </c>
      <c r="B181" s="264"/>
      <c r="C181" s="265" t="n">
        <v>2030</v>
      </c>
      <c r="D181" s="265" t="n">
        <v>2030</v>
      </c>
      <c r="E181" s="265" t="n">
        <v>2030</v>
      </c>
      <c r="F181" s="265" t="n">
        <v>2030</v>
      </c>
      <c r="G181" s="265" t="n">
        <v>2030</v>
      </c>
      <c r="H181" s="265" t="n">
        <v>2030</v>
      </c>
      <c r="I181" s="265" t="n">
        <v>2030</v>
      </c>
      <c r="J181" s="265" t="n">
        <v>2030</v>
      </c>
      <c r="K181" s="265" t="n">
        <v>2030</v>
      </c>
      <c r="L181" s="265" t="n">
        <v>2030</v>
      </c>
      <c r="M181" s="265" t="n">
        <v>2030</v>
      </c>
      <c r="N181" s="265" t="n">
        <v>2030</v>
      </c>
      <c r="O181" s="265" t="n">
        <v>2030</v>
      </c>
      <c r="P181" s="265" t="n">
        <v>2030</v>
      </c>
      <c r="Q181" s="266" t="n">
        <v>2030</v>
      </c>
      <c r="R181" s="266" t="n">
        <v>2030</v>
      </c>
      <c r="S181" s="266" t="n">
        <v>2030</v>
      </c>
      <c r="T181" s="266" t="n">
        <v>2030</v>
      </c>
      <c r="U181" s="266" t="n">
        <v>2030</v>
      </c>
      <c r="V181" s="266" t="n">
        <v>2030</v>
      </c>
      <c r="W181" s="266" t="n">
        <v>2030</v>
      </c>
      <c r="X181" s="266" t="n">
        <v>2030</v>
      </c>
      <c r="Y181" s="266" t="n">
        <v>2030</v>
      </c>
      <c r="Z181" s="266" t="n">
        <v>2030</v>
      </c>
      <c r="AA181" s="266" t="n">
        <v>2030</v>
      </c>
      <c r="AB181" s="266" t="n">
        <v>2030</v>
      </c>
      <c r="AC181" s="266" t="n">
        <v>2030</v>
      </c>
      <c r="AD181" s="266" t="n">
        <v>2030</v>
      </c>
    </row>
    <row r="182" customFormat="false" ht="14.25" hidden="false" customHeight="false" outlineLevel="0" collapsed="false">
      <c r="A182" s="264" t="s">
        <v>377</v>
      </c>
      <c r="B182" s="264"/>
      <c r="C182" s="265" t="n">
        <v>2030</v>
      </c>
      <c r="D182" s="265" t="n">
        <v>2030</v>
      </c>
      <c r="E182" s="265" t="n">
        <v>2030</v>
      </c>
      <c r="F182" s="265" t="n">
        <v>2030</v>
      </c>
      <c r="G182" s="265" t="n">
        <v>2030</v>
      </c>
      <c r="H182" s="265" t="n">
        <v>2030</v>
      </c>
      <c r="I182" s="265" t="n">
        <v>2030</v>
      </c>
      <c r="J182" s="265" t="n">
        <v>2030</v>
      </c>
      <c r="K182" s="265" t="n">
        <v>2030</v>
      </c>
      <c r="L182" s="265" t="n">
        <v>2030</v>
      </c>
      <c r="M182" s="265" t="n">
        <v>2030</v>
      </c>
      <c r="N182" s="265" t="n">
        <v>2030</v>
      </c>
      <c r="O182" s="265" t="n">
        <v>2030</v>
      </c>
      <c r="P182" s="265" t="n">
        <v>2030</v>
      </c>
      <c r="Q182" s="266" t="n">
        <v>2030</v>
      </c>
      <c r="R182" s="266" t="n">
        <v>2030</v>
      </c>
      <c r="S182" s="266" t="n">
        <v>2030</v>
      </c>
      <c r="T182" s="266" t="n">
        <v>2030</v>
      </c>
      <c r="U182" s="266" t="n">
        <v>2030</v>
      </c>
      <c r="V182" s="266" t="n">
        <v>2030</v>
      </c>
      <c r="W182" s="266" t="n">
        <v>2030</v>
      </c>
      <c r="X182" s="266" t="n">
        <v>2030</v>
      </c>
      <c r="Y182" s="266" t="n">
        <v>2030</v>
      </c>
      <c r="Z182" s="266" t="n">
        <v>2030</v>
      </c>
      <c r="AA182" s="266" t="n">
        <v>2030</v>
      </c>
      <c r="AB182" s="266" t="n">
        <v>2030</v>
      </c>
      <c r="AC182" s="266" t="n">
        <v>2030</v>
      </c>
      <c r="AD182" s="266" t="n">
        <v>2030</v>
      </c>
    </row>
    <row r="183" customFormat="false" ht="14.25" hidden="false" customHeight="false" outlineLevel="0" collapsed="false">
      <c r="A183" s="264" t="s">
        <v>378</v>
      </c>
      <c r="B183" s="264"/>
      <c r="C183" s="265" t="n">
        <v>2030</v>
      </c>
      <c r="D183" s="265" t="n">
        <v>2030</v>
      </c>
      <c r="E183" s="265" t="n">
        <v>2030</v>
      </c>
      <c r="F183" s="265" t="n">
        <v>2030</v>
      </c>
      <c r="G183" s="265" t="n">
        <v>2030</v>
      </c>
      <c r="H183" s="265" t="n">
        <v>2030</v>
      </c>
      <c r="I183" s="265" t="n">
        <v>2030</v>
      </c>
      <c r="J183" s="265" t="n">
        <v>2030</v>
      </c>
      <c r="K183" s="265" t="n">
        <v>2030</v>
      </c>
      <c r="L183" s="265" t="n">
        <v>2030</v>
      </c>
      <c r="M183" s="265" t="n">
        <v>2030</v>
      </c>
      <c r="N183" s="265" t="n">
        <v>2030</v>
      </c>
      <c r="O183" s="265" t="n">
        <v>2030</v>
      </c>
      <c r="P183" s="265" t="n">
        <v>2030</v>
      </c>
      <c r="Q183" s="266" t="n">
        <v>2030</v>
      </c>
      <c r="R183" s="266" t="n">
        <v>2030</v>
      </c>
      <c r="S183" s="266" t="n">
        <v>2030</v>
      </c>
      <c r="T183" s="266" t="n">
        <v>2030</v>
      </c>
      <c r="U183" s="266" t="n">
        <v>2030</v>
      </c>
      <c r="V183" s="266" t="n">
        <v>2030</v>
      </c>
      <c r="W183" s="266" t="n">
        <v>2030</v>
      </c>
      <c r="X183" s="266" t="n">
        <v>2030</v>
      </c>
      <c r="Y183" s="266" t="n">
        <v>2030</v>
      </c>
      <c r="Z183" s="266" t="n">
        <v>2030</v>
      </c>
      <c r="AA183" s="266" t="n">
        <v>2030</v>
      </c>
      <c r="AB183" s="266" t="n">
        <v>2030</v>
      </c>
      <c r="AC183" s="266" t="n">
        <v>2030</v>
      </c>
      <c r="AD183" s="266" t="n">
        <v>2030</v>
      </c>
    </row>
    <row r="184" customFormat="false" ht="15.75" hidden="false" customHeight="true" outlineLevel="0" collapsed="false">
      <c r="A184" s="200" t="s">
        <v>601</v>
      </c>
      <c r="B184" s="200"/>
      <c r="C184" s="200"/>
      <c r="D184" s="200"/>
      <c r="E184" s="200"/>
      <c r="F184" s="200"/>
      <c r="G184" s="200"/>
      <c r="H184" s="200"/>
      <c r="I184" s="200"/>
      <c r="J184" s="200"/>
      <c r="K184" s="200"/>
      <c r="L184" s="200"/>
      <c r="M184" s="200"/>
      <c r="N184" s="200"/>
      <c r="O184" s="200"/>
      <c r="P184" s="200"/>
      <c r="Q184" s="200"/>
    </row>
    <row r="185" customFormat="false" ht="14.25" hidden="false" customHeight="false" outlineLevel="0" collapsed="false">
      <c r="A185" s="264" t="s">
        <v>374</v>
      </c>
      <c r="B185" s="264"/>
      <c r="C185" s="265" t="n">
        <v>1</v>
      </c>
      <c r="D185" s="265" t="n">
        <v>1</v>
      </c>
      <c r="E185" s="265" t="n">
        <v>1</v>
      </c>
      <c r="F185" s="265" t="n">
        <v>1</v>
      </c>
      <c r="G185" s="265" t="n">
        <v>1</v>
      </c>
      <c r="H185" s="265" t="n">
        <v>1</v>
      </c>
      <c r="I185" s="265" t="n">
        <v>1</v>
      </c>
      <c r="J185" s="265" t="n">
        <v>1</v>
      </c>
      <c r="K185" s="265" t="n">
        <v>1</v>
      </c>
      <c r="L185" s="265" t="n">
        <v>1</v>
      </c>
      <c r="M185" s="265" t="n">
        <v>1</v>
      </c>
      <c r="N185" s="265" t="n">
        <v>1</v>
      </c>
      <c r="O185" s="265" t="n">
        <v>1</v>
      </c>
      <c r="P185" s="265" t="n">
        <v>1</v>
      </c>
      <c r="Q185" s="266" t="n">
        <v>1</v>
      </c>
      <c r="R185" s="266" t="n">
        <v>1</v>
      </c>
      <c r="S185" s="266" t="n">
        <v>1</v>
      </c>
      <c r="T185" s="266" t="n">
        <v>1</v>
      </c>
      <c r="U185" s="266" t="n">
        <v>1</v>
      </c>
      <c r="V185" s="266" t="n">
        <v>1</v>
      </c>
      <c r="W185" s="266" t="n">
        <v>1</v>
      </c>
      <c r="X185" s="266" t="n">
        <v>1</v>
      </c>
      <c r="Y185" s="266" t="n">
        <v>1</v>
      </c>
      <c r="Z185" s="266" t="n">
        <v>1</v>
      </c>
      <c r="AA185" s="266" t="n">
        <v>1</v>
      </c>
      <c r="AB185" s="266" t="n">
        <v>1</v>
      </c>
      <c r="AC185" s="266" t="n">
        <v>1</v>
      </c>
      <c r="AD185" s="266" t="n">
        <v>1</v>
      </c>
    </row>
    <row r="186" customFormat="false" ht="14.25" hidden="false" customHeight="false" outlineLevel="0" collapsed="false">
      <c r="A186" s="264" t="s">
        <v>375</v>
      </c>
      <c r="B186" s="264"/>
      <c r="C186" s="265" t="n">
        <v>1</v>
      </c>
      <c r="D186" s="265" t="n">
        <v>1</v>
      </c>
      <c r="E186" s="265" t="n">
        <v>1</v>
      </c>
      <c r="F186" s="265" t="n">
        <v>1</v>
      </c>
      <c r="G186" s="265" t="n">
        <v>1</v>
      </c>
      <c r="H186" s="265" t="n">
        <v>1</v>
      </c>
      <c r="I186" s="265" t="n">
        <v>1</v>
      </c>
      <c r="J186" s="265" t="n">
        <v>1</v>
      </c>
      <c r="K186" s="265" t="n">
        <v>1</v>
      </c>
      <c r="L186" s="265" t="n">
        <v>1</v>
      </c>
      <c r="M186" s="265" t="n">
        <v>1</v>
      </c>
      <c r="N186" s="265" t="n">
        <v>1</v>
      </c>
      <c r="O186" s="265" t="n">
        <v>1</v>
      </c>
      <c r="P186" s="265" t="n">
        <v>1</v>
      </c>
      <c r="Q186" s="266" t="n">
        <v>1</v>
      </c>
      <c r="R186" s="266" t="n">
        <v>1</v>
      </c>
      <c r="S186" s="266" t="n">
        <v>1</v>
      </c>
      <c r="T186" s="266" t="n">
        <v>1</v>
      </c>
      <c r="U186" s="266" t="n">
        <v>1</v>
      </c>
      <c r="V186" s="266" t="n">
        <v>1</v>
      </c>
      <c r="W186" s="266" t="n">
        <v>1</v>
      </c>
      <c r="X186" s="266" t="n">
        <v>1</v>
      </c>
      <c r="Y186" s="266" t="n">
        <v>1</v>
      </c>
      <c r="Z186" s="266" t="n">
        <v>1</v>
      </c>
      <c r="AA186" s="266" t="n">
        <v>1</v>
      </c>
      <c r="AB186" s="266" t="n">
        <v>1</v>
      </c>
      <c r="AC186" s="266" t="n">
        <v>1</v>
      </c>
      <c r="AD186" s="266" t="n">
        <v>1</v>
      </c>
    </row>
    <row r="187" customFormat="false" ht="14.25" hidden="false" customHeight="false" outlineLevel="0" collapsed="false">
      <c r="A187" s="264" t="s">
        <v>376</v>
      </c>
      <c r="B187" s="264"/>
      <c r="C187" s="265" t="n">
        <v>1</v>
      </c>
      <c r="D187" s="265" t="n">
        <v>1</v>
      </c>
      <c r="E187" s="265" t="n">
        <v>1</v>
      </c>
      <c r="F187" s="265" t="n">
        <v>1</v>
      </c>
      <c r="G187" s="265" t="n">
        <v>1</v>
      </c>
      <c r="H187" s="265" t="n">
        <v>1</v>
      </c>
      <c r="I187" s="265" t="n">
        <v>1</v>
      </c>
      <c r="J187" s="265" t="n">
        <v>1</v>
      </c>
      <c r="K187" s="265" t="n">
        <v>1</v>
      </c>
      <c r="L187" s="265" t="n">
        <v>1</v>
      </c>
      <c r="M187" s="265" t="n">
        <v>1</v>
      </c>
      <c r="N187" s="265" t="n">
        <v>1</v>
      </c>
      <c r="O187" s="265" t="n">
        <v>1</v>
      </c>
      <c r="P187" s="265" t="n">
        <v>1</v>
      </c>
      <c r="Q187" s="266" t="n">
        <v>1</v>
      </c>
      <c r="R187" s="266" t="n">
        <v>1</v>
      </c>
      <c r="S187" s="266" t="n">
        <v>1</v>
      </c>
      <c r="T187" s="266" t="n">
        <v>1</v>
      </c>
      <c r="U187" s="266" t="n">
        <v>1</v>
      </c>
      <c r="V187" s="266" t="n">
        <v>1</v>
      </c>
      <c r="W187" s="266" t="n">
        <v>1</v>
      </c>
      <c r="X187" s="266" t="n">
        <v>1</v>
      </c>
      <c r="Y187" s="266" t="n">
        <v>1</v>
      </c>
      <c r="Z187" s="266" t="n">
        <v>1</v>
      </c>
      <c r="AA187" s="266" t="n">
        <v>1</v>
      </c>
      <c r="AB187" s="266" t="n">
        <v>1</v>
      </c>
      <c r="AC187" s="266" t="n">
        <v>1</v>
      </c>
      <c r="AD187" s="266" t="n">
        <v>1</v>
      </c>
    </row>
    <row r="188" customFormat="false" ht="14.25" hidden="false" customHeight="false" outlineLevel="0" collapsed="false">
      <c r="A188" s="264" t="s">
        <v>377</v>
      </c>
      <c r="B188" s="264"/>
      <c r="C188" s="265" t="n">
        <v>1</v>
      </c>
      <c r="D188" s="265" t="n">
        <v>1</v>
      </c>
      <c r="E188" s="265" t="n">
        <v>1</v>
      </c>
      <c r="F188" s="265" t="n">
        <v>1</v>
      </c>
      <c r="G188" s="265" t="n">
        <v>1</v>
      </c>
      <c r="H188" s="265" t="n">
        <v>1</v>
      </c>
      <c r="I188" s="265" t="n">
        <v>1</v>
      </c>
      <c r="J188" s="265" t="n">
        <v>1</v>
      </c>
      <c r="K188" s="265" t="n">
        <v>1</v>
      </c>
      <c r="L188" s="265" t="n">
        <v>1</v>
      </c>
      <c r="M188" s="265" t="n">
        <v>1</v>
      </c>
      <c r="N188" s="265" t="n">
        <v>1</v>
      </c>
      <c r="O188" s="265" t="n">
        <v>1</v>
      </c>
      <c r="P188" s="265" t="n">
        <v>1</v>
      </c>
      <c r="Q188" s="266" t="n">
        <v>1</v>
      </c>
      <c r="R188" s="266" t="n">
        <v>1</v>
      </c>
      <c r="S188" s="266" t="n">
        <v>1</v>
      </c>
      <c r="T188" s="266" t="n">
        <v>1</v>
      </c>
      <c r="U188" s="266" t="n">
        <v>1</v>
      </c>
      <c r="V188" s="266" t="n">
        <v>1</v>
      </c>
      <c r="W188" s="266" t="n">
        <v>1</v>
      </c>
      <c r="X188" s="266" t="n">
        <v>1</v>
      </c>
      <c r="Y188" s="266" t="n">
        <v>1</v>
      </c>
      <c r="Z188" s="266" t="n">
        <v>1</v>
      </c>
      <c r="AA188" s="266" t="n">
        <v>1</v>
      </c>
      <c r="AB188" s="266" t="n">
        <v>1</v>
      </c>
      <c r="AC188" s="266" t="n">
        <v>1</v>
      </c>
      <c r="AD188" s="266" t="n">
        <v>1</v>
      </c>
    </row>
    <row r="189" customFormat="false" ht="14.25" hidden="false" customHeight="false" outlineLevel="0" collapsed="false">
      <c r="A189" s="264" t="s">
        <v>378</v>
      </c>
      <c r="B189" s="264"/>
      <c r="C189" s="265" t="n">
        <v>1</v>
      </c>
      <c r="D189" s="265" t="n">
        <v>1</v>
      </c>
      <c r="E189" s="265" t="n">
        <v>1</v>
      </c>
      <c r="F189" s="265" t="n">
        <v>1</v>
      </c>
      <c r="G189" s="265" t="n">
        <v>1</v>
      </c>
      <c r="H189" s="265" t="n">
        <v>1</v>
      </c>
      <c r="I189" s="265" t="n">
        <v>1</v>
      </c>
      <c r="J189" s="265" t="n">
        <v>1</v>
      </c>
      <c r="K189" s="265" t="n">
        <v>1</v>
      </c>
      <c r="L189" s="265" t="n">
        <v>1</v>
      </c>
      <c r="M189" s="265" t="n">
        <v>1</v>
      </c>
      <c r="N189" s="265" t="n">
        <v>1</v>
      </c>
      <c r="O189" s="265" t="n">
        <v>1</v>
      </c>
      <c r="P189" s="265" t="n">
        <v>1</v>
      </c>
      <c r="Q189" s="266" t="n">
        <v>1</v>
      </c>
      <c r="R189" s="266" t="n">
        <v>1</v>
      </c>
      <c r="S189" s="266" t="n">
        <v>1</v>
      </c>
      <c r="T189" s="266" t="n">
        <v>1</v>
      </c>
      <c r="U189" s="266" t="n">
        <v>1</v>
      </c>
      <c r="V189" s="266" t="n">
        <v>1</v>
      </c>
      <c r="W189" s="266" t="n">
        <v>1</v>
      </c>
      <c r="X189" s="266" t="n">
        <v>1</v>
      </c>
      <c r="Y189" s="266" t="n">
        <v>1</v>
      </c>
      <c r="Z189" s="266" t="n">
        <v>1</v>
      </c>
      <c r="AA189" s="266" t="n">
        <v>1</v>
      </c>
      <c r="AB189" s="266" t="n">
        <v>1</v>
      </c>
      <c r="AC189" s="266" t="n">
        <v>1</v>
      </c>
      <c r="AD189" s="266" t="n">
        <v>1</v>
      </c>
    </row>
    <row r="190" customFormat="false" ht="15.75" hidden="false" customHeight="true" outlineLevel="0" collapsed="false">
      <c r="A190" s="200" t="s">
        <v>602</v>
      </c>
      <c r="B190" s="200"/>
      <c r="C190" s="200"/>
      <c r="D190" s="200"/>
      <c r="E190" s="200"/>
      <c r="F190" s="200"/>
      <c r="G190" s="200"/>
      <c r="H190" s="200"/>
      <c r="I190" s="200"/>
      <c r="J190" s="200"/>
      <c r="K190" s="200"/>
      <c r="L190" s="200"/>
      <c r="M190" s="200"/>
      <c r="N190" s="200"/>
      <c r="O190" s="200"/>
      <c r="P190" s="200"/>
      <c r="Q190" s="200"/>
    </row>
    <row r="191" customFormat="false" ht="14.25" hidden="false" customHeight="false" outlineLevel="0" collapsed="false">
      <c r="A191" s="264" t="s">
        <v>374</v>
      </c>
      <c r="B191" s="264"/>
      <c r="C191" s="265" t="n">
        <v>2040</v>
      </c>
      <c r="D191" s="265" t="n">
        <v>2040</v>
      </c>
      <c r="E191" s="265" t="n">
        <v>2040</v>
      </c>
      <c r="F191" s="265" t="n">
        <v>2040</v>
      </c>
      <c r="G191" s="265" t="n">
        <v>2040</v>
      </c>
      <c r="H191" s="265" t="n">
        <v>2040</v>
      </c>
      <c r="I191" s="265" t="n">
        <v>2040</v>
      </c>
      <c r="J191" s="265" t="n">
        <v>2040</v>
      </c>
      <c r="K191" s="265" t="n">
        <v>2040</v>
      </c>
      <c r="L191" s="265" t="n">
        <v>2040</v>
      </c>
      <c r="M191" s="265" t="n">
        <v>2040</v>
      </c>
      <c r="N191" s="265" t="n">
        <v>2040</v>
      </c>
      <c r="O191" s="265" t="n">
        <v>2040</v>
      </c>
      <c r="P191" s="265" t="n">
        <v>2040</v>
      </c>
      <c r="Q191" s="265" t="n">
        <v>2040</v>
      </c>
      <c r="R191" s="265" t="n">
        <v>2040</v>
      </c>
      <c r="S191" s="265" t="n">
        <v>2040</v>
      </c>
      <c r="T191" s="265" t="n">
        <v>2040</v>
      </c>
      <c r="U191" s="265" t="n">
        <v>2040</v>
      </c>
      <c r="V191" s="265" t="n">
        <v>2040</v>
      </c>
      <c r="W191" s="265" t="n">
        <v>2040</v>
      </c>
      <c r="X191" s="265" t="n">
        <v>2040</v>
      </c>
      <c r="Y191" s="265" t="n">
        <v>2040</v>
      </c>
      <c r="Z191" s="265" t="n">
        <v>2040</v>
      </c>
      <c r="AA191" s="265" t="n">
        <v>2040</v>
      </c>
      <c r="AB191" s="265" t="n">
        <v>2040</v>
      </c>
      <c r="AC191" s="265" t="n">
        <v>2040</v>
      </c>
      <c r="AD191" s="265" t="n">
        <v>2040</v>
      </c>
    </row>
    <row r="192" customFormat="false" ht="14.25" hidden="false" customHeight="false" outlineLevel="0" collapsed="false">
      <c r="A192" s="264" t="s">
        <v>375</v>
      </c>
      <c r="B192" s="264"/>
      <c r="C192" s="265" t="n">
        <v>2040</v>
      </c>
      <c r="D192" s="265" t="n">
        <v>2040</v>
      </c>
      <c r="E192" s="265" t="n">
        <v>2040</v>
      </c>
      <c r="F192" s="265" t="n">
        <v>2040</v>
      </c>
      <c r="G192" s="265" t="n">
        <v>2040</v>
      </c>
      <c r="H192" s="265" t="n">
        <v>2040</v>
      </c>
      <c r="I192" s="265" t="n">
        <v>2040</v>
      </c>
      <c r="J192" s="265" t="n">
        <v>2040</v>
      </c>
      <c r="K192" s="265" t="n">
        <v>2040</v>
      </c>
      <c r="L192" s="265" t="n">
        <v>2040</v>
      </c>
      <c r="M192" s="265" t="n">
        <v>2040</v>
      </c>
      <c r="N192" s="265" t="n">
        <v>2040</v>
      </c>
      <c r="O192" s="265" t="n">
        <v>2040</v>
      </c>
      <c r="P192" s="265" t="n">
        <v>2040</v>
      </c>
      <c r="Q192" s="265" t="n">
        <v>2040</v>
      </c>
      <c r="R192" s="265" t="n">
        <v>2040</v>
      </c>
      <c r="S192" s="265" t="n">
        <v>2040</v>
      </c>
      <c r="T192" s="265" t="n">
        <v>2040</v>
      </c>
      <c r="U192" s="265" t="n">
        <v>2040</v>
      </c>
      <c r="V192" s="265" t="n">
        <v>2040</v>
      </c>
      <c r="W192" s="265" t="n">
        <v>2040</v>
      </c>
      <c r="X192" s="265" t="n">
        <v>2040</v>
      </c>
      <c r="Y192" s="265" t="n">
        <v>2040</v>
      </c>
      <c r="Z192" s="265" t="n">
        <v>2040</v>
      </c>
      <c r="AA192" s="265" t="n">
        <v>2040</v>
      </c>
      <c r="AB192" s="265" t="n">
        <v>2040</v>
      </c>
      <c r="AC192" s="265" t="n">
        <v>2040</v>
      </c>
      <c r="AD192" s="265" t="n">
        <v>2040</v>
      </c>
    </row>
    <row r="193" customFormat="false" ht="14.25" hidden="false" customHeight="false" outlineLevel="0" collapsed="false">
      <c r="A193" s="264" t="s">
        <v>376</v>
      </c>
      <c r="B193" s="264"/>
      <c r="C193" s="265" t="n">
        <v>2040</v>
      </c>
      <c r="D193" s="265" t="n">
        <v>2040</v>
      </c>
      <c r="E193" s="265" t="n">
        <v>2040</v>
      </c>
      <c r="F193" s="265" t="n">
        <v>2040</v>
      </c>
      <c r="G193" s="265" t="n">
        <v>2040</v>
      </c>
      <c r="H193" s="265" t="n">
        <v>2040</v>
      </c>
      <c r="I193" s="265" t="n">
        <v>2040</v>
      </c>
      <c r="J193" s="265" t="n">
        <v>2040</v>
      </c>
      <c r="K193" s="265" t="n">
        <v>2040</v>
      </c>
      <c r="L193" s="265" t="n">
        <v>2040</v>
      </c>
      <c r="M193" s="265" t="n">
        <v>2040</v>
      </c>
      <c r="N193" s="265" t="n">
        <v>2040</v>
      </c>
      <c r="O193" s="265" t="n">
        <v>2040</v>
      </c>
      <c r="P193" s="265" t="n">
        <v>2040</v>
      </c>
      <c r="Q193" s="265" t="n">
        <v>2040</v>
      </c>
      <c r="R193" s="265" t="n">
        <v>2040</v>
      </c>
      <c r="S193" s="265" t="n">
        <v>2040</v>
      </c>
      <c r="T193" s="265" t="n">
        <v>2040</v>
      </c>
      <c r="U193" s="265" t="n">
        <v>2040</v>
      </c>
      <c r="V193" s="265" t="n">
        <v>2040</v>
      </c>
      <c r="W193" s="265" t="n">
        <v>2040</v>
      </c>
      <c r="X193" s="265" t="n">
        <v>2040</v>
      </c>
      <c r="Y193" s="265" t="n">
        <v>2040</v>
      </c>
      <c r="Z193" s="265" t="n">
        <v>2040</v>
      </c>
      <c r="AA193" s="265" t="n">
        <v>2040</v>
      </c>
      <c r="AB193" s="265" t="n">
        <v>2040</v>
      </c>
      <c r="AC193" s="265" t="n">
        <v>2040</v>
      </c>
      <c r="AD193" s="265" t="n">
        <v>2040</v>
      </c>
    </row>
    <row r="194" customFormat="false" ht="14.25" hidden="false" customHeight="false" outlineLevel="0" collapsed="false">
      <c r="A194" s="264" t="s">
        <v>377</v>
      </c>
      <c r="B194" s="264"/>
      <c r="C194" s="265" t="n">
        <v>2040</v>
      </c>
      <c r="D194" s="265" t="n">
        <v>2040</v>
      </c>
      <c r="E194" s="265" t="n">
        <v>2040</v>
      </c>
      <c r="F194" s="265" t="n">
        <v>2040</v>
      </c>
      <c r="G194" s="265" t="n">
        <v>2040</v>
      </c>
      <c r="H194" s="265" t="n">
        <v>2040</v>
      </c>
      <c r="I194" s="265" t="n">
        <v>2040</v>
      </c>
      <c r="J194" s="265" t="n">
        <v>2040</v>
      </c>
      <c r="K194" s="265" t="n">
        <v>2040</v>
      </c>
      <c r="L194" s="265" t="n">
        <v>2040</v>
      </c>
      <c r="M194" s="265" t="n">
        <v>2040</v>
      </c>
      <c r="N194" s="265" t="n">
        <v>2040</v>
      </c>
      <c r="O194" s="265" t="n">
        <v>2040</v>
      </c>
      <c r="P194" s="265" t="n">
        <v>2040</v>
      </c>
      <c r="Q194" s="265" t="n">
        <v>2040</v>
      </c>
      <c r="R194" s="265" t="n">
        <v>2040</v>
      </c>
      <c r="S194" s="265" t="n">
        <v>2040</v>
      </c>
      <c r="T194" s="265" t="n">
        <v>2040</v>
      </c>
      <c r="U194" s="265" t="n">
        <v>2040</v>
      </c>
      <c r="V194" s="265" t="n">
        <v>2040</v>
      </c>
      <c r="W194" s="265" t="n">
        <v>2040</v>
      </c>
      <c r="X194" s="265" t="n">
        <v>2040</v>
      </c>
      <c r="Y194" s="265" t="n">
        <v>2040</v>
      </c>
      <c r="Z194" s="265" t="n">
        <v>2040</v>
      </c>
      <c r="AA194" s="265" t="n">
        <v>2040</v>
      </c>
      <c r="AB194" s="265" t="n">
        <v>2040</v>
      </c>
      <c r="AC194" s="265" t="n">
        <v>2040</v>
      </c>
      <c r="AD194" s="265" t="n">
        <v>2040</v>
      </c>
    </row>
    <row r="195" customFormat="false" ht="14.25" hidden="false" customHeight="false" outlineLevel="0" collapsed="false">
      <c r="A195" s="264" t="s">
        <v>378</v>
      </c>
      <c r="B195" s="264"/>
      <c r="C195" s="265" t="n">
        <v>2040</v>
      </c>
      <c r="D195" s="265" t="n">
        <v>2040</v>
      </c>
      <c r="E195" s="265" t="n">
        <v>2040</v>
      </c>
      <c r="F195" s="265" t="n">
        <v>2040</v>
      </c>
      <c r="G195" s="265" t="n">
        <v>2040</v>
      </c>
      <c r="H195" s="265" t="n">
        <v>2040</v>
      </c>
      <c r="I195" s="265" t="n">
        <v>2040</v>
      </c>
      <c r="J195" s="265" t="n">
        <v>2040</v>
      </c>
      <c r="K195" s="265" t="n">
        <v>2040</v>
      </c>
      <c r="L195" s="265" t="n">
        <v>2040</v>
      </c>
      <c r="M195" s="265" t="n">
        <v>2040</v>
      </c>
      <c r="N195" s="265" t="n">
        <v>2040</v>
      </c>
      <c r="O195" s="265" t="n">
        <v>2040</v>
      </c>
      <c r="P195" s="265" t="n">
        <v>2040</v>
      </c>
      <c r="Q195" s="265" t="n">
        <v>2040</v>
      </c>
      <c r="R195" s="265" t="n">
        <v>2040</v>
      </c>
      <c r="S195" s="265" t="n">
        <v>2040</v>
      </c>
      <c r="T195" s="265" t="n">
        <v>2040</v>
      </c>
      <c r="U195" s="265" t="n">
        <v>2040</v>
      </c>
      <c r="V195" s="265" t="n">
        <v>2040</v>
      </c>
      <c r="W195" s="265" t="n">
        <v>2040</v>
      </c>
      <c r="X195" s="265" t="n">
        <v>2040</v>
      </c>
      <c r="Y195" s="265" t="n">
        <v>2040</v>
      </c>
      <c r="Z195" s="265" t="n">
        <v>2040</v>
      </c>
      <c r="AA195" s="265" t="n">
        <v>2040</v>
      </c>
      <c r="AB195" s="265" t="n">
        <v>2040</v>
      </c>
      <c r="AC195" s="265" t="n">
        <v>2040</v>
      </c>
      <c r="AD195" s="265" t="n">
        <v>2040</v>
      </c>
    </row>
    <row r="196" customFormat="false" ht="15.75" hidden="false" customHeight="true" outlineLevel="0" collapsed="false">
      <c r="A196" s="200" t="s">
        <v>603</v>
      </c>
      <c r="B196" s="200"/>
      <c r="C196" s="200"/>
      <c r="D196" s="200"/>
      <c r="E196" s="200"/>
      <c r="F196" s="200"/>
      <c r="G196" s="200"/>
      <c r="H196" s="200"/>
      <c r="I196" s="200"/>
      <c r="J196" s="200"/>
      <c r="K196" s="200"/>
      <c r="L196" s="200"/>
      <c r="M196" s="200"/>
      <c r="N196" s="200"/>
      <c r="O196" s="200"/>
      <c r="P196" s="200"/>
      <c r="Q196" s="200"/>
    </row>
    <row r="197" customFormat="false" ht="14.25" hidden="false" customHeight="false" outlineLevel="0" collapsed="false">
      <c r="A197" s="264" t="s">
        <v>374</v>
      </c>
      <c r="B197" s="264"/>
      <c r="C197" s="265" t="n">
        <v>1</v>
      </c>
      <c r="D197" s="265" t="n">
        <v>1</v>
      </c>
      <c r="E197" s="265" t="n">
        <v>1</v>
      </c>
      <c r="F197" s="265" t="n">
        <v>1</v>
      </c>
      <c r="G197" s="265" t="n">
        <v>1</v>
      </c>
      <c r="H197" s="265" t="n">
        <v>1</v>
      </c>
      <c r="I197" s="265" t="n">
        <v>1</v>
      </c>
      <c r="J197" s="265" t="n">
        <v>1</v>
      </c>
      <c r="K197" s="265" t="n">
        <v>1</v>
      </c>
      <c r="L197" s="265" t="n">
        <v>1</v>
      </c>
      <c r="M197" s="265" t="n">
        <v>1</v>
      </c>
      <c r="N197" s="265" t="n">
        <v>1</v>
      </c>
      <c r="O197" s="265" t="n">
        <v>1</v>
      </c>
      <c r="P197" s="265" t="n">
        <v>1</v>
      </c>
      <c r="Q197" s="266" t="n">
        <v>1</v>
      </c>
      <c r="R197" s="266" t="n">
        <v>1</v>
      </c>
      <c r="S197" s="266" t="n">
        <v>1</v>
      </c>
      <c r="T197" s="266" t="n">
        <v>1</v>
      </c>
      <c r="U197" s="266" t="n">
        <v>1</v>
      </c>
      <c r="V197" s="266" t="n">
        <v>1</v>
      </c>
      <c r="W197" s="266" t="n">
        <v>1</v>
      </c>
      <c r="X197" s="266" t="n">
        <v>1</v>
      </c>
      <c r="Y197" s="266" t="n">
        <v>1</v>
      </c>
      <c r="Z197" s="266" t="n">
        <v>1</v>
      </c>
      <c r="AA197" s="266" t="n">
        <v>1</v>
      </c>
      <c r="AB197" s="266" t="n">
        <v>1</v>
      </c>
      <c r="AC197" s="266" t="n">
        <v>1</v>
      </c>
      <c r="AD197" s="266" t="n">
        <v>1</v>
      </c>
    </row>
    <row r="198" customFormat="false" ht="14.25" hidden="false" customHeight="false" outlineLevel="0" collapsed="false">
      <c r="A198" s="264" t="s">
        <v>375</v>
      </c>
      <c r="B198" s="264"/>
      <c r="C198" s="265" t="n">
        <v>1</v>
      </c>
      <c r="D198" s="265" t="n">
        <v>1</v>
      </c>
      <c r="E198" s="265" t="n">
        <v>1</v>
      </c>
      <c r="F198" s="265" t="n">
        <v>1</v>
      </c>
      <c r="G198" s="265" t="n">
        <v>1</v>
      </c>
      <c r="H198" s="265" t="n">
        <v>1</v>
      </c>
      <c r="I198" s="265" t="n">
        <v>1</v>
      </c>
      <c r="J198" s="265" t="n">
        <v>1</v>
      </c>
      <c r="K198" s="265" t="n">
        <v>1</v>
      </c>
      <c r="L198" s="265" t="n">
        <v>1</v>
      </c>
      <c r="M198" s="265" t="n">
        <v>1</v>
      </c>
      <c r="N198" s="265" t="n">
        <v>1</v>
      </c>
      <c r="O198" s="265" t="n">
        <v>1</v>
      </c>
      <c r="P198" s="265" t="n">
        <v>1</v>
      </c>
      <c r="Q198" s="266" t="n">
        <v>1</v>
      </c>
      <c r="R198" s="266" t="n">
        <v>1</v>
      </c>
      <c r="S198" s="266" t="n">
        <v>1</v>
      </c>
      <c r="T198" s="266" t="n">
        <v>1</v>
      </c>
      <c r="U198" s="266" t="n">
        <v>1</v>
      </c>
      <c r="V198" s="266" t="n">
        <v>1</v>
      </c>
      <c r="W198" s="266" t="n">
        <v>1</v>
      </c>
      <c r="X198" s="266" t="n">
        <v>1</v>
      </c>
      <c r="Y198" s="266" t="n">
        <v>1</v>
      </c>
      <c r="Z198" s="266" t="n">
        <v>1</v>
      </c>
      <c r="AA198" s="266" t="n">
        <v>1</v>
      </c>
      <c r="AB198" s="266" t="n">
        <v>1</v>
      </c>
      <c r="AC198" s="266" t="n">
        <v>1</v>
      </c>
      <c r="AD198" s="266" t="n">
        <v>1</v>
      </c>
    </row>
    <row r="199" customFormat="false" ht="14.25" hidden="false" customHeight="false" outlineLevel="0" collapsed="false">
      <c r="A199" s="264" t="s">
        <v>376</v>
      </c>
      <c r="B199" s="264"/>
      <c r="C199" s="265" t="n">
        <v>1</v>
      </c>
      <c r="D199" s="265" t="n">
        <v>1</v>
      </c>
      <c r="E199" s="265" t="n">
        <v>1</v>
      </c>
      <c r="F199" s="265" t="n">
        <v>1</v>
      </c>
      <c r="G199" s="265" t="n">
        <v>1</v>
      </c>
      <c r="H199" s="265" t="n">
        <v>1</v>
      </c>
      <c r="I199" s="265" t="n">
        <v>1</v>
      </c>
      <c r="J199" s="265" t="n">
        <v>1</v>
      </c>
      <c r="K199" s="265" t="n">
        <v>1</v>
      </c>
      <c r="L199" s="265" t="n">
        <v>1</v>
      </c>
      <c r="M199" s="265" t="n">
        <v>1</v>
      </c>
      <c r="N199" s="265" t="n">
        <v>1</v>
      </c>
      <c r="O199" s="265" t="n">
        <v>1</v>
      </c>
      <c r="P199" s="265" t="n">
        <v>1</v>
      </c>
      <c r="Q199" s="266" t="n">
        <v>1</v>
      </c>
      <c r="R199" s="266" t="n">
        <v>1</v>
      </c>
      <c r="S199" s="266" t="n">
        <v>1</v>
      </c>
      <c r="T199" s="266" t="n">
        <v>1</v>
      </c>
      <c r="U199" s="266" t="n">
        <v>1</v>
      </c>
      <c r="V199" s="266" t="n">
        <v>1</v>
      </c>
      <c r="W199" s="266" t="n">
        <v>1</v>
      </c>
      <c r="X199" s="266" t="n">
        <v>1</v>
      </c>
      <c r="Y199" s="266" t="n">
        <v>1</v>
      </c>
      <c r="Z199" s="266" t="n">
        <v>1</v>
      </c>
      <c r="AA199" s="266" t="n">
        <v>1</v>
      </c>
      <c r="AB199" s="266" t="n">
        <v>1</v>
      </c>
      <c r="AC199" s="266" t="n">
        <v>1</v>
      </c>
      <c r="AD199" s="266" t="n">
        <v>1</v>
      </c>
    </row>
    <row r="200" customFormat="false" ht="14.25" hidden="false" customHeight="false" outlineLevel="0" collapsed="false">
      <c r="A200" s="264" t="s">
        <v>377</v>
      </c>
      <c r="B200" s="264"/>
      <c r="C200" s="265" t="n">
        <v>1</v>
      </c>
      <c r="D200" s="265" t="n">
        <v>1</v>
      </c>
      <c r="E200" s="265" t="n">
        <v>1</v>
      </c>
      <c r="F200" s="265" t="n">
        <v>1</v>
      </c>
      <c r="G200" s="265" t="n">
        <v>1</v>
      </c>
      <c r="H200" s="265" t="n">
        <v>1</v>
      </c>
      <c r="I200" s="265" t="n">
        <v>1</v>
      </c>
      <c r="J200" s="265" t="n">
        <v>1</v>
      </c>
      <c r="K200" s="265" t="n">
        <v>1</v>
      </c>
      <c r="L200" s="265" t="n">
        <v>1</v>
      </c>
      <c r="M200" s="265" t="n">
        <v>1</v>
      </c>
      <c r="N200" s="265" t="n">
        <v>1</v>
      </c>
      <c r="O200" s="265" t="n">
        <v>1</v>
      </c>
      <c r="P200" s="265" t="n">
        <v>1</v>
      </c>
      <c r="Q200" s="266" t="n">
        <v>1</v>
      </c>
      <c r="R200" s="266" t="n">
        <v>1</v>
      </c>
      <c r="S200" s="266" t="n">
        <v>1</v>
      </c>
      <c r="T200" s="266" t="n">
        <v>1</v>
      </c>
      <c r="U200" s="266" t="n">
        <v>1</v>
      </c>
      <c r="V200" s="266" t="n">
        <v>1</v>
      </c>
      <c r="W200" s="266" t="n">
        <v>1</v>
      </c>
      <c r="X200" s="266" t="n">
        <v>1</v>
      </c>
      <c r="Y200" s="266" t="n">
        <v>1</v>
      </c>
      <c r="Z200" s="266" t="n">
        <v>1</v>
      </c>
      <c r="AA200" s="266" t="n">
        <v>1</v>
      </c>
      <c r="AB200" s="266" t="n">
        <v>1</v>
      </c>
      <c r="AC200" s="266" t="n">
        <v>1</v>
      </c>
      <c r="AD200" s="266" t="n">
        <v>1</v>
      </c>
    </row>
    <row r="201" customFormat="false" ht="14.25" hidden="false" customHeight="false" outlineLevel="0" collapsed="false">
      <c r="A201" s="264" t="s">
        <v>378</v>
      </c>
      <c r="B201" s="264"/>
      <c r="C201" s="265" t="n">
        <v>1</v>
      </c>
      <c r="D201" s="265" t="n">
        <v>1</v>
      </c>
      <c r="E201" s="265" t="n">
        <v>1</v>
      </c>
      <c r="F201" s="265" t="n">
        <v>1</v>
      </c>
      <c r="G201" s="265" t="n">
        <v>1</v>
      </c>
      <c r="H201" s="265" t="n">
        <v>1</v>
      </c>
      <c r="I201" s="265" t="n">
        <v>1</v>
      </c>
      <c r="J201" s="265" t="n">
        <v>1</v>
      </c>
      <c r="K201" s="265" t="n">
        <v>1</v>
      </c>
      <c r="L201" s="265" t="n">
        <v>1</v>
      </c>
      <c r="M201" s="265" t="n">
        <v>1</v>
      </c>
      <c r="N201" s="265" t="n">
        <v>1</v>
      </c>
      <c r="O201" s="265" t="n">
        <v>1</v>
      </c>
      <c r="P201" s="265" t="n">
        <v>1</v>
      </c>
      <c r="Q201" s="266" t="n">
        <v>1</v>
      </c>
      <c r="R201" s="266" t="n">
        <v>1</v>
      </c>
      <c r="S201" s="266" t="n">
        <v>1</v>
      </c>
      <c r="T201" s="266" t="n">
        <v>1</v>
      </c>
      <c r="U201" s="266" t="n">
        <v>1</v>
      </c>
      <c r="V201" s="266" t="n">
        <v>1</v>
      </c>
      <c r="W201" s="266" t="n">
        <v>1</v>
      </c>
      <c r="X201" s="266" t="n">
        <v>1</v>
      </c>
      <c r="Y201" s="266" t="n">
        <v>1</v>
      </c>
      <c r="Z201" s="266" t="n">
        <v>1</v>
      </c>
      <c r="AA201" s="266" t="n">
        <v>1</v>
      </c>
      <c r="AB201" s="266" t="n">
        <v>1</v>
      </c>
      <c r="AC201" s="266" t="n">
        <v>1</v>
      </c>
      <c r="AD201" s="266" t="n">
        <v>1</v>
      </c>
    </row>
    <row r="202" customFormat="false" ht="15.75" hidden="false" customHeight="true" outlineLevel="0" collapsed="false">
      <c r="A202" s="200" t="s">
        <v>604</v>
      </c>
      <c r="B202" s="200"/>
      <c r="C202" s="200"/>
      <c r="D202" s="200"/>
      <c r="E202" s="200"/>
      <c r="F202" s="200"/>
      <c r="G202" s="200"/>
      <c r="H202" s="200"/>
      <c r="I202" s="200"/>
      <c r="J202" s="200"/>
      <c r="K202" s="200"/>
      <c r="L202" s="200"/>
      <c r="M202" s="200"/>
      <c r="N202" s="200"/>
      <c r="O202" s="200"/>
      <c r="P202" s="200"/>
      <c r="Q202" s="200"/>
    </row>
    <row r="203" customFormat="false" ht="14.25" hidden="false" customHeight="false" outlineLevel="0" collapsed="false">
      <c r="A203" s="264" t="s">
        <v>374</v>
      </c>
      <c r="B203" s="264"/>
      <c r="C203" s="265" t="n">
        <v>2050</v>
      </c>
      <c r="D203" s="265" t="n">
        <v>2050</v>
      </c>
      <c r="E203" s="265" t="n">
        <v>2050</v>
      </c>
      <c r="F203" s="265" t="n">
        <v>2050</v>
      </c>
      <c r="G203" s="265" t="n">
        <v>2050</v>
      </c>
      <c r="H203" s="265" t="n">
        <v>2050</v>
      </c>
      <c r="I203" s="265" t="n">
        <v>2050</v>
      </c>
      <c r="J203" s="265" t="n">
        <v>2050</v>
      </c>
      <c r="K203" s="265" t="n">
        <v>2050</v>
      </c>
      <c r="L203" s="265" t="n">
        <v>2050</v>
      </c>
      <c r="M203" s="265" t="n">
        <v>2050</v>
      </c>
      <c r="N203" s="265" t="n">
        <v>2050</v>
      </c>
      <c r="O203" s="265" t="n">
        <v>2050</v>
      </c>
      <c r="P203" s="265" t="n">
        <v>2050</v>
      </c>
      <c r="Q203" s="266" t="n">
        <v>2050</v>
      </c>
      <c r="R203" s="266" t="n">
        <v>2050</v>
      </c>
      <c r="S203" s="266" t="n">
        <v>2050</v>
      </c>
      <c r="T203" s="266" t="n">
        <v>2050</v>
      </c>
      <c r="U203" s="266" t="n">
        <v>2050</v>
      </c>
      <c r="V203" s="266" t="n">
        <v>2050</v>
      </c>
      <c r="W203" s="266" t="n">
        <v>2050</v>
      </c>
      <c r="X203" s="266" t="n">
        <v>2050</v>
      </c>
      <c r="Y203" s="266" t="n">
        <v>2050</v>
      </c>
      <c r="Z203" s="266" t="n">
        <v>2050</v>
      </c>
      <c r="AA203" s="266" t="n">
        <v>2050</v>
      </c>
      <c r="AB203" s="266" t="n">
        <v>2050</v>
      </c>
      <c r="AC203" s="266" t="n">
        <v>2050</v>
      </c>
      <c r="AD203" s="266" t="n">
        <v>2050</v>
      </c>
    </row>
    <row r="204" customFormat="false" ht="14.25" hidden="false" customHeight="false" outlineLevel="0" collapsed="false">
      <c r="A204" s="264" t="s">
        <v>375</v>
      </c>
      <c r="B204" s="264"/>
      <c r="C204" s="265" t="n">
        <v>2050</v>
      </c>
      <c r="D204" s="265" t="n">
        <v>2050</v>
      </c>
      <c r="E204" s="265" t="n">
        <v>2050</v>
      </c>
      <c r="F204" s="265" t="n">
        <v>2050</v>
      </c>
      <c r="G204" s="265" t="n">
        <v>2050</v>
      </c>
      <c r="H204" s="265" t="n">
        <v>2050</v>
      </c>
      <c r="I204" s="265" t="n">
        <v>2050</v>
      </c>
      <c r="J204" s="265" t="n">
        <v>2050</v>
      </c>
      <c r="K204" s="265" t="n">
        <v>2050</v>
      </c>
      <c r="L204" s="265" t="n">
        <v>2050</v>
      </c>
      <c r="M204" s="265" t="n">
        <v>2050</v>
      </c>
      <c r="N204" s="265" t="n">
        <v>2050</v>
      </c>
      <c r="O204" s="265" t="n">
        <v>2050</v>
      </c>
      <c r="P204" s="265" t="n">
        <v>2050</v>
      </c>
      <c r="Q204" s="266" t="n">
        <v>2050</v>
      </c>
      <c r="R204" s="266" t="n">
        <v>2050</v>
      </c>
      <c r="S204" s="266" t="n">
        <v>2050</v>
      </c>
      <c r="T204" s="266" t="n">
        <v>2050</v>
      </c>
      <c r="U204" s="266" t="n">
        <v>2050</v>
      </c>
      <c r="V204" s="266" t="n">
        <v>2050</v>
      </c>
      <c r="W204" s="266" t="n">
        <v>2050</v>
      </c>
      <c r="X204" s="266" t="n">
        <v>2050</v>
      </c>
      <c r="Y204" s="266" t="n">
        <v>2050</v>
      </c>
      <c r="Z204" s="266" t="n">
        <v>2050</v>
      </c>
      <c r="AA204" s="266" t="n">
        <v>2050</v>
      </c>
      <c r="AB204" s="266" t="n">
        <v>2050</v>
      </c>
      <c r="AC204" s="266" t="n">
        <v>2050</v>
      </c>
      <c r="AD204" s="266" t="n">
        <v>2050</v>
      </c>
    </row>
    <row r="205" customFormat="false" ht="14.25" hidden="false" customHeight="false" outlineLevel="0" collapsed="false">
      <c r="A205" s="264" t="s">
        <v>376</v>
      </c>
      <c r="B205" s="264"/>
      <c r="C205" s="265" t="n">
        <v>2050</v>
      </c>
      <c r="D205" s="265" t="n">
        <v>2050</v>
      </c>
      <c r="E205" s="265" t="n">
        <v>2050</v>
      </c>
      <c r="F205" s="265" t="n">
        <v>2050</v>
      </c>
      <c r="G205" s="265" t="n">
        <v>2050</v>
      </c>
      <c r="H205" s="265" t="n">
        <v>2050</v>
      </c>
      <c r="I205" s="265" t="n">
        <v>2050</v>
      </c>
      <c r="J205" s="265" t="n">
        <v>2050</v>
      </c>
      <c r="K205" s="265" t="n">
        <v>2050</v>
      </c>
      <c r="L205" s="265" t="n">
        <v>2050</v>
      </c>
      <c r="M205" s="265" t="n">
        <v>2050</v>
      </c>
      <c r="N205" s="265" t="n">
        <v>2050</v>
      </c>
      <c r="O205" s="265" t="n">
        <v>2050</v>
      </c>
      <c r="P205" s="265" t="n">
        <v>2050</v>
      </c>
      <c r="Q205" s="266" t="n">
        <v>2050</v>
      </c>
      <c r="R205" s="266" t="n">
        <v>2050</v>
      </c>
      <c r="S205" s="266" t="n">
        <v>2050</v>
      </c>
      <c r="T205" s="266" t="n">
        <v>2050</v>
      </c>
      <c r="U205" s="266" t="n">
        <v>2050</v>
      </c>
      <c r="V205" s="266" t="n">
        <v>2050</v>
      </c>
      <c r="W205" s="266" t="n">
        <v>2050</v>
      </c>
      <c r="X205" s="266" t="n">
        <v>2050</v>
      </c>
      <c r="Y205" s="266" t="n">
        <v>2050</v>
      </c>
      <c r="Z205" s="266" t="n">
        <v>2050</v>
      </c>
      <c r="AA205" s="266" t="n">
        <v>2050</v>
      </c>
      <c r="AB205" s="266" t="n">
        <v>2050</v>
      </c>
      <c r="AC205" s="266" t="n">
        <v>2050</v>
      </c>
      <c r="AD205" s="266" t="n">
        <v>2050</v>
      </c>
    </row>
    <row r="206" customFormat="false" ht="14.25" hidden="false" customHeight="false" outlineLevel="0" collapsed="false">
      <c r="A206" s="264" t="s">
        <v>377</v>
      </c>
      <c r="B206" s="264"/>
      <c r="C206" s="265" t="n">
        <v>2050</v>
      </c>
      <c r="D206" s="265" t="n">
        <v>2050</v>
      </c>
      <c r="E206" s="265" t="n">
        <v>2050</v>
      </c>
      <c r="F206" s="265" t="n">
        <v>2050</v>
      </c>
      <c r="G206" s="265" t="n">
        <v>2050</v>
      </c>
      <c r="H206" s="265" t="n">
        <v>2050</v>
      </c>
      <c r="I206" s="265" t="n">
        <v>2050</v>
      </c>
      <c r="J206" s="265" t="n">
        <v>2050</v>
      </c>
      <c r="K206" s="265" t="n">
        <v>2050</v>
      </c>
      <c r="L206" s="265" t="n">
        <v>2050</v>
      </c>
      <c r="M206" s="265" t="n">
        <v>2050</v>
      </c>
      <c r="N206" s="265" t="n">
        <v>2050</v>
      </c>
      <c r="O206" s="265" t="n">
        <v>2050</v>
      </c>
      <c r="P206" s="265" t="n">
        <v>2050</v>
      </c>
      <c r="Q206" s="266" t="n">
        <v>2050</v>
      </c>
      <c r="R206" s="266" t="n">
        <v>2050</v>
      </c>
      <c r="S206" s="266" t="n">
        <v>2050</v>
      </c>
      <c r="T206" s="266" t="n">
        <v>2050</v>
      </c>
      <c r="U206" s="266" t="n">
        <v>2050</v>
      </c>
      <c r="V206" s="266" t="n">
        <v>2050</v>
      </c>
      <c r="W206" s="266" t="n">
        <v>2050</v>
      </c>
      <c r="X206" s="266" t="n">
        <v>2050</v>
      </c>
      <c r="Y206" s="266" t="n">
        <v>2050</v>
      </c>
      <c r="Z206" s="266" t="n">
        <v>2050</v>
      </c>
      <c r="AA206" s="266" t="n">
        <v>2050</v>
      </c>
      <c r="AB206" s="266" t="n">
        <v>2050</v>
      </c>
      <c r="AC206" s="266" t="n">
        <v>2050</v>
      </c>
      <c r="AD206" s="266" t="n">
        <v>2050</v>
      </c>
    </row>
    <row r="207" customFormat="false" ht="14.25" hidden="false" customHeight="false" outlineLevel="0" collapsed="false">
      <c r="A207" s="264" t="s">
        <v>378</v>
      </c>
      <c r="B207" s="264"/>
      <c r="C207" s="267" t="n">
        <v>2050</v>
      </c>
      <c r="D207" s="267" t="n">
        <v>2050</v>
      </c>
      <c r="E207" s="267" t="n">
        <v>2050</v>
      </c>
      <c r="F207" s="267" t="n">
        <v>2050</v>
      </c>
      <c r="G207" s="267" t="n">
        <v>2050</v>
      </c>
      <c r="H207" s="267" t="n">
        <v>2050</v>
      </c>
      <c r="I207" s="267" t="n">
        <v>2050</v>
      </c>
      <c r="J207" s="267" t="n">
        <v>2050</v>
      </c>
      <c r="K207" s="267" t="n">
        <v>2050</v>
      </c>
      <c r="L207" s="267" t="n">
        <v>2050</v>
      </c>
      <c r="M207" s="267" t="n">
        <v>2050</v>
      </c>
      <c r="N207" s="267" t="n">
        <v>2050</v>
      </c>
      <c r="O207" s="267" t="n">
        <v>2050</v>
      </c>
      <c r="P207" s="267" t="n">
        <v>2050</v>
      </c>
      <c r="Q207" s="268" t="n">
        <v>2050</v>
      </c>
      <c r="R207" s="268" t="n">
        <v>2050</v>
      </c>
      <c r="S207" s="268" t="n">
        <v>2050</v>
      </c>
      <c r="T207" s="268" t="n">
        <v>2050</v>
      </c>
      <c r="U207" s="268" t="n">
        <v>2050</v>
      </c>
      <c r="V207" s="268" t="n">
        <v>2050</v>
      </c>
      <c r="W207" s="268" t="n">
        <v>2050</v>
      </c>
      <c r="X207" s="268" t="n">
        <v>2050</v>
      </c>
      <c r="Y207" s="268" t="n">
        <v>2050</v>
      </c>
      <c r="Z207" s="268" t="n">
        <v>2050</v>
      </c>
      <c r="AA207" s="268" t="n">
        <v>2050</v>
      </c>
      <c r="AB207" s="268" t="n">
        <v>2050</v>
      </c>
      <c r="AC207" s="268" t="n">
        <v>2050</v>
      </c>
      <c r="AD207" s="268" t="n">
        <v>2050</v>
      </c>
    </row>
    <row r="209" customFormat="false" ht="23.25" hidden="false" customHeight="true" outlineLevel="0" collapsed="false">
      <c r="A209" s="200" t="s">
        <v>386</v>
      </c>
      <c r="B209" s="200"/>
      <c r="C209" s="200"/>
    </row>
    <row r="210" customFormat="false" ht="15.75" hidden="false" customHeight="true" outlineLevel="0" collapsed="false">
      <c r="A210" s="243" t="s">
        <v>387</v>
      </c>
      <c r="B210" s="269" t="s">
        <v>388</v>
      </c>
      <c r="C210" s="270" t="n">
        <v>1</v>
      </c>
    </row>
    <row r="211" customFormat="false" ht="14.25" hidden="false" customHeight="true" outlineLevel="0" collapsed="false">
      <c r="A211" s="243"/>
      <c r="B211" s="269" t="s">
        <v>389</v>
      </c>
      <c r="C211" s="270"/>
    </row>
    <row r="212" customFormat="false" ht="14.25" hidden="false" customHeight="false" outlineLevel="0" collapsed="false">
      <c r="A212" s="208" t="s">
        <v>605</v>
      </c>
      <c r="B212" s="269" t="s">
        <v>36</v>
      </c>
      <c r="C212" s="204" t="n">
        <v>2025</v>
      </c>
    </row>
    <row r="213" customFormat="false" ht="14.25" hidden="false" customHeight="false" outlineLevel="0" collapsed="false">
      <c r="A213" s="271" t="s">
        <v>390</v>
      </c>
      <c r="B213" s="272" t="s">
        <v>36</v>
      </c>
      <c r="C213" s="273" t="n">
        <v>2050</v>
      </c>
    </row>
    <row r="214" customFormat="false" ht="14.25" hidden="false" customHeight="true" outlineLevel="0" collapsed="false">
      <c r="A214" s="200" t="s">
        <v>394</v>
      </c>
      <c r="B214" s="200"/>
      <c r="C214" s="200"/>
      <c r="D214" s="200"/>
      <c r="E214" s="200"/>
      <c r="F214" s="200"/>
      <c r="G214" s="200"/>
      <c r="H214" s="200"/>
      <c r="I214" s="200"/>
      <c r="J214" s="200"/>
      <c r="K214" s="200"/>
      <c r="L214" s="200"/>
      <c r="M214" s="200"/>
      <c r="N214" s="200"/>
      <c r="O214" s="200"/>
      <c r="P214" s="200"/>
      <c r="Q214" s="200"/>
    </row>
    <row r="215" customFormat="false" ht="14.25" hidden="false" customHeight="false" outlineLevel="0" collapsed="false">
      <c r="A215" s="274" t="s">
        <v>606</v>
      </c>
      <c r="B215" s="274"/>
      <c r="C215" s="262" t="s">
        <v>576</v>
      </c>
      <c r="D215" s="262" t="s">
        <v>579</v>
      </c>
      <c r="E215" s="262" t="s">
        <v>362</v>
      </c>
      <c r="F215" s="262" t="s">
        <v>580</v>
      </c>
      <c r="G215" s="262" t="s">
        <v>581</v>
      </c>
      <c r="H215" s="262" t="s">
        <v>582</v>
      </c>
      <c r="I215" s="262" t="s">
        <v>583</v>
      </c>
      <c r="J215" s="262" t="s">
        <v>354</v>
      </c>
      <c r="K215" s="262" t="s">
        <v>584</v>
      </c>
      <c r="L215" s="262" t="s">
        <v>585</v>
      </c>
      <c r="M215" s="262" t="s">
        <v>586</v>
      </c>
      <c r="N215" s="262" t="s">
        <v>587</v>
      </c>
      <c r="O215" s="262" t="s">
        <v>588</v>
      </c>
      <c r="P215" s="262" t="s">
        <v>589</v>
      </c>
      <c r="Q215" s="263" t="s">
        <v>590</v>
      </c>
      <c r="R215" s="263" t="s">
        <v>338</v>
      </c>
      <c r="S215" s="263" t="s">
        <v>591</v>
      </c>
      <c r="T215" s="263" t="s">
        <v>592</v>
      </c>
      <c r="U215" s="263" t="s">
        <v>593</v>
      </c>
      <c r="V215" s="263" t="s">
        <v>594</v>
      </c>
      <c r="W215" s="263" t="s">
        <v>595</v>
      </c>
      <c r="X215" s="263" t="s">
        <v>596</v>
      </c>
      <c r="Y215" s="263" t="s">
        <v>597</v>
      </c>
      <c r="Z215" s="263" t="s">
        <v>598</v>
      </c>
      <c r="AA215" s="263" t="s">
        <v>599</v>
      </c>
      <c r="AB215" s="263" t="s">
        <v>351</v>
      </c>
      <c r="AC215" s="263" t="s">
        <v>361</v>
      </c>
      <c r="AD215" s="263" t="s">
        <v>600</v>
      </c>
    </row>
    <row r="216" customFormat="false" ht="16.4" hidden="false" customHeight="false" outlineLevel="0" collapsed="false">
      <c r="A216" s="275" t="s">
        <v>374</v>
      </c>
      <c r="B216" s="275"/>
      <c r="C216" s="276" t="n">
        <v>4.91439259825986E-007</v>
      </c>
      <c r="D216" s="276" t="n">
        <v>3.5721808570239E-007</v>
      </c>
      <c r="E216" s="276" t="n">
        <v>0</v>
      </c>
      <c r="F216" s="276" t="n">
        <v>1.33580538164496E-006</v>
      </c>
      <c r="G216" s="276" t="n">
        <v>1.22341908960222E-006</v>
      </c>
      <c r="H216" s="276" t="n">
        <v>4.12033274627188E-007</v>
      </c>
      <c r="I216" s="276" t="n">
        <v>1.83490380176835E-007</v>
      </c>
      <c r="J216" s="276" t="n">
        <v>3.51072910355092E-008</v>
      </c>
      <c r="K216" s="276" t="n">
        <v>1.40517866161901E-006</v>
      </c>
      <c r="L216" s="276" t="n">
        <v>1.66962597983647E-007</v>
      </c>
      <c r="M216" s="276" t="n">
        <v>3.65540334299614E-007</v>
      </c>
      <c r="N216" s="276" t="n">
        <v>7.70921065248543E-007</v>
      </c>
      <c r="O216" s="276" t="n">
        <v>2.02518317476721E-007</v>
      </c>
      <c r="P216" s="276" t="n">
        <v>5.59542505208503E-007</v>
      </c>
      <c r="Q216" s="277" t="n">
        <v>9.73962267366326E-008</v>
      </c>
      <c r="R216" s="277" t="n">
        <v>5.37054258225633E-007</v>
      </c>
      <c r="S216" s="277" t="n">
        <v>3.64568503475434E-007</v>
      </c>
      <c r="T216" s="277" t="n">
        <v>5.05139197122688E-007</v>
      </c>
      <c r="U216" s="277" t="n">
        <v>4.43213583132507E-007</v>
      </c>
      <c r="V216" s="277" t="n">
        <v>2.36045780097966E-007</v>
      </c>
      <c r="W216" s="277" t="n">
        <v>8.21087808284778E-008</v>
      </c>
      <c r="X216" s="277" t="n">
        <v>1.79901548666926E-007</v>
      </c>
      <c r="Y216" s="277" t="n">
        <v>6.23240405683315E-007</v>
      </c>
      <c r="Z216" s="277" t="n">
        <v>1.31168125984731E-007</v>
      </c>
      <c r="AA216" s="277" t="n">
        <v>1.64652951941808E-007</v>
      </c>
      <c r="AB216" s="277" t="n">
        <v>8.93692743290543E-008</v>
      </c>
      <c r="AC216" s="277" t="n">
        <v>0</v>
      </c>
      <c r="AD216" s="277" t="n">
        <v>2.68608327323E-007</v>
      </c>
    </row>
    <row r="217" customFormat="false" ht="16.4" hidden="false" customHeight="false" outlineLevel="0" collapsed="false">
      <c r="A217" s="275" t="s">
        <v>375</v>
      </c>
      <c r="B217" s="275"/>
      <c r="C217" s="276" t="n">
        <v>2.22622378824385E-007</v>
      </c>
      <c r="D217" s="276" t="n">
        <v>2.65109839166996E-008</v>
      </c>
      <c r="E217" s="276" t="n">
        <v>0</v>
      </c>
      <c r="F217" s="276" t="n">
        <v>9.69014368382836E-007</v>
      </c>
      <c r="G217" s="276" t="n">
        <v>6.13799274597379E-007</v>
      </c>
      <c r="H217" s="276" t="n">
        <v>5.49867131596347E-007</v>
      </c>
      <c r="I217" s="276" t="n">
        <v>3.54387378163174E-008</v>
      </c>
      <c r="J217" s="276" t="n">
        <v>7.50269525657188E-010</v>
      </c>
      <c r="K217" s="276" t="n">
        <v>1.56609380270801E-007</v>
      </c>
      <c r="L217" s="276" t="n">
        <v>2.36960970006208E-012</v>
      </c>
      <c r="M217" s="276" t="n">
        <v>7.13887522936256E-008</v>
      </c>
      <c r="N217" s="276" t="n">
        <v>5.39736389872573E-008</v>
      </c>
      <c r="O217" s="276" t="n">
        <v>0</v>
      </c>
      <c r="P217" s="276" t="n">
        <v>2.76702410896041E-007</v>
      </c>
      <c r="Q217" s="277" t="n">
        <v>8.23816316569662E-009</v>
      </c>
      <c r="R217" s="277" t="n">
        <v>6.36735331902732E-008</v>
      </c>
      <c r="S217" s="277" t="n">
        <v>1.3172626613462E-008</v>
      </c>
      <c r="T217" s="277" t="n">
        <v>3.38816410979464E-008</v>
      </c>
      <c r="U217" s="277" t="n">
        <v>0</v>
      </c>
      <c r="V217" s="277" t="n">
        <v>1.73853833216028E-007</v>
      </c>
      <c r="W217" s="277" t="n">
        <v>3.70271275272898E-010</v>
      </c>
      <c r="X217" s="277" t="n">
        <v>6.44004406467672E-008</v>
      </c>
      <c r="Y217" s="277" t="n">
        <v>2.03105589569859E-007</v>
      </c>
      <c r="Z217" s="277" t="n">
        <v>0</v>
      </c>
      <c r="AA217" s="277" t="n">
        <v>2.11269055303602E-008</v>
      </c>
      <c r="AB217" s="277" t="n">
        <v>1.61632191813348E-008</v>
      </c>
      <c r="AC217" s="277" t="n">
        <v>0</v>
      </c>
      <c r="AD217" s="277" t="n">
        <v>9.58151766262172E-008</v>
      </c>
    </row>
    <row r="218" customFormat="false" ht="16.4" hidden="false" customHeight="false" outlineLevel="0" collapsed="false">
      <c r="A218" s="275" t="s">
        <v>376</v>
      </c>
      <c r="B218" s="275"/>
      <c r="C218" s="276" t="n">
        <v>3.0119512839776E-007</v>
      </c>
      <c r="D218" s="276" t="n">
        <v>2.19312289390501E-007</v>
      </c>
      <c r="E218" s="276" t="n">
        <v>1.72746672310205E-007</v>
      </c>
      <c r="F218" s="276" t="n">
        <v>5.23957875618843E-008</v>
      </c>
      <c r="G218" s="276" t="n">
        <v>1.56753159385315E-008</v>
      </c>
      <c r="H218" s="276" t="n">
        <v>0</v>
      </c>
      <c r="I218" s="276" t="n">
        <v>0</v>
      </c>
      <c r="J218" s="276" t="n">
        <v>0</v>
      </c>
      <c r="K218" s="276" t="n">
        <v>1.241724530167E-009</v>
      </c>
      <c r="L218" s="276" t="n">
        <v>0</v>
      </c>
      <c r="M218" s="276" t="n">
        <v>1.01779679917288E-008</v>
      </c>
      <c r="N218" s="276" t="n">
        <v>6.36432014536712E-009</v>
      </c>
      <c r="O218" s="276" t="n">
        <v>6.97034403933276E-007</v>
      </c>
      <c r="P218" s="276" t="n">
        <v>0</v>
      </c>
      <c r="Q218" s="277" t="n">
        <v>1.617506349308E-009</v>
      </c>
      <c r="R218" s="277" t="n">
        <v>5.05429807119243E-008</v>
      </c>
      <c r="S218" s="277" t="n">
        <v>3.73934570094193E-009</v>
      </c>
      <c r="T218" s="277" t="n">
        <v>2.02426879467313E-008</v>
      </c>
      <c r="U218" s="277" t="n">
        <v>0</v>
      </c>
      <c r="V218" s="277" t="n">
        <v>4.18626826148413E-008</v>
      </c>
      <c r="W218" s="277" t="n">
        <v>0</v>
      </c>
      <c r="X218" s="277" t="n">
        <v>3.21856520921028E-009</v>
      </c>
      <c r="Y218" s="277" t="n">
        <v>0</v>
      </c>
      <c r="Z218" s="277" t="n">
        <v>0</v>
      </c>
      <c r="AA218" s="277" t="n">
        <v>0</v>
      </c>
      <c r="AB218" s="277" t="n">
        <v>0</v>
      </c>
      <c r="AC218" s="277" t="n">
        <v>0</v>
      </c>
      <c r="AD218" s="277" t="n">
        <v>0</v>
      </c>
    </row>
    <row r="219" customFormat="false" ht="16.4" hidden="false" customHeight="false" outlineLevel="0" collapsed="false">
      <c r="A219" s="275" t="s">
        <v>377</v>
      </c>
      <c r="B219" s="275"/>
      <c r="C219" s="276" t="n">
        <v>1.7843708992308E-007</v>
      </c>
      <c r="D219" s="276" t="n">
        <v>9.80233180769964E-008</v>
      </c>
      <c r="E219" s="276" t="n">
        <v>0</v>
      </c>
      <c r="F219" s="276" t="n">
        <v>5.81535604614238E-007</v>
      </c>
      <c r="G219" s="276" t="n">
        <v>1.43642819631374E-008</v>
      </c>
      <c r="H219" s="276" t="n">
        <v>0</v>
      </c>
      <c r="I219" s="276" t="n">
        <v>0</v>
      </c>
      <c r="J219" s="276" t="n">
        <v>0</v>
      </c>
      <c r="K219" s="276" t="n">
        <v>2.82005466549391E-009</v>
      </c>
      <c r="L219" s="276" t="n">
        <v>0</v>
      </c>
      <c r="M219" s="276" t="n">
        <v>1.35602108518813E-007</v>
      </c>
      <c r="N219" s="276" t="n">
        <v>3.12693981307369E-007</v>
      </c>
      <c r="O219" s="276" t="n">
        <v>1.79260974535792E-008</v>
      </c>
      <c r="P219" s="276" t="n">
        <v>1.60164134468073E-006</v>
      </c>
      <c r="Q219" s="277" t="n">
        <v>1.60811169510761E-008</v>
      </c>
      <c r="R219" s="277" t="n">
        <v>6.90288364250751E-008</v>
      </c>
      <c r="S219" s="277" t="n">
        <v>6.78957232883377E-008</v>
      </c>
      <c r="T219" s="277" t="n">
        <v>3.25178562493753E-007</v>
      </c>
      <c r="U219" s="277" t="n">
        <v>0</v>
      </c>
      <c r="V219" s="277" t="n">
        <v>6.47814377055759E-007</v>
      </c>
      <c r="W219" s="277" t="n">
        <v>0</v>
      </c>
      <c r="X219" s="277" t="n">
        <v>1.8513722680003E-008</v>
      </c>
      <c r="Y219" s="277" t="n">
        <v>0</v>
      </c>
      <c r="Z219" s="277" t="n">
        <v>0</v>
      </c>
      <c r="AA219" s="277" t="n">
        <v>0</v>
      </c>
      <c r="AB219" s="277" t="n">
        <v>0</v>
      </c>
      <c r="AC219" s="277" t="n">
        <v>0</v>
      </c>
      <c r="AD219" s="277" t="n">
        <v>0</v>
      </c>
    </row>
    <row r="220" customFormat="false" ht="16.4" hidden="false" customHeight="false" outlineLevel="0" collapsed="false">
      <c r="A220" s="278" t="s">
        <v>378</v>
      </c>
      <c r="B220" s="278"/>
      <c r="C220" s="279" t="n">
        <v>2.82226311056575E-007</v>
      </c>
      <c r="D220" s="280" t="n">
        <v>1.36027626479745E-007</v>
      </c>
      <c r="E220" s="280" t="n">
        <v>0</v>
      </c>
      <c r="F220" s="280" t="n">
        <v>2.30269903439123E-007</v>
      </c>
      <c r="G220" s="280" t="n">
        <v>3.72766800333114E-007</v>
      </c>
      <c r="H220" s="280" t="n">
        <v>0</v>
      </c>
      <c r="I220" s="280" t="n">
        <v>0</v>
      </c>
      <c r="J220" s="280" t="n">
        <v>0</v>
      </c>
      <c r="K220" s="280" t="n">
        <v>2.29449184640331E-009</v>
      </c>
      <c r="L220" s="280" t="n">
        <v>0</v>
      </c>
      <c r="M220" s="280" t="n">
        <v>5.6037026771344E-008</v>
      </c>
      <c r="N220" s="280" t="n">
        <v>2.13294699935347E-007</v>
      </c>
      <c r="O220" s="280" t="n">
        <v>2.68591773911319E-011</v>
      </c>
      <c r="P220" s="280" t="n">
        <v>0</v>
      </c>
      <c r="Q220" s="281" t="n">
        <v>1.28070161907843E-009</v>
      </c>
      <c r="R220" s="281" t="n">
        <v>5.12847520151702E-008</v>
      </c>
      <c r="S220" s="281" t="n">
        <v>2.0896750956327E-008</v>
      </c>
      <c r="T220" s="281" t="n">
        <v>8.80033530487951E-007</v>
      </c>
      <c r="U220" s="281" t="n">
        <v>0</v>
      </c>
      <c r="V220" s="281" t="n">
        <v>1.66374682264879E-007</v>
      </c>
      <c r="W220" s="281" t="n">
        <v>0</v>
      </c>
      <c r="X220" s="281" t="n">
        <v>1.15240108939526E-008</v>
      </c>
      <c r="Y220" s="281" t="n">
        <v>0</v>
      </c>
      <c r="Z220" s="281" t="n">
        <v>0</v>
      </c>
      <c r="AA220" s="281" t="n">
        <v>0</v>
      </c>
      <c r="AB220" s="281" t="n">
        <v>0</v>
      </c>
      <c r="AC220" s="281" t="n">
        <v>0</v>
      </c>
      <c r="AD220" s="281" t="n">
        <v>0</v>
      </c>
    </row>
    <row r="221" customFormat="false" ht="17.35" hidden="false" customHeight="false" outlineLevel="0" collapsed="false">
      <c r="A221" s="200" t="s">
        <v>397</v>
      </c>
      <c r="B221" s="200"/>
      <c r="C221" s="200"/>
    </row>
    <row r="222" customFormat="false" ht="31.3" hidden="false" customHeight="false" outlineLevel="0" collapsed="false">
      <c r="A222" s="282" t="s">
        <v>398</v>
      </c>
      <c r="B222" s="269" t="s">
        <v>36</v>
      </c>
      <c r="C222" s="204" t="n">
        <v>2020</v>
      </c>
    </row>
    <row r="223" customFormat="false" ht="31.3" hidden="false" customHeight="false" outlineLevel="0" collapsed="false">
      <c r="A223" s="261" t="s">
        <v>399</v>
      </c>
      <c r="B223" s="283" t="s">
        <v>327</v>
      </c>
      <c r="C223" s="242" t="n">
        <v>-0.3</v>
      </c>
    </row>
    <row r="225" customFormat="false" ht="14.25" hidden="false" customHeight="true" outlineLevel="0" collapsed="false">
      <c r="A225" s="200" t="s">
        <v>400</v>
      </c>
      <c r="B225" s="200"/>
      <c r="C225" s="200"/>
    </row>
    <row r="226" customFormat="false" ht="28.5" hidden="false" customHeight="true" outlineLevel="0" collapsed="false">
      <c r="A226" s="284" t="s">
        <v>401</v>
      </c>
      <c r="B226" s="269" t="s">
        <v>28</v>
      </c>
      <c r="C226" s="270" t="n">
        <v>1</v>
      </c>
    </row>
    <row r="227" customFormat="false" ht="14.25" hidden="false" customHeight="true" outlineLevel="0" collapsed="false">
      <c r="A227" s="285" t="s">
        <v>403</v>
      </c>
      <c r="B227" s="269" t="s">
        <v>404</v>
      </c>
      <c r="C227" s="286" t="n">
        <v>1</v>
      </c>
    </row>
    <row r="228" customFormat="false" ht="14.25" hidden="false" customHeight="false" outlineLevel="0" collapsed="false">
      <c r="A228" s="285"/>
      <c r="B228" s="269" t="s">
        <v>408</v>
      </c>
      <c r="C228" s="286"/>
    </row>
    <row r="229" customFormat="false" ht="14.25" hidden="false" customHeight="false" outlineLevel="0" collapsed="false">
      <c r="A229" s="285"/>
      <c r="B229" s="269" t="s">
        <v>409</v>
      </c>
      <c r="C229" s="286"/>
    </row>
    <row r="230" customFormat="false" ht="16.4" hidden="false" customHeight="false" outlineLevel="0" collapsed="false">
      <c r="A230" s="284" t="s">
        <v>607</v>
      </c>
      <c r="B230" s="269" t="s">
        <v>608</v>
      </c>
      <c r="C230" s="204" t="n">
        <v>0.1</v>
      </c>
    </row>
    <row r="231" customFormat="false" ht="15" hidden="false" customHeight="true" outlineLevel="0" collapsed="false">
      <c r="A231" s="285" t="s">
        <v>406</v>
      </c>
      <c r="B231" s="269" t="s">
        <v>404</v>
      </c>
      <c r="C231" s="286" t="n">
        <v>1</v>
      </c>
    </row>
    <row r="232" customFormat="false" ht="14.25" hidden="false" customHeight="false" outlineLevel="0" collapsed="false">
      <c r="A232" s="285"/>
      <c r="B232" s="269" t="s">
        <v>408</v>
      </c>
      <c r="C232" s="286"/>
    </row>
    <row r="233" customFormat="false" ht="14.25" hidden="false" customHeight="false" outlineLevel="0" collapsed="false">
      <c r="A233" s="285"/>
      <c r="B233" s="269" t="s">
        <v>409</v>
      </c>
      <c r="C233" s="286"/>
    </row>
    <row r="234" customFormat="false" ht="16.4" hidden="false" customHeight="false" outlineLevel="0" collapsed="false">
      <c r="A234" s="287" t="s">
        <v>413</v>
      </c>
      <c r="B234" s="283" t="s">
        <v>608</v>
      </c>
      <c r="C234" s="242" t="n">
        <v>0.1</v>
      </c>
    </row>
    <row r="237" customFormat="false" ht="24.45" hidden="false" customHeight="false" outlineLevel="0" collapsed="false">
      <c r="A237" s="199" t="s">
        <v>609</v>
      </c>
    </row>
    <row r="238" customFormat="false" ht="15.75" hidden="false" customHeight="true" outlineLevel="0" collapsed="false">
      <c r="A238" s="200" t="s">
        <v>429</v>
      </c>
      <c r="B238" s="200"/>
      <c r="C238" s="200"/>
      <c r="D238" s="200"/>
    </row>
    <row r="239" customFormat="false" ht="15.75" hidden="false" customHeight="true" outlineLevel="0" collapsed="false">
      <c r="A239" s="288" t="s">
        <v>430</v>
      </c>
      <c r="B239" s="288"/>
      <c r="C239" s="288"/>
      <c r="D239" s="288"/>
    </row>
    <row r="240" customFormat="false" ht="15" hidden="false" customHeight="true" outlineLevel="0" collapsed="false">
      <c r="A240" s="284" t="s">
        <v>431</v>
      </c>
      <c r="B240" s="284"/>
      <c r="C240" s="284"/>
      <c r="D240" s="289" t="n">
        <v>2</v>
      </c>
    </row>
    <row r="241" customFormat="false" ht="16.4" hidden="false" customHeight="false" outlineLevel="0" collapsed="false">
      <c r="A241" s="290" t="s">
        <v>432</v>
      </c>
      <c r="B241" s="291"/>
      <c r="C241" s="291"/>
      <c r="D241" s="292"/>
    </row>
    <row r="242" customFormat="false" ht="14.25" hidden="false" customHeight="false" outlineLevel="0" collapsed="false">
      <c r="A242" s="293" t="s">
        <v>433</v>
      </c>
      <c r="B242" s="294" t="n">
        <v>2050</v>
      </c>
      <c r="C242" s="295"/>
      <c r="D242" s="295"/>
      <c r="E242" s="295"/>
    </row>
    <row r="243" customFormat="false" ht="16.4" hidden="false" customHeight="false" outlineLevel="0" collapsed="false">
      <c r="A243" s="296" t="s">
        <v>435</v>
      </c>
      <c r="B243" s="297" t="n">
        <v>2020</v>
      </c>
      <c r="C243" s="203"/>
      <c r="D243" s="298" t="s">
        <v>437</v>
      </c>
      <c r="E243" s="299" t="s">
        <v>438</v>
      </c>
    </row>
    <row r="244" customFormat="false" ht="13.5" hidden="false" customHeight="true" outlineLevel="0" collapsed="false">
      <c r="A244" s="300" t="s">
        <v>439</v>
      </c>
      <c r="B244" s="301" t="s">
        <v>440</v>
      </c>
      <c r="C244" s="269" t="s">
        <v>610</v>
      </c>
      <c r="D244" s="251" t="n">
        <v>0.201666666666667</v>
      </c>
      <c r="E244" s="223" t="n">
        <v>0.605</v>
      </c>
    </row>
    <row r="245" customFormat="false" ht="14.25" hidden="false" customHeight="false" outlineLevel="0" collapsed="false">
      <c r="A245" s="300"/>
      <c r="B245" s="301" t="s">
        <v>443</v>
      </c>
      <c r="C245" s="269" t="s">
        <v>610</v>
      </c>
      <c r="D245" s="251" t="n">
        <v>0.05</v>
      </c>
      <c r="E245" s="223" t="n">
        <v>0.15</v>
      </c>
    </row>
    <row r="246" customFormat="false" ht="14.25" hidden="false" customHeight="false" outlineLevel="0" collapsed="false">
      <c r="A246" s="300"/>
      <c r="B246" s="301" t="s">
        <v>444</v>
      </c>
      <c r="C246" s="269" t="s">
        <v>610</v>
      </c>
      <c r="D246" s="251" t="n">
        <v>0.196666666666667</v>
      </c>
      <c r="E246" s="223" t="n">
        <v>0.59</v>
      </c>
    </row>
    <row r="247" customFormat="false" ht="14.25" hidden="false" customHeight="false" outlineLevel="0" collapsed="false">
      <c r="A247" s="300"/>
      <c r="B247" s="301" t="s">
        <v>445</v>
      </c>
      <c r="C247" s="269" t="s">
        <v>610</v>
      </c>
      <c r="D247" s="251" t="n">
        <v>0.163333333333333</v>
      </c>
      <c r="E247" s="223" t="n">
        <v>0.49</v>
      </c>
    </row>
    <row r="248" customFormat="false" ht="14.25" hidden="false" customHeight="false" outlineLevel="0" collapsed="false">
      <c r="A248" s="300"/>
      <c r="B248" s="301" t="s">
        <v>446</v>
      </c>
      <c r="C248" s="269" t="s">
        <v>610</v>
      </c>
      <c r="D248" s="251" t="n">
        <v>0.00166666666666667</v>
      </c>
      <c r="E248" s="223" t="n">
        <v>0.005</v>
      </c>
    </row>
    <row r="249" customFormat="false" ht="14.25" hidden="false" customHeight="false" outlineLevel="0" collapsed="false">
      <c r="A249" s="300"/>
      <c r="B249" s="301" t="s">
        <v>447</v>
      </c>
      <c r="C249" s="269" t="s">
        <v>610</v>
      </c>
      <c r="D249" s="251" t="n">
        <v>0.0633333333333333</v>
      </c>
      <c r="E249" s="223" t="n">
        <v>0.19</v>
      </c>
    </row>
    <row r="250" customFormat="false" ht="14.25" hidden="false" customHeight="false" outlineLevel="0" collapsed="false">
      <c r="A250" s="300"/>
      <c r="B250" s="301" t="s">
        <v>448</v>
      </c>
      <c r="C250" s="269" t="s">
        <v>610</v>
      </c>
      <c r="D250" s="251" t="n">
        <v>0.253333333333333</v>
      </c>
      <c r="E250" s="223" t="n">
        <v>0.76</v>
      </c>
    </row>
    <row r="251" customFormat="false" ht="14.25" hidden="false" customHeight="false" outlineLevel="0" collapsed="false">
      <c r="A251" s="300"/>
      <c r="B251" s="301" t="s">
        <v>449</v>
      </c>
      <c r="C251" s="269" t="s">
        <v>610</v>
      </c>
      <c r="D251" s="251" t="n">
        <v>0.00166666666666667</v>
      </c>
      <c r="E251" s="223" t="n">
        <v>0.005</v>
      </c>
    </row>
    <row r="252" customFormat="false" ht="14.25" hidden="false" customHeight="false" outlineLevel="0" collapsed="false">
      <c r="A252" s="300"/>
      <c r="B252" s="301" t="s">
        <v>450</v>
      </c>
      <c r="C252" s="269" t="s">
        <v>610</v>
      </c>
      <c r="D252" s="251" t="n">
        <v>0.13</v>
      </c>
      <c r="E252" s="223" t="n">
        <v>0.39</v>
      </c>
    </row>
    <row r="253" customFormat="false" ht="14.25" hidden="false" customHeight="false" outlineLevel="0" collapsed="false">
      <c r="A253" s="300"/>
      <c r="B253" s="301" t="s">
        <v>451</v>
      </c>
      <c r="C253" s="269" t="s">
        <v>610</v>
      </c>
      <c r="D253" s="251" t="n">
        <v>0.176666666666667</v>
      </c>
      <c r="E253" s="223" t="n">
        <v>0.53</v>
      </c>
    </row>
    <row r="254" customFormat="false" ht="14.25" hidden="false" customHeight="false" outlineLevel="0" collapsed="false">
      <c r="A254" s="300"/>
      <c r="B254" s="301" t="s">
        <v>452</v>
      </c>
      <c r="C254" s="269" t="s">
        <v>610</v>
      </c>
      <c r="D254" s="251" t="n">
        <v>0.116666666666667</v>
      </c>
      <c r="E254" s="223" t="n">
        <v>0.35</v>
      </c>
    </row>
    <row r="255" customFormat="false" ht="14.25" hidden="false" customHeight="false" outlineLevel="0" collapsed="false">
      <c r="A255" s="300"/>
      <c r="B255" s="301" t="s">
        <v>453</v>
      </c>
      <c r="C255" s="269" t="s">
        <v>610</v>
      </c>
      <c r="D255" s="251" t="n">
        <v>0.188333333333333</v>
      </c>
      <c r="E255" s="223" t="n">
        <v>0.565</v>
      </c>
    </row>
    <row r="256" customFormat="false" ht="14.25" hidden="false" customHeight="false" outlineLevel="0" collapsed="false">
      <c r="A256" s="300"/>
      <c r="B256" s="301" t="s">
        <v>454</v>
      </c>
      <c r="C256" s="269" t="s">
        <v>610</v>
      </c>
      <c r="D256" s="251" t="n">
        <v>0.245</v>
      </c>
      <c r="E256" s="223" t="n">
        <v>0.735</v>
      </c>
    </row>
    <row r="257" customFormat="false" ht="14.25" hidden="false" customHeight="false" outlineLevel="0" collapsed="false">
      <c r="A257" s="300"/>
      <c r="B257" s="301" t="s">
        <v>455</v>
      </c>
      <c r="C257" s="269" t="s">
        <v>610</v>
      </c>
      <c r="D257" s="251" t="n">
        <v>0.191666666666667</v>
      </c>
      <c r="E257" s="223" t="n">
        <v>0.575</v>
      </c>
    </row>
    <row r="258" customFormat="false" ht="14.25" hidden="false" customHeight="false" outlineLevel="0" collapsed="false">
      <c r="A258" s="300"/>
      <c r="B258" s="301" t="s">
        <v>456</v>
      </c>
      <c r="C258" s="269" t="s">
        <v>610</v>
      </c>
      <c r="D258" s="251" t="n">
        <v>0.101666666666667</v>
      </c>
      <c r="E258" s="223" t="n">
        <v>0.305</v>
      </c>
    </row>
    <row r="259" customFormat="false" ht="14.25" hidden="false" customHeight="false" outlineLevel="0" collapsed="false">
      <c r="A259" s="300"/>
      <c r="B259" s="301" t="s">
        <v>457</v>
      </c>
      <c r="C259" s="269" t="s">
        <v>610</v>
      </c>
      <c r="D259" s="251" t="n">
        <v>0.00166666666666667</v>
      </c>
      <c r="E259" s="223" t="n">
        <v>0.005</v>
      </c>
    </row>
    <row r="260" customFormat="false" ht="14.25" hidden="false" customHeight="false" outlineLevel="0" collapsed="false">
      <c r="A260" s="300"/>
      <c r="B260" s="301" t="s">
        <v>458</v>
      </c>
      <c r="C260" s="269" t="s">
        <v>610</v>
      </c>
      <c r="D260" s="251" t="n">
        <v>0.303333333333333</v>
      </c>
      <c r="E260" s="223" t="n">
        <v>0.91</v>
      </c>
    </row>
    <row r="261" customFormat="false" ht="14.25" hidden="false" customHeight="false" outlineLevel="0" collapsed="false">
      <c r="A261" s="300"/>
      <c r="B261" s="301" t="s">
        <v>459</v>
      </c>
      <c r="C261" s="269" t="s">
        <v>610</v>
      </c>
      <c r="D261" s="251" t="n">
        <v>0.00166666666666667</v>
      </c>
      <c r="E261" s="223" t="n">
        <v>0.005</v>
      </c>
    </row>
    <row r="262" customFormat="false" ht="14.25" hidden="false" customHeight="false" outlineLevel="0" collapsed="false">
      <c r="A262" s="300"/>
      <c r="B262" s="302" t="s">
        <v>460</v>
      </c>
      <c r="C262" s="283" t="s">
        <v>610</v>
      </c>
      <c r="D262" s="206" t="n">
        <v>0.183333333333333</v>
      </c>
      <c r="E262" s="207" t="n">
        <v>0.55</v>
      </c>
    </row>
    <row r="263" customFormat="false" ht="15" hidden="false" customHeight="true" outlineLevel="0" collapsed="false">
      <c r="A263" s="303" t="s">
        <v>461</v>
      </c>
      <c r="B263" s="303"/>
      <c r="C263" s="303"/>
    </row>
    <row r="264" customFormat="false" ht="31.3" hidden="false" customHeight="false" outlineLevel="0" collapsed="false">
      <c r="A264" s="284" t="s">
        <v>611</v>
      </c>
      <c r="B264" s="269" t="s">
        <v>612</v>
      </c>
      <c r="C264" s="304" t="n">
        <v>0.014</v>
      </c>
    </row>
    <row r="265" customFormat="false" ht="16.4" hidden="false" customHeight="false" outlineLevel="0" collapsed="false">
      <c r="A265" s="284" t="s">
        <v>613</v>
      </c>
      <c r="B265" s="269" t="s">
        <v>423</v>
      </c>
      <c r="C265" s="204" t="n">
        <v>2020</v>
      </c>
    </row>
    <row r="266" customFormat="false" ht="16.4" hidden="false" customHeight="false" outlineLevel="0" collapsed="false">
      <c r="A266" s="284" t="s">
        <v>614</v>
      </c>
      <c r="B266" s="269" t="s">
        <v>612</v>
      </c>
      <c r="C266" s="304" t="n">
        <v>0.014</v>
      </c>
    </row>
    <row r="267" customFormat="false" ht="16.4" hidden="false" customHeight="false" outlineLevel="0" collapsed="false">
      <c r="A267" s="287" t="s">
        <v>615</v>
      </c>
      <c r="B267" s="283" t="s">
        <v>423</v>
      </c>
      <c r="C267" s="242" t="n">
        <v>2020</v>
      </c>
    </row>
    <row r="269" customFormat="false" ht="17.35" hidden="false" customHeight="false" outlineLevel="0" collapsed="false">
      <c r="A269" s="200" t="s">
        <v>232</v>
      </c>
      <c r="B269" s="200"/>
      <c r="C269" s="200"/>
    </row>
    <row r="270" customFormat="false" ht="14.25" hidden="false" customHeight="false" outlineLevel="0" collapsed="false">
      <c r="A270" s="305" t="s">
        <v>233</v>
      </c>
      <c r="B270" s="305"/>
      <c r="C270" s="305"/>
      <c r="H270" s="54"/>
      <c r="J270" s="57"/>
    </row>
    <row r="271" customFormat="false" ht="16.4" hidden="false" customHeight="false" outlineLevel="0" collapsed="false">
      <c r="A271" s="284" t="s">
        <v>234</v>
      </c>
      <c r="B271" s="203" t="s">
        <v>28</v>
      </c>
      <c r="C271" s="306" t="n">
        <v>1</v>
      </c>
      <c r="H271" s="54"/>
      <c r="J271" s="57"/>
    </row>
    <row r="272" customFormat="false" ht="14.25" hidden="false" customHeight="false" outlineLevel="0" collapsed="false">
      <c r="A272" s="305" t="s">
        <v>616</v>
      </c>
      <c r="B272" s="305"/>
      <c r="C272" s="305"/>
      <c r="H272" s="54"/>
      <c r="J272" s="57"/>
    </row>
    <row r="273" customFormat="false" ht="15" hidden="false" customHeight="true" outlineLevel="0" collapsed="false">
      <c r="A273" s="300" t="s">
        <v>617</v>
      </c>
      <c r="B273" s="269" t="s">
        <v>618</v>
      </c>
      <c r="C273" s="307" t="n">
        <v>4</v>
      </c>
      <c r="H273" s="54"/>
      <c r="J273" s="57"/>
    </row>
    <row r="274" customFormat="false" ht="14.25" hidden="false" customHeight="false" outlineLevel="0" collapsed="false">
      <c r="A274" s="300"/>
      <c r="B274" s="269" t="s">
        <v>619</v>
      </c>
      <c r="C274" s="307"/>
      <c r="H274" s="54"/>
      <c r="J274" s="57"/>
    </row>
    <row r="275" customFormat="false" ht="14.25" hidden="false" customHeight="false" outlineLevel="0" collapsed="false">
      <c r="A275" s="300"/>
      <c r="B275" s="269" t="s">
        <v>620</v>
      </c>
      <c r="C275" s="307"/>
      <c r="H275" s="54"/>
      <c r="J275" s="57"/>
    </row>
    <row r="276" customFormat="false" ht="14.25" hidden="false" customHeight="false" outlineLevel="0" collapsed="false">
      <c r="A276" s="300"/>
      <c r="B276" s="283" t="s">
        <v>621</v>
      </c>
      <c r="C276" s="307"/>
      <c r="H276" s="54"/>
      <c r="J276" s="57"/>
    </row>
    <row r="277" customFormat="false" ht="14.25" hidden="false" customHeight="false" outlineLevel="0" collapsed="false">
      <c r="H277" s="54"/>
      <c r="J277" s="57"/>
    </row>
    <row r="278" customFormat="false" ht="14.25" hidden="false" customHeight="false" outlineLevel="0" collapsed="false">
      <c r="A278" s="308" t="s">
        <v>164</v>
      </c>
      <c r="B278" s="309"/>
      <c r="H278" s="54"/>
      <c r="J278" s="57"/>
    </row>
    <row r="279" customFormat="false" ht="14.25" hidden="false" customHeight="false" outlineLevel="0" collapsed="false">
      <c r="A279" s="310" t="s">
        <v>165</v>
      </c>
      <c r="B279" s="311" t="n">
        <v>1</v>
      </c>
      <c r="H279" s="54"/>
      <c r="J279" s="57"/>
    </row>
    <row r="280" customFormat="false" ht="14.25" hidden="false" customHeight="false" outlineLevel="0" collapsed="false">
      <c r="H280" s="54"/>
      <c r="J280" s="57"/>
    </row>
    <row r="281" customFormat="false" ht="17.35" hidden="false" customHeight="false" outlineLevel="0" collapsed="false">
      <c r="A281" s="200" t="s">
        <v>622</v>
      </c>
      <c r="B281" s="200"/>
      <c r="C281" s="200"/>
      <c r="D281" s="200"/>
      <c r="E281" s="200"/>
      <c r="F281" s="200"/>
      <c r="G281" s="200"/>
      <c r="H281" s="200"/>
      <c r="I281" s="200"/>
      <c r="J281" s="57"/>
    </row>
    <row r="282" customFormat="false" ht="14.25" hidden="false" customHeight="false" outlineLevel="0" collapsed="false">
      <c r="A282" s="312" t="s">
        <v>623</v>
      </c>
      <c r="B282" s="202" t="s">
        <v>36</v>
      </c>
      <c r="C282" s="203" t="n">
        <v>2020</v>
      </c>
      <c r="D282" s="203" t="n">
        <v>2025</v>
      </c>
      <c r="E282" s="203" t="n">
        <v>2030</v>
      </c>
      <c r="F282" s="203" t="n">
        <v>2035</v>
      </c>
      <c r="G282" s="203" t="n">
        <v>2040</v>
      </c>
      <c r="H282" s="203" t="n">
        <v>2045</v>
      </c>
      <c r="I282" s="204" t="n">
        <v>2050</v>
      </c>
      <c r="J282" s="57"/>
    </row>
    <row r="283" customFormat="false" ht="14.25" hidden="false" customHeight="false" outlineLevel="0" collapsed="false">
      <c r="A283" s="312" t="s">
        <v>576</v>
      </c>
      <c r="B283" s="202" t="s">
        <v>499</v>
      </c>
      <c r="C283" s="203" t="n">
        <v>0</v>
      </c>
      <c r="D283" s="203" t="n">
        <v>0</v>
      </c>
      <c r="E283" s="203" t="n">
        <v>0</v>
      </c>
      <c r="F283" s="203" t="n">
        <v>0</v>
      </c>
      <c r="G283" s="203" t="n">
        <v>0</v>
      </c>
      <c r="H283" s="203" t="n">
        <v>0</v>
      </c>
      <c r="I283" s="204" t="n">
        <v>0</v>
      </c>
      <c r="J283" s="57"/>
    </row>
    <row r="284" customFormat="false" ht="14.25" hidden="false" customHeight="false" outlineLevel="0" collapsed="false">
      <c r="A284" s="312" t="s">
        <v>579</v>
      </c>
      <c r="B284" s="202" t="s">
        <v>499</v>
      </c>
      <c r="C284" s="203" t="n">
        <v>0</v>
      </c>
      <c r="D284" s="203" t="n">
        <v>0</v>
      </c>
      <c r="E284" s="203" t="n">
        <v>0</v>
      </c>
      <c r="F284" s="203" t="n">
        <v>0</v>
      </c>
      <c r="G284" s="203" t="n">
        <v>0</v>
      </c>
      <c r="H284" s="203" t="n">
        <v>0</v>
      </c>
      <c r="I284" s="204" t="n">
        <v>0</v>
      </c>
      <c r="J284" s="57"/>
    </row>
    <row r="285" customFormat="false" ht="14.25" hidden="false" customHeight="false" outlineLevel="0" collapsed="false">
      <c r="A285" s="312" t="s">
        <v>362</v>
      </c>
      <c r="B285" s="202" t="s">
        <v>499</v>
      </c>
      <c r="C285" s="203" t="n">
        <v>0</v>
      </c>
      <c r="D285" s="203" t="n">
        <v>0</v>
      </c>
      <c r="E285" s="203" t="n">
        <v>0</v>
      </c>
      <c r="F285" s="203" t="n">
        <v>0</v>
      </c>
      <c r="G285" s="203" t="n">
        <v>0</v>
      </c>
      <c r="H285" s="203" t="n">
        <v>0</v>
      </c>
      <c r="I285" s="204" t="n">
        <v>0</v>
      </c>
      <c r="J285" s="57"/>
    </row>
    <row r="286" customFormat="false" ht="14.25" hidden="false" customHeight="false" outlineLevel="0" collapsed="false">
      <c r="A286" s="312" t="s">
        <v>580</v>
      </c>
      <c r="B286" s="202" t="s">
        <v>499</v>
      </c>
      <c r="C286" s="203" t="n">
        <v>0</v>
      </c>
      <c r="D286" s="203" t="n">
        <v>0</v>
      </c>
      <c r="E286" s="203" t="n">
        <v>0</v>
      </c>
      <c r="F286" s="203" t="n">
        <v>0</v>
      </c>
      <c r="G286" s="203" t="n">
        <v>0</v>
      </c>
      <c r="H286" s="203" t="n">
        <v>0</v>
      </c>
      <c r="I286" s="204" t="n">
        <v>0</v>
      </c>
      <c r="J286" s="57"/>
    </row>
    <row r="287" customFormat="false" ht="14.25" hidden="false" customHeight="false" outlineLevel="0" collapsed="false">
      <c r="A287" s="312" t="s">
        <v>581</v>
      </c>
      <c r="B287" s="202" t="s">
        <v>499</v>
      </c>
      <c r="C287" s="203" t="n">
        <v>0</v>
      </c>
      <c r="D287" s="203" t="n">
        <v>0</v>
      </c>
      <c r="E287" s="203" t="n">
        <v>0</v>
      </c>
      <c r="F287" s="203" t="n">
        <v>0</v>
      </c>
      <c r="G287" s="203" t="n">
        <v>0</v>
      </c>
      <c r="H287" s="203" t="n">
        <v>0</v>
      </c>
      <c r="I287" s="204" t="n">
        <v>0</v>
      </c>
      <c r="J287" s="57"/>
    </row>
    <row r="288" customFormat="false" ht="14.25" hidden="false" customHeight="false" outlineLevel="0" collapsed="false">
      <c r="A288" s="312" t="s">
        <v>582</v>
      </c>
      <c r="B288" s="202" t="s">
        <v>499</v>
      </c>
      <c r="C288" s="203" t="n">
        <v>0</v>
      </c>
      <c r="D288" s="203" t="n">
        <v>0</v>
      </c>
      <c r="E288" s="203" t="n">
        <v>0</v>
      </c>
      <c r="F288" s="203" t="n">
        <v>0</v>
      </c>
      <c r="G288" s="203" t="n">
        <v>0</v>
      </c>
      <c r="H288" s="203" t="n">
        <v>0</v>
      </c>
      <c r="I288" s="204" t="n">
        <v>0</v>
      </c>
      <c r="J288" s="57"/>
    </row>
    <row r="289" customFormat="false" ht="14.25" hidden="false" customHeight="false" outlineLevel="0" collapsed="false">
      <c r="A289" s="312" t="s">
        <v>583</v>
      </c>
      <c r="B289" s="202" t="s">
        <v>499</v>
      </c>
      <c r="C289" s="203" t="n">
        <v>0</v>
      </c>
      <c r="D289" s="203" t="n">
        <v>0</v>
      </c>
      <c r="E289" s="203" t="n">
        <v>0</v>
      </c>
      <c r="F289" s="203" t="n">
        <v>0</v>
      </c>
      <c r="G289" s="203" t="n">
        <v>0</v>
      </c>
      <c r="H289" s="203" t="n">
        <v>0</v>
      </c>
      <c r="I289" s="204" t="n">
        <v>0</v>
      </c>
      <c r="J289" s="57"/>
    </row>
    <row r="290" customFormat="false" ht="14.25" hidden="false" customHeight="false" outlineLevel="0" collapsed="false">
      <c r="A290" s="312" t="s">
        <v>354</v>
      </c>
      <c r="B290" s="202" t="s">
        <v>499</v>
      </c>
      <c r="C290" s="203" t="n">
        <v>0</v>
      </c>
      <c r="D290" s="203" t="n">
        <v>0</v>
      </c>
      <c r="E290" s="203" t="n">
        <v>0</v>
      </c>
      <c r="F290" s="203" t="n">
        <v>0</v>
      </c>
      <c r="G290" s="203" t="n">
        <v>0</v>
      </c>
      <c r="H290" s="203" t="n">
        <v>0</v>
      </c>
      <c r="I290" s="204" t="n">
        <v>0</v>
      </c>
      <c r="J290" s="57"/>
    </row>
    <row r="291" customFormat="false" ht="14.25" hidden="false" customHeight="false" outlineLevel="0" collapsed="false">
      <c r="A291" s="312" t="s">
        <v>584</v>
      </c>
      <c r="B291" s="202" t="s">
        <v>499</v>
      </c>
      <c r="C291" s="203" t="n">
        <v>0</v>
      </c>
      <c r="D291" s="203" t="n">
        <v>0</v>
      </c>
      <c r="E291" s="203" t="n">
        <v>0</v>
      </c>
      <c r="F291" s="203" t="n">
        <v>0</v>
      </c>
      <c r="G291" s="203" t="n">
        <v>0</v>
      </c>
      <c r="H291" s="203" t="n">
        <v>0</v>
      </c>
      <c r="I291" s="204" t="n">
        <v>0</v>
      </c>
      <c r="J291" s="57"/>
    </row>
    <row r="292" customFormat="false" ht="14.25" hidden="false" customHeight="false" outlineLevel="0" collapsed="false">
      <c r="A292" s="312" t="s">
        <v>585</v>
      </c>
      <c r="B292" s="202" t="s">
        <v>499</v>
      </c>
      <c r="C292" s="203" t="n">
        <v>0</v>
      </c>
      <c r="D292" s="203" t="n">
        <v>0</v>
      </c>
      <c r="E292" s="203" t="n">
        <v>0</v>
      </c>
      <c r="F292" s="203" t="n">
        <v>0</v>
      </c>
      <c r="G292" s="203" t="n">
        <v>0</v>
      </c>
      <c r="H292" s="203" t="n">
        <v>0</v>
      </c>
      <c r="I292" s="204" t="n">
        <v>0</v>
      </c>
      <c r="J292" s="57"/>
    </row>
    <row r="293" customFormat="false" ht="14.25" hidden="false" customHeight="false" outlineLevel="0" collapsed="false">
      <c r="A293" s="312" t="s">
        <v>586</v>
      </c>
      <c r="B293" s="202" t="s">
        <v>499</v>
      </c>
      <c r="C293" s="203" t="n">
        <v>0</v>
      </c>
      <c r="D293" s="203" t="n">
        <v>0</v>
      </c>
      <c r="E293" s="203" t="n">
        <v>0</v>
      </c>
      <c r="F293" s="203" t="n">
        <v>0</v>
      </c>
      <c r="G293" s="203" t="n">
        <v>0</v>
      </c>
      <c r="H293" s="203" t="n">
        <v>0</v>
      </c>
      <c r="I293" s="204" t="n">
        <v>0</v>
      </c>
      <c r="J293" s="57"/>
    </row>
    <row r="294" customFormat="false" ht="14.25" hidden="false" customHeight="false" outlineLevel="0" collapsed="false">
      <c r="A294" s="312" t="s">
        <v>587</v>
      </c>
      <c r="B294" s="202" t="s">
        <v>499</v>
      </c>
      <c r="C294" s="203" t="n">
        <v>0</v>
      </c>
      <c r="D294" s="203" t="n">
        <v>0</v>
      </c>
      <c r="E294" s="203" t="n">
        <v>0</v>
      </c>
      <c r="F294" s="203" t="n">
        <v>0</v>
      </c>
      <c r="G294" s="203" t="n">
        <v>0</v>
      </c>
      <c r="H294" s="203" t="n">
        <v>0</v>
      </c>
      <c r="I294" s="204" t="n">
        <v>0</v>
      </c>
      <c r="J294" s="57"/>
    </row>
    <row r="295" customFormat="false" ht="14.25" hidden="false" customHeight="false" outlineLevel="0" collapsed="false">
      <c r="A295" s="312" t="s">
        <v>588</v>
      </c>
      <c r="B295" s="202" t="s">
        <v>499</v>
      </c>
      <c r="C295" s="203" t="n">
        <v>0</v>
      </c>
      <c r="D295" s="203" t="n">
        <v>0</v>
      </c>
      <c r="E295" s="203" t="n">
        <v>0</v>
      </c>
      <c r="F295" s="203" t="n">
        <v>0</v>
      </c>
      <c r="G295" s="203" t="n">
        <v>0</v>
      </c>
      <c r="H295" s="203" t="n">
        <v>0</v>
      </c>
      <c r="I295" s="204" t="n">
        <v>0</v>
      </c>
      <c r="J295" s="57"/>
    </row>
    <row r="296" customFormat="false" ht="14.25" hidden="false" customHeight="false" outlineLevel="0" collapsed="false">
      <c r="A296" s="312" t="s">
        <v>589</v>
      </c>
      <c r="B296" s="202" t="s">
        <v>499</v>
      </c>
      <c r="C296" s="203" t="n">
        <v>0</v>
      </c>
      <c r="D296" s="203" t="n">
        <v>0</v>
      </c>
      <c r="E296" s="203" t="n">
        <v>0</v>
      </c>
      <c r="F296" s="203" t="n">
        <v>0</v>
      </c>
      <c r="G296" s="203" t="n">
        <v>0</v>
      </c>
      <c r="H296" s="203" t="n">
        <v>0</v>
      </c>
      <c r="I296" s="204" t="n">
        <v>0</v>
      </c>
      <c r="J296" s="57"/>
    </row>
    <row r="297" customFormat="false" ht="14.25" hidden="false" customHeight="false" outlineLevel="0" collapsed="false">
      <c r="A297" s="312" t="s">
        <v>590</v>
      </c>
      <c r="B297" s="202" t="s">
        <v>499</v>
      </c>
      <c r="C297" s="203" t="n">
        <v>0</v>
      </c>
      <c r="D297" s="203" t="n">
        <v>0</v>
      </c>
      <c r="E297" s="203" t="n">
        <v>0</v>
      </c>
      <c r="F297" s="203" t="n">
        <v>0</v>
      </c>
      <c r="G297" s="203" t="n">
        <v>0</v>
      </c>
      <c r="H297" s="203" t="n">
        <v>0</v>
      </c>
      <c r="I297" s="204" t="n">
        <v>0</v>
      </c>
      <c r="J297" s="57"/>
    </row>
    <row r="298" customFormat="false" ht="14.25" hidden="false" customHeight="false" outlineLevel="0" collapsed="false">
      <c r="A298" s="312" t="s">
        <v>338</v>
      </c>
      <c r="B298" s="202" t="s">
        <v>499</v>
      </c>
      <c r="C298" s="203" t="n">
        <v>0</v>
      </c>
      <c r="D298" s="203" t="n">
        <v>0</v>
      </c>
      <c r="E298" s="203" t="n">
        <v>0</v>
      </c>
      <c r="F298" s="203" t="n">
        <v>0</v>
      </c>
      <c r="G298" s="203" t="n">
        <v>0</v>
      </c>
      <c r="H298" s="203" t="n">
        <v>0</v>
      </c>
      <c r="I298" s="204" t="n">
        <v>0</v>
      </c>
      <c r="J298" s="57"/>
    </row>
    <row r="299" customFormat="false" ht="14.25" hidden="false" customHeight="false" outlineLevel="0" collapsed="false">
      <c r="A299" s="312" t="s">
        <v>591</v>
      </c>
      <c r="B299" s="202" t="s">
        <v>499</v>
      </c>
      <c r="C299" s="203" t="n">
        <v>0</v>
      </c>
      <c r="D299" s="203" t="n">
        <v>0</v>
      </c>
      <c r="E299" s="203" t="n">
        <v>0</v>
      </c>
      <c r="F299" s="203" t="n">
        <v>0</v>
      </c>
      <c r="G299" s="203" t="n">
        <v>0</v>
      </c>
      <c r="H299" s="203" t="n">
        <v>0</v>
      </c>
      <c r="I299" s="204" t="n">
        <v>0</v>
      </c>
      <c r="J299" s="57"/>
    </row>
    <row r="300" customFormat="false" ht="14.25" hidden="false" customHeight="false" outlineLevel="0" collapsed="false">
      <c r="A300" s="312" t="s">
        <v>592</v>
      </c>
      <c r="B300" s="202" t="s">
        <v>499</v>
      </c>
      <c r="C300" s="203" t="n">
        <v>0</v>
      </c>
      <c r="D300" s="203" t="n">
        <v>0</v>
      </c>
      <c r="E300" s="203" t="n">
        <f aca="false">$C300+(($G300-$C300)/20)*(E282-2020)</f>
        <v>0.00249870235247261</v>
      </c>
      <c r="F300" s="203" t="n">
        <f aca="false">$C300+(($G300-$C300)/20)*(F282-2020)</f>
        <v>0.00374805352870891</v>
      </c>
      <c r="G300" s="203" t="n">
        <v>0.00499740470494521</v>
      </c>
      <c r="H300" s="203" t="n">
        <f aca="false">G300+(I300-G300)/2</f>
        <v>0.00532267956739727</v>
      </c>
      <c r="I300" s="204" t="n">
        <v>0.00564795442984932</v>
      </c>
      <c r="J300" s="57"/>
    </row>
    <row r="301" customFormat="false" ht="14.25" hidden="false" customHeight="false" outlineLevel="0" collapsed="false">
      <c r="A301" s="312" t="s">
        <v>593</v>
      </c>
      <c r="B301" s="202" t="s">
        <v>499</v>
      </c>
      <c r="C301" s="203" t="n">
        <v>0</v>
      </c>
      <c r="D301" s="203" t="n">
        <v>0</v>
      </c>
      <c r="E301" s="203" t="n">
        <v>0</v>
      </c>
      <c r="F301" s="203" t="n">
        <v>0</v>
      </c>
      <c r="G301" s="203" t="n">
        <v>0</v>
      </c>
      <c r="H301" s="203" t="n">
        <v>0</v>
      </c>
      <c r="I301" s="204" t="n">
        <v>0</v>
      </c>
      <c r="J301" s="57"/>
    </row>
    <row r="302" customFormat="false" ht="14.25" hidden="false" customHeight="false" outlineLevel="0" collapsed="false">
      <c r="A302" s="312" t="s">
        <v>594</v>
      </c>
      <c r="B302" s="202" t="s">
        <v>499</v>
      </c>
      <c r="C302" s="203" t="n">
        <v>0</v>
      </c>
      <c r="D302" s="203" t="n">
        <v>0</v>
      </c>
      <c r="E302" s="203" t="n">
        <v>0</v>
      </c>
      <c r="F302" s="203" t="n">
        <v>0</v>
      </c>
      <c r="G302" s="203" t="n">
        <v>0</v>
      </c>
      <c r="H302" s="203" t="n">
        <v>0</v>
      </c>
      <c r="I302" s="204" t="n">
        <v>0</v>
      </c>
      <c r="J302" s="57"/>
    </row>
    <row r="303" customFormat="false" ht="14.25" hidden="false" customHeight="false" outlineLevel="0" collapsed="false">
      <c r="A303" s="312" t="s">
        <v>595</v>
      </c>
      <c r="B303" s="202" t="s">
        <v>499</v>
      </c>
      <c r="C303" s="203" t="n">
        <v>0</v>
      </c>
      <c r="D303" s="203" t="n">
        <v>0</v>
      </c>
      <c r="E303" s="203" t="n">
        <v>0.00629850415475343</v>
      </c>
      <c r="F303" s="203" t="n">
        <v>0.00944775623213014</v>
      </c>
      <c r="G303" s="203" t="n">
        <v>0.0125970083095069</v>
      </c>
      <c r="H303" s="203" t="n">
        <v>0.0145486574842192</v>
      </c>
      <c r="I303" s="204" t="n">
        <v>0.0165003066589315</v>
      </c>
      <c r="J303" s="57"/>
    </row>
    <row r="304" customFormat="false" ht="14.25" hidden="false" customHeight="false" outlineLevel="0" collapsed="false">
      <c r="A304" s="312" t="s">
        <v>596</v>
      </c>
      <c r="B304" s="202" t="s">
        <v>499</v>
      </c>
      <c r="C304" s="203" t="n">
        <v>0</v>
      </c>
      <c r="D304" s="203" t="n">
        <v>0</v>
      </c>
      <c r="E304" s="203" t="n">
        <v>0.000787313019344178</v>
      </c>
      <c r="F304" s="203" t="n">
        <v>0.00118096952901627</v>
      </c>
      <c r="G304" s="203" t="n">
        <v>0.00157462603868836</v>
      </c>
      <c r="H304" s="203" t="n">
        <v>0.0018185821855274</v>
      </c>
      <c r="I304" s="204" t="n">
        <v>0.00206253833236644</v>
      </c>
      <c r="J304" s="57"/>
    </row>
    <row r="305" customFormat="false" ht="14.25" hidden="false" customHeight="false" outlineLevel="0" collapsed="false">
      <c r="A305" s="312" t="s">
        <v>597</v>
      </c>
      <c r="B305" s="202" t="s">
        <v>499</v>
      </c>
      <c r="C305" s="203" t="n">
        <v>0</v>
      </c>
      <c r="D305" s="203" t="n">
        <v>0</v>
      </c>
      <c r="E305" s="203" t="n">
        <v>0.000787313019344178</v>
      </c>
      <c r="F305" s="203" t="n">
        <v>0.00118096952901627</v>
      </c>
      <c r="G305" s="203" t="n">
        <v>0.00157462603868836</v>
      </c>
      <c r="H305" s="203" t="n">
        <v>0.0018185821855274</v>
      </c>
      <c r="I305" s="204" t="n">
        <v>0.00206253833236644</v>
      </c>
      <c r="J305" s="57"/>
    </row>
    <row r="306" customFormat="false" ht="14.25" hidden="false" customHeight="false" outlineLevel="0" collapsed="false">
      <c r="A306" s="312" t="s">
        <v>598</v>
      </c>
      <c r="B306" s="202" t="s">
        <v>499</v>
      </c>
      <c r="C306" s="203" t="n">
        <v>0</v>
      </c>
      <c r="D306" s="203" t="n">
        <v>0</v>
      </c>
      <c r="E306" s="203" t="n">
        <v>0</v>
      </c>
      <c r="F306" s="203" t="n">
        <f aca="false">$C306+(($G306-$C306)/20)*(F303-2020)</f>
        <v>0</v>
      </c>
      <c r="G306" s="203" t="n">
        <v>0</v>
      </c>
      <c r="H306" s="203" t="n">
        <v>0</v>
      </c>
      <c r="I306" s="204" t="n">
        <v>0</v>
      </c>
      <c r="J306" s="57"/>
    </row>
    <row r="307" customFormat="false" ht="14.25" hidden="false" customHeight="false" outlineLevel="0" collapsed="false">
      <c r="A307" s="312" t="s">
        <v>599</v>
      </c>
      <c r="B307" s="202" t="s">
        <v>499</v>
      </c>
      <c r="C307" s="203" t="n">
        <v>0</v>
      </c>
      <c r="D307" s="203" t="n">
        <v>0</v>
      </c>
      <c r="E307" s="203" t="n">
        <v>0</v>
      </c>
      <c r="F307" s="203" t="n">
        <v>0</v>
      </c>
      <c r="G307" s="203" t="n">
        <v>0</v>
      </c>
      <c r="H307" s="203" t="n">
        <v>0</v>
      </c>
      <c r="I307" s="204" t="n">
        <v>0</v>
      </c>
      <c r="J307" s="57"/>
    </row>
    <row r="308" customFormat="false" ht="14.25" hidden="false" customHeight="false" outlineLevel="0" collapsed="false">
      <c r="A308" s="312" t="s">
        <v>351</v>
      </c>
      <c r="B308" s="202" t="s">
        <v>499</v>
      </c>
      <c r="C308" s="203" t="n">
        <v>0</v>
      </c>
      <c r="D308" s="203" t="n">
        <v>0</v>
      </c>
      <c r="E308" s="203" t="n">
        <v>0</v>
      </c>
      <c r="F308" s="203" t="n">
        <v>0</v>
      </c>
      <c r="G308" s="203" t="n">
        <v>0</v>
      </c>
      <c r="H308" s="203" t="n">
        <v>0</v>
      </c>
      <c r="I308" s="204" t="n">
        <v>0</v>
      </c>
      <c r="J308" s="57"/>
    </row>
    <row r="309" customFormat="false" ht="14.25" hidden="false" customHeight="false" outlineLevel="0" collapsed="false">
      <c r="A309" s="312" t="s">
        <v>361</v>
      </c>
      <c r="B309" s="202" t="s">
        <v>499</v>
      </c>
      <c r="C309" s="203" t="n">
        <v>0</v>
      </c>
      <c r="D309" s="203" t="n">
        <v>0</v>
      </c>
      <c r="E309" s="203" t="n">
        <v>0</v>
      </c>
      <c r="F309" s="203" t="n">
        <v>0</v>
      </c>
      <c r="G309" s="203" t="n">
        <v>0</v>
      </c>
      <c r="H309" s="203" t="n">
        <v>0</v>
      </c>
      <c r="I309" s="204" t="n">
        <v>0</v>
      </c>
      <c r="J309" s="57"/>
    </row>
    <row r="310" customFormat="false" ht="14.25" hidden="false" customHeight="false" outlineLevel="0" collapsed="false">
      <c r="A310" s="312" t="s">
        <v>600</v>
      </c>
      <c r="B310" s="202" t="s">
        <v>499</v>
      </c>
      <c r="C310" s="203" t="n">
        <v>0</v>
      </c>
      <c r="D310" s="203" t="n">
        <v>0</v>
      </c>
      <c r="E310" s="203" t="n">
        <v>0</v>
      </c>
      <c r="F310" s="203" t="n">
        <v>0</v>
      </c>
      <c r="G310" s="203" t="n">
        <v>0</v>
      </c>
      <c r="H310" s="203" t="n">
        <v>0</v>
      </c>
      <c r="I310" s="204" t="n">
        <v>0</v>
      </c>
      <c r="J310" s="57"/>
    </row>
    <row r="311" customFormat="false" ht="14.25" hidden="false" customHeight="false" outlineLevel="0" collapsed="false">
      <c r="A311" s="313" t="s">
        <v>624</v>
      </c>
      <c r="B311" s="314"/>
      <c r="C311" s="314"/>
      <c r="D311" s="314"/>
      <c r="E311" s="314"/>
      <c r="F311" s="314"/>
      <c r="G311" s="314"/>
      <c r="H311" s="315"/>
      <c r="I311" s="314"/>
      <c r="J311" s="57"/>
    </row>
    <row r="312" customFormat="false" ht="14.25" hidden="false" customHeight="false" outlineLevel="0" collapsed="false">
      <c r="A312" s="312" t="s">
        <v>576</v>
      </c>
      <c r="B312" s="202" t="s">
        <v>28</v>
      </c>
      <c r="C312" s="203" t="n">
        <v>0.189349112426035</v>
      </c>
      <c r="D312" s="203" t="n">
        <v>0.189349112426035</v>
      </c>
      <c r="E312" s="203" t="n">
        <v>0.189349112426035</v>
      </c>
      <c r="F312" s="203" t="n">
        <v>0.189349112426035</v>
      </c>
      <c r="G312" s="203" t="n">
        <v>0.189349112426035</v>
      </c>
      <c r="H312" s="203" t="n">
        <f aca="false">G312+(I312-G312)/2</f>
        <v>0.238653613804641</v>
      </c>
      <c r="I312" s="203" t="n">
        <v>0.287958115183246</v>
      </c>
      <c r="J312" s="57"/>
    </row>
    <row r="313" customFormat="false" ht="14.25" hidden="false" customHeight="false" outlineLevel="0" collapsed="false">
      <c r="A313" s="312" t="s">
        <v>579</v>
      </c>
      <c r="B313" s="202" t="s">
        <v>28</v>
      </c>
      <c r="C313" s="203" t="n">
        <v>0.189349112426035</v>
      </c>
      <c r="D313" s="203" t="n">
        <v>0.189349112426035</v>
      </c>
      <c r="E313" s="203" t="n">
        <v>0.189349112426035</v>
      </c>
      <c r="F313" s="203" t="n">
        <v>0.189349112426035</v>
      </c>
      <c r="G313" s="203" t="n">
        <v>0.189349112426035</v>
      </c>
      <c r="H313" s="203" t="n">
        <f aca="false">G313+(I313-G313)/2</f>
        <v>0.238653613804641</v>
      </c>
      <c r="I313" s="203" t="n">
        <v>0.287958115183246</v>
      </c>
      <c r="J313" s="57"/>
    </row>
    <row r="314" customFormat="false" ht="14.25" hidden="false" customHeight="false" outlineLevel="0" collapsed="false">
      <c r="A314" s="312" t="s">
        <v>362</v>
      </c>
      <c r="B314" s="202" t="s">
        <v>28</v>
      </c>
      <c r="C314" s="203" t="n">
        <v>0.189349112426035</v>
      </c>
      <c r="D314" s="203" t="n">
        <v>0.189349112426035</v>
      </c>
      <c r="E314" s="203" t="n">
        <v>0.189349112426035</v>
      </c>
      <c r="F314" s="203" t="n">
        <v>0.189349112426035</v>
      </c>
      <c r="G314" s="203" t="n">
        <v>0.189349112426035</v>
      </c>
      <c r="H314" s="203" t="n">
        <f aca="false">G314+(I314-G314)/2</f>
        <v>0.238653613804641</v>
      </c>
      <c r="I314" s="203" t="n">
        <v>0.287958115183246</v>
      </c>
      <c r="J314" s="57"/>
    </row>
    <row r="315" customFormat="false" ht="14.25" hidden="false" customHeight="false" outlineLevel="0" collapsed="false">
      <c r="A315" s="312" t="s">
        <v>580</v>
      </c>
      <c r="B315" s="202" t="s">
        <v>28</v>
      </c>
      <c r="C315" s="203" t="n">
        <v>0.189349112426035</v>
      </c>
      <c r="D315" s="203" t="n">
        <v>0.189349112426035</v>
      </c>
      <c r="E315" s="203" t="n">
        <v>0.189349112426035</v>
      </c>
      <c r="F315" s="203" t="n">
        <v>0.189349112426035</v>
      </c>
      <c r="G315" s="203" t="n">
        <v>0.189349112426035</v>
      </c>
      <c r="H315" s="203" t="n">
        <f aca="false">G315+(I315-G315)/2</f>
        <v>0.238653613804641</v>
      </c>
      <c r="I315" s="203" t="n">
        <v>0.287958115183246</v>
      </c>
      <c r="J315" s="57"/>
    </row>
    <row r="316" customFormat="false" ht="14.25" hidden="false" customHeight="false" outlineLevel="0" collapsed="false">
      <c r="A316" s="312" t="s">
        <v>581</v>
      </c>
      <c r="B316" s="202" t="s">
        <v>28</v>
      </c>
      <c r="C316" s="203" t="n">
        <v>0.189349112426035</v>
      </c>
      <c r="D316" s="203" t="n">
        <v>0.189349112426035</v>
      </c>
      <c r="E316" s="203" t="n">
        <v>0.189349112426035</v>
      </c>
      <c r="F316" s="203" t="n">
        <v>0.189349112426035</v>
      </c>
      <c r="G316" s="203" t="n">
        <v>0.189349112426035</v>
      </c>
      <c r="H316" s="203" t="n">
        <f aca="false">G316+(I316-G316)/2</f>
        <v>0.238653613804641</v>
      </c>
      <c r="I316" s="203" t="n">
        <v>0.287958115183246</v>
      </c>
      <c r="J316" s="57"/>
    </row>
    <row r="317" customFormat="false" ht="14.25" hidden="false" customHeight="false" outlineLevel="0" collapsed="false">
      <c r="A317" s="312" t="s">
        <v>582</v>
      </c>
      <c r="B317" s="202" t="s">
        <v>28</v>
      </c>
      <c r="C317" s="203" t="n">
        <v>0.189349112426035</v>
      </c>
      <c r="D317" s="203" t="n">
        <v>0.189349112426035</v>
      </c>
      <c r="E317" s="203" t="n">
        <v>0.189349112426035</v>
      </c>
      <c r="F317" s="203" t="n">
        <v>0.189349112426035</v>
      </c>
      <c r="G317" s="203" t="n">
        <v>0.189349112426035</v>
      </c>
      <c r="H317" s="203" t="n">
        <f aca="false">G317+(I317-G317)/2</f>
        <v>0.238653613804641</v>
      </c>
      <c r="I317" s="203" t="n">
        <v>0.287958115183246</v>
      </c>
      <c r="J317" s="57"/>
    </row>
    <row r="318" customFormat="false" ht="14.25" hidden="false" customHeight="false" outlineLevel="0" collapsed="false">
      <c r="A318" s="312" t="s">
        <v>583</v>
      </c>
      <c r="B318" s="202" t="s">
        <v>28</v>
      </c>
      <c r="C318" s="203" t="n">
        <v>0.189349112426035</v>
      </c>
      <c r="D318" s="203" t="n">
        <v>0.189349112426035</v>
      </c>
      <c r="E318" s="203" t="n">
        <v>0.189349112426035</v>
      </c>
      <c r="F318" s="203" t="n">
        <v>0.189349112426035</v>
      </c>
      <c r="G318" s="203" t="n">
        <v>0.189349112426035</v>
      </c>
      <c r="H318" s="203" t="n">
        <f aca="false">G318+(I318-G318)/2</f>
        <v>0.238653613804641</v>
      </c>
      <c r="I318" s="203" t="n">
        <v>0.287958115183246</v>
      </c>
      <c r="J318" s="57"/>
    </row>
    <row r="319" customFormat="false" ht="14.25" hidden="false" customHeight="false" outlineLevel="0" collapsed="false">
      <c r="A319" s="312" t="s">
        <v>354</v>
      </c>
      <c r="B319" s="202" t="s">
        <v>28</v>
      </c>
      <c r="C319" s="203" t="n">
        <v>0.189349112426035</v>
      </c>
      <c r="D319" s="203" t="n">
        <v>0.189349112426035</v>
      </c>
      <c r="E319" s="203" t="n">
        <v>0.189349112426035</v>
      </c>
      <c r="F319" s="203" t="n">
        <v>0.189349112426035</v>
      </c>
      <c r="G319" s="203" t="n">
        <v>0.189349112426035</v>
      </c>
      <c r="H319" s="203" t="n">
        <f aca="false">G319+(I319-G319)/2</f>
        <v>0.238653613804641</v>
      </c>
      <c r="I319" s="203" t="n">
        <v>0.287958115183246</v>
      </c>
      <c r="J319" s="57"/>
    </row>
    <row r="320" customFormat="false" ht="14.25" hidden="false" customHeight="false" outlineLevel="0" collapsed="false">
      <c r="A320" s="312" t="s">
        <v>584</v>
      </c>
      <c r="B320" s="202" t="s">
        <v>28</v>
      </c>
      <c r="C320" s="203" t="n">
        <v>0.189349112426035</v>
      </c>
      <c r="D320" s="203" t="n">
        <v>0.189349112426035</v>
      </c>
      <c r="E320" s="203" t="n">
        <v>0.189349112426035</v>
      </c>
      <c r="F320" s="203" t="n">
        <v>0.189349112426035</v>
      </c>
      <c r="G320" s="203" t="n">
        <v>0.189349112426035</v>
      </c>
      <c r="H320" s="203" t="n">
        <f aca="false">G320+(I320-G320)/2</f>
        <v>0.238653613804641</v>
      </c>
      <c r="I320" s="203" t="n">
        <v>0.287958115183246</v>
      </c>
      <c r="J320" s="57"/>
    </row>
    <row r="321" customFormat="false" ht="14.25" hidden="false" customHeight="false" outlineLevel="0" collapsed="false">
      <c r="A321" s="312" t="s">
        <v>585</v>
      </c>
      <c r="B321" s="202" t="s">
        <v>28</v>
      </c>
      <c r="C321" s="203" t="n">
        <v>0.189349112426035</v>
      </c>
      <c r="D321" s="203" t="n">
        <v>0.189349112426035</v>
      </c>
      <c r="E321" s="203" t="n">
        <v>0.189349112426035</v>
      </c>
      <c r="F321" s="203" t="n">
        <v>0.189349112426035</v>
      </c>
      <c r="G321" s="203" t="n">
        <v>0.189349112426035</v>
      </c>
      <c r="H321" s="203" t="n">
        <f aca="false">G321+(I321-G321)/2</f>
        <v>0.238653613804641</v>
      </c>
      <c r="I321" s="203" t="n">
        <v>0.287958115183246</v>
      </c>
      <c r="J321" s="57"/>
    </row>
    <row r="322" customFormat="false" ht="14.25" hidden="false" customHeight="false" outlineLevel="0" collapsed="false">
      <c r="A322" s="312" t="s">
        <v>586</v>
      </c>
      <c r="B322" s="202" t="s">
        <v>28</v>
      </c>
      <c r="C322" s="203" t="n">
        <v>0.189349112426035</v>
      </c>
      <c r="D322" s="203" t="n">
        <v>0.189349112426035</v>
      </c>
      <c r="E322" s="203" t="n">
        <v>0.189349112426035</v>
      </c>
      <c r="F322" s="203" t="n">
        <v>0.189349112426035</v>
      </c>
      <c r="G322" s="203" t="n">
        <v>0.189349112426035</v>
      </c>
      <c r="H322" s="203" t="n">
        <f aca="false">G322+(I322-G322)/2</f>
        <v>0.238653613804641</v>
      </c>
      <c r="I322" s="203" t="n">
        <v>0.287958115183246</v>
      </c>
      <c r="J322" s="57"/>
    </row>
    <row r="323" customFormat="false" ht="14.25" hidden="false" customHeight="false" outlineLevel="0" collapsed="false">
      <c r="A323" s="312" t="s">
        <v>587</v>
      </c>
      <c r="B323" s="202" t="s">
        <v>28</v>
      </c>
      <c r="C323" s="203" t="n">
        <v>0.189349112426035</v>
      </c>
      <c r="D323" s="203" t="n">
        <v>0.189349112426035</v>
      </c>
      <c r="E323" s="203" t="n">
        <v>0.189349112426035</v>
      </c>
      <c r="F323" s="203" t="n">
        <v>0.189349112426035</v>
      </c>
      <c r="G323" s="203" t="n">
        <v>0.189349112426035</v>
      </c>
      <c r="H323" s="203" t="n">
        <f aca="false">G323+(I323-G323)/2</f>
        <v>0.238653613804641</v>
      </c>
      <c r="I323" s="203" t="n">
        <v>0.287958115183246</v>
      </c>
      <c r="J323" s="57"/>
    </row>
    <row r="324" customFormat="false" ht="14.25" hidden="false" customHeight="false" outlineLevel="0" collapsed="false">
      <c r="A324" s="312" t="s">
        <v>588</v>
      </c>
      <c r="B324" s="202" t="s">
        <v>28</v>
      </c>
      <c r="C324" s="203" t="n">
        <v>0.189349112426035</v>
      </c>
      <c r="D324" s="203" t="n">
        <v>0.189349112426035</v>
      </c>
      <c r="E324" s="203" t="n">
        <v>0.189349112426035</v>
      </c>
      <c r="F324" s="203" t="n">
        <v>0.189349112426035</v>
      </c>
      <c r="G324" s="203" t="n">
        <v>0.189349112426035</v>
      </c>
      <c r="H324" s="203" t="n">
        <f aca="false">G324+(I324-G324)/2</f>
        <v>0.238653613804641</v>
      </c>
      <c r="I324" s="203" t="n">
        <v>0.287958115183246</v>
      </c>
      <c r="J324" s="57"/>
    </row>
    <row r="325" customFormat="false" ht="14.25" hidden="false" customHeight="false" outlineLevel="0" collapsed="false">
      <c r="A325" s="312" t="s">
        <v>589</v>
      </c>
      <c r="B325" s="202" t="s">
        <v>28</v>
      </c>
      <c r="C325" s="203" t="n">
        <v>0.189349112426035</v>
      </c>
      <c r="D325" s="203" t="n">
        <v>0.189349112426035</v>
      </c>
      <c r="E325" s="203" t="n">
        <v>0.189349112426035</v>
      </c>
      <c r="F325" s="203" t="n">
        <v>0.189349112426035</v>
      </c>
      <c r="G325" s="203" t="n">
        <v>0.189349112426035</v>
      </c>
      <c r="H325" s="203" t="n">
        <f aca="false">G325+(I325-G325)/2</f>
        <v>0.238653613804641</v>
      </c>
      <c r="I325" s="203" t="n">
        <v>0.287958115183246</v>
      </c>
      <c r="J325" s="57"/>
    </row>
    <row r="326" customFormat="false" ht="14.25" hidden="false" customHeight="false" outlineLevel="0" collapsed="false">
      <c r="A326" s="312" t="s">
        <v>590</v>
      </c>
      <c r="B326" s="202" t="s">
        <v>28</v>
      </c>
      <c r="C326" s="203" t="n">
        <v>0.189349112426035</v>
      </c>
      <c r="D326" s="203" t="n">
        <v>0.189349112426035</v>
      </c>
      <c r="E326" s="203" t="n">
        <v>0.189349112426035</v>
      </c>
      <c r="F326" s="203" t="n">
        <v>0.189349112426035</v>
      </c>
      <c r="G326" s="203" t="n">
        <v>0.189349112426035</v>
      </c>
      <c r="H326" s="203" t="n">
        <f aca="false">G326+(I326-G326)/2</f>
        <v>0.238653613804641</v>
      </c>
      <c r="I326" s="203" t="n">
        <v>0.287958115183246</v>
      </c>
      <c r="J326" s="57"/>
    </row>
    <row r="327" customFormat="false" ht="14.25" hidden="false" customHeight="false" outlineLevel="0" collapsed="false">
      <c r="A327" s="312" t="s">
        <v>338</v>
      </c>
      <c r="B327" s="202" t="s">
        <v>28</v>
      </c>
      <c r="C327" s="203" t="n">
        <v>0.189349112426035</v>
      </c>
      <c r="D327" s="203" t="n">
        <v>0.189349112426035</v>
      </c>
      <c r="E327" s="203" t="n">
        <v>0.189349112426035</v>
      </c>
      <c r="F327" s="203" t="n">
        <v>0.189349112426035</v>
      </c>
      <c r="G327" s="203" t="n">
        <v>0.189349112426035</v>
      </c>
      <c r="H327" s="203" t="n">
        <f aca="false">G327+(I327-G327)/2</f>
        <v>0.238653613804641</v>
      </c>
      <c r="I327" s="203" t="n">
        <v>0.287958115183246</v>
      </c>
      <c r="J327" s="57"/>
    </row>
    <row r="328" customFormat="false" ht="14.25" hidden="false" customHeight="false" outlineLevel="0" collapsed="false">
      <c r="A328" s="312" t="s">
        <v>591</v>
      </c>
      <c r="B328" s="202" t="s">
        <v>28</v>
      </c>
      <c r="C328" s="203" t="n">
        <v>0.189349112426035</v>
      </c>
      <c r="D328" s="203" t="n">
        <v>0.189349112426035</v>
      </c>
      <c r="E328" s="203" t="n">
        <v>0.189349112426035</v>
      </c>
      <c r="F328" s="203" t="n">
        <v>0.189349112426035</v>
      </c>
      <c r="G328" s="203" t="n">
        <v>0.189349112426035</v>
      </c>
      <c r="H328" s="203" t="n">
        <f aca="false">G328+(I328-G328)/2</f>
        <v>0.238653613804641</v>
      </c>
      <c r="I328" s="203" t="n">
        <v>0.287958115183246</v>
      </c>
      <c r="J328" s="57"/>
    </row>
    <row r="329" customFormat="false" ht="14.25" hidden="false" customHeight="false" outlineLevel="0" collapsed="false">
      <c r="A329" s="312" t="s">
        <v>592</v>
      </c>
      <c r="B329" s="202" t="s">
        <v>28</v>
      </c>
      <c r="C329" s="203" t="n">
        <v>0.189349112426035</v>
      </c>
      <c r="D329" s="203" t="n">
        <v>0.189349112426035</v>
      </c>
      <c r="E329" s="203" t="n">
        <v>0.189349112426035</v>
      </c>
      <c r="F329" s="203" t="n">
        <v>0.189349112426035</v>
      </c>
      <c r="G329" s="203" t="n">
        <v>0.189349112426035</v>
      </c>
      <c r="H329" s="203" t="n">
        <f aca="false">G329+(I329-G329)/2</f>
        <v>0.238653613804641</v>
      </c>
      <c r="I329" s="203" t="n">
        <v>0.287958115183246</v>
      </c>
      <c r="J329" s="57"/>
    </row>
    <row r="330" customFormat="false" ht="14.25" hidden="false" customHeight="false" outlineLevel="0" collapsed="false">
      <c r="A330" s="312" t="s">
        <v>593</v>
      </c>
      <c r="B330" s="202" t="s">
        <v>28</v>
      </c>
      <c r="C330" s="203" t="n">
        <v>0.189349112426035</v>
      </c>
      <c r="D330" s="203" t="n">
        <v>0.189349112426035</v>
      </c>
      <c r="E330" s="203" t="n">
        <v>0.189349112426035</v>
      </c>
      <c r="F330" s="203" t="n">
        <v>0.189349112426035</v>
      </c>
      <c r="G330" s="203" t="n">
        <v>0.189349112426035</v>
      </c>
      <c r="H330" s="203" t="n">
        <f aca="false">G330+(I330-G330)/2</f>
        <v>0.169674556213018</v>
      </c>
      <c r="I330" s="203" t="n">
        <v>0.15</v>
      </c>
      <c r="J330" s="57"/>
    </row>
    <row r="331" customFormat="false" ht="14.25" hidden="false" customHeight="false" outlineLevel="0" collapsed="false">
      <c r="A331" s="312" t="s">
        <v>594</v>
      </c>
      <c r="B331" s="202" t="s">
        <v>28</v>
      </c>
      <c r="C331" s="203" t="n">
        <v>0.189349112426035</v>
      </c>
      <c r="D331" s="203" t="n">
        <v>0.189349112426035</v>
      </c>
      <c r="E331" s="203" t="n">
        <v>0.189349112426035</v>
      </c>
      <c r="F331" s="203" t="n">
        <v>0.189349112426035</v>
      </c>
      <c r="G331" s="203" t="n">
        <v>0.189349112426035</v>
      </c>
      <c r="H331" s="203" t="n">
        <f aca="false">G331+(I331-G331)/2</f>
        <v>0.169674556213018</v>
      </c>
      <c r="I331" s="203" t="n">
        <v>0.15</v>
      </c>
      <c r="J331" s="57"/>
    </row>
    <row r="332" customFormat="false" ht="14.25" hidden="false" customHeight="false" outlineLevel="0" collapsed="false">
      <c r="A332" s="312" t="s">
        <v>595</v>
      </c>
      <c r="B332" s="202" t="s">
        <v>28</v>
      </c>
      <c r="C332" s="203" t="n">
        <v>0.189349112426035</v>
      </c>
      <c r="D332" s="203" t="n">
        <v>0.189349112426035</v>
      </c>
      <c r="E332" s="203" t="n">
        <v>0.189349112426035</v>
      </c>
      <c r="F332" s="203" t="n">
        <v>0.189349112426035</v>
      </c>
      <c r="G332" s="203" t="n">
        <v>0.189349112426035</v>
      </c>
      <c r="H332" s="203" t="n">
        <f aca="false">G332+(I332-G332)/2</f>
        <v>0.169674556213018</v>
      </c>
      <c r="I332" s="203" t="n">
        <v>0.15</v>
      </c>
      <c r="J332" s="57"/>
    </row>
    <row r="333" customFormat="false" ht="14.25" hidden="false" customHeight="false" outlineLevel="0" collapsed="false">
      <c r="A333" s="312" t="s">
        <v>596</v>
      </c>
      <c r="B333" s="202" t="s">
        <v>28</v>
      </c>
      <c r="C333" s="203" t="n">
        <v>0.189349112426035</v>
      </c>
      <c r="D333" s="203" t="n">
        <v>0.189349112426035</v>
      </c>
      <c r="E333" s="203" t="n">
        <v>0.189349112426035</v>
      </c>
      <c r="F333" s="203" t="n">
        <v>0.189349112426035</v>
      </c>
      <c r="G333" s="203" t="n">
        <v>0.189349112426035</v>
      </c>
      <c r="H333" s="203" t="n">
        <f aca="false">G333+(I333-G333)/2</f>
        <v>0.169674556213018</v>
      </c>
      <c r="I333" s="203" t="n">
        <v>0.15</v>
      </c>
      <c r="J333" s="57"/>
    </row>
    <row r="334" customFormat="false" ht="14.25" hidden="false" customHeight="false" outlineLevel="0" collapsed="false">
      <c r="A334" s="312" t="s">
        <v>597</v>
      </c>
      <c r="B334" s="202" t="s">
        <v>28</v>
      </c>
      <c r="C334" s="203" t="n">
        <v>0.189349112426035</v>
      </c>
      <c r="D334" s="203" t="n">
        <v>0.189349112426035</v>
      </c>
      <c r="E334" s="203" t="n">
        <v>0.189349112426035</v>
      </c>
      <c r="F334" s="203" t="n">
        <v>0.189349112426035</v>
      </c>
      <c r="G334" s="203" t="n">
        <v>0.189349112426035</v>
      </c>
      <c r="H334" s="203" t="n">
        <f aca="false">G334+(I334-G334)/2</f>
        <v>0.169674556213018</v>
      </c>
      <c r="I334" s="203" t="n">
        <v>0.15</v>
      </c>
      <c r="J334" s="57"/>
    </row>
    <row r="335" customFormat="false" ht="14.25" hidden="false" customHeight="false" outlineLevel="0" collapsed="false">
      <c r="A335" s="312" t="s">
        <v>598</v>
      </c>
      <c r="B335" s="202" t="s">
        <v>28</v>
      </c>
      <c r="C335" s="203" t="n">
        <v>0.189349112426035</v>
      </c>
      <c r="D335" s="203" t="n">
        <v>0.189349112426035</v>
      </c>
      <c r="E335" s="203" t="n">
        <v>0.189349112426035</v>
      </c>
      <c r="F335" s="203" t="n">
        <v>0.189349112426035</v>
      </c>
      <c r="G335" s="203" t="n">
        <v>0.189349112426035</v>
      </c>
      <c r="H335" s="203" t="n">
        <f aca="false">G335+(I335-G335)/2</f>
        <v>0.169674556213018</v>
      </c>
      <c r="I335" s="203" t="n">
        <v>0.15</v>
      </c>
      <c r="J335" s="57"/>
    </row>
    <row r="336" customFormat="false" ht="14.25" hidden="false" customHeight="false" outlineLevel="0" collapsed="false">
      <c r="A336" s="312" t="s">
        <v>599</v>
      </c>
      <c r="B336" s="202" t="s">
        <v>28</v>
      </c>
      <c r="C336" s="203" t="n">
        <v>0.189349112426035</v>
      </c>
      <c r="D336" s="203" t="n">
        <v>0.189349112426035</v>
      </c>
      <c r="E336" s="203" t="n">
        <v>0.189349112426035</v>
      </c>
      <c r="F336" s="203" t="n">
        <v>0.189349112426035</v>
      </c>
      <c r="G336" s="203" t="n">
        <v>0.189349112426035</v>
      </c>
      <c r="H336" s="203" t="n">
        <f aca="false">G336+(I336-G336)/2</f>
        <v>0.169674556213018</v>
      </c>
      <c r="I336" s="203" t="n">
        <v>0.15</v>
      </c>
      <c r="J336" s="57"/>
    </row>
    <row r="337" customFormat="false" ht="14.25" hidden="false" customHeight="false" outlineLevel="0" collapsed="false">
      <c r="A337" s="312" t="s">
        <v>351</v>
      </c>
      <c r="B337" s="202" t="s">
        <v>28</v>
      </c>
      <c r="C337" s="203" t="n">
        <v>0.189349112426035</v>
      </c>
      <c r="D337" s="203" t="n">
        <v>0.189349112426035</v>
      </c>
      <c r="E337" s="203" t="n">
        <v>0.189349112426035</v>
      </c>
      <c r="F337" s="203" t="n">
        <v>0.189349112426035</v>
      </c>
      <c r="G337" s="203" t="n">
        <v>0.189349112426035</v>
      </c>
      <c r="H337" s="203" t="n">
        <f aca="false">G337+(I337-G337)/2</f>
        <v>0.169674556213018</v>
      </c>
      <c r="I337" s="203" t="n">
        <v>0.15</v>
      </c>
      <c r="J337" s="57"/>
    </row>
    <row r="338" customFormat="false" ht="14.25" hidden="false" customHeight="false" outlineLevel="0" collapsed="false">
      <c r="A338" s="312" t="s">
        <v>361</v>
      </c>
      <c r="B338" s="202" t="s">
        <v>28</v>
      </c>
      <c r="C338" s="203" t="n">
        <v>0.189349112426035</v>
      </c>
      <c r="D338" s="203" t="n">
        <v>0.189349112426035</v>
      </c>
      <c r="E338" s="203" t="n">
        <v>0.189349112426035</v>
      </c>
      <c r="F338" s="203" t="n">
        <v>0.189349112426035</v>
      </c>
      <c r="G338" s="203" t="n">
        <v>0.189349112426035</v>
      </c>
      <c r="H338" s="203" t="n">
        <f aca="false">G338+(I338-G338)/2</f>
        <v>0.169674556213018</v>
      </c>
      <c r="I338" s="203" t="n">
        <v>0.15</v>
      </c>
      <c r="J338" s="57"/>
    </row>
    <row r="339" customFormat="false" ht="14.25" hidden="false" customHeight="false" outlineLevel="0" collapsed="false">
      <c r="A339" s="312" t="s">
        <v>600</v>
      </c>
      <c r="B339" s="202" t="s">
        <v>28</v>
      </c>
      <c r="C339" s="203" t="n">
        <v>0.189349112426035</v>
      </c>
      <c r="D339" s="203" t="n">
        <v>0.189349112426035</v>
      </c>
      <c r="E339" s="203" t="n">
        <v>0.189349112426035</v>
      </c>
      <c r="F339" s="203" t="n">
        <v>0.189349112426035</v>
      </c>
      <c r="G339" s="203" t="n">
        <v>0.189349112426035</v>
      </c>
      <c r="H339" s="203" t="n">
        <f aca="false">G339+(I339-G339)/2</f>
        <v>0.169674556213018</v>
      </c>
      <c r="I339" s="203" t="n">
        <v>0.15</v>
      </c>
      <c r="J339" s="57"/>
    </row>
    <row r="340" customFormat="false" ht="18" hidden="false" customHeight="true" outlineLevel="0" collapsed="false">
      <c r="A340" s="200" t="s">
        <v>625</v>
      </c>
      <c r="B340" s="200"/>
      <c r="C340" s="200"/>
      <c r="D340" s="200"/>
      <c r="E340" s="200"/>
      <c r="F340" s="200"/>
      <c r="G340" s="200"/>
      <c r="H340" s="200"/>
      <c r="I340" s="200"/>
    </row>
    <row r="341" customFormat="false" ht="14.25" hidden="false" customHeight="false" outlineLevel="0" collapsed="false">
      <c r="A341" s="312" t="s">
        <v>626</v>
      </c>
      <c r="B341" s="219" t="s">
        <v>499</v>
      </c>
      <c r="C341" s="203" t="n">
        <v>0</v>
      </c>
      <c r="D341" s="203" t="n">
        <v>0</v>
      </c>
      <c r="E341" s="203" t="n">
        <v>0.0125068665525114</v>
      </c>
      <c r="F341" s="203" t="n">
        <v>0.0135108581335616</v>
      </c>
      <c r="G341" s="203" t="n">
        <v>0.0145148497146119</v>
      </c>
      <c r="H341" s="203" t="n">
        <v>0.0155188412956621</v>
      </c>
      <c r="I341" s="203" t="n">
        <v>0.0165228328767123</v>
      </c>
    </row>
    <row r="342" customFormat="false" ht="14.25" hidden="false" customHeight="false" outlineLevel="0" collapsed="false">
      <c r="H342" s="54"/>
      <c r="J342" s="57"/>
    </row>
    <row r="343" customFormat="false" ht="17.35" hidden="false" customHeight="false" outlineLevel="0" collapsed="false">
      <c r="A343" s="316" t="s">
        <v>627</v>
      </c>
      <c r="B343" s="317"/>
      <c r="C343" s="318"/>
    </row>
    <row r="344" customFormat="false" ht="14.25" hidden="false" customHeight="false" outlineLevel="0" collapsed="false">
      <c r="A344" s="312" t="s">
        <v>434</v>
      </c>
      <c r="B344" s="202" t="s">
        <v>36</v>
      </c>
      <c r="C344" s="204" t="n">
        <v>2050</v>
      </c>
    </row>
    <row r="345" customFormat="false" ht="14.25" hidden="false" customHeight="false" outlineLevel="0" collapsed="false">
      <c r="A345" s="319" t="s">
        <v>628</v>
      </c>
      <c r="B345" s="205" t="s">
        <v>327</v>
      </c>
      <c r="C345" s="320" t="n">
        <v>0.05</v>
      </c>
    </row>
    <row r="347" customFormat="false" ht="17.35" hidden="false" customHeight="false" outlineLevel="0" collapsed="false">
      <c r="A347" s="316" t="s">
        <v>629</v>
      </c>
      <c r="B347" s="316"/>
      <c r="C347" s="316"/>
      <c r="D347" s="316"/>
      <c r="E347" s="316"/>
      <c r="F347" s="316"/>
      <c r="G347" s="316"/>
      <c r="H347" s="316"/>
      <c r="I347" s="316"/>
    </row>
    <row r="348" customFormat="false" ht="14.25" hidden="false" customHeight="false" outlineLevel="0" collapsed="false">
      <c r="A348" s="312" t="s">
        <v>630</v>
      </c>
      <c r="B348" s="202" t="s">
        <v>36</v>
      </c>
      <c r="C348" s="203" t="n">
        <v>2020</v>
      </c>
      <c r="D348" s="203" t="n">
        <f aca="false">C348+5</f>
        <v>2025</v>
      </c>
      <c r="E348" s="203" t="n">
        <f aca="false">D348+5</f>
        <v>2030</v>
      </c>
      <c r="F348" s="203" t="n">
        <f aca="false">E348+5</f>
        <v>2035</v>
      </c>
      <c r="G348" s="203" t="n">
        <f aca="false">F348+5</f>
        <v>2040</v>
      </c>
      <c r="H348" s="203" t="n">
        <f aca="false">G348+5</f>
        <v>2045</v>
      </c>
      <c r="I348" s="203" t="n">
        <f aca="false">H348+5</f>
        <v>2050</v>
      </c>
    </row>
    <row r="349" customFormat="false" ht="14.25" hidden="false" customHeight="false" outlineLevel="0" collapsed="false">
      <c r="A349" s="312" t="s">
        <v>631</v>
      </c>
      <c r="B349" s="202" t="s">
        <v>632</v>
      </c>
      <c r="C349" s="203" t="n">
        <v>0</v>
      </c>
      <c r="D349" s="203" t="n">
        <v>0</v>
      </c>
      <c r="E349" s="203" t="n">
        <v>0</v>
      </c>
      <c r="F349" s="203" t="n">
        <v>0</v>
      </c>
      <c r="G349" s="203" t="n">
        <v>0</v>
      </c>
      <c r="H349" s="203" t="n">
        <v>0</v>
      </c>
      <c r="I349" s="203" t="n">
        <v>0</v>
      </c>
      <c r="M349" s="198"/>
      <c r="Q349" s="198"/>
      <c r="U349" s="198"/>
    </row>
    <row r="351" customFormat="false" ht="17.35" hidden="false" customHeight="false" outlineLevel="0" collapsed="false">
      <c r="A351" s="316" t="s">
        <v>633</v>
      </c>
      <c r="B351" s="316"/>
      <c r="C351" s="316"/>
      <c r="D351" s="316"/>
      <c r="E351" s="316"/>
      <c r="F351" s="316"/>
      <c r="G351" s="316"/>
      <c r="H351" s="316"/>
      <c r="I351" s="316"/>
      <c r="J351" s="316"/>
      <c r="K351" s="316"/>
      <c r="L351" s="316"/>
      <c r="M351" s="316"/>
      <c r="N351" s="316"/>
      <c r="O351" s="316"/>
      <c r="P351" s="316"/>
      <c r="Q351" s="316"/>
      <c r="R351" s="316"/>
      <c r="S351" s="316"/>
      <c r="T351" s="316"/>
      <c r="U351" s="316"/>
      <c r="V351" s="316"/>
      <c r="W351" s="316"/>
      <c r="X351" s="316"/>
    </row>
    <row r="352" customFormat="false" ht="14.25" hidden="false" customHeight="false" outlineLevel="0" collapsed="false">
      <c r="A352" s="312" t="s">
        <v>630</v>
      </c>
      <c r="B352" s="202" t="s">
        <v>36</v>
      </c>
      <c r="C352" s="203" t="n">
        <v>1980</v>
      </c>
      <c r="D352" s="203" t="n">
        <v>2020</v>
      </c>
      <c r="E352" s="203" t="n">
        <f aca="false">D352+5</f>
        <v>2025</v>
      </c>
      <c r="F352" s="203" t="n">
        <f aca="false">E352+5</f>
        <v>2030</v>
      </c>
      <c r="G352" s="203" t="n">
        <f aca="false">F352+5</f>
        <v>2035</v>
      </c>
      <c r="H352" s="203" t="n">
        <f aca="false">G352+5</f>
        <v>2040</v>
      </c>
      <c r="I352" s="203" t="n">
        <f aca="false">H352+5</f>
        <v>2045</v>
      </c>
      <c r="J352" s="203" t="n">
        <f aca="false">I352+5</f>
        <v>2050</v>
      </c>
      <c r="K352" s="203" t="n">
        <f aca="false">J352+5</f>
        <v>2055</v>
      </c>
      <c r="L352" s="203" t="n">
        <f aca="false">K352+5</f>
        <v>2060</v>
      </c>
      <c r="M352" s="203" t="n">
        <f aca="false">L352+5</f>
        <v>2065</v>
      </c>
      <c r="N352" s="203" t="n">
        <f aca="false">M352+5</f>
        <v>2070</v>
      </c>
      <c r="O352" s="203" t="n">
        <f aca="false">N352+5</f>
        <v>2075</v>
      </c>
      <c r="P352" s="203" t="n">
        <f aca="false">O352+5</f>
        <v>2080</v>
      </c>
      <c r="Q352" s="203" t="n">
        <f aca="false">P352+5</f>
        <v>2085</v>
      </c>
      <c r="R352" s="203" t="n">
        <f aca="false">Q352+5</f>
        <v>2090</v>
      </c>
      <c r="S352" s="203" t="n">
        <f aca="false">R352+5</f>
        <v>2095</v>
      </c>
      <c r="T352" s="203" t="n">
        <f aca="false">S352+5</f>
        <v>2100</v>
      </c>
      <c r="U352" s="203" t="n">
        <f aca="false">T352+5</f>
        <v>2105</v>
      </c>
      <c r="V352" s="203" t="n">
        <f aca="false">U352+5</f>
        <v>2110</v>
      </c>
      <c r="W352" s="203" t="n">
        <f aca="false">V352+5</f>
        <v>2115</v>
      </c>
      <c r="X352" s="203" t="n">
        <f aca="false">W352+5</f>
        <v>2120</v>
      </c>
    </row>
    <row r="353" customFormat="false" ht="14.25" hidden="false" customHeight="false" outlineLevel="0" collapsed="false">
      <c r="A353" s="312" t="s">
        <v>633</v>
      </c>
      <c r="B353" s="202" t="s">
        <v>634</v>
      </c>
      <c r="C353" s="203"/>
      <c r="D353" s="203" t="n">
        <v>345</v>
      </c>
      <c r="E353" s="203"/>
      <c r="F353" s="203" t="n">
        <v>345</v>
      </c>
      <c r="G353" s="203"/>
      <c r="H353" s="203" t="n">
        <v>298</v>
      </c>
      <c r="I353" s="203"/>
      <c r="J353" s="203" t="n">
        <v>333</v>
      </c>
      <c r="K353" s="203"/>
      <c r="L353" s="203"/>
      <c r="M353" s="203"/>
      <c r="N353" s="203"/>
      <c r="O353" s="203"/>
      <c r="P353" s="203"/>
      <c r="Q353" s="203"/>
      <c r="R353" s="203"/>
      <c r="S353" s="203"/>
      <c r="T353" s="203"/>
      <c r="U353" s="203"/>
      <c r="V353" s="203"/>
      <c r="W353" s="203"/>
      <c r="X353" s="203"/>
    </row>
    <row r="354" customFormat="false" ht="14.25" hidden="false" customHeight="false" outlineLevel="0" collapsed="false">
      <c r="H354" s="54"/>
      <c r="J354" s="57"/>
    </row>
    <row r="355" customFormat="false" ht="14.25" hidden="false" customHeight="false" outlineLevel="0" collapsed="false">
      <c r="H355" s="54"/>
      <c r="J355" s="57"/>
    </row>
    <row r="356" customFormat="false" ht="14.25" hidden="false" customHeight="false" outlineLevel="0" collapsed="false">
      <c r="H356" s="54"/>
      <c r="J356" s="57"/>
    </row>
    <row r="357" customFormat="false" ht="14.25" hidden="false" customHeight="false" outlineLevel="0" collapsed="false">
      <c r="H357" s="54"/>
      <c r="J357" s="57"/>
    </row>
    <row r="358" customFormat="false" ht="14.25" hidden="false" customHeight="false" outlineLevel="0" collapsed="false">
      <c r="H358" s="54"/>
      <c r="J358" s="57"/>
    </row>
    <row r="359" customFormat="false" ht="24.45" hidden="false" customHeight="false" outlineLevel="0" collapsed="false">
      <c r="A359" s="199" t="s">
        <v>635</v>
      </c>
    </row>
    <row r="362" customFormat="false" ht="14.25" hidden="false" customHeight="false" outlineLevel="0" collapsed="false">
      <c r="H362" s="321"/>
    </row>
    <row r="363" customFormat="false" ht="14.25" hidden="false" customHeight="false" outlineLevel="0" collapsed="false">
      <c r="H363" s="321"/>
    </row>
    <row r="364" customFormat="false" ht="17.35" hidden="false" customHeight="false" outlineLevel="0" collapsed="false">
      <c r="A364" s="200" t="s">
        <v>636</v>
      </c>
      <c r="B364" s="200"/>
      <c r="C364" s="200"/>
      <c r="D364" s="200"/>
      <c r="E364" s="200"/>
      <c r="F364" s="200"/>
      <c r="G364" s="200"/>
      <c r="H364" s="200"/>
    </row>
    <row r="365" customFormat="false" ht="14.25" hidden="false" customHeight="false" outlineLevel="0" collapsed="false">
      <c r="A365" s="322" t="s">
        <v>36</v>
      </c>
      <c r="B365" s="203" t="n">
        <v>2020</v>
      </c>
      <c r="C365" s="203" t="n">
        <v>2025</v>
      </c>
      <c r="D365" s="203" t="n">
        <v>2030</v>
      </c>
      <c r="E365" s="203" t="n">
        <v>2035</v>
      </c>
      <c r="F365" s="203" t="n">
        <v>2040</v>
      </c>
      <c r="G365" s="203" t="n">
        <v>2045</v>
      </c>
      <c r="H365" s="204" t="n">
        <v>2050</v>
      </c>
    </row>
    <row r="366" customFormat="false" ht="14.25" hidden="false" customHeight="false" outlineLevel="0" collapsed="false">
      <c r="A366" s="305" t="s">
        <v>472</v>
      </c>
      <c r="B366" s="305"/>
      <c r="C366" s="305"/>
      <c r="D366" s="305"/>
      <c r="E366" s="305"/>
      <c r="F366" s="305"/>
      <c r="G366" s="305"/>
      <c r="H366" s="305"/>
    </row>
    <row r="367" customFormat="false" ht="14.25" hidden="false" customHeight="false" outlineLevel="0" collapsed="false">
      <c r="A367" s="323" t="s">
        <v>637</v>
      </c>
      <c r="B367" s="203" t="n">
        <v>18.8</v>
      </c>
      <c r="C367" s="203" t="n">
        <v>16.1316315</v>
      </c>
      <c r="D367" s="203" t="n">
        <v>13.486491</v>
      </c>
      <c r="E367" s="203" t="n">
        <v>10.8413505</v>
      </c>
      <c r="F367" s="203" t="n">
        <v>8.19621</v>
      </c>
      <c r="G367" s="203" t="n">
        <v>5.5510695</v>
      </c>
      <c r="H367" s="204" t="n">
        <v>2.9</v>
      </c>
    </row>
    <row r="368" customFormat="false" ht="14.25" hidden="false" customHeight="false" outlineLevel="0" collapsed="false">
      <c r="A368" s="305" t="s">
        <v>479</v>
      </c>
      <c r="B368" s="305"/>
      <c r="C368" s="305"/>
      <c r="D368" s="305"/>
      <c r="E368" s="305"/>
      <c r="F368" s="305"/>
      <c r="G368" s="305"/>
      <c r="H368" s="305"/>
      <c r="I368" s="57"/>
    </row>
    <row r="369" customFormat="false" ht="14.25" hidden="false" customHeight="false" outlineLevel="0" collapsed="false">
      <c r="A369" s="323" t="s">
        <v>637</v>
      </c>
      <c r="B369" s="203" t="n">
        <v>13.3</v>
      </c>
      <c r="C369" s="203" t="n">
        <v>11.39042</v>
      </c>
      <c r="D369" s="203" t="n">
        <v>9.52904</v>
      </c>
      <c r="E369" s="203" t="n">
        <v>7.66766</v>
      </c>
      <c r="F369" s="203" t="n">
        <v>5.80628</v>
      </c>
      <c r="G369" s="203" t="n">
        <v>3.9449</v>
      </c>
      <c r="H369" s="204" t="n">
        <v>2.1</v>
      </c>
    </row>
    <row r="370" customFormat="false" ht="14.25" hidden="false" customHeight="false" outlineLevel="0" collapsed="false">
      <c r="A370" s="305" t="s">
        <v>485</v>
      </c>
      <c r="B370" s="305"/>
      <c r="C370" s="305"/>
      <c r="D370" s="305"/>
      <c r="E370" s="305"/>
      <c r="F370" s="305"/>
      <c r="G370" s="305"/>
      <c r="H370" s="305"/>
      <c r="I370" s="57"/>
    </row>
    <row r="371" customFormat="false" ht="14.25" hidden="false" customHeight="false" outlineLevel="0" collapsed="false">
      <c r="A371" s="324" t="s">
        <v>637</v>
      </c>
      <c r="B371" s="325" t="n">
        <v>2.4</v>
      </c>
      <c r="C371" s="325" t="n">
        <v>2.083</v>
      </c>
      <c r="D371" s="325" t="n">
        <v>1.769</v>
      </c>
      <c r="E371" s="325" t="n">
        <v>1.455</v>
      </c>
      <c r="F371" s="325" t="n">
        <v>1.141</v>
      </c>
      <c r="G371" s="325" t="n">
        <v>0.827</v>
      </c>
      <c r="H371" s="242" t="n">
        <v>0.5</v>
      </c>
    </row>
    <row r="373" customFormat="false" ht="17.35" hidden="false" customHeight="false" outlineLevel="0" collapsed="false">
      <c r="A373" s="200" t="s">
        <v>638</v>
      </c>
      <c r="B373" s="200"/>
      <c r="C373" s="200"/>
      <c r="D373" s="200"/>
      <c r="E373" s="200"/>
      <c r="F373" s="200"/>
      <c r="G373" s="200"/>
      <c r="H373" s="200"/>
      <c r="I373" s="200"/>
    </row>
    <row r="374" customFormat="false" ht="14.25" hidden="false" customHeight="false" outlineLevel="0" collapsed="false">
      <c r="A374" s="326"/>
      <c r="B374" s="202" t="s">
        <v>36</v>
      </c>
      <c r="C374" s="203" t="n">
        <v>2020</v>
      </c>
      <c r="D374" s="203" t="n">
        <v>2025</v>
      </c>
      <c r="E374" s="203" t="n">
        <v>2030</v>
      </c>
      <c r="F374" s="203" t="n">
        <v>2035</v>
      </c>
      <c r="G374" s="203" t="n">
        <v>2040</v>
      </c>
      <c r="H374" s="203" t="n">
        <v>2045</v>
      </c>
      <c r="I374" s="204" t="n">
        <v>2050</v>
      </c>
    </row>
    <row r="375" customFormat="false" ht="14.25" hidden="false" customHeight="false" outlineLevel="0" collapsed="false">
      <c r="A375" s="312" t="s">
        <v>639</v>
      </c>
      <c r="B375" s="202" t="s">
        <v>146</v>
      </c>
      <c r="C375" s="204" t="n">
        <v>-0.01</v>
      </c>
      <c r="D375" s="204" t="n">
        <v>-0.013</v>
      </c>
      <c r="E375" s="204" t="n">
        <v>-0.016</v>
      </c>
      <c r="F375" s="204" t="n">
        <v>-0.019</v>
      </c>
      <c r="G375" s="204" t="n">
        <v>-0.023</v>
      </c>
      <c r="H375" s="204" t="n">
        <v>-0.026</v>
      </c>
      <c r="I375" s="204" t="n">
        <v>-0.029</v>
      </c>
    </row>
    <row r="376" customFormat="false" ht="14.25" hidden="false" customHeight="false" outlineLevel="0" collapsed="false">
      <c r="A376" s="319" t="s">
        <v>640</v>
      </c>
      <c r="B376" s="205" t="s">
        <v>327</v>
      </c>
      <c r="C376" s="304" t="n">
        <v>0</v>
      </c>
      <c r="D376" s="304" t="n">
        <v>0</v>
      </c>
      <c r="E376" s="304" t="n">
        <v>0</v>
      </c>
      <c r="F376" s="304" t="n">
        <v>0</v>
      </c>
      <c r="G376" s="304" t="n">
        <v>0</v>
      </c>
      <c r="H376" s="304" t="n">
        <v>0</v>
      </c>
      <c r="I376" s="304" t="n">
        <v>0</v>
      </c>
    </row>
    <row r="380" customFormat="false" ht="24.45" hidden="false" customHeight="false" outlineLevel="0" collapsed="false">
      <c r="A380" s="199" t="s">
        <v>641</v>
      </c>
      <c r="H380" s="54"/>
      <c r="J380" s="57"/>
    </row>
    <row r="381" customFormat="false" ht="17.35" hidden="false" customHeight="false" outlineLevel="0" collapsed="false">
      <c r="A381" s="200" t="s">
        <v>642</v>
      </c>
      <c r="B381" s="200"/>
      <c r="C381" s="200"/>
      <c r="H381" s="54"/>
      <c r="J381" s="57"/>
    </row>
    <row r="382" customFormat="false" ht="14.25" hidden="false" customHeight="false" outlineLevel="0" collapsed="false">
      <c r="A382" s="312" t="s">
        <v>416</v>
      </c>
      <c r="B382" s="202" t="s">
        <v>28</v>
      </c>
      <c r="C382" s="204" t="n">
        <v>0</v>
      </c>
    </row>
    <row r="383" customFormat="false" ht="14.25" hidden="false" customHeight="false" outlineLevel="0" collapsed="false">
      <c r="A383" s="312" t="s">
        <v>418</v>
      </c>
      <c r="B383" s="202" t="s">
        <v>125</v>
      </c>
      <c r="C383" s="204" t="n">
        <v>200</v>
      </c>
    </row>
    <row r="384" customFormat="false" ht="14.25" hidden="false" customHeight="false" outlineLevel="0" collapsed="false">
      <c r="A384" s="312" t="s">
        <v>420</v>
      </c>
      <c r="B384" s="202" t="s">
        <v>643</v>
      </c>
      <c r="C384" s="327" t="n">
        <v>0.0074</v>
      </c>
    </row>
    <row r="385" customFormat="false" ht="14.25" hidden="false" customHeight="false" outlineLevel="0" collapsed="false">
      <c r="A385" s="312" t="s">
        <v>644</v>
      </c>
      <c r="B385" s="202" t="s">
        <v>36</v>
      </c>
      <c r="C385" s="204" t="n">
        <v>2020</v>
      </c>
    </row>
    <row r="386" customFormat="false" ht="14.25" hidden="false" customHeight="false" outlineLevel="0" collapsed="false">
      <c r="A386" s="312" t="s">
        <v>424</v>
      </c>
      <c r="B386" s="202" t="s">
        <v>645</v>
      </c>
      <c r="C386" s="204" t="n">
        <v>185</v>
      </c>
    </row>
    <row r="387" customFormat="false" ht="14.25" hidden="false" customHeight="false" outlineLevel="0" collapsed="false">
      <c r="A387" s="312" t="s">
        <v>427</v>
      </c>
      <c r="B387" s="202" t="s">
        <v>36</v>
      </c>
      <c r="C387" s="204" t="n">
        <v>2020</v>
      </c>
    </row>
    <row r="388" customFormat="false" ht="14.25" hidden="false" customHeight="false" outlineLevel="0" collapsed="false">
      <c r="A388" s="319" t="s">
        <v>428</v>
      </c>
      <c r="B388" s="205" t="s">
        <v>36</v>
      </c>
      <c r="C388" s="242" t="n">
        <v>2050</v>
      </c>
    </row>
    <row r="390" customFormat="false" ht="14.25" hidden="false" customHeight="true" outlineLevel="0" collapsed="false">
      <c r="A390" s="328" t="s">
        <v>70</v>
      </c>
      <c r="B390" s="328"/>
      <c r="C390" s="328"/>
      <c r="F390" s="321"/>
      <c r="G390" s="321"/>
      <c r="H390" s="321"/>
      <c r="I390" s="321"/>
      <c r="J390" s="321"/>
      <c r="K390" s="321"/>
      <c r="L390" s="321"/>
      <c r="M390" s="321"/>
      <c r="N390" s="321"/>
      <c r="O390" s="321"/>
      <c r="P390" s="321"/>
      <c r="Q390" s="321"/>
      <c r="R390" s="321"/>
      <c r="S390" s="321"/>
      <c r="T390" s="321"/>
      <c r="U390" s="321"/>
      <c r="V390" s="321"/>
      <c r="W390" s="321"/>
      <c r="X390" s="321"/>
      <c r="Y390" s="321"/>
      <c r="Z390" s="321"/>
      <c r="AA390" s="321"/>
      <c r="AB390" s="321"/>
      <c r="AC390" s="321"/>
      <c r="AD390" s="321"/>
      <c r="AE390" s="321"/>
      <c r="AF390" s="321"/>
      <c r="AG390" s="321"/>
      <c r="AH390" s="321"/>
      <c r="AI390" s="321"/>
      <c r="AJ390" s="321"/>
      <c r="AK390" s="321"/>
      <c r="AL390" s="321"/>
    </row>
    <row r="391" customFormat="false" ht="14.25" hidden="false" customHeight="false" outlineLevel="0" collapsed="false">
      <c r="A391" s="329" t="s">
        <v>75</v>
      </c>
      <c r="B391" s="259" t="s">
        <v>76</v>
      </c>
      <c r="C391" s="330" t="n">
        <v>135</v>
      </c>
      <c r="F391" s="321"/>
      <c r="G391" s="321"/>
      <c r="H391" s="321"/>
      <c r="I391" s="321"/>
      <c r="J391" s="321"/>
      <c r="K391" s="321"/>
      <c r="L391" s="321"/>
      <c r="M391" s="321"/>
      <c r="N391" s="321"/>
      <c r="O391" s="321"/>
      <c r="P391" s="321"/>
      <c r="Q391" s="321"/>
      <c r="R391" s="321"/>
      <c r="S391" s="321"/>
      <c r="T391" s="321"/>
      <c r="U391" s="321"/>
      <c r="V391" s="321"/>
      <c r="W391" s="321"/>
      <c r="X391" s="321"/>
      <c r="Y391" s="321"/>
      <c r="Z391" s="321"/>
      <c r="AA391" s="321"/>
      <c r="AB391" s="321"/>
      <c r="AC391" s="321"/>
      <c r="AD391" s="321"/>
      <c r="AE391" s="321"/>
      <c r="AF391" s="321"/>
      <c r="AG391" s="321"/>
      <c r="AH391" s="321"/>
      <c r="AI391" s="321"/>
      <c r="AJ391" s="321"/>
      <c r="AK391" s="321"/>
      <c r="AL391" s="321"/>
    </row>
    <row r="392" customFormat="false" ht="14.25" hidden="false" customHeight="false" outlineLevel="0" collapsed="false">
      <c r="A392" s="312" t="s">
        <v>74</v>
      </c>
      <c r="B392" s="202" t="s">
        <v>28</v>
      </c>
      <c r="C392" s="204" t="n">
        <v>0.2</v>
      </c>
      <c r="F392" s="321"/>
      <c r="G392" s="321"/>
      <c r="H392" s="321"/>
      <c r="I392" s="321"/>
      <c r="J392" s="321"/>
      <c r="K392" s="321"/>
      <c r="L392" s="321"/>
      <c r="M392" s="321"/>
      <c r="N392" s="321"/>
      <c r="O392" s="321"/>
      <c r="P392" s="321"/>
      <c r="Q392" s="321"/>
      <c r="R392" s="321"/>
      <c r="S392" s="321"/>
      <c r="T392" s="321"/>
      <c r="U392" s="321"/>
      <c r="V392" s="321"/>
      <c r="W392" s="321"/>
      <c r="X392" s="321"/>
      <c r="Y392" s="321"/>
      <c r="Z392" s="321"/>
      <c r="AA392" s="321"/>
      <c r="AB392" s="321"/>
      <c r="AC392" s="321"/>
      <c r="AD392" s="321"/>
      <c r="AE392" s="321"/>
      <c r="AF392" s="321"/>
      <c r="AG392" s="321"/>
      <c r="AH392" s="321"/>
      <c r="AI392" s="321"/>
      <c r="AJ392" s="321"/>
      <c r="AK392" s="321"/>
      <c r="AL392" s="321"/>
    </row>
    <row r="393" customFormat="false" ht="14.25" hidden="false" customHeight="false" outlineLevel="0" collapsed="false">
      <c r="A393" s="312" t="s">
        <v>80</v>
      </c>
      <c r="B393" s="202" t="s">
        <v>28</v>
      </c>
      <c r="C393" s="204" t="n">
        <v>2020</v>
      </c>
      <c r="F393" s="321"/>
      <c r="G393" s="321"/>
      <c r="H393" s="321"/>
      <c r="I393" s="321"/>
      <c r="J393" s="321"/>
      <c r="K393" s="321"/>
      <c r="L393" s="321"/>
      <c r="M393" s="321"/>
      <c r="N393" s="321"/>
      <c r="O393" s="321"/>
      <c r="P393" s="321"/>
      <c r="Q393" s="321"/>
      <c r="R393" s="321"/>
      <c r="S393" s="321"/>
      <c r="T393" s="321"/>
      <c r="U393" s="321"/>
      <c r="V393" s="321"/>
      <c r="W393" s="321"/>
      <c r="X393" s="321"/>
      <c r="Y393" s="321"/>
      <c r="Z393" s="321"/>
      <c r="AA393" s="321"/>
      <c r="AB393" s="321"/>
      <c r="AC393" s="321"/>
      <c r="AD393" s="321"/>
      <c r="AE393" s="321"/>
      <c r="AF393" s="321"/>
      <c r="AG393" s="321"/>
      <c r="AH393" s="321"/>
      <c r="AI393" s="321"/>
      <c r="AJ393" s="321"/>
      <c r="AK393" s="321"/>
      <c r="AL393" s="321"/>
    </row>
    <row r="394" customFormat="false" ht="14.25" hidden="false" customHeight="false" outlineLevel="0" collapsed="false">
      <c r="A394" s="319" t="s">
        <v>83</v>
      </c>
      <c r="B394" s="205" t="s">
        <v>28</v>
      </c>
      <c r="C394" s="242" t="n">
        <v>2050</v>
      </c>
      <c r="F394" s="321"/>
      <c r="G394" s="321"/>
      <c r="H394" s="321"/>
      <c r="I394" s="321"/>
      <c r="J394" s="321"/>
      <c r="K394" s="321"/>
      <c r="L394" s="321"/>
      <c r="M394" s="321"/>
      <c r="N394" s="321"/>
      <c r="O394" s="321"/>
      <c r="P394" s="321"/>
      <c r="Q394" s="321"/>
      <c r="R394" s="321"/>
      <c r="S394" s="321"/>
      <c r="T394" s="321"/>
      <c r="U394" s="321"/>
      <c r="V394" s="321"/>
      <c r="W394" s="321"/>
      <c r="X394" s="321"/>
      <c r="Y394" s="321"/>
      <c r="Z394" s="321"/>
      <c r="AA394" s="321"/>
      <c r="AB394" s="321"/>
      <c r="AC394" s="321"/>
      <c r="AD394" s="321"/>
      <c r="AE394" s="321"/>
      <c r="AF394" s="321"/>
      <c r="AG394" s="321"/>
      <c r="AH394" s="321"/>
      <c r="AI394" s="321"/>
      <c r="AJ394" s="321"/>
      <c r="AK394" s="321"/>
      <c r="AL394" s="321"/>
    </row>
    <row r="397" customFormat="false" ht="17.35" hidden="false" customHeight="false" outlineLevel="0" collapsed="false">
      <c r="A397" s="328" t="s">
        <v>86</v>
      </c>
      <c r="B397" s="328"/>
      <c r="C397" s="328"/>
    </row>
    <row r="398" customFormat="false" ht="14.25" hidden="false" customHeight="false" outlineLevel="0" collapsed="false">
      <c r="A398" s="312" t="s">
        <v>89</v>
      </c>
      <c r="B398" s="202" t="s">
        <v>28</v>
      </c>
      <c r="C398" s="304" t="n">
        <v>0.5</v>
      </c>
    </row>
    <row r="399" customFormat="false" ht="14.25" hidden="false" customHeight="false" outlineLevel="0" collapsed="false">
      <c r="A399" s="312" t="s">
        <v>92</v>
      </c>
      <c r="B399" s="202" t="s">
        <v>28</v>
      </c>
      <c r="C399" s="304" t="n">
        <v>0.5</v>
      </c>
    </row>
    <row r="400" customFormat="false" ht="14.25" hidden="false" customHeight="false" outlineLevel="0" collapsed="false">
      <c r="A400" s="312" t="s">
        <v>93</v>
      </c>
      <c r="B400" s="202" t="s">
        <v>28</v>
      </c>
      <c r="C400" s="304" t="n">
        <v>0.5</v>
      </c>
    </row>
    <row r="401" customFormat="false" ht="14.25" hidden="false" customHeight="false" outlineLevel="0" collapsed="false">
      <c r="A401" s="319" t="s">
        <v>118</v>
      </c>
      <c r="B401" s="205" t="s">
        <v>28</v>
      </c>
      <c r="C401" s="331" t="n">
        <v>0.5</v>
      </c>
    </row>
    <row r="403" customFormat="false" ht="15.75" hidden="false" customHeight="true" outlineLevel="0" collapsed="false">
      <c r="A403" s="328" t="s">
        <v>646</v>
      </c>
      <c r="B403" s="328"/>
      <c r="C403" s="332" t="s">
        <v>576</v>
      </c>
      <c r="D403" s="333" t="s">
        <v>579</v>
      </c>
      <c r="E403" s="333" t="s">
        <v>647</v>
      </c>
      <c r="F403" s="333" t="s">
        <v>648</v>
      </c>
      <c r="G403" s="333" t="s">
        <v>649</v>
      </c>
      <c r="H403" s="333" t="s">
        <v>650</v>
      </c>
      <c r="I403" s="333" t="s">
        <v>651</v>
      </c>
      <c r="J403" s="333" t="s">
        <v>652</v>
      </c>
      <c r="K403" s="333" t="s">
        <v>354</v>
      </c>
      <c r="L403" s="333" t="s">
        <v>653</v>
      </c>
      <c r="M403" s="333" t="s">
        <v>654</v>
      </c>
      <c r="N403" s="333" t="s">
        <v>655</v>
      </c>
      <c r="O403" s="333" t="s">
        <v>656</v>
      </c>
      <c r="P403" s="333" t="s">
        <v>657</v>
      </c>
      <c r="Q403" s="334" t="s">
        <v>658</v>
      </c>
    </row>
    <row r="404" customFormat="false" ht="14.25" hidden="false" customHeight="false" outlineLevel="0" collapsed="false">
      <c r="A404" s="312" t="s">
        <v>659</v>
      </c>
      <c r="B404" s="335" t="s">
        <v>374</v>
      </c>
      <c r="C404" s="204" t="s">
        <v>660</v>
      </c>
      <c r="D404" s="204" t="s">
        <v>660</v>
      </c>
      <c r="E404" s="204" t="s">
        <v>660</v>
      </c>
      <c r="F404" s="204" t="s">
        <v>660</v>
      </c>
      <c r="G404" s="204" t="s">
        <v>660</v>
      </c>
      <c r="H404" s="204" t="s">
        <v>660</v>
      </c>
      <c r="I404" s="204" t="s">
        <v>660</v>
      </c>
      <c r="J404" s="204" t="s">
        <v>660</v>
      </c>
      <c r="K404" s="204" t="s">
        <v>660</v>
      </c>
      <c r="L404" s="204" t="s">
        <v>660</v>
      </c>
      <c r="M404" s="204" t="s">
        <v>660</v>
      </c>
      <c r="N404" s="204" t="s">
        <v>660</v>
      </c>
      <c r="O404" s="204" t="s">
        <v>660</v>
      </c>
      <c r="P404" s="204" t="s">
        <v>660</v>
      </c>
      <c r="Q404" s="204" t="s">
        <v>660</v>
      </c>
    </row>
    <row r="405" customFormat="false" ht="14.25" hidden="false" customHeight="false" outlineLevel="0" collapsed="false">
      <c r="A405" s="312" t="s">
        <v>661</v>
      </c>
      <c r="B405" s="335"/>
      <c r="C405" s="204" t="s">
        <v>660</v>
      </c>
      <c r="D405" s="204" t="s">
        <v>660</v>
      </c>
      <c r="E405" s="204" t="s">
        <v>660</v>
      </c>
      <c r="F405" s="204" t="s">
        <v>660</v>
      </c>
      <c r="G405" s="204" t="s">
        <v>660</v>
      </c>
      <c r="H405" s="204" t="s">
        <v>660</v>
      </c>
      <c r="I405" s="204" t="s">
        <v>660</v>
      </c>
      <c r="J405" s="204" t="s">
        <v>660</v>
      </c>
      <c r="K405" s="204" t="s">
        <v>660</v>
      </c>
      <c r="L405" s="204" t="s">
        <v>660</v>
      </c>
      <c r="M405" s="204" t="s">
        <v>660</v>
      </c>
      <c r="N405" s="204" t="s">
        <v>660</v>
      </c>
      <c r="O405" s="204" t="s">
        <v>660</v>
      </c>
      <c r="P405" s="204" t="s">
        <v>660</v>
      </c>
      <c r="Q405" s="204" t="s">
        <v>660</v>
      </c>
    </row>
    <row r="406" customFormat="false" ht="14.25" hidden="false" customHeight="false" outlineLevel="0" collapsed="false">
      <c r="A406" s="312" t="s">
        <v>662</v>
      </c>
      <c r="B406" s="335"/>
      <c r="C406" s="204" t="s">
        <v>660</v>
      </c>
      <c r="D406" s="204" t="s">
        <v>660</v>
      </c>
      <c r="E406" s="204" t="s">
        <v>660</v>
      </c>
      <c r="F406" s="204" t="s">
        <v>660</v>
      </c>
      <c r="G406" s="204" t="s">
        <v>660</v>
      </c>
      <c r="H406" s="204" t="s">
        <v>660</v>
      </c>
      <c r="I406" s="204" t="s">
        <v>660</v>
      </c>
      <c r="J406" s="204" t="s">
        <v>660</v>
      </c>
      <c r="K406" s="204" t="s">
        <v>660</v>
      </c>
      <c r="L406" s="204" t="s">
        <v>660</v>
      </c>
      <c r="M406" s="204" t="s">
        <v>660</v>
      </c>
      <c r="N406" s="204" t="s">
        <v>660</v>
      </c>
      <c r="O406" s="204" t="s">
        <v>660</v>
      </c>
      <c r="P406" s="204" t="s">
        <v>660</v>
      </c>
      <c r="Q406" s="204" t="s">
        <v>660</v>
      </c>
    </row>
    <row r="407" customFormat="false" ht="14.25" hidden="false" customHeight="false" outlineLevel="0" collapsed="false">
      <c r="A407" s="312" t="s">
        <v>663</v>
      </c>
      <c r="B407" s="335"/>
      <c r="C407" s="204" t="s">
        <v>660</v>
      </c>
      <c r="D407" s="204" t="s">
        <v>660</v>
      </c>
      <c r="E407" s="204" t="s">
        <v>660</v>
      </c>
      <c r="F407" s="204" t="s">
        <v>660</v>
      </c>
      <c r="G407" s="204" t="s">
        <v>660</v>
      </c>
      <c r="H407" s="204" t="s">
        <v>660</v>
      </c>
      <c r="I407" s="204" t="s">
        <v>660</v>
      </c>
      <c r="J407" s="204" t="s">
        <v>660</v>
      </c>
      <c r="K407" s="204" t="s">
        <v>660</v>
      </c>
      <c r="L407" s="204" t="s">
        <v>660</v>
      </c>
      <c r="M407" s="204" t="s">
        <v>660</v>
      </c>
      <c r="N407" s="204" t="s">
        <v>660</v>
      </c>
      <c r="O407" s="204" t="s">
        <v>660</v>
      </c>
      <c r="P407" s="204" t="s">
        <v>660</v>
      </c>
      <c r="Q407" s="204" t="s">
        <v>660</v>
      </c>
    </row>
    <row r="408" customFormat="false" ht="14.25" hidden="false" customHeight="false" outlineLevel="0" collapsed="false">
      <c r="A408" s="312" t="s">
        <v>664</v>
      </c>
      <c r="B408" s="335"/>
      <c r="C408" s="204" t="s">
        <v>660</v>
      </c>
      <c r="D408" s="204" t="s">
        <v>660</v>
      </c>
      <c r="E408" s="204" t="s">
        <v>660</v>
      </c>
      <c r="F408" s="204" t="s">
        <v>660</v>
      </c>
      <c r="G408" s="204" t="s">
        <v>660</v>
      </c>
      <c r="H408" s="204" t="s">
        <v>660</v>
      </c>
      <c r="I408" s="204" t="s">
        <v>660</v>
      </c>
      <c r="J408" s="204" t="s">
        <v>660</v>
      </c>
      <c r="K408" s="204" t="s">
        <v>660</v>
      </c>
      <c r="L408" s="204" t="s">
        <v>660</v>
      </c>
      <c r="M408" s="204" t="s">
        <v>660</v>
      </c>
      <c r="N408" s="204" t="s">
        <v>660</v>
      </c>
      <c r="O408" s="204" t="s">
        <v>660</v>
      </c>
      <c r="P408" s="204" t="s">
        <v>660</v>
      </c>
      <c r="Q408" s="204" t="s">
        <v>660</v>
      </c>
    </row>
    <row r="409" customFormat="false" ht="14.25" hidden="false" customHeight="false" outlineLevel="0" collapsed="false">
      <c r="A409" s="312" t="s">
        <v>659</v>
      </c>
      <c r="B409" s="335" t="s">
        <v>375</v>
      </c>
      <c r="C409" s="204" t="s">
        <v>660</v>
      </c>
      <c r="D409" s="204" t="s">
        <v>660</v>
      </c>
      <c r="E409" s="204" t="s">
        <v>660</v>
      </c>
      <c r="F409" s="204" t="s">
        <v>660</v>
      </c>
      <c r="G409" s="204" t="s">
        <v>660</v>
      </c>
      <c r="H409" s="204" t="s">
        <v>660</v>
      </c>
      <c r="I409" s="204" t="s">
        <v>660</v>
      </c>
      <c r="J409" s="204" t="s">
        <v>660</v>
      </c>
      <c r="K409" s="204" t="s">
        <v>660</v>
      </c>
      <c r="L409" s="204" t="s">
        <v>660</v>
      </c>
      <c r="M409" s="204" t="s">
        <v>660</v>
      </c>
      <c r="N409" s="204" t="s">
        <v>660</v>
      </c>
      <c r="O409" s="204" t="s">
        <v>660</v>
      </c>
      <c r="P409" s="204" t="s">
        <v>660</v>
      </c>
      <c r="Q409" s="204" t="s">
        <v>660</v>
      </c>
    </row>
    <row r="410" customFormat="false" ht="14.25" hidden="false" customHeight="false" outlineLevel="0" collapsed="false">
      <c r="A410" s="312" t="s">
        <v>661</v>
      </c>
      <c r="B410" s="335"/>
      <c r="C410" s="204" t="s">
        <v>660</v>
      </c>
      <c r="D410" s="204" t="s">
        <v>660</v>
      </c>
      <c r="E410" s="204" t="s">
        <v>660</v>
      </c>
      <c r="F410" s="204" t="s">
        <v>660</v>
      </c>
      <c r="G410" s="204" t="s">
        <v>660</v>
      </c>
      <c r="H410" s="204" t="s">
        <v>660</v>
      </c>
      <c r="I410" s="204" t="s">
        <v>660</v>
      </c>
      <c r="J410" s="204" t="s">
        <v>660</v>
      </c>
      <c r="K410" s="204" t="s">
        <v>660</v>
      </c>
      <c r="L410" s="204" t="s">
        <v>660</v>
      </c>
      <c r="M410" s="204" t="s">
        <v>660</v>
      </c>
      <c r="N410" s="204" t="s">
        <v>660</v>
      </c>
      <c r="O410" s="204" t="s">
        <v>660</v>
      </c>
      <c r="P410" s="204" t="s">
        <v>660</v>
      </c>
      <c r="Q410" s="204" t="s">
        <v>660</v>
      </c>
    </row>
    <row r="411" customFormat="false" ht="14.25" hidden="false" customHeight="false" outlineLevel="0" collapsed="false">
      <c r="A411" s="312" t="s">
        <v>662</v>
      </c>
      <c r="B411" s="335"/>
      <c r="C411" s="204" t="s">
        <v>660</v>
      </c>
      <c r="D411" s="204" t="s">
        <v>660</v>
      </c>
      <c r="E411" s="204" t="s">
        <v>660</v>
      </c>
      <c r="F411" s="204" t="s">
        <v>660</v>
      </c>
      <c r="G411" s="204" t="s">
        <v>660</v>
      </c>
      <c r="H411" s="204" t="s">
        <v>660</v>
      </c>
      <c r="I411" s="204" t="s">
        <v>660</v>
      </c>
      <c r="J411" s="204" t="s">
        <v>660</v>
      </c>
      <c r="K411" s="204" t="s">
        <v>660</v>
      </c>
      <c r="L411" s="204" t="s">
        <v>660</v>
      </c>
      <c r="M411" s="204" t="s">
        <v>660</v>
      </c>
      <c r="N411" s="204" t="s">
        <v>660</v>
      </c>
      <c r="O411" s="204" t="s">
        <v>660</v>
      </c>
      <c r="P411" s="204" t="s">
        <v>660</v>
      </c>
      <c r="Q411" s="204" t="s">
        <v>660</v>
      </c>
    </row>
    <row r="412" customFormat="false" ht="14.25" hidden="false" customHeight="false" outlineLevel="0" collapsed="false">
      <c r="A412" s="312" t="s">
        <v>663</v>
      </c>
      <c r="B412" s="335"/>
      <c r="C412" s="204" t="s">
        <v>660</v>
      </c>
      <c r="D412" s="204" t="s">
        <v>660</v>
      </c>
      <c r="E412" s="204" t="s">
        <v>660</v>
      </c>
      <c r="F412" s="204" t="s">
        <v>660</v>
      </c>
      <c r="G412" s="204" t="s">
        <v>660</v>
      </c>
      <c r="H412" s="204" t="s">
        <v>660</v>
      </c>
      <c r="I412" s="204" t="s">
        <v>660</v>
      </c>
      <c r="J412" s="204" t="s">
        <v>660</v>
      </c>
      <c r="K412" s="204" t="s">
        <v>660</v>
      </c>
      <c r="L412" s="204" t="s">
        <v>660</v>
      </c>
      <c r="M412" s="204" t="s">
        <v>660</v>
      </c>
      <c r="N412" s="204" t="s">
        <v>660</v>
      </c>
      <c r="O412" s="204" t="s">
        <v>660</v>
      </c>
      <c r="P412" s="204" t="s">
        <v>660</v>
      </c>
      <c r="Q412" s="204" t="s">
        <v>660</v>
      </c>
    </row>
    <row r="413" customFormat="false" ht="14.25" hidden="false" customHeight="false" outlineLevel="0" collapsed="false">
      <c r="A413" s="312" t="s">
        <v>664</v>
      </c>
      <c r="B413" s="335"/>
      <c r="C413" s="204" t="s">
        <v>660</v>
      </c>
      <c r="D413" s="204" t="s">
        <v>660</v>
      </c>
      <c r="E413" s="204" t="s">
        <v>660</v>
      </c>
      <c r="F413" s="204" t="s">
        <v>660</v>
      </c>
      <c r="G413" s="204" t="s">
        <v>660</v>
      </c>
      <c r="H413" s="204" t="s">
        <v>660</v>
      </c>
      <c r="I413" s="204" t="s">
        <v>660</v>
      </c>
      <c r="J413" s="204" t="s">
        <v>660</v>
      </c>
      <c r="K413" s="204" t="s">
        <v>660</v>
      </c>
      <c r="L413" s="204" t="s">
        <v>660</v>
      </c>
      <c r="M413" s="204" t="s">
        <v>660</v>
      </c>
      <c r="N413" s="204" t="s">
        <v>660</v>
      </c>
      <c r="O413" s="204" t="s">
        <v>660</v>
      </c>
      <c r="P413" s="204" t="s">
        <v>660</v>
      </c>
      <c r="Q413" s="204" t="s">
        <v>660</v>
      </c>
    </row>
    <row r="414" customFormat="false" ht="14.25" hidden="false" customHeight="false" outlineLevel="0" collapsed="false">
      <c r="A414" s="312" t="s">
        <v>665</v>
      </c>
      <c r="B414" s="335" t="s">
        <v>376</v>
      </c>
      <c r="C414" s="204" t="s">
        <v>660</v>
      </c>
      <c r="D414" s="204" t="s">
        <v>660</v>
      </c>
      <c r="E414" s="204" t="s">
        <v>660</v>
      </c>
      <c r="F414" s="204" t="s">
        <v>660</v>
      </c>
      <c r="G414" s="204" t="s">
        <v>660</v>
      </c>
      <c r="H414" s="204" t="s">
        <v>660</v>
      </c>
      <c r="I414" s="204" t="s">
        <v>660</v>
      </c>
      <c r="J414" s="204" t="s">
        <v>660</v>
      </c>
      <c r="K414" s="204" t="s">
        <v>660</v>
      </c>
      <c r="L414" s="204" t="s">
        <v>660</v>
      </c>
      <c r="M414" s="204" t="s">
        <v>660</v>
      </c>
      <c r="N414" s="204" t="s">
        <v>660</v>
      </c>
      <c r="O414" s="204" t="s">
        <v>660</v>
      </c>
      <c r="P414" s="204" t="s">
        <v>660</v>
      </c>
      <c r="Q414" s="204" t="s">
        <v>660</v>
      </c>
    </row>
    <row r="415" customFormat="false" ht="14.25" hidden="false" customHeight="false" outlineLevel="0" collapsed="false">
      <c r="A415" s="312" t="s">
        <v>661</v>
      </c>
      <c r="B415" s="335"/>
      <c r="C415" s="204" t="s">
        <v>660</v>
      </c>
      <c r="D415" s="204" t="s">
        <v>660</v>
      </c>
      <c r="E415" s="204" t="s">
        <v>660</v>
      </c>
      <c r="F415" s="204" t="s">
        <v>660</v>
      </c>
      <c r="G415" s="204" t="s">
        <v>660</v>
      </c>
      <c r="H415" s="204" t="s">
        <v>660</v>
      </c>
      <c r="I415" s="204" t="s">
        <v>660</v>
      </c>
      <c r="J415" s="204" t="s">
        <v>660</v>
      </c>
      <c r="K415" s="204" t="s">
        <v>660</v>
      </c>
      <c r="L415" s="204" t="s">
        <v>660</v>
      </c>
      <c r="M415" s="204" t="s">
        <v>660</v>
      </c>
      <c r="N415" s="204" t="s">
        <v>660</v>
      </c>
      <c r="O415" s="204" t="s">
        <v>660</v>
      </c>
      <c r="P415" s="204" t="s">
        <v>660</v>
      </c>
      <c r="Q415" s="204" t="s">
        <v>660</v>
      </c>
    </row>
    <row r="416" customFormat="false" ht="14.25" hidden="false" customHeight="false" outlineLevel="0" collapsed="false">
      <c r="A416" s="312" t="s">
        <v>662</v>
      </c>
      <c r="B416" s="335"/>
      <c r="C416" s="204" t="s">
        <v>660</v>
      </c>
      <c r="D416" s="204" t="s">
        <v>660</v>
      </c>
      <c r="E416" s="204" t="s">
        <v>660</v>
      </c>
      <c r="F416" s="204" t="s">
        <v>660</v>
      </c>
      <c r="G416" s="204" t="s">
        <v>660</v>
      </c>
      <c r="H416" s="204" t="s">
        <v>660</v>
      </c>
      <c r="I416" s="204" t="s">
        <v>660</v>
      </c>
      <c r="J416" s="204" t="s">
        <v>660</v>
      </c>
      <c r="K416" s="204" t="s">
        <v>660</v>
      </c>
      <c r="L416" s="204" t="s">
        <v>660</v>
      </c>
      <c r="M416" s="204" t="s">
        <v>660</v>
      </c>
      <c r="N416" s="204" t="s">
        <v>660</v>
      </c>
      <c r="O416" s="204" t="s">
        <v>660</v>
      </c>
      <c r="P416" s="204" t="s">
        <v>660</v>
      </c>
      <c r="Q416" s="204" t="s">
        <v>660</v>
      </c>
    </row>
    <row r="417" customFormat="false" ht="14.25" hidden="false" customHeight="false" outlineLevel="0" collapsed="false">
      <c r="A417" s="312" t="s">
        <v>663</v>
      </c>
      <c r="B417" s="335"/>
      <c r="C417" s="204" t="s">
        <v>660</v>
      </c>
      <c r="D417" s="204" t="s">
        <v>660</v>
      </c>
      <c r="E417" s="204" t="s">
        <v>660</v>
      </c>
      <c r="F417" s="204" t="s">
        <v>660</v>
      </c>
      <c r="G417" s="204" t="s">
        <v>660</v>
      </c>
      <c r="H417" s="204" t="s">
        <v>660</v>
      </c>
      <c r="I417" s="204" t="s">
        <v>660</v>
      </c>
      <c r="J417" s="204" t="s">
        <v>660</v>
      </c>
      <c r="K417" s="204" t="s">
        <v>660</v>
      </c>
      <c r="L417" s="204" t="s">
        <v>660</v>
      </c>
      <c r="M417" s="204" t="s">
        <v>660</v>
      </c>
      <c r="N417" s="204" t="s">
        <v>660</v>
      </c>
      <c r="O417" s="204" t="s">
        <v>660</v>
      </c>
      <c r="P417" s="204" t="s">
        <v>660</v>
      </c>
      <c r="Q417" s="204" t="s">
        <v>660</v>
      </c>
    </row>
    <row r="418" customFormat="false" ht="14.25" hidden="false" customHeight="false" outlineLevel="0" collapsed="false">
      <c r="A418" s="312" t="s">
        <v>664</v>
      </c>
      <c r="B418" s="335"/>
      <c r="C418" s="204" t="s">
        <v>660</v>
      </c>
      <c r="D418" s="204" t="s">
        <v>660</v>
      </c>
      <c r="E418" s="204" t="s">
        <v>660</v>
      </c>
      <c r="F418" s="204" t="s">
        <v>660</v>
      </c>
      <c r="G418" s="204" t="s">
        <v>660</v>
      </c>
      <c r="H418" s="204" t="s">
        <v>660</v>
      </c>
      <c r="I418" s="204" t="s">
        <v>660</v>
      </c>
      <c r="J418" s="204" t="s">
        <v>660</v>
      </c>
      <c r="K418" s="204" t="s">
        <v>660</v>
      </c>
      <c r="L418" s="204" t="s">
        <v>660</v>
      </c>
      <c r="M418" s="204" t="s">
        <v>660</v>
      </c>
      <c r="N418" s="204" t="s">
        <v>660</v>
      </c>
      <c r="O418" s="204" t="s">
        <v>660</v>
      </c>
      <c r="P418" s="204" t="s">
        <v>660</v>
      </c>
      <c r="Q418" s="204" t="s">
        <v>660</v>
      </c>
    </row>
    <row r="419" customFormat="false" ht="14.25" hidden="false" customHeight="false" outlineLevel="0" collapsed="false">
      <c r="A419" s="312" t="s">
        <v>659</v>
      </c>
      <c r="B419" s="335" t="s">
        <v>377</v>
      </c>
      <c r="C419" s="204" t="s">
        <v>660</v>
      </c>
      <c r="D419" s="204" t="s">
        <v>660</v>
      </c>
      <c r="E419" s="204" t="s">
        <v>660</v>
      </c>
      <c r="F419" s="204" t="s">
        <v>660</v>
      </c>
      <c r="G419" s="204" t="s">
        <v>660</v>
      </c>
      <c r="H419" s="204" t="s">
        <v>660</v>
      </c>
      <c r="I419" s="204" t="s">
        <v>660</v>
      </c>
      <c r="J419" s="204" t="s">
        <v>660</v>
      </c>
      <c r="K419" s="204" t="s">
        <v>660</v>
      </c>
      <c r="L419" s="204" t="s">
        <v>660</v>
      </c>
      <c r="M419" s="204" t="s">
        <v>660</v>
      </c>
      <c r="N419" s="204" t="s">
        <v>660</v>
      </c>
      <c r="O419" s="204" t="s">
        <v>660</v>
      </c>
      <c r="P419" s="204" t="s">
        <v>660</v>
      </c>
      <c r="Q419" s="204" t="s">
        <v>660</v>
      </c>
    </row>
    <row r="420" customFormat="false" ht="14.25" hidden="false" customHeight="false" outlineLevel="0" collapsed="false">
      <c r="A420" s="312" t="s">
        <v>661</v>
      </c>
      <c r="B420" s="335"/>
      <c r="C420" s="204" t="s">
        <v>660</v>
      </c>
      <c r="D420" s="204" t="s">
        <v>660</v>
      </c>
      <c r="E420" s="204" t="s">
        <v>660</v>
      </c>
      <c r="F420" s="204" t="s">
        <v>660</v>
      </c>
      <c r="G420" s="204" t="s">
        <v>660</v>
      </c>
      <c r="H420" s="204" t="s">
        <v>660</v>
      </c>
      <c r="I420" s="204" t="s">
        <v>660</v>
      </c>
      <c r="J420" s="204" t="s">
        <v>660</v>
      </c>
      <c r="K420" s="204" t="s">
        <v>660</v>
      </c>
      <c r="L420" s="204" t="s">
        <v>660</v>
      </c>
      <c r="M420" s="204" t="s">
        <v>660</v>
      </c>
      <c r="N420" s="204" t="s">
        <v>660</v>
      </c>
      <c r="O420" s="204" t="s">
        <v>660</v>
      </c>
      <c r="P420" s="204" t="s">
        <v>660</v>
      </c>
      <c r="Q420" s="204" t="s">
        <v>660</v>
      </c>
    </row>
    <row r="421" customFormat="false" ht="14.25" hidden="false" customHeight="false" outlineLevel="0" collapsed="false">
      <c r="A421" s="312" t="s">
        <v>662</v>
      </c>
      <c r="B421" s="335"/>
      <c r="C421" s="204" t="s">
        <v>660</v>
      </c>
      <c r="D421" s="204" t="s">
        <v>660</v>
      </c>
      <c r="E421" s="204" t="s">
        <v>660</v>
      </c>
      <c r="F421" s="204" t="s">
        <v>660</v>
      </c>
      <c r="G421" s="204" t="s">
        <v>660</v>
      </c>
      <c r="H421" s="204" t="s">
        <v>660</v>
      </c>
      <c r="I421" s="204" t="s">
        <v>660</v>
      </c>
      <c r="J421" s="204" t="s">
        <v>660</v>
      </c>
      <c r="K421" s="204" t="s">
        <v>660</v>
      </c>
      <c r="L421" s="204" t="s">
        <v>660</v>
      </c>
      <c r="M421" s="204" t="s">
        <v>660</v>
      </c>
      <c r="N421" s="204" t="s">
        <v>660</v>
      </c>
      <c r="O421" s="204" t="s">
        <v>660</v>
      </c>
      <c r="P421" s="204" t="s">
        <v>660</v>
      </c>
      <c r="Q421" s="204" t="s">
        <v>660</v>
      </c>
    </row>
    <row r="422" customFormat="false" ht="14.25" hidden="false" customHeight="false" outlineLevel="0" collapsed="false">
      <c r="A422" s="312" t="s">
        <v>663</v>
      </c>
      <c r="B422" s="335"/>
      <c r="C422" s="204" t="s">
        <v>660</v>
      </c>
      <c r="D422" s="204" t="s">
        <v>660</v>
      </c>
      <c r="E422" s="204" t="s">
        <v>660</v>
      </c>
      <c r="F422" s="204" t="s">
        <v>660</v>
      </c>
      <c r="G422" s="204" t="s">
        <v>660</v>
      </c>
      <c r="H422" s="204" t="s">
        <v>660</v>
      </c>
      <c r="I422" s="204" t="s">
        <v>660</v>
      </c>
      <c r="J422" s="204" t="s">
        <v>660</v>
      </c>
      <c r="K422" s="204" t="s">
        <v>660</v>
      </c>
      <c r="L422" s="204" t="s">
        <v>660</v>
      </c>
      <c r="M422" s="204" t="s">
        <v>660</v>
      </c>
      <c r="N422" s="204" t="s">
        <v>660</v>
      </c>
      <c r="O422" s="204" t="s">
        <v>660</v>
      </c>
      <c r="P422" s="204" t="s">
        <v>660</v>
      </c>
      <c r="Q422" s="204" t="s">
        <v>660</v>
      </c>
    </row>
    <row r="423" customFormat="false" ht="14.25" hidden="false" customHeight="false" outlineLevel="0" collapsed="false">
      <c r="A423" s="312" t="s">
        <v>664</v>
      </c>
      <c r="B423" s="335"/>
      <c r="C423" s="204" t="s">
        <v>660</v>
      </c>
      <c r="D423" s="204" t="s">
        <v>660</v>
      </c>
      <c r="E423" s="204" t="s">
        <v>660</v>
      </c>
      <c r="F423" s="204" t="s">
        <v>660</v>
      </c>
      <c r="G423" s="204" t="s">
        <v>660</v>
      </c>
      <c r="H423" s="204" t="s">
        <v>660</v>
      </c>
      <c r="I423" s="204" t="s">
        <v>660</v>
      </c>
      <c r="J423" s="204" t="s">
        <v>660</v>
      </c>
      <c r="K423" s="204" t="s">
        <v>660</v>
      </c>
      <c r="L423" s="204" t="s">
        <v>660</v>
      </c>
      <c r="M423" s="204" t="s">
        <v>660</v>
      </c>
      <c r="N423" s="204" t="s">
        <v>660</v>
      </c>
      <c r="O423" s="204" t="s">
        <v>660</v>
      </c>
      <c r="P423" s="204" t="s">
        <v>660</v>
      </c>
      <c r="Q423" s="204" t="s">
        <v>660</v>
      </c>
    </row>
    <row r="424" customFormat="false" ht="14.25" hidden="false" customHeight="false" outlineLevel="0" collapsed="false">
      <c r="A424" s="312" t="s">
        <v>659</v>
      </c>
      <c r="B424" s="335" t="s">
        <v>378</v>
      </c>
      <c r="C424" s="204" t="s">
        <v>660</v>
      </c>
      <c r="D424" s="204" t="s">
        <v>660</v>
      </c>
      <c r="E424" s="204" t="s">
        <v>660</v>
      </c>
      <c r="F424" s="204" t="s">
        <v>660</v>
      </c>
      <c r="G424" s="204" t="s">
        <v>660</v>
      </c>
      <c r="H424" s="204" t="s">
        <v>660</v>
      </c>
      <c r="I424" s="204" t="s">
        <v>660</v>
      </c>
      <c r="J424" s="204" t="s">
        <v>660</v>
      </c>
      <c r="K424" s="204" t="s">
        <v>660</v>
      </c>
      <c r="L424" s="204" t="s">
        <v>660</v>
      </c>
      <c r="M424" s="204" t="s">
        <v>660</v>
      </c>
      <c r="N424" s="204" t="s">
        <v>660</v>
      </c>
      <c r="O424" s="204" t="s">
        <v>660</v>
      </c>
      <c r="P424" s="204" t="s">
        <v>660</v>
      </c>
      <c r="Q424" s="204" t="s">
        <v>660</v>
      </c>
    </row>
    <row r="425" customFormat="false" ht="14.25" hidden="false" customHeight="false" outlineLevel="0" collapsed="false">
      <c r="A425" s="312" t="s">
        <v>661</v>
      </c>
      <c r="B425" s="335"/>
      <c r="C425" s="204" t="s">
        <v>660</v>
      </c>
      <c r="D425" s="204" t="s">
        <v>660</v>
      </c>
      <c r="E425" s="204" t="s">
        <v>660</v>
      </c>
      <c r="F425" s="204" t="s">
        <v>660</v>
      </c>
      <c r="G425" s="204" t="s">
        <v>660</v>
      </c>
      <c r="H425" s="204" t="s">
        <v>660</v>
      </c>
      <c r="I425" s="204" t="s">
        <v>660</v>
      </c>
      <c r="J425" s="204" t="s">
        <v>660</v>
      </c>
      <c r="K425" s="204" t="s">
        <v>660</v>
      </c>
      <c r="L425" s="204" t="s">
        <v>660</v>
      </c>
      <c r="M425" s="204" t="s">
        <v>660</v>
      </c>
      <c r="N425" s="204" t="s">
        <v>660</v>
      </c>
      <c r="O425" s="204" t="s">
        <v>660</v>
      </c>
      <c r="P425" s="204" t="s">
        <v>660</v>
      </c>
      <c r="Q425" s="204" t="s">
        <v>660</v>
      </c>
    </row>
    <row r="426" customFormat="false" ht="14.25" hidden="false" customHeight="false" outlineLevel="0" collapsed="false">
      <c r="A426" s="312" t="s">
        <v>662</v>
      </c>
      <c r="B426" s="335"/>
      <c r="C426" s="204" t="s">
        <v>660</v>
      </c>
      <c r="D426" s="204" t="s">
        <v>660</v>
      </c>
      <c r="E426" s="204" t="s">
        <v>660</v>
      </c>
      <c r="F426" s="204" t="s">
        <v>660</v>
      </c>
      <c r="G426" s="204" t="s">
        <v>660</v>
      </c>
      <c r="H426" s="204" t="s">
        <v>660</v>
      </c>
      <c r="I426" s="204" t="s">
        <v>660</v>
      </c>
      <c r="J426" s="204" t="s">
        <v>660</v>
      </c>
      <c r="K426" s="204" t="s">
        <v>660</v>
      </c>
      <c r="L426" s="204" t="s">
        <v>660</v>
      </c>
      <c r="M426" s="204" t="s">
        <v>660</v>
      </c>
      <c r="N426" s="204" t="s">
        <v>660</v>
      </c>
      <c r="O426" s="204" t="s">
        <v>660</v>
      </c>
      <c r="P426" s="204" t="s">
        <v>660</v>
      </c>
      <c r="Q426" s="204" t="s">
        <v>660</v>
      </c>
    </row>
    <row r="427" customFormat="false" ht="14.25" hidden="false" customHeight="false" outlineLevel="0" collapsed="false">
      <c r="A427" s="312" t="s">
        <v>663</v>
      </c>
      <c r="B427" s="335"/>
      <c r="C427" s="204" t="s">
        <v>660</v>
      </c>
      <c r="D427" s="204" t="s">
        <v>660</v>
      </c>
      <c r="E427" s="204" t="s">
        <v>660</v>
      </c>
      <c r="F427" s="204" t="s">
        <v>660</v>
      </c>
      <c r="G427" s="204" t="s">
        <v>660</v>
      </c>
      <c r="H427" s="204" t="s">
        <v>660</v>
      </c>
      <c r="I427" s="204" t="s">
        <v>660</v>
      </c>
      <c r="J427" s="204" t="s">
        <v>660</v>
      </c>
      <c r="K427" s="204" t="s">
        <v>660</v>
      </c>
      <c r="L427" s="204" t="s">
        <v>660</v>
      </c>
      <c r="M427" s="204" t="s">
        <v>660</v>
      </c>
      <c r="N427" s="204" t="s">
        <v>660</v>
      </c>
      <c r="O427" s="204" t="s">
        <v>660</v>
      </c>
      <c r="P427" s="204" t="s">
        <v>660</v>
      </c>
      <c r="Q427" s="204" t="s">
        <v>660</v>
      </c>
    </row>
    <row r="428" customFormat="false" ht="14.25" hidden="false" customHeight="false" outlineLevel="0" collapsed="false">
      <c r="A428" s="319" t="s">
        <v>664</v>
      </c>
      <c r="B428" s="335"/>
      <c r="C428" s="242" t="s">
        <v>660</v>
      </c>
      <c r="D428" s="242" t="s">
        <v>660</v>
      </c>
      <c r="E428" s="242" t="s">
        <v>660</v>
      </c>
      <c r="F428" s="242" t="s">
        <v>660</v>
      </c>
      <c r="G428" s="242" t="s">
        <v>660</v>
      </c>
      <c r="H428" s="242" t="s">
        <v>660</v>
      </c>
      <c r="I428" s="242" t="s">
        <v>660</v>
      </c>
      <c r="J428" s="242" t="s">
        <v>660</v>
      </c>
      <c r="K428" s="242" t="s">
        <v>660</v>
      </c>
      <c r="L428" s="242" t="s">
        <v>660</v>
      </c>
      <c r="M428" s="242" t="s">
        <v>660</v>
      </c>
      <c r="N428" s="242" t="s">
        <v>660</v>
      </c>
      <c r="O428" s="242" t="s">
        <v>660</v>
      </c>
      <c r="P428" s="242" t="s">
        <v>660</v>
      </c>
      <c r="Q428" s="242" t="s">
        <v>660</v>
      </c>
    </row>
  </sheetData>
  <mergeCells count="126">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5"/>
    <mergeCell ref="A126:A128"/>
    <mergeCell ref="B129:B131"/>
    <mergeCell ref="A133:I133"/>
    <mergeCell ref="A135:A138"/>
    <mergeCell ref="A139:A142"/>
    <mergeCell ref="A143:A146"/>
    <mergeCell ref="A147:I147"/>
    <mergeCell ref="A149:A152"/>
    <mergeCell ref="A153:A156"/>
    <mergeCell ref="A157:A160"/>
    <mergeCell ref="A161:A164"/>
    <mergeCell ref="A168:E168"/>
    <mergeCell ref="A169:E169"/>
    <mergeCell ref="A171:A173"/>
    <mergeCell ref="C171:C173"/>
    <mergeCell ref="A175:C175"/>
    <mergeCell ref="A178:B178"/>
    <mergeCell ref="A179:B179"/>
    <mergeCell ref="A180:B180"/>
    <mergeCell ref="A181:B181"/>
    <mergeCell ref="A182:B182"/>
    <mergeCell ref="A183:B183"/>
    <mergeCell ref="A184:Q184"/>
    <mergeCell ref="A185:B185"/>
    <mergeCell ref="A186:B186"/>
    <mergeCell ref="A187:B187"/>
    <mergeCell ref="A188:B188"/>
    <mergeCell ref="A189:B189"/>
    <mergeCell ref="A190:Q190"/>
    <mergeCell ref="A191:B191"/>
    <mergeCell ref="A192:B192"/>
    <mergeCell ref="A193:B193"/>
    <mergeCell ref="A194:B194"/>
    <mergeCell ref="A195:B195"/>
    <mergeCell ref="A196:Q196"/>
    <mergeCell ref="A197:B197"/>
    <mergeCell ref="A198:B198"/>
    <mergeCell ref="A199:B199"/>
    <mergeCell ref="A200:B200"/>
    <mergeCell ref="A201:B201"/>
    <mergeCell ref="A202:Q202"/>
    <mergeCell ref="A203:B203"/>
    <mergeCell ref="A204:B204"/>
    <mergeCell ref="A205:B205"/>
    <mergeCell ref="A206:B206"/>
    <mergeCell ref="A207:B207"/>
    <mergeCell ref="A209:C209"/>
    <mergeCell ref="A210:A211"/>
    <mergeCell ref="C210:C211"/>
    <mergeCell ref="A214:Q214"/>
    <mergeCell ref="A215:B215"/>
    <mergeCell ref="A216:B216"/>
    <mergeCell ref="A217:B217"/>
    <mergeCell ref="A218:B218"/>
    <mergeCell ref="A219:B219"/>
    <mergeCell ref="A220:B220"/>
    <mergeCell ref="A221:C221"/>
    <mergeCell ref="A225:C225"/>
    <mergeCell ref="A227:A229"/>
    <mergeCell ref="C227:C229"/>
    <mergeCell ref="A231:A233"/>
    <mergeCell ref="C231:C233"/>
    <mergeCell ref="A238:D238"/>
    <mergeCell ref="A239:D239"/>
    <mergeCell ref="A240:C240"/>
    <mergeCell ref="C242:E242"/>
    <mergeCell ref="A244:A262"/>
    <mergeCell ref="A263:C263"/>
    <mergeCell ref="A269:C269"/>
    <mergeCell ref="A270:C270"/>
    <mergeCell ref="A272:C272"/>
    <mergeCell ref="A273:A276"/>
    <mergeCell ref="C273:C276"/>
    <mergeCell ref="A281:I281"/>
    <mergeCell ref="A340:I340"/>
    <mergeCell ref="A364:H364"/>
    <mergeCell ref="A366:H366"/>
    <mergeCell ref="A368:H368"/>
    <mergeCell ref="A370:H370"/>
    <mergeCell ref="A373:I373"/>
    <mergeCell ref="A381:C381"/>
    <mergeCell ref="A390:C390"/>
    <mergeCell ref="A397:C397"/>
    <mergeCell ref="A403:B403"/>
    <mergeCell ref="B404:B408"/>
    <mergeCell ref="B409:B413"/>
    <mergeCell ref="B414:B418"/>
    <mergeCell ref="B419:B423"/>
    <mergeCell ref="B424:B428"/>
  </mergeCells>
  <conditionalFormatting sqref="C216:AD220">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Y428"/>
  <sheetViews>
    <sheetView showFormulas="false" showGridLines="true" showRowColHeaders="true" showZeros="true" rightToLeft="false" tabSelected="false" showOutlineSymbols="true" defaultGridColor="true" view="normal" topLeftCell="B1" colorId="64" zoomScale="75" zoomScaleNormal="75" zoomScalePageLayoutView="100" workbookViewId="0">
      <selection pane="topLeft" activeCell="D52" activeCellId="0" sqref="D52"/>
    </sheetView>
  </sheetViews>
  <sheetFormatPr defaultColWidth="11.4453125" defaultRowHeight="14.25" zeroHeight="false" outlineLevelRow="0" outlineLevelCol="0"/>
  <cols>
    <col collapsed="false" customWidth="true" hidden="false" outlineLevel="0" max="1" min="1" style="1" width="48.67"/>
    <col collapsed="false" customWidth="true" hidden="false" outlineLevel="0" max="2" min="2" style="1" width="50"/>
    <col collapsed="false" customWidth="true" hidden="false" outlineLevel="0" max="3" min="3" style="1" width="59.89"/>
    <col collapsed="false" customWidth="true" hidden="false" outlineLevel="0" max="4" min="4" style="1" width="55.88"/>
    <col collapsed="false" customWidth="true" hidden="false" outlineLevel="0" max="5" min="5" style="1" width="49.33"/>
    <col collapsed="false" customWidth="true" hidden="false" outlineLevel="0" max="6" min="6" style="1" width="30.88"/>
    <col collapsed="false" customWidth="true" hidden="false" outlineLevel="0" max="7" min="7" style="1" width="34.34"/>
    <col collapsed="false" customWidth="true" hidden="false" outlineLevel="0" max="8" min="8" style="1" width="32.44"/>
    <col collapsed="false" customWidth="true" hidden="false" outlineLevel="0" max="9" min="9" style="1" width="21.88"/>
    <col collapsed="false" customWidth="true" hidden="false" outlineLevel="0" max="10" min="10" style="1" width="29"/>
    <col collapsed="false" customWidth="true" hidden="false" outlineLevel="0" max="12" min="12" style="1" width="35.44"/>
    <col collapsed="false" customWidth="true" hidden="false" outlineLevel="0" max="18" min="18" style="1" width="12.56"/>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4.2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4.2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4.2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4.2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4.2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0.0114814377510482</v>
      </c>
      <c r="N10" s="206"/>
      <c r="O10" s="206"/>
      <c r="P10" s="206"/>
      <c r="Q10" s="206"/>
      <c r="R10" s="206" t="n">
        <v>0.011217229240813</v>
      </c>
      <c r="S10" s="206"/>
      <c r="T10" s="206"/>
      <c r="U10" s="206"/>
      <c r="V10" s="206"/>
      <c r="W10" s="206" t="n">
        <v>0.0137073065541908</v>
      </c>
      <c r="X10" s="206"/>
      <c r="Y10" s="206"/>
      <c r="Z10" s="206"/>
      <c r="AA10" s="206"/>
      <c r="AB10" s="206" t="n">
        <v>0.0153085880531061</v>
      </c>
      <c r="AC10" s="206"/>
      <c r="AD10" s="206"/>
      <c r="AE10" s="206"/>
      <c r="AF10" s="206"/>
      <c r="AG10" s="206" t="n">
        <v>0.015501328315761</v>
      </c>
      <c r="AH10" s="206"/>
      <c r="AI10" s="206"/>
      <c r="AJ10" s="206"/>
      <c r="AK10" s="206"/>
      <c r="AL10" s="206" t="n">
        <v>0.0157092931538709</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4.2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4.25" hidden="false" customHeight="false" outlineLevel="0" collapsed="false">
      <c r="A16" s="211" t="s">
        <v>498</v>
      </c>
      <c r="B16" s="202" t="s">
        <v>499</v>
      </c>
      <c r="C16" s="212" t="n">
        <v>0.117609721833719</v>
      </c>
      <c r="D16" s="212" t="n">
        <v>0.113707811921418</v>
      </c>
      <c r="E16" s="212" t="n">
        <v>0.1268050283133</v>
      </c>
      <c r="F16" s="212" t="n">
        <v>0.135126859489025</v>
      </c>
      <c r="G16" s="212" t="n">
        <v>0.140282729162163</v>
      </c>
      <c r="H16" s="212" t="n">
        <v>0.146916832301251</v>
      </c>
      <c r="I16" s="213" t="n">
        <v>0.148630915135189</v>
      </c>
      <c r="J16" s="81"/>
      <c r="K16" s="160"/>
      <c r="L16" s="81"/>
    </row>
    <row r="17" customFormat="false" ht="14.25" hidden="false" customHeight="false" outlineLevel="0" collapsed="false">
      <c r="A17" s="211" t="s">
        <v>500</v>
      </c>
      <c r="B17" s="202" t="s">
        <v>499</v>
      </c>
      <c r="C17" s="212" t="n">
        <v>0.000878474</v>
      </c>
      <c r="D17" s="212" t="n">
        <v>0.0011024</v>
      </c>
      <c r="E17" s="212" t="n">
        <v>0.0011334</v>
      </c>
      <c r="F17" s="212" t="n">
        <v>0.00200848238735286</v>
      </c>
      <c r="G17" s="212" t="n">
        <v>0.0025763285102634</v>
      </c>
      <c r="H17" s="212" t="n">
        <v>0.00298497591757019</v>
      </c>
      <c r="I17" s="213" t="n">
        <v>0.00339362332487698</v>
      </c>
      <c r="J17" s="81"/>
      <c r="K17" s="81"/>
      <c r="L17" s="81"/>
    </row>
    <row r="18" customFormat="false" ht="14.25" hidden="false" customHeight="false" outlineLevel="0" collapsed="false">
      <c r="A18" s="211" t="s">
        <v>501</v>
      </c>
      <c r="B18" s="202" t="s">
        <v>499</v>
      </c>
      <c r="C18" s="212" t="n">
        <v>0.0374522</v>
      </c>
      <c r="D18" s="212" t="n">
        <v>0.0396114137098256</v>
      </c>
      <c r="E18" s="212" t="n">
        <v>0.06069115</v>
      </c>
      <c r="F18" s="214" t="n">
        <v>0.08975165</v>
      </c>
      <c r="G18" s="214" t="n">
        <v>0.12725</v>
      </c>
      <c r="H18" s="214" t="n">
        <v>0.1769065</v>
      </c>
      <c r="I18" s="213" t="n">
        <v>0.2118585</v>
      </c>
      <c r="J18" s="81"/>
      <c r="K18" s="81"/>
      <c r="L18" s="81"/>
    </row>
    <row r="19" customFormat="false" ht="14.25" hidden="false" customHeight="false" outlineLevel="0" collapsed="false">
      <c r="A19" s="211" t="s">
        <v>502</v>
      </c>
      <c r="B19" s="202" t="s">
        <v>499</v>
      </c>
      <c r="C19" s="212" t="n">
        <v>0.0008299085</v>
      </c>
      <c r="D19" s="212" t="n">
        <v>0.00160824276183273</v>
      </c>
      <c r="E19" s="212" t="n">
        <v>0.014096475</v>
      </c>
      <c r="F19" s="214" t="n">
        <v>0.02532925</v>
      </c>
      <c r="G19" s="214" t="n">
        <v>0.03581605</v>
      </c>
      <c r="H19" s="214" t="n">
        <v>0.04635715</v>
      </c>
      <c r="I19" s="213" t="n">
        <v>0.05620975</v>
      </c>
      <c r="J19" s="160"/>
      <c r="K19" s="81"/>
      <c r="L19" s="81"/>
    </row>
    <row r="20" customFormat="false" ht="14.25" hidden="false" customHeight="false" outlineLevel="0" collapsed="false">
      <c r="A20" s="211" t="s">
        <v>503</v>
      </c>
      <c r="B20" s="202" t="s">
        <v>499</v>
      </c>
      <c r="C20" s="212" t="n">
        <v>0.146914125126844</v>
      </c>
      <c r="D20" s="212" t="n">
        <v>0.170956271387911</v>
      </c>
      <c r="E20" s="212" t="n">
        <v>0.359162426436101</v>
      </c>
      <c r="F20" s="214" t="n">
        <v>0.526015222710319</v>
      </c>
      <c r="G20" s="214" t="n">
        <v>0.6707412377823</v>
      </c>
      <c r="H20" s="214" t="n">
        <v>0.895000988463177</v>
      </c>
      <c r="I20" s="213" t="n">
        <v>1.01362210322222</v>
      </c>
    </row>
    <row r="21" customFormat="false" ht="14.25" hidden="false" customHeight="false" outlineLevel="0" collapsed="false">
      <c r="A21" s="211" t="s">
        <v>504</v>
      </c>
      <c r="B21" s="202" t="s">
        <v>499</v>
      </c>
      <c r="C21" s="212" t="n">
        <v>0.0121029772625668</v>
      </c>
      <c r="D21" s="212" t="n">
        <v>0.0392747193946296</v>
      </c>
      <c r="E21" s="212" t="n">
        <v>0.0638937271994091</v>
      </c>
      <c r="F21" s="214" t="n">
        <v>0.105000218961605</v>
      </c>
      <c r="G21" s="214" t="n">
        <v>0.186851022344914</v>
      </c>
      <c r="H21" s="214" t="n">
        <v>0.324965157175987</v>
      </c>
      <c r="I21" s="213" t="n">
        <v>0.362987208788995</v>
      </c>
      <c r="K21" s="81"/>
      <c r="L21" s="81"/>
    </row>
    <row r="22" customFormat="false" ht="14.25" hidden="false" customHeight="false" outlineLevel="0" collapsed="false">
      <c r="A22" s="211" t="s">
        <v>505</v>
      </c>
      <c r="B22" s="202" t="s">
        <v>499</v>
      </c>
      <c r="C22" s="212" t="n">
        <v>0.125671151626567</v>
      </c>
      <c r="D22" s="212" t="n">
        <v>0.156494540934672</v>
      </c>
      <c r="E22" s="212" t="n">
        <v>0.389285836686693</v>
      </c>
      <c r="F22" s="214" t="n">
        <v>0.545212013431527</v>
      </c>
      <c r="G22" s="214" t="n">
        <v>0.755351384766724</v>
      </c>
      <c r="H22" s="214" t="n">
        <v>0.97004701873674</v>
      </c>
      <c r="I22" s="213" t="n">
        <v>1.15086859750692</v>
      </c>
      <c r="K22" s="81"/>
      <c r="L22" s="81"/>
    </row>
    <row r="23" customFormat="false" ht="14.25" hidden="false" customHeight="false" outlineLevel="0" collapsed="false">
      <c r="A23" s="211" t="s">
        <v>506</v>
      </c>
      <c r="B23" s="202" t="s">
        <v>499</v>
      </c>
      <c r="C23" s="212" t="n">
        <v>0.0023288</v>
      </c>
      <c r="D23" s="212" t="n">
        <v>0.0049788</v>
      </c>
      <c r="E23" s="212" t="n">
        <v>0.0076288</v>
      </c>
      <c r="F23" s="212" t="n">
        <v>0.0092216</v>
      </c>
      <c r="G23" s="212" t="n">
        <v>0.0108144</v>
      </c>
      <c r="H23" s="212" t="n">
        <v>0.0124072</v>
      </c>
      <c r="I23" s="215" t="n">
        <v>0.014</v>
      </c>
    </row>
    <row r="24" customFormat="false" ht="15" hidden="false" customHeight="true" outlineLevel="0" collapsed="false">
      <c r="A24" s="211" t="s">
        <v>507</v>
      </c>
      <c r="B24" s="202" t="s">
        <v>499</v>
      </c>
      <c r="C24" s="212" t="n">
        <v>0.045</v>
      </c>
      <c r="D24" s="212" t="n">
        <v>0.055</v>
      </c>
      <c r="E24" s="212" t="n">
        <v>0.065</v>
      </c>
      <c r="F24" s="212" t="n">
        <v>0.065</v>
      </c>
      <c r="G24" s="212" t="n">
        <v>0.065</v>
      </c>
      <c r="H24" s="212" t="n">
        <v>0.065</v>
      </c>
      <c r="I24" s="213" t="n">
        <v>0.065</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t="s">
        <v>510</v>
      </c>
      <c r="B27" s="200"/>
      <c r="C27" s="200"/>
      <c r="D27" s="200"/>
      <c r="E27" s="200"/>
      <c r="F27" s="200"/>
      <c r="G27" s="200"/>
      <c r="H27" s="200"/>
      <c r="I27" s="200"/>
    </row>
    <row r="28" customFormat="false" ht="14.25" hidden="false" customHeight="false" outlineLevel="0" collapsed="false">
      <c r="A28" s="218" t="s">
        <v>511</v>
      </c>
      <c r="B28" s="219" t="s">
        <v>146</v>
      </c>
      <c r="C28" s="220" t="n">
        <v>0</v>
      </c>
      <c r="D28" s="220" t="n">
        <v>0</v>
      </c>
      <c r="E28" s="220" t="n">
        <v>0</v>
      </c>
      <c r="F28" s="220" t="n">
        <v>0</v>
      </c>
      <c r="G28" s="220" t="n">
        <v>0</v>
      </c>
      <c r="H28" s="220" t="n">
        <v>0</v>
      </c>
      <c r="I28" s="220" t="n">
        <v>0</v>
      </c>
    </row>
    <row r="29" customFormat="false" ht="14.2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512</v>
      </c>
      <c r="B31" s="222"/>
      <c r="C31" s="222"/>
      <c r="E31" s="81"/>
      <c r="F31" s="81"/>
      <c r="G31" s="81"/>
      <c r="H31" s="160"/>
      <c r="I31" s="81"/>
      <c r="L31" s="75"/>
    </row>
    <row r="32" customFormat="false" ht="14.25" hidden="false" customHeight="false" outlineLevel="0" collapsed="false">
      <c r="A32" s="211" t="s">
        <v>513</v>
      </c>
      <c r="B32" s="202" t="s">
        <v>514</v>
      </c>
      <c r="C32" s="223" t="n">
        <v>0.1</v>
      </c>
      <c r="H32" s="160"/>
      <c r="K32" s="45"/>
      <c r="M32" s="81"/>
    </row>
    <row r="33" customFormat="false" ht="14.25" hidden="false" customHeight="false" outlineLevel="0" collapsed="false">
      <c r="A33" s="211" t="s">
        <v>515</v>
      </c>
      <c r="B33" s="202" t="s">
        <v>36</v>
      </c>
      <c r="C33" s="204" t="n">
        <v>2035</v>
      </c>
      <c r="E33" s="81"/>
      <c r="F33" s="81"/>
      <c r="G33" s="81"/>
      <c r="H33" s="160"/>
      <c r="I33" s="81"/>
      <c r="J33" s="62"/>
    </row>
    <row r="34" customFormat="false" ht="14.25" hidden="false" customHeight="false" outlineLevel="0" collapsed="false">
      <c r="A34" s="211" t="s">
        <v>516</v>
      </c>
      <c r="B34" s="202" t="s">
        <v>514</v>
      </c>
      <c r="C34" s="224"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517</v>
      </c>
      <c r="B35" s="222"/>
      <c r="C35" s="222"/>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4.25" hidden="false" customHeight="false" outlineLevel="0" collapsed="false">
      <c r="A36" s="211" t="s">
        <v>518</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4.25" hidden="false" customHeight="false" outlineLevel="0" collapsed="false">
      <c r="A37" s="211" t="s">
        <v>519</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4.25" hidden="false" customHeight="false" outlineLevel="0" collapsed="false">
      <c r="A38" s="211" t="s">
        <v>520</v>
      </c>
      <c r="B38" s="202" t="s">
        <v>514</v>
      </c>
      <c r="C38" s="224"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4.25" hidden="false" customHeight="false" outlineLevel="0" collapsed="false">
      <c r="A39" s="211" t="s">
        <v>521</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4.25" hidden="false" customHeight="false" outlineLevel="0" collapsed="false">
      <c r="A40" s="211" t="s">
        <v>522</v>
      </c>
      <c r="B40" s="202" t="s">
        <v>514</v>
      </c>
      <c r="C40" s="224"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4.25" hidden="false" customHeight="false" outlineLevel="0" collapsed="false">
      <c r="A42" s="216" t="s">
        <v>523</v>
      </c>
      <c r="B42" s="205" t="s">
        <v>514</v>
      </c>
      <c r="C42" s="225"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4.25" hidden="false" customHeight="false" outlineLevel="0" collapsed="false">
      <c r="A45" s="216" t="s">
        <v>524</v>
      </c>
      <c r="B45" s="205" t="s">
        <v>514</v>
      </c>
      <c r="C45" s="225"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4.25" hidden="false" customHeight="false" outlineLevel="0" collapsed="false">
      <c r="A48" s="211" t="s">
        <v>525</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4.25" hidden="false" customHeight="false" outlineLevel="0" collapsed="false">
      <c r="A49" s="211" t="s">
        <v>526</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4.25" hidden="false" customHeight="false" outlineLevel="0" collapsed="false">
      <c r="A50" s="211" t="s">
        <v>527</v>
      </c>
      <c r="B50" s="202" t="s">
        <v>514</v>
      </c>
      <c r="C50" s="224"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4.25" hidden="false" customHeight="false" outlineLevel="0" collapsed="false">
      <c r="A51" s="211" t="s">
        <v>528</v>
      </c>
      <c r="B51" s="202" t="s">
        <v>514</v>
      </c>
      <c r="C51" s="224"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4.25" hidden="false" customHeight="false" outlineLevel="0" collapsed="false">
      <c r="A52" s="216" t="s">
        <v>529</v>
      </c>
      <c r="B52" s="205" t="s">
        <v>514</v>
      </c>
      <c r="C52" s="226" t="n">
        <v>0.01</v>
      </c>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7.35" hidden="false" customHeight="false" outlineLevel="0" collapsed="false">
      <c r="A53" s="200" t="s">
        <v>530</v>
      </c>
      <c r="B53" s="200"/>
      <c r="C53" s="200"/>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row>
    <row r="54" customFormat="false" ht="14.25" hidden="false" customHeight="false" outlineLevel="0" collapsed="false">
      <c r="A54" s="227" t="s">
        <v>531</v>
      </c>
      <c r="B54" s="202" t="s">
        <v>36</v>
      </c>
      <c r="C54" s="203" t="n">
        <v>2050</v>
      </c>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row>
    <row r="55" customFormat="false" ht="14.25" hidden="false" customHeight="false" outlineLevel="0" collapsed="false">
      <c r="A55" s="227" t="s">
        <v>532</v>
      </c>
      <c r="B55" s="202" t="s">
        <v>533</v>
      </c>
      <c r="C55" s="228" t="n">
        <v>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row>
    <row r="56" customFormat="false" ht="14.25" hidden="false" customHeight="false" outlineLevel="0" collapsed="false">
      <c r="A56" s="227" t="s">
        <v>534</v>
      </c>
      <c r="B56" s="202" t="s">
        <v>533</v>
      </c>
      <c r="C56" s="228"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row>
    <row r="57" customFormat="false" ht="14.25" hidden="false" customHeight="false" outlineLevel="0" collapsed="false">
      <c r="A57" s="227" t="s">
        <v>535</v>
      </c>
      <c r="B57" s="202" t="s">
        <v>533</v>
      </c>
      <c r="C57" s="228" t="n">
        <v>0.1</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row>
    <row r="58" customFormat="false" ht="14.25" hidden="false" customHeight="false" outlineLevel="0" collapsed="false">
      <c r="A58" s="227" t="s">
        <v>536</v>
      </c>
      <c r="B58" s="202" t="s">
        <v>533</v>
      </c>
      <c r="C58" s="228" t="n">
        <v>0.5</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row>
    <row r="59" customFormat="false" ht="14.25" hidden="false" customHeight="false" outlineLevel="0" collapsed="false">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row>
    <row r="60" customFormat="false" ht="17.35" hidden="false" customHeight="false" outlineLevel="0" collapsed="false">
      <c r="A60" s="200" t="s">
        <v>537</v>
      </c>
      <c r="B60" s="200"/>
      <c r="C60" s="200"/>
      <c r="D60" s="200"/>
      <c r="E60" s="200"/>
      <c r="F60" s="200"/>
      <c r="G60" s="200"/>
      <c r="H60" s="200"/>
      <c r="I60" s="200"/>
    </row>
    <row r="61" customFormat="false" ht="14.25" hidden="false" customHeight="false" outlineLevel="0" collapsed="false">
      <c r="A61" s="227" t="s">
        <v>36</v>
      </c>
      <c r="B61" s="202" t="s">
        <v>36</v>
      </c>
      <c r="C61" s="229" t="n">
        <v>2020</v>
      </c>
      <c r="D61" s="229" t="n">
        <v>2025</v>
      </c>
      <c r="E61" s="229" t="n">
        <v>2030</v>
      </c>
      <c r="F61" s="229" t="n">
        <v>2035</v>
      </c>
      <c r="G61" s="229" t="n">
        <v>2040</v>
      </c>
      <c r="H61" s="229" t="n">
        <v>2045</v>
      </c>
      <c r="I61" s="230" t="n">
        <v>2050</v>
      </c>
    </row>
    <row r="62" customFormat="false" ht="14.25" hidden="false" customHeight="false" outlineLevel="0" collapsed="false">
      <c r="A62" s="227" t="s">
        <v>538</v>
      </c>
      <c r="B62" s="202" t="s">
        <v>146</v>
      </c>
      <c r="C62" s="231" t="n">
        <v>0</v>
      </c>
      <c r="D62" s="231" t="n">
        <v>0</v>
      </c>
      <c r="E62" s="231" t="n">
        <v>0</v>
      </c>
      <c r="F62" s="231" t="n">
        <v>0</v>
      </c>
      <c r="G62" s="231" t="n">
        <v>0</v>
      </c>
      <c r="H62" s="231" t="n">
        <v>0</v>
      </c>
      <c r="I62" s="231" t="n">
        <v>0</v>
      </c>
      <c r="J62" s="221"/>
      <c r="K62" s="221"/>
    </row>
    <row r="63" customFormat="false" ht="14.25" hidden="false" customHeight="false" outlineLevel="0" collapsed="false">
      <c r="A63" s="227" t="s">
        <v>539</v>
      </c>
      <c r="B63" s="202" t="s">
        <v>146</v>
      </c>
      <c r="C63" s="231" t="n">
        <v>0</v>
      </c>
      <c r="D63" s="231" t="n">
        <v>0</v>
      </c>
      <c r="E63" s="231" t="n">
        <v>0.00189148985353949</v>
      </c>
      <c r="F63" s="231" t="n">
        <v>0.482964256198595</v>
      </c>
      <c r="G63" s="231" t="n">
        <v>1.23853129255308</v>
      </c>
      <c r="H63" s="231" t="n">
        <v>2.86141754184028</v>
      </c>
      <c r="I63" s="231" t="n">
        <v>2.81340799792693</v>
      </c>
      <c r="J63" s="221"/>
      <c r="K63" s="221"/>
    </row>
    <row r="64" customFormat="false" ht="14.25" hidden="false" customHeight="false" outlineLevel="0" collapsed="false">
      <c r="A64" s="227" t="s">
        <v>540</v>
      </c>
      <c r="B64" s="202" t="s">
        <v>146</v>
      </c>
      <c r="C64" s="232" t="n">
        <v>4E-005</v>
      </c>
      <c r="D64" s="231" t="n">
        <v>0.00071</v>
      </c>
      <c r="E64" s="231" t="n">
        <v>0.0152316875119172</v>
      </c>
      <c r="F64" s="231" t="n">
        <v>0.138807762777472</v>
      </c>
      <c r="G64" s="231" t="n">
        <v>0.868480719185939</v>
      </c>
      <c r="H64" s="231" t="n">
        <v>1.87867682957348</v>
      </c>
      <c r="I64" s="231" t="n">
        <v>2.78389156693196</v>
      </c>
    </row>
    <row r="65" customFormat="false" ht="14.25" hidden="false" customHeight="false" outlineLevel="0" collapsed="false">
      <c r="A65" s="227" t="s">
        <v>541</v>
      </c>
      <c r="B65" s="202" t="s">
        <v>146</v>
      </c>
      <c r="C65" s="231" t="n">
        <v>0</v>
      </c>
      <c r="D65" s="231" t="n">
        <v>0</v>
      </c>
      <c r="E65" s="231" t="n">
        <v>0</v>
      </c>
      <c r="F65" s="231" t="n">
        <v>0</v>
      </c>
      <c r="G65" s="231" t="n">
        <v>0</v>
      </c>
      <c r="H65" s="231" t="n">
        <v>0</v>
      </c>
      <c r="I65" s="231" t="n">
        <v>0</v>
      </c>
    </row>
    <row r="66" customFormat="false" ht="14.25" hidden="false" customHeight="false" outlineLevel="0" collapsed="false">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row>
    <row r="67" customFormat="false" ht="14.2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row>
    <row r="68" customFormat="false" ht="24.45" hidden="false" customHeight="false" outlineLevel="0" collapsed="false">
      <c r="A68" s="199" t="s">
        <v>542</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3" t="s">
        <v>168</v>
      </c>
      <c r="B69" s="234"/>
      <c r="C69" s="235"/>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6"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4.25" hidden="false" customHeight="false" outlineLevel="0" collapsed="false">
      <c r="A71" s="236"/>
      <c r="B71" s="205" t="s">
        <v>543</v>
      </c>
      <c r="C71" s="226"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4.25" hidden="false" customHeight="false" outlineLevel="0" collapsed="false">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row>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6"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4.25" hidden="false" customHeight="false" outlineLevel="0" collapsed="false">
      <c r="A75" s="236"/>
      <c r="B75" s="205" t="s">
        <v>544</v>
      </c>
      <c r="C75" s="226"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7" t="s">
        <v>228</v>
      </c>
      <c r="B77" s="237"/>
      <c r="C77" s="237"/>
      <c r="D77" s="238" t="s">
        <v>545</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4.25" hidden="false" customHeight="false" outlineLevel="0" collapsed="false">
      <c r="A78" s="211" t="s">
        <v>546</v>
      </c>
      <c r="B78" s="202" t="s">
        <v>547</v>
      </c>
      <c r="C78" s="228"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39" t="s">
        <v>230</v>
      </c>
      <c r="B79" s="239"/>
      <c r="C79" s="239"/>
      <c r="D79" s="240" t="s">
        <v>548</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549</v>
      </c>
      <c r="B80" s="205" t="s">
        <v>547</v>
      </c>
      <c r="C80" s="241" t="n">
        <v>0.2</v>
      </c>
      <c r="D80" s="242"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4.25" hidden="false" customHeight="false" outlineLevel="0" collapsed="false">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row>
    <row r="82" customFormat="false" ht="17.35" hidden="false" customHeight="false" outlineLevel="0" collapsed="false">
      <c r="A82" s="200" t="s">
        <v>236</v>
      </c>
      <c r="B82" s="200"/>
      <c r="C82" s="200"/>
    </row>
    <row r="83" customFormat="false" ht="14.25" hidden="false" customHeight="false" outlineLevel="0" collapsed="false">
      <c r="A83" s="243" t="s">
        <v>550</v>
      </c>
      <c r="B83" s="202" t="s">
        <v>551</v>
      </c>
      <c r="C83" s="244" t="n">
        <v>0</v>
      </c>
    </row>
    <row r="84" customFormat="false" ht="14.25" hidden="false" customHeight="false" outlineLevel="0" collapsed="false">
      <c r="A84" s="243"/>
      <c r="B84" s="202" t="s">
        <v>552</v>
      </c>
      <c r="C84" s="244" t="n">
        <v>2023</v>
      </c>
    </row>
    <row r="85" customFormat="false" ht="14.25" hidden="false" customHeight="false" outlineLevel="0" collapsed="false">
      <c r="A85" s="243" t="s">
        <v>237</v>
      </c>
      <c r="B85" s="202" t="s">
        <v>238</v>
      </c>
      <c r="C85" s="244" t="n">
        <v>2015</v>
      </c>
      <c r="G85" s="118"/>
      <c r="H85" s="118"/>
      <c r="I85" s="127"/>
      <c r="J85" s="127"/>
      <c r="K85" s="127"/>
      <c r="L85" s="127"/>
      <c r="M85" s="127"/>
      <c r="N85" s="127"/>
      <c r="O85" s="127"/>
      <c r="P85" s="127"/>
      <c r="Q85" s="127"/>
      <c r="R85" s="127"/>
      <c r="S85" s="127"/>
      <c r="T85" s="127"/>
    </row>
    <row r="86" customFormat="false" ht="14.25" hidden="false" customHeight="false" outlineLevel="0" collapsed="false">
      <c r="A86" s="243"/>
      <c r="B86" s="202" t="s">
        <v>241</v>
      </c>
      <c r="C86" s="245" t="n">
        <v>0</v>
      </c>
      <c r="G86" s="118"/>
      <c r="H86" s="118"/>
      <c r="I86" s="127"/>
      <c r="J86" s="127"/>
      <c r="K86" s="127"/>
      <c r="L86" s="127"/>
      <c r="M86" s="127"/>
      <c r="N86" s="127"/>
      <c r="O86" s="127"/>
      <c r="P86" s="127"/>
      <c r="Q86" s="127"/>
      <c r="R86" s="127"/>
      <c r="S86" s="127"/>
      <c r="T86" s="127"/>
    </row>
    <row r="87" customFormat="false" ht="14.25" hidden="false" customHeight="false" outlineLevel="0" collapsed="false">
      <c r="A87" s="243" t="s">
        <v>243</v>
      </c>
      <c r="B87" s="202" t="s">
        <v>238</v>
      </c>
      <c r="C87" s="244" t="n">
        <v>2015</v>
      </c>
    </row>
    <row r="88" customFormat="false" ht="14.25" hidden="false" customHeight="false" outlineLevel="0" collapsed="false">
      <c r="A88" s="243"/>
      <c r="B88" s="202" t="s">
        <v>241</v>
      </c>
      <c r="C88" s="245" t="n">
        <v>0</v>
      </c>
    </row>
    <row r="89" customFormat="false" ht="14.25" hidden="false" customHeight="false" outlineLevel="0" collapsed="false">
      <c r="A89" s="243" t="s">
        <v>244</v>
      </c>
      <c r="B89" s="202" t="s">
        <v>238</v>
      </c>
      <c r="C89" s="244" t="n">
        <v>2023</v>
      </c>
    </row>
    <row r="90" customFormat="false" ht="14.25" hidden="false" customHeight="false" outlineLevel="0" collapsed="false">
      <c r="A90" s="243"/>
      <c r="B90" s="202" t="s">
        <v>241</v>
      </c>
      <c r="C90" s="245" t="n">
        <v>0</v>
      </c>
    </row>
    <row r="91" customFormat="false" ht="14.25" hidden="false" customHeight="false" outlineLevel="0" collapsed="false">
      <c r="A91" s="243" t="s">
        <v>246</v>
      </c>
      <c r="B91" s="202" t="s">
        <v>238</v>
      </c>
      <c r="C91" s="244" t="n">
        <v>2023</v>
      </c>
      <c r="G91" s="138"/>
      <c r="I91" s="125"/>
      <c r="J91" s="125"/>
      <c r="K91" s="125"/>
      <c r="L91" s="125"/>
      <c r="M91" s="125"/>
      <c r="N91" s="125"/>
      <c r="O91" s="125"/>
      <c r="P91" s="125"/>
      <c r="Q91" s="125"/>
      <c r="R91" s="125"/>
      <c r="S91" s="125"/>
      <c r="T91" s="125"/>
    </row>
    <row r="92" customFormat="false" ht="14.25" hidden="false" customHeight="false" outlineLevel="0" collapsed="false">
      <c r="A92" s="243"/>
      <c r="B92" s="202" t="s">
        <v>241</v>
      </c>
      <c r="C92" s="245" t="n">
        <v>0</v>
      </c>
    </row>
    <row r="93" customFormat="false" ht="14.25" hidden="false" customHeight="false" outlineLevel="0" collapsed="false">
      <c r="A93" s="243" t="s">
        <v>211</v>
      </c>
      <c r="B93" s="202" t="s">
        <v>238</v>
      </c>
      <c r="C93" s="244" t="n">
        <v>2023</v>
      </c>
    </row>
    <row r="94" customFormat="false" ht="14.25" hidden="false" customHeight="false" outlineLevel="0" collapsed="false">
      <c r="A94" s="243"/>
      <c r="B94" s="202" t="s">
        <v>241</v>
      </c>
      <c r="C94" s="245" t="n">
        <v>0.97</v>
      </c>
    </row>
    <row r="95" customFormat="false" ht="14.25" hidden="false" customHeight="false" outlineLevel="0" collapsed="false">
      <c r="A95" s="243" t="s">
        <v>240</v>
      </c>
      <c r="B95" s="202" t="s">
        <v>238</v>
      </c>
      <c r="C95" s="244" t="n">
        <v>2023</v>
      </c>
    </row>
    <row r="96" customFormat="false" ht="14.25" hidden="false" customHeight="false" outlineLevel="0" collapsed="false">
      <c r="A96" s="243"/>
      <c r="B96" s="202" t="s">
        <v>241</v>
      </c>
      <c r="C96" s="245" t="n">
        <v>0.74</v>
      </c>
    </row>
    <row r="97" customFormat="false" ht="14.25" hidden="false" customHeight="false" outlineLevel="0" collapsed="false">
      <c r="A97" s="236" t="s">
        <v>245</v>
      </c>
      <c r="B97" s="202" t="s">
        <v>238</v>
      </c>
      <c r="C97" s="244" t="n">
        <v>2023</v>
      </c>
    </row>
    <row r="98" customFormat="false" ht="14.25" hidden="false" customHeight="false" outlineLevel="0" collapsed="false">
      <c r="A98" s="236"/>
      <c r="B98" s="205" t="s">
        <v>241</v>
      </c>
      <c r="C98" s="246" t="n">
        <v>0.87</v>
      </c>
    </row>
    <row r="99" customFormat="false" ht="14.25" hidden="false" customHeight="false" outlineLevel="0" collapsed="false">
      <c r="A99" s="139" t="s">
        <v>247</v>
      </c>
    </row>
    <row r="101" customFormat="false" ht="14.25" hidden="false" customHeight="true" outlineLevel="0" collapsed="false">
      <c r="A101" s="200" t="s">
        <v>248</v>
      </c>
      <c r="B101" s="200"/>
      <c r="C101" s="200"/>
    </row>
    <row r="102" customFormat="false" ht="14.25" hidden="false" customHeight="false" outlineLevel="0" collapsed="false">
      <c r="A102" s="211" t="s">
        <v>249</v>
      </c>
      <c r="B102" s="202" t="s">
        <v>28</v>
      </c>
      <c r="C102" s="244" t="n">
        <v>1</v>
      </c>
    </row>
    <row r="103" customFormat="false" ht="14.25" hidden="false" customHeight="false" outlineLevel="0" collapsed="false">
      <c r="A103" s="211" t="s">
        <v>256</v>
      </c>
      <c r="B103" s="202" t="s">
        <v>28</v>
      </c>
      <c r="C103" s="244" t="n">
        <v>1</v>
      </c>
    </row>
    <row r="104" customFormat="false" ht="14.25" hidden="false" customHeight="false" outlineLevel="0" collapsed="false">
      <c r="A104" s="211" t="s">
        <v>553</v>
      </c>
      <c r="B104" s="202" t="s">
        <v>36</v>
      </c>
      <c r="C104" s="244" t="n">
        <v>2020</v>
      </c>
    </row>
    <row r="105" customFormat="false" ht="14.25" hidden="false" customHeight="false" outlineLevel="0" collapsed="false">
      <c r="A105" s="211" t="s">
        <v>554</v>
      </c>
      <c r="B105" s="202" t="s">
        <v>36</v>
      </c>
      <c r="C105" s="244" t="n">
        <v>2025</v>
      </c>
    </row>
    <row r="106" customFormat="false" ht="14.25" hidden="false" customHeight="false" outlineLevel="0" collapsed="false">
      <c r="A106" s="211" t="s">
        <v>555</v>
      </c>
      <c r="B106" s="202" t="s">
        <v>36</v>
      </c>
      <c r="C106" s="244" t="n">
        <v>2035</v>
      </c>
    </row>
    <row r="107" customFormat="false" ht="14.25" hidden="false" customHeight="false" outlineLevel="0" collapsed="false">
      <c r="A107" s="211" t="s">
        <v>556</v>
      </c>
      <c r="B107" s="202" t="s">
        <v>36</v>
      </c>
      <c r="C107" s="244" t="n">
        <v>2050</v>
      </c>
    </row>
    <row r="108" customFormat="false" ht="14.25" hidden="false" customHeight="false" outlineLevel="0" collapsed="false">
      <c r="A108" s="211" t="s">
        <v>255</v>
      </c>
      <c r="B108" s="202" t="s">
        <v>28</v>
      </c>
      <c r="C108" s="244" t="n">
        <v>0</v>
      </c>
    </row>
    <row r="109" customFormat="false" ht="14.25" hidden="false" customHeight="false" outlineLevel="0" collapsed="false">
      <c r="A109" s="211" t="s">
        <v>261</v>
      </c>
      <c r="B109" s="202" t="s">
        <v>28</v>
      </c>
      <c r="C109" s="244" t="n">
        <v>0</v>
      </c>
    </row>
    <row r="110" customFormat="false" ht="14.25" hidden="false" customHeight="false" outlineLevel="0" collapsed="false">
      <c r="A110" s="211" t="s">
        <v>557</v>
      </c>
      <c r="B110" s="202"/>
      <c r="C110" s="204" t="n">
        <v>2050</v>
      </c>
    </row>
    <row r="111" customFormat="false" ht="14.25" hidden="false" customHeight="false" outlineLevel="0" collapsed="false">
      <c r="A111" s="216" t="s">
        <v>558</v>
      </c>
      <c r="B111" s="205" t="s">
        <v>28</v>
      </c>
      <c r="C111" s="242" t="n">
        <v>0.8</v>
      </c>
    </row>
    <row r="112" customFormat="false" ht="14.25" hidden="false" customHeight="true" outlineLevel="0" collapsed="false"/>
    <row r="113" customFormat="false" ht="14.25" hidden="false" customHeight="true" outlineLevel="0" collapsed="false">
      <c r="A113" s="200" t="s">
        <v>58</v>
      </c>
      <c r="B113" s="200"/>
      <c r="C113" s="200"/>
      <c r="D113" s="200"/>
      <c r="E113" s="200"/>
    </row>
    <row r="114" customFormat="false" ht="14.25" hidden="false" customHeight="true" outlineLevel="0" collapsed="false">
      <c r="A114" s="236" t="s">
        <v>59</v>
      </c>
      <c r="B114" s="247" t="n">
        <v>4</v>
      </c>
      <c r="C114" s="227" t="s">
        <v>60</v>
      </c>
      <c r="D114" s="202" t="s">
        <v>65</v>
      </c>
      <c r="E114" s="224" t="n">
        <v>-0.012</v>
      </c>
    </row>
    <row r="115" customFormat="false" ht="14.25" hidden="false" customHeight="true" outlineLevel="0" collapsed="false">
      <c r="A115" s="236"/>
      <c r="B115" s="247"/>
      <c r="C115" s="227" t="s">
        <v>62</v>
      </c>
      <c r="D115" s="202" t="s">
        <v>559</v>
      </c>
      <c r="E115" s="204" t="n">
        <v>2017</v>
      </c>
    </row>
    <row r="116" customFormat="false" ht="14.25" hidden="false" customHeight="true" outlineLevel="0" collapsed="false">
      <c r="A116" s="236"/>
      <c r="B116" s="247"/>
      <c r="C116" s="227" t="s">
        <v>63</v>
      </c>
      <c r="D116" s="248"/>
      <c r="E116" s="248"/>
    </row>
    <row r="117" customFormat="false" ht="14.25" hidden="false" customHeight="true" outlineLevel="0" collapsed="false">
      <c r="A117" s="236"/>
      <c r="B117" s="247"/>
      <c r="C117" s="249" t="s">
        <v>64</v>
      </c>
      <c r="D117" s="248"/>
      <c r="E117" s="248"/>
    </row>
    <row r="118" customFormat="false" ht="14.25" hidden="false" customHeight="true" outlineLevel="0" collapsed="false"/>
    <row r="119" customFormat="false" ht="14.25" hidden="false" customHeight="true" outlineLevel="0" collapsed="false"/>
    <row r="120" customFormat="false" ht="24.45" hidden="false" customHeight="false" outlineLevel="0" collapsed="false">
      <c r="A120" s="199" t="s">
        <v>560</v>
      </c>
    </row>
    <row r="121" customFormat="false" ht="17.35" hidden="false" customHeight="false" outlineLevel="0" collapsed="false">
      <c r="A121" s="200" t="s">
        <v>561</v>
      </c>
      <c r="B121" s="200"/>
      <c r="C121" s="200"/>
      <c r="D121" s="200"/>
      <c r="E121" s="200"/>
      <c r="F121" s="200"/>
      <c r="G121" s="200"/>
      <c r="H121" s="200"/>
      <c r="I121" s="200"/>
      <c r="J121" s="200"/>
    </row>
    <row r="122" customFormat="false" ht="14.2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4.25" hidden="false" customHeight="false" outlineLevel="0" collapsed="false">
      <c r="A123" s="250" t="s">
        <v>562</v>
      </c>
      <c r="B123" s="203" t="s">
        <v>563</v>
      </c>
      <c r="C123" s="202" t="s">
        <v>28</v>
      </c>
      <c r="D123" s="251" t="n">
        <v>0.884728649558267</v>
      </c>
      <c r="E123" s="251" t="n">
        <v>0.880334612500551</v>
      </c>
      <c r="F123" s="251" t="n">
        <v>0.875347755270832</v>
      </c>
      <c r="G123" s="251" t="n">
        <v>0.8703</v>
      </c>
      <c r="H123" s="251" t="n">
        <v>0.8651</v>
      </c>
      <c r="I123" s="251" t="n">
        <v>0.85981</v>
      </c>
      <c r="J123" s="223" t="n">
        <v>0.85439</v>
      </c>
    </row>
    <row r="124" customFormat="false" ht="14.25" hidden="false" customHeight="false" outlineLevel="0" collapsed="false">
      <c r="A124" s="250"/>
      <c r="B124" s="203" t="s">
        <v>564</v>
      </c>
      <c r="C124" s="202" t="s">
        <v>28</v>
      </c>
      <c r="D124" s="251" t="n">
        <v>0.115271350441733</v>
      </c>
      <c r="E124" s="251" t="n">
        <v>0.119665387499449</v>
      </c>
      <c r="F124" s="251" t="n">
        <v>0.124652244729168</v>
      </c>
      <c r="G124" s="251" t="n">
        <v>0.1297</v>
      </c>
      <c r="H124" s="251" t="n">
        <v>0.13493</v>
      </c>
      <c r="I124" s="251" t="n">
        <v>0.1402</v>
      </c>
      <c r="J124" s="223" t="n">
        <v>0.14556</v>
      </c>
    </row>
    <row r="125" customFormat="false" ht="14.25" hidden="false" customHeight="false" outlineLevel="0" collapsed="false">
      <c r="A125" s="250"/>
      <c r="B125" s="203" t="s">
        <v>565</v>
      </c>
      <c r="C125" s="202" t="s">
        <v>28</v>
      </c>
      <c r="D125" s="251" t="n">
        <v>0</v>
      </c>
      <c r="E125" s="251" t="n">
        <v>0</v>
      </c>
      <c r="F125" s="251" t="n">
        <v>0</v>
      </c>
      <c r="G125" s="251" t="n">
        <v>0</v>
      </c>
      <c r="H125" s="251" t="n">
        <v>0</v>
      </c>
      <c r="I125" s="251" t="n">
        <v>0</v>
      </c>
      <c r="J125" s="223" t="n">
        <v>0</v>
      </c>
    </row>
    <row r="126" customFormat="false" ht="14.25" hidden="false" customHeight="false" outlineLevel="0" collapsed="false">
      <c r="A126" s="250" t="s">
        <v>566</v>
      </c>
      <c r="B126" s="203" t="s">
        <v>563</v>
      </c>
      <c r="C126" s="202" t="s">
        <v>28</v>
      </c>
      <c r="D126" s="251" t="n">
        <v>0.941542565014448</v>
      </c>
      <c r="E126" s="251" t="n">
        <v>0.900290185698342</v>
      </c>
      <c r="F126" s="251" t="n">
        <v>0.899485949917109</v>
      </c>
      <c r="G126" s="251" t="n">
        <v>0.898682485967326</v>
      </c>
      <c r="H126" s="251" t="n">
        <v>0.897879793054911</v>
      </c>
      <c r="I126" s="251" t="n">
        <v>0.897077870386644</v>
      </c>
      <c r="J126" s="223" t="n">
        <v>0.8962</v>
      </c>
    </row>
    <row r="127" customFormat="false" ht="14.25" hidden="false" customHeight="false" outlineLevel="0" collapsed="false">
      <c r="A127" s="250"/>
      <c r="B127" s="203" t="s">
        <v>564</v>
      </c>
      <c r="C127" s="202" t="s">
        <v>28</v>
      </c>
      <c r="D127" s="251" t="n">
        <v>0.00422316070237831</v>
      </c>
      <c r="E127" s="251" t="n">
        <v>0.00591359689433226</v>
      </c>
      <c r="F127" s="251" t="n">
        <v>0.00606680081830671</v>
      </c>
      <c r="G127" s="251" t="n">
        <v>0.0062248184197547</v>
      </c>
      <c r="H127" s="251" t="n">
        <v>0.00638782522707298</v>
      </c>
      <c r="I127" s="251" t="n">
        <v>0.0065</v>
      </c>
      <c r="J127" s="223" t="n">
        <v>0.00672954375025719</v>
      </c>
    </row>
    <row r="128" customFormat="false" ht="14.25" hidden="false" customHeight="false" outlineLevel="0" collapsed="false">
      <c r="A128" s="250"/>
      <c r="B128" s="203" t="s">
        <v>565</v>
      </c>
      <c r="C128" s="202" t="s">
        <v>28</v>
      </c>
      <c r="D128" s="251" t="n">
        <v>0.054234274283174</v>
      </c>
      <c r="E128" s="251" t="n">
        <v>0.0937962174073255</v>
      </c>
      <c r="F128" s="251" t="n">
        <v>0.0944472492645847</v>
      </c>
      <c r="G128" s="251" t="n">
        <v>0.0951030367253953</v>
      </c>
      <c r="H128" s="251" t="n">
        <v>0.0957636163505924</v>
      </c>
      <c r="I128" s="251" t="n">
        <v>0.096429024995418</v>
      </c>
      <c r="J128" s="223" t="n">
        <v>0.0970992998119844</v>
      </c>
    </row>
    <row r="129" customFormat="false" ht="14.25" hidden="false" customHeight="false" outlineLevel="0" collapsed="false">
      <c r="A129" s="208" t="s">
        <v>567</v>
      </c>
      <c r="B129" s="252"/>
      <c r="C129" s="202" t="s">
        <v>28</v>
      </c>
      <c r="D129" s="251" t="n">
        <v>0.861189801699717</v>
      </c>
      <c r="E129" s="251" t="n">
        <v>0.816445790051332</v>
      </c>
      <c r="F129" s="251" t="n">
        <v>0.797371103788976</v>
      </c>
      <c r="G129" s="251" t="n">
        <v>0.778743906218434</v>
      </c>
      <c r="H129" s="251" t="n">
        <v>0.760553654678055</v>
      </c>
      <c r="I129" s="251" t="n">
        <v>0.742790055964014</v>
      </c>
      <c r="J129" s="223" t="n">
        <v>0.725443060401842</v>
      </c>
    </row>
    <row r="130" customFormat="false" ht="14.25" hidden="false" customHeight="false" outlineLevel="0" collapsed="false">
      <c r="A130" s="208" t="s">
        <v>568</v>
      </c>
      <c r="B130" s="252"/>
      <c r="C130" s="202" t="s">
        <v>569</v>
      </c>
      <c r="D130" s="253" t="n">
        <f aca="false">SUM(D123:D125)</f>
        <v>1</v>
      </c>
      <c r="E130" s="253" t="n">
        <f aca="false">SUM(E123:E125)</f>
        <v>1</v>
      </c>
      <c r="F130" s="253" t="n">
        <f aca="false">SUM(F123:F125)</f>
        <v>1</v>
      </c>
      <c r="G130" s="253" t="n">
        <f aca="false">SUM(G123:G125)</f>
        <v>1</v>
      </c>
      <c r="H130" s="253" t="n">
        <f aca="false">SUM(H123:H125)</f>
        <v>1.00003</v>
      </c>
      <c r="I130" s="253" t="n">
        <f aca="false">SUM(I123:I125)</f>
        <v>1.00001</v>
      </c>
      <c r="J130" s="253" t="n">
        <f aca="false">SUM(J123:J125)</f>
        <v>0.99995</v>
      </c>
    </row>
    <row r="131" customFormat="false" ht="14.25" hidden="false" customHeight="false" outlineLevel="0" collapsed="false">
      <c r="A131" s="254" t="s">
        <v>570</v>
      </c>
      <c r="B131" s="252"/>
      <c r="C131" s="205" t="s">
        <v>569</v>
      </c>
      <c r="D131" s="253" t="n">
        <f aca="false">SUM(D126:D128)</f>
        <v>1</v>
      </c>
      <c r="E131" s="253" t="n">
        <f aca="false">SUM(E126:E128)</f>
        <v>1</v>
      </c>
      <c r="F131" s="253" t="n">
        <f aca="false">SUM(F126:F128)</f>
        <v>1</v>
      </c>
      <c r="G131" s="253" t="n">
        <f aca="false">SUM(G126:G128)</f>
        <v>1.00001034111248</v>
      </c>
      <c r="H131" s="253" t="n">
        <f aca="false">SUM(H126:H128)</f>
        <v>1.00003123463258</v>
      </c>
      <c r="I131" s="253" t="n">
        <f aca="false">SUM(I126:I128)</f>
        <v>1.00000689538206</v>
      </c>
      <c r="J131" s="253" t="n">
        <f aca="false">SUM(J126:J128)</f>
        <v>1.00002884356224</v>
      </c>
    </row>
    <row r="133" customFormat="false" ht="17.35" hidden="false" customHeight="false" outlineLevel="0" collapsed="false">
      <c r="A133" s="200" t="s">
        <v>571</v>
      </c>
      <c r="B133" s="200"/>
      <c r="C133" s="200"/>
      <c r="D133" s="200"/>
      <c r="E133" s="200"/>
      <c r="F133" s="200"/>
      <c r="G133" s="200"/>
      <c r="H133" s="200"/>
      <c r="I133" s="200"/>
    </row>
    <row r="134" customFormat="false" ht="14.25" hidden="false" customHeight="false" outlineLevel="0" collapsed="false">
      <c r="A134" s="208" t="s">
        <v>36</v>
      </c>
      <c r="B134" s="202" t="s">
        <v>36</v>
      </c>
      <c r="C134" s="203" t="n">
        <v>2020</v>
      </c>
      <c r="D134" s="203" t="n">
        <v>2025</v>
      </c>
      <c r="E134" s="203" t="n">
        <v>2030</v>
      </c>
      <c r="F134" s="203" t="n">
        <v>2035</v>
      </c>
      <c r="G134" s="203" t="n">
        <v>2040</v>
      </c>
      <c r="H134" s="203" t="n">
        <v>2045</v>
      </c>
      <c r="I134" s="204" t="n">
        <v>2050</v>
      </c>
    </row>
    <row r="135" customFormat="false" ht="14.25" hidden="false" customHeight="false" outlineLevel="0" collapsed="false">
      <c r="A135" s="250" t="s">
        <v>572</v>
      </c>
      <c r="B135" s="202" t="s">
        <v>573</v>
      </c>
      <c r="C135" s="251" t="n">
        <v>0.806894766766191</v>
      </c>
      <c r="D135" s="251" t="n">
        <v>0.710215421760778</v>
      </c>
      <c r="E135" s="251" t="n">
        <v>0.60650331097056</v>
      </c>
      <c r="F135" s="251" t="n">
        <v>0.519297101522442</v>
      </c>
      <c r="G135" s="251" t="n">
        <v>0.432090892074324</v>
      </c>
      <c r="H135" s="251" t="n">
        <v>0.344884682626206</v>
      </c>
      <c r="I135" s="223" t="n">
        <v>0.272681803709289</v>
      </c>
    </row>
    <row r="136" customFormat="false" ht="14.25" hidden="false" customHeight="false" outlineLevel="0" collapsed="false">
      <c r="A136" s="250"/>
      <c r="B136" s="202" t="s">
        <v>192</v>
      </c>
      <c r="C136" s="251" t="n">
        <v>0.0257197201277087</v>
      </c>
      <c r="D136" s="251" t="n">
        <v>0.0504865457750533</v>
      </c>
      <c r="E136" s="251" t="n">
        <v>0.0725226414272688</v>
      </c>
      <c r="F136" s="251" t="n">
        <v>0.0966968552363585</v>
      </c>
      <c r="G136" s="251" t="n">
        <v>0.120871069045448</v>
      </c>
      <c r="H136" s="251" t="n">
        <v>0.145045282854538</v>
      </c>
      <c r="I136" s="223" t="n">
        <v>0.169219496663627</v>
      </c>
    </row>
    <row r="137" customFormat="false" ht="14.25" hidden="false" customHeight="false" outlineLevel="0" collapsed="false">
      <c r="A137" s="250"/>
      <c r="B137" s="202" t="s">
        <v>374</v>
      </c>
      <c r="C137" s="251" t="n">
        <v>0.14108125388458</v>
      </c>
      <c r="D137" s="251" t="n">
        <v>0.187664065194228</v>
      </c>
      <c r="E137" s="251" t="n">
        <v>0.246803164324282</v>
      </c>
      <c r="F137" s="251" t="n">
        <v>0.285111532204015</v>
      </c>
      <c r="G137" s="251" t="n">
        <v>0.323419900083747</v>
      </c>
      <c r="H137" s="251" t="n">
        <v>0.361728267963479</v>
      </c>
      <c r="I137" s="223" t="n">
        <v>0.38503330531201</v>
      </c>
    </row>
    <row r="138" customFormat="false" ht="14.25" hidden="false" customHeight="false" outlineLevel="0" collapsed="false">
      <c r="A138" s="250"/>
      <c r="B138" s="202" t="s">
        <v>574</v>
      </c>
      <c r="C138" s="251" t="n">
        <v>0.0263042592215203</v>
      </c>
      <c r="D138" s="251" t="n">
        <v>0.0516339672699409</v>
      </c>
      <c r="E138" s="251" t="n">
        <v>0.0741708832778886</v>
      </c>
      <c r="F138" s="251" t="n">
        <v>0.0988945110371848</v>
      </c>
      <c r="G138" s="251" t="n">
        <v>0.123618138796481</v>
      </c>
      <c r="H138" s="251" t="n">
        <v>0.148341766555777</v>
      </c>
      <c r="I138" s="223" t="n">
        <v>0.173065394315073</v>
      </c>
    </row>
    <row r="139" customFormat="false" ht="14.25" hidden="false" customHeight="false" outlineLevel="0" collapsed="false">
      <c r="A139" s="250" t="s">
        <v>564</v>
      </c>
      <c r="B139" s="202" t="s">
        <v>573</v>
      </c>
      <c r="C139" s="251" t="n">
        <v>0.966386554621849</v>
      </c>
      <c r="D139" s="251" t="n">
        <v>0.932773109243698</v>
      </c>
      <c r="E139" s="251" t="n">
        <v>0.899159663865546</v>
      </c>
      <c r="F139" s="251" t="n">
        <v>0.865546218487395</v>
      </c>
      <c r="G139" s="251" t="n">
        <v>0.831932773109244</v>
      </c>
      <c r="H139" s="251" t="n">
        <v>0.798319327731093</v>
      </c>
      <c r="I139" s="223" t="n">
        <v>0.764705882352941</v>
      </c>
    </row>
    <row r="140" customFormat="false" ht="14.25" hidden="false" customHeight="false" outlineLevel="0" collapsed="false">
      <c r="A140" s="250"/>
      <c r="B140" s="202" t="s">
        <v>192</v>
      </c>
      <c r="C140" s="251" t="n">
        <v>0.0336134453781513</v>
      </c>
      <c r="D140" s="251" t="n">
        <v>0.0672268907563025</v>
      </c>
      <c r="E140" s="251" t="n">
        <v>0.100840336134454</v>
      </c>
      <c r="F140" s="251" t="n">
        <v>0.134453781512605</v>
      </c>
      <c r="G140" s="251" t="n">
        <v>0.168067226890756</v>
      </c>
      <c r="H140" s="251" t="n">
        <v>0.201680672268908</v>
      </c>
      <c r="I140" s="223" t="n">
        <v>0.235294117647059</v>
      </c>
    </row>
    <row r="141" customFormat="false" ht="14.25" hidden="false" customHeight="false" outlineLevel="0" collapsed="false">
      <c r="A141" s="250"/>
      <c r="B141" s="202" t="s">
        <v>374</v>
      </c>
      <c r="C141" s="251" t="n">
        <v>0</v>
      </c>
      <c r="D141" s="251" t="n">
        <v>0</v>
      </c>
      <c r="E141" s="251" t="n">
        <v>0</v>
      </c>
      <c r="F141" s="251" t="n">
        <v>0</v>
      </c>
      <c r="G141" s="251" t="n">
        <v>0</v>
      </c>
      <c r="H141" s="251" t="n">
        <v>0</v>
      </c>
      <c r="I141" s="223" t="n">
        <v>0</v>
      </c>
    </row>
    <row r="142" customFormat="false" ht="14.25" hidden="false" customHeight="false" outlineLevel="0" collapsed="false">
      <c r="A142" s="250"/>
      <c r="B142" s="202" t="s">
        <v>574</v>
      </c>
      <c r="C142" s="251" t="n">
        <v>0</v>
      </c>
      <c r="D142" s="251" t="n">
        <v>0</v>
      </c>
      <c r="E142" s="251" t="n">
        <v>0</v>
      </c>
      <c r="F142" s="251" t="n">
        <v>0</v>
      </c>
      <c r="G142" s="251" t="n">
        <v>0</v>
      </c>
      <c r="H142" s="251" t="n">
        <v>0</v>
      </c>
      <c r="I142" s="223" t="n">
        <v>0</v>
      </c>
    </row>
    <row r="143" customFormat="false" ht="14.25" hidden="false" customHeight="false" outlineLevel="0" collapsed="false">
      <c r="A143" s="250" t="s">
        <v>565</v>
      </c>
      <c r="B143" s="202" t="s">
        <v>573</v>
      </c>
      <c r="C143" s="251" t="n">
        <v>0</v>
      </c>
      <c r="D143" s="251" t="n">
        <v>0</v>
      </c>
      <c r="E143" s="251" t="n">
        <v>0</v>
      </c>
      <c r="F143" s="251" t="n">
        <v>0</v>
      </c>
      <c r="G143" s="251" t="n">
        <v>0</v>
      </c>
      <c r="H143" s="251" t="n">
        <v>0</v>
      </c>
      <c r="I143" s="223" t="n">
        <v>0</v>
      </c>
    </row>
    <row r="144" customFormat="false" ht="14.25" hidden="false" customHeight="false" outlineLevel="0" collapsed="false">
      <c r="A144" s="250"/>
      <c r="B144" s="202" t="s">
        <v>192</v>
      </c>
      <c r="C144" s="251" t="n">
        <v>0</v>
      </c>
      <c r="D144" s="251" t="n">
        <v>0</v>
      </c>
      <c r="E144" s="251" t="n">
        <v>0</v>
      </c>
      <c r="F144" s="251" t="n">
        <v>0</v>
      </c>
      <c r="G144" s="251" t="n">
        <v>0</v>
      </c>
      <c r="H144" s="251" t="n">
        <v>0</v>
      </c>
      <c r="I144" s="223" t="n">
        <v>0</v>
      </c>
    </row>
    <row r="145" customFormat="false" ht="14.25" hidden="false" customHeight="false" outlineLevel="0" collapsed="false">
      <c r="A145" s="250"/>
      <c r="B145" s="202" t="s">
        <v>374</v>
      </c>
      <c r="C145" s="251" t="n">
        <v>0</v>
      </c>
      <c r="D145" s="251" t="n">
        <v>0</v>
      </c>
      <c r="E145" s="251" t="n">
        <v>0</v>
      </c>
      <c r="F145" s="251" t="n">
        <v>0</v>
      </c>
      <c r="G145" s="251" t="n">
        <v>0</v>
      </c>
      <c r="H145" s="251" t="n">
        <v>0</v>
      </c>
      <c r="I145" s="223" t="n">
        <v>0</v>
      </c>
    </row>
    <row r="146" customFormat="false" ht="14.25" hidden="false" customHeight="false" outlineLevel="0" collapsed="false">
      <c r="A146" s="250"/>
      <c r="B146" s="202" t="s">
        <v>574</v>
      </c>
      <c r="C146" s="251" t="n">
        <v>0</v>
      </c>
      <c r="D146" s="251" t="n">
        <v>0</v>
      </c>
      <c r="E146" s="251" t="n">
        <v>0</v>
      </c>
      <c r="F146" s="251" t="n">
        <v>0</v>
      </c>
      <c r="G146" s="251" t="n">
        <v>0</v>
      </c>
      <c r="H146" s="251" t="n">
        <v>0</v>
      </c>
      <c r="I146" s="223" t="n">
        <v>0</v>
      </c>
    </row>
    <row r="147" customFormat="false" ht="17.35" hidden="false" customHeight="false" outlineLevel="0" collapsed="false">
      <c r="A147" s="255" t="s">
        <v>575</v>
      </c>
      <c r="B147" s="255"/>
      <c r="C147" s="255"/>
      <c r="D147" s="255"/>
      <c r="E147" s="255"/>
      <c r="F147" s="255"/>
      <c r="G147" s="255"/>
      <c r="H147" s="255"/>
      <c r="I147" s="255"/>
    </row>
    <row r="148" customFormat="false" ht="14.25" hidden="false" customHeight="false" outlineLevel="0" collapsed="false">
      <c r="A148" s="208" t="s">
        <v>36</v>
      </c>
      <c r="B148" s="202" t="s">
        <v>36</v>
      </c>
      <c r="C148" s="203" t="n">
        <v>2020</v>
      </c>
      <c r="D148" s="203" t="n">
        <v>2025</v>
      </c>
      <c r="E148" s="203" t="n">
        <v>2030</v>
      </c>
      <c r="F148" s="203" t="n">
        <v>2035</v>
      </c>
      <c r="G148" s="203" t="n">
        <v>2040</v>
      </c>
      <c r="H148" s="203" t="n">
        <v>2045</v>
      </c>
      <c r="I148" s="204" t="n">
        <v>2050</v>
      </c>
    </row>
    <row r="149" customFormat="false" ht="14.25" hidden="false" customHeight="false" outlineLevel="0" collapsed="false">
      <c r="A149" s="250" t="s">
        <v>572</v>
      </c>
      <c r="B149" s="202" t="s">
        <v>573</v>
      </c>
      <c r="C149" s="251" t="n">
        <v>0.812328070617052</v>
      </c>
      <c r="D149" s="251" t="n">
        <v>0.690704484080468</v>
      </c>
      <c r="E149" s="251" t="n">
        <v>0.581219325384736</v>
      </c>
      <c r="F149" s="251" t="n">
        <v>0.47324615070277</v>
      </c>
      <c r="G149" s="251" t="n">
        <v>0.365272976020804</v>
      </c>
      <c r="H149" s="251" t="n">
        <v>0.257299801338838</v>
      </c>
      <c r="I149" s="223" t="n">
        <v>0.0473264628821185</v>
      </c>
    </row>
    <row r="150" customFormat="false" ht="14.25" hidden="false" customHeight="false" outlineLevel="0" collapsed="false">
      <c r="A150" s="250"/>
      <c r="B150" s="202" t="s">
        <v>192</v>
      </c>
      <c r="C150" s="251" t="n">
        <v>0.0505115435433495</v>
      </c>
      <c r="D150" s="251" t="n">
        <v>0.0639897564814042</v>
      </c>
      <c r="E150" s="251" t="n">
        <v>0.0782975707697648</v>
      </c>
      <c r="F150" s="251" t="n">
        <v>0.0938225342940677</v>
      </c>
      <c r="G150" s="251" t="n">
        <v>0.10934749781837</v>
      </c>
      <c r="H150" s="251" t="n">
        <v>0.124872461342673</v>
      </c>
      <c r="I150" s="223" t="n">
        <v>0.147110104070304</v>
      </c>
    </row>
    <row r="151" customFormat="false" ht="14.25" hidden="false" customHeight="false" outlineLevel="0" collapsed="false">
      <c r="A151" s="250"/>
      <c r="B151" s="202" t="s">
        <v>374</v>
      </c>
      <c r="C151" s="251" t="n">
        <v>0.133646787816532</v>
      </c>
      <c r="D151" s="251" t="n">
        <v>0.238252494368915</v>
      </c>
      <c r="E151" s="251" t="n">
        <v>0.329808059781831</v>
      </c>
      <c r="F151" s="251" t="n">
        <v>0.418734491739984</v>
      </c>
      <c r="G151" s="251" t="n">
        <v>0.507660923698136</v>
      </c>
      <c r="H151" s="251" t="n">
        <v>0.596587355656288</v>
      </c>
      <c r="I151" s="223" t="n">
        <v>0.780910978650999</v>
      </c>
    </row>
    <row r="152" customFormat="false" ht="14.25" hidden="false" customHeight="false" outlineLevel="0" collapsed="false">
      <c r="A152" s="250"/>
      <c r="B152" s="202" t="s">
        <v>574</v>
      </c>
      <c r="C152" s="251" t="n">
        <v>0.00351359802306619</v>
      </c>
      <c r="D152" s="251" t="n">
        <v>0.00705326506921272</v>
      </c>
      <c r="E152" s="251" t="n">
        <v>0.0106750440636676</v>
      </c>
      <c r="F152" s="251" t="n">
        <v>0.0141968232631788</v>
      </c>
      <c r="G152" s="251" t="n">
        <v>0.01771860246269</v>
      </c>
      <c r="H152" s="251" t="n">
        <v>0.0212403816622012</v>
      </c>
      <c r="I152" s="223" t="n">
        <v>0.0246524543965785</v>
      </c>
    </row>
    <row r="153" customFormat="false" ht="14.25" hidden="false" customHeight="false" outlineLevel="0" collapsed="false">
      <c r="A153" s="250" t="s">
        <v>564</v>
      </c>
      <c r="B153" s="202" t="s">
        <v>573</v>
      </c>
      <c r="C153" s="251" t="n">
        <v>0.966386554621849</v>
      </c>
      <c r="D153" s="251" t="n">
        <v>0.932773109243698</v>
      </c>
      <c r="E153" s="251" t="n">
        <v>0.899159663865546</v>
      </c>
      <c r="F153" s="251" t="n">
        <v>0.865546218487395</v>
      </c>
      <c r="G153" s="251" t="n">
        <v>0.831932773109244</v>
      </c>
      <c r="H153" s="251" t="n">
        <v>0.798319327731093</v>
      </c>
      <c r="I153" s="223" t="n">
        <v>0.764705882352941</v>
      </c>
    </row>
    <row r="154" customFormat="false" ht="14.25" hidden="false" customHeight="false" outlineLevel="0" collapsed="false">
      <c r="A154" s="250"/>
      <c r="B154" s="202" t="s">
        <v>192</v>
      </c>
      <c r="C154" s="251" t="n">
        <v>0.0336134453781513</v>
      </c>
      <c r="D154" s="251" t="n">
        <v>0.0672268907563025</v>
      </c>
      <c r="E154" s="251" t="n">
        <v>0.100840336134454</v>
      </c>
      <c r="F154" s="251" t="n">
        <v>0.134453781512605</v>
      </c>
      <c r="G154" s="251" t="n">
        <v>0.168067226890756</v>
      </c>
      <c r="H154" s="251" t="n">
        <v>0.201680672268908</v>
      </c>
      <c r="I154" s="223" t="n">
        <v>0.235294117647059</v>
      </c>
    </row>
    <row r="155" customFormat="false" ht="14.25" hidden="false" customHeight="false" outlineLevel="0" collapsed="false">
      <c r="A155" s="250"/>
      <c r="B155" s="202" t="s">
        <v>374</v>
      </c>
      <c r="C155" s="251" t="n">
        <v>0</v>
      </c>
      <c r="D155" s="251" t="n">
        <v>0</v>
      </c>
      <c r="E155" s="251" t="n">
        <v>0</v>
      </c>
      <c r="F155" s="251" t="n">
        <v>0</v>
      </c>
      <c r="G155" s="251" t="n">
        <v>0</v>
      </c>
      <c r="H155" s="251" t="n">
        <v>0</v>
      </c>
      <c r="I155" s="223" t="n">
        <v>0</v>
      </c>
    </row>
    <row r="156" customFormat="false" ht="14.25" hidden="false" customHeight="false" outlineLevel="0" collapsed="false">
      <c r="A156" s="250"/>
      <c r="B156" s="202" t="s">
        <v>574</v>
      </c>
      <c r="C156" s="251" t="n">
        <v>0</v>
      </c>
      <c r="D156" s="251" t="n">
        <v>0</v>
      </c>
      <c r="E156" s="251" t="n">
        <v>0</v>
      </c>
      <c r="F156" s="251" t="n">
        <v>0</v>
      </c>
      <c r="G156" s="251" t="n">
        <v>0</v>
      </c>
      <c r="H156" s="251" t="n">
        <v>0</v>
      </c>
      <c r="I156" s="223" t="n">
        <v>0</v>
      </c>
    </row>
    <row r="157" customFormat="false" ht="14.25" hidden="false" customHeight="false" outlineLevel="0" collapsed="false">
      <c r="A157" s="250" t="s">
        <v>565</v>
      </c>
      <c r="B157" s="202" t="s">
        <v>573</v>
      </c>
      <c r="C157" s="251" t="n">
        <v>0.997198879551821</v>
      </c>
      <c r="D157" s="251" t="n">
        <v>0.994397759103642</v>
      </c>
      <c r="E157" s="251" t="n">
        <v>0.991596638655462</v>
      </c>
      <c r="F157" s="251" t="n">
        <v>0.988795518207283</v>
      </c>
      <c r="G157" s="251" t="n">
        <v>0.985994397759104</v>
      </c>
      <c r="H157" s="251" t="n">
        <v>0.983193277310924</v>
      </c>
      <c r="I157" s="223" t="n">
        <v>0.980392156862745</v>
      </c>
    </row>
    <row r="158" customFormat="false" ht="14.25" hidden="false" customHeight="false" outlineLevel="0" collapsed="false">
      <c r="A158" s="250"/>
      <c r="B158" s="202" t="s">
        <v>192</v>
      </c>
      <c r="C158" s="251" t="n">
        <v>0</v>
      </c>
      <c r="D158" s="251" t="n">
        <v>0</v>
      </c>
      <c r="E158" s="251" t="n">
        <v>0</v>
      </c>
      <c r="F158" s="251" t="n">
        <v>0</v>
      </c>
      <c r="G158" s="251" t="n">
        <v>0</v>
      </c>
      <c r="H158" s="251" t="n">
        <v>0</v>
      </c>
      <c r="I158" s="223" t="n">
        <v>0</v>
      </c>
    </row>
    <row r="159" customFormat="false" ht="14.25" hidden="false" customHeight="false" outlineLevel="0" collapsed="false">
      <c r="A159" s="250"/>
      <c r="B159" s="202" t="s">
        <v>374</v>
      </c>
      <c r="C159" s="251" t="n">
        <v>0.00280112044817927</v>
      </c>
      <c r="D159" s="251" t="n">
        <v>0.00560224089635854</v>
      </c>
      <c r="E159" s="251" t="n">
        <v>0.00840336134453782</v>
      </c>
      <c r="F159" s="251" t="n">
        <v>0.0112044817927171</v>
      </c>
      <c r="G159" s="251" t="n">
        <v>0.0140056022408964</v>
      </c>
      <c r="H159" s="251" t="n">
        <v>0.0168067226890756</v>
      </c>
      <c r="I159" s="223" t="n">
        <v>0.0196078431372549</v>
      </c>
    </row>
    <row r="160" customFormat="false" ht="14.25" hidden="false" customHeight="false" outlineLevel="0" collapsed="false">
      <c r="A160" s="250"/>
      <c r="B160" s="202" t="s">
        <v>574</v>
      </c>
      <c r="C160" s="251" t="n">
        <v>0</v>
      </c>
      <c r="D160" s="251" t="n">
        <v>0</v>
      </c>
      <c r="E160" s="251" t="n">
        <v>0</v>
      </c>
      <c r="F160" s="251" t="n">
        <v>0</v>
      </c>
      <c r="G160" s="251" t="n">
        <v>0</v>
      </c>
      <c r="H160" s="251" t="n">
        <v>0</v>
      </c>
      <c r="I160" s="223" t="n">
        <v>0</v>
      </c>
    </row>
    <row r="161" customFormat="false" ht="14.25" hidden="false" customHeight="false" outlineLevel="0" collapsed="false">
      <c r="A161" s="201" t="s">
        <v>576</v>
      </c>
      <c r="B161" s="202" t="s">
        <v>573</v>
      </c>
      <c r="C161" s="251" t="n">
        <v>0.828710839598997</v>
      </c>
      <c r="D161" s="251" t="n">
        <v>0.696621510611267</v>
      </c>
      <c r="E161" s="251" t="n">
        <v>0.564597266908706</v>
      </c>
      <c r="F161" s="251" t="n">
        <v>0.4325196526178</v>
      </c>
      <c r="G161" s="251" t="n">
        <v>0.300442038326894</v>
      </c>
      <c r="H161" s="251" t="n">
        <v>0.168364424035988</v>
      </c>
      <c r="I161" s="223" t="n">
        <v>0.0362868097450825</v>
      </c>
    </row>
    <row r="162" customFormat="false" ht="14.25" hidden="false" customHeight="false" outlineLevel="0" collapsed="false">
      <c r="A162" s="201"/>
      <c r="B162" s="202" t="s">
        <v>192</v>
      </c>
      <c r="C162" s="251" t="n">
        <v>0.0569658521303258</v>
      </c>
      <c r="D162" s="251" t="n">
        <v>0.075022347727485</v>
      </c>
      <c r="E162" s="251" t="n">
        <v>0.0930658402211721</v>
      </c>
      <c r="F162" s="251" t="n">
        <v>0.111123391308862</v>
      </c>
      <c r="G162" s="251" t="n">
        <v>0.129180942396552</v>
      </c>
      <c r="H162" s="251" t="n">
        <v>0.147238493484242</v>
      </c>
      <c r="I162" s="223" t="n">
        <v>0.165296044571933</v>
      </c>
    </row>
    <row r="163" customFormat="false" ht="14.25" hidden="false" customHeight="false" outlineLevel="0" collapsed="false">
      <c r="A163" s="201"/>
      <c r="B163" s="202" t="s">
        <v>374</v>
      </c>
      <c r="C163" s="251" t="n">
        <v>0.111544486215539</v>
      </c>
      <c r="D163" s="251" t="n">
        <v>0.222798930718471</v>
      </c>
      <c r="E163" s="251" t="n">
        <v>0.334002638521957</v>
      </c>
      <c r="F163" s="251" t="n">
        <v>0.445244616942451</v>
      </c>
      <c r="G163" s="251" t="n">
        <v>0.556486595362946</v>
      </c>
      <c r="H163" s="251" t="n">
        <v>0.66772857378344</v>
      </c>
      <c r="I163" s="223" t="n">
        <v>0.778970552203934</v>
      </c>
    </row>
    <row r="164" customFormat="false" ht="14.25" hidden="false" customHeight="false" outlineLevel="0" collapsed="false">
      <c r="A164" s="201"/>
      <c r="B164" s="205" t="s">
        <v>574</v>
      </c>
      <c r="C164" s="206" t="n">
        <v>0.00277882205513784</v>
      </c>
      <c r="D164" s="206" t="n">
        <v>0.00555721094277666</v>
      </c>
      <c r="E164" s="206" t="n">
        <v>0.00833425434816467</v>
      </c>
      <c r="F164" s="206" t="n">
        <v>0.0111123391308862</v>
      </c>
      <c r="G164" s="206" t="n">
        <v>0.0138904239136078</v>
      </c>
      <c r="H164" s="206" t="n">
        <v>0.0166685086963293</v>
      </c>
      <c r="I164" s="207" t="n">
        <v>0.0194465934790509</v>
      </c>
    </row>
    <row r="165" customFormat="false" ht="14.25" hidden="false" customHeight="false" outlineLevel="0" collapsed="false">
      <c r="A165" s="256"/>
      <c r="B165" s="256"/>
      <c r="C165" s="256"/>
      <c r="D165" s="256"/>
      <c r="E165" s="256"/>
      <c r="F165" s="256"/>
      <c r="G165" s="256"/>
      <c r="H165" s="256"/>
      <c r="I165" s="256"/>
      <c r="J165" s="256"/>
      <c r="K165" s="256"/>
      <c r="L165" s="256"/>
      <c r="M165" s="256"/>
      <c r="N165" s="256"/>
      <c r="O165" s="256"/>
      <c r="P165" s="256"/>
      <c r="Q165" s="256"/>
      <c r="R165" s="256"/>
      <c r="S165" s="256"/>
      <c r="T165" s="256"/>
      <c r="U165" s="256"/>
      <c r="V165" s="256"/>
      <c r="W165" s="256"/>
      <c r="X165" s="256"/>
      <c r="Y165" s="256"/>
      <c r="Z165" s="256"/>
      <c r="AA165" s="256"/>
      <c r="AB165" s="256"/>
      <c r="AC165" s="256"/>
      <c r="AD165" s="256"/>
      <c r="AE165" s="256"/>
      <c r="AF165" s="256"/>
      <c r="AG165" s="256"/>
      <c r="AH165" s="256"/>
      <c r="AI165" s="256"/>
      <c r="AJ165" s="256"/>
      <c r="AK165" s="256"/>
      <c r="AL165" s="256"/>
      <c r="AM165" s="256"/>
      <c r="AN165" s="256"/>
      <c r="AO165" s="256"/>
      <c r="AP165" s="256"/>
      <c r="AQ165" s="256"/>
      <c r="AR165" s="256"/>
      <c r="AS165" s="256"/>
      <c r="AT165" s="256"/>
      <c r="AU165" s="256"/>
      <c r="AV165" s="256"/>
      <c r="AW165" s="256"/>
      <c r="AX165" s="256"/>
      <c r="AY165" s="256"/>
    </row>
    <row r="166" customFormat="false" ht="15" hidden="false" customHeight="true" outlineLevel="0" collapsed="false"/>
    <row r="167" customFormat="false" ht="21.75" hidden="false" customHeight="true" outlineLevel="0" collapsed="false">
      <c r="A167" s="199" t="s">
        <v>577</v>
      </c>
    </row>
    <row r="168" customFormat="false" ht="17.35" hidden="false" customHeight="false" outlineLevel="0" collapsed="false">
      <c r="A168" s="200" t="s">
        <v>317</v>
      </c>
      <c r="B168" s="200"/>
      <c r="C168" s="200"/>
      <c r="D168" s="200"/>
      <c r="E168" s="200"/>
    </row>
    <row r="169" customFormat="false" ht="85.5" hidden="false" customHeight="true" outlineLevel="0" collapsed="false">
      <c r="A169" s="257" t="s">
        <v>318</v>
      </c>
      <c r="B169" s="257"/>
      <c r="C169" s="257"/>
      <c r="D169" s="257"/>
      <c r="E169" s="257"/>
    </row>
    <row r="170" customFormat="false" ht="15" hidden="false" customHeight="true" outlineLevel="0" collapsed="false">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row>
    <row r="171" customFormat="false" ht="13.5" hidden="false" customHeight="true" outlineLevel="0" collapsed="false">
      <c r="A171" s="258" t="s">
        <v>319</v>
      </c>
      <c r="B171" s="259" t="s">
        <v>320</v>
      </c>
      <c r="C171" s="260" t="n">
        <v>3</v>
      </c>
      <c r="D171" s="78"/>
      <c r="F171" s="78"/>
      <c r="G171" s="78"/>
      <c r="H171" s="78"/>
      <c r="I171" s="78"/>
      <c r="J171" s="78"/>
      <c r="K171" s="149"/>
      <c r="L171" s="149"/>
      <c r="M171" s="78"/>
      <c r="N171" s="78"/>
    </row>
    <row r="172" customFormat="false" ht="14.25" hidden="false" customHeight="false" outlineLevel="0" collapsed="false">
      <c r="A172" s="258"/>
      <c r="B172" s="202" t="s">
        <v>321</v>
      </c>
      <c r="C172" s="260"/>
      <c r="D172" s="151"/>
      <c r="E172" s="151"/>
      <c r="F172" s="151"/>
      <c r="G172" s="151"/>
      <c r="H172" s="151"/>
      <c r="I172" s="151"/>
      <c r="J172" s="151"/>
      <c r="K172" s="151"/>
      <c r="L172" s="151"/>
      <c r="M172" s="151"/>
      <c r="N172" s="151"/>
    </row>
    <row r="173" customFormat="false" ht="28.5" hidden="false" customHeight="true" outlineLevel="0" collapsed="false">
      <c r="A173" s="258"/>
      <c r="B173" s="205" t="s">
        <v>322</v>
      </c>
      <c r="C173" s="260"/>
      <c r="D173" s="78"/>
      <c r="E173" s="78"/>
      <c r="F173" s="78"/>
      <c r="G173" s="78"/>
      <c r="H173" s="78"/>
      <c r="I173" s="78"/>
      <c r="J173" s="78"/>
      <c r="K173" s="78"/>
      <c r="L173" s="78"/>
      <c r="M173" s="78"/>
      <c r="N173" s="78"/>
    </row>
    <row r="175" customFormat="false" ht="15.75" hidden="false" customHeight="true" outlineLevel="0" collapsed="false">
      <c r="A175" s="200" t="s">
        <v>323</v>
      </c>
      <c r="B175" s="200"/>
      <c r="C175" s="200"/>
    </row>
    <row r="176" customFormat="false" ht="14.25" hidden="false" customHeight="false" outlineLevel="0" collapsed="false">
      <c r="A176" s="208" t="s">
        <v>324</v>
      </c>
      <c r="B176" s="202" t="s">
        <v>28</v>
      </c>
      <c r="C176" s="204" t="n">
        <v>0.3</v>
      </c>
    </row>
    <row r="177" customFormat="false" ht="31.3" hidden="false" customHeight="false" outlineLevel="0" collapsed="false">
      <c r="A177" s="261" t="s">
        <v>326</v>
      </c>
      <c r="B177" s="205" t="s">
        <v>327</v>
      </c>
      <c r="C177" s="246" t="n">
        <v>0.031</v>
      </c>
    </row>
    <row r="178" customFormat="false" ht="15.75" hidden="false" customHeight="true" outlineLevel="0" collapsed="false">
      <c r="A178" s="237" t="s">
        <v>578</v>
      </c>
      <c r="B178" s="237"/>
      <c r="C178" s="262" t="s">
        <v>576</v>
      </c>
      <c r="D178" s="262" t="s">
        <v>579</v>
      </c>
      <c r="E178" s="262" t="s">
        <v>362</v>
      </c>
      <c r="F178" s="262" t="s">
        <v>580</v>
      </c>
      <c r="G178" s="262" t="s">
        <v>581</v>
      </c>
      <c r="H178" s="262" t="s">
        <v>582</v>
      </c>
      <c r="I178" s="262" t="s">
        <v>583</v>
      </c>
      <c r="J178" s="262" t="s">
        <v>354</v>
      </c>
      <c r="K178" s="262" t="s">
        <v>584</v>
      </c>
      <c r="L178" s="262" t="s">
        <v>585</v>
      </c>
      <c r="M178" s="262" t="s">
        <v>586</v>
      </c>
      <c r="N178" s="262" t="s">
        <v>587</v>
      </c>
      <c r="O178" s="262" t="s">
        <v>588</v>
      </c>
      <c r="P178" s="262" t="s">
        <v>589</v>
      </c>
      <c r="Q178" s="263" t="s">
        <v>590</v>
      </c>
      <c r="R178" s="263" t="s">
        <v>338</v>
      </c>
      <c r="S178" s="263" t="s">
        <v>591</v>
      </c>
      <c r="T178" s="263" t="s">
        <v>592</v>
      </c>
      <c r="U178" s="263" t="s">
        <v>593</v>
      </c>
      <c r="V178" s="263" t="s">
        <v>594</v>
      </c>
      <c r="W178" s="263" t="s">
        <v>595</v>
      </c>
      <c r="X178" s="263" t="s">
        <v>596</v>
      </c>
      <c r="Y178" s="263" t="s">
        <v>597</v>
      </c>
      <c r="Z178" s="263" t="s">
        <v>598</v>
      </c>
      <c r="AA178" s="263" t="s">
        <v>599</v>
      </c>
      <c r="AB178" s="263" t="s">
        <v>351</v>
      </c>
      <c r="AC178" s="263" t="s">
        <v>361</v>
      </c>
      <c r="AD178" s="263" t="s">
        <v>600</v>
      </c>
    </row>
    <row r="179" customFormat="false" ht="14.25" hidden="false" customHeight="false" outlineLevel="0" collapsed="false">
      <c r="A179" s="264" t="s">
        <v>374</v>
      </c>
      <c r="B179" s="264"/>
      <c r="C179" s="265" t="n">
        <v>2030</v>
      </c>
      <c r="D179" s="265" t="n">
        <v>2030</v>
      </c>
      <c r="E179" s="265" t="n">
        <v>2030</v>
      </c>
      <c r="F179" s="265" t="n">
        <v>2030</v>
      </c>
      <c r="G179" s="265" t="n">
        <v>2030</v>
      </c>
      <c r="H179" s="265" t="n">
        <v>2030</v>
      </c>
      <c r="I179" s="265" t="n">
        <v>2030</v>
      </c>
      <c r="J179" s="265" t="n">
        <v>2030</v>
      </c>
      <c r="K179" s="265" t="n">
        <v>2030</v>
      </c>
      <c r="L179" s="265" t="n">
        <v>2030</v>
      </c>
      <c r="M179" s="265" t="n">
        <v>2030</v>
      </c>
      <c r="N179" s="265" t="n">
        <v>2030</v>
      </c>
      <c r="O179" s="265" t="n">
        <v>2030</v>
      </c>
      <c r="P179" s="265" t="n">
        <v>2030</v>
      </c>
      <c r="Q179" s="266" t="n">
        <v>2030</v>
      </c>
      <c r="R179" s="266" t="n">
        <v>2030</v>
      </c>
      <c r="S179" s="266" t="n">
        <v>2030</v>
      </c>
      <c r="T179" s="266" t="n">
        <v>2030</v>
      </c>
      <c r="U179" s="266" t="n">
        <v>2030</v>
      </c>
      <c r="V179" s="266" t="n">
        <v>2030</v>
      </c>
      <c r="W179" s="266" t="n">
        <v>2030</v>
      </c>
      <c r="X179" s="266" t="n">
        <v>2030</v>
      </c>
      <c r="Y179" s="266" t="n">
        <v>2030</v>
      </c>
      <c r="Z179" s="266" t="n">
        <v>2030</v>
      </c>
      <c r="AA179" s="266" t="n">
        <v>2030</v>
      </c>
      <c r="AB179" s="266" t="n">
        <v>2030</v>
      </c>
      <c r="AC179" s="266" t="n">
        <v>2030</v>
      </c>
      <c r="AD179" s="266" t="n">
        <v>2030</v>
      </c>
    </row>
    <row r="180" customFormat="false" ht="14.25" hidden="false" customHeight="false" outlineLevel="0" collapsed="false">
      <c r="A180" s="264" t="s">
        <v>375</v>
      </c>
      <c r="B180" s="264"/>
      <c r="C180" s="265" t="n">
        <v>2030</v>
      </c>
      <c r="D180" s="265" t="n">
        <v>2030</v>
      </c>
      <c r="E180" s="265" t="n">
        <v>2030</v>
      </c>
      <c r="F180" s="265" t="n">
        <v>2030</v>
      </c>
      <c r="G180" s="265" t="n">
        <v>2030</v>
      </c>
      <c r="H180" s="265" t="n">
        <v>2030</v>
      </c>
      <c r="I180" s="265" t="n">
        <v>2030</v>
      </c>
      <c r="J180" s="265" t="n">
        <v>2030</v>
      </c>
      <c r="K180" s="265" t="n">
        <v>2030</v>
      </c>
      <c r="L180" s="265" t="n">
        <v>2030</v>
      </c>
      <c r="M180" s="265" t="n">
        <v>2030</v>
      </c>
      <c r="N180" s="265" t="n">
        <v>2030</v>
      </c>
      <c r="O180" s="265" t="n">
        <v>2030</v>
      </c>
      <c r="P180" s="265" t="n">
        <v>2030</v>
      </c>
      <c r="Q180" s="266" t="n">
        <v>2030</v>
      </c>
      <c r="R180" s="266" t="n">
        <v>2030</v>
      </c>
      <c r="S180" s="266" t="n">
        <v>2030</v>
      </c>
      <c r="T180" s="266" t="n">
        <v>2030</v>
      </c>
      <c r="U180" s="266" t="n">
        <v>2030</v>
      </c>
      <c r="V180" s="266" t="n">
        <v>2030</v>
      </c>
      <c r="W180" s="266" t="n">
        <v>2030</v>
      </c>
      <c r="X180" s="266" t="n">
        <v>2030</v>
      </c>
      <c r="Y180" s="266" t="n">
        <v>2030</v>
      </c>
      <c r="Z180" s="266" t="n">
        <v>2030</v>
      </c>
      <c r="AA180" s="266" t="n">
        <v>2030</v>
      </c>
      <c r="AB180" s="266" t="n">
        <v>2030</v>
      </c>
      <c r="AC180" s="266" t="n">
        <v>2030</v>
      </c>
      <c r="AD180" s="266" t="n">
        <v>2030</v>
      </c>
    </row>
    <row r="181" customFormat="false" ht="14.25" hidden="false" customHeight="false" outlineLevel="0" collapsed="false">
      <c r="A181" s="264" t="s">
        <v>376</v>
      </c>
      <c r="B181" s="264"/>
      <c r="C181" s="265" t="n">
        <v>2030</v>
      </c>
      <c r="D181" s="265" t="n">
        <v>2030</v>
      </c>
      <c r="E181" s="265" t="n">
        <v>2030</v>
      </c>
      <c r="F181" s="265" t="n">
        <v>2030</v>
      </c>
      <c r="G181" s="265" t="n">
        <v>2030</v>
      </c>
      <c r="H181" s="265" t="n">
        <v>2030</v>
      </c>
      <c r="I181" s="265" t="n">
        <v>2030</v>
      </c>
      <c r="J181" s="265" t="n">
        <v>2030</v>
      </c>
      <c r="K181" s="265" t="n">
        <v>2030</v>
      </c>
      <c r="L181" s="265" t="n">
        <v>2030</v>
      </c>
      <c r="M181" s="265" t="n">
        <v>2030</v>
      </c>
      <c r="N181" s="265" t="n">
        <v>2030</v>
      </c>
      <c r="O181" s="265" t="n">
        <v>2030</v>
      </c>
      <c r="P181" s="265" t="n">
        <v>2030</v>
      </c>
      <c r="Q181" s="266" t="n">
        <v>2030</v>
      </c>
      <c r="R181" s="266" t="n">
        <v>2030</v>
      </c>
      <c r="S181" s="266" t="n">
        <v>2030</v>
      </c>
      <c r="T181" s="266" t="n">
        <v>2030</v>
      </c>
      <c r="U181" s="266" t="n">
        <v>2030</v>
      </c>
      <c r="V181" s="266" t="n">
        <v>2030</v>
      </c>
      <c r="W181" s="266" t="n">
        <v>2030</v>
      </c>
      <c r="X181" s="266" t="n">
        <v>2030</v>
      </c>
      <c r="Y181" s="266" t="n">
        <v>2030</v>
      </c>
      <c r="Z181" s="266" t="n">
        <v>2030</v>
      </c>
      <c r="AA181" s="266" t="n">
        <v>2030</v>
      </c>
      <c r="AB181" s="266" t="n">
        <v>2030</v>
      </c>
      <c r="AC181" s="266" t="n">
        <v>2030</v>
      </c>
      <c r="AD181" s="266" t="n">
        <v>2030</v>
      </c>
    </row>
    <row r="182" customFormat="false" ht="14.25" hidden="false" customHeight="false" outlineLevel="0" collapsed="false">
      <c r="A182" s="264" t="s">
        <v>377</v>
      </c>
      <c r="B182" s="264"/>
      <c r="C182" s="265" t="n">
        <v>2030</v>
      </c>
      <c r="D182" s="265" t="n">
        <v>2030</v>
      </c>
      <c r="E182" s="265" t="n">
        <v>2030</v>
      </c>
      <c r="F182" s="265" t="n">
        <v>2030</v>
      </c>
      <c r="G182" s="265" t="n">
        <v>2030</v>
      </c>
      <c r="H182" s="265" t="n">
        <v>2030</v>
      </c>
      <c r="I182" s="265" t="n">
        <v>2030</v>
      </c>
      <c r="J182" s="265" t="n">
        <v>2030</v>
      </c>
      <c r="K182" s="265" t="n">
        <v>2030</v>
      </c>
      <c r="L182" s="265" t="n">
        <v>2030</v>
      </c>
      <c r="M182" s="265" t="n">
        <v>2030</v>
      </c>
      <c r="N182" s="265" t="n">
        <v>2030</v>
      </c>
      <c r="O182" s="265" t="n">
        <v>2030</v>
      </c>
      <c r="P182" s="265" t="n">
        <v>2030</v>
      </c>
      <c r="Q182" s="266" t="n">
        <v>2030</v>
      </c>
      <c r="R182" s="266" t="n">
        <v>2030</v>
      </c>
      <c r="S182" s="266" t="n">
        <v>2030</v>
      </c>
      <c r="T182" s="266" t="n">
        <v>2030</v>
      </c>
      <c r="U182" s="266" t="n">
        <v>2030</v>
      </c>
      <c r="V182" s="266" t="n">
        <v>2030</v>
      </c>
      <c r="W182" s="266" t="n">
        <v>2030</v>
      </c>
      <c r="X182" s="266" t="n">
        <v>2030</v>
      </c>
      <c r="Y182" s="266" t="n">
        <v>2030</v>
      </c>
      <c r="Z182" s="266" t="n">
        <v>2030</v>
      </c>
      <c r="AA182" s="266" t="n">
        <v>2030</v>
      </c>
      <c r="AB182" s="266" t="n">
        <v>2030</v>
      </c>
      <c r="AC182" s="266" t="n">
        <v>2030</v>
      </c>
      <c r="AD182" s="266" t="n">
        <v>2030</v>
      </c>
    </row>
    <row r="183" customFormat="false" ht="14.25" hidden="false" customHeight="false" outlineLevel="0" collapsed="false">
      <c r="A183" s="264" t="s">
        <v>378</v>
      </c>
      <c r="B183" s="264"/>
      <c r="C183" s="265" t="n">
        <v>2030</v>
      </c>
      <c r="D183" s="265" t="n">
        <v>2030</v>
      </c>
      <c r="E183" s="265" t="n">
        <v>2030</v>
      </c>
      <c r="F183" s="265" t="n">
        <v>2030</v>
      </c>
      <c r="G183" s="265" t="n">
        <v>2030</v>
      </c>
      <c r="H183" s="265" t="n">
        <v>2030</v>
      </c>
      <c r="I183" s="265" t="n">
        <v>2030</v>
      </c>
      <c r="J183" s="265" t="n">
        <v>2030</v>
      </c>
      <c r="K183" s="265" t="n">
        <v>2030</v>
      </c>
      <c r="L183" s="265" t="n">
        <v>2030</v>
      </c>
      <c r="M183" s="265" t="n">
        <v>2030</v>
      </c>
      <c r="N183" s="265" t="n">
        <v>2030</v>
      </c>
      <c r="O183" s="265" t="n">
        <v>2030</v>
      </c>
      <c r="P183" s="265" t="n">
        <v>2030</v>
      </c>
      <c r="Q183" s="266" t="n">
        <v>2030</v>
      </c>
      <c r="R183" s="266" t="n">
        <v>2030</v>
      </c>
      <c r="S183" s="266" t="n">
        <v>2030</v>
      </c>
      <c r="T183" s="266" t="n">
        <v>2030</v>
      </c>
      <c r="U183" s="266" t="n">
        <v>2030</v>
      </c>
      <c r="V183" s="266" t="n">
        <v>2030</v>
      </c>
      <c r="W183" s="266" t="n">
        <v>2030</v>
      </c>
      <c r="X183" s="266" t="n">
        <v>2030</v>
      </c>
      <c r="Y183" s="266" t="n">
        <v>2030</v>
      </c>
      <c r="Z183" s="266" t="n">
        <v>2030</v>
      </c>
      <c r="AA183" s="266" t="n">
        <v>2030</v>
      </c>
      <c r="AB183" s="266" t="n">
        <v>2030</v>
      </c>
      <c r="AC183" s="266" t="n">
        <v>2030</v>
      </c>
      <c r="AD183" s="266" t="n">
        <v>2030</v>
      </c>
    </row>
    <row r="184" customFormat="false" ht="15.75" hidden="false" customHeight="true" outlineLevel="0" collapsed="false">
      <c r="A184" s="200" t="s">
        <v>601</v>
      </c>
      <c r="B184" s="200"/>
      <c r="C184" s="200"/>
      <c r="D184" s="200"/>
      <c r="E184" s="200"/>
      <c r="F184" s="200"/>
      <c r="G184" s="200"/>
      <c r="H184" s="200"/>
      <c r="I184" s="200"/>
      <c r="J184" s="200"/>
      <c r="K184" s="200"/>
      <c r="L184" s="200"/>
      <c r="M184" s="200"/>
      <c r="N184" s="200"/>
      <c r="O184" s="200"/>
      <c r="P184" s="200"/>
      <c r="Q184" s="200"/>
    </row>
    <row r="185" customFormat="false" ht="14.25" hidden="false" customHeight="false" outlineLevel="0" collapsed="false">
      <c r="A185" s="264" t="s">
        <v>374</v>
      </c>
      <c r="B185" s="264"/>
      <c r="C185" s="265" t="n">
        <v>1</v>
      </c>
      <c r="D185" s="265" t="n">
        <v>1</v>
      </c>
      <c r="E185" s="265" t="n">
        <v>1</v>
      </c>
      <c r="F185" s="265" t="n">
        <v>1</v>
      </c>
      <c r="G185" s="265" t="n">
        <v>1</v>
      </c>
      <c r="H185" s="265" t="n">
        <v>1</v>
      </c>
      <c r="I185" s="265" t="n">
        <v>1</v>
      </c>
      <c r="J185" s="265" t="n">
        <v>1</v>
      </c>
      <c r="K185" s="265" t="n">
        <v>1</v>
      </c>
      <c r="L185" s="265" t="n">
        <v>1</v>
      </c>
      <c r="M185" s="265" t="n">
        <v>1</v>
      </c>
      <c r="N185" s="265" t="n">
        <v>1</v>
      </c>
      <c r="O185" s="265" t="n">
        <v>1</v>
      </c>
      <c r="P185" s="265" t="n">
        <v>1</v>
      </c>
      <c r="Q185" s="266" t="n">
        <v>1</v>
      </c>
      <c r="R185" s="266" t="n">
        <v>1</v>
      </c>
      <c r="S185" s="266" t="n">
        <v>1</v>
      </c>
      <c r="T185" s="266" t="n">
        <v>1</v>
      </c>
      <c r="U185" s="266" t="n">
        <v>1</v>
      </c>
      <c r="V185" s="266" t="n">
        <v>1</v>
      </c>
      <c r="W185" s="266" t="n">
        <v>1</v>
      </c>
      <c r="X185" s="266" t="n">
        <v>1</v>
      </c>
      <c r="Y185" s="266" t="n">
        <v>1</v>
      </c>
      <c r="Z185" s="266" t="n">
        <v>1</v>
      </c>
      <c r="AA185" s="266" t="n">
        <v>1</v>
      </c>
      <c r="AB185" s="266" t="n">
        <v>1</v>
      </c>
      <c r="AC185" s="266" t="n">
        <v>1</v>
      </c>
      <c r="AD185" s="266" t="n">
        <v>1</v>
      </c>
    </row>
    <row r="186" customFormat="false" ht="14.25" hidden="false" customHeight="false" outlineLevel="0" collapsed="false">
      <c r="A186" s="264" t="s">
        <v>375</v>
      </c>
      <c r="B186" s="264"/>
      <c r="C186" s="265" t="n">
        <v>1</v>
      </c>
      <c r="D186" s="265" t="n">
        <v>1</v>
      </c>
      <c r="E186" s="265" t="n">
        <v>1</v>
      </c>
      <c r="F186" s="265" t="n">
        <v>1</v>
      </c>
      <c r="G186" s="265" t="n">
        <v>1</v>
      </c>
      <c r="H186" s="265" t="n">
        <v>1</v>
      </c>
      <c r="I186" s="265" t="n">
        <v>1</v>
      </c>
      <c r="J186" s="265" t="n">
        <v>1</v>
      </c>
      <c r="K186" s="265" t="n">
        <v>1</v>
      </c>
      <c r="L186" s="265" t="n">
        <v>1</v>
      </c>
      <c r="M186" s="265" t="n">
        <v>1</v>
      </c>
      <c r="N186" s="265" t="n">
        <v>1</v>
      </c>
      <c r="O186" s="265" t="n">
        <v>1</v>
      </c>
      <c r="P186" s="265" t="n">
        <v>1</v>
      </c>
      <c r="Q186" s="266" t="n">
        <v>1</v>
      </c>
      <c r="R186" s="266" t="n">
        <v>1</v>
      </c>
      <c r="S186" s="266" t="n">
        <v>1</v>
      </c>
      <c r="T186" s="266" t="n">
        <v>1</v>
      </c>
      <c r="U186" s="266" t="n">
        <v>1</v>
      </c>
      <c r="V186" s="266" t="n">
        <v>1</v>
      </c>
      <c r="W186" s="266" t="n">
        <v>1</v>
      </c>
      <c r="X186" s="266" t="n">
        <v>1</v>
      </c>
      <c r="Y186" s="266" t="n">
        <v>1</v>
      </c>
      <c r="Z186" s="266" t="n">
        <v>1</v>
      </c>
      <c r="AA186" s="266" t="n">
        <v>1</v>
      </c>
      <c r="AB186" s="266" t="n">
        <v>1</v>
      </c>
      <c r="AC186" s="266" t="n">
        <v>1</v>
      </c>
      <c r="AD186" s="266" t="n">
        <v>1</v>
      </c>
    </row>
    <row r="187" customFormat="false" ht="14.25" hidden="false" customHeight="false" outlineLevel="0" collapsed="false">
      <c r="A187" s="264" t="s">
        <v>376</v>
      </c>
      <c r="B187" s="264"/>
      <c r="C187" s="265" t="n">
        <v>1</v>
      </c>
      <c r="D187" s="265" t="n">
        <v>1</v>
      </c>
      <c r="E187" s="265" t="n">
        <v>1</v>
      </c>
      <c r="F187" s="265" t="n">
        <v>1</v>
      </c>
      <c r="G187" s="265" t="n">
        <v>1</v>
      </c>
      <c r="H187" s="265" t="n">
        <v>1</v>
      </c>
      <c r="I187" s="265" t="n">
        <v>1</v>
      </c>
      <c r="J187" s="265" t="n">
        <v>1</v>
      </c>
      <c r="K187" s="265" t="n">
        <v>1</v>
      </c>
      <c r="L187" s="265" t="n">
        <v>1</v>
      </c>
      <c r="M187" s="265" t="n">
        <v>1</v>
      </c>
      <c r="N187" s="265" t="n">
        <v>1</v>
      </c>
      <c r="O187" s="265" t="n">
        <v>1</v>
      </c>
      <c r="P187" s="265" t="n">
        <v>1</v>
      </c>
      <c r="Q187" s="266" t="n">
        <v>1</v>
      </c>
      <c r="R187" s="266" t="n">
        <v>1</v>
      </c>
      <c r="S187" s="266" t="n">
        <v>1</v>
      </c>
      <c r="T187" s="266" t="n">
        <v>1</v>
      </c>
      <c r="U187" s="266" t="n">
        <v>1</v>
      </c>
      <c r="V187" s="266" t="n">
        <v>1</v>
      </c>
      <c r="W187" s="266" t="n">
        <v>1</v>
      </c>
      <c r="X187" s="266" t="n">
        <v>1</v>
      </c>
      <c r="Y187" s="266" t="n">
        <v>1</v>
      </c>
      <c r="Z187" s="266" t="n">
        <v>1</v>
      </c>
      <c r="AA187" s="266" t="n">
        <v>1</v>
      </c>
      <c r="AB187" s="266" t="n">
        <v>1</v>
      </c>
      <c r="AC187" s="266" t="n">
        <v>1</v>
      </c>
      <c r="AD187" s="266" t="n">
        <v>1</v>
      </c>
    </row>
    <row r="188" customFormat="false" ht="14.25" hidden="false" customHeight="false" outlineLevel="0" collapsed="false">
      <c r="A188" s="264" t="s">
        <v>377</v>
      </c>
      <c r="B188" s="264"/>
      <c r="C188" s="265" t="n">
        <v>1</v>
      </c>
      <c r="D188" s="265" t="n">
        <v>1</v>
      </c>
      <c r="E188" s="265" t="n">
        <v>1</v>
      </c>
      <c r="F188" s="265" t="n">
        <v>1</v>
      </c>
      <c r="G188" s="265" t="n">
        <v>1</v>
      </c>
      <c r="H188" s="265" t="n">
        <v>1</v>
      </c>
      <c r="I188" s="265" t="n">
        <v>1</v>
      </c>
      <c r="J188" s="265" t="n">
        <v>1</v>
      </c>
      <c r="K188" s="265" t="n">
        <v>1</v>
      </c>
      <c r="L188" s="265" t="n">
        <v>1</v>
      </c>
      <c r="M188" s="265" t="n">
        <v>1</v>
      </c>
      <c r="N188" s="265" t="n">
        <v>1</v>
      </c>
      <c r="O188" s="265" t="n">
        <v>1</v>
      </c>
      <c r="P188" s="265" t="n">
        <v>1</v>
      </c>
      <c r="Q188" s="266" t="n">
        <v>1</v>
      </c>
      <c r="R188" s="266" t="n">
        <v>1</v>
      </c>
      <c r="S188" s="266" t="n">
        <v>1</v>
      </c>
      <c r="T188" s="266" t="n">
        <v>1</v>
      </c>
      <c r="U188" s="266" t="n">
        <v>1</v>
      </c>
      <c r="V188" s="266" t="n">
        <v>1</v>
      </c>
      <c r="W188" s="266" t="n">
        <v>1</v>
      </c>
      <c r="X188" s="266" t="n">
        <v>1</v>
      </c>
      <c r="Y188" s="266" t="n">
        <v>1</v>
      </c>
      <c r="Z188" s="266" t="n">
        <v>1</v>
      </c>
      <c r="AA188" s="266" t="n">
        <v>1</v>
      </c>
      <c r="AB188" s="266" t="n">
        <v>1</v>
      </c>
      <c r="AC188" s="266" t="n">
        <v>1</v>
      </c>
      <c r="AD188" s="266" t="n">
        <v>1</v>
      </c>
    </row>
    <row r="189" customFormat="false" ht="14.25" hidden="false" customHeight="false" outlineLevel="0" collapsed="false">
      <c r="A189" s="264" t="s">
        <v>378</v>
      </c>
      <c r="B189" s="264"/>
      <c r="C189" s="265" t="n">
        <v>1</v>
      </c>
      <c r="D189" s="265" t="n">
        <v>1</v>
      </c>
      <c r="E189" s="265" t="n">
        <v>1</v>
      </c>
      <c r="F189" s="265" t="n">
        <v>1</v>
      </c>
      <c r="G189" s="265" t="n">
        <v>1</v>
      </c>
      <c r="H189" s="265" t="n">
        <v>1</v>
      </c>
      <c r="I189" s="265" t="n">
        <v>1</v>
      </c>
      <c r="J189" s="265" t="n">
        <v>1</v>
      </c>
      <c r="K189" s="265" t="n">
        <v>1</v>
      </c>
      <c r="L189" s="265" t="n">
        <v>1</v>
      </c>
      <c r="M189" s="265" t="n">
        <v>1</v>
      </c>
      <c r="N189" s="265" t="n">
        <v>1</v>
      </c>
      <c r="O189" s="265" t="n">
        <v>1</v>
      </c>
      <c r="P189" s="265" t="n">
        <v>1</v>
      </c>
      <c r="Q189" s="266" t="n">
        <v>1</v>
      </c>
      <c r="R189" s="266" t="n">
        <v>1</v>
      </c>
      <c r="S189" s="266" t="n">
        <v>1</v>
      </c>
      <c r="T189" s="266" t="n">
        <v>1</v>
      </c>
      <c r="U189" s="266" t="n">
        <v>1</v>
      </c>
      <c r="V189" s="266" t="n">
        <v>1</v>
      </c>
      <c r="W189" s="266" t="n">
        <v>1</v>
      </c>
      <c r="X189" s="266" t="n">
        <v>1</v>
      </c>
      <c r="Y189" s="266" t="n">
        <v>1</v>
      </c>
      <c r="Z189" s="266" t="n">
        <v>1</v>
      </c>
      <c r="AA189" s="266" t="n">
        <v>1</v>
      </c>
      <c r="AB189" s="266" t="n">
        <v>1</v>
      </c>
      <c r="AC189" s="266" t="n">
        <v>1</v>
      </c>
      <c r="AD189" s="266" t="n">
        <v>1</v>
      </c>
    </row>
    <row r="190" customFormat="false" ht="15.75" hidden="false" customHeight="true" outlineLevel="0" collapsed="false">
      <c r="A190" s="200" t="s">
        <v>602</v>
      </c>
      <c r="B190" s="200"/>
      <c r="C190" s="200"/>
      <c r="D190" s="200"/>
      <c r="E190" s="200"/>
      <c r="F190" s="200"/>
      <c r="G190" s="200"/>
      <c r="H190" s="200"/>
      <c r="I190" s="200"/>
      <c r="J190" s="200"/>
      <c r="K190" s="200"/>
      <c r="L190" s="200"/>
      <c r="M190" s="200"/>
      <c r="N190" s="200"/>
      <c r="O190" s="200"/>
      <c r="P190" s="200"/>
      <c r="Q190" s="200"/>
    </row>
    <row r="191" customFormat="false" ht="14.25" hidden="false" customHeight="false" outlineLevel="0" collapsed="false">
      <c r="A191" s="264" t="s">
        <v>374</v>
      </c>
      <c r="B191" s="264"/>
      <c r="C191" s="265" t="n">
        <v>2040</v>
      </c>
      <c r="D191" s="265" t="n">
        <v>2040</v>
      </c>
      <c r="E191" s="265" t="n">
        <v>2040</v>
      </c>
      <c r="F191" s="265" t="n">
        <v>2040</v>
      </c>
      <c r="G191" s="265" t="n">
        <v>2040</v>
      </c>
      <c r="H191" s="265" t="n">
        <v>2040</v>
      </c>
      <c r="I191" s="265" t="n">
        <v>2040</v>
      </c>
      <c r="J191" s="265" t="n">
        <v>2040</v>
      </c>
      <c r="K191" s="265" t="n">
        <v>2040</v>
      </c>
      <c r="L191" s="265" t="n">
        <v>2040</v>
      </c>
      <c r="M191" s="265" t="n">
        <v>2040</v>
      </c>
      <c r="N191" s="265" t="n">
        <v>2040</v>
      </c>
      <c r="O191" s="265" t="n">
        <v>2040</v>
      </c>
      <c r="P191" s="265" t="n">
        <v>2040</v>
      </c>
      <c r="Q191" s="265" t="n">
        <v>2040</v>
      </c>
      <c r="R191" s="265" t="n">
        <v>2040</v>
      </c>
      <c r="S191" s="265" t="n">
        <v>2040</v>
      </c>
      <c r="T191" s="265" t="n">
        <v>2040</v>
      </c>
      <c r="U191" s="265" t="n">
        <v>2040</v>
      </c>
      <c r="V191" s="265" t="n">
        <v>2040</v>
      </c>
      <c r="W191" s="265" t="n">
        <v>2040</v>
      </c>
      <c r="X191" s="265" t="n">
        <v>2040</v>
      </c>
      <c r="Y191" s="265" t="n">
        <v>2040</v>
      </c>
      <c r="Z191" s="265" t="n">
        <v>2040</v>
      </c>
      <c r="AA191" s="265" t="n">
        <v>2040</v>
      </c>
      <c r="AB191" s="265" t="n">
        <v>2040</v>
      </c>
      <c r="AC191" s="265" t="n">
        <v>2040</v>
      </c>
      <c r="AD191" s="265" t="n">
        <v>2040</v>
      </c>
    </row>
    <row r="192" customFormat="false" ht="14.25" hidden="false" customHeight="false" outlineLevel="0" collapsed="false">
      <c r="A192" s="264" t="s">
        <v>375</v>
      </c>
      <c r="B192" s="264"/>
      <c r="C192" s="265" t="n">
        <v>2040</v>
      </c>
      <c r="D192" s="265" t="n">
        <v>2040</v>
      </c>
      <c r="E192" s="265" t="n">
        <v>2040</v>
      </c>
      <c r="F192" s="265" t="n">
        <v>2040</v>
      </c>
      <c r="G192" s="265" t="n">
        <v>2040</v>
      </c>
      <c r="H192" s="265" t="n">
        <v>2040</v>
      </c>
      <c r="I192" s="265" t="n">
        <v>2040</v>
      </c>
      <c r="J192" s="265" t="n">
        <v>2040</v>
      </c>
      <c r="K192" s="265" t="n">
        <v>2040</v>
      </c>
      <c r="L192" s="265" t="n">
        <v>2040</v>
      </c>
      <c r="M192" s="265" t="n">
        <v>2040</v>
      </c>
      <c r="N192" s="265" t="n">
        <v>2040</v>
      </c>
      <c r="O192" s="265" t="n">
        <v>2040</v>
      </c>
      <c r="P192" s="265" t="n">
        <v>2040</v>
      </c>
      <c r="Q192" s="265" t="n">
        <v>2040</v>
      </c>
      <c r="R192" s="265" t="n">
        <v>2040</v>
      </c>
      <c r="S192" s="265" t="n">
        <v>2040</v>
      </c>
      <c r="T192" s="265" t="n">
        <v>2040</v>
      </c>
      <c r="U192" s="265" t="n">
        <v>2040</v>
      </c>
      <c r="V192" s="265" t="n">
        <v>2040</v>
      </c>
      <c r="W192" s="265" t="n">
        <v>2040</v>
      </c>
      <c r="X192" s="265" t="n">
        <v>2040</v>
      </c>
      <c r="Y192" s="265" t="n">
        <v>2040</v>
      </c>
      <c r="Z192" s="265" t="n">
        <v>2040</v>
      </c>
      <c r="AA192" s="265" t="n">
        <v>2040</v>
      </c>
      <c r="AB192" s="265" t="n">
        <v>2040</v>
      </c>
      <c r="AC192" s="265" t="n">
        <v>2040</v>
      </c>
      <c r="AD192" s="265" t="n">
        <v>2040</v>
      </c>
    </row>
    <row r="193" customFormat="false" ht="14.25" hidden="false" customHeight="false" outlineLevel="0" collapsed="false">
      <c r="A193" s="264" t="s">
        <v>376</v>
      </c>
      <c r="B193" s="264"/>
      <c r="C193" s="265" t="n">
        <v>2040</v>
      </c>
      <c r="D193" s="265" t="n">
        <v>2040</v>
      </c>
      <c r="E193" s="265" t="n">
        <v>2040</v>
      </c>
      <c r="F193" s="265" t="n">
        <v>2040</v>
      </c>
      <c r="G193" s="265" t="n">
        <v>2040</v>
      </c>
      <c r="H193" s="265" t="n">
        <v>2040</v>
      </c>
      <c r="I193" s="265" t="n">
        <v>2040</v>
      </c>
      <c r="J193" s="265" t="n">
        <v>2040</v>
      </c>
      <c r="K193" s="265" t="n">
        <v>2040</v>
      </c>
      <c r="L193" s="265" t="n">
        <v>2040</v>
      </c>
      <c r="M193" s="265" t="n">
        <v>2040</v>
      </c>
      <c r="N193" s="265" t="n">
        <v>2040</v>
      </c>
      <c r="O193" s="265" t="n">
        <v>2040</v>
      </c>
      <c r="P193" s="265" t="n">
        <v>2040</v>
      </c>
      <c r="Q193" s="265" t="n">
        <v>2040</v>
      </c>
      <c r="R193" s="265" t="n">
        <v>2040</v>
      </c>
      <c r="S193" s="265" t="n">
        <v>2040</v>
      </c>
      <c r="T193" s="265" t="n">
        <v>2040</v>
      </c>
      <c r="U193" s="265" t="n">
        <v>2040</v>
      </c>
      <c r="V193" s="265" t="n">
        <v>2040</v>
      </c>
      <c r="W193" s="265" t="n">
        <v>2040</v>
      </c>
      <c r="X193" s="265" t="n">
        <v>2040</v>
      </c>
      <c r="Y193" s="265" t="n">
        <v>2040</v>
      </c>
      <c r="Z193" s="265" t="n">
        <v>2040</v>
      </c>
      <c r="AA193" s="265" t="n">
        <v>2040</v>
      </c>
      <c r="AB193" s="265" t="n">
        <v>2040</v>
      </c>
      <c r="AC193" s="265" t="n">
        <v>2040</v>
      </c>
      <c r="AD193" s="265" t="n">
        <v>2040</v>
      </c>
    </row>
    <row r="194" customFormat="false" ht="14.25" hidden="false" customHeight="false" outlineLevel="0" collapsed="false">
      <c r="A194" s="264" t="s">
        <v>377</v>
      </c>
      <c r="B194" s="264"/>
      <c r="C194" s="265" t="n">
        <v>2040</v>
      </c>
      <c r="D194" s="265" t="n">
        <v>2040</v>
      </c>
      <c r="E194" s="265" t="n">
        <v>2040</v>
      </c>
      <c r="F194" s="265" t="n">
        <v>2040</v>
      </c>
      <c r="G194" s="265" t="n">
        <v>2040</v>
      </c>
      <c r="H194" s="265" t="n">
        <v>2040</v>
      </c>
      <c r="I194" s="265" t="n">
        <v>2040</v>
      </c>
      <c r="J194" s="265" t="n">
        <v>2040</v>
      </c>
      <c r="K194" s="265" t="n">
        <v>2040</v>
      </c>
      <c r="L194" s="265" t="n">
        <v>2040</v>
      </c>
      <c r="M194" s="265" t="n">
        <v>2040</v>
      </c>
      <c r="N194" s="265" t="n">
        <v>2040</v>
      </c>
      <c r="O194" s="265" t="n">
        <v>2040</v>
      </c>
      <c r="P194" s="265" t="n">
        <v>2040</v>
      </c>
      <c r="Q194" s="265" t="n">
        <v>2040</v>
      </c>
      <c r="R194" s="265" t="n">
        <v>2040</v>
      </c>
      <c r="S194" s="265" t="n">
        <v>2040</v>
      </c>
      <c r="T194" s="265" t="n">
        <v>2040</v>
      </c>
      <c r="U194" s="265" t="n">
        <v>2040</v>
      </c>
      <c r="V194" s="265" t="n">
        <v>2040</v>
      </c>
      <c r="W194" s="265" t="n">
        <v>2040</v>
      </c>
      <c r="X194" s="265" t="n">
        <v>2040</v>
      </c>
      <c r="Y194" s="265" t="n">
        <v>2040</v>
      </c>
      <c r="Z194" s="265" t="n">
        <v>2040</v>
      </c>
      <c r="AA194" s="265" t="n">
        <v>2040</v>
      </c>
      <c r="AB194" s="265" t="n">
        <v>2040</v>
      </c>
      <c r="AC194" s="265" t="n">
        <v>2040</v>
      </c>
      <c r="AD194" s="265" t="n">
        <v>2040</v>
      </c>
    </row>
    <row r="195" customFormat="false" ht="14.25" hidden="false" customHeight="false" outlineLevel="0" collapsed="false">
      <c r="A195" s="264" t="s">
        <v>378</v>
      </c>
      <c r="B195" s="264"/>
      <c r="C195" s="265" t="n">
        <v>2040</v>
      </c>
      <c r="D195" s="265" t="n">
        <v>2040</v>
      </c>
      <c r="E195" s="265" t="n">
        <v>2040</v>
      </c>
      <c r="F195" s="265" t="n">
        <v>2040</v>
      </c>
      <c r="G195" s="265" t="n">
        <v>2040</v>
      </c>
      <c r="H195" s="265" t="n">
        <v>2040</v>
      </c>
      <c r="I195" s="265" t="n">
        <v>2040</v>
      </c>
      <c r="J195" s="265" t="n">
        <v>2040</v>
      </c>
      <c r="K195" s="265" t="n">
        <v>2040</v>
      </c>
      <c r="L195" s="265" t="n">
        <v>2040</v>
      </c>
      <c r="M195" s="265" t="n">
        <v>2040</v>
      </c>
      <c r="N195" s="265" t="n">
        <v>2040</v>
      </c>
      <c r="O195" s="265" t="n">
        <v>2040</v>
      </c>
      <c r="P195" s="265" t="n">
        <v>2040</v>
      </c>
      <c r="Q195" s="265" t="n">
        <v>2040</v>
      </c>
      <c r="R195" s="265" t="n">
        <v>2040</v>
      </c>
      <c r="S195" s="265" t="n">
        <v>2040</v>
      </c>
      <c r="T195" s="265" t="n">
        <v>2040</v>
      </c>
      <c r="U195" s="265" t="n">
        <v>2040</v>
      </c>
      <c r="V195" s="265" t="n">
        <v>2040</v>
      </c>
      <c r="W195" s="265" t="n">
        <v>2040</v>
      </c>
      <c r="X195" s="265" t="n">
        <v>2040</v>
      </c>
      <c r="Y195" s="265" t="n">
        <v>2040</v>
      </c>
      <c r="Z195" s="265" t="n">
        <v>2040</v>
      </c>
      <c r="AA195" s="265" t="n">
        <v>2040</v>
      </c>
      <c r="AB195" s="265" t="n">
        <v>2040</v>
      </c>
      <c r="AC195" s="265" t="n">
        <v>2040</v>
      </c>
      <c r="AD195" s="265" t="n">
        <v>2040</v>
      </c>
    </row>
    <row r="196" customFormat="false" ht="15.75" hidden="false" customHeight="true" outlineLevel="0" collapsed="false">
      <c r="A196" s="200" t="s">
        <v>603</v>
      </c>
      <c r="B196" s="200"/>
      <c r="C196" s="200"/>
      <c r="D196" s="200"/>
      <c r="E196" s="200"/>
      <c r="F196" s="200"/>
      <c r="G196" s="200"/>
      <c r="H196" s="200"/>
      <c r="I196" s="200"/>
      <c r="J196" s="200"/>
      <c r="K196" s="200"/>
      <c r="L196" s="200"/>
      <c r="M196" s="200"/>
      <c r="N196" s="200"/>
      <c r="O196" s="200"/>
      <c r="P196" s="200"/>
      <c r="Q196" s="200"/>
    </row>
    <row r="197" customFormat="false" ht="14.25" hidden="false" customHeight="false" outlineLevel="0" collapsed="false">
      <c r="A197" s="264" t="s">
        <v>374</v>
      </c>
      <c r="B197" s="264"/>
      <c r="C197" s="265" t="n">
        <v>1</v>
      </c>
      <c r="D197" s="265" t="n">
        <v>1</v>
      </c>
      <c r="E197" s="265" t="n">
        <v>1</v>
      </c>
      <c r="F197" s="265" t="n">
        <v>1</v>
      </c>
      <c r="G197" s="265" t="n">
        <v>1</v>
      </c>
      <c r="H197" s="265" t="n">
        <v>1</v>
      </c>
      <c r="I197" s="265" t="n">
        <v>1</v>
      </c>
      <c r="J197" s="265" t="n">
        <v>1</v>
      </c>
      <c r="K197" s="265" t="n">
        <v>1</v>
      </c>
      <c r="L197" s="265" t="n">
        <v>1</v>
      </c>
      <c r="M197" s="265" t="n">
        <v>1</v>
      </c>
      <c r="N197" s="265" t="n">
        <v>1</v>
      </c>
      <c r="O197" s="265" t="n">
        <v>1</v>
      </c>
      <c r="P197" s="265" t="n">
        <v>1</v>
      </c>
      <c r="Q197" s="266" t="n">
        <v>1</v>
      </c>
      <c r="R197" s="266" t="n">
        <v>1</v>
      </c>
      <c r="S197" s="266" t="n">
        <v>1</v>
      </c>
      <c r="T197" s="266" t="n">
        <v>1</v>
      </c>
      <c r="U197" s="266" t="n">
        <v>1</v>
      </c>
      <c r="V197" s="266" t="n">
        <v>1</v>
      </c>
      <c r="W197" s="266" t="n">
        <v>1</v>
      </c>
      <c r="X197" s="266" t="n">
        <v>1</v>
      </c>
      <c r="Y197" s="266" t="n">
        <v>1</v>
      </c>
      <c r="Z197" s="266" t="n">
        <v>1</v>
      </c>
      <c r="AA197" s="266" t="n">
        <v>1</v>
      </c>
      <c r="AB197" s="266" t="n">
        <v>1</v>
      </c>
      <c r="AC197" s="266" t="n">
        <v>1</v>
      </c>
      <c r="AD197" s="266" t="n">
        <v>1</v>
      </c>
    </row>
    <row r="198" customFormat="false" ht="14.25" hidden="false" customHeight="false" outlineLevel="0" collapsed="false">
      <c r="A198" s="264" t="s">
        <v>375</v>
      </c>
      <c r="B198" s="264"/>
      <c r="C198" s="265" t="n">
        <v>1</v>
      </c>
      <c r="D198" s="265" t="n">
        <v>1</v>
      </c>
      <c r="E198" s="265" t="n">
        <v>1</v>
      </c>
      <c r="F198" s="265" t="n">
        <v>1</v>
      </c>
      <c r="G198" s="265" t="n">
        <v>1</v>
      </c>
      <c r="H198" s="265" t="n">
        <v>1</v>
      </c>
      <c r="I198" s="265" t="n">
        <v>1</v>
      </c>
      <c r="J198" s="265" t="n">
        <v>1</v>
      </c>
      <c r="K198" s="265" t="n">
        <v>1</v>
      </c>
      <c r="L198" s="265" t="n">
        <v>1</v>
      </c>
      <c r="M198" s="265" t="n">
        <v>1</v>
      </c>
      <c r="N198" s="265" t="n">
        <v>1</v>
      </c>
      <c r="O198" s="265" t="n">
        <v>1</v>
      </c>
      <c r="P198" s="265" t="n">
        <v>1</v>
      </c>
      <c r="Q198" s="266" t="n">
        <v>1</v>
      </c>
      <c r="R198" s="266" t="n">
        <v>1</v>
      </c>
      <c r="S198" s="266" t="n">
        <v>1</v>
      </c>
      <c r="T198" s="266" t="n">
        <v>1</v>
      </c>
      <c r="U198" s="266" t="n">
        <v>1</v>
      </c>
      <c r="V198" s="266" t="n">
        <v>1</v>
      </c>
      <c r="W198" s="266" t="n">
        <v>1</v>
      </c>
      <c r="X198" s="266" t="n">
        <v>1</v>
      </c>
      <c r="Y198" s="266" t="n">
        <v>1</v>
      </c>
      <c r="Z198" s="266" t="n">
        <v>1</v>
      </c>
      <c r="AA198" s="266" t="n">
        <v>1</v>
      </c>
      <c r="AB198" s="266" t="n">
        <v>1</v>
      </c>
      <c r="AC198" s="266" t="n">
        <v>1</v>
      </c>
      <c r="AD198" s="266" t="n">
        <v>1</v>
      </c>
    </row>
    <row r="199" customFormat="false" ht="14.25" hidden="false" customHeight="false" outlineLevel="0" collapsed="false">
      <c r="A199" s="264" t="s">
        <v>376</v>
      </c>
      <c r="B199" s="264"/>
      <c r="C199" s="265" t="n">
        <v>1</v>
      </c>
      <c r="D199" s="265" t="n">
        <v>1</v>
      </c>
      <c r="E199" s="265" t="n">
        <v>1</v>
      </c>
      <c r="F199" s="265" t="n">
        <v>1</v>
      </c>
      <c r="G199" s="265" t="n">
        <v>1</v>
      </c>
      <c r="H199" s="265" t="n">
        <v>1</v>
      </c>
      <c r="I199" s="265" t="n">
        <v>1</v>
      </c>
      <c r="J199" s="265" t="n">
        <v>1</v>
      </c>
      <c r="K199" s="265" t="n">
        <v>1</v>
      </c>
      <c r="L199" s="265" t="n">
        <v>1</v>
      </c>
      <c r="M199" s="265" t="n">
        <v>1</v>
      </c>
      <c r="N199" s="265" t="n">
        <v>1</v>
      </c>
      <c r="O199" s="265" t="n">
        <v>1</v>
      </c>
      <c r="P199" s="265" t="n">
        <v>1</v>
      </c>
      <c r="Q199" s="266" t="n">
        <v>1</v>
      </c>
      <c r="R199" s="266" t="n">
        <v>1</v>
      </c>
      <c r="S199" s="266" t="n">
        <v>1</v>
      </c>
      <c r="T199" s="266" t="n">
        <v>1</v>
      </c>
      <c r="U199" s="266" t="n">
        <v>1</v>
      </c>
      <c r="V199" s="266" t="n">
        <v>1</v>
      </c>
      <c r="W199" s="266" t="n">
        <v>1</v>
      </c>
      <c r="X199" s="266" t="n">
        <v>1</v>
      </c>
      <c r="Y199" s="266" t="n">
        <v>1</v>
      </c>
      <c r="Z199" s="266" t="n">
        <v>1</v>
      </c>
      <c r="AA199" s="266" t="n">
        <v>1</v>
      </c>
      <c r="AB199" s="266" t="n">
        <v>1</v>
      </c>
      <c r="AC199" s="266" t="n">
        <v>1</v>
      </c>
      <c r="AD199" s="266" t="n">
        <v>1</v>
      </c>
    </row>
    <row r="200" customFormat="false" ht="14.25" hidden="false" customHeight="false" outlineLevel="0" collapsed="false">
      <c r="A200" s="264" t="s">
        <v>377</v>
      </c>
      <c r="B200" s="264"/>
      <c r="C200" s="265" t="n">
        <v>1</v>
      </c>
      <c r="D200" s="265" t="n">
        <v>1</v>
      </c>
      <c r="E200" s="265" t="n">
        <v>1</v>
      </c>
      <c r="F200" s="265" t="n">
        <v>1</v>
      </c>
      <c r="G200" s="265" t="n">
        <v>1</v>
      </c>
      <c r="H200" s="265" t="n">
        <v>1</v>
      </c>
      <c r="I200" s="265" t="n">
        <v>1</v>
      </c>
      <c r="J200" s="265" t="n">
        <v>1</v>
      </c>
      <c r="K200" s="265" t="n">
        <v>1</v>
      </c>
      <c r="L200" s="265" t="n">
        <v>1</v>
      </c>
      <c r="M200" s="265" t="n">
        <v>1</v>
      </c>
      <c r="N200" s="265" t="n">
        <v>1</v>
      </c>
      <c r="O200" s="265" t="n">
        <v>1</v>
      </c>
      <c r="P200" s="265" t="n">
        <v>1</v>
      </c>
      <c r="Q200" s="266" t="n">
        <v>1</v>
      </c>
      <c r="R200" s="266" t="n">
        <v>1</v>
      </c>
      <c r="S200" s="266" t="n">
        <v>1</v>
      </c>
      <c r="T200" s="266" t="n">
        <v>1</v>
      </c>
      <c r="U200" s="266" t="n">
        <v>1</v>
      </c>
      <c r="V200" s="266" t="n">
        <v>1</v>
      </c>
      <c r="W200" s="266" t="n">
        <v>1</v>
      </c>
      <c r="X200" s="266" t="n">
        <v>1</v>
      </c>
      <c r="Y200" s="266" t="n">
        <v>1</v>
      </c>
      <c r="Z200" s="266" t="n">
        <v>1</v>
      </c>
      <c r="AA200" s="266" t="n">
        <v>1</v>
      </c>
      <c r="AB200" s="266" t="n">
        <v>1</v>
      </c>
      <c r="AC200" s="266" t="n">
        <v>1</v>
      </c>
      <c r="AD200" s="266" t="n">
        <v>1</v>
      </c>
    </row>
    <row r="201" customFormat="false" ht="14.25" hidden="false" customHeight="false" outlineLevel="0" collapsed="false">
      <c r="A201" s="264" t="s">
        <v>378</v>
      </c>
      <c r="B201" s="264"/>
      <c r="C201" s="265" t="n">
        <v>1</v>
      </c>
      <c r="D201" s="265" t="n">
        <v>1</v>
      </c>
      <c r="E201" s="265" t="n">
        <v>1</v>
      </c>
      <c r="F201" s="265" t="n">
        <v>1</v>
      </c>
      <c r="G201" s="265" t="n">
        <v>1</v>
      </c>
      <c r="H201" s="265" t="n">
        <v>1</v>
      </c>
      <c r="I201" s="265" t="n">
        <v>1</v>
      </c>
      <c r="J201" s="265" t="n">
        <v>1</v>
      </c>
      <c r="K201" s="265" t="n">
        <v>1</v>
      </c>
      <c r="L201" s="265" t="n">
        <v>1</v>
      </c>
      <c r="M201" s="265" t="n">
        <v>1</v>
      </c>
      <c r="N201" s="265" t="n">
        <v>1</v>
      </c>
      <c r="O201" s="265" t="n">
        <v>1</v>
      </c>
      <c r="P201" s="265" t="n">
        <v>1</v>
      </c>
      <c r="Q201" s="266" t="n">
        <v>1</v>
      </c>
      <c r="R201" s="266" t="n">
        <v>1</v>
      </c>
      <c r="S201" s="266" t="n">
        <v>1</v>
      </c>
      <c r="T201" s="266" t="n">
        <v>1</v>
      </c>
      <c r="U201" s="266" t="n">
        <v>1</v>
      </c>
      <c r="V201" s="266" t="n">
        <v>1</v>
      </c>
      <c r="W201" s="266" t="n">
        <v>1</v>
      </c>
      <c r="X201" s="266" t="n">
        <v>1</v>
      </c>
      <c r="Y201" s="266" t="n">
        <v>1</v>
      </c>
      <c r="Z201" s="266" t="n">
        <v>1</v>
      </c>
      <c r="AA201" s="266" t="n">
        <v>1</v>
      </c>
      <c r="AB201" s="266" t="n">
        <v>1</v>
      </c>
      <c r="AC201" s="266" t="n">
        <v>1</v>
      </c>
      <c r="AD201" s="266" t="n">
        <v>1</v>
      </c>
    </row>
    <row r="202" customFormat="false" ht="15.75" hidden="false" customHeight="true" outlineLevel="0" collapsed="false">
      <c r="A202" s="200" t="s">
        <v>604</v>
      </c>
      <c r="B202" s="200"/>
      <c r="C202" s="200"/>
      <c r="D202" s="200"/>
      <c r="E202" s="200"/>
      <c r="F202" s="200"/>
      <c r="G202" s="200"/>
      <c r="H202" s="200"/>
      <c r="I202" s="200"/>
      <c r="J202" s="200"/>
      <c r="K202" s="200"/>
      <c r="L202" s="200"/>
      <c r="M202" s="200"/>
      <c r="N202" s="200"/>
      <c r="O202" s="200"/>
      <c r="P202" s="200"/>
      <c r="Q202" s="200"/>
    </row>
    <row r="203" customFormat="false" ht="14.25" hidden="false" customHeight="false" outlineLevel="0" collapsed="false">
      <c r="A203" s="264" t="s">
        <v>374</v>
      </c>
      <c r="B203" s="264"/>
      <c r="C203" s="265" t="n">
        <v>2050</v>
      </c>
      <c r="D203" s="265" t="n">
        <v>2050</v>
      </c>
      <c r="E203" s="265" t="n">
        <v>2050</v>
      </c>
      <c r="F203" s="265" t="n">
        <v>2050</v>
      </c>
      <c r="G203" s="265" t="n">
        <v>2050</v>
      </c>
      <c r="H203" s="265" t="n">
        <v>2050</v>
      </c>
      <c r="I203" s="265" t="n">
        <v>2050</v>
      </c>
      <c r="J203" s="265" t="n">
        <v>2050</v>
      </c>
      <c r="K203" s="265" t="n">
        <v>2050</v>
      </c>
      <c r="L203" s="265" t="n">
        <v>2050</v>
      </c>
      <c r="M203" s="265" t="n">
        <v>2050</v>
      </c>
      <c r="N203" s="265" t="n">
        <v>2050</v>
      </c>
      <c r="O203" s="265" t="n">
        <v>2050</v>
      </c>
      <c r="P203" s="265" t="n">
        <v>2050</v>
      </c>
      <c r="Q203" s="266" t="n">
        <v>2050</v>
      </c>
      <c r="R203" s="266" t="n">
        <v>2050</v>
      </c>
      <c r="S203" s="266" t="n">
        <v>2050</v>
      </c>
      <c r="T203" s="266" t="n">
        <v>2050</v>
      </c>
      <c r="U203" s="266" t="n">
        <v>2050</v>
      </c>
      <c r="V203" s="266" t="n">
        <v>2050</v>
      </c>
      <c r="W203" s="266" t="n">
        <v>2050</v>
      </c>
      <c r="X203" s="266" t="n">
        <v>2050</v>
      </c>
      <c r="Y203" s="266" t="n">
        <v>2050</v>
      </c>
      <c r="Z203" s="266" t="n">
        <v>2050</v>
      </c>
      <c r="AA203" s="266" t="n">
        <v>2050</v>
      </c>
      <c r="AB203" s="266" t="n">
        <v>2050</v>
      </c>
      <c r="AC203" s="266" t="n">
        <v>2050</v>
      </c>
      <c r="AD203" s="266" t="n">
        <v>2050</v>
      </c>
    </row>
    <row r="204" customFormat="false" ht="14.25" hidden="false" customHeight="false" outlineLevel="0" collapsed="false">
      <c r="A204" s="264" t="s">
        <v>375</v>
      </c>
      <c r="B204" s="264"/>
      <c r="C204" s="265" t="n">
        <v>2050</v>
      </c>
      <c r="D204" s="265" t="n">
        <v>2050</v>
      </c>
      <c r="E204" s="265" t="n">
        <v>2050</v>
      </c>
      <c r="F204" s="265" t="n">
        <v>2050</v>
      </c>
      <c r="G204" s="265" t="n">
        <v>2050</v>
      </c>
      <c r="H204" s="265" t="n">
        <v>2050</v>
      </c>
      <c r="I204" s="265" t="n">
        <v>2050</v>
      </c>
      <c r="J204" s="265" t="n">
        <v>2050</v>
      </c>
      <c r="K204" s="265" t="n">
        <v>2050</v>
      </c>
      <c r="L204" s="265" t="n">
        <v>2050</v>
      </c>
      <c r="M204" s="265" t="n">
        <v>2050</v>
      </c>
      <c r="N204" s="265" t="n">
        <v>2050</v>
      </c>
      <c r="O204" s="265" t="n">
        <v>2050</v>
      </c>
      <c r="P204" s="265" t="n">
        <v>2050</v>
      </c>
      <c r="Q204" s="266" t="n">
        <v>2050</v>
      </c>
      <c r="R204" s="266" t="n">
        <v>2050</v>
      </c>
      <c r="S204" s="266" t="n">
        <v>2050</v>
      </c>
      <c r="T204" s="266" t="n">
        <v>2050</v>
      </c>
      <c r="U204" s="266" t="n">
        <v>2050</v>
      </c>
      <c r="V204" s="266" t="n">
        <v>2050</v>
      </c>
      <c r="W204" s="266" t="n">
        <v>2050</v>
      </c>
      <c r="X204" s="266" t="n">
        <v>2050</v>
      </c>
      <c r="Y204" s="266" t="n">
        <v>2050</v>
      </c>
      <c r="Z204" s="266" t="n">
        <v>2050</v>
      </c>
      <c r="AA204" s="266" t="n">
        <v>2050</v>
      </c>
      <c r="AB204" s="266" t="n">
        <v>2050</v>
      </c>
      <c r="AC204" s="266" t="n">
        <v>2050</v>
      </c>
      <c r="AD204" s="266" t="n">
        <v>2050</v>
      </c>
    </row>
    <row r="205" customFormat="false" ht="14.25" hidden="false" customHeight="false" outlineLevel="0" collapsed="false">
      <c r="A205" s="264" t="s">
        <v>376</v>
      </c>
      <c r="B205" s="264"/>
      <c r="C205" s="265" t="n">
        <v>2050</v>
      </c>
      <c r="D205" s="265" t="n">
        <v>2050</v>
      </c>
      <c r="E205" s="265" t="n">
        <v>2050</v>
      </c>
      <c r="F205" s="265" t="n">
        <v>2050</v>
      </c>
      <c r="G205" s="265" t="n">
        <v>2050</v>
      </c>
      <c r="H205" s="265" t="n">
        <v>2050</v>
      </c>
      <c r="I205" s="265" t="n">
        <v>2050</v>
      </c>
      <c r="J205" s="265" t="n">
        <v>2050</v>
      </c>
      <c r="K205" s="265" t="n">
        <v>2050</v>
      </c>
      <c r="L205" s="265" t="n">
        <v>2050</v>
      </c>
      <c r="M205" s="265" t="n">
        <v>2050</v>
      </c>
      <c r="N205" s="265" t="n">
        <v>2050</v>
      </c>
      <c r="O205" s="265" t="n">
        <v>2050</v>
      </c>
      <c r="P205" s="265" t="n">
        <v>2050</v>
      </c>
      <c r="Q205" s="266" t="n">
        <v>2050</v>
      </c>
      <c r="R205" s="266" t="n">
        <v>2050</v>
      </c>
      <c r="S205" s="266" t="n">
        <v>2050</v>
      </c>
      <c r="T205" s="266" t="n">
        <v>2050</v>
      </c>
      <c r="U205" s="266" t="n">
        <v>2050</v>
      </c>
      <c r="V205" s="266" t="n">
        <v>2050</v>
      </c>
      <c r="W205" s="266" t="n">
        <v>2050</v>
      </c>
      <c r="X205" s="266" t="n">
        <v>2050</v>
      </c>
      <c r="Y205" s="266" t="n">
        <v>2050</v>
      </c>
      <c r="Z205" s="266" t="n">
        <v>2050</v>
      </c>
      <c r="AA205" s="266" t="n">
        <v>2050</v>
      </c>
      <c r="AB205" s="266" t="n">
        <v>2050</v>
      </c>
      <c r="AC205" s="266" t="n">
        <v>2050</v>
      </c>
      <c r="AD205" s="266" t="n">
        <v>2050</v>
      </c>
    </row>
    <row r="206" customFormat="false" ht="14.25" hidden="false" customHeight="false" outlineLevel="0" collapsed="false">
      <c r="A206" s="264" t="s">
        <v>377</v>
      </c>
      <c r="B206" s="264"/>
      <c r="C206" s="265" t="n">
        <v>2050</v>
      </c>
      <c r="D206" s="265" t="n">
        <v>2050</v>
      </c>
      <c r="E206" s="265" t="n">
        <v>2050</v>
      </c>
      <c r="F206" s="265" t="n">
        <v>2050</v>
      </c>
      <c r="G206" s="265" t="n">
        <v>2050</v>
      </c>
      <c r="H206" s="265" t="n">
        <v>2050</v>
      </c>
      <c r="I206" s="265" t="n">
        <v>2050</v>
      </c>
      <c r="J206" s="265" t="n">
        <v>2050</v>
      </c>
      <c r="K206" s="265" t="n">
        <v>2050</v>
      </c>
      <c r="L206" s="265" t="n">
        <v>2050</v>
      </c>
      <c r="M206" s="265" t="n">
        <v>2050</v>
      </c>
      <c r="N206" s="265" t="n">
        <v>2050</v>
      </c>
      <c r="O206" s="265" t="n">
        <v>2050</v>
      </c>
      <c r="P206" s="265" t="n">
        <v>2050</v>
      </c>
      <c r="Q206" s="266" t="n">
        <v>2050</v>
      </c>
      <c r="R206" s="266" t="n">
        <v>2050</v>
      </c>
      <c r="S206" s="266" t="n">
        <v>2050</v>
      </c>
      <c r="T206" s="266" t="n">
        <v>2050</v>
      </c>
      <c r="U206" s="266" t="n">
        <v>2050</v>
      </c>
      <c r="V206" s="266" t="n">
        <v>2050</v>
      </c>
      <c r="W206" s="266" t="n">
        <v>2050</v>
      </c>
      <c r="X206" s="266" t="n">
        <v>2050</v>
      </c>
      <c r="Y206" s="266" t="n">
        <v>2050</v>
      </c>
      <c r="Z206" s="266" t="n">
        <v>2050</v>
      </c>
      <c r="AA206" s="266" t="n">
        <v>2050</v>
      </c>
      <c r="AB206" s="266" t="n">
        <v>2050</v>
      </c>
      <c r="AC206" s="266" t="n">
        <v>2050</v>
      </c>
      <c r="AD206" s="266" t="n">
        <v>2050</v>
      </c>
    </row>
    <row r="207" customFormat="false" ht="14.25" hidden="false" customHeight="false" outlineLevel="0" collapsed="false">
      <c r="A207" s="264" t="s">
        <v>378</v>
      </c>
      <c r="B207" s="264"/>
      <c r="C207" s="267" t="n">
        <v>2050</v>
      </c>
      <c r="D207" s="267" t="n">
        <v>2050</v>
      </c>
      <c r="E207" s="267" t="n">
        <v>2050</v>
      </c>
      <c r="F207" s="267" t="n">
        <v>2050</v>
      </c>
      <c r="G207" s="267" t="n">
        <v>2050</v>
      </c>
      <c r="H207" s="267" t="n">
        <v>2050</v>
      </c>
      <c r="I207" s="267" t="n">
        <v>2050</v>
      </c>
      <c r="J207" s="267" t="n">
        <v>2050</v>
      </c>
      <c r="K207" s="267" t="n">
        <v>2050</v>
      </c>
      <c r="L207" s="267" t="n">
        <v>2050</v>
      </c>
      <c r="M207" s="267" t="n">
        <v>2050</v>
      </c>
      <c r="N207" s="267" t="n">
        <v>2050</v>
      </c>
      <c r="O207" s="267" t="n">
        <v>2050</v>
      </c>
      <c r="P207" s="267" t="n">
        <v>2050</v>
      </c>
      <c r="Q207" s="268" t="n">
        <v>2050</v>
      </c>
      <c r="R207" s="268" t="n">
        <v>2050</v>
      </c>
      <c r="S207" s="268" t="n">
        <v>2050</v>
      </c>
      <c r="T207" s="268" t="n">
        <v>2050</v>
      </c>
      <c r="U207" s="268" t="n">
        <v>2050</v>
      </c>
      <c r="V207" s="268" t="n">
        <v>2050</v>
      </c>
      <c r="W207" s="268" t="n">
        <v>2050</v>
      </c>
      <c r="X207" s="268" t="n">
        <v>2050</v>
      </c>
      <c r="Y207" s="268" t="n">
        <v>2050</v>
      </c>
      <c r="Z207" s="268" t="n">
        <v>2050</v>
      </c>
      <c r="AA207" s="268" t="n">
        <v>2050</v>
      </c>
      <c r="AB207" s="268" t="n">
        <v>2050</v>
      </c>
      <c r="AC207" s="268" t="n">
        <v>2050</v>
      </c>
      <c r="AD207" s="268" t="n">
        <v>2050</v>
      </c>
    </row>
    <row r="209" customFormat="false" ht="23.25" hidden="false" customHeight="true" outlineLevel="0" collapsed="false">
      <c r="A209" s="200" t="s">
        <v>386</v>
      </c>
      <c r="B209" s="200"/>
      <c r="C209" s="200"/>
    </row>
    <row r="210" customFormat="false" ht="15.75" hidden="false" customHeight="true" outlineLevel="0" collapsed="false">
      <c r="A210" s="243" t="s">
        <v>387</v>
      </c>
      <c r="B210" s="269" t="s">
        <v>388</v>
      </c>
      <c r="C210" s="270" t="n">
        <v>1</v>
      </c>
    </row>
    <row r="211" customFormat="false" ht="14.25" hidden="false" customHeight="true" outlineLevel="0" collapsed="false">
      <c r="A211" s="243"/>
      <c r="B211" s="269" t="s">
        <v>389</v>
      </c>
      <c r="C211" s="270"/>
    </row>
    <row r="212" customFormat="false" ht="14.25" hidden="false" customHeight="false" outlineLevel="0" collapsed="false">
      <c r="A212" s="208" t="s">
        <v>605</v>
      </c>
      <c r="B212" s="269" t="s">
        <v>36</v>
      </c>
      <c r="C212" s="204" t="n">
        <v>2025</v>
      </c>
    </row>
    <row r="213" customFormat="false" ht="14.25" hidden="false" customHeight="false" outlineLevel="0" collapsed="false">
      <c r="A213" s="271" t="s">
        <v>390</v>
      </c>
      <c r="B213" s="272" t="s">
        <v>36</v>
      </c>
      <c r="C213" s="273" t="n">
        <v>2050</v>
      </c>
    </row>
    <row r="214" customFormat="false" ht="14.25" hidden="false" customHeight="true" outlineLevel="0" collapsed="false">
      <c r="A214" s="200" t="s">
        <v>394</v>
      </c>
      <c r="B214" s="200"/>
      <c r="C214" s="200"/>
      <c r="D214" s="200"/>
      <c r="E214" s="200"/>
      <c r="F214" s="200"/>
      <c r="G214" s="200"/>
      <c r="H214" s="200"/>
      <c r="I214" s="200"/>
      <c r="J214" s="200"/>
      <c r="K214" s="200"/>
      <c r="L214" s="200"/>
      <c r="M214" s="200"/>
      <c r="N214" s="200"/>
      <c r="O214" s="200"/>
      <c r="P214" s="200"/>
      <c r="Q214" s="200"/>
    </row>
    <row r="215" customFormat="false" ht="14.25" hidden="false" customHeight="false" outlineLevel="0" collapsed="false">
      <c r="A215" s="274" t="s">
        <v>606</v>
      </c>
      <c r="B215" s="274"/>
      <c r="C215" s="262" t="s">
        <v>576</v>
      </c>
      <c r="D215" s="262" t="s">
        <v>579</v>
      </c>
      <c r="E215" s="262" t="s">
        <v>362</v>
      </c>
      <c r="F215" s="262" t="s">
        <v>580</v>
      </c>
      <c r="G215" s="262" t="s">
        <v>581</v>
      </c>
      <c r="H215" s="262" t="s">
        <v>582</v>
      </c>
      <c r="I215" s="262" t="s">
        <v>583</v>
      </c>
      <c r="J215" s="262" t="s">
        <v>354</v>
      </c>
      <c r="K215" s="262" t="s">
        <v>584</v>
      </c>
      <c r="L215" s="262" t="s">
        <v>585</v>
      </c>
      <c r="M215" s="262" t="s">
        <v>586</v>
      </c>
      <c r="N215" s="262" t="s">
        <v>587</v>
      </c>
      <c r="O215" s="262" t="s">
        <v>588</v>
      </c>
      <c r="P215" s="262" t="s">
        <v>589</v>
      </c>
      <c r="Q215" s="263" t="s">
        <v>590</v>
      </c>
      <c r="R215" s="263" t="s">
        <v>338</v>
      </c>
      <c r="S215" s="263" t="s">
        <v>591</v>
      </c>
      <c r="T215" s="263" t="s">
        <v>592</v>
      </c>
      <c r="U215" s="263" t="s">
        <v>593</v>
      </c>
      <c r="V215" s="263" t="s">
        <v>594</v>
      </c>
      <c r="W215" s="263" t="s">
        <v>595</v>
      </c>
      <c r="X215" s="263" t="s">
        <v>596</v>
      </c>
      <c r="Y215" s="263" t="s">
        <v>597</v>
      </c>
      <c r="Z215" s="263" t="s">
        <v>598</v>
      </c>
      <c r="AA215" s="263" t="s">
        <v>599</v>
      </c>
      <c r="AB215" s="263" t="s">
        <v>351</v>
      </c>
      <c r="AC215" s="263" t="s">
        <v>361</v>
      </c>
      <c r="AD215" s="263" t="s">
        <v>600</v>
      </c>
    </row>
    <row r="216" customFormat="false" ht="16.4" hidden="false" customHeight="false" outlineLevel="0" collapsed="false">
      <c r="A216" s="275" t="s">
        <v>374</v>
      </c>
      <c r="B216" s="275"/>
      <c r="C216" s="276" t="n">
        <v>4.91439259825986E-007</v>
      </c>
      <c r="D216" s="276" t="n">
        <v>3.5721808570239E-007</v>
      </c>
      <c r="E216" s="276" t="n">
        <v>0</v>
      </c>
      <c r="F216" s="276" t="n">
        <v>1.33580538164496E-006</v>
      </c>
      <c r="G216" s="276" t="n">
        <v>1.22341908960222E-006</v>
      </c>
      <c r="H216" s="276" t="n">
        <v>4.12033274627188E-007</v>
      </c>
      <c r="I216" s="276" t="n">
        <v>1.83490380176835E-007</v>
      </c>
      <c r="J216" s="276" t="n">
        <v>3.51072910355092E-008</v>
      </c>
      <c r="K216" s="276" t="n">
        <v>1.40517866161901E-006</v>
      </c>
      <c r="L216" s="276" t="n">
        <v>1.66962597983647E-007</v>
      </c>
      <c r="M216" s="276" t="n">
        <v>3.65540334299614E-007</v>
      </c>
      <c r="N216" s="276" t="n">
        <v>7.70921065248543E-007</v>
      </c>
      <c r="O216" s="276" t="n">
        <v>2.02518317476721E-007</v>
      </c>
      <c r="P216" s="276" t="n">
        <v>5.59542505208503E-007</v>
      </c>
      <c r="Q216" s="277" t="n">
        <v>9.73962267366326E-008</v>
      </c>
      <c r="R216" s="277" t="n">
        <v>5.37054258225633E-007</v>
      </c>
      <c r="S216" s="277" t="n">
        <v>3.64568503475434E-007</v>
      </c>
      <c r="T216" s="277" t="n">
        <v>5.05139197122688E-007</v>
      </c>
      <c r="U216" s="277" t="n">
        <v>4.43213583132507E-007</v>
      </c>
      <c r="V216" s="277" t="n">
        <v>2.36045780097966E-007</v>
      </c>
      <c r="W216" s="277" t="n">
        <v>8.21087808284778E-008</v>
      </c>
      <c r="X216" s="277" t="n">
        <v>1.79901548666926E-007</v>
      </c>
      <c r="Y216" s="277" t="n">
        <v>6.23240405683315E-007</v>
      </c>
      <c r="Z216" s="277" t="n">
        <v>1.31168125984731E-007</v>
      </c>
      <c r="AA216" s="277" t="n">
        <v>1.64652951941808E-007</v>
      </c>
      <c r="AB216" s="277" t="n">
        <v>8.93692743290543E-008</v>
      </c>
      <c r="AC216" s="277" t="n">
        <v>0</v>
      </c>
      <c r="AD216" s="277" t="n">
        <v>2.68608327323E-007</v>
      </c>
    </row>
    <row r="217" customFormat="false" ht="16.4" hidden="false" customHeight="false" outlineLevel="0" collapsed="false">
      <c r="A217" s="275" t="s">
        <v>375</v>
      </c>
      <c r="B217" s="275"/>
      <c r="C217" s="276" t="n">
        <v>2.22622378824385E-007</v>
      </c>
      <c r="D217" s="276" t="n">
        <v>2.65109839166996E-008</v>
      </c>
      <c r="E217" s="276" t="n">
        <v>0</v>
      </c>
      <c r="F217" s="276" t="n">
        <v>9.69014368382836E-007</v>
      </c>
      <c r="G217" s="276" t="n">
        <v>6.13799274597379E-007</v>
      </c>
      <c r="H217" s="276" t="n">
        <v>5.49867131596347E-007</v>
      </c>
      <c r="I217" s="276" t="n">
        <v>3.54387378163174E-008</v>
      </c>
      <c r="J217" s="276" t="n">
        <v>7.50269525657188E-010</v>
      </c>
      <c r="K217" s="276" t="n">
        <v>1.56609380270801E-007</v>
      </c>
      <c r="L217" s="276" t="n">
        <v>2.36960970006208E-012</v>
      </c>
      <c r="M217" s="276" t="n">
        <v>7.13887522936256E-008</v>
      </c>
      <c r="N217" s="276" t="n">
        <v>5.39736389872573E-008</v>
      </c>
      <c r="O217" s="276" t="n">
        <v>0</v>
      </c>
      <c r="P217" s="276" t="n">
        <v>2.76702410896041E-007</v>
      </c>
      <c r="Q217" s="277" t="n">
        <v>8.23816316569662E-009</v>
      </c>
      <c r="R217" s="277" t="n">
        <v>6.36735331902732E-008</v>
      </c>
      <c r="S217" s="277" t="n">
        <v>1.3172626613462E-008</v>
      </c>
      <c r="T217" s="277" t="n">
        <v>3.38816410979464E-008</v>
      </c>
      <c r="U217" s="277" t="n">
        <v>0</v>
      </c>
      <c r="V217" s="277" t="n">
        <v>1.73853833216028E-007</v>
      </c>
      <c r="W217" s="277" t="n">
        <v>3.70271275272898E-010</v>
      </c>
      <c r="X217" s="277" t="n">
        <v>6.44004406467672E-008</v>
      </c>
      <c r="Y217" s="277" t="n">
        <v>2.03105589569859E-007</v>
      </c>
      <c r="Z217" s="277" t="n">
        <v>0</v>
      </c>
      <c r="AA217" s="277" t="n">
        <v>2.11269055303602E-008</v>
      </c>
      <c r="AB217" s="277" t="n">
        <v>1.61632191813348E-008</v>
      </c>
      <c r="AC217" s="277" t="n">
        <v>0</v>
      </c>
      <c r="AD217" s="277" t="n">
        <v>9.58151766262172E-008</v>
      </c>
    </row>
    <row r="218" customFormat="false" ht="16.4" hidden="false" customHeight="false" outlineLevel="0" collapsed="false">
      <c r="A218" s="275" t="s">
        <v>376</v>
      </c>
      <c r="B218" s="275"/>
      <c r="C218" s="276" t="n">
        <v>3.0119512839776E-007</v>
      </c>
      <c r="D218" s="276" t="n">
        <v>2.19312289390501E-007</v>
      </c>
      <c r="E218" s="276" t="n">
        <v>1.72746672310205E-007</v>
      </c>
      <c r="F218" s="276" t="n">
        <v>5.23957875618843E-008</v>
      </c>
      <c r="G218" s="276" t="n">
        <v>1.56753159385315E-008</v>
      </c>
      <c r="H218" s="276" t="n">
        <v>0</v>
      </c>
      <c r="I218" s="276" t="n">
        <v>0</v>
      </c>
      <c r="J218" s="276" t="n">
        <v>0</v>
      </c>
      <c r="K218" s="276" t="n">
        <v>1.241724530167E-009</v>
      </c>
      <c r="L218" s="276" t="n">
        <v>0</v>
      </c>
      <c r="M218" s="276" t="n">
        <v>1.01779679917288E-008</v>
      </c>
      <c r="N218" s="276" t="n">
        <v>6.36432014536712E-009</v>
      </c>
      <c r="O218" s="276" t="n">
        <v>6.97034403933276E-007</v>
      </c>
      <c r="P218" s="276" t="n">
        <v>0</v>
      </c>
      <c r="Q218" s="277" t="n">
        <v>1.617506349308E-009</v>
      </c>
      <c r="R218" s="277" t="n">
        <v>5.05429807119243E-008</v>
      </c>
      <c r="S218" s="277" t="n">
        <v>3.73934570094193E-009</v>
      </c>
      <c r="T218" s="277" t="n">
        <v>2.02426879467313E-008</v>
      </c>
      <c r="U218" s="277" t="n">
        <v>0</v>
      </c>
      <c r="V218" s="277" t="n">
        <v>4.18626826148413E-008</v>
      </c>
      <c r="W218" s="277" t="n">
        <v>0</v>
      </c>
      <c r="X218" s="277" t="n">
        <v>3.21856520921028E-009</v>
      </c>
      <c r="Y218" s="277" t="n">
        <v>0</v>
      </c>
      <c r="Z218" s="277" t="n">
        <v>0</v>
      </c>
      <c r="AA218" s="277" t="n">
        <v>0</v>
      </c>
      <c r="AB218" s="277" t="n">
        <v>0</v>
      </c>
      <c r="AC218" s="277" t="n">
        <v>0</v>
      </c>
      <c r="AD218" s="277" t="n">
        <v>0</v>
      </c>
    </row>
    <row r="219" customFormat="false" ht="16.4" hidden="false" customHeight="false" outlineLevel="0" collapsed="false">
      <c r="A219" s="275" t="s">
        <v>377</v>
      </c>
      <c r="B219" s="275"/>
      <c r="C219" s="276" t="n">
        <v>1.7843708992308E-007</v>
      </c>
      <c r="D219" s="276" t="n">
        <v>9.80233180769964E-008</v>
      </c>
      <c r="E219" s="276" t="n">
        <v>0</v>
      </c>
      <c r="F219" s="276" t="n">
        <v>5.81535604614238E-007</v>
      </c>
      <c r="G219" s="276" t="n">
        <v>1.43642819631374E-008</v>
      </c>
      <c r="H219" s="276" t="n">
        <v>0</v>
      </c>
      <c r="I219" s="276" t="n">
        <v>0</v>
      </c>
      <c r="J219" s="276" t="n">
        <v>0</v>
      </c>
      <c r="K219" s="276" t="n">
        <v>2.82005466549391E-009</v>
      </c>
      <c r="L219" s="276" t="n">
        <v>0</v>
      </c>
      <c r="M219" s="276" t="n">
        <v>1.35602108518813E-007</v>
      </c>
      <c r="N219" s="276" t="n">
        <v>3.12693981307369E-007</v>
      </c>
      <c r="O219" s="276" t="n">
        <v>1.79260974535792E-008</v>
      </c>
      <c r="P219" s="276" t="n">
        <v>1.60164134468073E-006</v>
      </c>
      <c r="Q219" s="277" t="n">
        <v>1.60811169510761E-008</v>
      </c>
      <c r="R219" s="277" t="n">
        <v>6.90288364250751E-008</v>
      </c>
      <c r="S219" s="277" t="n">
        <v>6.78957232883377E-008</v>
      </c>
      <c r="T219" s="277" t="n">
        <v>3.25178562493753E-007</v>
      </c>
      <c r="U219" s="277" t="n">
        <v>0</v>
      </c>
      <c r="V219" s="277" t="n">
        <v>6.47814377055759E-007</v>
      </c>
      <c r="W219" s="277" t="n">
        <v>0</v>
      </c>
      <c r="X219" s="277" t="n">
        <v>1.8513722680003E-008</v>
      </c>
      <c r="Y219" s="277" t="n">
        <v>0</v>
      </c>
      <c r="Z219" s="277" t="n">
        <v>0</v>
      </c>
      <c r="AA219" s="277" t="n">
        <v>0</v>
      </c>
      <c r="AB219" s="277" t="n">
        <v>0</v>
      </c>
      <c r="AC219" s="277" t="n">
        <v>0</v>
      </c>
      <c r="AD219" s="277" t="n">
        <v>0</v>
      </c>
    </row>
    <row r="220" customFormat="false" ht="16.4" hidden="false" customHeight="false" outlineLevel="0" collapsed="false">
      <c r="A220" s="278" t="s">
        <v>378</v>
      </c>
      <c r="B220" s="278"/>
      <c r="C220" s="279" t="n">
        <v>2.82226311056575E-007</v>
      </c>
      <c r="D220" s="280" t="n">
        <v>1.36027626479745E-007</v>
      </c>
      <c r="E220" s="280" t="n">
        <v>0</v>
      </c>
      <c r="F220" s="280" t="n">
        <v>2.30269903439123E-007</v>
      </c>
      <c r="G220" s="280" t="n">
        <v>3.72766800333114E-007</v>
      </c>
      <c r="H220" s="280" t="n">
        <v>0</v>
      </c>
      <c r="I220" s="280" t="n">
        <v>0</v>
      </c>
      <c r="J220" s="280" t="n">
        <v>0</v>
      </c>
      <c r="K220" s="280" t="n">
        <v>2.29449184640331E-009</v>
      </c>
      <c r="L220" s="280" t="n">
        <v>0</v>
      </c>
      <c r="M220" s="280" t="n">
        <v>5.6037026771344E-008</v>
      </c>
      <c r="N220" s="280" t="n">
        <v>2.13294699935347E-007</v>
      </c>
      <c r="O220" s="280" t="n">
        <v>2.68591773911319E-011</v>
      </c>
      <c r="P220" s="280" t="n">
        <v>0</v>
      </c>
      <c r="Q220" s="281" t="n">
        <v>1.28070161907843E-009</v>
      </c>
      <c r="R220" s="281" t="n">
        <v>5.12847520151702E-008</v>
      </c>
      <c r="S220" s="281" t="n">
        <v>2.0896750956327E-008</v>
      </c>
      <c r="T220" s="281" t="n">
        <v>8.80033530487951E-007</v>
      </c>
      <c r="U220" s="281" t="n">
        <v>0</v>
      </c>
      <c r="V220" s="281" t="n">
        <v>1.66374682264879E-007</v>
      </c>
      <c r="W220" s="281" t="n">
        <v>0</v>
      </c>
      <c r="X220" s="281" t="n">
        <v>1.15240108939526E-008</v>
      </c>
      <c r="Y220" s="281" t="n">
        <v>0</v>
      </c>
      <c r="Z220" s="281" t="n">
        <v>0</v>
      </c>
      <c r="AA220" s="281" t="n">
        <v>0</v>
      </c>
      <c r="AB220" s="281" t="n">
        <v>0</v>
      </c>
      <c r="AC220" s="281" t="n">
        <v>0</v>
      </c>
      <c r="AD220" s="281" t="n">
        <v>0</v>
      </c>
    </row>
    <row r="221" customFormat="false" ht="17.35" hidden="false" customHeight="false" outlineLevel="0" collapsed="false">
      <c r="A221" s="200" t="s">
        <v>397</v>
      </c>
      <c r="B221" s="200"/>
      <c r="C221" s="200"/>
    </row>
    <row r="222" customFormat="false" ht="31.3" hidden="false" customHeight="false" outlineLevel="0" collapsed="false">
      <c r="A222" s="282" t="s">
        <v>398</v>
      </c>
      <c r="B222" s="269" t="s">
        <v>36</v>
      </c>
      <c r="C222" s="204" t="n">
        <v>2020</v>
      </c>
    </row>
    <row r="223" customFormat="false" ht="31.3" hidden="false" customHeight="false" outlineLevel="0" collapsed="false">
      <c r="A223" s="261" t="s">
        <v>399</v>
      </c>
      <c r="B223" s="283" t="s">
        <v>327</v>
      </c>
      <c r="C223" s="242" t="n">
        <v>-0.3</v>
      </c>
    </row>
    <row r="225" customFormat="false" ht="14.25" hidden="false" customHeight="true" outlineLevel="0" collapsed="false">
      <c r="A225" s="200" t="s">
        <v>400</v>
      </c>
      <c r="B225" s="200"/>
      <c r="C225" s="200"/>
    </row>
    <row r="226" customFormat="false" ht="28.5" hidden="false" customHeight="true" outlineLevel="0" collapsed="false">
      <c r="A226" s="284" t="s">
        <v>401</v>
      </c>
      <c r="B226" s="269" t="s">
        <v>28</v>
      </c>
      <c r="C226" s="270" t="n">
        <v>1</v>
      </c>
    </row>
    <row r="227" customFormat="false" ht="14.25" hidden="false" customHeight="true" outlineLevel="0" collapsed="false">
      <c r="A227" s="285" t="s">
        <v>403</v>
      </c>
      <c r="B227" s="269" t="s">
        <v>404</v>
      </c>
      <c r="C227" s="286" t="n">
        <v>1</v>
      </c>
    </row>
    <row r="228" customFormat="false" ht="14.25" hidden="false" customHeight="false" outlineLevel="0" collapsed="false">
      <c r="A228" s="285"/>
      <c r="B228" s="269" t="s">
        <v>408</v>
      </c>
      <c r="C228" s="286"/>
    </row>
    <row r="229" customFormat="false" ht="14.25" hidden="false" customHeight="false" outlineLevel="0" collapsed="false">
      <c r="A229" s="285"/>
      <c r="B229" s="269" t="s">
        <v>409</v>
      </c>
      <c r="C229" s="286"/>
    </row>
    <row r="230" customFormat="false" ht="16.4" hidden="false" customHeight="false" outlineLevel="0" collapsed="false">
      <c r="A230" s="284" t="s">
        <v>607</v>
      </c>
      <c r="B230" s="269" t="s">
        <v>608</v>
      </c>
      <c r="C230" s="204" t="n">
        <v>0.1</v>
      </c>
    </row>
    <row r="231" customFormat="false" ht="15" hidden="false" customHeight="true" outlineLevel="0" collapsed="false">
      <c r="A231" s="285" t="s">
        <v>406</v>
      </c>
      <c r="B231" s="269" t="s">
        <v>404</v>
      </c>
      <c r="C231" s="286" t="n">
        <v>1</v>
      </c>
    </row>
    <row r="232" customFormat="false" ht="14.25" hidden="false" customHeight="false" outlineLevel="0" collapsed="false">
      <c r="A232" s="285"/>
      <c r="B232" s="269" t="s">
        <v>408</v>
      </c>
      <c r="C232" s="286"/>
    </row>
    <row r="233" customFormat="false" ht="14.25" hidden="false" customHeight="false" outlineLevel="0" collapsed="false">
      <c r="A233" s="285"/>
      <c r="B233" s="269" t="s">
        <v>409</v>
      </c>
      <c r="C233" s="286"/>
    </row>
    <row r="234" customFormat="false" ht="16.4" hidden="false" customHeight="false" outlineLevel="0" collapsed="false">
      <c r="A234" s="287" t="s">
        <v>413</v>
      </c>
      <c r="B234" s="283" t="s">
        <v>608</v>
      </c>
      <c r="C234" s="242" t="n">
        <v>0.1</v>
      </c>
    </row>
    <row r="237" customFormat="false" ht="24.45" hidden="false" customHeight="false" outlineLevel="0" collapsed="false">
      <c r="A237" s="199" t="s">
        <v>609</v>
      </c>
    </row>
    <row r="238" customFormat="false" ht="15.75" hidden="false" customHeight="true" outlineLevel="0" collapsed="false">
      <c r="A238" s="200" t="s">
        <v>429</v>
      </c>
      <c r="B238" s="200"/>
      <c r="C238" s="200"/>
      <c r="D238" s="200"/>
    </row>
    <row r="239" customFormat="false" ht="15.75" hidden="false" customHeight="true" outlineLevel="0" collapsed="false">
      <c r="A239" s="288" t="s">
        <v>430</v>
      </c>
      <c r="B239" s="288"/>
      <c r="C239" s="288"/>
      <c r="D239" s="288"/>
    </row>
    <row r="240" customFormat="false" ht="15" hidden="false" customHeight="true" outlineLevel="0" collapsed="false">
      <c r="A240" s="284" t="s">
        <v>431</v>
      </c>
      <c r="B240" s="284"/>
      <c r="C240" s="284"/>
      <c r="D240" s="289" t="n">
        <v>2</v>
      </c>
    </row>
    <row r="241" customFormat="false" ht="16.4" hidden="false" customHeight="false" outlineLevel="0" collapsed="false">
      <c r="A241" s="290" t="s">
        <v>432</v>
      </c>
      <c r="B241" s="291"/>
      <c r="C241" s="291"/>
      <c r="D241" s="292"/>
    </row>
    <row r="242" customFormat="false" ht="14.25" hidden="false" customHeight="false" outlineLevel="0" collapsed="false">
      <c r="A242" s="293" t="s">
        <v>433</v>
      </c>
      <c r="B242" s="294" t="n">
        <v>2050</v>
      </c>
      <c r="C242" s="295"/>
      <c r="D242" s="295"/>
      <c r="E242" s="295"/>
    </row>
    <row r="243" customFormat="false" ht="16.4" hidden="false" customHeight="false" outlineLevel="0" collapsed="false">
      <c r="A243" s="296" t="s">
        <v>435</v>
      </c>
      <c r="B243" s="297" t="n">
        <v>2020</v>
      </c>
      <c r="C243" s="203"/>
      <c r="D243" s="298" t="s">
        <v>437</v>
      </c>
      <c r="E243" s="299" t="s">
        <v>438</v>
      </c>
    </row>
    <row r="244" customFormat="false" ht="13.5" hidden="false" customHeight="true" outlineLevel="0" collapsed="false">
      <c r="A244" s="300" t="s">
        <v>439</v>
      </c>
      <c r="B244" s="301" t="s">
        <v>440</v>
      </c>
      <c r="C244" s="269" t="s">
        <v>610</v>
      </c>
      <c r="D244" s="251" t="n">
        <v>0.201666666666667</v>
      </c>
      <c r="E244" s="223" t="n">
        <v>0.605</v>
      </c>
    </row>
    <row r="245" customFormat="false" ht="14.25" hidden="false" customHeight="false" outlineLevel="0" collapsed="false">
      <c r="A245" s="300"/>
      <c r="B245" s="301" t="s">
        <v>443</v>
      </c>
      <c r="C245" s="269" t="s">
        <v>610</v>
      </c>
      <c r="D245" s="251" t="n">
        <v>0.05</v>
      </c>
      <c r="E245" s="223" t="n">
        <v>0.15</v>
      </c>
    </row>
    <row r="246" customFormat="false" ht="14.25" hidden="false" customHeight="false" outlineLevel="0" collapsed="false">
      <c r="A246" s="300"/>
      <c r="B246" s="301" t="s">
        <v>444</v>
      </c>
      <c r="C246" s="269" t="s">
        <v>610</v>
      </c>
      <c r="D246" s="251" t="n">
        <v>0.196666666666667</v>
      </c>
      <c r="E246" s="223" t="n">
        <v>0.59</v>
      </c>
    </row>
    <row r="247" customFormat="false" ht="14.25" hidden="false" customHeight="false" outlineLevel="0" collapsed="false">
      <c r="A247" s="300"/>
      <c r="B247" s="301" t="s">
        <v>445</v>
      </c>
      <c r="C247" s="269" t="s">
        <v>610</v>
      </c>
      <c r="D247" s="251" t="n">
        <v>0.163333333333333</v>
      </c>
      <c r="E247" s="223" t="n">
        <v>0.49</v>
      </c>
    </row>
    <row r="248" customFormat="false" ht="14.25" hidden="false" customHeight="false" outlineLevel="0" collapsed="false">
      <c r="A248" s="300"/>
      <c r="B248" s="301" t="s">
        <v>446</v>
      </c>
      <c r="C248" s="269" t="s">
        <v>610</v>
      </c>
      <c r="D248" s="251" t="n">
        <v>0.00166666666666667</v>
      </c>
      <c r="E248" s="223" t="n">
        <v>0.005</v>
      </c>
    </row>
    <row r="249" customFormat="false" ht="14.25" hidden="false" customHeight="false" outlineLevel="0" collapsed="false">
      <c r="A249" s="300"/>
      <c r="B249" s="301" t="s">
        <v>447</v>
      </c>
      <c r="C249" s="269" t="s">
        <v>610</v>
      </c>
      <c r="D249" s="251" t="n">
        <v>0.0633333333333333</v>
      </c>
      <c r="E249" s="223" t="n">
        <v>0.19</v>
      </c>
    </row>
    <row r="250" customFormat="false" ht="14.25" hidden="false" customHeight="false" outlineLevel="0" collapsed="false">
      <c r="A250" s="300"/>
      <c r="B250" s="301" t="s">
        <v>448</v>
      </c>
      <c r="C250" s="269" t="s">
        <v>610</v>
      </c>
      <c r="D250" s="251" t="n">
        <v>0.253333333333333</v>
      </c>
      <c r="E250" s="223" t="n">
        <v>0.76</v>
      </c>
    </row>
    <row r="251" customFormat="false" ht="14.25" hidden="false" customHeight="false" outlineLevel="0" collapsed="false">
      <c r="A251" s="300"/>
      <c r="B251" s="301" t="s">
        <v>449</v>
      </c>
      <c r="C251" s="269" t="s">
        <v>610</v>
      </c>
      <c r="D251" s="251" t="n">
        <v>0.00166666666666667</v>
      </c>
      <c r="E251" s="223" t="n">
        <v>0.005</v>
      </c>
    </row>
    <row r="252" customFormat="false" ht="14.25" hidden="false" customHeight="false" outlineLevel="0" collapsed="false">
      <c r="A252" s="300"/>
      <c r="B252" s="301" t="s">
        <v>450</v>
      </c>
      <c r="C252" s="269" t="s">
        <v>610</v>
      </c>
      <c r="D252" s="251" t="n">
        <v>0.13</v>
      </c>
      <c r="E252" s="223" t="n">
        <v>0.39</v>
      </c>
    </row>
    <row r="253" customFormat="false" ht="14.25" hidden="false" customHeight="false" outlineLevel="0" collapsed="false">
      <c r="A253" s="300"/>
      <c r="B253" s="301" t="s">
        <v>451</v>
      </c>
      <c r="C253" s="269" t="s">
        <v>610</v>
      </c>
      <c r="D253" s="251" t="n">
        <v>0.176666666666667</v>
      </c>
      <c r="E253" s="223" t="n">
        <v>0.53</v>
      </c>
    </row>
    <row r="254" customFormat="false" ht="14.25" hidden="false" customHeight="false" outlineLevel="0" collapsed="false">
      <c r="A254" s="300"/>
      <c r="B254" s="301" t="s">
        <v>452</v>
      </c>
      <c r="C254" s="269" t="s">
        <v>610</v>
      </c>
      <c r="D254" s="251" t="n">
        <v>0.116666666666667</v>
      </c>
      <c r="E254" s="223" t="n">
        <v>0.35</v>
      </c>
    </row>
    <row r="255" customFormat="false" ht="14.25" hidden="false" customHeight="false" outlineLevel="0" collapsed="false">
      <c r="A255" s="300"/>
      <c r="B255" s="301" t="s">
        <v>453</v>
      </c>
      <c r="C255" s="269" t="s">
        <v>610</v>
      </c>
      <c r="D255" s="251" t="n">
        <v>0.188333333333333</v>
      </c>
      <c r="E255" s="223" t="n">
        <v>0.565</v>
      </c>
    </row>
    <row r="256" customFormat="false" ht="14.25" hidden="false" customHeight="false" outlineLevel="0" collapsed="false">
      <c r="A256" s="300"/>
      <c r="B256" s="301" t="s">
        <v>454</v>
      </c>
      <c r="C256" s="269" t="s">
        <v>610</v>
      </c>
      <c r="D256" s="251" t="n">
        <v>0.245</v>
      </c>
      <c r="E256" s="223" t="n">
        <v>0.735</v>
      </c>
    </row>
    <row r="257" customFormat="false" ht="14.25" hidden="false" customHeight="false" outlineLevel="0" collapsed="false">
      <c r="A257" s="300"/>
      <c r="B257" s="301" t="s">
        <v>455</v>
      </c>
      <c r="C257" s="269" t="s">
        <v>610</v>
      </c>
      <c r="D257" s="251" t="n">
        <v>0.191666666666667</v>
      </c>
      <c r="E257" s="223" t="n">
        <v>0.575</v>
      </c>
    </row>
    <row r="258" customFormat="false" ht="14.25" hidden="false" customHeight="false" outlineLevel="0" collapsed="false">
      <c r="A258" s="300"/>
      <c r="B258" s="301" t="s">
        <v>456</v>
      </c>
      <c r="C258" s="269" t="s">
        <v>610</v>
      </c>
      <c r="D258" s="251" t="n">
        <v>0.101666666666667</v>
      </c>
      <c r="E258" s="223" t="n">
        <v>0.305</v>
      </c>
    </row>
    <row r="259" customFormat="false" ht="14.25" hidden="false" customHeight="false" outlineLevel="0" collapsed="false">
      <c r="A259" s="300"/>
      <c r="B259" s="301" t="s">
        <v>457</v>
      </c>
      <c r="C259" s="269" t="s">
        <v>610</v>
      </c>
      <c r="D259" s="251" t="n">
        <v>0.00166666666666667</v>
      </c>
      <c r="E259" s="223" t="n">
        <v>0.005</v>
      </c>
    </row>
    <row r="260" customFormat="false" ht="14.25" hidden="false" customHeight="false" outlineLevel="0" collapsed="false">
      <c r="A260" s="300"/>
      <c r="B260" s="301" t="s">
        <v>458</v>
      </c>
      <c r="C260" s="269" t="s">
        <v>610</v>
      </c>
      <c r="D260" s="251" t="n">
        <v>0.303333333333333</v>
      </c>
      <c r="E260" s="223" t="n">
        <v>0.91</v>
      </c>
    </row>
    <row r="261" customFormat="false" ht="14.25" hidden="false" customHeight="false" outlineLevel="0" collapsed="false">
      <c r="A261" s="300"/>
      <c r="B261" s="301" t="s">
        <v>459</v>
      </c>
      <c r="C261" s="269" t="s">
        <v>610</v>
      </c>
      <c r="D261" s="251" t="n">
        <v>0.00166666666666667</v>
      </c>
      <c r="E261" s="223" t="n">
        <v>0.005</v>
      </c>
    </row>
    <row r="262" customFormat="false" ht="14.25" hidden="false" customHeight="false" outlineLevel="0" collapsed="false">
      <c r="A262" s="300"/>
      <c r="B262" s="302" t="s">
        <v>460</v>
      </c>
      <c r="C262" s="283" t="s">
        <v>610</v>
      </c>
      <c r="D262" s="206" t="n">
        <v>0.183333333333333</v>
      </c>
      <c r="E262" s="207" t="n">
        <v>0.55</v>
      </c>
    </row>
    <row r="263" customFormat="false" ht="15" hidden="false" customHeight="true" outlineLevel="0" collapsed="false">
      <c r="A263" s="303" t="s">
        <v>461</v>
      </c>
      <c r="B263" s="303"/>
      <c r="C263" s="303"/>
    </row>
    <row r="264" customFormat="false" ht="31.3" hidden="false" customHeight="false" outlineLevel="0" collapsed="false">
      <c r="A264" s="284" t="s">
        <v>611</v>
      </c>
      <c r="B264" s="269" t="s">
        <v>612</v>
      </c>
      <c r="C264" s="304" t="n">
        <v>0.014</v>
      </c>
    </row>
    <row r="265" customFormat="false" ht="16.4" hidden="false" customHeight="false" outlineLevel="0" collapsed="false">
      <c r="A265" s="284" t="s">
        <v>613</v>
      </c>
      <c r="B265" s="269" t="s">
        <v>423</v>
      </c>
      <c r="C265" s="204" t="n">
        <v>2020</v>
      </c>
    </row>
    <row r="266" customFormat="false" ht="16.4" hidden="false" customHeight="false" outlineLevel="0" collapsed="false">
      <c r="A266" s="284" t="s">
        <v>614</v>
      </c>
      <c r="B266" s="269" t="s">
        <v>612</v>
      </c>
      <c r="C266" s="304" t="n">
        <v>0.014</v>
      </c>
    </row>
    <row r="267" customFormat="false" ht="16.4" hidden="false" customHeight="false" outlineLevel="0" collapsed="false">
      <c r="A267" s="287" t="s">
        <v>615</v>
      </c>
      <c r="B267" s="283" t="s">
        <v>423</v>
      </c>
      <c r="C267" s="242" t="n">
        <v>2020</v>
      </c>
    </row>
    <row r="269" customFormat="false" ht="17.35" hidden="false" customHeight="false" outlineLevel="0" collapsed="false">
      <c r="A269" s="200" t="s">
        <v>232</v>
      </c>
      <c r="B269" s="200"/>
      <c r="C269" s="200"/>
    </row>
    <row r="270" customFormat="false" ht="14.25" hidden="false" customHeight="false" outlineLevel="0" collapsed="false">
      <c r="A270" s="305" t="s">
        <v>233</v>
      </c>
      <c r="B270" s="305"/>
      <c r="C270" s="305"/>
      <c r="H270" s="54"/>
      <c r="J270" s="57"/>
    </row>
    <row r="271" customFormat="false" ht="16.4" hidden="false" customHeight="false" outlineLevel="0" collapsed="false">
      <c r="A271" s="284" t="s">
        <v>234</v>
      </c>
      <c r="B271" s="203" t="s">
        <v>28</v>
      </c>
      <c r="C271" s="306" t="n">
        <v>1</v>
      </c>
      <c r="H271" s="54"/>
      <c r="J271" s="57"/>
    </row>
    <row r="272" customFormat="false" ht="14.25" hidden="false" customHeight="false" outlineLevel="0" collapsed="false">
      <c r="A272" s="305" t="s">
        <v>616</v>
      </c>
      <c r="B272" s="305"/>
      <c r="C272" s="305"/>
      <c r="H272" s="54"/>
      <c r="J272" s="57"/>
    </row>
    <row r="273" customFormat="false" ht="15" hidden="false" customHeight="true" outlineLevel="0" collapsed="false">
      <c r="A273" s="300" t="s">
        <v>617</v>
      </c>
      <c r="B273" s="269" t="s">
        <v>618</v>
      </c>
      <c r="C273" s="307" t="n">
        <v>4</v>
      </c>
      <c r="H273" s="54"/>
      <c r="J273" s="57"/>
    </row>
    <row r="274" customFormat="false" ht="14.25" hidden="false" customHeight="false" outlineLevel="0" collapsed="false">
      <c r="A274" s="300"/>
      <c r="B274" s="269" t="s">
        <v>619</v>
      </c>
      <c r="C274" s="307"/>
      <c r="H274" s="54"/>
      <c r="J274" s="57"/>
    </row>
    <row r="275" customFormat="false" ht="14.25" hidden="false" customHeight="false" outlineLevel="0" collapsed="false">
      <c r="A275" s="300"/>
      <c r="B275" s="269" t="s">
        <v>620</v>
      </c>
      <c r="C275" s="307"/>
      <c r="H275" s="54"/>
      <c r="J275" s="57"/>
    </row>
    <row r="276" customFormat="false" ht="14.25" hidden="false" customHeight="false" outlineLevel="0" collapsed="false">
      <c r="A276" s="300"/>
      <c r="B276" s="283" t="s">
        <v>621</v>
      </c>
      <c r="C276" s="307"/>
      <c r="H276" s="54"/>
      <c r="J276" s="57"/>
    </row>
    <row r="277" customFormat="false" ht="14.25" hidden="false" customHeight="false" outlineLevel="0" collapsed="false">
      <c r="H277" s="54"/>
      <c r="J277" s="57"/>
    </row>
    <row r="278" customFormat="false" ht="14.25" hidden="false" customHeight="false" outlineLevel="0" collapsed="false">
      <c r="A278" s="308" t="s">
        <v>164</v>
      </c>
      <c r="B278" s="309"/>
      <c r="H278" s="54"/>
      <c r="J278" s="57"/>
    </row>
    <row r="279" customFormat="false" ht="14.25" hidden="false" customHeight="false" outlineLevel="0" collapsed="false">
      <c r="A279" s="310" t="s">
        <v>165</v>
      </c>
      <c r="B279" s="311" t="n">
        <v>1</v>
      </c>
      <c r="H279" s="54"/>
      <c r="J279" s="57"/>
    </row>
    <row r="280" customFormat="false" ht="14.25" hidden="false" customHeight="false" outlineLevel="0" collapsed="false">
      <c r="H280" s="54"/>
      <c r="J280" s="57"/>
    </row>
    <row r="281" customFormat="false" ht="17.35" hidden="false" customHeight="false" outlineLevel="0" collapsed="false">
      <c r="A281" s="200" t="s">
        <v>622</v>
      </c>
      <c r="B281" s="200"/>
      <c r="C281" s="200"/>
      <c r="D281" s="200"/>
      <c r="E281" s="200"/>
      <c r="F281" s="200"/>
      <c r="G281" s="200"/>
      <c r="H281" s="200"/>
      <c r="I281" s="200"/>
      <c r="J281" s="57"/>
    </row>
    <row r="282" customFormat="false" ht="14.25" hidden="false" customHeight="false" outlineLevel="0" collapsed="false">
      <c r="A282" s="312" t="s">
        <v>623</v>
      </c>
      <c r="B282" s="202" t="s">
        <v>36</v>
      </c>
      <c r="C282" s="203" t="n">
        <v>2020</v>
      </c>
      <c r="D282" s="203" t="n">
        <v>2025</v>
      </c>
      <c r="E282" s="203" t="n">
        <v>2030</v>
      </c>
      <c r="F282" s="203" t="n">
        <v>2035</v>
      </c>
      <c r="G282" s="203" t="n">
        <v>2040</v>
      </c>
      <c r="H282" s="203" t="n">
        <v>2045</v>
      </c>
      <c r="I282" s="204" t="n">
        <v>2050</v>
      </c>
      <c r="J282" s="57"/>
    </row>
    <row r="283" customFormat="false" ht="14.25" hidden="false" customHeight="false" outlineLevel="0" collapsed="false">
      <c r="A283" s="312" t="s">
        <v>576</v>
      </c>
      <c r="B283" s="202" t="s">
        <v>499</v>
      </c>
      <c r="C283" s="203" t="n">
        <v>0</v>
      </c>
      <c r="D283" s="203" t="n">
        <v>0</v>
      </c>
      <c r="E283" s="203" t="n">
        <v>0</v>
      </c>
      <c r="F283" s="203" t="n">
        <v>0</v>
      </c>
      <c r="G283" s="203" t="n">
        <v>0</v>
      </c>
      <c r="H283" s="203" t="n">
        <v>0</v>
      </c>
      <c r="I283" s="204" t="n">
        <v>0</v>
      </c>
      <c r="J283" s="57"/>
    </row>
    <row r="284" customFormat="false" ht="14.25" hidden="false" customHeight="false" outlineLevel="0" collapsed="false">
      <c r="A284" s="312" t="s">
        <v>579</v>
      </c>
      <c r="B284" s="202" t="s">
        <v>499</v>
      </c>
      <c r="C284" s="203" t="n">
        <v>0</v>
      </c>
      <c r="D284" s="203" t="n">
        <v>0</v>
      </c>
      <c r="E284" s="203" t="n">
        <v>0</v>
      </c>
      <c r="F284" s="203" t="n">
        <v>0</v>
      </c>
      <c r="G284" s="203" t="n">
        <v>0</v>
      </c>
      <c r="H284" s="203" t="n">
        <v>0</v>
      </c>
      <c r="I284" s="204" t="n">
        <v>0</v>
      </c>
      <c r="J284" s="57"/>
    </row>
    <row r="285" customFormat="false" ht="14.25" hidden="false" customHeight="false" outlineLevel="0" collapsed="false">
      <c r="A285" s="312" t="s">
        <v>362</v>
      </c>
      <c r="B285" s="202" t="s">
        <v>499</v>
      </c>
      <c r="C285" s="203" t="n">
        <v>0</v>
      </c>
      <c r="D285" s="203" t="n">
        <v>0</v>
      </c>
      <c r="E285" s="203" t="n">
        <v>0</v>
      </c>
      <c r="F285" s="203" t="n">
        <v>0</v>
      </c>
      <c r="G285" s="203" t="n">
        <v>0</v>
      </c>
      <c r="H285" s="203" t="n">
        <v>0</v>
      </c>
      <c r="I285" s="204" t="n">
        <v>0</v>
      </c>
      <c r="J285" s="57"/>
    </row>
    <row r="286" customFormat="false" ht="14.25" hidden="false" customHeight="false" outlineLevel="0" collapsed="false">
      <c r="A286" s="312" t="s">
        <v>580</v>
      </c>
      <c r="B286" s="202" t="s">
        <v>499</v>
      </c>
      <c r="C286" s="203" t="n">
        <v>0</v>
      </c>
      <c r="D286" s="203" t="n">
        <v>0</v>
      </c>
      <c r="E286" s="203" t="n">
        <v>0</v>
      </c>
      <c r="F286" s="203" t="n">
        <v>0</v>
      </c>
      <c r="G286" s="203" t="n">
        <v>0</v>
      </c>
      <c r="H286" s="203" t="n">
        <v>0</v>
      </c>
      <c r="I286" s="204" t="n">
        <v>0</v>
      </c>
      <c r="J286" s="57"/>
    </row>
    <row r="287" customFormat="false" ht="14.25" hidden="false" customHeight="false" outlineLevel="0" collapsed="false">
      <c r="A287" s="312" t="s">
        <v>581</v>
      </c>
      <c r="B287" s="202" t="s">
        <v>499</v>
      </c>
      <c r="C287" s="203" t="n">
        <v>0</v>
      </c>
      <c r="D287" s="203" t="n">
        <v>0</v>
      </c>
      <c r="E287" s="203" t="n">
        <v>0</v>
      </c>
      <c r="F287" s="203" t="n">
        <v>0</v>
      </c>
      <c r="G287" s="203" t="n">
        <v>0</v>
      </c>
      <c r="H287" s="203" t="n">
        <v>0</v>
      </c>
      <c r="I287" s="204" t="n">
        <v>0</v>
      </c>
      <c r="J287" s="57"/>
    </row>
    <row r="288" customFormat="false" ht="14.25" hidden="false" customHeight="false" outlineLevel="0" collapsed="false">
      <c r="A288" s="312" t="s">
        <v>582</v>
      </c>
      <c r="B288" s="202" t="s">
        <v>499</v>
      </c>
      <c r="C288" s="203" t="n">
        <v>0</v>
      </c>
      <c r="D288" s="203" t="n">
        <v>0</v>
      </c>
      <c r="E288" s="203" t="n">
        <v>0</v>
      </c>
      <c r="F288" s="203" t="n">
        <v>0</v>
      </c>
      <c r="G288" s="203" t="n">
        <v>0</v>
      </c>
      <c r="H288" s="203" t="n">
        <v>0</v>
      </c>
      <c r="I288" s="204" t="n">
        <v>0</v>
      </c>
      <c r="J288" s="57"/>
    </row>
    <row r="289" customFormat="false" ht="14.25" hidden="false" customHeight="false" outlineLevel="0" collapsed="false">
      <c r="A289" s="312" t="s">
        <v>583</v>
      </c>
      <c r="B289" s="202" t="s">
        <v>499</v>
      </c>
      <c r="C289" s="203" t="n">
        <v>0</v>
      </c>
      <c r="D289" s="203" t="n">
        <v>0</v>
      </c>
      <c r="E289" s="203" t="n">
        <v>0</v>
      </c>
      <c r="F289" s="203" t="n">
        <v>0</v>
      </c>
      <c r="G289" s="203" t="n">
        <v>0</v>
      </c>
      <c r="H289" s="203" t="n">
        <v>0</v>
      </c>
      <c r="I289" s="204" t="n">
        <v>0</v>
      </c>
      <c r="J289" s="57"/>
    </row>
    <row r="290" customFormat="false" ht="14.25" hidden="false" customHeight="false" outlineLevel="0" collapsed="false">
      <c r="A290" s="312" t="s">
        <v>354</v>
      </c>
      <c r="B290" s="202" t="s">
        <v>499</v>
      </c>
      <c r="C290" s="203" t="n">
        <v>0</v>
      </c>
      <c r="D290" s="203" t="n">
        <v>0</v>
      </c>
      <c r="E290" s="203" t="n">
        <v>0</v>
      </c>
      <c r="F290" s="203" t="n">
        <v>0</v>
      </c>
      <c r="G290" s="203" t="n">
        <v>0</v>
      </c>
      <c r="H290" s="203" t="n">
        <v>0</v>
      </c>
      <c r="I290" s="204" t="n">
        <v>0</v>
      </c>
      <c r="J290" s="57"/>
    </row>
    <row r="291" customFormat="false" ht="14.25" hidden="false" customHeight="false" outlineLevel="0" collapsed="false">
      <c r="A291" s="312" t="s">
        <v>584</v>
      </c>
      <c r="B291" s="202" t="s">
        <v>499</v>
      </c>
      <c r="C291" s="203" t="n">
        <v>0</v>
      </c>
      <c r="D291" s="203" t="n">
        <v>0</v>
      </c>
      <c r="E291" s="203" t="n">
        <v>0</v>
      </c>
      <c r="F291" s="203" t="n">
        <v>0</v>
      </c>
      <c r="G291" s="203" t="n">
        <v>0</v>
      </c>
      <c r="H291" s="203" t="n">
        <v>0</v>
      </c>
      <c r="I291" s="204" t="n">
        <v>0</v>
      </c>
      <c r="J291" s="57"/>
    </row>
    <row r="292" customFormat="false" ht="14.25" hidden="false" customHeight="false" outlineLevel="0" collapsed="false">
      <c r="A292" s="312" t="s">
        <v>585</v>
      </c>
      <c r="B292" s="202" t="s">
        <v>499</v>
      </c>
      <c r="C292" s="203" t="n">
        <v>0</v>
      </c>
      <c r="D292" s="203" t="n">
        <v>0</v>
      </c>
      <c r="E292" s="203" t="n">
        <v>0</v>
      </c>
      <c r="F292" s="203" t="n">
        <v>0</v>
      </c>
      <c r="G292" s="203" t="n">
        <v>0</v>
      </c>
      <c r="H292" s="203" t="n">
        <v>0</v>
      </c>
      <c r="I292" s="204" t="n">
        <v>0</v>
      </c>
      <c r="J292" s="57"/>
    </row>
    <row r="293" customFormat="false" ht="14.25" hidden="false" customHeight="false" outlineLevel="0" collapsed="false">
      <c r="A293" s="312" t="s">
        <v>586</v>
      </c>
      <c r="B293" s="202" t="s">
        <v>499</v>
      </c>
      <c r="C293" s="203" t="n">
        <v>0</v>
      </c>
      <c r="D293" s="203" t="n">
        <v>0</v>
      </c>
      <c r="E293" s="203" t="n">
        <v>0</v>
      </c>
      <c r="F293" s="203" t="n">
        <v>0</v>
      </c>
      <c r="G293" s="203" t="n">
        <v>0</v>
      </c>
      <c r="H293" s="203" t="n">
        <v>0</v>
      </c>
      <c r="I293" s="204" t="n">
        <v>0</v>
      </c>
      <c r="J293" s="57"/>
    </row>
    <row r="294" customFormat="false" ht="14.25" hidden="false" customHeight="false" outlineLevel="0" collapsed="false">
      <c r="A294" s="312" t="s">
        <v>587</v>
      </c>
      <c r="B294" s="202" t="s">
        <v>499</v>
      </c>
      <c r="C294" s="203" t="n">
        <v>0</v>
      </c>
      <c r="D294" s="203" t="n">
        <v>0</v>
      </c>
      <c r="E294" s="203" t="n">
        <v>0</v>
      </c>
      <c r="F294" s="203" t="n">
        <v>0</v>
      </c>
      <c r="G294" s="203" t="n">
        <v>0</v>
      </c>
      <c r="H294" s="203" t="n">
        <v>0</v>
      </c>
      <c r="I294" s="204" t="n">
        <v>0</v>
      </c>
      <c r="J294" s="57"/>
    </row>
    <row r="295" customFormat="false" ht="14.25" hidden="false" customHeight="false" outlineLevel="0" collapsed="false">
      <c r="A295" s="312" t="s">
        <v>588</v>
      </c>
      <c r="B295" s="202" t="s">
        <v>499</v>
      </c>
      <c r="C295" s="203" t="n">
        <v>0</v>
      </c>
      <c r="D295" s="203" t="n">
        <v>0</v>
      </c>
      <c r="E295" s="203" t="n">
        <v>0</v>
      </c>
      <c r="F295" s="203" t="n">
        <v>0</v>
      </c>
      <c r="G295" s="203" t="n">
        <v>0</v>
      </c>
      <c r="H295" s="203" t="n">
        <v>0</v>
      </c>
      <c r="I295" s="204" t="n">
        <v>0</v>
      </c>
      <c r="J295" s="57"/>
    </row>
    <row r="296" customFormat="false" ht="14.25" hidden="false" customHeight="false" outlineLevel="0" collapsed="false">
      <c r="A296" s="312" t="s">
        <v>589</v>
      </c>
      <c r="B296" s="202" t="s">
        <v>499</v>
      </c>
      <c r="C296" s="203" t="n">
        <v>0</v>
      </c>
      <c r="D296" s="203" t="n">
        <v>0</v>
      </c>
      <c r="E296" s="203" t="n">
        <v>0</v>
      </c>
      <c r="F296" s="203" t="n">
        <v>0</v>
      </c>
      <c r="G296" s="203" t="n">
        <v>0</v>
      </c>
      <c r="H296" s="203" t="n">
        <v>0</v>
      </c>
      <c r="I296" s="204" t="n">
        <v>0</v>
      </c>
      <c r="J296" s="57"/>
    </row>
    <row r="297" customFormat="false" ht="14.25" hidden="false" customHeight="false" outlineLevel="0" collapsed="false">
      <c r="A297" s="312" t="s">
        <v>590</v>
      </c>
      <c r="B297" s="202" t="s">
        <v>499</v>
      </c>
      <c r="C297" s="203" t="n">
        <v>0</v>
      </c>
      <c r="D297" s="203" t="n">
        <v>0</v>
      </c>
      <c r="E297" s="203" t="n">
        <v>0</v>
      </c>
      <c r="F297" s="203" t="n">
        <v>0</v>
      </c>
      <c r="G297" s="203" t="n">
        <v>0</v>
      </c>
      <c r="H297" s="203" t="n">
        <v>0</v>
      </c>
      <c r="I297" s="204" t="n">
        <v>0</v>
      </c>
      <c r="J297" s="57"/>
    </row>
    <row r="298" customFormat="false" ht="14.25" hidden="false" customHeight="false" outlineLevel="0" collapsed="false">
      <c r="A298" s="312" t="s">
        <v>338</v>
      </c>
      <c r="B298" s="202" t="s">
        <v>499</v>
      </c>
      <c r="C298" s="203" t="n">
        <v>0</v>
      </c>
      <c r="D298" s="203" t="n">
        <v>0</v>
      </c>
      <c r="E298" s="203" t="n">
        <v>0</v>
      </c>
      <c r="F298" s="203" t="n">
        <f aca="false">$C298+(($G298-$C298)/20)*(F295-2020)</f>
        <v>0</v>
      </c>
      <c r="G298" s="203" t="n">
        <v>0</v>
      </c>
      <c r="H298" s="203" t="n">
        <v>0</v>
      </c>
      <c r="I298" s="204" t="n">
        <v>0</v>
      </c>
      <c r="J298" s="57"/>
    </row>
    <row r="299" customFormat="false" ht="14.25" hidden="false" customHeight="false" outlineLevel="0" collapsed="false">
      <c r="A299" s="312" t="s">
        <v>591</v>
      </c>
      <c r="B299" s="202" t="s">
        <v>499</v>
      </c>
      <c r="C299" s="203" t="n">
        <v>0</v>
      </c>
      <c r="D299" s="203" t="n">
        <v>0</v>
      </c>
      <c r="E299" s="203" t="n">
        <v>0</v>
      </c>
      <c r="F299" s="203" t="n">
        <v>0</v>
      </c>
      <c r="G299" s="203" t="n">
        <v>0</v>
      </c>
      <c r="H299" s="203" t="n">
        <v>0</v>
      </c>
      <c r="I299" s="204" t="n">
        <v>0</v>
      </c>
      <c r="J299" s="57"/>
    </row>
    <row r="300" customFormat="false" ht="14.25" hidden="false" customHeight="false" outlineLevel="0" collapsed="false">
      <c r="A300" s="312" t="s">
        <v>592</v>
      </c>
      <c r="B300" s="202" t="s">
        <v>499</v>
      </c>
      <c r="C300" s="203" t="n">
        <v>0</v>
      </c>
      <c r="D300" s="203" t="n">
        <v>0</v>
      </c>
      <c r="E300" s="203" t="n">
        <v>0</v>
      </c>
      <c r="F300" s="203" t="n">
        <v>0</v>
      </c>
      <c r="G300" s="203" t="n">
        <v>0</v>
      </c>
      <c r="H300" s="203" t="n">
        <v>0</v>
      </c>
      <c r="I300" s="204" t="n">
        <v>0</v>
      </c>
      <c r="J300" s="57"/>
    </row>
    <row r="301" customFormat="false" ht="14.25" hidden="false" customHeight="false" outlineLevel="0" collapsed="false">
      <c r="A301" s="312" t="s">
        <v>593</v>
      </c>
      <c r="B301" s="202" t="s">
        <v>499</v>
      </c>
      <c r="C301" s="203" t="n">
        <v>0</v>
      </c>
      <c r="D301" s="203" t="n">
        <v>0</v>
      </c>
      <c r="E301" s="203" t="n">
        <v>0</v>
      </c>
      <c r="F301" s="203" t="n">
        <v>0</v>
      </c>
      <c r="G301" s="203" t="n">
        <v>0</v>
      </c>
      <c r="H301" s="203" t="n">
        <v>0</v>
      </c>
      <c r="I301" s="204" t="n">
        <v>0</v>
      </c>
      <c r="J301" s="57"/>
    </row>
    <row r="302" customFormat="false" ht="14.25" hidden="false" customHeight="false" outlineLevel="0" collapsed="false">
      <c r="A302" s="312" t="s">
        <v>594</v>
      </c>
      <c r="B302" s="202" t="s">
        <v>499</v>
      </c>
      <c r="C302" s="203" t="n">
        <v>0</v>
      </c>
      <c r="D302" s="203" t="n">
        <v>0</v>
      </c>
      <c r="E302" s="203" t="n">
        <v>0</v>
      </c>
      <c r="F302" s="203" t="n">
        <v>0</v>
      </c>
      <c r="G302" s="203" t="n">
        <v>0</v>
      </c>
      <c r="H302" s="203" t="n">
        <v>0</v>
      </c>
      <c r="I302" s="204" t="n">
        <v>0</v>
      </c>
      <c r="J302" s="57"/>
    </row>
    <row r="303" customFormat="false" ht="14.25" hidden="false" customHeight="false" outlineLevel="0" collapsed="false">
      <c r="A303" s="312" t="s">
        <v>595</v>
      </c>
      <c r="B303" s="202" t="s">
        <v>499</v>
      </c>
      <c r="C303" s="203" t="n">
        <v>0</v>
      </c>
      <c r="D303" s="203" t="n">
        <v>0</v>
      </c>
      <c r="E303" s="203" t="n">
        <v>0</v>
      </c>
      <c r="F303" s="203" t="n">
        <v>0</v>
      </c>
      <c r="G303" s="203" t="n">
        <v>0</v>
      </c>
      <c r="H303" s="203" t="n">
        <v>0</v>
      </c>
      <c r="I303" s="204" t="n">
        <v>0</v>
      </c>
      <c r="J303" s="57"/>
    </row>
    <row r="304" customFormat="false" ht="14.25" hidden="false" customHeight="false" outlineLevel="0" collapsed="false">
      <c r="A304" s="312" t="s">
        <v>596</v>
      </c>
      <c r="B304" s="202" t="s">
        <v>499</v>
      </c>
      <c r="C304" s="203" t="n">
        <v>0</v>
      </c>
      <c r="D304" s="203" t="n">
        <v>0</v>
      </c>
      <c r="E304" s="203" t="n">
        <v>0</v>
      </c>
      <c r="F304" s="203" t="n">
        <v>0</v>
      </c>
      <c r="G304" s="203" t="n">
        <v>0</v>
      </c>
      <c r="H304" s="203" t="n">
        <v>0</v>
      </c>
      <c r="I304" s="204" t="n">
        <v>0</v>
      </c>
      <c r="J304" s="57"/>
    </row>
    <row r="305" customFormat="false" ht="14.25" hidden="false" customHeight="false" outlineLevel="0" collapsed="false">
      <c r="A305" s="312" t="s">
        <v>597</v>
      </c>
      <c r="B305" s="202" t="s">
        <v>499</v>
      </c>
      <c r="C305" s="203" t="n">
        <v>0</v>
      </c>
      <c r="D305" s="203" t="n">
        <v>0</v>
      </c>
      <c r="E305" s="203" t="n">
        <v>0</v>
      </c>
      <c r="F305" s="203" t="n">
        <v>0</v>
      </c>
      <c r="G305" s="203" t="n">
        <v>0</v>
      </c>
      <c r="H305" s="203" t="n">
        <v>0</v>
      </c>
      <c r="I305" s="204" t="n">
        <v>0</v>
      </c>
      <c r="J305" s="57"/>
    </row>
    <row r="306" customFormat="false" ht="14.25" hidden="false" customHeight="false" outlineLevel="0" collapsed="false">
      <c r="A306" s="312" t="s">
        <v>598</v>
      </c>
      <c r="B306" s="202" t="s">
        <v>499</v>
      </c>
      <c r="C306" s="203" t="n">
        <v>0</v>
      </c>
      <c r="D306" s="203" t="n">
        <v>0</v>
      </c>
      <c r="E306" s="203" t="n">
        <v>0</v>
      </c>
      <c r="F306" s="203" t="n">
        <v>0</v>
      </c>
      <c r="G306" s="203" t="n">
        <v>0</v>
      </c>
      <c r="H306" s="203" t="n">
        <v>0</v>
      </c>
      <c r="I306" s="204" t="n">
        <v>0</v>
      </c>
      <c r="J306" s="57"/>
    </row>
    <row r="307" customFormat="false" ht="14.25" hidden="false" customHeight="false" outlineLevel="0" collapsed="false">
      <c r="A307" s="312" t="s">
        <v>599</v>
      </c>
      <c r="B307" s="202" t="s">
        <v>499</v>
      </c>
      <c r="C307" s="203" t="n">
        <v>0</v>
      </c>
      <c r="D307" s="203" t="n">
        <v>0</v>
      </c>
      <c r="E307" s="203" t="n">
        <v>0</v>
      </c>
      <c r="F307" s="203" t="n">
        <v>0</v>
      </c>
      <c r="G307" s="203" t="n">
        <v>0</v>
      </c>
      <c r="H307" s="203" t="n">
        <v>0</v>
      </c>
      <c r="I307" s="204" t="n">
        <v>0</v>
      </c>
      <c r="J307" s="57"/>
    </row>
    <row r="308" customFormat="false" ht="14.25" hidden="false" customHeight="false" outlineLevel="0" collapsed="false">
      <c r="A308" s="312" t="s">
        <v>351</v>
      </c>
      <c r="B308" s="202" t="s">
        <v>499</v>
      </c>
      <c r="C308" s="203" t="n">
        <v>0</v>
      </c>
      <c r="D308" s="203" t="n">
        <v>0</v>
      </c>
      <c r="E308" s="203" t="n">
        <v>0</v>
      </c>
      <c r="F308" s="203" t="n">
        <v>0</v>
      </c>
      <c r="G308" s="203" t="n">
        <v>0</v>
      </c>
      <c r="H308" s="203" t="n">
        <v>0</v>
      </c>
      <c r="I308" s="204" t="n">
        <v>0</v>
      </c>
      <c r="J308" s="57"/>
    </row>
    <row r="309" customFormat="false" ht="14.25" hidden="false" customHeight="false" outlineLevel="0" collapsed="false">
      <c r="A309" s="312" t="s">
        <v>361</v>
      </c>
      <c r="B309" s="202" t="s">
        <v>499</v>
      </c>
      <c r="C309" s="203" t="n">
        <v>0</v>
      </c>
      <c r="D309" s="203" t="n">
        <v>0</v>
      </c>
      <c r="E309" s="203" t="n">
        <v>0</v>
      </c>
      <c r="F309" s="203" t="n">
        <v>0</v>
      </c>
      <c r="G309" s="203" t="n">
        <v>0</v>
      </c>
      <c r="H309" s="203" t="n">
        <v>0</v>
      </c>
      <c r="I309" s="204" t="n">
        <v>0</v>
      </c>
      <c r="J309" s="57"/>
    </row>
    <row r="310" customFormat="false" ht="14.25" hidden="false" customHeight="false" outlineLevel="0" collapsed="false">
      <c r="A310" s="312" t="s">
        <v>600</v>
      </c>
      <c r="B310" s="202" t="s">
        <v>499</v>
      </c>
      <c r="C310" s="203" t="n">
        <v>0</v>
      </c>
      <c r="D310" s="203" t="n">
        <v>0</v>
      </c>
      <c r="E310" s="203" t="n">
        <v>0</v>
      </c>
      <c r="F310" s="203" t="n">
        <v>0</v>
      </c>
      <c r="G310" s="203" t="n">
        <v>0</v>
      </c>
      <c r="H310" s="203" t="n">
        <v>0</v>
      </c>
      <c r="I310" s="204" t="n">
        <v>0</v>
      </c>
      <c r="J310" s="57"/>
    </row>
    <row r="311" customFormat="false" ht="14.25" hidden="false" customHeight="false" outlineLevel="0" collapsed="false">
      <c r="A311" s="313" t="s">
        <v>624</v>
      </c>
      <c r="B311" s="314"/>
      <c r="C311" s="314"/>
      <c r="D311" s="314"/>
      <c r="E311" s="314"/>
      <c r="F311" s="314"/>
      <c r="G311" s="314"/>
      <c r="H311" s="315"/>
      <c r="I311" s="314"/>
      <c r="J311" s="57"/>
    </row>
    <row r="312" customFormat="false" ht="14.25" hidden="false" customHeight="false" outlineLevel="0" collapsed="false">
      <c r="A312" s="312" t="s">
        <v>576</v>
      </c>
      <c r="B312" s="202" t="s">
        <v>28</v>
      </c>
      <c r="C312" s="203" t="n">
        <v>0.189349112426035</v>
      </c>
      <c r="D312" s="203" t="n">
        <v>0.189349112426035</v>
      </c>
      <c r="E312" s="203" t="n">
        <v>0.189349112426035</v>
      </c>
      <c r="F312" s="203" t="n">
        <v>0.189349112426035</v>
      </c>
      <c r="G312" s="203" t="n">
        <v>0.189349112426035</v>
      </c>
      <c r="H312" s="203" t="n">
        <f aca="false">G312+(I312-G312)/2</f>
        <v>0.238653613804641</v>
      </c>
      <c r="I312" s="203" t="n">
        <v>0.287958115183246</v>
      </c>
      <c r="J312" s="57"/>
    </row>
    <row r="313" customFormat="false" ht="14.25" hidden="false" customHeight="false" outlineLevel="0" collapsed="false">
      <c r="A313" s="312" t="s">
        <v>579</v>
      </c>
      <c r="B313" s="202" t="s">
        <v>28</v>
      </c>
      <c r="C313" s="203" t="n">
        <v>0.189349112426035</v>
      </c>
      <c r="D313" s="203" t="n">
        <v>0.189349112426035</v>
      </c>
      <c r="E313" s="203" t="n">
        <v>0.189349112426035</v>
      </c>
      <c r="F313" s="203" t="n">
        <v>0.189349112426035</v>
      </c>
      <c r="G313" s="203" t="n">
        <v>0.189349112426035</v>
      </c>
      <c r="H313" s="203" t="n">
        <f aca="false">G313+(I313-G313)/2</f>
        <v>0.238653613804641</v>
      </c>
      <c r="I313" s="203" t="n">
        <v>0.287958115183246</v>
      </c>
      <c r="J313" s="57"/>
    </row>
    <row r="314" customFormat="false" ht="14.25" hidden="false" customHeight="false" outlineLevel="0" collapsed="false">
      <c r="A314" s="312" t="s">
        <v>362</v>
      </c>
      <c r="B314" s="202" t="s">
        <v>28</v>
      </c>
      <c r="C314" s="203" t="n">
        <v>0.189349112426035</v>
      </c>
      <c r="D314" s="203" t="n">
        <v>0.189349112426035</v>
      </c>
      <c r="E314" s="203" t="n">
        <v>0.189349112426035</v>
      </c>
      <c r="F314" s="203" t="n">
        <v>0.189349112426035</v>
      </c>
      <c r="G314" s="203" t="n">
        <v>0.189349112426035</v>
      </c>
      <c r="H314" s="203" t="n">
        <f aca="false">G314+(I314-G314)/2</f>
        <v>0.238653613804641</v>
      </c>
      <c r="I314" s="203" t="n">
        <v>0.287958115183246</v>
      </c>
      <c r="J314" s="57"/>
    </row>
    <row r="315" customFormat="false" ht="14.25" hidden="false" customHeight="false" outlineLevel="0" collapsed="false">
      <c r="A315" s="312" t="s">
        <v>580</v>
      </c>
      <c r="B315" s="202" t="s">
        <v>28</v>
      </c>
      <c r="C315" s="203" t="n">
        <v>0.189349112426035</v>
      </c>
      <c r="D315" s="203" t="n">
        <v>0.189349112426035</v>
      </c>
      <c r="E315" s="203" t="n">
        <v>0.189349112426035</v>
      </c>
      <c r="F315" s="203" t="n">
        <v>0.189349112426035</v>
      </c>
      <c r="G315" s="203" t="n">
        <v>0.189349112426035</v>
      </c>
      <c r="H315" s="203" t="n">
        <f aca="false">G315+(I315-G315)/2</f>
        <v>0.238653613804641</v>
      </c>
      <c r="I315" s="203" t="n">
        <v>0.287958115183246</v>
      </c>
      <c r="J315" s="57"/>
    </row>
    <row r="316" customFormat="false" ht="14.25" hidden="false" customHeight="false" outlineLevel="0" collapsed="false">
      <c r="A316" s="312" t="s">
        <v>581</v>
      </c>
      <c r="B316" s="202" t="s">
        <v>28</v>
      </c>
      <c r="C316" s="203" t="n">
        <v>0.189349112426035</v>
      </c>
      <c r="D316" s="203" t="n">
        <v>0.189349112426035</v>
      </c>
      <c r="E316" s="203" t="n">
        <v>0.189349112426035</v>
      </c>
      <c r="F316" s="203" t="n">
        <v>0.189349112426035</v>
      </c>
      <c r="G316" s="203" t="n">
        <v>0.189349112426035</v>
      </c>
      <c r="H316" s="203" t="n">
        <f aca="false">G316+(I316-G316)/2</f>
        <v>0.238653613804641</v>
      </c>
      <c r="I316" s="203" t="n">
        <v>0.287958115183246</v>
      </c>
      <c r="J316" s="57"/>
    </row>
    <row r="317" customFormat="false" ht="14.25" hidden="false" customHeight="false" outlineLevel="0" collapsed="false">
      <c r="A317" s="312" t="s">
        <v>582</v>
      </c>
      <c r="B317" s="202" t="s">
        <v>28</v>
      </c>
      <c r="C317" s="203" t="n">
        <v>0.189349112426035</v>
      </c>
      <c r="D317" s="203" t="n">
        <v>0.189349112426035</v>
      </c>
      <c r="E317" s="203" t="n">
        <v>0.189349112426035</v>
      </c>
      <c r="F317" s="203" t="n">
        <v>0.189349112426035</v>
      </c>
      <c r="G317" s="203" t="n">
        <v>0.189349112426035</v>
      </c>
      <c r="H317" s="203" t="n">
        <f aca="false">G317+(I317-G317)/2</f>
        <v>0.238653613804641</v>
      </c>
      <c r="I317" s="203" t="n">
        <v>0.287958115183246</v>
      </c>
      <c r="J317" s="57"/>
    </row>
    <row r="318" customFormat="false" ht="14.25" hidden="false" customHeight="false" outlineLevel="0" collapsed="false">
      <c r="A318" s="312" t="s">
        <v>583</v>
      </c>
      <c r="B318" s="202" t="s">
        <v>28</v>
      </c>
      <c r="C318" s="203" t="n">
        <v>0.189349112426035</v>
      </c>
      <c r="D318" s="203" t="n">
        <v>0.189349112426035</v>
      </c>
      <c r="E318" s="203" t="n">
        <v>0.189349112426035</v>
      </c>
      <c r="F318" s="203" t="n">
        <v>0.189349112426035</v>
      </c>
      <c r="G318" s="203" t="n">
        <v>0.189349112426035</v>
      </c>
      <c r="H318" s="203" t="n">
        <f aca="false">G318+(I318-G318)/2</f>
        <v>0.238653613804641</v>
      </c>
      <c r="I318" s="203" t="n">
        <v>0.287958115183246</v>
      </c>
      <c r="J318" s="57"/>
    </row>
    <row r="319" customFormat="false" ht="14.25" hidden="false" customHeight="false" outlineLevel="0" collapsed="false">
      <c r="A319" s="312" t="s">
        <v>354</v>
      </c>
      <c r="B319" s="202" t="s">
        <v>28</v>
      </c>
      <c r="C319" s="203" t="n">
        <v>0.189349112426035</v>
      </c>
      <c r="D319" s="203" t="n">
        <v>0.189349112426035</v>
      </c>
      <c r="E319" s="203" t="n">
        <v>0.189349112426035</v>
      </c>
      <c r="F319" s="203" t="n">
        <v>0.189349112426035</v>
      </c>
      <c r="G319" s="203" t="n">
        <v>0.189349112426035</v>
      </c>
      <c r="H319" s="203" t="n">
        <f aca="false">G319+(I319-G319)/2</f>
        <v>0.238653613804641</v>
      </c>
      <c r="I319" s="203" t="n">
        <v>0.287958115183246</v>
      </c>
      <c r="J319" s="57"/>
    </row>
    <row r="320" customFormat="false" ht="14.25" hidden="false" customHeight="false" outlineLevel="0" collapsed="false">
      <c r="A320" s="312" t="s">
        <v>584</v>
      </c>
      <c r="B320" s="202" t="s">
        <v>28</v>
      </c>
      <c r="C320" s="203" t="n">
        <v>0.189349112426035</v>
      </c>
      <c r="D320" s="203" t="n">
        <v>0.189349112426035</v>
      </c>
      <c r="E320" s="203" t="n">
        <v>0.189349112426035</v>
      </c>
      <c r="F320" s="203" t="n">
        <v>0.189349112426035</v>
      </c>
      <c r="G320" s="203" t="n">
        <v>0.189349112426035</v>
      </c>
      <c r="H320" s="203" t="n">
        <f aca="false">G320+(I320-G320)/2</f>
        <v>0.238653613804641</v>
      </c>
      <c r="I320" s="203" t="n">
        <v>0.287958115183246</v>
      </c>
      <c r="J320" s="57"/>
    </row>
    <row r="321" customFormat="false" ht="14.25" hidden="false" customHeight="false" outlineLevel="0" collapsed="false">
      <c r="A321" s="312" t="s">
        <v>585</v>
      </c>
      <c r="B321" s="202" t="s">
        <v>28</v>
      </c>
      <c r="C321" s="203" t="n">
        <v>0.189349112426035</v>
      </c>
      <c r="D321" s="203" t="n">
        <v>0.189349112426035</v>
      </c>
      <c r="E321" s="203" t="n">
        <v>0.189349112426035</v>
      </c>
      <c r="F321" s="203" t="n">
        <v>0.189349112426035</v>
      </c>
      <c r="G321" s="203" t="n">
        <v>0.189349112426035</v>
      </c>
      <c r="H321" s="203" t="n">
        <f aca="false">G321+(I321-G321)/2</f>
        <v>0.238653613804641</v>
      </c>
      <c r="I321" s="203" t="n">
        <v>0.287958115183246</v>
      </c>
      <c r="J321" s="57"/>
    </row>
    <row r="322" customFormat="false" ht="14.25" hidden="false" customHeight="false" outlineLevel="0" collapsed="false">
      <c r="A322" s="312" t="s">
        <v>586</v>
      </c>
      <c r="B322" s="202" t="s">
        <v>28</v>
      </c>
      <c r="C322" s="203" t="n">
        <v>0.189349112426035</v>
      </c>
      <c r="D322" s="203" t="n">
        <v>0.189349112426035</v>
      </c>
      <c r="E322" s="203" t="n">
        <v>0.189349112426035</v>
      </c>
      <c r="F322" s="203" t="n">
        <v>0.189349112426035</v>
      </c>
      <c r="G322" s="203" t="n">
        <v>0.189349112426035</v>
      </c>
      <c r="H322" s="203" t="n">
        <f aca="false">G322+(I322-G322)/2</f>
        <v>0.238653613804641</v>
      </c>
      <c r="I322" s="203" t="n">
        <v>0.287958115183246</v>
      </c>
      <c r="J322" s="57"/>
    </row>
    <row r="323" customFormat="false" ht="14.25" hidden="false" customHeight="false" outlineLevel="0" collapsed="false">
      <c r="A323" s="312" t="s">
        <v>587</v>
      </c>
      <c r="B323" s="202" t="s">
        <v>28</v>
      </c>
      <c r="C323" s="203" t="n">
        <v>0.189349112426035</v>
      </c>
      <c r="D323" s="203" t="n">
        <v>0.189349112426035</v>
      </c>
      <c r="E323" s="203" t="n">
        <v>0.189349112426035</v>
      </c>
      <c r="F323" s="203" t="n">
        <v>0.189349112426035</v>
      </c>
      <c r="G323" s="203" t="n">
        <v>0.189349112426035</v>
      </c>
      <c r="H323" s="203" t="n">
        <f aca="false">G323+(I323-G323)/2</f>
        <v>0.238653613804641</v>
      </c>
      <c r="I323" s="203" t="n">
        <v>0.287958115183246</v>
      </c>
      <c r="J323" s="57"/>
    </row>
    <row r="324" customFormat="false" ht="14.25" hidden="false" customHeight="false" outlineLevel="0" collapsed="false">
      <c r="A324" s="312" t="s">
        <v>588</v>
      </c>
      <c r="B324" s="202" t="s">
        <v>28</v>
      </c>
      <c r="C324" s="203" t="n">
        <v>0.189349112426035</v>
      </c>
      <c r="D324" s="203" t="n">
        <v>0.189349112426035</v>
      </c>
      <c r="E324" s="203" t="n">
        <v>0.189349112426035</v>
      </c>
      <c r="F324" s="203" t="n">
        <v>0.189349112426035</v>
      </c>
      <c r="G324" s="203" t="n">
        <v>0.189349112426035</v>
      </c>
      <c r="H324" s="203" t="n">
        <f aca="false">G324+(I324-G324)/2</f>
        <v>0.238653613804641</v>
      </c>
      <c r="I324" s="203" t="n">
        <v>0.287958115183246</v>
      </c>
      <c r="J324" s="57"/>
    </row>
    <row r="325" customFormat="false" ht="14.25" hidden="false" customHeight="false" outlineLevel="0" collapsed="false">
      <c r="A325" s="312" t="s">
        <v>589</v>
      </c>
      <c r="B325" s="202" t="s">
        <v>28</v>
      </c>
      <c r="C325" s="203" t="n">
        <v>0.189349112426035</v>
      </c>
      <c r="D325" s="203" t="n">
        <v>0.189349112426035</v>
      </c>
      <c r="E325" s="203" t="n">
        <v>0.189349112426035</v>
      </c>
      <c r="F325" s="203" t="n">
        <v>0.189349112426035</v>
      </c>
      <c r="G325" s="203" t="n">
        <v>0.189349112426035</v>
      </c>
      <c r="H325" s="203" t="n">
        <f aca="false">G325+(I325-G325)/2</f>
        <v>0.238653613804641</v>
      </c>
      <c r="I325" s="203" t="n">
        <v>0.287958115183246</v>
      </c>
      <c r="J325" s="57"/>
    </row>
    <row r="326" customFormat="false" ht="14.25" hidden="false" customHeight="false" outlineLevel="0" collapsed="false">
      <c r="A326" s="312" t="s">
        <v>590</v>
      </c>
      <c r="B326" s="202" t="s">
        <v>28</v>
      </c>
      <c r="C326" s="203" t="n">
        <v>0.189349112426035</v>
      </c>
      <c r="D326" s="203" t="n">
        <v>0.189349112426035</v>
      </c>
      <c r="E326" s="203" t="n">
        <v>0.189349112426035</v>
      </c>
      <c r="F326" s="203" t="n">
        <v>0.189349112426035</v>
      </c>
      <c r="G326" s="203" t="n">
        <v>0.189349112426035</v>
      </c>
      <c r="H326" s="203" t="n">
        <f aca="false">G326+(I326-G326)/2</f>
        <v>0.238653613804641</v>
      </c>
      <c r="I326" s="203" t="n">
        <v>0.287958115183246</v>
      </c>
      <c r="J326" s="57"/>
    </row>
    <row r="327" customFormat="false" ht="14.25" hidden="false" customHeight="false" outlineLevel="0" collapsed="false">
      <c r="A327" s="312" t="s">
        <v>338</v>
      </c>
      <c r="B327" s="202" t="s">
        <v>28</v>
      </c>
      <c r="C327" s="203" t="n">
        <v>0.189349112426035</v>
      </c>
      <c r="D327" s="203" t="n">
        <v>0.189349112426035</v>
      </c>
      <c r="E327" s="203" t="n">
        <v>0.189349112426035</v>
      </c>
      <c r="F327" s="203" t="n">
        <v>0.189349112426035</v>
      </c>
      <c r="G327" s="203" t="n">
        <v>0.189349112426035</v>
      </c>
      <c r="H327" s="203" t="n">
        <f aca="false">G327+(I327-G327)/2</f>
        <v>0.238653613804641</v>
      </c>
      <c r="I327" s="203" t="n">
        <v>0.287958115183246</v>
      </c>
      <c r="J327" s="57"/>
    </row>
    <row r="328" customFormat="false" ht="14.25" hidden="false" customHeight="false" outlineLevel="0" collapsed="false">
      <c r="A328" s="312" t="s">
        <v>591</v>
      </c>
      <c r="B328" s="202" t="s">
        <v>28</v>
      </c>
      <c r="C328" s="203" t="n">
        <v>0.189349112426035</v>
      </c>
      <c r="D328" s="203" t="n">
        <v>0.189349112426035</v>
      </c>
      <c r="E328" s="203" t="n">
        <v>0.189349112426035</v>
      </c>
      <c r="F328" s="203" t="n">
        <v>0.189349112426035</v>
      </c>
      <c r="G328" s="203" t="n">
        <v>0.189349112426035</v>
      </c>
      <c r="H328" s="203" t="n">
        <f aca="false">G328+(I328-G328)/2</f>
        <v>0.238653613804641</v>
      </c>
      <c r="I328" s="203" t="n">
        <v>0.287958115183246</v>
      </c>
      <c r="J328" s="57"/>
    </row>
    <row r="329" customFormat="false" ht="14.25" hidden="false" customHeight="false" outlineLevel="0" collapsed="false">
      <c r="A329" s="312" t="s">
        <v>592</v>
      </c>
      <c r="B329" s="202" t="s">
        <v>28</v>
      </c>
      <c r="C329" s="203" t="n">
        <v>0.189349112426035</v>
      </c>
      <c r="D329" s="203" t="n">
        <v>0.189349112426035</v>
      </c>
      <c r="E329" s="203" t="n">
        <v>0.189349112426035</v>
      </c>
      <c r="F329" s="203" t="n">
        <v>0.189349112426035</v>
      </c>
      <c r="G329" s="203" t="n">
        <v>0.189349112426035</v>
      </c>
      <c r="H329" s="203" t="n">
        <f aca="false">G329+(I329-G329)/2</f>
        <v>0.238653613804641</v>
      </c>
      <c r="I329" s="203" t="n">
        <v>0.287958115183246</v>
      </c>
      <c r="J329" s="57"/>
    </row>
    <row r="330" customFormat="false" ht="14.25" hidden="false" customHeight="false" outlineLevel="0" collapsed="false">
      <c r="A330" s="312" t="s">
        <v>593</v>
      </c>
      <c r="B330" s="202" t="s">
        <v>28</v>
      </c>
      <c r="C330" s="203" t="n">
        <v>0.189349112426035</v>
      </c>
      <c r="D330" s="203" t="n">
        <v>0.189349112426035</v>
      </c>
      <c r="E330" s="203" t="n">
        <v>0.189349112426035</v>
      </c>
      <c r="F330" s="203" t="n">
        <v>0.189349112426035</v>
      </c>
      <c r="G330" s="203" t="n">
        <v>0.189349112426035</v>
      </c>
      <c r="H330" s="203" t="n">
        <f aca="false">G330+(I330-G330)/2</f>
        <v>0.169674556213018</v>
      </c>
      <c r="I330" s="203" t="n">
        <v>0.15</v>
      </c>
      <c r="J330" s="57"/>
    </row>
    <row r="331" customFormat="false" ht="14.25" hidden="false" customHeight="false" outlineLevel="0" collapsed="false">
      <c r="A331" s="312" t="s">
        <v>594</v>
      </c>
      <c r="B331" s="202" t="s">
        <v>28</v>
      </c>
      <c r="C331" s="203" t="n">
        <v>0.189349112426035</v>
      </c>
      <c r="D331" s="203" t="n">
        <v>0.189349112426035</v>
      </c>
      <c r="E331" s="203" t="n">
        <v>0.189349112426035</v>
      </c>
      <c r="F331" s="203" t="n">
        <v>0.189349112426035</v>
      </c>
      <c r="G331" s="203" t="n">
        <v>0.189349112426035</v>
      </c>
      <c r="H331" s="203" t="n">
        <f aca="false">G331+(I331-G331)/2</f>
        <v>0.169674556213018</v>
      </c>
      <c r="I331" s="203" t="n">
        <v>0.15</v>
      </c>
      <c r="J331" s="57"/>
    </row>
    <row r="332" customFormat="false" ht="14.25" hidden="false" customHeight="false" outlineLevel="0" collapsed="false">
      <c r="A332" s="312" t="s">
        <v>595</v>
      </c>
      <c r="B332" s="202" t="s">
        <v>28</v>
      </c>
      <c r="C332" s="203" t="n">
        <v>0.189349112426035</v>
      </c>
      <c r="D332" s="203" t="n">
        <v>0.189349112426035</v>
      </c>
      <c r="E332" s="203" t="n">
        <v>0.189349112426035</v>
      </c>
      <c r="F332" s="203" t="n">
        <v>0.189349112426035</v>
      </c>
      <c r="G332" s="203" t="n">
        <v>0.189349112426035</v>
      </c>
      <c r="H332" s="203" t="n">
        <f aca="false">G332+(I332-G332)/2</f>
        <v>0.169674556213018</v>
      </c>
      <c r="I332" s="203" t="n">
        <v>0.15</v>
      </c>
      <c r="J332" s="57"/>
    </row>
    <row r="333" customFormat="false" ht="14.25" hidden="false" customHeight="false" outlineLevel="0" collapsed="false">
      <c r="A333" s="312" t="s">
        <v>596</v>
      </c>
      <c r="B333" s="202" t="s">
        <v>28</v>
      </c>
      <c r="C333" s="203" t="n">
        <v>0.189349112426035</v>
      </c>
      <c r="D333" s="203" t="n">
        <v>0.189349112426035</v>
      </c>
      <c r="E333" s="203" t="n">
        <v>0.189349112426035</v>
      </c>
      <c r="F333" s="203" t="n">
        <v>0.189349112426035</v>
      </c>
      <c r="G333" s="203" t="n">
        <v>0.189349112426035</v>
      </c>
      <c r="H333" s="203" t="n">
        <f aca="false">G333+(I333-G333)/2</f>
        <v>0.169674556213018</v>
      </c>
      <c r="I333" s="203" t="n">
        <v>0.15</v>
      </c>
      <c r="J333" s="57"/>
    </row>
    <row r="334" customFormat="false" ht="14.25" hidden="false" customHeight="false" outlineLevel="0" collapsed="false">
      <c r="A334" s="312" t="s">
        <v>597</v>
      </c>
      <c r="B334" s="202" t="s">
        <v>28</v>
      </c>
      <c r="C334" s="203" t="n">
        <v>0.189349112426035</v>
      </c>
      <c r="D334" s="203" t="n">
        <v>0.189349112426035</v>
      </c>
      <c r="E334" s="203" t="n">
        <v>0.189349112426035</v>
      </c>
      <c r="F334" s="203" t="n">
        <v>0.189349112426035</v>
      </c>
      <c r="G334" s="203" t="n">
        <v>0.189349112426035</v>
      </c>
      <c r="H334" s="203" t="n">
        <f aca="false">G334+(I334-G334)/2</f>
        <v>0.169674556213018</v>
      </c>
      <c r="I334" s="203" t="n">
        <v>0.15</v>
      </c>
      <c r="J334" s="57"/>
    </row>
    <row r="335" customFormat="false" ht="14.25" hidden="false" customHeight="false" outlineLevel="0" collapsed="false">
      <c r="A335" s="312" t="s">
        <v>598</v>
      </c>
      <c r="B335" s="202" t="s">
        <v>28</v>
      </c>
      <c r="C335" s="203" t="n">
        <v>0.189349112426035</v>
      </c>
      <c r="D335" s="203" t="n">
        <v>0.189349112426035</v>
      </c>
      <c r="E335" s="203" t="n">
        <v>0.189349112426035</v>
      </c>
      <c r="F335" s="203" t="n">
        <v>0.189349112426035</v>
      </c>
      <c r="G335" s="203" t="n">
        <v>0.189349112426035</v>
      </c>
      <c r="H335" s="203" t="n">
        <f aca="false">G335+(I335-G335)/2</f>
        <v>0.169674556213018</v>
      </c>
      <c r="I335" s="203" t="n">
        <v>0.15</v>
      </c>
      <c r="J335" s="57"/>
    </row>
    <row r="336" customFormat="false" ht="14.25" hidden="false" customHeight="false" outlineLevel="0" collapsed="false">
      <c r="A336" s="312" t="s">
        <v>599</v>
      </c>
      <c r="B336" s="202" t="s">
        <v>28</v>
      </c>
      <c r="C336" s="203" t="n">
        <v>0.189349112426035</v>
      </c>
      <c r="D336" s="203" t="n">
        <v>0.189349112426035</v>
      </c>
      <c r="E336" s="203" t="n">
        <v>0.189349112426035</v>
      </c>
      <c r="F336" s="203" t="n">
        <v>0.189349112426035</v>
      </c>
      <c r="G336" s="203" t="n">
        <v>0.189349112426035</v>
      </c>
      <c r="H336" s="203" t="n">
        <f aca="false">G336+(I336-G336)/2</f>
        <v>0.169674556213018</v>
      </c>
      <c r="I336" s="203" t="n">
        <v>0.15</v>
      </c>
      <c r="J336" s="57"/>
    </row>
    <row r="337" customFormat="false" ht="14.25" hidden="false" customHeight="false" outlineLevel="0" collapsed="false">
      <c r="A337" s="312" t="s">
        <v>351</v>
      </c>
      <c r="B337" s="202" t="s">
        <v>28</v>
      </c>
      <c r="C337" s="203" t="n">
        <v>0.189349112426035</v>
      </c>
      <c r="D337" s="203" t="n">
        <v>0.189349112426035</v>
      </c>
      <c r="E337" s="203" t="n">
        <v>0.189349112426035</v>
      </c>
      <c r="F337" s="203" t="n">
        <v>0.189349112426035</v>
      </c>
      <c r="G337" s="203" t="n">
        <v>0.189349112426035</v>
      </c>
      <c r="H337" s="203" t="n">
        <f aca="false">G337+(I337-G337)/2</f>
        <v>0.169674556213018</v>
      </c>
      <c r="I337" s="203" t="n">
        <v>0.15</v>
      </c>
      <c r="J337" s="57"/>
    </row>
    <row r="338" customFormat="false" ht="14.25" hidden="false" customHeight="false" outlineLevel="0" collapsed="false">
      <c r="A338" s="312" t="s">
        <v>361</v>
      </c>
      <c r="B338" s="202" t="s">
        <v>28</v>
      </c>
      <c r="C338" s="203" t="n">
        <v>0.189349112426035</v>
      </c>
      <c r="D338" s="203" t="n">
        <v>0.189349112426035</v>
      </c>
      <c r="E338" s="203" t="n">
        <v>0.189349112426035</v>
      </c>
      <c r="F338" s="203" t="n">
        <v>0.189349112426035</v>
      </c>
      <c r="G338" s="203" t="n">
        <v>0.189349112426035</v>
      </c>
      <c r="H338" s="203" t="n">
        <f aca="false">G338+(I338-G338)/2</f>
        <v>0.169674556213018</v>
      </c>
      <c r="I338" s="203" t="n">
        <v>0.15</v>
      </c>
      <c r="J338" s="57"/>
    </row>
    <row r="339" customFormat="false" ht="14.25" hidden="false" customHeight="false" outlineLevel="0" collapsed="false">
      <c r="A339" s="312" t="s">
        <v>600</v>
      </c>
      <c r="B339" s="202" t="s">
        <v>28</v>
      </c>
      <c r="C339" s="203" t="n">
        <v>0.189349112426035</v>
      </c>
      <c r="D339" s="203" t="n">
        <v>0.189349112426035</v>
      </c>
      <c r="E339" s="203" t="n">
        <v>0.189349112426035</v>
      </c>
      <c r="F339" s="203" t="n">
        <v>0.189349112426035</v>
      </c>
      <c r="G339" s="203" t="n">
        <v>0.189349112426035</v>
      </c>
      <c r="H339" s="203" t="n">
        <f aca="false">G339+(I339-G339)/2</f>
        <v>0.169674556213018</v>
      </c>
      <c r="I339" s="203" t="n">
        <v>0.15</v>
      </c>
      <c r="J339" s="57"/>
    </row>
    <row r="340" customFormat="false" ht="18" hidden="false" customHeight="true" outlineLevel="0" collapsed="false">
      <c r="A340" s="200" t="s">
        <v>625</v>
      </c>
      <c r="B340" s="200"/>
      <c r="C340" s="200"/>
      <c r="D340" s="200"/>
      <c r="E340" s="200"/>
      <c r="F340" s="200"/>
      <c r="G340" s="200"/>
      <c r="H340" s="200"/>
      <c r="I340" s="200"/>
    </row>
    <row r="341" customFormat="false" ht="14.25" hidden="false" customHeight="false" outlineLevel="0" collapsed="false">
      <c r="A341" s="312" t="s">
        <v>626</v>
      </c>
      <c r="B341" s="219" t="s">
        <v>499</v>
      </c>
      <c r="C341" s="203" t="n">
        <v>0</v>
      </c>
      <c r="D341" s="203" t="n">
        <v>0</v>
      </c>
      <c r="E341" s="203" t="n">
        <v>0</v>
      </c>
      <c r="F341" s="203" t="n">
        <v>0</v>
      </c>
      <c r="G341" s="203" t="n">
        <v>0</v>
      </c>
      <c r="H341" s="203" t="n">
        <v>0</v>
      </c>
      <c r="I341" s="203" t="n">
        <v>0</v>
      </c>
    </row>
    <row r="342" customFormat="false" ht="14.25" hidden="false" customHeight="false" outlineLevel="0" collapsed="false">
      <c r="H342" s="54"/>
      <c r="J342" s="57"/>
    </row>
    <row r="343" customFormat="false" ht="17.35" hidden="false" customHeight="false" outlineLevel="0" collapsed="false">
      <c r="A343" s="316" t="s">
        <v>627</v>
      </c>
      <c r="B343" s="317"/>
      <c r="C343" s="318"/>
    </row>
    <row r="344" customFormat="false" ht="14.25" hidden="false" customHeight="false" outlineLevel="0" collapsed="false">
      <c r="A344" s="312" t="s">
        <v>434</v>
      </c>
      <c r="B344" s="202" t="s">
        <v>36</v>
      </c>
      <c r="C344" s="204" t="n">
        <v>2050</v>
      </c>
    </row>
    <row r="345" customFormat="false" ht="14.25" hidden="false" customHeight="false" outlineLevel="0" collapsed="false">
      <c r="A345" s="319" t="s">
        <v>628</v>
      </c>
      <c r="B345" s="205" t="s">
        <v>327</v>
      </c>
      <c r="C345" s="320" t="n">
        <v>0.05</v>
      </c>
    </row>
    <row r="347" customFormat="false" ht="17.35" hidden="false" customHeight="false" outlineLevel="0" collapsed="false">
      <c r="A347" s="316" t="s">
        <v>629</v>
      </c>
      <c r="B347" s="316"/>
      <c r="C347" s="316"/>
      <c r="D347" s="316"/>
      <c r="E347" s="316"/>
      <c r="F347" s="316"/>
      <c r="G347" s="316"/>
      <c r="H347" s="316"/>
      <c r="I347" s="316"/>
    </row>
    <row r="348" customFormat="false" ht="14.25" hidden="false" customHeight="false" outlineLevel="0" collapsed="false">
      <c r="A348" s="312" t="s">
        <v>630</v>
      </c>
      <c r="B348" s="202" t="s">
        <v>36</v>
      </c>
      <c r="C348" s="203" t="n">
        <v>2020</v>
      </c>
      <c r="D348" s="203" t="n">
        <f aca="false">C348+5</f>
        <v>2025</v>
      </c>
      <c r="E348" s="203" t="n">
        <f aca="false">D348+5</f>
        <v>2030</v>
      </c>
      <c r="F348" s="203" t="n">
        <f aca="false">E348+5</f>
        <v>2035</v>
      </c>
      <c r="G348" s="203" t="n">
        <f aca="false">F348+5</f>
        <v>2040</v>
      </c>
      <c r="H348" s="203" t="n">
        <f aca="false">G348+5</f>
        <v>2045</v>
      </c>
      <c r="I348" s="203" t="n">
        <f aca="false">H348+5</f>
        <v>2050</v>
      </c>
    </row>
    <row r="349" customFormat="false" ht="14.25" hidden="false" customHeight="false" outlineLevel="0" collapsed="false">
      <c r="A349" s="312" t="s">
        <v>631</v>
      </c>
      <c r="B349" s="202" t="s">
        <v>632</v>
      </c>
      <c r="C349" s="203" t="n">
        <v>0</v>
      </c>
      <c r="D349" s="203" t="n">
        <v>0</v>
      </c>
      <c r="E349" s="203" t="n">
        <v>0</v>
      </c>
      <c r="F349" s="203" t="n">
        <v>0</v>
      </c>
      <c r="G349" s="203" t="n">
        <v>0</v>
      </c>
      <c r="H349" s="203" t="n">
        <v>0</v>
      </c>
      <c r="I349" s="203" t="n">
        <v>0</v>
      </c>
      <c r="M349" s="198"/>
      <c r="Q349" s="198"/>
      <c r="U349" s="198"/>
    </row>
    <row r="351" customFormat="false" ht="17.35" hidden="false" customHeight="false" outlineLevel="0" collapsed="false">
      <c r="A351" s="316" t="s">
        <v>633</v>
      </c>
      <c r="B351" s="316"/>
      <c r="C351" s="316"/>
      <c r="D351" s="316"/>
      <c r="E351" s="316"/>
      <c r="F351" s="316"/>
      <c r="G351" s="316"/>
      <c r="H351" s="316"/>
      <c r="I351" s="316"/>
      <c r="J351" s="316"/>
      <c r="K351" s="316"/>
      <c r="L351" s="316"/>
      <c r="M351" s="316"/>
      <c r="N351" s="316"/>
      <c r="O351" s="316"/>
      <c r="P351" s="316"/>
      <c r="Q351" s="316"/>
      <c r="R351" s="316"/>
      <c r="S351" s="316"/>
      <c r="T351" s="316"/>
      <c r="U351" s="316"/>
      <c r="V351" s="316"/>
      <c r="W351" s="316"/>
      <c r="X351" s="316"/>
    </row>
    <row r="352" customFormat="false" ht="14.25" hidden="false" customHeight="false" outlineLevel="0" collapsed="false">
      <c r="A352" s="312" t="s">
        <v>630</v>
      </c>
      <c r="B352" s="202" t="s">
        <v>36</v>
      </c>
      <c r="C352" s="203" t="n">
        <v>1980</v>
      </c>
      <c r="D352" s="203" t="n">
        <v>2020</v>
      </c>
      <c r="E352" s="203" t="n">
        <f aca="false">D352+5</f>
        <v>2025</v>
      </c>
      <c r="F352" s="203" t="n">
        <f aca="false">E352+5</f>
        <v>2030</v>
      </c>
      <c r="G352" s="203" t="n">
        <f aca="false">F352+5</f>
        <v>2035</v>
      </c>
      <c r="H352" s="203" t="n">
        <f aca="false">G352+5</f>
        <v>2040</v>
      </c>
      <c r="I352" s="203" t="n">
        <f aca="false">H352+5</f>
        <v>2045</v>
      </c>
      <c r="J352" s="203" t="n">
        <f aca="false">I352+5</f>
        <v>2050</v>
      </c>
      <c r="K352" s="203" t="n">
        <f aca="false">J352+5</f>
        <v>2055</v>
      </c>
      <c r="L352" s="203" t="n">
        <f aca="false">K352+5</f>
        <v>2060</v>
      </c>
      <c r="M352" s="203" t="n">
        <f aca="false">L352+5</f>
        <v>2065</v>
      </c>
      <c r="N352" s="203" t="n">
        <f aca="false">M352+5</f>
        <v>2070</v>
      </c>
      <c r="O352" s="203" t="n">
        <f aca="false">N352+5</f>
        <v>2075</v>
      </c>
      <c r="P352" s="203" t="n">
        <f aca="false">O352+5</f>
        <v>2080</v>
      </c>
      <c r="Q352" s="203" t="n">
        <f aca="false">P352+5</f>
        <v>2085</v>
      </c>
      <c r="R352" s="203" t="n">
        <f aca="false">Q352+5</f>
        <v>2090</v>
      </c>
      <c r="S352" s="203" t="n">
        <f aca="false">R352+5</f>
        <v>2095</v>
      </c>
      <c r="T352" s="203" t="n">
        <f aca="false">S352+5</f>
        <v>2100</v>
      </c>
      <c r="U352" s="203" t="n">
        <f aca="false">T352+5</f>
        <v>2105</v>
      </c>
      <c r="V352" s="203" t="n">
        <f aca="false">U352+5</f>
        <v>2110</v>
      </c>
      <c r="W352" s="203" t="n">
        <f aca="false">V352+5</f>
        <v>2115</v>
      </c>
      <c r="X352" s="203" t="n">
        <f aca="false">W352+5</f>
        <v>2120</v>
      </c>
    </row>
    <row r="353" customFormat="false" ht="14.25" hidden="false" customHeight="false" outlineLevel="0" collapsed="false">
      <c r="A353" s="312" t="s">
        <v>633</v>
      </c>
      <c r="B353" s="202" t="s">
        <v>634</v>
      </c>
      <c r="C353" s="203"/>
      <c r="D353" s="203" t="n">
        <v>345</v>
      </c>
      <c r="E353" s="203"/>
      <c r="F353" s="203" t="n">
        <v>345</v>
      </c>
      <c r="G353" s="203"/>
      <c r="H353" s="203" t="n">
        <v>298</v>
      </c>
      <c r="I353" s="203"/>
      <c r="J353" s="203" t="n">
        <v>333</v>
      </c>
      <c r="K353" s="203"/>
      <c r="L353" s="203"/>
      <c r="M353" s="203"/>
      <c r="N353" s="203"/>
      <c r="O353" s="203"/>
      <c r="P353" s="203"/>
      <c r="Q353" s="203"/>
      <c r="R353" s="203"/>
      <c r="S353" s="203"/>
      <c r="T353" s="203"/>
      <c r="U353" s="203"/>
      <c r="V353" s="203"/>
      <c r="W353" s="203"/>
      <c r="X353" s="203"/>
    </row>
    <row r="354" customFormat="false" ht="14.25" hidden="false" customHeight="false" outlineLevel="0" collapsed="false">
      <c r="H354" s="54"/>
      <c r="J354" s="57"/>
    </row>
    <row r="355" customFormat="false" ht="14.25" hidden="false" customHeight="false" outlineLevel="0" collapsed="false">
      <c r="H355" s="54"/>
      <c r="J355" s="57"/>
    </row>
    <row r="356" customFormat="false" ht="14.25" hidden="false" customHeight="false" outlineLevel="0" collapsed="false">
      <c r="H356" s="54"/>
      <c r="J356" s="57"/>
    </row>
    <row r="357" customFormat="false" ht="14.25" hidden="false" customHeight="false" outlineLevel="0" collapsed="false">
      <c r="H357" s="54"/>
      <c r="J357" s="57"/>
    </row>
    <row r="358" customFormat="false" ht="14.25" hidden="false" customHeight="false" outlineLevel="0" collapsed="false">
      <c r="H358" s="54"/>
      <c r="J358" s="57"/>
    </row>
    <row r="359" customFormat="false" ht="24.45" hidden="false" customHeight="false" outlineLevel="0" collapsed="false">
      <c r="A359" s="199" t="s">
        <v>635</v>
      </c>
    </row>
    <row r="362" customFormat="false" ht="14.25" hidden="false" customHeight="false" outlineLevel="0" collapsed="false">
      <c r="H362" s="321"/>
    </row>
    <row r="363" customFormat="false" ht="14.25" hidden="false" customHeight="false" outlineLevel="0" collapsed="false">
      <c r="H363" s="321"/>
    </row>
    <row r="364" customFormat="false" ht="17.35" hidden="false" customHeight="false" outlineLevel="0" collapsed="false">
      <c r="A364" s="200" t="s">
        <v>636</v>
      </c>
      <c r="B364" s="200"/>
      <c r="C364" s="200"/>
      <c r="D364" s="200"/>
      <c r="E364" s="200"/>
      <c r="F364" s="200"/>
      <c r="G364" s="200"/>
      <c r="H364" s="200"/>
    </row>
    <row r="365" customFormat="false" ht="14.25" hidden="false" customHeight="false" outlineLevel="0" collapsed="false">
      <c r="A365" s="322" t="s">
        <v>36</v>
      </c>
      <c r="B365" s="203" t="n">
        <v>2020</v>
      </c>
      <c r="C365" s="203" t="n">
        <v>2025</v>
      </c>
      <c r="D365" s="203" t="n">
        <v>2030</v>
      </c>
      <c r="E365" s="203" t="n">
        <v>2035</v>
      </c>
      <c r="F365" s="203" t="n">
        <v>2040</v>
      </c>
      <c r="G365" s="203" t="n">
        <v>2045</v>
      </c>
      <c r="H365" s="204" t="n">
        <v>2050</v>
      </c>
    </row>
    <row r="366" customFormat="false" ht="14.25" hidden="false" customHeight="false" outlineLevel="0" collapsed="false">
      <c r="A366" s="305" t="s">
        <v>472</v>
      </c>
      <c r="B366" s="305"/>
      <c r="C366" s="305"/>
      <c r="D366" s="305"/>
      <c r="E366" s="305"/>
      <c r="F366" s="305"/>
      <c r="G366" s="305"/>
      <c r="H366" s="305"/>
    </row>
    <row r="367" customFormat="false" ht="14.25" hidden="false" customHeight="false" outlineLevel="0" collapsed="false">
      <c r="A367" s="323" t="s">
        <v>637</v>
      </c>
      <c r="B367" s="203" t="n">
        <v>18.8</v>
      </c>
      <c r="C367" s="203" t="n">
        <v>16.1316315</v>
      </c>
      <c r="D367" s="203" t="n">
        <v>13.486491</v>
      </c>
      <c r="E367" s="203" t="n">
        <v>10.8413505</v>
      </c>
      <c r="F367" s="203" t="n">
        <v>8.19621</v>
      </c>
      <c r="G367" s="203" t="n">
        <v>5.5510695</v>
      </c>
      <c r="H367" s="204" t="n">
        <v>2.9</v>
      </c>
    </row>
    <row r="368" customFormat="false" ht="14.25" hidden="false" customHeight="false" outlineLevel="0" collapsed="false">
      <c r="A368" s="305" t="s">
        <v>479</v>
      </c>
      <c r="B368" s="305"/>
      <c r="C368" s="305"/>
      <c r="D368" s="305"/>
      <c r="E368" s="305"/>
      <c r="F368" s="305"/>
      <c r="G368" s="305"/>
      <c r="H368" s="305"/>
      <c r="I368" s="57"/>
    </row>
    <row r="369" customFormat="false" ht="14.25" hidden="false" customHeight="false" outlineLevel="0" collapsed="false">
      <c r="A369" s="323" t="s">
        <v>637</v>
      </c>
      <c r="B369" s="203" t="n">
        <v>13.3</v>
      </c>
      <c r="C369" s="203" t="n">
        <v>11.39042</v>
      </c>
      <c r="D369" s="203" t="n">
        <v>9.52904</v>
      </c>
      <c r="E369" s="203" t="n">
        <v>7.66766</v>
      </c>
      <c r="F369" s="203" t="n">
        <v>5.80628</v>
      </c>
      <c r="G369" s="203" t="n">
        <v>3.9449</v>
      </c>
      <c r="H369" s="204" t="n">
        <v>2.1</v>
      </c>
    </row>
    <row r="370" customFormat="false" ht="14.25" hidden="false" customHeight="false" outlineLevel="0" collapsed="false">
      <c r="A370" s="305" t="s">
        <v>485</v>
      </c>
      <c r="B370" s="305"/>
      <c r="C370" s="305"/>
      <c r="D370" s="305"/>
      <c r="E370" s="305"/>
      <c r="F370" s="305"/>
      <c r="G370" s="305"/>
      <c r="H370" s="305"/>
      <c r="I370" s="57"/>
    </row>
    <row r="371" customFormat="false" ht="14.25" hidden="false" customHeight="false" outlineLevel="0" collapsed="false">
      <c r="A371" s="324" t="s">
        <v>637</v>
      </c>
      <c r="B371" s="325" t="n">
        <v>2.4</v>
      </c>
      <c r="C371" s="325" t="n">
        <v>2.083</v>
      </c>
      <c r="D371" s="325" t="n">
        <v>1.769</v>
      </c>
      <c r="E371" s="325" t="n">
        <v>1.455</v>
      </c>
      <c r="F371" s="325" t="n">
        <v>1.141</v>
      </c>
      <c r="G371" s="325" t="n">
        <v>0.827</v>
      </c>
      <c r="H371" s="242" t="n">
        <v>0.5</v>
      </c>
    </row>
    <row r="373" customFormat="false" ht="17.35" hidden="false" customHeight="false" outlineLevel="0" collapsed="false">
      <c r="A373" s="200" t="s">
        <v>638</v>
      </c>
      <c r="B373" s="200"/>
      <c r="C373" s="200"/>
      <c r="D373" s="200"/>
      <c r="E373" s="200"/>
      <c r="F373" s="200"/>
      <c r="G373" s="200"/>
      <c r="H373" s="200"/>
      <c r="I373" s="200"/>
    </row>
    <row r="374" customFormat="false" ht="14.25" hidden="false" customHeight="false" outlineLevel="0" collapsed="false">
      <c r="A374" s="326"/>
      <c r="B374" s="202" t="s">
        <v>36</v>
      </c>
      <c r="C374" s="203" t="n">
        <v>2020</v>
      </c>
      <c r="D374" s="203" t="n">
        <v>2025</v>
      </c>
      <c r="E374" s="203" t="n">
        <v>2030</v>
      </c>
      <c r="F374" s="203" t="n">
        <v>2035</v>
      </c>
      <c r="G374" s="203" t="n">
        <v>2040</v>
      </c>
      <c r="H374" s="203" t="n">
        <v>2045</v>
      </c>
      <c r="I374" s="204" t="n">
        <v>2050</v>
      </c>
    </row>
    <row r="375" customFormat="false" ht="14.25" hidden="false" customHeight="false" outlineLevel="0" collapsed="false">
      <c r="A375" s="312" t="s">
        <v>639</v>
      </c>
      <c r="B375" s="202" t="s">
        <v>146</v>
      </c>
      <c r="C375" s="204" t="n">
        <v>-0.01</v>
      </c>
      <c r="D375" s="204" t="n">
        <v>-0.013</v>
      </c>
      <c r="E375" s="204" t="n">
        <v>-0.016</v>
      </c>
      <c r="F375" s="204" t="n">
        <v>-0.019</v>
      </c>
      <c r="G375" s="204" t="n">
        <v>-0.023</v>
      </c>
      <c r="H375" s="204" t="n">
        <v>-0.026</v>
      </c>
      <c r="I375" s="204" t="n">
        <v>-0.029</v>
      </c>
    </row>
    <row r="376" customFormat="false" ht="14.25" hidden="false" customHeight="false" outlineLevel="0" collapsed="false">
      <c r="A376" s="319" t="s">
        <v>640</v>
      </c>
      <c r="B376" s="205" t="s">
        <v>327</v>
      </c>
      <c r="C376" s="304" t="n">
        <v>0</v>
      </c>
      <c r="D376" s="304" t="n">
        <v>0</v>
      </c>
      <c r="E376" s="304" t="n">
        <v>0</v>
      </c>
      <c r="F376" s="304" t="n">
        <v>0</v>
      </c>
      <c r="G376" s="304" t="n">
        <v>0</v>
      </c>
      <c r="H376" s="304" t="n">
        <v>0</v>
      </c>
      <c r="I376" s="304" t="n">
        <v>0</v>
      </c>
    </row>
    <row r="380" customFormat="false" ht="24.45" hidden="false" customHeight="false" outlineLevel="0" collapsed="false">
      <c r="A380" s="199" t="s">
        <v>641</v>
      </c>
      <c r="H380" s="54"/>
      <c r="J380" s="57"/>
    </row>
    <row r="381" customFormat="false" ht="17.35" hidden="false" customHeight="false" outlineLevel="0" collapsed="false">
      <c r="A381" s="200" t="s">
        <v>642</v>
      </c>
      <c r="B381" s="200"/>
      <c r="C381" s="200"/>
      <c r="H381" s="54"/>
      <c r="J381" s="57"/>
    </row>
    <row r="382" customFormat="false" ht="14.25" hidden="false" customHeight="false" outlineLevel="0" collapsed="false">
      <c r="A382" s="312" t="s">
        <v>416</v>
      </c>
      <c r="B382" s="202" t="s">
        <v>28</v>
      </c>
      <c r="C382" s="204" t="n">
        <v>0</v>
      </c>
    </row>
    <row r="383" customFormat="false" ht="14.25" hidden="false" customHeight="false" outlineLevel="0" collapsed="false">
      <c r="A383" s="312" t="s">
        <v>418</v>
      </c>
      <c r="B383" s="202" t="s">
        <v>125</v>
      </c>
      <c r="C383" s="204" t="n">
        <v>200</v>
      </c>
    </row>
    <row r="384" customFormat="false" ht="14.25" hidden="false" customHeight="false" outlineLevel="0" collapsed="false">
      <c r="A384" s="312" t="s">
        <v>420</v>
      </c>
      <c r="B384" s="202" t="s">
        <v>643</v>
      </c>
      <c r="C384" s="327" t="n">
        <v>0.0074</v>
      </c>
    </row>
    <row r="385" customFormat="false" ht="14.25" hidden="false" customHeight="false" outlineLevel="0" collapsed="false">
      <c r="A385" s="312" t="s">
        <v>644</v>
      </c>
      <c r="B385" s="202" t="s">
        <v>36</v>
      </c>
      <c r="C385" s="204" t="n">
        <v>2020</v>
      </c>
    </row>
    <row r="386" customFormat="false" ht="14.25" hidden="false" customHeight="false" outlineLevel="0" collapsed="false">
      <c r="A386" s="312" t="s">
        <v>424</v>
      </c>
      <c r="B386" s="202" t="s">
        <v>645</v>
      </c>
      <c r="C386" s="204" t="n">
        <v>185</v>
      </c>
    </row>
    <row r="387" customFormat="false" ht="14.25" hidden="false" customHeight="false" outlineLevel="0" collapsed="false">
      <c r="A387" s="312" t="s">
        <v>427</v>
      </c>
      <c r="B387" s="202" t="s">
        <v>36</v>
      </c>
      <c r="C387" s="204" t="n">
        <v>2020</v>
      </c>
    </row>
    <row r="388" customFormat="false" ht="14.25" hidden="false" customHeight="false" outlineLevel="0" collapsed="false">
      <c r="A388" s="319" t="s">
        <v>428</v>
      </c>
      <c r="B388" s="205" t="s">
        <v>36</v>
      </c>
      <c r="C388" s="242" t="n">
        <v>2050</v>
      </c>
    </row>
    <row r="390" customFormat="false" ht="14.25" hidden="false" customHeight="true" outlineLevel="0" collapsed="false">
      <c r="A390" s="328" t="s">
        <v>70</v>
      </c>
      <c r="B390" s="328"/>
      <c r="C390" s="328"/>
      <c r="F390" s="321"/>
      <c r="G390" s="321"/>
      <c r="H390" s="321"/>
      <c r="I390" s="321"/>
      <c r="J390" s="321"/>
      <c r="K390" s="321"/>
      <c r="L390" s="321"/>
      <c r="M390" s="321"/>
      <c r="N390" s="321"/>
      <c r="O390" s="321"/>
      <c r="P390" s="321"/>
      <c r="Q390" s="321"/>
      <c r="R390" s="321"/>
      <c r="S390" s="321"/>
      <c r="T390" s="321"/>
      <c r="U390" s="321"/>
      <c r="V390" s="321"/>
      <c r="W390" s="321"/>
      <c r="X390" s="321"/>
      <c r="Y390" s="321"/>
      <c r="Z390" s="321"/>
      <c r="AA390" s="321"/>
      <c r="AB390" s="321"/>
      <c r="AC390" s="321"/>
      <c r="AD390" s="321"/>
      <c r="AE390" s="321"/>
      <c r="AF390" s="321"/>
      <c r="AG390" s="321"/>
      <c r="AH390" s="321"/>
      <c r="AI390" s="321"/>
      <c r="AJ390" s="321"/>
      <c r="AK390" s="321"/>
      <c r="AL390" s="321"/>
    </row>
    <row r="391" customFormat="false" ht="14.25" hidden="false" customHeight="false" outlineLevel="0" collapsed="false">
      <c r="A391" s="329" t="s">
        <v>75</v>
      </c>
      <c r="B391" s="259" t="s">
        <v>76</v>
      </c>
      <c r="C391" s="330" t="n">
        <v>135</v>
      </c>
      <c r="F391" s="321"/>
      <c r="G391" s="321"/>
      <c r="H391" s="321"/>
      <c r="I391" s="321"/>
      <c r="J391" s="321"/>
      <c r="K391" s="321"/>
      <c r="L391" s="321"/>
      <c r="M391" s="321"/>
      <c r="N391" s="321"/>
      <c r="O391" s="321"/>
      <c r="P391" s="321"/>
      <c r="Q391" s="321"/>
      <c r="R391" s="321"/>
      <c r="S391" s="321"/>
      <c r="T391" s="321"/>
      <c r="U391" s="321"/>
      <c r="V391" s="321"/>
      <c r="W391" s="321"/>
      <c r="X391" s="321"/>
      <c r="Y391" s="321"/>
      <c r="Z391" s="321"/>
      <c r="AA391" s="321"/>
      <c r="AB391" s="321"/>
      <c r="AC391" s="321"/>
      <c r="AD391" s="321"/>
      <c r="AE391" s="321"/>
      <c r="AF391" s="321"/>
      <c r="AG391" s="321"/>
      <c r="AH391" s="321"/>
      <c r="AI391" s="321"/>
      <c r="AJ391" s="321"/>
      <c r="AK391" s="321"/>
      <c r="AL391" s="321"/>
    </row>
    <row r="392" customFormat="false" ht="14.25" hidden="false" customHeight="false" outlineLevel="0" collapsed="false">
      <c r="A392" s="312" t="s">
        <v>74</v>
      </c>
      <c r="B392" s="202" t="s">
        <v>28</v>
      </c>
      <c r="C392" s="204" t="n">
        <v>0.2</v>
      </c>
      <c r="F392" s="321"/>
      <c r="G392" s="321"/>
      <c r="H392" s="321"/>
      <c r="I392" s="321"/>
      <c r="J392" s="321"/>
      <c r="K392" s="321"/>
      <c r="L392" s="321"/>
      <c r="M392" s="321"/>
      <c r="N392" s="321"/>
      <c r="O392" s="321"/>
      <c r="P392" s="321"/>
      <c r="Q392" s="321"/>
      <c r="R392" s="321"/>
      <c r="S392" s="321"/>
      <c r="T392" s="321"/>
      <c r="U392" s="321"/>
      <c r="V392" s="321"/>
      <c r="W392" s="321"/>
      <c r="X392" s="321"/>
      <c r="Y392" s="321"/>
      <c r="Z392" s="321"/>
      <c r="AA392" s="321"/>
      <c r="AB392" s="321"/>
      <c r="AC392" s="321"/>
      <c r="AD392" s="321"/>
      <c r="AE392" s="321"/>
      <c r="AF392" s="321"/>
      <c r="AG392" s="321"/>
      <c r="AH392" s="321"/>
      <c r="AI392" s="321"/>
      <c r="AJ392" s="321"/>
      <c r="AK392" s="321"/>
      <c r="AL392" s="321"/>
    </row>
    <row r="393" customFormat="false" ht="14.25" hidden="false" customHeight="false" outlineLevel="0" collapsed="false">
      <c r="A393" s="312" t="s">
        <v>80</v>
      </c>
      <c r="B393" s="202" t="s">
        <v>28</v>
      </c>
      <c r="C393" s="204" t="n">
        <v>2020</v>
      </c>
      <c r="F393" s="321"/>
      <c r="G393" s="321"/>
      <c r="H393" s="321"/>
      <c r="I393" s="321"/>
      <c r="J393" s="321"/>
      <c r="K393" s="321"/>
      <c r="L393" s="321"/>
      <c r="M393" s="321"/>
      <c r="N393" s="321"/>
      <c r="O393" s="321"/>
      <c r="P393" s="321"/>
      <c r="Q393" s="321"/>
      <c r="R393" s="321"/>
      <c r="S393" s="321"/>
      <c r="T393" s="321"/>
      <c r="U393" s="321"/>
      <c r="V393" s="321"/>
      <c r="W393" s="321"/>
      <c r="X393" s="321"/>
      <c r="Y393" s="321"/>
      <c r="Z393" s="321"/>
      <c r="AA393" s="321"/>
      <c r="AB393" s="321"/>
      <c r="AC393" s="321"/>
      <c r="AD393" s="321"/>
      <c r="AE393" s="321"/>
      <c r="AF393" s="321"/>
      <c r="AG393" s="321"/>
      <c r="AH393" s="321"/>
      <c r="AI393" s="321"/>
      <c r="AJ393" s="321"/>
      <c r="AK393" s="321"/>
      <c r="AL393" s="321"/>
    </row>
    <row r="394" customFormat="false" ht="14.25" hidden="false" customHeight="false" outlineLevel="0" collapsed="false">
      <c r="A394" s="319" t="s">
        <v>83</v>
      </c>
      <c r="B394" s="205" t="s">
        <v>28</v>
      </c>
      <c r="C394" s="242" t="n">
        <v>2050</v>
      </c>
      <c r="F394" s="321"/>
      <c r="G394" s="321"/>
      <c r="H394" s="321"/>
      <c r="I394" s="321"/>
      <c r="J394" s="321"/>
      <c r="K394" s="321"/>
      <c r="L394" s="321"/>
      <c r="M394" s="321"/>
      <c r="N394" s="321"/>
      <c r="O394" s="321"/>
      <c r="P394" s="321"/>
      <c r="Q394" s="321"/>
      <c r="R394" s="321"/>
      <c r="S394" s="321"/>
      <c r="T394" s="321"/>
      <c r="U394" s="321"/>
      <c r="V394" s="321"/>
      <c r="W394" s="321"/>
      <c r="X394" s="321"/>
      <c r="Y394" s="321"/>
      <c r="Z394" s="321"/>
      <c r="AA394" s="321"/>
      <c r="AB394" s="321"/>
      <c r="AC394" s="321"/>
      <c r="AD394" s="321"/>
      <c r="AE394" s="321"/>
      <c r="AF394" s="321"/>
      <c r="AG394" s="321"/>
      <c r="AH394" s="321"/>
      <c r="AI394" s="321"/>
      <c r="AJ394" s="321"/>
      <c r="AK394" s="321"/>
      <c r="AL394" s="321"/>
    </row>
    <row r="397" customFormat="false" ht="17.35" hidden="false" customHeight="false" outlineLevel="0" collapsed="false">
      <c r="A397" s="328" t="s">
        <v>86</v>
      </c>
      <c r="B397" s="328"/>
      <c r="C397" s="328"/>
    </row>
    <row r="398" customFormat="false" ht="14.25" hidden="false" customHeight="false" outlineLevel="0" collapsed="false">
      <c r="A398" s="312" t="s">
        <v>89</v>
      </c>
      <c r="B398" s="202" t="s">
        <v>28</v>
      </c>
      <c r="C398" s="304" t="n">
        <v>0.5</v>
      </c>
    </row>
    <row r="399" customFormat="false" ht="14.25" hidden="false" customHeight="false" outlineLevel="0" collapsed="false">
      <c r="A399" s="312" t="s">
        <v>92</v>
      </c>
      <c r="B399" s="202" t="s">
        <v>28</v>
      </c>
      <c r="C399" s="304" t="n">
        <v>0.5</v>
      </c>
    </row>
    <row r="400" customFormat="false" ht="14.25" hidden="false" customHeight="false" outlineLevel="0" collapsed="false">
      <c r="A400" s="312" t="s">
        <v>93</v>
      </c>
      <c r="B400" s="202" t="s">
        <v>28</v>
      </c>
      <c r="C400" s="304" t="n">
        <v>0.5</v>
      </c>
    </row>
    <row r="401" customFormat="false" ht="14.25" hidden="false" customHeight="false" outlineLevel="0" collapsed="false">
      <c r="A401" s="319" t="s">
        <v>118</v>
      </c>
      <c r="B401" s="205" t="s">
        <v>28</v>
      </c>
      <c r="C401" s="331" t="n">
        <v>0.5</v>
      </c>
    </row>
    <row r="403" customFormat="false" ht="15.75" hidden="false" customHeight="true" outlineLevel="0" collapsed="false">
      <c r="A403" s="328" t="s">
        <v>646</v>
      </c>
      <c r="B403" s="328"/>
      <c r="C403" s="332" t="s">
        <v>576</v>
      </c>
      <c r="D403" s="333" t="s">
        <v>579</v>
      </c>
      <c r="E403" s="333" t="s">
        <v>647</v>
      </c>
      <c r="F403" s="333" t="s">
        <v>648</v>
      </c>
      <c r="G403" s="333" t="s">
        <v>649</v>
      </c>
      <c r="H403" s="333" t="s">
        <v>650</v>
      </c>
      <c r="I403" s="333" t="s">
        <v>651</v>
      </c>
      <c r="J403" s="333" t="s">
        <v>652</v>
      </c>
      <c r="K403" s="333" t="s">
        <v>354</v>
      </c>
      <c r="L403" s="333" t="s">
        <v>653</v>
      </c>
      <c r="M403" s="333" t="s">
        <v>654</v>
      </c>
      <c r="N403" s="333" t="s">
        <v>655</v>
      </c>
      <c r="O403" s="333" t="s">
        <v>656</v>
      </c>
      <c r="P403" s="333" t="s">
        <v>657</v>
      </c>
      <c r="Q403" s="334" t="s">
        <v>658</v>
      </c>
    </row>
    <row r="404" customFormat="false" ht="14.25" hidden="false" customHeight="false" outlineLevel="0" collapsed="false">
      <c r="A404" s="312" t="s">
        <v>659</v>
      </c>
      <c r="B404" s="335" t="s">
        <v>374</v>
      </c>
      <c r="C404" s="204" t="s">
        <v>660</v>
      </c>
      <c r="D404" s="204" t="s">
        <v>660</v>
      </c>
      <c r="E404" s="204" t="s">
        <v>660</v>
      </c>
      <c r="F404" s="204" t="s">
        <v>660</v>
      </c>
      <c r="G404" s="204" t="s">
        <v>660</v>
      </c>
      <c r="H404" s="204" t="s">
        <v>660</v>
      </c>
      <c r="I404" s="204" t="s">
        <v>660</v>
      </c>
      <c r="J404" s="204" t="s">
        <v>660</v>
      </c>
      <c r="K404" s="204" t="s">
        <v>660</v>
      </c>
      <c r="L404" s="204" t="s">
        <v>660</v>
      </c>
      <c r="M404" s="204" t="s">
        <v>660</v>
      </c>
      <c r="N404" s="204" t="s">
        <v>660</v>
      </c>
      <c r="O404" s="204" t="s">
        <v>660</v>
      </c>
      <c r="P404" s="204" t="s">
        <v>660</v>
      </c>
      <c r="Q404" s="204" t="s">
        <v>660</v>
      </c>
    </row>
    <row r="405" customFormat="false" ht="14.25" hidden="false" customHeight="false" outlineLevel="0" collapsed="false">
      <c r="A405" s="312" t="s">
        <v>661</v>
      </c>
      <c r="B405" s="335"/>
      <c r="C405" s="204" t="s">
        <v>660</v>
      </c>
      <c r="D405" s="204" t="s">
        <v>660</v>
      </c>
      <c r="E405" s="204" t="s">
        <v>660</v>
      </c>
      <c r="F405" s="204" t="s">
        <v>660</v>
      </c>
      <c r="G405" s="204" t="s">
        <v>660</v>
      </c>
      <c r="H405" s="204" t="s">
        <v>660</v>
      </c>
      <c r="I405" s="204" t="s">
        <v>660</v>
      </c>
      <c r="J405" s="204" t="s">
        <v>660</v>
      </c>
      <c r="K405" s="204" t="s">
        <v>660</v>
      </c>
      <c r="L405" s="204" t="s">
        <v>660</v>
      </c>
      <c r="M405" s="204" t="s">
        <v>660</v>
      </c>
      <c r="N405" s="204" t="s">
        <v>660</v>
      </c>
      <c r="O405" s="204" t="s">
        <v>660</v>
      </c>
      <c r="P405" s="204" t="s">
        <v>660</v>
      </c>
      <c r="Q405" s="204" t="s">
        <v>660</v>
      </c>
    </row>
    <row r="406" customFormat="false" ht="14.25" hidden="false" customHeight="false" outlineLevel="0" collapsed="false">
      <c r="A406" s="312" t="s">
        <v>662</v>
      </c>
      <c r="B406" s="335"/>
      <c r="C406" s="204" t="s">
        <v>660</v>
      </c>
      <c r="D406" s="204" t="s">
        <v>660</v>
      </c>
      <c r="E406" s="204" t="s">
        <v>660</v>
      </c>
      <c r="F406" s="204" t="s">
        <v>660</v>
      </c>
      <c r="G406" s="204" t="s">
        <v>660</v>
      </c>
      <c r="H406" s="204" t="s">
        <v>660</v>
      </c>
      <c r="I406" s="204" t="s">
        <v>660</v>
      </c>
      <c r="J406" s="204" t="s">
        <v>660</v>
      </c>
      <c r="K406" s="204" t="s">
        <v>660</v>
      </c>
      <c r="L406" s="204" t="s">
        <v>660</v>
      </c>
      <c r="M406" s="204" t="s">
        <v>660</v>
      </c>
      <c r="N406" s="204" t="s">
        <v>660</v>
      </c>
      <c r="O406" s="204" t="s">
        <v>660</v>
      </c>
      <c r="P406" s="204" t="s">
        <v>660</v>
      </c>
      <c r="Q406" s="204" t="s">
        <v>660</v>
      </c>
    </row>
    <row r="407" customFormat="false" ht="14.25" hidden="false" customHeight="false" outlineLevel="0" collapsed="false">
      <c r="A407" s="312" t="s">
        <v>663</v>
      </c>
      <c r="B407" s="335"/>
      <c r="C407" s="204" t="s">
        <v>660</v>
      </c>
      <c r="D407" s="204" t="s">
        <v>660</v>
      </c>
      <c r="E407" s="204" t="s">
        <v>660</v>
      </c>
      <c r="F407" s="204" t="s">
        <v>660</v>
      </c>
      <c r="G407" s="204" t="s">
        <v>660</v>
      </c>
      <c r="H407" s="204" t="s">
        <v>660</v>
      </c>
      <c r="I407" s="204" t="s">
        <v>660</v>
      </c>
      <c r="J407" s="204" t="s">
        <v>660</v>
      </c>
      <c r="K407" s="204" t="s">
        <v>660</v>
      </c>
      <c r="L407" s="204" t="s">
        <v>660</v>
      </c>
      <c r="M407" s="204" t="s">
        <v>660</v>
      </c>
      <c r="N407" s="204" t="s">
        <v>660</v>
      </c>
      <c r="O407" s="204" t="s">
        <v>660</v>
      </c>
      <c r="P407" s="204" t="s">
        <v>660</v>
      </c>
      <c r="Q407" s="204" t="s">
        <v>660</v>
      </c>
    </row>
    <row r="408" customFormat="false" ht="14.25" hidden="false" customHeight="false" outlineLevel="0" collapsed="false">
      <c r="A408" s="312" t="s">
        <v>664</v>
      </c>
      <c r="B408" s="335"/>
      <c r="C408" s="204" t="s">
        <v>660</v>
      </c>
      <c r="D408" s="204" t="s">
        <v>660</v>
      </c>
      <c r="E408" s="204" t="s">
        <v>660</v>
      </c>
      <c r="F408" s="204" t="s">
        <v>660</v>
      </c>
      <c r="G408" s="204" t="s">
        <v>660</v>
      </c>
      <c r="H408" s="204" t="s">
        <v>660</v>
      </c>
      <c r="I408" s="204" t="s">
        <v>660</v>
      </c>
      <c r="J408" s="204" t="s">
        <v>660</v>
      </c>
      <c r="K408" s="204" t="s">
        <v>660</v>
      </c>
      <c r="L408" s="204" t="s">
        <v>660</v>
      </c>
      <c r="M408" s="204" t="s">
        <v>660</v>
      </c>
      <c r="N408" s="204" t="s">
        <v>660</v>
      </c>
      <c r="O408" s="204" t="s">
        <v>660</v>
      </c>
      <c r="P408" s="204" t="s">
        <v>660</v>
      </c>
      <c r="Q408" s="204" t="s">
        <v>660</v>
      </c>
    </row>
    <row r="409" customFormat="false" ht="14.25" hidden="false" customHeight="false" outlineLevel="0" collapsed="false">
      <c r="A409" s="312" t="s">
        <v>659</v>
      </c>
      <c r="B409" s="335" t="s">
        <v>375</v>
      </c>
      <c r="C409" s="204" t="s">
        <v>660</v>
      </c>
      <c r="D409" s="204" t="s">
        <v>660</v>
      </c>
      <c r="E409" s="204" t="s">
        <v>660</v>
      </c>
      <c r="F409" s="204" t="s">
        <v>660</v>
      </c>
      <c r="G409" s="204" t="s">
        <v>660</v>
      </c>
      <c r="H409" s="204" t="s">
        <v>660</v>
      </c>
      <c r="I409" s="204" t="s">
        <v>660</v>
      </c>
      <c r="J409" s="204" t="s">
        <v>660</v>
      </c>
      <c r="K409" s="204" t="s">
        <v>660</v>
      </c>
      <c r="L409" s="204" t="s">
        <v>660</v>
      </c>
      <c r="M409" s="204" t="s">
        <v>660</v>
      </c>
      <c r="N409" s="204" t="s">
        <v>660</v>
      </c>
      <c r="O409" s="204" t="s">
        <v>660</v>
      </c>
      <c r="P409" s="204" t="s">
        <v>660</v>
      </c>
      <c r="Q409" s="204" t="s">
        <v>660</v>
      </c>
    </row>
    <row r="410" customFormat="false" ht="14.25" hidden="false" customHeight="false" outlineLevel="0" collapsed="false">
      <c r="A410" s="312" t="s">
        <v>661</v>
      </c>
      <c r="B410" s="335"/>
      <c r="C410" s="204" t="s">
        <v>660</v>
      </c>
      <c r="D410" s="204" t="s">
        <v>660</v>
      </c>
      <c r="E410" s="204" t="s">
        <v>660</v>
      </c>
      <c r="F410" s="204" t="s">
        <v>660</v>
      </c>
      <c r="G410" s="204" t="s">
        <v>660</v>
      </c>
      <c r="H410" s="204" t="s">
        <v>660</v>
      </c>
      <c r="I410" s="204" t="s">
        <v>660</v>
      </c>
      <c r="J410" s="204" t="s">
        <v>660</v>
      </c>
      <c r="K410" s="204" t="s">
        <v>660</v>
      </c>
      <c r="L410" s="204" t="s">
        <v>660</v>
      </c>
      <c r="M410" s="204" t="s">
        <v>660</v>
      </c>
      <c r="N410" s="204" t="s">
        <v>660</v>
      </c>
      <c r="O410" s="204" t="s">
        <v>660</v>
      </c>
      <c r="P410" s="204" t="s">
        <v>660</v>
      </c>
      <c r="Q410" s="204" t="s">
        <v>660</v>
      </c>
    </row>
    <row r="411" customFormat="false" ht="14.25" hidden="false" customHeight="false" outlineLevel="0" collapsed="false">
      <c r="A411" s="312" t="s">
        <v>662</v>
      </c>
      <c r="B411" s="335"/>
      <c r="C411" s="204" t="s">
        <v>660</v>
      </c>
      <c r="D411" s="204" t="s">
        <v>660</v>
      </c>
      <c r="E411" s="204" t="s">
        <v>660</v>
      </c>
      <c r="F411" s="204" t="s">
        <v>660</v>
      </c>
      <c r="G411" s="204" t="s">
        <v>660</v>
      </c>
      <c r="H411" s="204" t="s">
        <v>660</v>
      </c>
      <c r="I411" s="204" t="s">
        <v>660</v>
      </c>
      <c r="J411" s="204" t="s">
        <v>660</v>
      </c>
      <c r="K411" s="204" t="s">
        <v>660</v>
      </c>
      <c r="L411" s="204" t="s">
        <v>660</v>
      </c>
      <c r="M411" s="204" t="s">
        <v>660</v>
      </c>
      <c r="N411" s="204" t="s">
        <v>660</v>
      </c>
      <c r="O411" s="204" t="s">
        <v>660</v>
      </c>
      <c r="P411" s="204" t="s">
        <v>660</v>
      </c>
      <c r="Q411" s="204" t="s">
        <v>660</v>
      </c>
    </row>
    <row r="412" customFormat="false" ht="14.25" hidden="false" customHeight="false" outlineLevel="0" collapsed="false">
      <c r="A412" s="312" t="s">
        <v>663</v>
      </c>
      <c r="B412" s="335"/>
      <c r="C412" s="204" t="s">
        <v>660</v>
      </c>
      <c r="D412" s="204" t="s">
        <v>660</v>
      </c>
      <c r="E412" s="204" t="s">
        <v>660</v>
      </c>
      <c r="F412" s="204" t="s">
        <v>660</v>
      </c>
      <c r="G412" s="204" t="s">
        <v>660</v>
      </c>
      <c r="H412" s="204" t="s">
        <v>660</v>
      </c>
      <c r="I412" s="204" t="s">
        <v>660</v>
      </c>
      <c r="J412" s="204" t="s">
        <v>660</v>
      </c>
      <c r="K412" s="204" t="s">
        <v>660</v>
      </c>
      <c r="L412" s="204" t="s">
        <v>660</v>
      </c>
      <c r="M412" s="204" t="s">
        <v>660</v>
      </c>
      <c r="N412" s="204" t="s">
        <v>660</v>
      </c>
      <c r="O412" s="204" t="s">
        <v>660</v>
      </c>
      <c r="P412" s="204" t="s">
        <v>660</v>
      </c>
      <c r="Q412" s="204" t="s">
        <v>660</v>
      </c>
    </row>
    <row r="413" customFormat="false" ht="14.25" hidden="false" customHeight="false" outlineLevel="0" collapsed="false">
      <c r="A413" s="312" t="s">
        <v>664</v>
      </c>
      <c r="B413" s="335"/>
      <c r="C413" s="204" t="s">
        <v>660</v>
      </c>
      <c r="D413" s="204" t="s">
        <v>660</v>
      </c>
      <c r="E413" s="204" t="s">
        <v>660</v>
      </c>
      <c r="F413" s="204" t="s">
        <v>660</v>
      </c>
      <c r="G413" s="204" t="s">
        <v>660</v>
      </c>
      <c r="H413" s="204" t="s">
        <v>660</v>
      </c>
      <c r="I413" s="204" t="s">
        <v>660</v>
      </c>
      <c r="J413" s="204" t="s">
        <v>660</v>
      </c>
      <c r="K413" s="204" t="s">
        <v>660</v>
      </c>
      <c r="L413" s="204" t="s">
        <v>660</v>
      </c>
      <c r="M413" s="204" t="s">
        <v>660</v>
      </c>
      <c r="N413" s="204" t="s">
        <v>660</v>
      </c>
      <c r="O413" s="204" t="s">
        <v>660</v>
      </c>
      <c r="P413" s="204" t="s">
        <v>660</v>
      </c>
      <c r="Q413" s="204" t="s">
        <v>660</v>
      </c>
    </row>
    <row r="414" customFormat="false" ht="14.25" hidden="false" customHeight="false" outlineLevel="0" collapsed="false">
      <c r="A414" s="312" t="s">
        <v>665</v>
      </c>
      <c r="B414" s="335" t="s">
        <v>376</v>
      </c>
      <c r="C414" s="204" t="s">
        <v>660</v>
      </c>
      <c r="D414" s="204" t="s">
        <v>660</v>
      </c>
      <c r="E414" s="204" t="s">
        <v>660</v>
      </c>
      <c r="F414" s="204" t="s">
        <v>660</v>
      </c>
      <c r="G414" s="204" t="s">
        <v>660</v>
      </c>
      <c r="H414" s="204" t="s">
        <v>660</v>
      </c>
      <c r="I414" s="204" t="s">
        <v>660</v>
      </c>
      <c r="J414" s="204" t="s">
        <v>660</v>
      </c>
      <c r="K414" s="204" t="s">
        <v>660</v>
      </c>
      <c r="L414" s="204" t="s">
        <v>660</v>
      </c>
      <c r="M414" s="204" t="s">
        <v>660</v>
      </c>
      <c r="N414" s="204" t="s">
        <v>660</v>
      </c>
      <c r="O414" s="204" t="s">
        <v>660</v>
      </c>
      <c r="P414" s="204" t="s">
        <v>660</v>
      </c>
      <c r="Q414" s="204" t="s">
        <v>660</v>
      </c>
    </row>
    <row r="415" customFormat="false" ht="14.25" hidden="false" customHeight="false" outlineLevel="0" collapsed="false">
      <c r="A415" s="312" t="s">
        <v>661</v>
      </c>
      <c r="B415" s="335"/>
      <c r="C415" s="204" t="s">
        <v>660</v>
      </c>
      <c r="D415" s="204" t="s">
        <v>660</v>
      </c>
      <c r="E415" s="204" t="s">
        <v>660</v>
      </c>
      <c r="F415" s="204" t="s">
        <v>660</v>
      </c>
      <c r="G415" s="204" t="s">
        <v>660</v>
      </c>
      <c r="H415" s="204" t="s">
        <v>660</v>
      </c>
      <c r="I415" s="204" t="s">
        <v>660</v>
      </c>
      <c r="J415" s="204" t="s">
        <v>660</v>
      </c>
      <c r="K415" s="204" t="s">
        <v>660</v>
      </c>
      <c r="L415" s="204" t="s">
        <v>660</v>
      </c>
      <c r="M415" s="204" t="s">
        <v>660</v>
      </c>
      <c r="N415" s="204" t="s">
        <v>660</v>
      </c>
      <c r="O415" s="204" t="s">
        <v>660</v>
      </c>
      <c r="P415" s="204" t="s">
        <v>660</v>
      </c>
      <c r="Q415" s="204" t="s">
        <v>660</v>
      </c>
    </row>
    <row r="416" customFormat="false" ht="14.25" hidden="false" customHeight="false" outlineLevel="0" collapsed="false">
      <c r="A416" s="312" t="s">
        <v>662</v>
      </c>
      <c r="B416" s="335"/>
      <c r="C416" s="204" t="s">
        <v>660</v>
      </c>
      <c r="D416" s="204" t="s">
        <v>660</v>
      </c>
      <c r="E416" s="204" t="s">
        <v>660</v>
      </c>
      <c r="F416" s="204" t="s">
        <v>660</v>
      </c>
      <c r="G416" s="204" t="s">
        <v>660</v>
      </c>
      <c r="H416" s="204" t="s">
        <v>660</v>
      </c>
      <c r="I416" s="204" t="s">
        <v>660</v>
      </c>
      <c r="J416" s="204" t="s">
        <v>660</v>
      </c>
      <c r="K416" s="204" t="s">
        <v>660</v>
      </c>
      <c r="L416" s="204" t="s">
        <v>660</v>
      </c>
      <c r="M416" s="204" t="s">
        <v>660</v>
      </c>
      <c r="N416" s="204" t="s">
        <v>660</v>
      </c>
      <c r="O416" s="204" t="s">
        <v>660</v>
      </c>
      <c r="P416" s="204" t="s">
        <v>660</v>
      </c>
      <c r="Q416" s="204" t="s">
        <v>660</v>
      </c>
    </row>
    <row r="417" customFormat="false" ht="14.25" hidden="false" customHeight="false" outlineLevel="0" collapsed="false">
      <c r="A417" s="312" t="s">
        <v>663</v>
      </c>
      <c r="B417" s="335"/>
      <c r="C417" s="204" t="s">
        <v>660</v>
      </c>
      <c r="D417" s="204" t="s">
        <v>660</v>
      </c>
      <c r="E417" s="204" t="s">
        <v>660</v>
      </c>
      <c r="F417" s="204" t="s">
        <v>660</v>
      </c>
      <c r="G417" s="204" t="s">
        <v>660</v>
      </c>
      <c r="H417" s="204" t="s">
        <v>660</v>
      </c>
      <c r="I417" s="204" t="s">
        <v>660</v>
      </c>
      <c r="J417" s="204" t="s">
        <v>660</v>
      </c>
      <c r="K417" s="204" t="s">
        <v>660</v>
      </c>
      <c r="L417" s="204" t="s">
        <v>660</v>
      </c>
      <c r="M417" s="204" t="s">
        <v>660</v>
      </c>
      <c r="N417" s="204" t="s">
        <v>660</v>
      </c>
      <c r="O417" s="204" t="s">
        <v>660</v>
      </c>
      <c r="P417" s="204" t="s">
        <v>660</v>
      </c>
      <c r="Q417" s="204" t="s">
        <v>660</v>
      </c>
    </row>
    <row r="418" customFormat="false" ht="14.25" hidden="false" customHeight="false" outlineLevel="0" collapsed="false">
      <c r="A418" s="312" t="s">
        <v>664</v>
      </c>
      <c r="B418" s="335"/>
      <c r="C418" s="204" t="s">
        <v>660</v>
      </c>
      <c r="D418" s="204" t="s">
        <v>660</v>
      </c>
      <c r="E418" s="204" t="s">
        <v>660</v>
      </c>
      <c r="F418" s="204" t="s">
        <v>660</v>
      </c>
      <c r="G418" s="204" t="s">
        <v>660</v>
      </c>
      <c r="H418" s="204" t="s">
        <v>660</v>
      </c>
      <c r="I418" s="204" t="s">
        <v>660</v>
      </c>
      <c r="J418" s="204" t="s">
        <v>660</v>
      </c>
      <c r="K418" s="204" t="s">
        <v>660</v>
      </c>
      <c r="L418" s="204" t="s">
        <v>660</v>
      </c>
      <c r="M418" s="204" t="s">
        <v>660</v>
      </c>
      <c r="N418" s="204" t="s">
        <v>660</v>
      </c>
      <c r="O418" s="204" t="s">
        <v>660</v>
      </c>
      <c r="P418" s="204" t="s">
        <v>660</v>
      </c>
      <c r="Q418" s="204" t="s">
        <v>660</v>
      </c>
    </row>
    <row r="419" customFormat="false" ht="14.25" hidden="false" customHeight="false" outlineLevel="0" collapsed="false">
      <c r="A419" s="312" t="s">
        <v>659</v>
      </c>
      <c r="B419" s="335" t="s">
        <v>377</v>
      </c>
      <c r="C419" s="204" t="s">
        <v>660</v>
      </c>
      <c r="D419" s="204" t="s">
        <v>660</v>
      </c>
      <c r="E419" s="204" t="s">
        <v>660</v>
      </c>
      <c r="F419" s="204" t="s">
        <v>660</v>
      </c>
      <c r="G419" s="204" t="s">
        <v>660</v>
      </c>
      <c r="H419" s="204" t="s">
        <v>660</v>
      </c>
      <c r="I419" s="204" t="s">
        <v>660</v>
      </c>
      <c r="J419" s="204" t="s">
        <v>660</v>
      </c>
      <c r="K419" s="204" t="s">
        <v>660</v>
      </c>
      <c r="L419" s="204" t="s">
        <v>660</v>
      </c>
      <c r="M419" s="204" t="s">
        <v>660</v>
      </c>
      <c r="N419" s="204" t="s">
        <v>660</v>
      </c>
      <c r="O419" s="204" t="s">
        <v>660</v>
      </c>
      <c r="P419" s="204" t="s">
        <v>660</v>
      </c>
      <c r="Q419" s="204" t="s">
        <v>660</v>
      </c>
    </row>
    <row r="420" customFormat="false" ht="14.25" hidden="false" customHeight="false" outlineLevel="0" collapsed="false">
      <c r="A420" s="312" t="s">
        <v>661</v>
      </c>
      <c r="B420" s="335"/>
      <c r="C420" s="204" t="s">
        <v>660</v>
      </c>
      <c r="D420" s="204" t="s">
        <v>660</v>
      </c>
      <c r="E420" s="204" t="s">
        <v>660</v>
      </c>
      <c r="F420" s="204" t="s">
        <v>660</v>
      </c>
      <c r="G420" s="204" t="s">
        <v>660</v>
      </c>
      <c r="H420" s="204" t="s">
        <v>660</v>
      </c>
      <c r="I420" s="204" t="s">
        <v>660</v>
      </c>
      <c r="J420" s="204" t="s">
        <v>660</v>
      </c>
      <c r="K420" s="204" t="s">
        <v>660</v>
      </c>
      <c r="L420" s="204" t="s">
        <v>660</v>
      </c>
      <c r="M420" s="204" t="s">
        <v>660</v>
      </c>
      <c r="N420" s="204" t="s">
        <v>660</v>
      </c>
      <c r="O420" s="204" t="s">
        <v>660</v>
      </c>
      <c r="P420" s="204" t="s">
        <v>660</v>
      </c>
      <c r="Q420" s="204" t="s">
        <v>660</v>
      </c>
    </row>
    <row r="421" customFormat="false" ht="14.25" hidden="false" customHeight="false" outlineLevel="0" collapsed="false">
      <c r="A421" s="312" t="s">
        <v>662</v>
      </c>
      <c r="B421" s="335"/>
      <c r="C421" s="204" t="s">
        <v>660</v>
      </c>
      <c r="D421" s="204" t="s">
        <v>660</v>
      </c>
      <c r="E421" s="204" t="s">
        <v>660</v>
      </c>
      <c r="F421" s="204" t="s">
        <v>660</v>
      </c>
      <c r="G421" s="204" t="s">
        <v>660</v>
      </c>
      <c r="H421" s="204" t="s">
        <v>660</v>
      </c>
      <c r="I421" s="204" t="s">
        <v>660</v>
      </c>
      <c r="J421" s="204" t="s">
        <v>660</v>
      </c>
      <c r="K421" s="204" t="s">
        <v>660</v>
      </c>
      <c r="L421" s="204" t="s">
        <v>660</v>
      </c>
      <c r="M421" s="204" t="s">
        <v>660</v>
      </c>
      <c r="N421" s="204" t="s">
        <v>660</v>
      </c>
      <c r="O421" s="204" t="s">
        <v>660</v>
      </c>
      <c r="P421" s="204" t="s">
        <v>660</v>
      </c>
      <c r="Q421" s="204" t="s">
        <v>660</v>
      </c>
    </row>
    <row r="422" customFormat="false" ht="14.25" hidden="false" customHeight="false" outlineLevel="0" collapsed="false">
      <c r="A422" s="312" t="s">
        <v>663</v>
      </c>
      <c r="B422" s="335"/>
      <c r="C422" s="204" t="s">
        <v>660</v>
      </c>
      <c r="D422" s="204" t="s">
        <v>660</v>
      </c>
      <c r="E422" s="204" t="s">
        <v>660</v>
      </c>
      <c r="F422" s="204" t="s">
        <v>660</v>
      </c>
      <c r="G422" s="204" t="s">
        <v>660</v>
      </c>
      <c r="H422" s="204" t="s">
        <v>660</v>
      </c>
      <c r="I422" s="204" t="s">
        <v>660</v>
      </c>
      <c r="J422" s="204" t="s">
        <v>660</v>
      </c>
      <c r="K422" s="204" t="s">
        <v>660</v>
      </c>
      <c r="L422" s="204" t="s">
        <v>660</v>
      </c>
      <c r="M422" s="204" t="s">
        <v>660</v>
      </c>
      <c r="N422" s="204" t="s">
        <v>660</v>
      </c>
      <c r="O422" s="204" t="s">
        <v>660</v>
      </c>
      <c r="P422" s="204" t="s">
        <v>660</v>
      </c>
      <c r="Q422" s="204" t="s">
        <v>660</v>
      </c>
    </row>
    <row r="423" customFormat="false" ht="14.25" hidden="false" customHeight="false" outlineLevel="0" collapsed="false">
      <c r="A423" s="312" t="s">
        <v>664</v>
      </c>
      <c r="B423" s="335"/>
      <c r="C423" s="204" t="s">
        <v>660</v>
      </c>
      <c r="D423" s="204" t="s">
        <v>660</v>
      </c>
      <c r="E423" s="204" t="s">
        <v>660</v>
      </c>
      <c r="F423" s="204" t="s">
        <v>660</v>
      </c>
      <c r="G423" s="204" t="s">
        <v>660</v>
      </c>
      <c r="H423" s="204" t="s">
        <v>660</v>
      </c>
      <c r="I423" s="204" t="s">
        <v>660</v>
      </c>
      <c r="J423" s="204" t="s">
        <v>660</v>
      </c>
      <c r="K423" s="204" t="s">
        <v>660</v>
      </c>
      <c r="L423" s="204" t="s">
        <v>660</v>
      </c>
      <c r="M423" s="204" t="s">
        <v>660</v>
      </c>
      <c r="N423" s="204" t="s">
        <v>660</v>
      </c>
      <c r="O423" s="204" t="s">
        <v>660</v>
      </c>
      <c r="P423" s="204" t="s">
        <v>660</v>
      </c>
      <c r="Q423" s="204" t="s">
        <v>660</v>
      </c>
    </row>
    <row r="424" customFormat="false" ht="14.25" hidden="false" customHeight="false" outlineLevel="0" collapsed="false">
      <c r="A424" s="312" t="s">
        <v>659</v>
      </c>
      <c r="B424" s="335" t="s">
        <v>378</v>
      </c>
      <c r="C424" s="204" t="s">
        <v>660</v>
      </c>
      <c r="D424" s="204" t="s">
        <v>660</v>
      </c>
      <c r="E424" s="204" t="s">
        <v>660</v>
      </c>
      <c r="F424" s="204" t="s">
        <v>660</v>
      </c>
      <c r="G424" s="204" t="s">
        <v>660</v>
      </c>
      <c r="H424" s="204" t="s">
        <v>660</v>
      </c>
      <c r="I424" s="204" t="s">
        <v>660</v>
      </c>
      <c r="J424" s="204" t="s">
        <v>660</v>
      </c>
      <c r="K424" s="204" t="s">
        <v>660</v>
      </c>
      <c r="L424" s="204" t="s">
        <v>660</v>
      </c>
      <c r="M424" s="204" t="s">
        <v>660</v>
      </c>
      <c r="N424" s="204" t="s">
        <v>660</v>
      </c>
      <c r="O424" s="204" t="s">
        <v>660</v>
      </c>
      <c r="P424" s="204" t="s">
        <v>660</v>
      </c>
      <c r="Q424" s="204" t="s">
        <v>660</v>
      </c>
    </row>
    <row r="425" customFormat="false" ht="14.25" hidden="false" customHeight="false" outlineLevel="0" collapsed="false">
      <c r="A425" s="312" t="s">
        <v>661</v>
      </c>
      <c r="B425" s="335"/>
      <c r="C425" s="204" t="s">
        <v>660</v>
      </c>
      <c r="D425" s="204" t="s">
        <v>660</v>
      </c>
      <c r="E425" s="204" t="s">
        <v>660</v>
      </c>
      <c r="F425" s="204" t="s">
        <v>660</v>
      </c>
      <c r="G425" s="204" t="s">
        <v>660</v>
      </c>
      <c r="H425" s="204" t="s">
        <v>660</v>
      </c>
      <c r="I425" s="204" t="s">
        <v>660</v>
      </c>
      <c r="J425" s="204" t="s">
        <v>660</v>
      </c>
      <c r="K425" s="204" t="s">
        <v>660</v>
      </c>
      <c r="L425" s="204" t="s">
        <v>660</v>
      </c>
      <c r="M425" s="204" t="s">
        <v>660</v>
      </c>
      <c r="N425" s="204" t="s">
        <v>660</v>
      </c>
      <c r="O425" s="204" t="s">
        <v>660</v>
      </c>
      <c r="P425" s="204" t="s">
        <v>660</v>
      </c>
      <c r="Q425" s="204" t="s">
        <v>660</v>
      </c>
    </row>
    <row r="426" customFormat="false" ht="14.25" hidden="false" customHeight="false" outlineLevel="0" collapsed="false">
      <c r="A426" s="312" t="s">
        <v>662</v>
      </c>
      <c r="B426" s="335"/>
      <c r="C426" s="204" t="s">
        <v>660</v>
      </c>
      <c r="D426" s="204" t="s">
        <v>660</v>
      </c>
      <c r="E426" s="204" t="s">
        <v>660</v>
      </c>
      <c r="F426" s="204" t="s">
        <v>660</v>
      </c>
      <c r="G426" s="204" t="s">
        <v>660</v>
      </c>
      <c r="H426" s="204" t="s">
        <v>660</v>
      </c>
      <c r="I426" s="204" t="s">
        <v>660</v>
      </c>
      <c r="J426" s="204" t="s">
        <v>660</v>
      </c>
      <c r="K426" s="204" t="s">
        <v>660</v>
      </c>
      <c r="L426" s="204" t="s">
        <v>660</v>
      </c>
      <c r="M426" s="204" t="s">
        <v>660</v>
      </c>
      <c r="N426" s="204" t="s">
        <v>660</v>
      </c>
      <c r="O426" s="204" t="s">
        <v>660</v>
      </c>
      <c r="P426" s="204" t="s">
        <v>660</v>
      </c>
      <c r="Q426" s="204" t="s">
        <v>660</v>
      </c>
    </row>
    <row r="427" customFormat="false" ht="14.25" hidden="false" customHeight="false" outlineLevel="0" collapsed="false">
      <c r="A427" s="312" t="s">
        <v>663</v>
      </c>
      <c r="B427" s="335"/>
      <c r="C427" s="204" t="s">
        <v>660</v>
      </c>
      <c r="D427" s="204" t="s">
        <v>660</v>
      </c>
      <c r="E427" s="204" t="s">
        <v>660</v>
      </c>
      <c r="F427" s="204" t="s">
        <v>660</v>
      </c>
      <c r="G427" s="204" t="s">
        <v>660</v>
      </c>
      <c r="H427" s="204" t="s">
        <v>660</v>
      </c>
      <c r="I427" s="204" t="s">
        <v>660</v>
      </c>
      <c r="J427" s="204" t="s">
        <v>660</v>
      </c>
      <c r="K427" s="204" t="s">
        <v>660</v>
      </c>
      <c r="L427" s="204" t="s">
        <v>660</v>
      </c>
      <c r="M427" s="204" t="s">
        <v>660</v>
      </c>
      <c r="N427" s="204" t="s">
        <v>660</v>
      </c>
      <c r="O427" s="204" t="s">
        <v>660</v>
      </c>
      <c r="P427" s="204" t="s">
        <v>660</v>
      </c>
      <c r="Q427" s="204" t="s">
        <v>660</v>
      </c>
    </row>
    <row r="428" customFormat="false" ht="14.25" hidden="false" customHeight="false" outlineLevel="0" collapsed="false">
      <c r="A428" s="319" t="s">
        <v>664</v>
      </c>
      <c r="B428" s="335"/>
      <c r="C428" s="242" t="s">
        <v>660</v>
      </c>
      <c r="D428" s="242" t="s">
        <v>660</v>
      </c>
      <c r="E428" s="242" t="s">
        <v>660</v>
      </c>
      <c r="F428" s="242" t="s">
        <v>660</v>
      </c>
      <c r="G428" s="242" t="s">
        <v>660</v>
      </c>
      <c r="H428" s="242" t="s">
        <v>660</v>
      </c>
      <c r="I428" s="242" t="s">
        <v>660</v>
      </c>
      <c r="J428" s="242" t="s">
        <v>660</v>
      </c>
      <c r="K428" s="242" t="s">
        <v>660</v>
      </c>
      <c r="L428" s="242" t="s">
        <v>660</v>
      </c>
      <c r="M428" s="242" t="s">
        <v>660</v>
      </c>
      <c r="N428" s="242" t="s">
        <v>660</v>
      </c>
      <c r="O428" s="242" t="s">
        <v>660</v>
      </c>
      <c r="P428" s="242" t="s">
        <v>660</v>
      </c>
      <c r="Q428" s="242" t="s">
        <v>660</v>
      </c>
    </row>
  </sheetData>
  <mergeCells count="126">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5"/>
    <mergeCell ref="A126:A128"/>
    <mergeCell ref="B129:B131"/>
    <mergeCell ref="A133:I133"/>
    <mergeCell ref="A135:A138"/>
    <mergeCell ref="A139:A142"/>
    <mergeCell ref="A143:A146"/>
    <mergeCell ref="A147:I147"/>
    <mergeCell ref="A149:A152"/>
    <mergeCell ref="A153:A156"/>
    <mergeCell ref="A157:A160"/>
    <mergeCell ref="A161:A164"/>
    <mergeCell ref="A168:E168"/>
    <mergeCell ref="A169:E169"/>
    <mergeCell ref="A171:A173"/>
    <mergeCell ref="C171:C173"/>
    <mergeCell ref="A175:C175"/>
    <mergeCell ref="A178:B178"/>
    <mergeCell ref="A179:B179"/>
    <mergeCell ref="A180:B180"/>
    <mergeCell ref="A181:B181"/>
    <mergeCell ref="A182:B182"/>
    <mergeCell ref="A183:B183"/>
    <mergeCell ref="A184:Q184"/>
    <mergeCell ref="A185:B185"/>
    <mergeCell ref="A186:B186"/>
    <mergeCell ref="A187:B187"/>
    <mergeCell ref="A188:B188"/>
    <mergeCell ref="A189:B189"/>
    <mergeCell ref="A190:Q190"/>
    <mergeCell ref="A191:B191"/>
    <mergeCell ref="A192:B192"/>
    <mergeCell ref="A193:B193"/>
    <mergeCell ref="A194:B194"/>
    <mergeCell ref="A195:B195"/>
    <mergeCell ref="A196:Q196"/>
    <mergeCell ref="A197:B197"/>
    <mergeCell ref="A198:B198"/>
    <mergeCell ref="A199:B199"/>
    <mergeCell ref="A200:B200"/>
    <mergeCell ref="A201:B201"/>
    <mergeCell ref="A202:Q202"/>
    <mergeCell ref="A203:B203"/>
    <mergeCell ref="A204:B204"/>
    <mergeCell ref="A205:B205"/>
    <mergeCell ref="A206:B206"/>
    <mergeCell ref="A207:B207"/>
    <mergeCell ref="A209:C209"/>
    <mergeCell ref="A210:A211"/>
    <mergeCell ref="C210:C211"/>
    <mergeCell ref="A214:Q214"/>
    <mergeCell ref="A215:B215"/>
    <mergeCell ref="A216:B216"/>
    <mergeCell ref="A217:B217"/>
    <mergeCell ref="A218:B218"/>
    <mergeCell ref="A219:B219"/>
    <mergeCell ref="A220:B220"/>
    <mergeCell ref="A221:C221"/>
    <mergeCell ref="A225:C225"/>
    <mergeCell ref="A227:A229"/>
    <mergeCell ref="C227:C229"/>
    <mergeCell ref="A231:A233"/>
    <mergeCell ref="C231:C233"/>
    <mergeCell ref="A238:D238"/>
    <mergeCell ref="A239:D239"/>
    <mergeCell ref="A240:C240"/>
    <mergeCell ref="C242:E242"/>
    <mergeCell ref="A244:A262"/>
    <mergeCell ref="A263:C263"/>
    <mergeCell ref="A269:C269"/>
    <mergeCell ref="A270:C270"/>
    <mergeCell ref="A272:C272"/>
    <mergeCell ref="A273:A276"/>
    <mergeCell ref="C273:C276"/>
    <mergeCell ref="A281:I281"/>
    <mergeCell ref="A340:I340"/>
    <mergeCell ref="A364:H364"/>
    <mergeCell ref="A366:H366"/>
    <mergeCell ref="A368:H368"/>
    <mergeCell ref="A370:H370"/>
    <mergeCell ref="A373:I373"/>
    <mergeCell ref="A381:C381"/>
    <mergeCell ref="A390:C390"/>
    <mergeCell ref="A397:C397"/>
    <mergeCell ref="A403:B403"/>
    <mergeCell ref="B404:B408"/>
    <mergeCell ref="B409:B413"/>
    <mergeCell ref="B414:B418"/>
    <mergeCell ref="B419:B423"/>
    <mergeCell ref="B424:B428"/>
  </mergeCells>
  <conditionalFormatting sqref="C216:AD220">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Y428"/>
  <sheetViews>
    <sheetView showFormulas="false" showGridLines="true" showRowColHeaders="true" showZeros="true" rightToLeft="false" tabSelected="false" showOutlineSymbols="true" defaultGridColor="true" view="normal" topLeftCell="A356" colorId="64" zoomScale="75" zoomScaleNormal="75" zoomScalePageLayoutView="100" workbookViewId="0">
      <selection pane="topLeft" activeCell="B371" activeCellId="0" sqref="B371"/>
    </sheetView>
  </sheetViews>
  <sheetFormatPr defaultColWidth="11.4453125" defaultRowHeight="14.25" zeroHeight="false" outlineLevelRow="0" outlineLevelCol="0"/>
  <cols>
    <col collapsed="false" customWidth="true" hidden="false" outlineLevel="0" max="1" min="1" style="1" width="48.67"/>
    <col collapsed="false" customWidth="true" hidden="false" outlineLevel="0" max="2" min="2" style="1" width="50"/>
    <col collapsed="false" customWidth="true" hidden="false" outlineLevel="0" max="3" min="3" style="1" width="59.89"/>
    <col collapsed="false" customWidth="true" hidden="false" outlineLevel="0" max="4" min="4" style="1" width="55.88"/>
    <col collapsed="false" customWidth="true" hidden="false" outlineLevel="0" max="5" min="5" style="1" width="49.33"/>
    <col collapsed="false" customWidth="true" hidden="false" outlineLevel="0" max="6" min="6" style="1" width="30.88"/>
    <col collapsed="false" customWidth="true" hidden="false" outlineLevel="0" max="7" min="7" style="1" width="34.34"/>
    <col collapsed="false" customWidth="true" hidden="false" outlineLevel="0" max="8" min="8" style="1" width="32.44"/>
    <col collapsed="false" customWidth="true" hidden="false" outlineLevel="0" max="9" min="9" style="1" width="21.88"/>
    <col collapsed="false" customWidth="true" hidden="false" outlineLevel="0" max="10" min="10" style="1" width="29"/>
    <col collapsed="false" customWidth="true" hidden="false" outlineLevel="0" max="12" min="12" style="1" width="35.44"/>
    <col collapsed="false" customWidth="true" hidden="false" outlineLevel="0" max="18" min="18" style="1" width="12.56"/>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4.2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4.2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4.2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4.2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4.2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0.0114814377510482</v>
      </c>
      <c r="N10" s="206"/>
      <c r="O10" s="206"/>
      <c r="P10" s="206"/>
      <c r="Q10" s="206"/>
      <c r="R10" s="206" t="n">
        <v>0.011217229240813</v>
      </c>
      <c r="S10" s="206"/>
      <c r="T10" s="206"/>
      <c r="U10" s="206"/>
      <c r="V10" s="206"/>
      <c r="W10" s="206" t="n">
        <v>0.0137073065541908</v>
      </c>
      <c r="X10" s="206"/>
      <c r="Y10" s="206"/>
      <c r="Z10" s="206"/>
      <c r="AA10" s="206"/>
      <c r="AB10" s="206" t="n">
        <v>0</v>
      </c>
      <c r="AC10" s="206"/>
      <c r="AD10" s="206"/>
      <c r="AE10" s="206"/>
      <c r="AF10" s="206"/>
      <c r="AG10" s="206" t="n">
        <v>0</v>
      </c>
      <c r="AH10" s="206"/>
      <c r="AI10" s="206"/>
      <c r="AJ10" s="206"/>
      <c r="AK10" s="206"/>
      <c r="AL10" s="206" t="n">
        <v>0</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4.2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4.25" hidden="false" customHeight="false" outlineLevel="0" collapsed="false">
      <c r="A16" s="211" t="s">
        <v>498</v>
      </c>
      <c r="B16" s="202" t="s">
        <v>499</v>
      </c>
      <c r="C16" s="212" t="n">
        <v>0.117609721833719</v>
      </c>
      <c r="D16" s="212" t="n">
        <v>0.113707811921418</v>
      </c>
      <c r="E16" s="212" t="n">
        <v>0.1268050283133</v>
      </c>
      <c r="F16" s="212" t="n">
        <v>0.135126859489025</v>
      </c>
      <c r="G16" s="212" t="n">
        <v>0.140282729162163</v>
      </c>
      <c r="H16" s="212" t="n">
        <v>0.146916832301251</v>
      </c>
      <c r="I16" s="213" t="n">
        <v>0.148630915135189</v>
      </c>
      <c r="J16" s="81"/>
      <c r="K16" s="160"/>
      <c r="L16" s="81"/>
    </row>
    <row r="17" customFormat="false" ht="14.25" hidden="false" customHeight="false" outlineLevel="0" collapsed="false">
      <c r="A17" s="211" t="s">
        <v>500</v>
      </c>
      <c r="B17" s="202" t="s">
        <v>499</v>
      </c>
      <c r="C17" s="212" t="n">
        <v>0.000878474</v>
      </c>
      <c r="D17" s="212" t="n">
        <v>0.0011024</v>
      </c>
      <c r="E17" s="212" t="n">
        <v>0.0011334</v>
      </c>
      <c r="F17" s="212" t="n">
        <v>0.00200848238735286</v>
      </c>
      <c r="G17" s="212" t="n">
        <v>0.0025763285102634</v>
      </c>
      <c r="H17" s="212" t="n">
        <v>0.00298497591757019</v>
      </c>
      <c r="I17" s="213" t="n">
        <v>0.00339362332487698</v>
      </c>
      <c r="J17" s="81"/>
      <c r="K17" s="81"/>
      <c r="L17" s="81"/>
    </row>
    <row r="18" customFormat="false" ht="14.25" hidden="false" customHeight="false" outlineLevel="0" collapsed="false">
      <c r="A18" s="211" t="s">
        <v>501</v>
      </c>
      <c r="B18" s="202" t="s">
        <v>499</v>
      </c>
      <c r="C18" s="212" t="n">
        <v>0.0374522</v>
      </c>
      <c r="D18" s="212" t="n">
        <v>0.0396114137098256</v>
      </c>
      <c r="E18" s="212" t="n">
        <v>0.06069115</v>
      </c>
      <c r="F18" s="214" t="n">
        <v>0.08975165</v>
      </c>
      <c r="G18" s="214" t="n">
        <v>0.12725</v>
      </c>
      <c r="H18" s="214" t="n">
        <v>0.1769065</v>
      </c>
      <c r="I18" s="213" t="n">
        <v>0.2118585</v>
      </c>
      <c r="J18" s="81"/>
      <c r="K18" s="81"/>
      <c r="L18" s="81"/>
    </row>
    <row r="19" customFormat="false" ht="14.25" hidden="false" customHeight="false" outlineLevel="0" collapsed="false">
      <c r="A19" s="211" t="s">
        <v>502</v>
      </c>
      <c r="B19" s="202" t="s">
        <v>499</v>
      </c>
      <c r="C19" s="212" t="n">
        <v>0.0008299085</v>
      </c>
      <c r="D19" s="212" t="n">
        <v>0.00160824276183273</v>
      </c>
      <c r="E19" s="212" t="n">
        <v>0.014096475</v>
      </c>
      <c r="F19" s="214" t="n">
        <v>0.02532925</v>
      </c>
      <c r="G19" s="214" t="n">
        <v>0.03581605</v>
      </c>
      <c r="H19" s="214" t="n">
        <v>0.04635715</v>
      </c>
      <c r="I19" s="213" t="n">
        <v>0.05620975</v>
      </c>
      <c r="J19" s="160"/>
      <c r="K19" s="81"/>
      <c r="L19" s="81"/>
    </row>
    <row r="20" customFormat="false" ht="14.25" hidden="false" customHeight="false" outlineLevel="0" collapsed="false">
      <c r="A20" s="211" t="s">
        <v>503</v>
      </c>
      <c r="B20" s="202" t="s">
        <v>499</v>
      </c>
      <c r="C20" s="212" t="n">
        <v>0.146914125126844</v>
      </c>
      <c r="D20" s="212" t="n">
        <v>0.170956271387911</v>
      </c>
      <c r="E20" s="212" t="n">
        <v>0.359162426436101</v>
      </c>
      <c r="F20" s="214" t="n">
        <v>0.526015222710319</v>
      </c>
      <c r="G20" s="214" t="n">
        <v>0.6707412377823</v>
      </c>
      <c r="H20" s="214" t="n">
        <v>0.895000988463177</v>
      </c>
      <c r="I20" s="213" t="n">
        <v>1.01362210322222</v>
      </c>
    </row>
    <row r="21" customFormat="false" ht="14.25" hidden="false" customHeight="false" outlineLevel="0" collapsed="false">
      <c r="A21" s="211" t="s">
        <v>504</v>
      </c>
      <c r="B21" s="202" t="s">
        <v>499</v>
      </c>
      <c r="C21" s="212" t="n">
        <v>0.0121029772625668</v>
      </c>
      <c r="D21" s="212" t="n">
        <v>0.0392747193946296</v>
      </c>
      <c r="E21" s="212" t="n">
        <v>0.0638937271994091</v>
      </c>
      <c r="F21" s="214" t="n">
        <v>0.105000218961605</v>
      </c>
      <c r="G21" s="214" t="n">
        <v>0.186851022344914</v>
      </c>
      <c r="H21" s="214" t="n">
        <v>0.324965157175987</v>
      </c>
      <c r="I21" s="213" t="n">
        <v>0.362987208788995</v>
      </c>
      <c r="K21" s="81"/>
      <c r="L21" s="81"/>
    </row>
    <row r="22" customFormat="false" ht="14.25" hidden="false" customHeight="false" outlineLevel="0" collapsed="false">
      <c r="A22" s="211" t="s">
        <v>505</v>
      </c>
      <c r="B22" s="202" t="s">
        <v>499</v>
      </c>
      <c r="C22" s="212" t="n">
        <v>0.125671151626567</v>
      </c>
      <c r="D22" s="212" t="n">
        <v>0.156494540934672</v>
      </c>
      <c r="E22" s="212" t="n">
        <v>0.389285836686693</v>
      </c>
      <c r="F22" s="214" t="n">
        <v>0.545212013431527</v>
      </c>
      <c r="G22" s="214" t="n">
        <v>0.755351384766724</v>
      </c>
      <c r="H22" s="214" t="n">
        <v>0.97004701873674</v>
      </c>
      <c r="I22" s="213" t="n">
        <v>1.15086859750692</v>
      </c>
      <c r="K22" s="81"/>
      <c r="L22" s="81"/>
    </row>
    <row r="23" customFormat="false" ht="14.25" hidden="false" customHeight="false" outlineLevel="0" collapsed="false">
      <c r="A23" s="211" t="s">
        <v>506</v>
      </c>
      <c r="B23" s="202" t="s">
        <v>499</v>
      </c>
      <c r="C23" s="212" t="n">
        <v>0.0023288</v>
      </c>
      <c r="D23" s="212" t="n">
        <v>0.0049788</v>
      </c>
      <c r="E23" s="212" t="n">
        <v>0.0076288</v>
      </c>
      <c r="F23" s="212" t="n">
        <v>0.0092216</v>
      </c>
      <c r="G23" s="212" t="n">
        <v>0.0108144</v>
      </c>
      <c r="H23" s="212" t="n">
        <v>0.0124072</v>
      </c>
      <c r="I23" s="215" t="n">
        <v>0.014</v>
      </c>
    </row>
    <row r="24" customFormat="false" ht="15" hidden="false" customHeight="true" outlineLevel="0" collapsed="false">
      <c r="A24" s="211" t="s">
        <v>507</v>
      </c>
      <c r="B24" s="202" t="s">
        <v>499</v>
      </c>
      <c r="C24" s="212" t="n">
        <v>0.045</v>
      </c>
      <c r="D24" s="212" t="n">
        <v>0.055</v>
      </c>
      <c r="E24" s="212" t="n">
        <v>0.065</v>
      </c>
      <c r="F24" s="212" t="n">
        <v>0.065</v>
      </c>
      <c r="G24" s="212" t="n">
        <v>0.065</v>
      </c>
      <c r="H24" s="212" t="n">
        <v>0.065</v>
      </c>
      <c r="I24" s="213" t="n">
        <v>0.065</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t="s">
        <v>510</v>
      </c>
      <c r="B27" s="200"/>
      <c r="C27" s="200"/>
      <c r="D27" s="200"/>
      <c r="E27" s="200"/>
      <c r="F27" s="200"/>
      <c r="G27" s="200"/>
      <c r="H27" s="200"/>
      <c r="I27" s="200"/>
    </row>
    <row r="28" customFormat="false" ht="14.25" hidden="false" customHeight="false" outlineLevel="0" collapsed="false">
      <c r="A28" s="218" t="s">
        <v>511</v>
      </c>
      <c r="B28" s="219" t="s">
        <v>146</v>
      </c>
      <c r="C28" s="220" t="n">
        <v>0</v>
      </c>
      <c r="D28" s="220" t="n">
        <v>0</v>
      </c>
      <c r="E28" s="220" t="n">
        <v>0</v>
      </c>
      <c r="F28" s="220" t="n">
        <v>0</v>
      </c>
      <c r="G28" s="220" t="n">
        <v>0</v>
      </c>
      <c r="H28" s="220" t="n">
        <v>0</v>
      </c>
      <c r="I28" s="220" t="n">
        <v>0</v>
      </c>
    </row>
    <row r="29" customFormat="false" ht="14.2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512</v>
      </c>
      <c r="B31" s="222"/>
      <c r="C31" s="222"/>
      <c r="E31" s="81"/>
      <c r="F31" s="81"/>
      <c r="G31" s="81"/>
      <c r="H31" s="160"/>
      <c r="I31" s="81"/>
      <c r="L31" s="75"/>
    </row>
    <row r="32" customFormat="false" ht="14.25" hidden="false" customHeight="false" outlineLevel="0" collapsed="false">
      <c r="A32" s="211" t="s">
        <v>513</v>
      </c>
      <c r="B32" s="202" t="s">
        <v>514</v>
      </c>
      <c r="C32" s="223" t="n">
        <v>0.1</v>
      </c>
      <c r="H32" s="160"/>
      <c r="K32" s="45"/>
      <c r="M32" s="81"/>
    </row>
    <row r="33" customFormat="false" ht="14.25" hidden="false" customHeight="false" outlineLevel="0" collapsed="false">
      <c r="A33" s="211" t="s">
        <v>515</v>
      </c>
      <c r="B33" s="202" t="s">
        <v>36</v>
      </c>
      <c r="C33" s="204" t="n">
        <v>2035</v>
      </c>
      <c r="E33" s="81"/>
      <c r="F33" s="81"/>
      <c r="G33" s="81"/>
      <c r="H33" s="160"/>
      <c r="I33" s="81"/>
      <c r="J33" s="62"/>
    </row>
    <row r="34" customFormat="false" ht="14.25" hidden="false" customHeight="false" outlineLevel="0" collapsed="false">
      <c r="A34" s="211" t="s">
        <v>516</v>
      </c>
      <c r="B34" s="202" t="s">
        <v>514</v>
      </c>
      <c r="C34" s="224"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517</v>
      </c>
      <c r="B35" s="222"/>
      <c r="C35" s="222"/>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4.25" hidden="false" customHeight="false" outlineLevel="0" collapsed="false">
      <c r="A36" s="211" t="s">
        <v>518</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4.25" hidden="false" customHeight="false" outlineLevel="0" collapsed="false">
      <c r="A37" s="211" t="s">
        <v>519</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4.25" hidden="false" customHeight="false" outlineLevel="0" collapsed="false">
      <c r="A38" s="211" t="s">
        <v>520</v>
      </c>
      <c r="B38" s="202" t="s">
        <v>514</v>
      </c>
      <c r="C38" s="224"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4.25" hidden="false" customHeight="false" outlineLevel="0" collapsed="false">
      <c r="A39" s="211" t="s">
        <v>521</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4.25" hidden="false" customHeight="false" outlineLevel="0" collapsed="false">
      <c r="A40" s="211" t="s">
        <v>522</v>
      </c>
      <c r="B40" s="202" t="s">
        <v>514</v>
      </c>
      <c r="C40" s="224"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4.25" hidden="false" customHeight="false" outlineLevel="0" collapsed="false">
      <c r="A42" s="216" t="s">
        <v>523</v>
      </c>
      <c r="B42" s="205" t="s">
        <v>514</v>
      </c>
      <c r="C42" s="225"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4.25" hidden="false" customHeight="false" outlineLevel="0" collapsed="false">
      <c r="A45" s="216" t="s">
        <v>524</v>
      </c>
      <c r="B45" s="205" t="s">
        <v>514</v>
      </c>
      <c r="C45" s="225"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4.25" hidden="false" customHeight="false" outlineLevel="0" collapsed="false">
      <c r="A48" s="211" t="s">
        <v>525</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4.25" hidden="false" customHeight="false" outlineLevel="0" collapsed="false">
      <c r="A49" s="211" t="s">
        <v>526</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4.25" hidden="false" customHeight="false" outlineLevel="0" collapsed="false">
      <c r="A50" s="211" t="s">
        <v>527</v>
      </c>
      <c r="B50" s="202" t="s">
        <v>514</v>
      </c>
      <c r="C50" s="224"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4.25" hidden="false" customHeight="false" outlineLevel="0" collapsed="false">
      <c r="A51" s="211" t="s">
        <v>528</v>
      </c>
      <c r="B51" s="202" t="s">
        <v>514</v>
      </c>
      <c r="C51" s="224"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4.25" hidden="false" customHeight="false" outlineLevel="0" collapsed="false">
      <c r="A52" s="216" t="s">
        <v>529</v>
      </c>
      <c r="B52" s="205" t="s">
        <v>514</v>
      </c>
      <c r="C52" s="226" t="n">
        <v>0.01</v>
      </c>
      <c r="D52" s="226" t="n">
        <v>-0.0628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7.35" hidden="false" customHeight="false" outlineLevel="0" collapsed="false">
      <c r="A53" s="200" t="s">
        <v>530</v>
      </c>
      <c r="B53" s="200"/>
      <c r="C53" s="200"/>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row>
    <row r="54" customFormat="false" ht="14.25" hidden="false" customHeight="false" outlineLevel="0" collapsed="false">
      <c r="A54" s="227" t="s">
        <v>531</v>
      </c>
      <c r="B54" s="202" t="s">
        <v>36</v>
      </c>
      <c r="C54" s="203" t="n">
        <v>2050</v>
      </c>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row>
    <row r="55" customFormat="false" ht="14.25" hidden="false" customHeight="false" outlineLevel="0" collapsed="false">
      <c r="A55" s="227" t="s">
        <v>532</v>
      </c>
      <c r="B55" s="202" t="s">
        <v>533</v>
      </c>
      <c r="C55" s="228" t="n">
        <v>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row>
    <row r="56" customFormat="false" ht="14.25" hidden="false" customHeight="false" outlineLevel="0" collapsed="false">
      <c r="A56" s="227" t="s">
        <v>534</v>
      </c>
      <c r="B56" s="202" t="s">
        <v>533</v>
      </c>
      <c r="C56" s="228"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row>
    <row r="57" customFormat="false" ht="14.25" hidden="false" customHeight="false" outlineLevel="0" collapsed="false">
      <c r="A57" s="227" t="s">
        <v>535</v>
      </c>
      <c r="B57" s="202" t="s">
        <v>533</v>
      </c>
      <c r="C57" s="228" t="n">
        <v>0.1</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row>
    <row r="58" customFormat="false" ht="14.25" hidden="false" customHeight="false" outlineLevel="0" collapsed="false">
      <c r="A58" s="227" t="s">
        <v>536</v>
      </c>
      <c r="B58" s="202" t="s">
        <v>533</v>
      </c>
      <c r="C58" s="228" t="n">
        <v>0.5</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row>
    <row r="59" customFormat="false" ht="14.25" hidden="false" customHeight="false" outlineLevel="0" collapsed="false">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row>
    <row r="60" customFormat="false" ht="17.35" hidden="false" customHeight="false" outlineLevel="0" collapsed="false">
      <c r="A60" s="200" t="s">
        <v>537</v>
      </c>
      <c r="B60" s="200"/>
      <c r="C60" s="200"/>
      <c r="D60" s="200"/>
      <c r="E60" s="200"/>
      <c r="F60" s="200"/>
      <c r="G60" s="200"/>
      <c r="H60" s="200"/>
      <c r="I60" s="200"/>
    </row>
    <row r="61" customFormat="false" ht="14.25" hidden="false" customHeight="false" outlineLevel="0" collapsed="false">
      <c r="A61" s="227" t="s">
        <v>36</v>
      </c>
      <c r="B61" s="202" t="s">
        <v>36</v>
      </c>
      <c r="C61" s="229" t="n">
        <v>2020</v>
      </c>
      <c r="D61" s="229" t="n">
        <v>2025</v>
      </c>
      <c r="E61" s="229" t="n">
        <v>2030</v>
      </c>
      <c r="F61" s="229" t="n">
        <v>2035</v>
      </c>
      <c r="G61" s="229" t="n">
        <v>2040</v>
      </c>
      <c r="H61" s="229" t="n">
        <v>2045</v>
      </c>
      <c r="I61" s="230" t="n">
        <v>2050</v>
      </c>
    </row>
    <row r="62" customFormat="false" ht="14.25" hidden="false" customHeight="false" outlineLevel="0" collapsed="false">
      <c r="A62" s="227" t="s">
        <v>538</v>
      </c>
      <c r="B62" s="202" t="s">
        <v>146</v>
      </c>
      <c r="C62" s="231" t="n">
        <v>0</v>
      </c>
      <c r="D62" s="231" t="n">
        <v>0</v>
      </c>
      <c r="E62" s="231" t="n">
        <v>0</v>
      </c>
      <c r="F62" s="231" t="n">
        <v>0</v>
      </c>
      <c r="G62" s="231" t="n">
        <v>0</v>
      </c>
      <c r="H62" s="231" t="n">
        <v>0</v>
      </c>
      <c r="I62" s="231" t="n">
        <v>0</v>
      </c>
      <c r="J62" s="221"/>
      <c r="K62" s="221"/>
    </row>
    <row r="63" customFormat="false" ht="14.25" hidden="false" customHeight="false" outlineLevel="0" collapsed="false">
      <c r="A63" s="227" t="s">
        <v>539</v>
      </c>
      <c r="B63" s="202" t="s">
        <v>146</v>
      </c>
      <c r="C63" s="231" t="n">
        <v>0</v>
      </c>
      <c r="D63" s="231" t="n">
        <v>0</v>
      </c>
      <c r="E63" s="231" t="n">
        <v>0.00189148985353949</v>
      </c>
      <c r="F63" s="231" t="n">
        <v>0.482964256198595</v>
      </c>
      <c r="G63" s="231" t="n">
        <v>1.23853129255308</v>
      </c>
      <c r="H63" s="231" t="n">
        <v>2.86141754184028</v>
      </c>
      <c r="I63" s="231" t="n">
        <v>2.81340799792693</v>
      </c>
      <c r="J63" s="221"/>
      <c r="K63" s="221"/>
    </row>
    <row r="64" customFormat="false" ht="14.25" hidden="false" customHeight="false" outlineLevel="0" collapsed="false">
      <c r="A64" s="227" t="s">
        <v>540</v>
      </c>
      <c r="B64" s="202" t="s">
        <v>146</v>
      </c>
      <c r="C64" s="232" t="n">
        <v>4E-005</v>
      </c>
      <c r="D64" s="231" t="n">
        <v>0.00071</v>
      </c>
      <c r="E64" s="231" t="n">
        <v>0.0152316875119172</v>
      </c>
      <c r="F64" s="231" t="n">
        <v>0.138807762777472</v>
      </c>
      <c r="G64" s="231" t="n">
        <v>0.868480719185939</v>
      </c>
      <c r="H64" s="231" t="n">
        <v>1.87867682957348</v>
      </c>
      <c r="I64" s="231" t="n">
        <v>2.78389156693196</v>
      </c>
    </row>
    <row r="65" customFormat="false" ht="14.25" hidden="false" customHeight="false" outlineLevel="0" collapsed="false">
      <c r="A65" s="227" t="s">
        <v>541</v>
      </c>
      <c r="B65" s="202" t="s">
        <v>146</v>
      </c>
      <c r="C65" s="231" t="n">
        <v>0</v>
      </c>
      <c r="D65" s="231" t="n">
        <v>0</v>
      </c>
      <c r="E65" s="231" t="n">
        <v>0</v>
      </c>
      <c r="F65" s="231" t="n">
        <v>0</v>
      </c>
      <c r="G65" s="231" t="n">
        <v>0</v>
      </c>
      <c r="H65" s="231" t="n">
        <v>0</v>
      </c>
      <c r="I65" s="231" t="n">
        <v>0</v>
      </c>
    </row>
    <row r="66" customFormat="false" ht="14.25" hidden="false" customHeight="false" outlineLevel="0" collapsed="false">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row>
    <row r="67" customFormat="false" ht="14.2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row>
    <row r="68" customFormat="false" ht="24.45" hidden="false" customHeight="false" outlineLevel="0" collapsed="false">
      <c r="A68" s="199" t="s">
        <v>542</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3" t="s">
        <v>168</v>
      </c>
      <c r="B69" s="234"/>
      <c r="C69" s="235"/>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6"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4.25" hidden="false" customHeight="false" outlineLevel="0" collapsed="false">
      <c r="A71" s="236"/>
      <c r="B71" s="205" t="s">
        <v>543</v>
      </c>
      <c r="C71" s="226"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4.25" hidden="false" customHeight="false" outlineLevel="0" collapsed="false">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row>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6"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4.25" hidden="false" customHeight="false" outlineLevel="0" collapsed="false">
      <c r="A75" s="236"/>
      <c r="B75" s="205" t="s">
        <v>544</v>
      </c>
      <c r="C75" s="226"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7" t="s">
        <v>228</v>
      </c>
      <c r="B77" s="237"/>
      <c r="C77" s="237"/>
      <c r="D77" s="238" t="s">
        <v>545</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4.25" hidden="false" customHeight="false" outlineLevel="0" collapsed="false">
      <c r="A78" s="211" t="s">
        <v>546</v>
      </c>
      <c r="B78" s="202" t="s">
        <v>547</v>
      </c>
      <c r="C78" s="228"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39" t="s">
        <v>230</v>
      </c>
      <c r="B79" s="239"/>
      <c r="C79" s="239"/>
      <c r="D79" s="240" t="s">
        <v>548</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549</v>
      </c>
      <c r="B80" s="205" t="s">
        <v>547</v>
      </c>
      <c r="C80" s="241" t="n">
        <v>0.2</v>
      </c>
      <c r="D80" s="242"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4.25" hidden="false" customHeight="false" outlineLevel="0" collapsed="false">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row>
    <row r="82" customFormat="false" ht="17.35" hidden="false" customHeight="false" outlineLevel="0" collapsed="false">
      <c r="A82" s="200" t="s">
        <v>236</v>
      </c>
      <c r="B82" s="200"/>
      <c r="C82" s="200"/>
    </row>
    <row r="83" customFormat="false" ht="14.25" hidden="false" customHeight="false" outlineLevel="0" collapsed="false">
      <c r="A83" s="243" t="s">
        <v>550</v>
      </c>
      <c r="B83" s="202" t="s">
        <v>551</v>
      </c>
      <c r="C83" s="244" t="n">
        <v>0</v>
      </c>
    </row>
    <row r="84" customFormat="false" ht="14.25" hidden="false" customHeight="false" outlineLevel="0" collapsed="false">
      <c r="A84" s="243"/>
      <c r="B84" s="202" t="s">
        <v>552</v>
      </c>
      <c r="C84" s="244" t="n">
        <v>2023</v>
      </c>
    </row>
    <row r="85" customFormat="false" ht="14.25" hidden="false" customHeight="false" outlineLevel="0" collapsed="false">
      <c r="A85" s="243" t="s">
        <v>237</v>
      </c>
      <c r="B85" s="202" t="s">
        <v>238</v>
      </c>
      <c r="C85" s="244" t="n">
        <v>2015</v>
      </c>
      <c r="G85" s="118"/>
      <c r="H85" s="118"/>
      <c r="I85" s="127"/>
      <c r="J85" s="127"/>
      <c r="K85" s="127"/>
      <c r="L85" s="127"/>
      <c r="M85" s="127"/>
      <c r="N85" s="127"/>
      <c r="O85" s="127"/>
      <c r="P85" s="127"/>
      <c r="Q85" s="127"/>
      <c r="R85" s="127"/>
      <c r="S85" s="127"/>
      <c r="T85" s="127"/>
    </row>
    <row r="86" customFormat="false" ht="14.25" hidden="false" customHeight="false" outlineLevel="0" collapsed="false">
      <c r="A86" s="243"/>
      <c r="B86" s="202" t="s">
        <v>241</v>
      </c>
      <c r="C86" s="245" t="n">
        <v>0</v>
      </c>
      <c r="G86" s="118"/>
      <c r="H86" s="118"/>
      <c r="I86" s="127"/>
      <c r="J86" s="127"/>
      <c r="K86" s="127"/>
      <c r="L86" s="127"/>
      <c r="M86" s="127"/>
      <c r="N86" s="127"/>
      <c r="O86" s="127"/>
      <c r="P86" s="127"/>
      <c r="Q86" s="127"/>
      <c r="R86" s="127"/>
      <c r="S86" s="127"/>
      <c r="T86" s="127"/>
    </row>
    <row r="87" customFormat="false" ht="14.25" hidden="false" customHeight="false" outlineLevel="0" collapsed="false">
      <c r="A87" s="243" t="s">
        <v>243</v>
      </c>
      <c r="B87" s="202" t="s">
        <v>238</v>
      </c>
      <c r="C87" s="244" t="n">
        <v>2015</v>
      </c>
    </row>
    <row r="88" customFormat="false" ht="14.25" hidden="false" customHeight="false" outlineLevel="0" collapsed="false">
      <c r="A88" s="243"/>
      <c r="B88" s="202" t="s">
        <v>241</v>
      </c>
      <c r="C88" s="245" t="n">
        <v>0</v>
      </c>
    </row>
    <row r="89" customFormat="false" ht="14.25" hidden="false" customHeight="false" outlineLevel="0" collapsed="false">
      <c r="A89" s="243" t="s">
        <v>244</v>
      </c>
      <c r="B89" s="202" t="s">
        <v>238</v>
      </c>
      <c r="C89" s="244" t="n">
        <v>2023</v>
      </c>
    </row>
    <row r="90" customFormat="false" ht="14.25" hidden="false" customHeight="false" outlineLevel="0" collapsed="false">
      <c r="A90" s="243"/>
      <c r="B90" s="202" t="s">
        <v>241</v>
      </c>
      <c r="C90" s="245" t="n">
        <v>0</v>
      </c>
    </row>
    <row r="91" customFormat="false" ht="14.25" hidden="false" customHeight="false" outlineLevel="0" collapsed="false">
      <c r="A91" s="243" t="s">
        <v>246</v>
      </c>
      <c r="B91" s="202" t="s">
        <v>238</v>
      </c>
      <c r="C91" s="244" t="n">
        <v>2023</v>
      </c>
      <c r="G91" s="138"/>
      <c r="I91" s="125"/>
      <c r="J91" s="125"/>
      <c r="K91" s="125"/>
      <c r="L91" s="125"/>
      <c r="M91" s="125"/>
      <c r="N91" s="125"/>
      <c r="O91" s="125"/>
      <c r="P91" s="125"/>
      <c r="Q91" s="125"/>
      <c r="R91" s="125"/>
      <c r="S91" s="125"/>
      <c r="T91" s="125"/>
    </row>
    <row r="92" customFormat="false" ht="14.25" hidden="false" customHeight="false" outlineLevel="0" collapsed="false">
      <c r="A92" s="243"/>
      <c r="B92" s="202" t="s">
        <v>241</v>
      </c>
      <c r="C92" s="245" t="n">
        <v>0</v>
      </c>
    </row>
    <row r="93" customFormat="false" ht="14.25" hidden="false" customHeight="false" outlineLevel="0" collapsed="false">
      <c r="A93" s="243" t="s">
        <v>211</v>
      </c>
      <c r="B93" s="202" t="s">
        <v>238</v>
      </c>
      <c r="C93" s="244" t="n">
        <v>2023</v>
      </c>
    </row>
    <row r="94" customFormat="false" ht="14.25" hidden="false" customHeight="false" outlineLevel="0" collapsed="false">
      <c r="A94" s="243"/>
      <c r="B94" s="202" t="s">
        <v>241</v>
      </c>
      <c r="C94" s="245" t="n">
        <v>0.97</v>
      </c>
    </row>
    <row r="95" customFormat="false" ht="14.25" hidden="false" customHeight="false" outlineLevel="0" collapsed="false">
      <c r="A95" s="243" t="s">
        <v>240</v>
      </c>
      <c r="B95" s="202" t="s">
        <v>238</v>
      </c>
      <c r="C95" s="244" t="n">
        <v>2023</v>
      </c>
    </row>
    <row r="96" customFormat="false" ht="14.25" hidden="false" customHeight="false" outlineLevel="0" collapsed="false">
      <c r="A96" s="243"/>
      <c r="B96" s="202" t="s">
        <v>241</v>
      </c>
      <c r="C96" s="245" t="n">
        <v>0.74</v>
      </c>
    </row>
    <row r="97" customFormat="false" ht="14.25" hidden="false" customHeight="false" outlineLevel="0" collapsed="false">
      <c r="A97" s="236" t="s">
        <v>245</v>
      </c>
      <c r="B97" s="202" t="s">
        <v>238</v>
      </c>
      <c r="C97" s="244" t="n">
        <v>2023</v>
      </c>
    </row>
    <row r="98" customFormat="false" ht="14.25" hidden="false" customHeight="false" outlineLevel="0" collapsed="false">
      <c r="A98" s="236"/>
      <c r="B98" s="205" t="s">
        <v>241</v>
      </c>
      <c r="C98" s="246" t="n">
        <v>0.87</v>
      </c>
    </row>
    <row r="99" customFormat="false" ht="14.25" hidden="false" customHeight="false" outlineLevel="0" collapsed="false">
      <c r="A99" s="139" t="s">
        <v>247</v>
      </c>
    </row>
    <row r="101" customFormat="false" ht="14.25" hidden="false" customHeight="true" outlineLevel="0" collapsed="false">
      <c r="A101" s="200" t="s">
        <v>248</v>
      </c>
      <c r="B101" s="200"/>
      <c r="C101" s="200"/>
    </row>
    <row r="102" customFormat="false" ht="14.25" hidden="false" customHeight="false" outlineLevel="0" collapsed="false">
      <c r="A102" s="211" t="s">
        <v>249</v>
      </c>
      <c r="B102" s="202" t="s">
        <v>28</v>
      </c>
      <c r="C102" s="244" t="n">
        <v>1</v>
      </c>
    </row>
    <row r="103" customFormat="false" ht="14.25" hidden="false" customHeight="false" outlineLevel="0" collapsed="false">
      <c r="A103" s="211" t="s">
        <v>256</v>
      </c>
      <c r="B103" s="202" t="s">
        <v>28</v>
      </c>
      <c r="C103" s="244" t="n">
        <v>1</v>
      </c>
    </row>
    <row r="104" customFormat="false" ht="14.25" hidden="false" customHeight="false" outlineLevel="0" collapsed="false">
      <c r="A104" s="211" t="s">
        <v>553</v>
      </c>
      <c r="B104" s="202" t="s">
        <v>36</v>
      </c>
      <c r="C104" s="244" t="n">
        <v>2020</v>
      </c>
    </row>
    <row r="105" customFormat="false" ht="14.25" hidden="false" customHeight="false" outlineLevel="0" collapsed="false">
      <c r="A105" s="211" t="s">
        <v>554</v>
      </c>
      <c r="B105" s="202" t="s">
        <v>36</v>
      </c>
      <c r="C105" s="244" t="n">
        <v>2025</v>
      </c>
    </row>
    <row r="106" customFormat="false" ht="14.25" hidden="false" customHeight="false" outlineLevel="0" collapsed="false">
      <c r="A106" s="211" t="s">
        <v>555</v>
      </c>
      <c r="B106" s="202" t="s">
        <v>36</v>
      </c>
      <c r="C106" s="244" t="n">
        <v>2035</v>
      </c>
    </row>
    <row r="107" customFormat="false" ht="14.25" hidden="false" customHeight="false" outlineLevel="0" collapsed="false">
      <c r="A107" s="211" t="s">
        <v>556</v>
      </c>
      <c r="B107" s="202" t="s">
        <v>36</v>
      </c>
      <c r="C107" s="244" t="n">
        <v>2050</v>
      </c>
    </row>
    <row r="108" customFormat="false" ht="14.25" hidden="false" customHeight="false" outlineLevel="0" collapsed="false">
      <c r="A108" s="211" t="s">
        <v>255</v>
      </c>
      <c r="B108" s="202" t="s">
        <v>28</v>
      </c>
      <c r="C108" s="244" t="n">
        <v>0</v>
      </c>
    </row>
    <row r="109" customFormat="false" ht="14.25" hidden="false" customHeight="false" outlineLevel="0" collapsed="false">
      <c r="A109" s="211" t="s">
        <v>261</v>
      </c>
      <c r="B109" s="202" t="s">
        <v>28</v>
      </c>
      <c r="C109" s="244" t="n">
        <v>0</v>
      </c>
    </row>
    <row r="110" customFormat="false" ht="14.25" hidden="false" customHeight="false" outlineLevel="0" collapsed="false">
      <c r="A110" s="211" t="s">
        <v>557</v>
      </c>
      <c r="B110" s="202"/>
      <c r="C110" s="204" t="n">
        <v>2050</v>
      </c>
    </row>
    <row r="111" customFormat="false" ht="14.25" hidden="false" customHeight="false" outlineLevel="0" collapsed="false">
      <c r="A111" s="216" t="s">
        <v>558</v>
      </c>
      <c r="B111" s="205" t="s">
        <v>28</v>
      </c>
      <c r="C111" s="242" t="n">
        <v>0.8</v>
      </c>
    </row>
    <row r="112" customFormat="false" ht="14.25" hidden="false" customHeight="true" outlineLevel="0" collapsed="false"/>
    <row r="113" customFormat="false" ht="14.25" hidden="false" customHeight="true" outlineLevel="0" collapsed="false">
      <c r="A113" s="200" t="s">
        <v>58</v>
      </c>
      <c r="B113" s="200"/>
      <c r="C113" s="200"/>
      <c r="D113" s="200"/>
      <c r="E113" s="200"/>
    </row>
    <row r="114" customFormat="false" ht="14.25" hidden="false" customHeight="true" outlineLevel="0" collapsed="false">
      <c r="A114" s="236" t="s">
        <v>59</v>
      </c>
      <c r="B114" s="247" t="n">
        <v>4</v>
      </c>
      <c r="C114" s="227" t="s">
        <v>60</v>
      </c>
      <c r="D114" s="202" t="s">
        <v>65</v>
      </c>
      <c r="E114" s="224" t="n">
        <v>-0.012</v>
      </c>
    </row>
    <row r="115" customFormat="false" ht="14.25" hidden="false" customHeight="true" outlineLevel="0" collapsed="false">
      <c r="A115" s="236"/>
      <c r="B115" s="247"/>
      <c r="C115" s="227" t="s">
        <v>62</v>
      </c>
      <c r="D115" s="202" t="s">
        <v>559</v>
      </c>
      <c r="E115" s="204" t="n">
        <v>2017</v>
      </c>
    </row>
    <row r="116" customFormat="false" ht="14.25" hidden="false" customHeight="true" outlineLevel="0" collapsed="false">
      <c r="A116" s="236"/>
      <c r="B116" s="247"/>
      <c r="C116" s="227" t="s">
        <v>63</v>
      </c>
      <c r="D116" s="248"/>
      <c r="E116" s="248"/>
    </row>
    <row r="117" customFormat="false" ht="14.25" hidden="false" customHeight="true" outlineLevel="0" collapsed="false">
      <c r="A117" s="236"/>
      <c r="B117" s="247"/>
      <c r="C117" s="249" t="s">
        <v>64</v>
      </c>
      <c r="D117" s="248"/>
      <c r="E117" s="248"/>
    </row>
    <row r="118" customFormat="false" ht="14.25" hidden="false" customHeight="true" outlineLevel="0" collapsed="false"/>
    <row r="119" customFormat="false" ht="14.25" hidden="false" customHeight="true" outlineLevel="0" collapsed="false"/>
    <row r="120" customFormat="false" ht="24.45" hidden="false" customHeight="false" outlineLevel="0" collapsed="false">
      <c r="A120" s="199" t="s">
        <v>560</v>
      </c>
    </row>
    <row r="121" customFormat="false" ht="17.35" hidden="false" customHeight="false" outlineLevel="0" collapsed="false">
      <c r="A121" s="200" t="s">
        <v>561</v>
      </c>
      <c r="B121" s="200"/>
      <c r="C121" s="200"/>
      <c r="D121" s="200"/>
      <c r="E121" s="200"/>
      <c r="F121" s="200"/>
      <c r="G121" s="200"/>
      <c r="H121" s="200"/>
      <c r="I121" s="200"/>
      <c r="J121" s="200"/>
    </row>
    <row r="122" customFormat="false" ht="14.2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4.25" hidden="false" customHeight="false" outlineLevel="0" collapsed="false">
      <c r="A123" s="250" t="s">
        <v>562</v>
      </c>
      <c r="B123" s="203" t="s">
        <v>563</v>
      </c>
      <c r="C123" s="202" t="s">
        <v>28</v>
      </c>
      <c r="D123" s="251" t="n">
        <v>0.884728649558267</v>
      </c>
      <c r="E123" s="251" t="n">
        <v>0.880334612500551</v>
      </c>
      <c r="F123" s="251" t="n">
        <v>0.875347755270832</v>
      </c>
      <c r="G123" s="251" t="n">
        <v>0.8703</v>
      </c>
      <c r="H123" s="251" t="n">
        <v>0.8651</v>
      </c>
      <c r="I123" s="251" t="n">
        <v>0.85981</v>
      </c>
      <c r="J123" s="223" t="n">
        <v>0.85439</v>
      </c>
    </row>
    <row r="124" customFormat="false" ht="14.25" hidden="false" customHeight="false" outlineLevel="0" collapsed="false">
      <c r="A124" s="250"/>
      <c r="B124" s="203" t="s">
        <v>564</v>
      </c>
      <c r="C124" s="202" t="s">
        <v>28</v>
      </c>
      <c r="D124" s="251" t="n">
        <v>0.115271350441733</v>
      </c>
      <c r="E124" s="251" t="n">
        <v>0.119665387499449</v>
      </c>
      <c r="F124" s="251" t="n">
        <v>0.124652244729168</v>
      </c>
      <c r="G124" s="251" t="n">
        <v>0.1297</v>
      </c>
      <c r="H124" s="251" t="n">
        <v>0.13493</v>
      </c>
      <c r="I124" s="251" t="n">
        <v>0.1402</v>
      </c>
      <c r="J124" s="223" t="n">
        <v>0.14556</v>
      </c>
    </row>
    <row r="125" customFormat="false" ht="14.25" hidden="false" customHeight="false" outlineLevel="0" collapsed="false">
      <c r="A125" s="250"/>
      <c r="B125" s="203" t="s">
        <v>565</v>
      </c>
      <c r="C125" s="202" t="s">
        <v>28</v>
      </c>
      <c r="D125" s="251" t="n">
        <v>0</v>
      </c>
      <c r="E125" s="251" t="n">
        <v>0</v>
      </c>
      <c r="F125" s="251" t="n">
        <v>0</v>
      </c>
      <c r="G125" s="251" t="n">
        <v>0</v>
      </c>
      <c r="H125" s="251" t="n">
        <v>0</v>
      </c>
      <c r="I125" s="251" t="n">
        <v>0</v>
      </c>
      <c r="J125" s="223" t="n">
        <v>0</v>
      </c>
    </row>
    <row r="126" customFormat="false" ht="14.25" hidden="false" customHeight="false" outlineLevel="0" collapsed="false">
      <c r="A126" s="250" t="s">
        <v>566</v>
      </c>
      <c r="B126" s="203" t="s">
        <v>563</v>
      </c>
      <c r="C126" s="202" t="s">
        <v>28</v>
      </c>
      <c r="D126" s="251" t="n">
        <v>0.941542565014448</v>
      </c>
      <c r="E126" s="251" t="n">
        <v>0.900290185698342</v>
      </c>
      <c r="F126" s="251" t="n">
        <v>0.899485949917109</v>
      </c>
      <c r="G126" s="251" t="n">
        <v>0.898682485967326</v>
      </c>
      <c r="H126" s="251" t="n">
        <v>0.897879793054911</v>
      </c>
      <c r="I126" s="251" t="n">
        <v>0.897077870386644</v>
      </c>
      <c r="J126" s="223" t="n">
        <v>0.8962</v>
      </c>
    </row>
    <row r="127" customFormat="false" ht="14.25" hidden="false" customHeight="false" outlineLevel="0" collapsed="false">
      <c r="A127" s="250"/>
      <c r="B127" s="203" t="s">
        <v>564</v>
      </c>
      <c r="C127" s="202" t="s">
        <v>28</v>
      </c>
      <c r="D127" s="251" t="n">
        <v>0.00422316070237831</v>
      </c>
      <c r="E127" s="251" t="n">
        <v>0.00591359689433226</v>
      </c>
      <c r="F127" s="251" t="n">
        <v>0.00606680081830671</v>
      </c>
      <c r="G127" s="251" t="n">
        <v>0.0062248184197547</v>
      </c>
      <c r="H127" s="251" t="n">
        <v>0.00638782522707298</v>
      </c>
      <c r="I127" s="251" t="n">
        <v>0.0065</v>
      </c>
      <c r="J127" s="223" t="n">
        <v>0.00672954375025719</v>
      </c>
    </row>
    <row r="128" customFormat="false" ht="14.25" hidden="false" customHeight="false" outlineLevel="0" collapsed="false">
      <c r="A128" s="250"/>
      <c r="B128" s="203" t="s">
        <v>565</v>
      </c>
      <c r="C128" s="202" t="s">
        <v>28</v>
      </c>
      <c r="D128" s="251" t="n">
        <v>0.054234274283174</v>
      </c>
      <c r="E128" s="251" t="n">
        <v>0.0937962174073255</v>
      </c>
      <c r="F128" s="251" t="n">
        <v>0.0944472492645847</v>
      </c>
      <c r="G128" s="251" t="n">
        <v>0.0951030367253953</v>
      </c>
      <c r="H128" s="251" t="n">
        <v>0.0957636163505924</v>
      </c>
      <c r="I128" s="251" t="n">
        <v>0.096429024995418</v>
      </c>
      <c r="J128" s="223" t="n">
        <v>0.0970992998119844</v>
      </c>
    </row>
    <row r="129" customFormat="false" ht="14.25" hidden="false" customHeight="false" outlineLevel="0" collapsed="false">
      <c r="A129" s="208" t="s">
        <v>567</v>
      </c>
      <c r="B129" s="252"/>
      <c r="C129" s="202" t="s">
        <v>28</v>
      </c>
      <c r="D129" s="251" t="n">
        <v>0.861189801699717</v>
      </c>
      <c r="E129" s="251" t="n">
        <v>0.816445790051332</v>
      </c>
      <c r="F129" s="251" t="n">
        <v>0.797371103788976</v>
      </c>
      <c r="G129" s="251" t="n">
        <v>0.778743906218434</v>
      </c>
      <c r="H129" s="251" t="n">
        <v>0.760553654678055</v>
      </c>
      <c r="I129" s="251" t="n">
        <v>0.742790055964014</v>
      </c>
      <c r="J129" s="223" t="n">
        <v>0.725443060401842</v>
      </c>
    </row>
    <row r="130" customFormat="false" ht="14.25" hidden="false" customHeight="false" outlineLevel="0" collapsed="false">
      <c r="A130" s="208" t="s">
        <v>568</v>
      </c>
      <c r="B130" s="252"/>
      <c r="C130" s="202" t="s">
        <v>569</v>
      </c>
      <c r="D130" s="253" t="n">
        <f aca="false">SUM(D123:D125)</f>
        <v>1</v>
      </c>
      <c r="E130" s="253" t="n">
        <f aca="false">SUM(E123:E125)</f>
        <v>1</v>
      </c>
      <c r="F130" s="253" t="n">
        <f aca="false">SUM(F123:F125)</f>
        <v>1</v>
      </c>
      <c r="G130" s="253" t="n">
        <f aca="false">SUM(G123:G125)</f>
        <v>1</v>
      </c>
      <c r="H130" s="253" t="n">
        <f aca="false">SUM(H123:H125)</f>
        <v>1.00003</v>
      </c>
      <c r="I130" s="253" t="n">
        <f aca="false">SUM(I123:I125)</f>
        <v>1.00001</v>
      </c>
      <c r="J130" s="253" t="n">
        <f aca="false">SUM(J123:J125)</f>
        <v>0.99995</v>
      </c>
    </row>
    <row r="131" customFormat="false" ht="14.25" hidden="false" customHeight="false" outlineLevel="0" collapsed="false">
      <c r="A131" s="254" t="s">
        <v>570</v>
      </c>
      <c r="B131" s="252"/>
      <c r="C131" s="205" t="s">
        <v>569</v>
      </c>
      <c r="D131" s="253" t="n">
        <f aca="false">SUM(D126:D128)</f>
        <v>1</v>
      </c>
      <c r="E131" s="253" t="n">
        <f aca="false">SUM(E126:E128)</f>
        <v>1</v>
      </c>
      <c r="F131" s="253" t="n">
        <f aca="false">SUM(F126:F128)</f>
        <v>1</v>
      </c>
      <c r="G131" s="253" t="n">
        <f aca="false">SUM(G126:G128)</f>
        <v>1.00001034111248</v>
      </c>
      <c r="H131" s="253" t="n">
        <f aca="false">SUM(H126:H128)</f>
        <v>1.00003123463258</v>
      </c>
      <c r="I131" s="253" t="n">
        <f aca="false">SUM(I126:I128)</f>
        <v>1.00000689538206</v>
      </c>
      <c r="J131" s="253" t="n">
        <f aca="false">SUM(J126:J128)</f>
        <v>1.00002884356224</v>
      </c>
    </row>
    <row r="133" customFormat="false" ht="17.35" hidden="false" customHeight="false" outlineLevel="0" collapsed="false">
      <c r="A133" s="200" t="s">
        <v>571</v>
      </c>
      <c r="B133" s="200"/>
      <c r="C133" s="200"/>
      <c r="D133" s="200"/>
      <c r="E133" s="200"/>
      <c r="F133" s="200"/>
      <c r="G133" s="200"/>
      <c r="H133" s="200"/>
      <c r="I133" s="200"/>
    </row>
    <row r="134" customFormat="false" ht="14.25" hidden="false" customHeight="false" outlineLevel="0" collapsed="false">
      <c r="A134" s="208" t="s">
        <v>36</v>
      </c>
      <c r="B134" s="202" t="s">
        <v>36</v>
      </c>
      <c r="C134" s="203" t="n">
        <v>2020</v>
      </c>
      <c r="D134" s="203" t="n">
        <v>2025</v>
      </c>
      <c r="E134" s="203" t="n">
        <v>2030</v>
      </c>
      <c r="F134" s="203" t="n">
        <v>2035</v>
      </c>
      <c r="G134" s="203" t="n">
        <v>2040</v>
      </c>
      <c r="H134" s="203" t="n">
        <v>2045</v>
      </c>
      <c r="I134" s="204" t="n">
        <v>2050</v>
      </c>
    </row>
    <row r="135" customFormat="false" ht="14.25" hidden="false" customHeight="false" outlineLevel="0" collapsed="false">
      <c r="A135" s="250" t="s">
        <v>572</v>
      </c>
      <c r="B135" s="202" t="s">
        <v>573</v>
      </c>
      <c r="C135" s="251" t="n">
        <v>0.806894766766191</v>
      </c>
      <c r="D135" s="251" t="n">
        <v>0.710215421760778</v>
      </c>
      <c r="E135" s="251" t="n">
        <v>0.60650331097056</v>
      </c>
      <c r="F135" s="251" t="n">
        <v>0.519297101522442</v>
      </c>
      <c r="G135" s="251" t="n">
        <v>0.432090892074324</v>
      </c>
      <c r="H135" s="251" t="n">
        <v>0.344884682626206</v>
      </c>
      <c r="I135" s="223" t="n">
        <v>0.272681803709289</v>
      </c>
    </row>
    <row r="136" customFormat="false" ht="14.25" hidden="false" customHeight="false" outlineLevel="0" collapsed="false">
      <c r="A136" s="250"/>
      <c r="B136" s="202" t="s">
        <v>192</v>
      </c>
      <c r="C136" s="251" t="n">
        <v>0.0257197201277087</v>
      </c>
      <c r="D136" s="251" t="n">
        <v>0.0504865457750533</v>
      </c>
      <c r="E136" s="251" t="n">
        <v>0.0725226414272688</v>
      </c>
      <c r="F136" s="251" t="n">
        <v>0.0966968552363585</v>
      </c>
      <c r="G136" s="251" t="n">
        <v>0.120871069045448</v>
      </c>
      <c r="H136" s="251" t="n">
        <v>0.145045282854538</v>
      </c>
      <c r="I136" s="223" t="n">
        <v>0.169219496663627</v>
      </c>
    </row>
    <row r="137" customFormat="false" ht="14.25" hidden="false" customHeight="false" outlineLevel="0" collapsed="false">
      <c r="A137" s="250"/>
      <c r="B137" s="202" t="s">
        <v>374</v>
      </c>
      <c r="C137" s="251" t="n">
        <v>0.14108125388458</v>
      </c>
      <c r="D137" s="251" t="n">
        <v>0.187664065194228</v>
      </c>
      <c r="E137" s="251" t="n">
        <v>0.246803164324282</v>
      </c>
      <c r="F137" s="251" t="n">
        <v>0.285111532204015</v>
      </c>
      <c r="G137" s="251" t="n">
        <v>0.323419900083747</v>
      </c>
      <c r="H137" s="251" t="n">
        <v>0.361728267963479</v>
      </c>
      <c r="I137" s="223" t="n">
        <v>0.38503330531201</v>
      </c>
    </row>
    <row r="138" customFormat="false" ht="14.25" hidden="false" customHeight="false" outlineLevel="0" collapsed="false">
      <c r="A138" s="250"/>
      <c r="B138" s="202" t="s">
        <v>574</v>
      </c>
      <c r="C138" s="251" t="n">
        <v>0.0263042592215203</v>
      </c>
      <c r="D138" s="251" t="n">
        <v>0.0516339672699409</v>
      </c>
      <c r="E138" s="251" t="n">
        <v>0.0741708832778886</v>
      </c>
      <c r="F138" s="251" t="n">
        <v>0.0988945110371848</v>
      </c>
      <c r="G138" s="251" t="n">
        <v>0.123618138796481</v>
      </c>
      <c r="H138" s="251" t="n">
        <v>0.148341766555777</v>
      </c>
      <c r="I138" s="223" t="n">
        <v>0.173065394315073</v>
      </c>
    </row>
    <row r="139" customFormat="false" ht="14.25" hidden="false" customHeight="false" outlineLevel="0" collapsed="false">
      <c r="A139" s="250" t="s">
        <v>564</v>
      </c>
      <c r="B139" s="202" t="s">
        <v>573</v>
      </c>
      <c r="C139" s="251" t="n">
        <v>0.966386554621849</v>
      </c>
      <c r="D139" s="251" t="n">
        <v>0.932773109243698</v>
      </c>
      <c r="E139" s="251" t="n">
        <v>0.899159663865546</v>
      </c>
      <c r="F139" s="251" t="n">
        <v>0.865546218487395</v>
      </c>
      <c r="G139" s="251" t="n">
        <v>0.831932773109244</v>
      </c>
      <c r="H139" s="251" t="n">
        <v>0.798319327731093</v>
      </c>
      <c r="I139" s="223" t="n">
        <v>0.764705882352941</v>
      </c>
    </row>
    <row r="140" customFormat="false" ht="14.25" hidden="false" customHeight="false" outlineLevel="0" collapsed="false">
      <c r="A140" s="250"/>
      <c r="B140" s="202" t="s">
        <v>192</v>
      </c>
      <c r="C140" s="251" t="n">
        <v>0.0336134453781513</v>
      </c>
      <c r="D140" s="251" t="n">
        <v>0.0672268907563025</v>
      </c>
      <c r="E140" s="251" t="n">
        <v>0.100840336134454</v>
      </c>
      <c r="F140" s="251" t="n">
        <v>0.134453781512605</v>
      </c>
      <c r="G140" s="251" t="n">
        <v>0.168067226890756</v>
      </c>
      <c r="H140" s="251" t="n">
        <v>0.201680672268908</v>
      </c>
      <c r="I140" s="223" t="n">
        <v>0.235294117647059</v>
      </c>
    </row>
    <row r="141" customFormat="false" ht="14.25" hidden="false" customHeight="false" outlineLevel="0" collapsed="false">
      <c r="A141" s="250"/>
      <c r="B141" s="202" t="s">
        <v>374</v>
      </c>
      <c r="C141" s="251" t="n">
        <v>0</v>
      </c>
      <c r="D141" s="251" t="n">
        <v>0</v>
      </c>
      <c r="E141" s="251" t="n">
        <v>0</v>
      </c>
      <c r="F141" s="251" t="n">
        <v>0</v>
      </c>
      <c r="G141" s="251" t="n">
        <v>0</v>
      </c>
      <c r="H141" s="251" t="n">
        <v>0</v>
      </c>
      <c r="I141" s="223" t="n">
        <v>0</v>
      </c>
    </row>
    <row r="142" customFormat="false" ht="14.25" hidden="false" customHeight="false" outlineLevel="0" collapsed="false">
      <c r="A142" s="250"/>
      <c r="B142" s="202" t="s">
        <v>574</v>
      </c>
      <c r="C142" s="251" t="n">
        <v>0</v>
      </c>
      <c r="D142" s="251" t="n">
        <v>0</v>
      </c>
      <c r="E142" s="251" t="n">
        <v>0</v>
      </c>
      <c r="F142" s="251" t="n">
        <v>0</v>
      </c>
      <c r="G142" s="251" t="n">
        <v>0</v>
      </c>
      <c r="H142" s="251" t="n">
        <v>0</v>
      </c>
      <c r="I142" s="223" t="n">
        <v>0</v>
      </c>
    </row>
    <row r="143" customFormat="false" ht="14.25" hidden="false" customHeight="false" outlineLevel="0" collapsed="false">
      <c r="A143" s="250" t="s">
        <v>565</v>
      </c>
      <c r="B143" s="202" t="s">
        <v>573</v>
      </c>
      <c r="C143" s="251" t="n">
        <v>0</v>
      </c>
      <c r="D143" s="251" t="n">
        <v>0</v>
      </c>
      <c r="E143" s="251" t="n">
        <v>0</v>
      </c>
      <c r="F143" s="251" t="n">
        <v>0</v>
      </c>
      <c r="G143" s="251" t="n">
        <v>0</v>
      </c>
      <c r="H143" s="251" t="n">
        <v>0</v>
      </c>
      <c r="I143" s="223" t="n">
        <v>0</v>
      </c>
    </row>
    <row r="144" customFormat="false" ht="14.25" hidden="false" customHeight="false" outlineLevel="0" collapsed="false">
      <c r="A144" s="250"/>
      <c r="B144" s="202" t="s">
        <v>192</v>
      </c>
      <c r="C144" s="251" t="n">
        <v>0</v>
      </c>
      <c r="D144" s="251" t="n">
        <v>0</v>
      </c>
      <c r="E144" s="251" t="n">
        <v>0</v>
      </c>
      <c r="F144" s="251" t="n">
        <v>0</v>
      </c>
      <c r="G144" s="251" t="n">
        <v>0</v>
      </c>
      <c r="H144" s="251" t="n">
        <v>0</v>
      </c>
      <c r="I144" s="223" t="n">
        <v>0</v>
      </c>
    </row>
    <row r="145" customFormat="false" ht="14.25" hidden="false" customHeight="false" outlineLevel="0" collapsed="false">
      <c r="A145" s="250"/>
      <c r="B145" s="202" t="s">
        <v>374</v>
      </c>
      <c r="C145" s="251" t="n">
        <v>0</v>
      </c>
      <c r="D145" s="251" t="n">
        <v>0</v>
      </c>
      <c r="E145" s="251" t="n">
        <v>0</v>
      </c>
      <c r="F145" s="251" t="n">
        <v>0</v>
      </c>
      <c r="G145" s="251" t="n">
        <v>0</v>
      </c>
      <c r="H145" s="251" t="n">
        <v>0</v>
      </c>
      <c r="I145" s="223" t="n">
        <v>0</v>
      </c>
    </row>
    <row r="146" customFormat="false" ht="14.25" hidden="false" customHeight="false" outlineLevel="0" collapsed="false">
      <c r="A146" s="250"/>
      <c r="B146" s="202" t="s">
        <v>574</v>
      </c>
      <c r="C146" s="251" t="n">
        <v>0</v>
      </c>
      <c r="D146" s="251" t="n">
        <v>0</v>
      </c>
      <c r="E146" s="251" t="n">
        <v>0</v>
      </c>
      <c r="F146" s="251" t="n">
        <v>0</v>
      </c>
      <c r="G146" s="251" t="n">
        <v>0</v>
      </c>
      <c r="H146" s="251" t="n">
        <v>0</v>
      </c>
      <c r="I146" s="223" t="n">
        <v>0</v>
      </c>
    </row>
    <row r="147" customFormat="false" ht="17.35" hidden="false" customHeight="false" outlineLevel="0" collapsed="false">
      <c r="A147" s="255" t="s">
        <v>575</v>
      </c>
      <c r="B147" s="255"/>
      <c r="C147" s="255"/>
      <c r="D147" s="255"/>
      <c r="E147" s="255"/>
      <c r="F147" s="255"/>
      <c r="G147" s="255"/>
      <c r="H147" s="255"/>
      <c r="I147" s="255"/>
    </row>
    <row r="148" customFormat="false" ht="14.25" hidden="false" customHeight="false" outlineLevel="0" collapsed="false">
      <c r="A148" s="208" t="s">
        <v>36</v>
      </c>
      <c r="B148" s="202" t="s">
        <v>36</v>
      </c>
      <c r="C148" s="203" t="n">
        <v>2020</v>
      </c>
      <c r="D148" s="203" t="n">
        <v>2025</v>
      </c>
      <c r="E148" s="203" t="n">
        <v>2030</v>
      </c>
      <c r="F148" s="203" t="n">
        <v>2035</v>
      </c>
      <c r="G148" s="203" t="n">
        <v>2040</v>
      </c>
      <c r="H148" s="203" t="n">
        <v>2045</v>
      </c>
      <c r="I148" s="204" t="n">
        <v>2050</v>
      </c>
    </row>
    <row r="149" customFormat="false" ht="14.25" hidden="false" customHeight="false" outlineLevel="0" collapsed="false">
      <c r="A149" s="250" t="s">
        <v>572</v>
      </c>
      <c r="B149" s="202" t="s">
        <v>573</v>
      </c>
      <c r="C149" s="251" t="n">
        <v>0.812328070617052</v>
      </c>
      <c r="D149" s="251" t="n">
        <v>0.690704484080468</v>
      </c>
      <c r="E149" s="251" t="n">
        <v>0.581219325384736</v>
      </c>
      <c r="F149" s="251" t="n">
        <v>0.47324615070277</v>
      </c>
      <c r="G149" s="251" t="n">
        <v>0.365272976020804</v>
      </c>
      <c r="H149" s="251" t="n">
        <v>0.257299801338838</v>
      </c>
      <c r="I149" s="223" t="n">
        <v>0.0473264628821185</v>
      </c>
    </row>
    <row r="150" customFormat="false" ht="14.25" hidden="false" customHeight="false" outlineLevel="0" collapsed="false">
      <c r="A150" s="250"/>
      <c r="B150" s="202" t="s">
        <v>192</v>
      </c>
      <c r="C150" s="251" t="n">
        <v>0.0505115435433495</v>
      </c>
      <c r="D150" s="251" t="n">
        <v>0.0639897564814042</v>
      </c>
      <c r="E150" s="251" t="n">
        <v>0.0782975707697648</v>
      </c>
      <c r="F150" s="251" t="n">
        <v>0.0938225342940677</v>
      </c>
      <c r="G150" s="251" t="n">
        <v>0.10934749781837</v>
      </c>
      <c r="H150" s="251" t="n">
        <v>0.124872461342673</v>
      </c>
      <c r="I150" s="223" t="n">
        <v>0.147110104070304</v>
      </c>
    </row>
    <row r="151" customFormat="false" ht="14.25" hidden="false" customHeight="false" outlineLevel="0" collapsed="false">
      <c r="A151" s="250"/>
      <c r="B151" s="202" t="s">
        <v>374</v>
      </c>
      <c r="C151" s="251" t="n">
        <v>0.133646787816532</v>
      </c>
      <c r="D151" s="251" t="n">
        <v>0.238252494368915</v>
      </c>
      <c r="E151" s="251" t="n">
        <v>0.329808059781831</v>
      </c>
      <c r="F151" s="251" t="n">
        <v>0.418734491739984</v>
      </c>
      <c r="G151" s="251" t="n">
        <v>0.507660923698136</v>
      </c>
      <c r="H151" s="251" t="n">
        <v>0.596587355656288</v>
      </c>
      <c r="I151" s="223" t="n">
        <v>0.780910978650999</v>
      </c>
    </row>
    <row r="152" customFormat="false" ht="14.25" hidden="false" customHeight="false" outlineLevel="0" collapsed="false">
      <c r="A152" s="250"/>
      <c r="B152" s="202" t="s">
        <v>574</v>
      </c>
      <c r="C152" s="251" t="n">
        <v>0.00351359802306619</v>
      </c>
      <c r="D152" s="251" t="n">
        <v>0.00705326506921272</v>
      </c>
      <c r="E152" s="251" t="n">
        <v>0.0106750440636676</v>
      </c>
      <c r="F152" s="251" t="n">
        <v>0.0141968232631788</v>
      </c>
      <c r="G152" s="251" t="n">
        <v>0.01771860246269</v>
      </c>
      <c r="H152" s="251" t="n">
        <v>0.0212403816622012</v>
      </c>
      <c r="I152" s="223" t="n">
        <v>0.0246524543965785</v>
      </c>
    </row>
    <row r="153" customFormat="false" ht="14.25" hidden="false" customHeight="false" outlineLevel="0" collapsed="false">
      <c r="A153" s="250" t="s">
        <v>564</v>
      </c>
      <c r="B153" s="202" t="s">
        <v>573</v>
      </c>
      <c r="C153" s="251" t="n">
        <v>0.966386554621849</v>
      </c>
      <c r="D153" s="251" t="n">
        <v>0.932773109243698</v>
      </c>
      <c r="E153" s="251" t="n">
        <v>0.899159663865546</v>
      </c>
      <c r="F153" s="251" t="n">
        <v>0.865546218487395</v>
      </c>
      <c r="G153" s="251" t="n">
        <v>0.831932773109244</v>
      </c>
      <c r="H153" s="251" t="n">
        <v>0.798319327731093</v>
      </c>
      <c r="I153" s="223" t="n">
        <v>0.764705882352941</v>
      </c>
    </row>
    <row r="154" customFormat="false" ht="14.25" hidden="false" customHeight="false" outlineLevel="0" collapsed="false">
      <c r="A154" s="250"/>
      <c r="B154" s="202" t="s">
        <v>192</v>
      </c>
      <c r="C154" s="251" t="n">
        <v>0.0336134453781513</v>
      </c>
      <c r="D154" s="251" t="n">
        <v>0.0672268907563025</v>
      </c>
      <c r="E154" s="251" t="n">
        <v>0.100840336134454</v>
      </c>
      <c r="F154" s="251" t="n">
        <v>0.134453781512605</v>
      </c>
      <c r="G154" s="251" t="n">
        <v>0.168067226890756</v>
      </c>
      <c r="H154" s="251" t="n">
        <v>0.201680672268908</v>
      </c>
      <c r="I154" s="223" t="n">
        <v>0.235294117647059</v>
      </c>
    </row>
    <row r="155" customFormat="false" ht="14.25" hidden="false" customHeight="false" outlineLevel="0" collapsed="false">
      <c r="A155" s="250"/>
      <c r="B155" s="202" t="s">
        <v>374</v>
      </c>
      <c r="C155" s="251" t="n">
        <v>0</v>
      </c>
      <c r="D155" s="251" t="n">
        <v>0</v>
      </c>
      <c r="E155" s="251" t="n">
        <v>0</v>
      </c>
      <c r="F155" s="251" t="n">
        <v>0</v>
      </c>
      <c r="G155" s="251" t="n">
        <v>0</v>
      </c>
      <c r="H155" s="251" t="n">
        <v>0</v>
      </c>
      <c r="I155" s="223" t="n">
        <v>0</v>
      </c>
    </row>
    <row r="156" customFormat="false" ht="14.25" hidden="false" customHeight="false" outlineLevel="0" collapsed="false">
      <c r="A156" s="250"/>
      <c r="B156" s="202" t="s">
        <v>574</v>
      </c>
      <c r="C156" s="251" t="n">
        <v>0</v>
      </c>
      <c r="D156" s="251" t="n">
        <v>0</v>
      </c>
      <c r="E156" s="251" t="n">
        <v>0</v>
      </c>
      <c r="F156" s="251" t="n">
        <v>0</v>
      </c>
      <c r="G156" s="251" t="n">
        <v>0</v>
      </c>
      <c r="H156" s="251" t="n">
        <v>0</v>
      </c>
      <c r="I156" s="223" t="n">
        <v>0</v>
      </c>
    </row>
    <row r="157" customFormat="false" ht="14.25" hidden="false" customHeight="false" outlineLevel="0" collapsed="false">
      <c r="A157" s="250" t="s">
        <v>565</v>
      </c>
      <c r="B157" s="202" t="s">
        <v>573</v>
      </c>
      <c r="C157" s="251" t="n">
        <v>0.997198879551821</v>
      </c>
      <c r="D157" s="251" t="n">
        <v>0.994397759103642</v>
      </c>
      <c r="E157" s="251" t="n">
        <v>0.991596638655462</v>
      </c>
      <c r="F157" s="251" t="n">
        <v>0.988795518207283</v>
      </c>
      <c r="G157" s="251" t="n">
        <v>0.985994397759104</v>
      </c>
      <c r="H157" s="251" t="n">
        <v>0.983193277310924</v>
      </c>
      <c r="I157" s="223" t="n">
        <v>0.980392156862745</v>
      </c>
    </row>
    <row r="158" customFormat="false" ht="14.25" hidden="false" customHeight="false" outlineLevel="0" collapsed="false">
      <c r="A158" s="250"/>
      <c r="B158" s="202" t="s">
        <v>192</v>
      </c>
      <c r="C158" s="251" t="n">
        <v>0</v>
      </c>
      <c r="D158" s="251" t="n">
        <v>0</v>
      </c>
      <c r="E158" s="251" t="n">
        <v>0</v>
      </c>
      <c r="F158" s="251" t="n">
        <v>0</v>
      </c>
      <c r="G158" s="251" t="n">
        <v>0</v>
      </c>
      <c r="H158" s="251" t="n">
        <v>0</v>
      </c>
      <c r="I158" s="223" t="n">
        <v>0</v>
      </c>
    </row>
    <row r="159" customFormat="false" ht="14.25" hidden="false" customHeight="false" outlineLevel="0" collapsed="false">
      <c r="A159" s="250"/>
      <c r="B159" s="202" t="s">
        <v>374</v>
      </c>
      <c r="C159" s="251" t="n">
        <v>0.00280112044817927</v>
      </c>
      <c r="D159" s="251" t="n">
        <v>0.00560224089635854</v>
      </c>
      <c r="E159" s="251" t="n">
        <v>0.00840336134453782</v>
      </c>
      <c r="F159" s="251" t="n">
        <v>0.0112044817927171</v>
      </c>
      <c r="G159" s="251" t="n">
        <v>0.0140056022408964</v>
      </c>
      <c r="H159" s="251" t="n">
        <v>0.0168067226890756</v>
      </c>
      <c r="I159" s="223" t="n">
        <v>0.0196078431372549</v>
      </c>
    </row>
    <row r="160" customFormat="false" ht="14.25" hidden="false" customHeight="false" outlineLevel="0" collapsed="false">
      <c r="A160" s="250"/>
      <c r="B160" s="202" t="s">
        <v>574</v>
      </c>
      <c r="C160" s="251" t="n">
        <v>0</v>
      </c>
      <c r="D160" s="251" t="n">
        <v>0</v>
      </c>
      <c r="E160" s="251" t="n">
        <v>0</v>
      </c>
      <c r="F160" s="251" t="n">
        <v>0</v>
      </c>
      <c r="G160" s="251" t="n">
        <v>0</v>
      </c>
      <c r="H160" s="251" t="n">
        <v>0</v>
      </c>
      <c r="I160" s="223" t="n">
        <v>0</v>
      </c>
    </row>
    <row r="161" customFormat="false" ht="14.25" hidden="false" customHeight="false" outlineLevel="0" collapsed="false">
      <c r="A161" s="201" t="s">
        <v>576</v>
      </c>
      <c r="B161" s="202" t="s">
        <v>573</v>
      </c>
      <c r="C161" s="251" t="n">
        <v>0.828710839598997</v>
      </c>
      <c r="D161" s="251" t="n">
        <v>0.696621510611267</v>
      </c>
      <c r="E161" s="251" t="n">
        <v>0.564597266908706</v>
      </c>
      <c r="F161" s="251" t="n">
        <v>0.4325196526178</v>
      </c>
      <c r="G161" s="251" t="n">
        <v>0.300442038326894</v>
      </c>
      <c r="H161" s="251" t="n">
        <v>0.168364424035988</v>
      </c>
      <c r="I161" s="223" t="n">
        <v>0.0362868097450825</v>
      </c>
    </row>
    <row r="162" customFormat="false" ht="14.25" hidden="false" customHeight="false" outlineLevel="0" collapsed="false">
      <c r="A162" s="201"/>
      <c r="B162" s="202" t="s">
        <v>192</v>
      </c>
      <c r="C162" s="251" t="n">
        <v>0.0569658521303258</v>
      </c>
      <c r="D162" s="251" t="n">
        <v>0.075022347727485</v>
      </c>
      <c r="E162" s="251" t="n">
        <v>0.0930658402211721</v>
      </c>
      <c r="F162" s="251" t="n">
        <v>0.111123391308862</v>
      </c>
      <c r="G162" s="251" t="n">
        <v>0.129180942396552</v>
      </c>
      <c r="H162" s="251" t="n">
        <v>0.147238493484242</v>
      </c>
      <c r="I162" s="223" t="n">
        <v>0.165296044571933</v>
      </c>
    </row>
    <row r="163" customFormat="false" ht="14.25" hidden="false" customHeight="false" outlineLevel="0" collapsed="false">
      <c r="A163" s="201"/>
      <c r="B163" s="202" t="s">
        <v>374</v>
      </c>
      <c r="C163" s="251" t="n">
        <v>0.111544486215539</v>
      </c>
      <c r="D163" s="251" t="n">
        <v>0.222798930718471</v>
      </c>
      <c r="E163" s="251" t="n">
        <v>0.334002638521957</v>
      </c>
      <c r="F163" s="251" t="n">
        <v>0.445244616942451</v>
      </c>
      <c r="G163" s="251" t="n">
        <v>0.556486595362946</v>
      </c>
      <c r="H163" s="251" t="n">
        <v>0.66772857378344</v>
      </c>
      <c r="I163" s="223" t="n">
        <v>0.778970552203934</v>
      </c>
    </row>
    <row r="164" customFormat="false" ht="14.25" hidden="false" customHeight="false" outlineLevel="0" collapsed="false">
      <c r="A164" s="201"/>
      <c r="B164" s="205" t="s">
        <v>574</v>
      </c>
      <c r="C164" s="206" t="n">
        <v>0.00277882205513784</v>
      </c>
      <c r="D164" s="206" t="n">
        <v>0.00555721094277666</v>
      </c>
      <c r="E164" s="206" t="n">
        <v>0.00833425434816467</v>
      </c>
      <c r="F164" s="206" t="n">
        <v>0.0111123391308862</v>
      </c>
      <c r="G164" s="206" t="n">
        <v>0.0138904239136078</v>
      </c>
      <c r="H164" s="206" t="n">
        <v>0.0166685086963293</v>
      </c>
      <c r="I164" s="207" t="n">
        <v>0.0194465934790509</v>
      </c>
    </row>
    <row r="165" customFormat="false" ht="14.25" hidden="false" customHeight="false" outlineLevel="0" collapsed="false">
      <c r="A165" s="256"/>
      <c r="B165" s="256"/>
      <c r="C165" s="256"/>
      <c r="D165" s="256"/>
      <c r="E165" s="256"/>
      <c r="F165" s="256"/>
      <c r="G165" s="256"/>
      <c r="H165" s="256"/>
      <c r="I165" s="256"/>
      <c r="J165" s="256"/>
      <c r="K165" s="256"/>
      <c r="L165" s="256"/>
      <c r="M165" s="256"/>
      <c r="N165" s="256"/>
      <c r="O165" s="256"/>
      <c r="P165" s="256"/>
      <c r="Q165" s="256"/>
      <c r="R165" s="256"/>
      <c r="S165" s="256"/>
      <c r="T165" s="256"/>
      <c r="U165" s="256"/>
      <c r="V165" s="256"/>
      <c r="W165" s="256"/>
      <c r="X165" s="256"/>
      <c r="Y165" s="256"/>
      <c r="Z165" s="256"/>
      <c r="AA165" s="256"/>
      <c r="AB165" s="256"/>
      <c r="AC165" s="256"/>
      <c r="AD165" s="256"/>
      <c r="AE165" s="256"/>
      <c r="AF165" s="256"/>
      <c r="AG165" s="256"/>
      <c r="AH165" s="256"/>
      <c r="AI165" s="256"/>
      <c r="AJ165" s="256"/>
      <c r="AK165" s="256"/>
      <c r="AL165" s="256"/>
      <c r="AM165" s="256"/>
      <c r="AN165" s="256"/>
      <c r="AO165" s="256"/>
      <c r="AP165" s="256"/>
      <c r="AQ165" s="256"/>
      <c r="AR165" s="256"/>
      <c r="AS165" s="256"/>
      <c r="AT165" s="256"/>
      <c r="AU165" s="256"/>
      <c r="AV165" s="256"/>
      <c r="AW165" s="256"/>
      <c r="AX165" s="256"/>
      <c r="AY165" s="256"/>
    </row>
    <row r="166" customFormat="false" ht="15" hidden="false" customHeight="true" outlineLevel="0" collapsed="false"/>
    <row r="167" customFormat="false" ht="21.75" hidden="false" customHeight="true" outlineLevel="0" collapsed="false">
      <c r="A167" s="199" t="s">
        <v>577</v>
      </c>
    </row>
    <row r="168" customFormat="false" ht="17.35" hidden="false" customHeight="false" outlineLevel="0" collapsed="false">
      <c r="A168" s="200" t="s">
        <v>317</v>
      </c>
      <c r="B168" s="200"/>
      <c r="C168" s="200"/>
      <c r="D168" s="200"/>
      <c r="E168" s="200"/>
    </row>
    <row r="169" customFormat="false" ht="85.5" hidden="false" customHeight="true" outlineLevel="0" collapsed="false">
      <c r="A169" s="257" t="s">
        <v>318</v>
      </c>
      <c r="B169" s="257"/>
      <c r="C169" s="257"/>
      <c r="D169" s="257"/>
      <c r="E169" s="257"/>
    </row>
    <row r="170" customFormat="false" ht="15" hidden="false" customHeight="true" outlineLevel="0" collapsed="false">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row>
    <row r="171" customFormat="false" ht="13.5" hidden="false" customHeight="true" outlineLevel="0" collapsed="false">
      <c r="A171" s="258" t="s">
        <v>319</v>
      </c>
      <c r="B171" s="259" t="s">
        <v>320</v>
      </c>
      <c r="C171" s="260" t="n">
        <v>3</v>
      </c>
      <c r="D171" s="78"/>
      <c r="F171" s="78"/>
      <c r="G171" s="78"/>
      <c r="H171" s="78"/>
      <c r="I171" s="78"/>
      <c r="J171" s="78"/>
      <c r="K171" s="149"/>
      <c r="L171" s="149"/>
      <c r="M171" s="78"/>
      <c r="N171" s="78"/>
    </row>
    <row r="172" customFormat="false" ht="14.25" hidden="false" customHeight="false" outlineLevel="0" collapsed="false">
      <c r="A172" s="258"/>
      <c r="B172" s="202" t="s">
        <v>321</v>
      </c>
      <c r="C172" s="260"/>
      <c r="D172" s="151"/>
      <c r="E172" s="151"/>
      <c r="F172" s="151"/>
      <c r="G172" s="151"/>
      <c r="H172" s="151"/>
      <c r="I172" s="151"/>
      <c r="J172" s="151"/>
      <c r="K172" s="151"/>
      <c r="L172" s="151"/>
      <c r="M172" s="151"/>
      <c r="N172" s="151"/>
    </row>
    <row r="173" customFormat="false" ht="28.5" hidden="false" customHeight="true" outlineLevel="0" collapsed="false">
      <c r="A173" s="258"/>
      <c r="B173" s="205" t="s">
        <v>322</v>
      </c>
      <c r="C173" s="260"/>
      <c r="D173" s="78"/>
      <c r="E173" s="78"/>
      <c r="F173" s="78"/>
      <c r="G173" s="78"/>
      <c r="H173" s="78"/>
      <c r="I173" s="78"/>
      <c r="J173" s="78"/>
      <c r="K173" s="78"/>
      <c r="L173" s="78"/>
      <c r="M173" s="78"/>
      <c r="N173" s="78"/>
    </row>
    <row r="175" customFormat="false" ht="15.75" hidden="false" customHeight="true" outlineLevel="0" collapsed="false">
      <c r="A175" s="200" t="s">
        <v>323</v>
      </c>
      <c r="B175" s="200"/>
      <c r="C175" s="200"/>
    </row>
    <row r="176" customFormat="false" ht="14.25" hidden="false" customHeight="false" outlineLevel="0" collapsed="false">
      <c r="A176" s="208" t="s">
        <v>324</v>
      </c>
      <c r="B176" s="202" t="s">
        <v>28</v>
      </c>
      <c r="C176" s="204" t="n">
        <v>0.3</v>
      </c>
    </row>
    <row r="177" customFormat="false" ht="31.3" hidden="false" customHeight="false" outlineLevel="0" collapsed="false">
      <c r="A177" s="261" t="s">
        <v>326</v>
      </c>
      <c r="B177" s="205" t="s">
        <v>327</v>
      </c>
      <c r="C177" s="246" t="n">
        <v>0.031</v>
      </c>
    </row>
    <row r="178" customFormat="false" ht="15.75" hidden="false" customHeight="true" outlineLevel="0" collapsed="false">
      <c r="A178" s="237" t="s">
        <v>578</v>
      </c>
      <c r="B178" s="237"/>
      <c r="C178" s="262" t="s">
        <v>576</v>
      </c>
      <c r="D178" s="262" t="s">
        <v>579</v>
      </c>
      <c r="E178" s="262" t="s">
        <v>362</v>
      </c>
      <c r="F178" s="262" t="s">
        <v>580</v>
      </c>
      <c r="G178" s="262" t="s">
        <v>581</v>
      </c>
      <c r="H178" s="262" t="s">
        <v>582</v>
      </c>
      <c r="I178" s="262" t="s">
        <v>583</v>
      </c>
      <c r="J178" s="262" t="s">
        <v>354</v>
      </c>
      <c r="K178" s="262" t="s">
        <v>584</v>
      </c>
      <c r="L178" s="262" t="s">
        <v>585</v>
      </c>
      <c r="M178" s="262" t="s">
        <v>586</v>
      </c>
      <c r="N178" s="262" t="s">
        <v>587</v>
      </c>
      <c r="O178" s="262" t="s">
        <v>588</v>
      </c>
      <c r="P178" s="262" t="s">
        <v>589</v>
      </c>
      <c r="Q178" s="263" t="s">
        <v>590</v>
      </c>
      <c r="R178" s="263" t="s">
        <v>338</v>
      </c>
      <c r="S178" s="263" t="s">
        <v>591</v>
      </c>
      <c r="T178" s="263" t="s">
        <v>592</v>
      </c>
      <c r="U178" s="263" t="s">
        <v>593</v>
      </c>
      <c r="V178" s="263" t="s">
        <v>594</v>
      </c>
      <c r="W178" s="263" t="s">
        <v>595</v>
      </c>
      <c r="X178" s="263" t="s">
        <v>596</v>
      </c>
      <c r="Y178" s="263" t="s">
        <v>597</v>
      </c>
      <c r="Z178" s="263" t="s">
        <v>598</v>
      </c>
      <c r="AA178" s="263" t="s">
        <v>599</v>
      </c>
      <c r="AB178" s="263" t="s">
        <v>351</v>
      </c>
      <c r="AC178" s="263" t="s">
        <v>361</v>
      </c>
      <c r="AD178" s="263" t="s">
        <v>600</v>
      </c>
    </row>
    <row r="179" customFormat="false" ht="14.25" hidden="false" customHeight="false" outlineLevel="0" collapsed="false">
      <c r="A179" s="264" t="s">
        <v>374</v>
      </c>
      <c r="B179" s="264"/>
      <c r="C179" s="265" t="n">
        <v>2030</v>
      </c>
      <c r="D179" s="265" t="n">
        <v>2030</v>
      </c>
      <c r="E179" s="265" t="n">
        <v>2030</v>
      </c>
      <c r="F179" s="265" t="n">
        <v>2030</v>
      </c>
      <c r="G179" s="265" t="n">
        <v>2030</v>
      </c>
      <c r="H179" s="265" t="n">
        <v>2030</v>
      </c>
      <c r="I179" s="265" t="n">
        <v>2030</v>
      </c>
      <c r="J179" s="265" t="n">
        <v>2030</v>
      </c>
      <c r="K179" s="265" t="n">
        <v>2030</v>
      </c>
      <c r="L179" s="265" t="n">
        <v>2030</v>
      </c>
      <c r="M179" s="265" t="n">
        <v>2030</v>
      </c>
      <c r="N179" s="265" t="n">
        <v>2030</v>
      </c>
      <c r="O179" s="265" t="n">
        <v>2030</v>
      </c>
      <c r="P179" s="265" t="n">
        <v>2030</v>
      </c>
      <c r="Q179" s="266" t="n">
        <v>2030</v>
      </c>
      <c r="R179" s="266" t="n">
        <v>2030</v>
      </c>
      <c r="S179" s="266" t="n">
        <v>2030</v>
      </c>
      <c r="T179" s="266" t="n">
        <v>2030</v>
      </c>
      <c r="U179" s="266" t="n">
        <v>2030</v>
      </c>
      <c r="V179" s="266" t="n">
        <v>2030</v>
      </c>
      <c r="W179" s="266" t="n">
        <v>2030</v>
      </c>
      <c r="X179" s="266" t="n">
        <v>2030</v>
      </c>
      <c r="Y179" s="266" t="n">
        <v>2030</v>
      </c>
      <c r="Z179" s="266" t="n">
        <v>2030</v>
      </c>
      <c r="AA179" s="266" t="n">
        <v>2030</v>
      </c>
      <c r="AB179" s="266" t="n">
        <v>2030</v>
      </c>
      <c r="AC179" s="266" t="n">
        <v>2030</v>
      </c>
      <c r="AD179" s="266" t="n">
        <v>2030</v>
      </c>
    </row>
    <row r="180" customFormat="false" ht="14.25" hidden="false" customHeight="false" outlineLevel="0" collapsed="false">
      <c r="A180" s="264" t="s">
        <v>375</v>
      </c>
      <c r="B180" s="264"/>
      <c r="C180" s="265" t="n">
        <v>2030</v>
      </c>
      <c r="D180" s="265" t="n">
        <v>2030</v>
      </c>
      <c r="E180" s="265" t="n">
        <v>2030</v>
      </c>
      <c r="F180" s="265" t="n">
        <v>2030</v>
      </c>
      <c r="G180" s="265" t="n">
        <v>2030</v>
      </c>
      <c r="H180" s="265" t="n">
        <v>2030</v>
      </c>
      <c r="I180" s="265" t="n">
        <v>2030</v>
      </c>
      <c r="J180" s="265" t="n">
        <v>2030</v>
      </c>
      <c r="K180" s="265" t="n">
        <v>2030</v>
      </c>
      <c r="L180" s="265" t="n">
        <v>2030</v>
      </c>
      <c r="M180" s="265" t="n">
        <v>2030</v>
      </c>
      <c r="N180" s="265" t="n">
        <v>2030</v>
      </c>
      <c r="O180" s="265" t="n">
        <v>2030</v>
      </c>
      <c r="P180" s="265" t="n">
        <v>2030</v>
      </c>
      <c r="Q180" s="266" t="n">
        <v>2030</v>
      </c>
      <c r="R180" s="266" t="n">
        <v>2030</v>
      </c>
      <c r="S180" s="266" t="n">
        <v>2030</v>
      </c>
      <c r="T180" s="266" t="n">
        <v>2030</v>
      </c>
      <c r="U180" s="266" t="n">
        <v>2030</v>
      </c>
      <c r="V180" s="266" t="n">
        <v>2030</v>
      </c>
      <c r="W180" s="266" t="n">
        <v>2030</v>
      </c>
      <c r="X180" s="266" t="n">
        <v>2030</v>
      </c>
      <c r="Y180" s="266" t="n">
        <v>2030</v>
      </c>
      <c r="Z180" s="266" t="n">
        <v>2030</v>
      </c>
      <c r="AA180" s="266" t="n">
        <v>2030</v>
      </c>
      <c r="AB180" s="266" t="n">
        <v>2030</v>
      </c>
      <c r="AC180" s="266" t="n">
        <v>2030</v>
      </c>
      <c r="AD180" s="266" t="n">
        <v>2030</v>
      </c>
    </row>
    <row r="181" customFormat="false" ht="14.25" hidden="false" customHeight="false" outlineLevel="0" collapsed="false">
      <c r="A181" s="264" t="s">
        <v>376</v>
      </c>
      <c r="B181" s="264"/>
      <c r="C181" s="265" t="n">
        <v>2030</v>
      </c>
      <c r="D181" s="265" t="n">
        <v>2030</v>
      </c>
      <c r="E181" s="265" t="n">
        <v>2030</v>
      </c>
      <c r="F181" s="265" t="n">
        <v>2030</v>
      </c>
      <c r="G181" s="265" t="n">
        <v>2030</v>
      </c>
      <c r="H181" s="265" t="n">
        <v>2030</v>
      </c>
      <c r="I181" s="265" t="n">
        <v>2030</v>
      </c>
      <c r="J181" s="265" t="n">
        <v>2030</v>
      </c>
      <c r="K181" s="265" t="n">
        <v>2030</v>
      </c>
      <c r="L181" s="265" t="n">
        <v>2030</v>
      </c>
      <c r="M181" s="265" t="n">
        <v>2030</v>
      </c>
      <c r="N181" s="265" t="n">
        <v>2030</v>
      </c>
      <c r="O181" s="265" t="n">
        <v>2030</v>
      </c>
      <c r="P181" s="265" t="n">
        <v>2030</v>
      </c>
      <c r="Q181" s="266" t="n">
        <v>2030</v>
      </c>
      <c r="R181" s="266" t="n">
        <v>2030</v>
      </c>
      <c r="S181" s="266" t="n">
        <v>2030</v>
      </c>
      <c r="T181" s="266" t="n">
        <v>2030</v>
      </c>
      <c r="U181" s="266" t="n">
        <v>2030</v>
      </c>
      <c r="V181" s="266" t="n">
        <v>2030</v>
      </c>
      <c r="W181" s="266" t="n">
        <v>2030</v>
      </c>
      <c r="X181" s="266" t="n">
        <v>2030</v>
      </c>
      <c r="Y181" s="266" t="n">
        <v>2030</v>
      </c>
      <c r="Z181" s="266" t="n">
        <v>2030</v>
      </c>
      <c r="AA181" s="266" t="n">
        <v>2030</v>
      </c>
      <c r="AB181" s="266" t="n">
        <v>2030</v>
      </c>
      <c r="AC181" s="266" t="n">
        <v>2030</v>
      </c>
      <c r="AD181" s="266" t="n">
        <v>2030</v>
      </c>
    </row>
    <row r="182" customFormat="false" ht="14.25" hidden="false" customHeight="false" outlineLevel="0" collapsed="false">
      <c r="A182" s="264" t="s">
        <v>377</v>
      </c>
      <c r="B182" s="264"/>
      <c r="C182" s="265" t="n">
        <v>2030</v>
      </c>
      <c r="D182" s="265" t="n">
        <v>2030</v>
      </c>
      <c r="E182" s="265" t="n">
        <v>2030</v>
      </c>
      <c r="F182" s="265" t="n">
        <v>2030</v>
      </c>
      <c r="G182" s="265" t="n">
        <v>2030</v>
      </c>
      <c r="H182" s="265" t="n">
        <v>2030</v>
      </c>
      <c r="I182" s="265" t="n">
        <v>2030</v>
      </c>
      <c r="J182" s="265" t="n">
        <v>2030</v>
      </c>
      <c r="K182" s="265" t="n">
        <v>2030</v>
      </c>
      <c r="L182" s="265" t="n">
        <v>2030</v>
      </c>
      <c r="M182" s="265" t="n">
        <v>2030</v>
      </c>
      <c r="N182" s="265" t="n">
        <v>2030</v>
      </c>
      <c r="O182" s="265" t="n">
        <v>2030</v>
      </c>
      <c r="P182" s="265" t="n">
        <v>2030</v>
      </c>
      <c r="Q182" s="266" t="n">
        <v>2030</v>
      </c>
      <c r="R182" s="266" t="n">
        <v>2030</v>
      </c>
      <c r="S182" s="266" t="n">
        <v>2030</v>
      </c>
      <c r="T182" s="266" t="n">
        <v>2030</v>
      </c>
      <c r="U182" s="266" t="n">
        <v>2030</v>
      </c>
      <c r="V182" s="266" t="n">
        <v>2030</v>
      </c>
      <c r="W182" s="266" t="n">
        <v>2030</v>
      </c>
      <c r="X182" s="266" t="n">
        <v>2030</v>
      </c>
      <c r="Y182" s="266" t="n">
        <v>2030</v>
      </c>
      <c r="Z182" s="266" t="n">
        <v>2030</v>
      </c>
      <c r="AA182" s="266" t="n">
        <v>2030</v>
      </c>
      <c r="AB182" s="266" t="n">
        <v>2030</v>
      </c>
      <c r="AC182" s="266" t="n">
        <v>2030</v>
      </c>
      <c r="AD182" s="266" t="n">
        <v>2030</v>
      </c>
    </row>
    <row r="183" customFormat="false" ht="14.25" hidden="false" customHeight="false" outlineLevel="0" collapsed="false">
      <c r="A183" s="264" t="s">
        <v>378</v>
      </c>
      <c r="B183" s="264"/>
      <c r="C183" s="265" t="n">
        <v>2030</v>
      </c>
      <c r="D183" s="265" t="n">
        <v>2030</v>
      </c>
      <c r="E183" s="265" t="n">
        <v>2030</v>
      </c>
      <c r="F183" s="265" t="n">
        <v>2030</v>
      </c>
      <c r="G183" s="265" t="n">
        <v>2030</v>
      </c>
      <c r="H183" s="265" t="n">
        <v>2030</v>
      </c>
      <c r="I183" s="265" t="n">
        <v>2030</v>
      </c>
      <c r="J183" s="265" t="n">
        <v>2030</v>
      </c>
      <c r="K183" s="265" t="n">
        <v>2030</v>
      </c>
      <c r="L183" s="265" t="n">
        <v>2030</v>
      </c>
      <c r="M183" s="265" t="n">
        <v>2030</v>
      </c>
      <c r="N183" s="265" t="n">
        <v>2030</v>
      </c>
      <c r="O183" s="265" t="n">
        <v>2030</v>
      </c>
      <c r="P183" s="265" t="n">
        <v>2030</v>
      </c>
      <c r="Q183" s="266" t="n">
        <v>2030</v>
      </c>
      <c r="R183" s="266" t="n">
        <v>2030</v>
      </c>
      <c r="S183" s="266" t="n">
        <v>2030</v>
      </c>
      <c r="T183" s="266" t="n">
        <v>2030</v>
      </c>
      <c r="U183" s="266" t="n">
        <v>2030</v>
      </c>
      <c r="V183" s="266" t="n">
        <v>2030</v>
      </c>
      <c r="W183" s="266" t="n">
        <v>2030</v>
      </c>
      <c r="X183" s="266" t="n">
        <v>2030</v>
      </c>
      <c r="Y183" s="266" t="n">
        <v>2030</v>
      </c>
      <c r="Z183" s="266" t="n">
        <v>2030</v>
      </c>
      <c r="AA183" s="266" t="n">
        <v>2030</v>
      </c>
      <c r="AB183" s="266" t="n">
        <v>2030</v>
      </c>
      <c r="AC183" s="266" t="n">
        <v>2030</v>
      </c>
      <c r="AD183" s="266" t="n">
        <v>2030</v>
      </c>
    </row>
    <row r="184" customFormat="false" ht="15.75" hidden="false" customHeight="true" outlineLevel="0" collapsed="false">
      <c r="A184" s="200" t="s">
        <v>601</v>
      </c>
      <c r="B184" s="200"/>
      <c r="C184" s="200"/>
      <c r="D184" s="200"/>
      <c r="E184" s="200"/>
      <c r="F184" s="200"/>
      <c r="G184" s="200"/>
      <c r="H184" s="200"/>
      <c r="I184" s="200"/>
      <c r="J184" s="200"/>
      <c r="K184" s="200"/>
      <c r="L184" s="200"/>
      <c r="M184" s="200"/>
      <c r="N184" s="200"/>
      <c r="O184" s="200"/>
      <c r="P184" s="200"/>
      <c r="Q184" s="200"/>
    </row>
    <row r="185" customFormat="false" ht="14.25" hidden="false" customHeight="false" outlineLevel="0" collapsed="false">
      <c r="A185" s="264" t="s">
        <v>374</v>
      </c>
      <c r="B185" s="264"/>
      <c r="C185" s="265" t="n">
        <v>1</v>
      </c>
      <c r="D185" s="265" t="n">
        <v>1</v>
      </c>
      <c r="E185" s="265" t="n">
        <v>1</v>
      </c>
      <c r="F185" s="265" t="n">
        <v>1</v>
      </c>
      <c r="G185" s="265" t="n">
        <v>1</v>
      </c>
      <c r="H185" s="265" t="n">
        <v>1</v>
      </c>
      <c r="I185" s="265" t="n">
        <v>1</v>
      </c>
      <c r="J185" s="265" t="n">
        <v>1</v>
      </c>
      <c r="K185" s="265" t="n">
        <v>1</v>
      </c>
      <c r="L185" s="265" t="n">
        <v>1</v>
      </c>
      <c r="M185" s="265" t="n">
        <v>1</v>
      </c>
      <c r="N185" s="265" t="n">
        <v>1</v>
      </c>
      <c r="O185" s="265" t="n">
        <v>1</v>
      </c>
      <c r="P185" s="265" t="n">
        <v>1</v>
      </c>
      <c r="Q185" s="266" t="n">
        <v>1</v>
      </c>
      <c r="R185" s="266" t="n">
        <v>1</v>
      </c>
      <c r="S185" s="266" t="n">
        <v>1</v>
      </c>
      <c r="T185" s="266" t="n">
        <v>1</v>
      </c>
      <c r="U185" s="266" t="n">
        <v>1</v>
      </c>
      <c r="V185" s="266" t="n">
        <v>1</v>
      </c>
      <c r="W185" s="266" t="n">
        <v>1</v>
      </c>
      <c r="X185" s="266" t="n">
        <v>1</v>
      </c>
      <c r="Y185" s="266" t="n">
        <v>1</v>
      </c>
      <c r="Z185" s="266" t="n">
        <v>1</v>
      </c>
      <c r="AA185" s="266" t="n">
        <v>1</v>
      </c>
      <c r="AB185" s="266" t="n">
        <v>1</v>
      </c>
      <c r="AC185" s="266" t="n">
        <v>1</v>
      </c>
      <c r="AD185" s="266" t="n">
        <v>1</v>
      </c>
    </row>
    <row r="186" customFormat="false" ht="14.25" hidden="false" customHeight="false" outlineLevel="0" collapsed="false">
      <c r="A186" s="264" t="s">
        <v>375</v>
      </c>
      <c r="B186" s="264"/>
      <c r="C186" s="265" t="n">
        <v>1</v>
      </c>
      <c r="D186" s="265" t="n">
        <v>1</v>
      </c>
      <c r="E186" s="265" t="n">
        <v>1</v>
      </c>
      <c r="F186" s="265" t="n">
        <v>1</v>
      </c>
      <c r="G186" s="265" t="n">
        <v>1</v>
      </c>
      <c r="H186" s="265" t="n">
        <v>1</v>
      </c>
      <c r="I186" s="265" t="n">
        <v>1</v>
      </c>
      <c r="J186" s="265" t="n">
        <v>1</v>
      </c>
      <c r="K186" s="265" t="n">
        <v>1</v>
      </c>
      <c r="L186" s="265" t="n">
        <v>1</v>
      </c>
      <c r="M186" s="265" t="n">
        <v>1</v>
      </c>
      <c r="N186" s="265" t="n">
        <v>1</v>
      </c>
      <c r="O186" s="265" t="n">
        <v>1</v>
      </c>
      <c r="P186" s="265" t="n">
        <v>1</v>
      </c>
      <c r="Q186" s="266" t="n">
        <v>1</v>
      </c>
      <c r="R186" s="266" t="n">
        <v>1</v>
      </c>
      <c r="S186" s="266" t="n">
        <v>1</v>
      </c>
      <c r="T186" s="266" t="n">
        <v>1</v>
      </c>
      <c r="U186" s="266" t="n">
        <v>1</v>
      </c>
      <c r="V186" s="266" t="n">
        <v>1</v>
      </c>
      <c r="W186" s="266" t="n">
        <v>1</v>
      </c>
      <c r="X186" s="266" t="n">
        <v>1</v>
      </c>
      <c r="Y186" s="266" t="n">
        <v>1</v>
      </c>
      <c r="Z186" s="266" t="n">
        <v>1</v>
      </c>
      <c r="AA186" s="266" t="n">
        <v>1</v>
      </c>
      <c r="AB186" s="266" t="n">
        <v>1</v>
      </c>
      <c r="AC186" s="266" t="n">
        <v>1</v>
      </c>
      <c r="AD186" s="266" t="n">
        <v>1</v>
      </c>
    </row>
    <row r="187" customFormat="false" ht="14.25" hidden="false" customHeight="false" outlineLevel="0" collapsed="false">
      <c r="A187" s="264" t="s">
        <v>376</v>
      </c>
      <c r="B187" s="264"/>
      <c r="C187" s="265" t="n">
        <v>1</v>
      </c>
      <c r="D187" s="265" t="n">
        <v>1</v>
      </c>
      <c r="E187" s="265" t="n">
        <v>1</v>
      </c>
      <c r="F187" s="265" t="n">
        <v>1</v>
      </c>
      <c r="G187" s="265" t="n">
        <v>1</v>
      </c>
      <c r="H187" s="265" t="n">
        <v>1</v>
      </c>
      <c r="I187" s="265" t="n">
        <v>1</v>
      </c>
      <c r="J187" s="265" t="n">
        <v>1</v>
      </c>
      <c r="K187" s="265" t="n">
        <v>1</v>
      </c>
      <c r="L187" s="265" t="n">
        <v>1</v>
      </c>
      <c r="M187" s="265" t="n">
        <v>1</v>
      </c>
      <c r="N187" s="265" t="n">
        <v>1</v>
      </c>
      <c r="O187" s="265" t="n">
        <v>1</v>
      </c>
      <c r="P187" s="265" t="n">
        <v>1</v>
      </c>
      <c r="Q187" s="266" t="n">
        <v>1</v>
      </c>
      <c r="R187" s="266" t="n">
        <v>1</v>
      </c>
      <c r="S187" s="266" t="n">
        <v>1</v>
      </c>
      <c r="T187" s="266" t="n">
        <v>1</v>
      </c>
      <c r="U187" s="266" t="n">
        <v>1</v>
      </c>
      <c r="V187" s="266" t="n">
        <v>1</v>
      </c>
      <c r="W187" s="266" t="n">
        <v>1</v>
      </c>
      <c r="X187" s="266" t="n">
        <v>1</v>
      </c>
      <c r="Y187" s="266" t="n">
        <v>1</v>
      </c>
      <c r="Z187" s="266" t="n">
        <v>1</v>
      </c>
      <c r="AA187" s="266" t="n">
        <v>1</v>
      </c>
      <c r="AB187" s="266" t="n">
        <v>1</v>
      </c>
      <c r="AC187" s="266" t="n">
        <v>1</v>
      </c>
      <c r="AD187" s="266" t="n">
        <v>1</v>
      </c>
    </row>
    <row r="188" customFormat="false" ht="14.25" hidden="false" customHeight="false" outlineLevel="0" collapsed="false">
      <c r="A188" s="264" t="s">
        <v>377</v>
      </c>
      <c r="B188" s="264"/>
      <c r="C188" s="265" t="n">
        <v>1</v>
      </c>
      <c r="D188" s="265" t="n">
        <v>1</v>
      </c>
      <c r="E188" s="265" t="n">
        <v>1</v>
      </c>
      <c r="F188" s="265" t="n">
        <v>1</v>
      </c>
      <c r="G188" s="265" t="n">
        <v>1</v>
      </c>
      <c r="H188" s="265" t="n">
        <v>1</v>
      </c>
      <c r="I188" s="265" t="n">
        <v>1</v>
      </c>
      <c r="J188" s="265" t="n">
        <v>1</v>
      </c>
      <c r="K188" s="265" t="n">
        <v>1</v>
      </c>
      <c r="L188" s="265" t="n">
        <v>1</v>
      </c>
      <c r="M188" s="265" t="n">
        <v>1</v>
      </c>
      <c r="N188" s="265" t="n">
        <v>1</v>
      </c>
      <c r="O188" s="265" t="n">
        <v>1</v>
      </c>
      <c r="P188" s="265" t="n">
        <v>1</v>
      </c>
      <c r="Q188" s="266" t="n">
        <v>1</v>
      </c>
      <c r="R188" s="266" t="n">
        <v>1</v>
      </c>
      <c r="S188" s="266" t="n">
        <v>1</v>
      </c>
      <c r="T188" s="266" t="n">
        <v>1</v>
      </c>
      <c r="U188" s="266" t="n">
        <v>1</v>
      </c>
      <c r="V188" s="266" t="n">
        <v>1</v>
      </c>
      <c r="W188" s="266" t="n">
        <v>1</v>
      </c>
      <c r="X188" s="266" t="n">
        <v>1</v>
      </c>
      <c r="Y188" s="266" t="n">
        <v>1</v>
      </c>
      <c r="Z188" s="266" t="n">
        <v>1</v>
      </c>
      <c r="AA188" s="266" t="n">
        <v>1</v>
      </c>
      <c r="AB188" s="266" t="n">
        <v>1</v>
      </c>
      <c r="AC188" s="266" t="n">
        <v>1</v>
      </c>
      <c r="AD188" s="266" t="n">
        <v>1</v>
      </c>
    </row>
    <row r="189" customFormat="false" ht="14.25" hidden="false" customHeight="false" outlineLevel="0" collapsed="false">
      <c r="A189" s="264" t="s">
        <v>378</v>
      </c>
      <c r="B189" s="264"/>
      <c r="C189" s="265" t="n">
        <v>1</v>
      </c>
      <c r="D189" s="265" t="n">
        <v>1</v>
      </c>
      <c r="E189" s="265" t="n">
        <v>1</v>
      </c>
      <c r="F189" s="265" t="n">
        <v>1</v>
      </c>
      <c r="G189" s="265" t="n">
        <v>1</v>
      </c>
      <c r="H189" s="265" t="n">
        <v>1</v>
      </c>
      <c r="I189" s="265" t="n">
        <v>1</v>
      </c>
      <c r="J189" s="265" t="n">
        <v>1</v>
      </c>
      <c r="K189" s="265" t="n">
        <v>1</v>
      </c>
      <c r="L189" s="265" t="n">
        <v>1</v>
      </c>
      <c r="M189" s="265" t="n">
        <v>1</v>
      </c>
      <c r="N189" s="265" t="n">
        <v>1</v>
      </c>
      <c r="O189" s="265" t="n">
        <v>1</v>
      </c>
      <c r="P189" s="265" t="n">
        <v>1</v>
      </c>
      <c r="Q189" s="266" t="n">
        <v>1</v>
      </c>
      <c r="R189" s="266" t="n">
        <v>1</v>
      </c>
      <c r="S189" s="266" t="n">
        <v>1</v>
      </c>
      <c r="T189" s="266" t="n">
        <v>1</v>
      </c>
      <c r="U189" s="266" t="n">
        <v>1</v>
      </c>
      <c r="V189" s="266" t="n">
        <v>1</v>
      </c>
      <c r="W189" s="266" t="n">
        <v>1</v>
      </c>
      <c r="X189" s="266" t="n">
        <v>1</v>
      </c>
      <c r="Y189" s="266" t="n">
        <v>1</v>
      </c>
      <c r="Z189" s="266" t="n">
        <v>1</v>
      </c>
      <c r="AA189" s="266" t="n">
        <v>1</v>
      </c>
      <c r="AB189" s="266" t="n">
        <v>1</v>
      </c>
      <c r="AC189" s="266" t="n">
        <v>1</v>
      </c>
      <c r="AD189" s="266" t="n">
        <v>1</v>
      </c>
    </row>
    <row r="190" customFormat="false" ht="15.75" hidden="false" customHeight="true" outlineLevel="0" collapsed="false">
      <c r="A190" s="200" t="s">
        <v>602</v>
      </c>
      <c r="B190" s="200"/>
      <c r="C190" s="200"/>
      <c r="D190" s="200"/>
      <c r="E190" s="200"/>
      <c r="F190" s="200"/>
      <c r="G190" s="200"/>
      <c r="H190" s="200"/>
      <c r="I190" s="200"/>
      <c r="J190" s="200"/>
      <c r="K190" s="200"/>
      <c r="L190" s="200"/>
      <c r="M190" s="200"/>
      <c r="N190" s="200"/>
      <c r="O190" s="200"/>
      <c r="P190" s="200"/>
      <c r="Q190" s="200"/>
    </row>
    <row r="191" customFormat="false" ht="14.25" hidden="false" customHeight="false" outlineLevel="0" collapsed="false">
      <c r="A191" s="264" t="s">
        <v>374</v>
      </c>
      <c r="B191" s="264"/>
      <c r="C191" s="265" t="n">
        <v>2040</v>
      </c>
      <c r="D191" s="265" t="n">
        <v>2040</v>
      </c>
      <c r="E191" s="265" t="n">
        <v>2040</v>
      </c>
      <c r="F191" s="265" t="n">
        <v>2040</v>
      </c>
      <c r="G191" s="265" t="n">
        <v>2040</v>
      </c>
      <c r="H191" s="265" t="n">
        <v>2040</v>
      </c>
      <c r="I191" s="265" t="n">
        <v>2040</v>
      </c>
      <c r="J191" s="265" t="n">
        <v>2040</v>
      </c>
      <c r="K191" s="265" t="n">
        <v>2040</v>
      </c>
      <c r="L191" s="265" t="n">
        <v>2040</v>
      </c>
      <c r="M191" s="265" t="n">
        <v>2040</v>
      </c>
      <c r="N191" s="265" t="n">
        <v>2040</v>
      </c>
      <c r="O191" s="265" t="n">
        <v>2040</v>
      </c>
      <c r="P191" s="265" t="n">
        <v>2040</v>
      </c>
      <c r="Q191" s="265" t="n">
        <v>2040</v>
      </c>
      <c r="R191" s="265" t="n">
        <v>2040</v>
      </c>
      <c r="S191" s="265" t="n">
        <v>2040</v>
      </c>
      <c r="T191" s="265" t="n">
        <v>2040</v>
      </c>
      <c r="U191" s="265" t="n">
        <v>2040</v>
      </c>
      <c r="V191" s="265" t="n">
        <v>2040</v>
      </c>
      <c r="W191" s="265" t="n">
        <v>2040</v>
      </c>
      <c r="X191" s="265" t="n">
        <v>2040</v>
      </c>
      <c r="Y191" s="265" t="n">
        <v>2040</v>
      </c>
      <c r="Z191" s="265" t="n">
        <v>2040</v>
      </c>
      <c r="AA191" s="265" t="n">
        <v>2040</v>
      </c>
      <c r="AB191" s="265" t="n">
        <v>2040</v>
      </c>
      <c r="AC191" s="265" t="n">
        <v>2040</v>
      </c>
      <c r="AD191" s="265" t="n">
        <v>2040</v>
      </c>
    </row>
    <row r="192" customFormat="false" ht="14.25" hidden="false" customHeight="false" outlineLevel="0" collapsed="false">
      <c r="A192" s="264" t="s">
        <v>375</v>
      </c>
      <c r="B192" s="264"/>
      <c r="C192" s="265" t="n">
        <v>2040</v>
      </c>
      <c r="D192" s="265" t="n">
        <v>2040</v>
      </c>
      <c r="E192" s="265" t="n">
        <v>2040</v>
      </c>
      <c r="F192" s="265" t="n">
        <v>2040</v>
      </c>
      <c r="G192" s="265" t="n">
        <v>2040</v>
      </c>
      <c r="H192" s="265" t="n">
        <v>2040</v>
      </c>
      <c r="I192" s="265" t="n">
        <v>2040</v>
      </c>
      <c r="J192" s="265" t="n">
        <v>2040</v>
      </c>
      <c r="K192" s="265" t="n">
        <v>2040</v>
      </c>
      <c r="L192" s="265" t="n">
        <v>2040</v>
      </c>
      <c r="M192" s="265" t="n">
        <v>2040</v>
      </c>
      <c r="N192" s="265" t="n">
        <v>2040</v>
      </c>
      <c r="O192" s="265" t="n">
        <v>2040</v>
      </c>
      <c r="P192" s="265" t="n">
        <v>2040</v>
      </c>
      <c r="Q192" s="265" t="n">
        <v>2040</v>
      </c>
      <c r="R192" s="265" t="n">
        <v>2040</v>
      </c>
      <c r="S192" s="265" t="n">
        <v>2040</v>
      </c>
      <c r="T192" s="265" t="n">
        <v>2040</v>
      </c>
      <c r="U192" s="265" t="n">
        <v>2040</v>
      </c>
      <c r="V192" s="265" t="n">
        <v>2040</v>
      </c>
      <c r="W192" s="265" t="n">
        <v>2040</v>
      </c>
      <c r="X192" s="265" t="n">
        <v>2040</v>
      </c>
      <c r="Y192" s="265" t="n">
        <v>2040</v>
      </c>
      <c r="Z192" s="265" t="n">
        <v>2040</v>
      </c>
      <c r="AA192" s="265" t="n">
        <v>2040</v>
      </c>
      <c r="AB192" s="265" t="n">
        <v>2040</v>
      </c>
      <c r="AC192" s="265" t="n">
        <v>2040</v>
      </c>
      <c r="AD192" s="265" t="n">
        <v>2040</v>
      </c>
    </row>
    <row r="193" customFormat="false" ht="14.25" hidden="false" customHeight="false" outlineLevel="0" collapsed="false">
      <c r="A193" s="264" t="s">
        <v>376</v>
      </c>
      <c r="B193" s="264"/>
      <c r="C193" s="265" t="n">
        <v>2040</v>
      </c>
      <c r="D193" s="265" t="n">
        <v>2040</v>
      </c>
      <c r="E193" s="265" t="n">
        <v>2040</v>
      </c>
      <c r="F193" s="265" t="n">
        <v>2040</v>
      </c>
      <c r="G193" s="265" t="n">
        <v>2040</v>
      </c>
      <c r="H193" s="265" t="n">
        <v>2040</v>
      </c>
      <c r="I193" s="265" t="n">
        <v>2040</v>
      </c>
      <c r="J193" s="265" t="n">
        <v>2040</v>
      </c>
      <c r="K193" s="265" t="n">
        <v>2040</v>
      </c>
      <c r="L193" s="265" t="n">
        <v>2040</v>
      </c>
      <c r="M193" s="265" t="n">
        <v>2040</v>
      </c>
      <c r="N193" s="265" t="n">
        <v>2040</v>
      </c>
      <c r="O193" s="265" t="n">
        <v>2040</v>
      </c>
      <c r="P193" s="265" t="n">
        <v>2040</v>
      </c>
      <c r="Q193" s="265" t="n">
        <v>2040</v>
      </c>
      <c r="R193" s="265" t="n">
        <v>2040</v>
      </c>
      <c r="S193" s="265" t="n">
        <v>2040</v>
      </c>
      <c r="T193" s="265" t="n">
        <v>2040</v>
      </c>
      <c r="U193" s="265" t="n">
        <v>2040</v>
      </c>
      <c r="V193" s="265" t="n">
        <v>2040</v>
      </c>
      <c r="W193" s="265" t="n">
        <v>2040</v>
      </c>
      <c r="X193" s="265" t="n">
        <v>2040</v>
      </c>
      <c r="Y193" s="265" t="n">
        <v>2040</v>
      </c>
      <c r="Z193" s="265" t="n">
        <v>2040</v>
      </c>
      <c r="AA193" s="265" t="n">
        <v>2040</v>
      </c>
      <c r="AB193" s="265" t="n">
        <v>2040</v>
      </c>
      <c r="AC193" s="265" t="n">
        <v>2040</v>
      </c>
      <c r="AD193" s="265" t="n">
        <v>2040</v>
      </c>
    </row>
    <row r="194" customFormat="false" ht="14.25" hidden="false" customHeight="false" outlineLevel="0" collapsed="false">
      <c r="A194" s="264" t="s">
        <v>377</v>
      </c>
      <c r="B194" s="264"/>
      <c r="C194" s="265" t="n">
        <v>2040</v>
      </c>
      <c r="D194" s="265" t="n">
        <v>2040</v>
      </c>
      <c r="E194" s="265" t="n">
        <v>2040</v>
      </c>
      <c r="F194" s="265" t="n">
        <v>2040</v>
      </c>
      <c r="G194" s="265" t="n">
        <v>2040</v>
      </c>
      <c r="H194" s="265" t="n">
        <v>2040</v>
      </c>
      <c r="I194" s="265" t="n">
        <v>2040</v>
      </c>
      <c r="J194" s="265" t="n">
        <v>2040</v>
      </c>
      <c r="K194" s="265" t="n">
        <v>2040</v>
      </c>
      <c r="L194" s="265" t="n">
        <v>2040</v>
      </c>
      <c r="M194" s="265" t="n">
        <v>2040</v>
      </c>
      <c r="N194" s="265" t="n">
        <v>2040</v>
      </c>
      <c r="O194" s="265" t="n">
        <v>2040</v>
      </c>
      <c r="P194" s="265" t="n">
        <v>2040</v>
      </c>
      <c r="Q194" s="265" t="n">
        <v>2040</v>
      </c>
      <c r="R194" s="265" t="n">
        <v>2040</v>
      </c>
      <c r="S194" s="265" t="n">
        <v>2040</v>
      </c>
      <c r="T194" s="265" t="n">
        <v>2040</v>
      </c>
      <c r="U194" s="265" t="n">
        <v>2040</v>
      </c>
      <c r="V194" s="265" t="n">
        <v>2040</v>
      </c>
      <c r="W194" s="265" t="n">
        <v>2040</v>
      </c>
      <c r="X194" s="265" t="n">
        <v>2040</v>
      </c>
      <c r="Y194" s="265" t="n">
        <v>2040</v>
      </c>
      <c r="Z194" s="265" t="n">
        <v>2040</v>
      </c>
      <c r="AA194" s="265" t="n">
        <v>2040</v>
      </c>
      <c r="AB194" s="265" t="n">
        <v>2040</v>
      </c>
      <c r="AC194" s="265" t="n">
        <v>2040</v>
      </c>
      <c r="AD194" s="265" t="n">
        <v>2040</v>
      </c>
    </row>
    <row r="195" customFormat="false" ht="14.25" hidden="false" customHeight="false" outlineLevel="0" collapsed="false">
      <c r="A195" s="264" t="s">
        <v>378</v>
      </c>
      <c r="B195" s="264"/>
      <c r="C195" s="265" t="n">
        <v>2040</v>
      </c>
      <c r="D195" s="265" t="n">
        <v>2040</v>
      </c>
      <c r="E195" s="265" t="n">
        <v>2040</v>
      </c>
      <c r="F195" s="265" t="n">
        <v>2040</v>
      </c>
      <c r="G195" s="265" t="n">
        <v>2040</v>
      </c>
      <c r="H195" s="265" t="n">
        <v>2040</v>
      </c>
      <c r="I195" s="265" t="n">
        <v>2040</v>
      </c>
      <c r="J195" s="265" t="n">
        <v>2040</v>
      </c>
      <c r="K195" s="265" t="n">
        <v>2040</v>
      </c>
      <c r="L195" s="265" t="n">
        <v>2040</v>
      </c>
      <c r="M195" s="265" t="n">
        <v>2040</v>
      </c>
      <c r="N195" s="265" t="n">
        <v>2040</v>
      </c>
      <c r="O195" s="265" t="n">
        <v>2040</v>
      </c>
      <c r="P195" s="265" t="n">
        <v>2040</v>
      </c>
      <c r="Q195" s="265" t="n">
        <v>2040</v>
      </c>
      <c r="R195" s="265" t="n">
        <v>2040</v>
      </c>
      <c r="S195" s="265" t="n">
        <v>2040</v>
      </c>
      <c r="T195" s="265" t="n">
        <v>2040</v>
      </c>
      <c r="U195" s="265" t="n">
        <v>2040</v>
      </c>
      <c r="V195" s="265" t="n">
        <v>2040</v>
      </c>
      <c r="W195" s="265" t="n">
        <v>2040</v>
      </c>
      <c r="X195" s="265" t="n">
        <v>2040</v>
      </c>
      <c r="Y195" s="265" t="n">
        <v>2040</v>
      </c>
      <c r="Z195" s="265" t="n">
        <v>2040</v>
      </c>
      <c r="AA195" s="265" t="n">
        <v>2040</v>
      </c>
      <c r="AB195" s="265" t="n">
        <v>2040</v>
      </c>
      <c r="AC195" s="265" t="n">
        <v>2040</v>
      </c>
      <c r="AD195" s="265" t="n">
        <v>2040</v>
      </c>
    </row>
    <row r="196" customFormat="false" ht="15.75" hidden="false" customHeight="true" outlineLevel="0" collapsed="false">
      <c r="A196" s="200" t="s">
        <v>603</v>
      </c>
      <c r="B196" s="200"/>
      <c r="C196" s="200"/>
      <c r="D196" s="200"/>
      <c r="E196" s="200"/>
      <c r="F196" s="200"/>
      <c r="G196" s="200"/>
      <c r="H196" s="200"/>
      <c r="I196" s="200"/>
      <c r="J196" s="200"/>
      <c r="K196" s="200"/>
      <c r="L196" s="200"/>
      <c r="M196" s="200"/>
      <c r="N196" s="200"/>
      <c r="O196" s="200"/>
      <c r="P196" s="200"/>
      <c r="Q196" s="200"/>
    </row>
    <row r="197" customFormat="false" ht="14.25" hidden="false" customHeight="false" outlineLevel="0" collapsed="false">
      <c r="A197" s="264" t="s">
        <v>374</v>
      </c>
      <c r="B197" s="264"/>
      <c r="C197" s="265" t="n">
        <v>1</v>
      </c>
      <c r="D197" s="265" t="n">
        <v>1</v>
      </c>
      <c r="E197" s="265" t="n">
        <v>1</v>
      </c>
      <c r="F197" s="265" t="n">
        <v>1</v>
      </c>
      <c r="G197" s="265" t="n">
        <v>1</v>
      </c>
      <c r="H197" s="265" t="n">
        <v>1</v>
      </c>
      <c r="I197" s="265" t="n">
        <v>1</v>
      </c>
      <c r="J197" s="265" t="n">
        <v>1</v>
      </c>
      <c r="K197" s="265" t="n">
        <v>1</v>
      </c>
      <c r="L197" s="265" t="n">
        <v>1</v>
      </c>
      <c r="M197" s="265" t="n">
        <v>1</v>
      </c>
      <c r="N197" s="265" t="n">
        <v>1</v>
      </c>
      <c r="O197" s="265" t="n">
        <v>1</v>
      </c>
      <c r="P197" s="265" t="n">
        <v>1</v>
      </c>
      <c r="Q197" s="266" t="n">
        <v>1</v>
      </c>
      <c r="R197" s="266" t="n">
        <v>1</v>
      </c>
      <c r="S197" s="266" t="n">
        <v>1</v>
      </c>
      <c r="T197" s="266" t="n">
        <v>1</v>
      </c>
      <c r="U197" s="266" t="n">
        <v>1</v>
      </c>
      <c r="V197" s="266" t="n">
        <v>1</v>
      </c>
      <c r="W197" s="266" t="n">
        <v>1</v>
      </c>
      <c r="X197" s="266" t="n">
        <v>1</v>
      </c>
      <c r="Y197" s="266" t="n">
        <v>1</v>
      </c>
      <c r="Z197" s="266" t="n">
        <v>1</v>
      </c>
      <c r="AA197" s="266" t="n">
        <v>1</v>
      </c>
      <c r="AB197" s="266" t="n">
        <v>1</v>
      </c>
      <c r="AC197" s="266" t="n">
        <v>1</v>
      </c>
      <c r="AD197" s="266" t="n">
        <v>1</v>
      </c>
    </row>
    <row r="198" customFormat="false" ht="14.25" hidden="false" customHeight="false" outlineLevel="0" collapsed="false">
      <c r="A198" s="264" t="s">
        <v>375</v>
      </c>
      <c r="B198" s="264"/>
      <c r="C198" s="265" t="n">
        <v>1</v>
      </c>
      <c r="D198" s="265" t="n">
        <v>1</v>
      </c>
      <c r="E198" s="265" t="n">
        <v>1</v>
      </c>
      <c r="F198" s="265" t="n">
        <v>1</v>
      </c>
      <c r="G198" s="265" t="n">
        <v>1</v>
      </c>
      <c r="H198" s="265" t="n">
        <v>1</v>
      </c>
      <c r="I198" s="265" t="n">
        <v>1</v>
      </c>
      <c r="J198" s="265" t="n">
        <v>1</v>
      </c>
      <c r="K198" s="265" t="n">
        <v>1</v>
      </c>
      <c r="L198" s="265" t="n">
        <v>1</v>
      </c>
      <c r="M198" s="265" t="n">
        <v>1</v>
      </c>
      <c r="N198" s="265" t="n">
        <v>1</v>
      </c>
      <c r="O198" s="265" t="n">
        <v>1</v>
      </c>
      <c r="P198" s="265" t="n">
        <v>1</v>
      </c>
      <c r="Q198" s="266" t="n">
        <v>1</v>
      </c>
      <c r="R198" s="266" t="n">
        <v>1</v>
      </c>
      <c r="S198" s="266" t="n">
        <v>1</v>
      </c>
      <c r="T198" s="266" t="n">
        <v>1</v>
      </c>
      <c r="U198" s="266" t="n">
        <v>1</v>
      </c>
      <c r="V198" s="266" t="n">
        <v>1</v>
      </c>
      <c r="W198" s="266" t="n">
        <v>1</v>
      </c>
      <c r="X198" s="266" t="n">
        <v>1</v>
      </c>
      <c r="Y198" s="266" t="n">
        <v>1</v>
      </c>
      <c r="Z198" s="266" t="n">
        <v>1</v>
      </c>
      <c r="AA198" s="266" t="n">
        <v>1</v>
      </c>
      <c r="AB198" s="266" t="n">
        <v>1</v>
      </c>
      <c r="AC198" s="266" t="n">
        <v>1</v>
      </c>
      <c r="AD198" s="266" t="n">
        <v>1</v>
      </c>
    </row>
    <row r="199" customFormat="false" ht="14.25" hidden="false" customHeight="false" outlineLevel="0" collapsed="false">
      <c r="A199" s="264" t="s">
        <v>376</v>
      </c>
      <c r="B199" s="264"/>
      <c r="C199" s="265" t="n">
        <v>1</v>
      </c>
      <c r="D199" s="265" t="n">
        <v>1</v>
      </c>
      <c r="E199" s="265" t="n">
        <v>1</v>
      </c>
      <c r="F199" s="265" t="n">
        <v>1</v>
      </c>
      <c r="G199" s="265" t="n">
        <v>1</v>
      </c>
      <c r="H199" s="265" t="n">
        <v>1</v>
      </c>
      <c r="I199" s="265" t="n">
        <v>1</v>
      </c>
      <c r="J199" s="265" t="n">
        <v>1</v>
      </c>
      <c r="K199" s="265" t="n">
        <v>1</v>
      </c>
      <c r="L199" s="265" t="n">
        <v>1</v>
      </c>
      <c r="M199" s="265" t="n">
        <v>1</v>
      </c>
      <c r="N199" s="265" t="n">
        <v>1</v>
      </c>
      <c r="O199" s="265" t="n">
        <v>1</v>
      </c>
      <c r="P199" s="265" t="n">
        <v>1</v>
      </c>
      <c r="Q199" s="266" t="n">
        <v>1</v>
      </c>
      <c r="R199" s="266" t="n">
        <v>1</v>
      </c>
      <c r="S199" s="266" t="n">
        <v>1</v>
      </c>
      <c r="T199" s="266" t="n">
        <v>1</v>
      </c>
      <c r="U199" s="266" t="n">
        <v>1</v>
      </c>
      <c r="V199" s="266" t="n">
        <v>1</v>
      </c>
      <c r="W199" s="266" t="n">
        <v>1</v>
      </c>
      <c r="X199" s="266" t="n">
        <v>1</v>
      </c>
      <c r="Y199" s="266" t="n">
        <v>1</v>
      </c>
      <c r="Z199" s="266" t="n">
        <v>1</v>
      </c>
      <c r="AA199" s="266" t="n">
        <v>1</v>
      </c>
      <c r="AB199" s="266" t="n">
        <v>1</v>
      </c>
      <c r="AC199" s="266" t="n">
        <v>1</v>
      </c>
      <c r="AD199" s="266" t="n">
        <v>1</v>
      </c>
    </row>
    <row r="200" customFormat="false" ht="14.25" hidden="false" customHeight="false" outlineLevel="0" collapsed="false">
      <c r="A200" s="264" t="s">
        <v>377</v>
      </c>
      <c r="B200" s="264"/>
      <c r="C200" s="265" t="n">
        <v>1</v>
      </c>
      <c r="D200" s="265" t="n">
        <v>1</v>
      </c>
      <c r="E200" s="265" t="n">
        <v>1</v>
      </c>
      <c r="F200" s="265" t="n">
        <v>1</v>
      </c>
      <c r="G200" s="265" t="n">
        <v>1</v>
      </c>
      <c r="H200" s="265" t="n">
        <v>1</v>
      </c>
      <c r="I200" s="265" t="n">
        <v>1</v>
      </c>
      <c r="J200" s="265" t="n">
        <v>1</v>
      </c>
      <c r="K200" s="265" t="n">
        <v>1</v>
      </c>
      <c r="L200" s="265" t="n">
        <v>1</v>
      </c>
      <c r="M200" s="265" t="n">
        <v>1</v>
      </c>
      <c r="N200" s="265" t="n">
        <v>1</v>
      </c>
      <c r="O200" s="265" t="n">
        <v>1</v>
      </c>
      <c r="P200" s="265" t="n">
        <v>1</v>
      </c>
      <c r="Q200" s="266" t="n">
        <v>1</v>
      </c>
      <c r="R200" s="266" t="n">
        <v>1</v>
      </c>
      <c r="S200" s="266" t="n">
        <v>1</v>
      </c>
      <c r="T200" s="266" t="n">
        <v>1</v>
      </c>
      <c r="U200" s="266" t="n">
        <v>1</v>
      </c>
      <c r="V200" s="266" t="n">
        <v>1</v>
      </c>
      <c r="W200" s="266" t="n">
        <v>1</v>
      </c>
      <c r="X200" s="266" t="n">
        <v>1</v>
      </c>
      <c r="Y200" s="266" t="n">
        <v>1</v>
      </c>
      <c r="Z200" s="266" t="n">
        <v>1</v>
      </c>
      <c r="AA200" s="266" t="n">
        <v>1</v>
      </c>
      <c r="AB200" s="266" t="n">
        <v>1</v>
      </c>
      <c r="AC200" s="266" t="n">
        <v>1</v>
      </c>
      <c r="AD200" s="266" t="n">
        <v>1</v>
      </c>
    </row>
    <row r="201" customFormat="false" ht="14.25" hidden="false" customHeight="false" outlineLevel="0" collapsed="false">
      <c r="A201" s="264" t="s">
        <v>378</v>
      </c>
      <c r="B201" s="264"/>
      <c r="C201" s="265" t="n">
        <v>1</v>
      </c>
      <c r="D201" s="265" t="n">
        <v>1</v>
      </c>
      <c r="E201" s="265" t="n">
        <v>1</v>
      </c>
      <c r="F201" s="265" t="n">
        <v>1</v>
      </c>
      <c r="G201" s="265" t="n">
        <v>1</v>
      </c>
      <c r="H201" s="265" t="n">
        <v>1</v>
      </c>
      <c r="I201" s="265" t="n">
        <v>1</v>
      </c>
      <c r="J201" s="265" t="n">
        <v>1</v>
      </c>
      <c r="K201" s="265" t="n">
        <v>1</v>
      </c>
      <c r="L201" s="265" t="n">
        <v>1</v>
      </c>
      <c r="M201" s="265" t="n">
        <v>1</v>
      </c>
      <c r="N201" s="265" t="n">
        <v>1</v>
      </c>
      <c r="O201" s="265" t="n">
        <v>1</v>
      </c>
      <c r="P201" s="265" t="n">
        <v>1</v>
      </c>
      <c r="Q201" s="266" t="n">
        <v>1</v>
      </c>
      <c r="R201" s="266" t="n">
        <v>1</v>
      </c>
      <c r="S201" s="266" t="n">
        <v>1</v>
      </c>
      <c r="T201" s="266" t="n">
        <v>1</v>
      </c>
      <c r="U201" s="266" t="n">
        <v>1</v>
      </c>
      <c r="V201" s="266" t="n">
        <v>1</v>
      </c>
      <c r="W201" s="266" t="n">
        <v>1</v>
      </c>
      <c r="X201" s="266" t="n">
        <v>1</v>
      </c>
      <c r="Y201" s="266" t="n">
        <v>1</v>
      </c>
      <c r="Z201" s="266" t="n">
        <v>1</v>
      </c>
      <c r="AA201" s="266" t="n">
        <v>1</v>
      </c>
      <c r="AB201" s="266" t="n">
        <v>1</v>
      </c>
      <c r="AC201" s="266" t="n">
        <v>1</v>
      </c>
      <c r="AD201" s="266" t="n">
        <v>1</v>
      </c>
    </row>
    <row r="202" customFormat="false" ht="15.75" hidden="false" customHeight="true" outlineLevel="0" collapsed="false">
      <c r="A202" s="200" t="s">
        <v>604</v>
      </c>
      <c r="B202" s="200"/>
      <c r="C202" s="200"/>
      <c r="D202" s="200"/>
      <c r="E202" s="200"/>
      <c r="F202" s="200"/>
      <c r="G202" s="200"/>
      <c r="H202" s="200"/>
      <c r="I202" s="200"/>
      <c r="J202" s="200"/>
      <c r="K202" s="200"/>
      <c r="L202" s="200"/>
      <c r="M202" s="200"/>
      <c r="N202" s="200"/>
      <c r="O202" s="200"/>
      <c r="P202" s="200"/>
      <c r="Q202" s="200"/>
    </row>
    <row r="203" customFormat="false" ht="14.25" hidden="false" customHeight="false" outlineLevel="0" collapsed="false">
      <c r="A203" s="264" t="s">
        <v>374</v>
      </c>
      <c r="B203" s="264"/>
      <c r="C203" s="265" t="n">
        <v>2050</v>
      </c>
      <c r="D203" s="265" t="n">
        <v>2050</v>
      </c>
      <c r="E203" s="265" t="n">
        <v>2050</v>
      </c>
      <c r="F203" s="265" t="n">
        <v>2050</v>
      </c>
      <c r="G203" s="265" t="n">
        <v>2050</v>
      </c>
      <c r="H203" s="265" t="n">
        <v>2050</v>
      </c>
      <c r="I203" s="265" t="n">
        <v>2050</v>
      </c>
      <c r="J203" s="265" t="n">
        <v>2050</v>
      </c>
      <c r="K203" s="265" t="n">
        <v>2050</v>
      </c>
      <c r="L203" s="265" t="n">
        <v>2050</v>
      </c>
      <c r="M203" s="265" t="n">
        <v>2050</v>
      </c>
      <c r="N203" s="265" t="n">
        <v>2050</v>
      </c>
      <c r="O203" s="265" t="n">
        <v>2050</v>
      </c>
      <c r="P203" s="265" t="n">
        <v>2050</v>
      </c>
      <c r="Q203" s="266" t="n">
        <v>2050</v>
      </c>
      <c r="R203" s="266" t="n">
        <v>2050</v>
      </c>
      <c r="S203" s="266" t="n">
        <v>2050</v>
      </c>
      <c r="T203" s="266" t="n">
        <v>2050</v>
      </c>
      <c r="U203" s="266" t="n">
        <v>2050</v>
      </c>
      <c r="V203" s="266" t="n">
        <v>2050</v>
      </c>
      <c r="W203" s="266" t="n">
        <v>2050</v>
      </c>
      <c r="X203" s="266" t="n">
        <v>2050</v>
      </c>
      <c r="Y203" s="266" t="n">
        <v>2050</v>
      </c>
      <c r="Z203" s="266" t="n">
        <v>2050</v>
      </c>
      <c r="AA203" s="266" t="n">
        <v>2050</v>
      </c>
      <c r="AB203" s="266" t="n">
        <v>2050</v>
      </c>
      <c r="AC203" s="266" t="n">
        <v>2050</v>
      </c>
      <c r="AD203" s="266" t="n">
        <v>2050</v>
      </c>
    </row>
    <row r="204" customFormat="false" ht="14.25" hidden="false" customHeight="false" outlineLevel="0" collapsed="false">
      <c r="A204" s="264" t="s">
        <v>375</v>
      </c>
      <c r="B204" s="264"/>
      <c r="C204" s="265" t="n">
        <v>2050</v>
      </c>
      <c r="D204" s="265" t="n">
        <v>2050</v>
      </c>
      <c r="E204" s="265" t="n">
        <v>2050</v>
      </c>
      <c r="F204" s="265" t="n">
        <v>2050</v>
      </c>
      <c r="G204" s="265" t="n">
        <v>2050</v>
      </c>
      <c r="H204" s="265" t="n">
        <v>2050</v>
      </c>
      <c r="I204" s="265" t="n">
        <v>2050</v>
      </c>
      <c r="J204" s="265" t="n">
        <v>2050</v>
      </c>
      <c r="K204" s="265" t="n">
        <v>2050</v>
      </c>
      <c r="L204" s="265" t="n">
        <v>2050</v>
      </c>
      <c r="M204" s="265" t="n">
        <v>2050</v>
      </c>
      <c r="N204" s="265" t="n">
        <v>2050</v>
      </c>
      <c r="O204" s="265" t="n">
        <v>2050</v>
      </c>
      <c r="P204" s="265" t="n">
        <v>2050</v>
      </c>
      <c r="Q204" s="266" t="n">
        <v>2050</v>
      </c>
      <c r="R204" s="266" t="n">
        <v>2050</v>
      </c>
      <c r="S204" s="266" t="n">
        <v>2050</v>
      </c>
      <c r="T204" s="266" t="n">
        <v>2050</v>
      </c>
      <c r="U204" s="266" t="n">
        <v>2050</v>
      </c>
      <c r="V204" s="266" t="n">
        <v>2050</v>
      </c>
      <c r="W204" s="266" t="n">
        <v>2050</v>
      </c>
      <c r="X204" s="266" t="n">
        <v>2050</v>
      </c>
      <c r="Y204" s="266" t="n">
        <v>2050</v>
      </c>
      <c r="Z204" s="266" t="n">
        <v>2050</v>
      </c>
      <c r="AA204" s="266" t="n">
        <v>2050</v>
      </c>
      <c r="AB204" s="266" t="n">
        <v>2050</v>
      </c>
      <c r="AC204" s="266" t="n">
        <v>2050</v>
      </c>
      <c r="AD204" s="266" t="n">
        <v>2050</v>
      </c>
    </row>
    <row r="205" customFormat="false" ht="14.25" hidden="false" customHeight="false" outlineLevel="0" collapsed="false">
      <c r="A205" s="264" t="s">
        <v>376</v>
      </c>
      <c r="B205" s="264"/>
      <c r="C205" s="265" t="n">
        <v>2050</v>
      </c>
      <c r="D205" s="265" t="n">
        <v>2050</v>
      </c>
      <c r="E205" s="265" t="n">
        <v>2050</v>
      </c>
      <c r="F205" s="265" t="n">
        <v>2050</v>
      </c>
      <c r="G205" s="265" t="n">
        <v>2050</v>
      </c>
      <c r="H205" s="265" t="n">
        <v>2050</v>
      </c>
      <c r="I205" s="265" t="n">
        <v>2050</v>
      </c>
      <c r="J205" s="265" t="n">
        <v>2050</v>
      </c>
      <c r="K205" s="265" t="n">
        <v>2050</v>
      </c>
      <c r="L205" s="265" t="n">
        <v>2050</v>
      </c>
      <c r="M205" s="265" t="n">
        <v>2050</v>
      </c>
      <c r="N205" s="265" t="n">
        <v>2050</v>
      </c>
      <c r="O205" s="265" t="n">
        <v>2050</v>
      </c>
      <c r="P205" s="265" t="n">
        <v>2050</v>
      </c>
      <c r="Q205" s="266" t="n">
        <v>2050</v>
      </c>
      <c r="R205" s="266" t="n">
        <v>2050</v>
      </c>
      <c r="S205" s="266" t="n">
        <v>2050</v>
      </c>
      <c r="T205" s="266" t="n">
        <v>2050</v>
      </c>
      <c r="U205" s="266" t="n">
        <v>2050</v>
      </c>
      <c r="V205" s="266" t="n">
        <v>2050</v>
      </c>
      <c r="W205" s="266" t="n">
        <v>2050</v>
      </c>
      <c r="X205" s="266" t="n">
        <v>2050</v>
      </c>
      <c r="Y205" s="266" t="n">
        <v>2050</v>
      </c>
      <c r="Z205" s="266" t="n">
        <v>2050</v>
      </c>
      <c r="AA205" s="266" t="n">
        <v>2050</v>
      </c>
      <c r="AB205" s="266" t="n">
        <v>2050</v>
      </c>
      <c r="AC205" s="266" t="n">
        <v>2050</v>
      </c>
      <c r="AD205" s="266" t="n">
        <v>2050</v>
      </c>
    </row>
    <row r="206" customFormat="false" ht="14.25" hidden="false" customHeight="false" outlineLevel="0" collapsed="false">
      <c r="A206" s="264" t="s">
        <v>377</v>
      </c>
      <c r="B206" s="264"/>
      <c r="C206" s="265" t="n">
        <v>2050</v>
      </c>
      <c r="D206" s="265" t="n">
        <v>2050</v>
      </c>
      <c r="E206" s="265" t="n">
        <v>2050</v>
      </c>
      <c r="F206" s="265" t="n">
        <v>2050</v>
      </c>
      <c r="G206" s="265" t="n">
        <v>2050</v>
      </c>
      <c r="H206" s="265" t="n">
        <v>2050</v>
      </c>
      <c r="I206" s="265" t="n">
        <v>2050</v>
      </c>
      <c r="J206" s="265" t="n">
        <v>2050</v>
      </c>
      <c r="K206" s="265" t="n">
        <v>2050</v>
      </c>
      <c r="L206" s="265" t="n">
        <v>2050</v>
      </c>
      <c r="M206" s="265" t="n">
        <v>2050</v>
      </c>
      <c r="N206" s="265" t="n">
        <v>2050</v>
      </c>
      <c r="O206" s="265" t="n">
        <v>2050</v>
      </c>
      <c r="P206" s="265" t="n">
        <v>2050</v>
      </c>
      <c r="Q206" s="266" t="n">
        <v>2050</v>
      </c>
      <c r="R206" s="266" t="n">
        <v>2050</v>
      </c>
      <c r="S206" s="266" t="n">
        <v>2050</v>
      </c>
      <c r="T206" s="266" t="n">
        <v>2050</v>
      </c>
      <c r="U206" s="266" t="n">
        <v>2050</v>
      </c>
      <c r="V206" s="266" t="n">
        <v>2050</v>
      </c>
      <c r="W206" s="266" t="n">
        <v>2050</v>
      </c>
      <c r="X206" s="266" t="n">
        <v>2050</v>
      </c>
      <c r="Y206" s="266" t="n">
        <v>2050</v>
      </c>
      <c r="Z206" s="266" t="n">
        <v>2050</v>
      </c>
      <c r="AA206" s="266" t="n">
        <v>2050</v>
      </c>
      <c r="AB206" s="266" t="n">
        <v>2050</v>
      </c>
      <c r="AC206" s="266" t="n">
        <v>2050</v>
      </c>
      <c r="AD206" s="266" t="n">
        <v>2050</v>
      </c>
    </row>
    <row r="207" customFormat="false" ht="14.25" hidden="false" customHeight="false" outlineLevel="0" collapsed="false">
      <c r="A207" s="264" t="s">
        <v>378</v>
      </c>
      <c r="B207" s="264"/>
      <c r="C207" s="267" t="n">
        <v>2050</v>
      </c>
      <c r="D207" s="267" t="n">
        <v>2050</v>
      </c>
      <c r="E207" s="267" t="n">
        <v>2050</v>
      </c>
      <c r="F207" s="267" t="n">
        <v>2050</v>
      </c>
      <c r="G207" s="267" t="n">
        <v>2050</v>
      </c>
      <c r="H207" s="267" t="n">
        <v>2050</v>
      </c>
      <c r="I207" s="267" t="n">
        <v>2050</v>
      </c>
      <c r="J207" s="267" t="n">
        <v>2050</v>
      </c>
      <c r="K207" s="267" t="n">
        <v>2050</v>
      </c>
      <c r="L207" s="267" t="n">
        <v>2050</v>
      </c>
      <c r="M207" s="267" t="n">
        <v>2050</v>
      </c>
      <c r="N207" s="267" t="n">
        <v>2050</v>
      </c>
      <c r="O207" s="267" t="n">
        <v>2050</v>
      </c>
      <c r="P207" s="267" t="n">
        <v>2050</v>
      </c>
      <c r="Q207" s="268" t="n">
        <v>2050</v>
      </c>
      <c r="R207" s="268" t="n">
        <v>2050</v>
      </c>
      <c r="S207" s="268" t="n">
        <v>2050</v>
      </c>
      <c r="T207" s="268" t="n">
        <v>2050</v>
      </c>
      <c r="U207" s="268" t="n">
        <v>2050</v>
      </c>
      <c r="V207" s="268" t="n">
        <v>2050</v>
      </c>
      <c r="W207" s="268" t="n">
        <v>2050</v>
      </c>
      <c r="X207" s="268" t="n">
        <v>2050</v>
      </c>
      <c r="Y207" s="268" t="n">
        <v>2050</v>
      </c>
      <c r="Z207" s="268" t="n">
        <v>2050</v>
      </c>
      <c r="AA207" s="268" t="n">
        <v>2050</v>
      </c>
      <c r="AB207" s="268" t="n">
        <v>2050</v>
      </c>
      <c r="AC207" s="268" t="n">
        <v>2050</v>
      </c>
      <c r="AD207" s="268" t="n">
        <v>2050</v>
      </c>
    </row>
    <row r="209" customFormat="false" ht="23.25" hidden="false" customHeight="true" outlineLevel="0" collapsed="false">
      <c r="A209" s="200" t="s">
        <v>386</v>
      </c>
      <c r="B209" s="200"/>
      <c r="C209" s="200"/>
    </row>
    <row r="210" customFormat="false" ht="15.75" hidden="false" customHeight="true" outlineLevel="0" collapsed="false">
      <c r="A210" s="243" t="s">
        <v>387</v>
      </c>
      <c r="B210" s="269" t="s">
        <v>388</v>
      </c>
      <c r="C210" s="270" t="n">
        <v>1</v>
      </c>
    </row>
    <row r="211" customFormat="false" ht="14.25" hidden="false" customHeight="true" outlineLevel="0" collapsed="false">
      <c r="A211" s="243"/>
      <c r="B211" s="269" t="s">
        <v>389</v>
      </c>
      <c r="C211" s="270"/>
    </row>
    <row r="212" customFormat="false" ht="14.25" hidden="false" customHeight="false" outlineLevel="0" collapsed="false">
      <c r="A212" s="208" t="s">
        <v>605</v>
      </c>
      <c r="B212" s="269" t="s">
        <v>36</v>
      </c>
      <c r="C212" s="204" t="n">
        <v>2025</v>
      </c>
    </row>
    <row r="213" customFormat="false" ht="14.25" hidden="false" customHeight="false" outlineLevel="0" collapsed="false">
      <c r="A213" s="271" t="s">
        <v>390</v>
      </c>
      <c r="B213" s="272" t="s">
        <v>36</v>
      </c>
      <c r="C213" s="273" t="n">
        <v>2050</v>
      </c>
    </row>
    <row r="214" customFormat="false" ht="14.25" hidden="false" customHeight="true" outlineLevel="0" collapsed="false">
      <c r="A214" s="200" t="s">
        <v>394</v>
      </c>
      <c r="B214" s="200"/>
      <c r="C214" s="200"/>
      <c r="D214" s="200"/>
      <c r="E214" s="200"/>
      <c r="F214" s="200"/>
      <c r="G214" s="200"/>
      <c r="H214" s="200"/>
      <c r="I214" s="200"/>
      <c r="J214" s="200"/>
      <c r="K214" s="200"/>
      <c r="L214" s="200"/>
      <c r="M214" s="200"/>
      <c r="N214" s="200"/>
      <c r="O214" s="200"/>
      <c r="P214" s="200"/>
      <c r="Q214" s="200"/>
    </row>
    <row r="215" customFormat="false" ht="14.25" hidden="false" customHeight="false" outlineLevel="0" collapsed="false">
      <c r="A215" s="274" t="s">
        <v>606</v>
      </c>
      <c r="B215" s="274"/>
      <c r="C215" s="262" t="s">
        <v>576</v>
      </c>
      <c r="D215" s="262" t="s">
        <v>579</v>
      </c>
      <c r="E215" s="262" t="s">
        <v>362</v>
      </c>
      <c r="F215" s="262" t="s">
        <v>580</v>
      </c>
      <c r="G215" s="262" t="s">
        <v>581</v>
      </c>
      <c r="H215" s="262" t="s">
        <v>582</v>
      </c>
      <c r="I215" s="262" t="s">
        <v>583</v>
      </c>
      <c r="J215" s="262" t="s">
        <v>354</v>
      </c>
      <c r="K215" s="262" t="s">
        <v>584</v>
      </c>
      <c r="L215" s="262" t="s">
        <v>585</v>
      </c>
      <c r="M215" s="262" t="s">
        <v>586</v>
      </c>
      <c r="N215" s="262" t="s">
        <v>587</v>
      </c>
      <c r="O215" s="262" t="s">
        <v>588</v>
      </c>
      <c r="P215" s="262" t="s">
        <v>589</v>
      </c>
      <c r="Q215" s="263" t="s">
        <v>590</v>
      </c>
      <c r="R215" s="263" t="s">
        <v>338</v>
      </c>
      <c r="S215" s="263" t="s">
        <v>591</v>
      </c>
      <c r="T215" s="263" t="s">
        <v>592</v>
      </c>
      <c r="U215" s="263" t="s">
        <v>593</v>
      </c>
      <c r="V215" s="263" t="s">
        <v>594</v>
      </c>
      <c r="W215" s="263" t="s">
        <v>595</v>
      </c>
      <c r="X215" s="263" t="s">
        <v>596</v>
      </c>
      <c r="Y215" s="263" t="s">
        <v>597</v>
      </c>
      <c r="Z215" s="263" t="s">
        <v>598</v>
      </c>
      <c r="AA215" s="263" t="s">
        <v>599</v>
      </c>
      <c r="AB215" s="263" t="s">
        <v>351</v>
      </c>
      <c r="AC215" s="263" t="s">
        <v>361</v>
      </c>
      <c r="AD215" s="263" t="s">
        <v>600</v>
      </c>
    </row>
    <row r="216" customFormat="false" ht="16.4" hidden="false" customHeight="false" outlineLevel="0" collapsed="false">
      <c r="A216" s="275" t="s">
        <v>374</v>
      </c>
      <c r="B216" s="275"/>
      <c r="C216" s="276" t="n">
        <v>4.91439259825986E-007</v>
      </c>
      <c r="D216" s="276" t="n">
        <v>3.5721808570239E-007</v>
      </c>
      <c r="E216" s="276" t="n">
        <v>0</v>
      </c>
      <c r="F216" s="276" t="n">
        <v>1.33580538164496E-006</v>
      </c>
      <c r="G216" s="276" t="n">
        <v>1.22341908960222E-006</v>
      </c>
      <c r="H216" s="276" t="n">
        <v>4.12033274627188E-007</v>
      </c>
      <c r="I216" s="276" t="n">
        <v>1.83490380176835E-007</v>
      </c>
      <c r="J216" s="276" t="n">
        <v>3.51072910355092E-008</v>
      </c>
      <c r="K216" s="276" t="n">
        <v>1.40517866161901E-006</v>
      </c>
      <c r="L216" s="276" t="n">
        <v>1.66962597983647E-007</v>
      </c>
      <c r="M216" s="276" t="n">
        <v>3.65540334299614E-007</v>
      </c>
      <c r="N216" s="276" t="n">
        <v>7.70921065248543E-007</v>
      </c>
      <c r="O216" s="276" t="n">
        <v>2.02518317476721E-007</v>
      </c>
      <c r="P216" s="276" t="n">
        <v>5.59542505208503E-007</v>
      </c>
      <c r="Q216" s="277" t="n">
        <v>9.73962267366326E-008</v>
      </c>
      <c r="R216" s="277" t="n">
        <v>5.37054258225633E-007</v>
      </c>
      <c r="S216" s="277" t="n">
        <v>3.64568503475434E-007</v>
      </c>
      <c r="T216" s="277" t="n">
        <v>5.05139197122688E-007</v>
      </c>
      <c r="U216" s="277" t="n">
        <v>4.43213583132507E-007</v>
      </c>
      <c r="V216" s="277" t="n">
        <v>2.36045780097966E-007</v>
      </c>
      <c r="W216" s="277" t="n">
        <v>8.21087808284778E-008</v>
      </c>
      <c r="X216" s="277" t="n">
        <v>1.79901548666926E-007</v>
      </c>
      <c r="Y216" s="277" t="n">
        <v>6.23240405683315E-007</v>
      </c>
      <c r="Z216" s="277" t="n">
        <v>1.31168125984731E-007</v>
      </c>
      <c r="AA216" s="277" t="n">
        <v>1.64652951941808E-007</v>
      </c>
      <c r="AB216" s="277" t="n">
        <v>8.93692743290543E-008</v>
      </c>
      <c r="AC216" s="277" t="n">
        <v>0</v>
      </c>
      <c r="AD216" s="277" t="n">
        <v>2.68608327323E-007</v>
      </c>
    </row>
    <row r="217" customFormat="false" ht="16.4" hidden="false" customHeight="false" outlineLevel="0" collapsed="false">
      <c r="A217" s="275" t="s">
        <v>375</v>
      </c>
      <c r="B217" s="275"/>
      <c r="C217" s="276" t="n">
        <v>2.22622378824385E-007</v>
      </c>
      <c r="D217" s="276" t="n">
        <v>2.65109839166996E-008</v>
      </c>
      <c r="E217" s="276" t="n">
        <v>0</v>
      </c>
      <c r="F217" s="276" t="n">
        <v>9.69014368382836E-007</v>
      </c>
      <c r="G217" s="276" t="n">
        <v>6.13799274597379E-007</v>
      </c>
      <c r="H217" s="276" t="n">
        <v>5.49867131596347E-007</v>
      </c>
      <c r="I217" s="276" t="n">
        <v>3.54387378163174E-008</v>
      </c>
      <c r="J217" s="276" t="n">
        <v>7.50269525657188E-010</v>
      </c>
      <c r="K217" s="276" t="n">
        <v>1.56609380270801E-007</v>
      </c>
      <c r="L217" s="276" t="n">
        <v>2.36960970006208E-012</v>
      </c>
      <c r="M217" s="276" t="n">
        <v>7.13887522936256E-008</v>
      </c>
      <c r="N217" s="276" t="n">
        <v>5.39736389872573E-008</v>
      </c>
      <c r="O217" s="276" t="n">
        <v>0</v>
      </c>
      <c r="P217" s="276" t="n">
        <v>2.76702410896041E-007</v>
      </c>
      <c r="Q217" s="277" t="n">
        <v>8.23816316569662E-009</v>
      </c>
      <c r="R217" s="277" t="n">
        <v>6.36735331902732E-008</v>
      </c>
      <c r="S217" s="277" t="n">
        <v>1.3172626613462E-008</v>
      </c>
      <c r="T217" s="277" t="n">
        <v>3.38816410979464E-008</v>
      </c>
      <c r="U217" s="277" t="n">
        <v>0</v>
      </c>
      <c r="V217" s="277" t="n">
        <v>1.73853833216028E-007</v>
      </c>
      <c r="W217" s="277" t="n">
        <v>3.70271275272898E-010</v>
      </c>
      <c r="X217" s="277" t="n">
        <v>6.44004406467672E-008</v>
      </c>
      <c r="Y217" s="277" t="n">
        <v>2.03105589569859E-007</v>
      </c>
      <c r="Z217" s="277" t="n">
        <v>0</v>
      </c>
      <c r="AA217" s="277" t="n">
        <v>2.11269055303602E-008</v>
      </c>
      <c r="AB217" s="277" t="n">
        <v>1.61632191813348E-008</v>
      </c>
      <c r="AC217" s="277" t="n">
        <v>0</v>
      </c>
      <c r="AD217" s="277" t="n">
        <v>9.58151766262172E-008</v>
      </c>
    </row>
    <row r="218" customFormat="false" ht="16.4" hidden="false" customHeight="false" outlineLevel="0" collapsed="false">
      <c r="A218" s="275" t="s">
        <v>376</v>
      </c>
      <c r="B218" s="275"/>
      <c r="C218" s="276" t="n">
        <v>3.0119512839776E-007</v>
      </c>
      <c r="D218" s="276" t="n">
        <v>2.19312289390501E-007</v>
      </c>
      <c r="E218" s="276" t="n">
        <v>1.72746672310205E-007</v>
      </c>
      <c r="F218" s="276" t="n">
        <v>5.23957875618843E-008</v>
      </c>
      <c r="G218" s="276" t="n">
        <v>1.56753159385315E-008</v>
      </c>
      <c r="H218" s="276" t="n">
        <v>0</v>
      </c>
      <c r="I218" s="276" t="n">
        <v>0</v>
      </c>
      <c r="J218" s="276" t="n">
        <v>0</v>
      </c>
      <c r="K218" s="276" t="n">
        <v>1.241724530167E-009</v>
      </c>
      <c r="L218" s="276" t="n">
        <v>0</v>
      </c>
      <c r="M218" s="276" t="n">
        <v>1.01779679917288E-008</v>
      </c>
      <c r="N218" s="276" t="n">
        <v>6.36432014536712E-009</v>
      </c>
      <c r="O218" s="276" t="n">
        <v>6.97034403933276E-007</v>
      </c>
      <c r="P218" s="276" t="n">
        <v>0</v>
      </c>
      <c r="Q218" s="277" t="n">
        <v>1.617506349308E-009</v>
      </c>
      <c r="R218" s="277" t="n">
        <v>5.05429807119243E-008</v>
      </c>
      <c r="S218" s="277" t="n">
        <v>3.73934570094193E-009</v>
      </c>
      <c r="T218" s="277" t="n">
        <v>2.02426879467313E-008</v>
      </c>
      <c r="U218" s="277" t="n">
        <v>0</v>
      </c>
      <c r="V218" s="277" t="n">
        <v>4.18626826148413E-008</v>
      </c>
      <c r="W218" s="277" t="n">
        <v>0</v>
      </c>
      <c r="X218" s="277" t="n">
        <v>3.21856520921028E-009</v>
      </c>
      <c r="Y218" s="277" t="n">
        <v>0</v>
      </c>
      <c r="Z218" s="277" t="n">
        <v>0</v>
      </c>
      <c r="AA218" s="277" t="n">
        <v>0</v>
      </c>
      <c r="AB218" s="277" t="n">
        <v>0</v>
      </c>
      <c r="AC218" s="277" t="n">
        <v>0</v>
      </c>
      <c r="AD218" s="277" t="n">
        <v>0</v>
      </c>
    </row>
    <row r="219" customFormat="false" ht="16.4" hidden="false" customHeight="false" outlineLevel="0" collapsed="false">
      <c r="A219" s="275" t="s">
        <v>377</v>
      </c>
      <c r="B219" s="275"/>
      <c r="C219" s="276" t="n">
        <v>1.7843708992308E-007</v>
      </c>
      <c r="D219" s="276" t="n">
        <v>9.80233180769964E-008</v>
      </c>
      <c r="E219" s="276" t="n">
        <v>0</v>
      </c>
      <c r="F219" s="276" t="n">
        <v>5.81535604614238E-007</v>
      </c>
      <c r="G219" s="276" t="n">
        <v>1.43642819631374E-008</v>
      </c>
      <c r="H219" s="276" t="n">
        <v>0</v>
      </c>
      <c r="I219" s="276" t="n">
        <v>0</v>
      </c>
      <c r="J219" s="276" t="n">
        <v>0</v>
      </c>
      <c r="K219" s="276" t="n">
        <v>2.82005466549391E-009</v>
      </c>
      <c r="L219" s="276" t="n">
        <v>0</v>
      </c>
      <c r="M219" s="276" t="n">
        <v>1.35602108518813E-007</v>
      </c>
      <c r="N219" s="276" t="n">
        <v>3.12693981307369E-007</v>
      </c>
      <c r="O219" s="276" t="n">
        <v>1.79260974535792E-008</v>
      </c>
      <c r="P219" s="276" t="n">
        <v>1.60164134468073E-006</v>
      </c>
      <c r="Q219" s="277" t="n">
        <v>1.60811169510761E-008</v>
      </c>
      <c r="R219" s="277" t="n">
        <v>6.90288364250751E-008</v>
      </c>
      <c r="S219" s="277" t="n">
        <v>6.78957232883377E-008</v>
      </c>
      <c r="T219" s="277" t="n">
        <v>3.25178562493753E-007</v>
      </c>
      <c r="U219" s="277" t="n">
        <v>0</v>
      </c>
      <c r="V219" s="277" t="n">
        <v>6.47814377055759E-007</v>
      </c>
      <c r="W219" s="277" t="n">
        <v>0</v>
      </c>
      <c r="X219" s="277" t="n">
        <v>1.8513722680003E-008</v>
      </c>
      <c r="Y219" s="277" t="n">
        <v>0</v>
      </c>
      <c r="Z219" s="277" t="n">
        <v>0</v>
      </c>
      <c r="AA219" s="277" t="n">
        <v>0</v>
      </c>
      <c r="AB219" s="277" t="n">
        <v>0</v>
      </c>
      <c r="AC219" s="277" t="n">
        <v>0</v>
      </c>
      <c r="AD219" s="277" t="n">
        <v>0</v>
      </c>
    </row>
    <row r="220" customFormat="false" ht="16.4" hidden="false" customHeight="false" outlineLevel="0" collapsed="false">
      <c r="A220" s="278" t="s">
        <v>378</v>
      </c>
      <c r="B220" s="278"/>
      <c r="C220" s="279" t="n">
        <v>2.82226311056575E-007</v>
      </c>
      <c r="D220" s="280" t="n">
        <v>1.36027626479745E-007</v>
      </c>
      <c r="E220" s="280" t="n">
        <v>0</v>
      </c>
      <c r="F220" s="280" t="n">
        <v>2.30269903439123E-007</v>
      </c>
      <c r="G220" s="280" t="n">
        <v>3.72766800333114E-007</v>
      </c>
      <c r="H220" s="280" t="n">
        <v>0</v>
      </c>
      <c r="I220" s="280" t="n">
        <v>0</v>
      </c>
      <c r="J220" s="280" t="n">
        <v>0</v>
      </c>
      <c r="K220" s="280" t="n">
        <v>2.29449184640331E-009</v>
      </c>
      <c r="L220" s="280" t="n">
        <v>0</v>
      </c>
      <c r="M220" s="280" t="n">
        <v>5.6037026771344E-008</v>
      </c>
      <c r="N220" s="280" t="n">
        <v>2.13294699935347E-007</v>
      </c>
      <c r="O220" s="280" t="n">
        <v>2.68591773911319E-011</v>
      </c>
      <c r="P220" s="280" t="n">
        <v>0</v>
      </c>
      <c r="Q220" s="281" t="n">
        <v>1.28070161907843E-009</v>
      </c>
      <c r="R220" s="281" t="n">
        <v>5.12847520151702E-008</v>
      </c>
      <c r="S220" s="281" t="n">
        <v>2.0896750956327E-008</v>
      </c>
      <c r="T220" s="281" t="n">
        <v>8.80033530487951E-007</v>
      </c>
      <c r="U220" s="281" t="n">
        <v>0</v>
      </c>
      <c r="V220" s="281" t="n">
        <v>1.66374682264879E-007</v>
      </c>
      <c r="W220" s="281" t="n">
        <v>0</v>
      </c>
      <c r="X220" s="281" t="n">
        <v>1.15240108939526E-008</v>
      </c>
      <c r="Y220" s="281" t="n">
        <v>0</v>
      </c>
      <c r="Z220" s="281" t="n">
        <v>0</v>
      </c>
      <c r="AA220" s="281" t="n">
        <v>0</v>
      </c>
      <c r="AB220" s="281" t="n">
        <v>0</v>
      </c>
      <c r="AC220" s="281" t="n">
        <v>0</v>
      </c>
      <c r="AD220" s="281" t="n">
        <v>0</v>
      </c>
    </row>
    <row r="221" customFormat="false" ht="17.35" hidden="false" customHeight="false" outlineLevel="0" collapsed="false">
      <c r="A221" s="200" t="s">
        <v>397</v>
      </c>
      <c r="B221" s="200"/>
      <c r="C221" s="200"/>
    </row>
    <row r="222" customFormat="false" ht="31.3" hidden="false" customHeight="false" outlineLevel="0" collapsed="false">
      <c r="A222" s="282" t="s">
        <v>398</v>
      </c>
      <c r="B222" s="269" t="s">
        <v>36</v>
      </c>
      <c r="C222" s="204" t="n">
        <v>2020</v>
      </c>
    </row>
    <row r="223" customFormat="false" ht="31.3" hidden="false" customHeight="false" outlineLevel="0" collapsed="false">
      <c r="A223" s="261" t="s">
        <v>399</v>
      </c>
      <c r="B223" s="283" t="s">
        <v>327</v>
      </c>
      <c r="C223" s="242" t="n">
        <v>-0.3</v>
      </c>
    </row>
    <row r="225" customFormat="false" ht="14.25" hidden="false" customHeight="true" outlineLevel="0" collapsed="false">
      <c r="A225" s="200" t="s">
        <v>400</v>
      </c>
      <c r="B225" s="200"/>
      <c r="C225" s="200"/>
    </row>
    <row r="226" customFormat="false" ht="28.5" hidden="false" customHeight="true" outlineLevel="0" collapsed="false">
      <c r="A226" s="284" t="s">
        <v>401</v>
      </c>
      <c r="B226" s="269" t="s">
        <v>28</v>
      </c>
      <c r="C226" s="270" t="n">
        <v>1</v>
      </c>
    </row>
    <row r="227" customFormat="false" ht="14.25" hidden="false" customHeight="true" outlineLevel="0" collapsed="false">
      <c r="A227" s="285" t="s">
        <v>403</v>
      </c>
      <c r="B227" s="269" t="s">
        <v>404</v>
      </c>
      <c r="C227" s="286" t="n">
        <v>1</v>
      </c>
    </row>
    <row r="228" customFormat="false" ht="14.25" hidden="false" customHeight="false" outlineLevel="0" collapsed="false">
      <c r="A228" s="285"/>
      <c r="B228" s="269" t="s">
        <v>408</v>
      </c>
      <c r="C228" s="286"/>
    </row>
    <row r="229" customFormat="false" ht="14.25" hidden="false" customHeight="false" outlineLevel="0" collapsed="false">
      <c r="A229" s="285"/>
      <c r="B229" s="269" t="s">
        <v>409</v>
      </c>
      <c r="C229" s="286"/>
    </row>
    <row r="230" customFormat="false" ht="16.4" hidden="false" customHeight="false" outlineLevel="0" collapsed="false">
      <c r="A230" s="284" t="s">
        <v>607</v>
      </c>
      <c r="B230" s="269" t="s">
        <v>608</v>
      </c>
      <c r="C230" s="204" t="n">
        <v>0.1</v>
      </c>
    </row>
    <row r="231" customFormat="false" ht="15" hidden="false" customHeight="true" outlineLevel="0" collapsed="false">
      <c r="A231" s="285" t="s">
        <v>406</v>
      </c>
      <c r="B231" s="269" t="s">
        <v>404</v>
      </c>
      <c r="C231" s="286" t="n">
        <v>1</v>
      </c>
    </row>
    <row r="232" customFormat="false" ht="14.25" hidden="false" customHeight="false" outlineLevel="0" collapsed="false">
      <c r="A232" s="285"/>
      <c r="B232" s="269" t="s">
        <v>408</v>
      </c>
      <c r="C232" s="286"/>
    </row>
    <row r="233" customFormat="false" ht="14.25" hidden="false" customHeight="false" outlineLevel="0" collapsed="false">
      <c r="A233" s="285"/>
      <c r="B233" s="269" t="s">
        <v>409</v>
      </c>
      <c r="C233" s="286"/>
    </row>
    <row r="234" customFormat="false" ht="16.4" hidden="false" customHeight="false" outlineLevel="0" collapsed="false">
      <c r="A234" s="287" t="s">
        <v>413</v>
      </c>
      <c r="B234" s="283" t="s">
        <v>608</v>
      </c>
      <c r="C234" s="242" t="n">
        <v>0.1</v>
      </c>
    </row>
    <row r="237" customFormat="false" ht="24.45" hidden="false" customHeight="false" outlineLevel="0" collapsed="false">
      <c r="A237" s="199" t="s">
        <v>609</v>
      </c>
    </row>
    <row r="238" customFormat="false" ht="15.75" hidden="false" customHeight="true" outlineLevel="0" collapsed="false">
      <c r="A238" s="200" t="s">
        <v>429</v>
      </c>
      <c r="B238" s="200"/>
      <c r="C238" s="200"/>
      <c r="D238" s="200"/>
    </row>
    <row r="239" customFormat="false" ht="15.75" hidden="false" customHeight="true" outlineLevel="0" collapsed="false">
      <c r="A239" s="288" t="s">
        <v>430</v>
      </c>
      <c r="B239" s="288"/>
      <c r="C239" s="288"/>
      <c r="D239" s="288"/>
    </row>
    <row r="240" customFormat="false" ht="15" hidden="false" customHeight="true" outlineLevel="0" collapsed="false">
      <c r="A240" s="284" t="s">
        <v>431</v>
      </c>
      <c r="B240" s="284"/>
      <c r="C240" s="284"/>
      <c r="D240" s="289" t="n">
        <v>2</v>
      </c>
    </row>
    <row r="241" customFormat="false" ht="16.4" hidden="false" customHeight="false" outlineLevel="0" collapsed="false">
      <c r="A241" s="290" t="s">
        <v>432</v>
      </c>
      <c r="B241" s="291"/>
      <c r="C241" s="291"/>
      <c r="D241" s="292"/>
    </row>
    <row r="242" customFormat="false" ht="14.25" hidden="false" customHeight="false" outlineLevel="0" collapsed="false">
      <c r="A242" s="293" t="s">
        <v>433</v>
      </c>
      <c r="B242" s="294" t="n">
        <v>2050</v>
      </c>
      <c r="C242" s="295"/>
      <c r="D242" s="295"/>
      <c r="E242" s="295"/>
    </row>
    <row r="243" customFormat="false" ht="16.4" hidden="false" customHeight="false" outlineLevel="0" collapsed="false">
      <c r="A243" s="296" t="s">
        <v>435</v>
      </c>
      <c r="B243" s="297" t="n">
        <v>2020</v>
      </c>
      <c r="C243" s="203"/>
      <c r="D243" s="298" t="s">
        <v>437</v>
      </c>
      <c r="E243" s="299" t="s">
        <v>438</v>
      </c>
    </row>
    <row r="244" customFormat="false" ht="13.5" hidden="false" customHeight="true" outlineLevel="0" collapsed="false">
      <c r="A244" s="300" t="s">
        <v>439</v>
      </c>
      <c r="B244" s="301" t="s">
        <v>440</v>
      </c>
      <c r="C244" s="269" t="s">
        <v>610</v>
      </c>
      <c r="D244" s="251" t="n">
        <v>0.201666666666667</v>
      </c>
      <c r="E244" s="223" t="n">
        <v>0.605</v>
      </c>
    </row>
    <row r="245" customFormat="false" ht="14.25" hidden="false" customHeight="false" outlineLevel="0" collapsed="false">
      <c r="A245" s="300"/>
      <c r="B245" s="301" t="s">
        <v>443</v>
      </c>
      <c r="C245" s="269" t="s">
        <v>610</v>
      </c>
      <c r="D245" s="251" t="n">
        <v>0.05</v>
      </c>
      <c r="E245" s="223" t="n">
        <v>0.15</v>
      </c>
    </row>
    <row r="246" customFormat="false" ht="14.25" hidden="false" customHeight="false" outlineLevel="0" collapsed="false">
      <c r="A246" s="300"/>
      <c r="B246" s="301" t="s">
        <v>444</v>
      </c>
      <c r="C246" s="269" t="s">
        <v>610</v>
      </c>
      <c r="D246" s="251" t="n">
        <v>0.196666666666667</v>
      </c>
      <c r="E246" s="223" t="n">
        <v>0.59</v>
      </c>
    </row>
    <row r="247" customFormat="false" ht="14.25" hidden="false" customHeight="false" outlineLevel="0" collapsed="false">
      <c r="A247" s="300"/>
      <c r="B247" s="301" t="s">
        <v>445</v>
      </c>
      <c r="C247" s="269" t="s">
        <v>610</v>
      </c>
      <c r="D247" s="251" t="n">
        <v>0.163333333333333</v>
      </c>
      <c r="E247" s="223" t="n">
        <v>0.49</v>
      </c>
    </row>
    <row r="248" customFormat="false" ht="14.25" hidden="false" customHeight="false" outlineLevel="0" collapsed="false">
      <c r="A248" s="300"/>
      <c r="B248" s="301" t="s">
        <v>446</v>
      </c>
      <c r="C248" s="269" t="s">
        <v>610</v>
      </c>
      <c r="D248" s="251" t="n">
        <v>0.00166666666666667</v>
      </c>
      <c r="E248" s="223" t="n">
        <v>0.005</v>
      </c>
    </row>
    <row r="249" customFormat="false" ht="14.25" hidden="false" customHeight="false" outlineLevel="0" collapsed="false">
      <c r="A249" s="300"/>
      <c r="B249" s="301" t="s">
        <v>447</v>
      </c>
      <c r="C249" s="269" t="s">
        <v>610</v>
      </c>
      <c r="D249" s="251" t="n">
        <v>0.0633333333333333</v>
      </c>
      <c r="E249" s="223" t="n">
        <v>0.19</v>
      </c>
    </row>
    <row r="250" customFormat="false" ht="14.25" hidden="false" customHeight="false" outlineLevel="0" collapsed="false">
      <c r="A250" s="300"/>
      <c r="B250" s="301" t="s">
        <v>448</v>
      </c>
      <c r="C250" s="269" t="s">
        <v>610</v>
      </c>
      <c r="D250" s="251" t="n">
        <v>0.253333333333333</v>
      </c>
      <c r="E250" s="223" t="n">
        <v>0.76</v>
      </c>
    </row>
    <row r="251" customFormat="false" ht="14.25" hidden="false" customHeight="false" outlineLevel="0" collapsed="false">
      <c r="A251" s="300"/>
      <c r="B251" s="301" t="s">
        <v>449</v>
      </c>
      <c r="C251" s="269" t="s">
        <v>610</v>
      </c>
      <c r="D251" s="251" t="n">
        <v>0.00166666666666667</v>
      </c>
      <c r="E251" s="223" t="n">
        <v>0.005</v>
      </c>
    </row>
    <row r="252" customFormat="false" ht="14.25" hidden="false" customHeight="false" outlineLevel="0" collapsed="false">
      <c r="A252" s="300"/>
      <c r="B252" s="301" t="s">
        <v>450</v>
      </c>
      <c r="C252" s="269" t="s">
        <v>610</v>
      </c>
      <c r="D252" s="251" t="n">
        <v>0.13</v>
      </c>
      <c r="E252" s="223" t="n">
        <v>0.39</v>
      </c>
    </row>
    <row r="253" customFormat="false" ht="14.25" hidden="false" customHeight="false" outlineLevel="0" collapsed="false">
      <c r="A253" s="300"/>
      <c r="B253" s="301" t="s">
        <v>451</v>
      </c>
      <c r="C253" s="269" t="s">
        <v>610</v>
      </c>
      <c r="D253" s="251" t="n">
        <v>0.176666666666667</v>
      </c>
      <c r="E253" s="223" t="n">
        <v>0.53</v>
      </c>
    </row>
    <row r="254" customFormat="false" ht="14.25" hidden="false" customHeight="false" outlineLevel="0" collapsed="false">
      <c r="A254" s="300"/>
      <c r="B254" s="301" t="s">
        <v>452</v>
      </c>
      <c r="C254" s="269" t="s">
        <v>610</v>
      </c>
      <c r="D254" s="251" t="n">
        <v>0.116666666666667</v>
      </c>
      <c r="E254" s="223" t="n">
        <v>0.35</v>
      </c>
    </row>
    <row r="255" customFormat="false" ht="14.25" hidden="false" customHeight="false" outlineLevel="0" collapsed="false">
      <c r="A255" s="300"/>
      <c r="B255" s="301" t="s">
        <v>453</v>
      </c>
      <c r="C255" s="269" t="s">
        <v>610</v>
      </c>
      <c r="D255" s="251" t="n">
        <v>0.188333333333333</v>
      </c>
      <c r="E255" s="223" t="n">
        <v>0.565</v>
      </c>
    </row>
    <row r="256" customFormat="false" ht="14.25" hidden="false" customHeight="false" outlineLevel="0" collapsed="false">
      <c r="A256" s="300"/>
      <c r="B256" s="301" t="s">
        <v>454</v>
      </c>
      <c r="C256" s="269" t="s">
        <v>610</v>
      </c>
      <c r="D256" s="251" t="n">
        <v>0.245</v>
      </c>
      <c r="E256" s="223" t="n">
        <v>0.735</v>
      </c>
    </row>
    <row r="257" customFormat="false" ht="14.25" hidden="false" customHeight="false" outlineLevel="0" collapsed="false">
      <c r="A257" s="300"/>
      <c r="B257" s="301" t="s">
        <v>455</v>
      </c>
      <c r="C257" s="269" t="s">
        <v>610</v>
      </c>
      <c r="D257" s="251" t="n">
        <v>0.191666666666667</v>
      </c>
      <c r="E257" s="223" t="n">
        <v>0.575</v>
      </c>
    </row>
    <row r="258" customFormat="false" ht="14.25" hidden="false" customHeight="false" outlineLevel="0" collapsed="false">
      <c r="A258" s="300"/>
      <c r="B258" s="301" t="s">
        <v>456</v>
      </c>
      <c r="C258" s="269" t="s">
        <v>610</v>
      </c>
      <c r="D258" s="251" t="n">
        <v>0.101666666666667</v>
      </c>
      <c r="E258" s="223" t="n">
        <v>0.305</v>
      </c>
    </row>
    <row r="259" customFormat="false" ht="14.25" hidden="false" customHeight="false" outlineLevel="0" collapsed="false">
      <c r="A259" s="300"/>
      <c r="B259" s="301" t="s">
        <v>457</v>
      </c>
      <c r="C259" s="269" t="s">
        <v>610</v>
      </c>
      <c r="D259" s="251" t="n">
        <v>0.00166666666666667</v>
      </c>
      <c r="E259" s="223" t="n">
        <v>0.005</v>
      </c>
    </row>
    <row r="260" customFormat="false" ht="14.25" hidden="false" customHeight="false" outlineLevel="0" collapsed="false">
      <c r="A260" s="300"/>
      <c r="B260" s="301" t="s">
        <v>458</v>
      </c>
      <c r="C260" s="269" t="s">
        <v>610</v>
      </c>
      <c r="D260" s="251" t="n">
        <v>0.303333333333333</v>
      </c>
      <c r="E260" s="223" t="n">
        <v>0.91</v>
      </c>
    </row>
    <row r="261" customFormat="false" ht="14.25" hidden="false" customHeight="false" outlineLevel="0" collapsed="false">
      <c r="A261" s="300"/>
      <c r="B261" s="301" t="s">
        <v>459</v>
      </c>
      <c r="C261" s="269" t="s">
        <v>610</v>
      </c>
      <c r="D261" s="251" t="n">
        <v>0.00166666666666667</v>
      </c>
      <c r="E261" s="223" t="n">
        <v>0.005</v>
      </c>
    </row>
    <row r="262" customFormat="false" ht="14.25" hidden="false" customHeight="false" outlineLevel="0" collapsed="false">
      <c r="A262" s="300"/>
      <c r="B262" s="302" t="s">
        <v>460</v>
      </c>
      <c r="C262" s="283" t="s">
        <v>610</v>
      </c>
      <c r="D262" s="206" t="n">
        <v>0.183333333333333</v>
      </c>
      <c r="E262" s="207" t="n">
        <v>0.55</v>
      </c>
    </row>
    <row r="263" customFormat="false" ht="15" hidden="false" customHeight="true" outlineLevel="0" collapsed="false">
      <c r="A263" s="303" t="s">
        <v>461</v>
      </c>
      <c r="B263" s="303"/>
      <c r="C263" s="303"/>
    </row>
    <row r="264" customFormat="false" ht="31.3" hidden="false" customHeight="false" outlineLevel="0" collapsed="false">
      <c r="A264" s="284" t="s">
        <v>611</v>
      </c>
      <c r="B264" s="269" t="s">
        <v>612</v>
      </c>
      <c r="C264" s="304" t="n">
        <v>0.014</v>
      </c>
    </row>
    <row r="265" customFormat="false" ht="16.4" hidden="false" customHeight="false" outlineLevel="0" collapsed="false">
      <c r="A265" s="284" t="s">
        <v>613</v>
      </c>
      <c r="B265" s="269" t="s">
        <v>423</v>
      </c>
      <c r="C265" s="204" t="n">
        <v>2020</v>
      </c>
    </row>
    <row r="266" customFormat="false" ht="16.4" hidden="false" customHeight="false" outlineLevel="0" collapsed="false">
      <c r="A266" s="284" t="s">
        <v>614</v>
      </c>
      <c r="B266" s="269" t="s">
        <v>612</v>
      </c>
      <c r="C266" s="304" t="n">
        <v>0.014</v>
      </c>
    </row>
    <row r="267" customFormat="false" ht="16.4" hidden="false" customHeight="false" outlineLevel="0" collapsed="false">
      <c r="A267" s="287" t="s">
        <v>615</v>
      </c>
      <c r="B267" s="283" t="s">
        <v>423</v>
      </c>
      <c r="C267" s="242" t="n">
        <v>2020</v>
      </c>
    </row>
    <row r="269" customFormat="false" ht="17.35" hidden="false" customHeight="false" outlineLevel="0" collapsed="false">
      <c r="A269" s="200" t="s">
        <v>232</v>
      </c>
      <c r="B269" s="200"/>
      <c r="C269" s="200"/>
    </row>
    <row r="270" customFormat="false" ht="14.25" hidden="false" customHeight="false" outlineLevel="0" collapsed="false">
      <c r="A270" s="305" t="s">
        <v>233</v>
      </c>
      <c r="B270" s="305"/>
      <c r="C270" s="305"/>
      <c r="H270" s="54"/>
      <c r="J270" s="57"/>
    </row>
    <row r="271" customFormat="false" ht="16.4" hidden="false" customHeight="false" outlineLevel="0" collapsed="false">
      <c r="A271" s="284" t="s">
        <v>234</v>
      </c>
      <c r="B271" s="203" t="s">
        <v>28</v>
      </c>
      <c r="C271" s="306" t="n">
        <v>1</v>
      </c>
      <c r="H271" s="54"/>
      <c r="J271" s="57"/>
    </row>
    <row r="272" customFormat="false" ht="14.25" hidden="false" customHeight="false" outlineLevel="0" collapsed="false">
      <c r="A272" s="305" t="s">
        <v>616</v>
      </c>
      <c r="B272" s="305"/>
      <c r="C272" s="305"/>
      <c r="H272" s="54"/>
      <c r="J272" s="57"/>
    </row>
    <row r="273" customFormat="false" ht="15" hidden="false" customHeight="true" outlineLevel="0" collapsed="false">
      <c r="A273" s="300" t="s">
        <v>617</v>
      </c>
      <c r="B273" s="269" t="s">
        <v>618</v>
      </c>
      <c r="C273" s="307" t="n">
        <v>4</v>
      </c>
      <c r="H273" s="54"/>
      <c r="J273" s="57"/>
    </row>
    <row r="274" customFormat="false" ht="14.25" hidden="false" customHeight="false" outlineLevel="0" collapsed="false">
      <c r="A274" s="300"/>
      <c r="B274" s="269" t="s">
        <v>619</v>
      </c>
      <c r="C274" s="307"/>
      <c r="H274" s="54"/>
      <c r="J274" s="57"/>
    </row>
    <row r="275" customFormat="false" ht="14.25" hidden="false" customHeight="false" outlineLevel="0" collapsed="false">
      <c r="A275" s="300"/>
      <c r="B275" s="269" t="s">
        <v>620</v>
      </c>
      <c r="C275" s="307"/>
      <c r="H275" s="54"/>
      <c r="J275" s="57"/>
    </row>
    <row r="276" customFormat="false" ht="14.25" hidden="false" customHeight="false" outlineLevel="0" collapsed="false">
      <c r="A276" s="300"/>
      <c r="B276" s="283" t="s">
        <v>621</v>
      </c>
      <c r="C276" s="307"/>
      <c r="H276" s="54"/>
      <c r="J276" s="57"/>
    </row>
    <row r="277" customFormat="false" ht="14.25" hidden="false" customHeight="false" outlineLevel="0" collapsed="false">
      <c r="H277" s="54"/>
      <c r="J277" s="57"/>
    </row>
    <row r="278" customFormat="false" ht="14.25" hidden="false" customHeight="false" outlineLevel="0" collapsed="false">
      <c r="A278" s="308" t="s">
        <v>164</v>
      </c>
      <c r="B278" s="309"/>
      <c r="H278" s="54"/>
      <c r="J278" s="57"/>
    </row>
    <row r="279" customFormat="false" ht="14.25" hidden="false" customHeight="false" outlineLevel="0" collapsed="false">
      <c r="A279" s="310" t="s">
        <v>165</v>
      </c>
      <c r="B279" s="311" t="n">
        <v>1</v>
      </c>
      <c r="H279" s="54"/>
      <c r="J279" s="57"/>
    </row>
    <row r="280" customFormat="false" ht="14.25" hidden="false" customHeight="false" outlineLevel="0" collapsed="false">
      <c r="H280" s="54"/>
      <c r="J280" s="57"/>
    </row>
    <row r="281" customFormat="false" ht="17.35" hidden="false" customHeight="false" outlineLevel="0" collapsed="false">
      <c r="A281" s="200" t="s">
        <v>622</v>
      </c>
      <c r="B281" s="200"/>
      <c r="C281" s="200"/>
      <c r="D281" s="200"/>
      <c r="E281" s="200"/>
      <c r="F281" s="200"/>
      <c r="G281" s="200"/>
      <c r="H281" s="200"/>
      <c r="I281" s="200"/>
      <c r="J281" s="57"/>
    </row>
    <row r="282" customFormat="false" ht="14.25" hidden="false" customHeight="false" outlineLevel="0" collapsed="false">
      <c r="A282" s="312" t="s">
        <v>623</v>
      </c>
      <c r="B282" s="202" t="s">
        <v>36</v>
      </c>
      <c r="C282" s="203" t="n">
        <v>2020</v>
      </c>
      <c r="D282" s="203" t="n">
        <v>2025</v>
      </c>
      <c r="E282" s="203" t="n">
        <v>2030</v>
      </c>
      <c r="F282" s="203" t="n">
        <v>2035</v>
      </c>
      <c r="G282" s="203" t="n">
        <v>2040</v>
      </c>
      <c r="H282" s="203" t="n">
        <v>2045</v>
      </c>
      <c r="I282" s="204" t="n">
        <v>2050</v>
      </c>
      <c r="J282" s="57"/>
    </row>
    <row r="283" customFormat="false" ht="14.25" hidden="false" customHeight="false" outlineLevel="0" collapsed="false">
      <c r="A283" s="312" t="s">
        <v>576</v>
      </c>
      <c r="B283" s="202" t="s">
        <v>499</v>
      </c>
      <c r="C283" s="203" t="n">
        <v>0</v>
      </c>
      <c r="D283" s="203" t="n">
        <v>0</v>
      </c>
      <c r="E283" s="203" t="n">
        <v>0</v>
      </c>
      <c r="F283" s="203" t="n">
        <v>0</v>
      </c>
      <c r="G283" s="203" t="n">
        <v>0</v>
      </c>
      <c r="H283" s="203" t="n">
        <v>0</v>
      </c>
      <c r="I283" s="204" t="n">
        <v>0</v>
      </c>
      <c r="J283" s="57"/>
    </row>
    <row r="284" customFormat="false" ht="14.25" hidden="false" customHeight="false" outlineLevel="0" collapsed="false">
      <c r="A284" s="312" t="s">
        <v>579</v>
      </c>
      <c r="B284" s="202" t="s">
        <v>499</v>
      </c>
      <c r="C284" s="203" t="n">
        <v>0</v>
      </c>
      <c r="D284" s="203" t="n">
        <v>0</v>
      </c>
      <c r="E284" s="203" t="n">
        <v>0</v>
      </c>
      <c r="F284" s="203" t="n">
        <v>0</v>
      </c>
      <c r="G284" s="203" t="n">
        <v>0</v>
      </c>
      <c r="H284" s="203" t="n">
        <v>0</v>
      </c>
      <c r="I284" s="204" t="n">
        <v>0</v>
      </c>
      <c r="J284" s="57"/>
    </row>
    <row r="285" customFormat="false" ht="14.25" hidden="false" customHeight="false" outlineLevel="0" collapsed="false">
      <c r="A285" s="312" t="s">
        <v>362</v>
      </c>
      <c r="B285" s="202" t="s">
        <v>499</v>
      </c>
      <c r="C285" s="203" t="n">
        <v>0</v>
      </c>
      <c r="D285" s="203" t="n">
        <v>0</v>
      </c>
      <c r="E285" s="203" t="n">
        <v>0</v>
      </c>
      <c r="F285" s="203" t="n">
        <v>0</v>
      </c>
      <c r="G285" s="203" t="n">
        <v>0</v>
      </c>
      <c r="H285" s="203" t="n">
        <v>0</v>
      </c>
      <c r="I285" s="204" t="n">
        <v>0</v>
      </c>
      <c r="J285" s="57"/>
    </row>
    <row r="286" customFormat="false" ht="14.25" hidden="false" customHeight="false" outlineLevel="0" collapsed="false">
      <c r="A286" s="312" t="s">
        <v>580</v>
      </c>
      <c r="B286" s="202" t="s">
        <v>499</v>
      </c>
      <c r="C286" s="203" t="n">
        <v>0</v>
      </c>
      <c r="D286" s="203" t="n">
        <v>0</v>
      </c>
      <c r="E286" s="203" t="n">
        <v>0</v>
      </c>
      <c r="F286" s="203" t="n">
        <v>0</v>
      </c>
      <c r="G286" s="203" t="n">
        <v>0</v>
      </c>
      <c r="H286" s="203" t="n">
        <v>0</v>
      </c>
      <c r="I286" s="204" t="n">
        <v>0</v>
      </c>
      <c r="J286" s="57"/>
    </row>
    <row r="287" customFormat="false" ht="14.25" hidden="false" customHeight="false" outlineLevel="0" collapsed="false">
      <c r="A287" s="312" t="s">
        <v>581</v>
      </c>
      <c r="B287" s="202" t="s">
        <v>499</v>
      </c>
      <c r="C287" s="203" t="n">
        <v>0</v>
      </c>
      <c r="D287" s="203" t="n">
        <v>0</v>
      </c>
      <c r="E287" s="203" t="n">
        <v>0</v>
      </c>
      <c r="F287" s="203" t="n">
        <v>0</v>
      </c>
      <c r="G287" s="203" t="n">
        <v>0</v>
      </c>
      <c r="H287" s="203" t="n">
        <v>0</v>
      </c>
      <c r="I287" s="204" t="n">
        <v>0</v>
      </c>
      <c r="J287" s="57"/>
    </row>
    <row r="288" customFormat="false" ht="14.25" hidden="false" customHeight="false" outlineLevel="0" collapsed="false">
      <c r="A288" s="312" t="s">
        <v>582</v>
      </c>
      <c r="B288" s="202" t="s">
        <v>499</v>
      </c>
      <c r="C288" s="203" t="n">
        <v>0</v>
      </c>
      <c r="D288" s="203" t="n">
        <v>0</v>
      </c>
      <c r="E288" s="203" t="n">
        <v>0</v>
      </c>
      <c r="F288" s="203" t="n">
        <v>0</v>
      </c>
      <c r="G288" s="203" t="n">
        <v>0</v>
      </c>
      <c r="H288" s="203" t="n">
        <v>0</v>
      </c>
      <c r="I288" s="204" t="n">
        <v>0</v>
      </c>
      <c r="J288" s="57"/>
    </row>
    <row r="289" customFormat="false" ht="14.25" hidden="false" customHeight="false" outlineLevel="0" collapsed="false">
      <c r="A289" s="312" t="s">
        <v>583</v>
      </c>
      <c r="B289" s="202" t="s">
        <v>499</v>
      </c>
      <c r="C289" s="203" t="n">
        <v>0</v>
      </c>
      <c r="D289" s="203" t="n">
        <v>0</v>
      </c>
      <c r="E289" s="203" t="n">
        <v>0</v>
      </c>
      <c r="F289" s="203" t="n">
        <v>0</v>
      </c>
      <c r="G289" s="203" t="n">
        <v>0</v>
      </c>
      <c r="H289" s="203" t="n">
        <v>0</v>
      </c>
      <c r="I289" s="204" t="n">
        <v>0</v>
      </c>
      <c r="J289" s="57"/>
    </row>
    <row r="290" customFormat="false" ht="14.25" hidden="false" customHeight="false" outlineLevel="0" collapsed="false">
      <c r="A290" s="312" t="s">
        <v>354</v>
      </c>
      <c r="B290" s="202" t="s">
        <v>499</v>
      </c>
      <c r="C290" s="203" t="n">
        <v>0</v>
      </c>
      <c r="D290" s="203" t="n">
        <v>0</v>
      </c>
      <c r="E290" s="203" t="n">
        <v>0</v>
      </c>
      <c r="F290" s="203" t="n">
        <v>0</v>
      </c>
      <c r="G290" s="203" t="n">
        <v>0</v>
      </c>
      <c r="H290" s="203" t="n">
        <v>0</v>
      </c>
      <c r="I290" s="204" t="n">
        <v>0</v>
      </c>
      <c r="J290" s="57"/>
    </row>
    <row r="291" customFormat="false" ht="14.25" hidden="false" customHeight="false" outlineLevel="0" collapsed="false">
      <c r="A291" s="312" t="s">
        <v>584</v>
      </c>
      <c r="B291" s="202" t="s">
        <v>499</v>
      </c>
      <c r="C291" s="203" t="n">
        <v>0</v>
      </c>
      <c r="D291" s="203" t="n">
        <v>0</v>
      </c>
      <c r="E291" s="203" t="n">
        <v>0</v>
      </c>
      <c r="F291" s="203" t="n">
        <v>0</v>
      </c>
      <c r="G291" s="203" t="n">
        <v>0</v>
      </c>
      <c r="H291" s="203" t="n">
        <v>0</v>
      </c>
      <c r="I291" s="204" t="n">
        <v>0</v>
      </c>
      <c r="J291" s="57"/>
    </row>
    <row r="292" customFormat="false" ht="14.25" hidden="false" customHeight="false" outlineLevel="0" collapsed="false">
      <c r="A292" s="312" t="s">
        <v>585</v>
      </c>
      <c r="B292" s="202" t="s">
        <v>499</v>
      </c>
      <c r="C292" s="203" t="n">
        <v>0</v>
      </c>
      <c r="D292" s="203" t="n">
        <v>0</v>
      </c>
      <c r="E292" s="203" t="n">
        <v>0</v>
      </c>
      <c r="F292" s="203" t="n">
        <v>0</v>
      </c>
      <c r="G292" s="203" t="n">
        <v>0</v>
      </c>
      <c r="H292" s="203" t="n">
        <v>0</v>
      </c>
      <c r="I292" s="204" t="n">
        <v>0</v>
      </c>
      <c r="J292" s="57"/>
    </row>
    <row r="293" customFormat="false" ht="14.25" hidden="false" customHeight="false" outlineLevel="0" collapsed="false">
      <c r="A293" s="312" t="s">
        <v>586</v>
      </c>
      <c r="B293" s="202" t="s">
        <v>499</v>
      </c>
      <c r="C293" s="203" t="n">
        <v>0</v>
      </c>
      <c r="D293" s="203" t="n">
        <v>0</v>
      </c>
      <c r="E293" s="203" t="n">
        <v>0</v>
      </c>
      <c r="F293" s="203" t="n">
        <v>0</v>
      </c>
      <c r="G293" s="203" t="n">
        <v>0</v>
      </c>
      <c r="H293" s="203" t="n">
        <v>0</v>
      </c>
      <c r="I293" s="204" t="n">
        <v>0</v>
      </c>
      <c r="J293" s="57"/>
    </row>
    <row r="294" customFormat="false" ht="14.25" hidden="false" customHeight="false" outlineLevel="0" collapsed="false">
      <c r="A294" s="312" t="s">
        <v>587</v>
      </c>
      <c r="B294" s="202" t="s">
        <v>499</v>
      </c>
      <c r="C294" s="203" t="n">
        <v>0</v>
      </c>
      <c r="D294" s="203" t="n">
        <v>0</v>
      </c>
      <c r="E294" s="203" t="n">
        <v>0</v>
      </c>
      <c r="F294" s="203" t="n">
        <v>0</v>
      </c>
      <c r="G294" s="203" t="n">
        <v>0</v>
      </c>
      <c r="H294" s="203" t="n">
        <v>0</v>
      </c>
      <c r="I294" s="204" t="n">
        <v>0</v>
      </c>
      <c r="J294" s="57"/>
    </row>
    <row r="295" customFormat="false" ht="14.25" hidden="false" customHeight="false" outlineLevel="0" collapsed="false">
      <c r="A295" s="312" t="s">
        <v>588</v>
      </c>
      <c r="B295" s="202" t="s">
        <v>499</v>
      </c>
      <c r="C295" s="203" t="n">
        <v>0</v>
      </c>
      <c r="D295" s="203" t="n">
        <v>0</v>
      </c>
      <c r="E295" s="203" t="n">
        <v>0</v>
      </c>
      <c r="F295" s="203" t="n">
        <v>0</v>
      </c>
      <c r="G295" s="203" t="n">
        <v>0</v>
      </c>
      <c r="H295" s="203" t="n">
        <v>0</v>
      </c>
      <c r="I295" s="204" t="n">
        <v>0</v>
      </c>
      <c r="J295" s="57"/>
    </row>
    <row r="296" customFormat="false" ht="14.25" hidden="false" customHeight="false" outlineLevel="0" collapsed="false">
      <c r="A296" s="312" t="s">
        <v>589</v>
      </c>
      <c r="B296" s="202" t="s">
        <v>499</v>
      </c>
      <c r="C296" s="203" t="n">
        <v>0</v>
      </c>
      <c r="D296" s="203" t="n">
        <v>0</v>
      </c>
      <c r="E296" s="203" t="n">
        <v>0</v>
      </c>
      <c r="F296" s="203" t="n">
        <v>0</v>
      </c>
      <c r="G296" s="203" t="n">
        <v>0</v>
      </c>
      <c r="H296" s="203" t="n">
        <v>0</v>
      </c>
      <c r="I296" s="204" t="n">
        <v>0</v>
      </c>
      <c r="J296" s="57"/>
    </row>
    <row r="297" customFormat="false" ht="14.25" hidden="false" customHeight="false" outlineLevel="0" collapsed="false">
      <c r="A297" s="312" t="s">
        <v>590</v>
      </c>
      <c r="B297" s="202" t="s">
        <v>499</v>
      </c>
      <c r="C297" s="203" t="n">
        <v>0</v>
      </c>
      <c r="D297" s="203" t="n">
        <v>0</v>
      </c>
      <c r="E297" s="203" t="n">
        <v>0</v>
      </c>
      <c r="F297" s="203" t="n">
        <v>0</v>
      </c>
      <c r="G297" s="203" t="n">
        <v>0</v>
      </c>
      <c r="H297" s="203" t="n">
        <v>0</v>
      </c>
      <c r="I297" s="204" t="n">
        <v>0</v>
      </c>
      <c r="J297" s="57"/>
    </row>
    <row r="298" customFormat="false" ht="14.25" hidden="false" customHeight="false" outlineLevel="0" collapsed="false">
      <c r="A298" s="312" t="s">
        <v>338</v>
      </c>
      <c r="B298" s="202" t="s">
        <v>499</v>
      </c>
      <c r="C298" s="203" t="n">
        <v>0</v>
      </c>
      <c r="D298" s="203" t="n">
        <v>0</v>
      </c>
      <c r="E298" s="203" t="n">
        <v>0</v>
      </c>
      <c r="F298" s="203" t="n">
        <f aca="false">$C298+(($G298-$C298)/20)*(F295-2020)</f>
        <v>0</v>
      </c>
      <c r="G298" s="203" t="n">
        <v>0</v>
      </c>
      <c r="H298" s="203" t="n">
        <v>0</v>
      </c>
      <c r="I298" s="204" t="n">
        <v>0</v>
      </c>
      <c r="J298" s="57"/>
    </row>
    <row r="299" customFormat="false" ht="14.25" hidden="false" customHeight="false" outlineLevel="0" collapsed="false">
      <c r="A299" s="312" t="s">
        <v>591</v>
      </c>
      <c r="B299" s="202" t="s">
        <v>499</v>
      </c>
      <c r="C299" s="203" t="n">
        <v>0</v>
      </c>
      <c r="D299" s="203" t="n">
        <v>0</v>
      </c>
      <c r="E299" s="203" t="n">
        <v>0</v>
      </c>
      <c r="F299" s="203" t="n">
        <v>0</v>
      </c>
      <c r="G299" s="203" t="n">
        <v>0</v>
      </c>
      <c r="H299" s="203" t="n">
        <v>0</v>
      </c>
      <c r="I299" s="204" t="n">
        <v>0</v>
      </c>
      <c r="J299" s="57"/>
    </row>
    <row r="300" customFormat="false" ht="14.25" hidden="false" customHeight="false" outlineLevel="0" collapsed="false">
      <c r="A300" s="312" t="s">
        <v>592</v>
      </c>
      <c r="B300" s="202" t="s">
        <v>499</v>
      </c>
      <c r="C300" s="203" t="n">
        <v>0</v>
      </c>
      <c r="D300" s="203" t="n">
        <v>0</v>
      </c>
      <c r="E300" s="203" t="n">
        <v>0</v>
      </c>
      <c r="F300" s="203" t="n">
        <v>0</v>
      </c>
      <c r="G300" s="203" t="n">
        <v>0</v>
      </c>
      <c r="H300" s="203" t="n">
        <v>0</v>
      </c>
      <c r="I300" s="204" t="n">
        <v>0</v>
      </c>
      <c r="J300" s="57"/>
    </row>
    <row r="301" customFormat="false" ht="14.25" hidden="false" customHeight="false" outlineLevel="0" collapsed="false">
      <c r="A301" s="312" t="s">
        <v>593</v>
      </c>
      <c r="B301" s="202" t="s">
        <v>499</v>
      </c>
      <c r="C301" s="203" t="n">
        <v>0</v>
      </c>
      <c r="D301" s="203" t="n">
        <v>0</v>
      </c>
      <c r="E301" s="203" t="n">
        <v>0</v>
      </c>
      <c r="F301" s="203" t="n">
        <v>0</v>
      </c>
      <c r="G301" s="203" t="n">
        <v>0</v>
      </c>
      <c r="H301" s="203" t="n">
        <v>0</v>
      </c>
      <c r="I301" s="204" t="n">
        <v>0</v>
      </c>
      <c r="J301" s="57"/>
    </row>
    <row r="302" customFormat="false" ht="14.25" hidden="false" customHeight="false" outlineLevel="0" collapsed="false">
      <c r="A302" s="312" t="s">
        <v>594</v>
      </c>
      <c r="B302" s="202" t="s">
        <v>499</v>
      </c>
      <c r="C302" s="203" t="n">
        <v>0</v>
      </c>
      <c r="D302" s="203" t="n">
        <v>0</v>
      </c>
      <c r="E302" s="203" t="n">
        <v>0</v>
      </c>
      <c r="F302" s="203" t="n">
        <v>0</v>
      </c>
      <c r="G302" s="203" t="n">
        <v>0</v>
      </c>
      <c r="H302" s="203" t="n">
        <v>0</v>
      </c>
      <c r="I302" s="204" t="n">
        <v>0</v>
      </c>
      <c r="J302" s="57"/>
    </row>
    <row r="303" customFormat="false" ht="14.25" hidden="false" customHeight="false" outlineLevel="0" collapsed="false">
      <c r="A303" s="312" t="s">
        <v>595</v>
      </c>
      <c r="B303" s="202" t="s">
        <v>499</v>
      </c>
      <c r="C303" s="203" t="n">
        <v>0</v>
      </c>
      <c r="D303" s="203" t="n">
        <v>0</v>
      </c>
      <c r="E303" s="203" t="n">
        <v>0</v>
      </c>
      <c r="F303" s="203" t="n">
        <v>0</v>
      </c>
      <c r="G303" s="203" t="n">
        <v>0</v>
      </c>
      <c r="H303" s="203" t="n">
        <v>0</v>
      </c>
      <c r="I303" s="204" t="n">
        <v>0</v>
      </c>
      <c r="J303" s="57"/>
    </row>
    <row r="304" customFormat="false" ht="14.25" hidden="false" customHeight="false" outlineLevel="0" collapsed="false">
      <c r="A304" s="312" t="s">
        <v>596</v>
      </c>
      <c r="B304" s="202" t="s">
        <v>499</v>
      </c>
      <c r="C304" s="203" t="n">
        <v>0</v>
      </c>
      <c r="D304" s="203" t="n">
        <v>0</v>
      </c>
      <c r="E304" s="203" t="n">
        <v>0</v>
      </c>
      <c r="F304" s="203" t="n">
        <v>0</v>
      </c>
      <c r="G304" s="203" t="n">
        <v>0</v>
      </c>
      <c r="H304" s="203" t="n">
        <v>0</v>
      </c>
      <c r="I304" s="204" t="n">
        <v>0</v>
      </c>
      <c r="J304" s="57"/>
    </row>
    <row r="305" customFormat="false" ht="14.25" hidden="false" customHeight="false" outlineLevel="0" collapsed="false">
      <c r="A305" s="312" t="s">
        <v>597</v>
      </c>
      <c r="B305" s="202" t="s">
        <v>499</v>
      </c>
      <c r="C305" s="203" t="n">
        <v>0</v>
      </c>
      <c r="D305" s="203" t="n">
        <v>0</v>
      </c>
      <c r="E305" s="203" t="n">
        <v>0</v>
      </c>
      <c r="F305" s="203" t="n">
        <v>0</v>
      </c>
      <c r="G305" s="203" t="n">
        <v>0</v>
      </c>
      <c r="H305" s="203" t="n">
        <v>0</v>
      </c>
      <c r="I305" s="204" t="n">
        <v>0</v>
      </c>
      <c r="J305" s="57"/>
    </row>
    <row r="306" customFormat="false" ht="14.25" hidden="false" customHeight="false" outlineLevel="0" collapsed="false">
      <c r="A306" s="312" t="s">
        <v>598</v>
      </c>
      <c r="B306" s="202" t="s">
        <v>499</v>
      </c>
      <c r="C306" s="203" t="n">
        <v>0</v>
      </c>
      <c r="D306" s="203" t="n">
        <v>0</v>
      </c>
      <c r="E306" s="203" t="n">
        <v>0</v>
      </c>
      <c r="F306" s="203" t="n">
        <v>0</v>
      </c>
      <c r="G306" s="203" t="n">
        <v>0</v>
      </c>
      <c r="H306" s="203" t="n">
        <v>0</v>
      </c>
      <c r="I306" s="204" t="n">
        <v>0</v>
      </c>
      <c r="J306" s="57"/>
    </row>
    <row r="307" customFormat="false" ht="14.25" hidden="false" customHeight="false" outlineLevel="0" collapsed="false">
      <c r="A307" s="312" t="s">
        <v>599</v>
      </c>
      <c r="B307" s="202" t="s">
        <v>499</v>
      </c>
      <c r="C307" s="203" t="n">
        <v>0</v>
      </c>
      <c r="D307" s="203" t="n">
        <v>0</v>
      </c>
      <c r="E307" s="203" t="n">
        <v>0</v>
      </c>
      <c r="F307" s="203" t="n">
        <v>0</v>
      </c>
      <c r="G307" s="203" t="n">
        <v>0</v>
      </c>
      <c r="H307" s="203" t="n">
        <v>0</v>
      </c>
      <c r="I307" s="204" t="n">
        <v>0</v>
      </c>
      <c r="J307" s="57"/>
    </row>
    <row r="308" customFormat="false" ht="14.25" hidden="false" customHeight="false" outlineLevel="0" collapsed="false">
      <c r="A308" s="312" t="s">
        <v>351</v>
      </c>
      <c r="B308" s="202" t="s">
        <v>499</v>
      </c>
      <c r="C308" s="203" t="n">
        <v>0</v>
      </c>
      <c r="D308" s="203" t="n">
        <v>0</v>
      </c>
      <c r="E308" s="203" t="n">
        <v>0</v>
      </c>
      <c r="F308" s="203" t="n">
        <v>0</v>
      </c>
      <c r="G308" s="203" t="n">
        <v>0</v>
      </c>
      <c r="H308" s="203" t="n">
        <v>0</v>
      </c>
      <c r="I308" s="204" t="n">
        <v>0</v>
      </c>
      <c r="J308" s="57"/>
    </row>
    <row r="309" customFormat="false" ht="14.25" hidden="false" customHeight="false" outlineLevel="0" collapsed="false">
      <c r="A309" s="312" t="s">
        <v>361</v>
      </c>
      <c r="B309" s="202" t="s">
        <v>499</v>
      </c>
      <c r="C309" s="203" t="n">
        <v>0</v>
      </c>
      <c r="D309" s="203" t="n">
        <v>0</v>
      </c>
      <c r="E309" s="203" t="n">
        <v>0</v>
      </c>
      <c r="F309" s="203" t="n">
        <v>0</v>
      </c>
      <c r="G309" s="203" t="n">
        <v>0</v>
      </c>
      <c r="H309" s="203" t="n">
        <v>0</v>
      </c>
      <c r="I309" s="204" t="n">
        <v>0</v>
      </c>
      <c r="J309" s="57"/>
    </row>
    <row r="310" customFormat="false" ht="14.25" hidden="false" customHeight="false" outlineLevel="0" collapsed="false">
      <c r="A310" s="312" t="s">
        <v>600</v>
      </c>
      <c r="B310" s="202" t="s">
        <v>499</v>
      </c>
      <c r="C310" s="203" t="n">
        <v>0</v>
      </c>
      <c r="D310" s="203" t="n">
        <v>0</v>
      </c>
      <c r="E310" s="203" t="n">
        <v>0</v>
      </c>
      <c r="F310" s="203" t="n">
        <v>0</v>
      </c>
      <c r="G310" s="203" t="n">
        <v>0</v>
      </c>
      <c r="H310" s="203" t="n">
        <v>0</v>
      </c>
      <c r="I310" s="204" t="n">
        <v>0</v>
      </c>
      <c r="J310" s="57"/>
    </row>
    <row r="311" customFormat="false" ht="14.25" hidden="false" customHeight="false" outlineLevel="0" collapsed="false">
      <c r="A311" s="313" t="s">
        <v>624</v>
      </c>
      <c r="B311" s="314"/>
      <c r="C311" s="314"/>
      <c r="D311" s="314"/>
      <c r="E311" s="314"/>
      <c r="F311" s="314"/>
      <c r="G311" s="314"/>
      <c r="H311" s="315"/>
      <c r="I311" s="314"/>
      <c r="J311" s="57"/>
    </row>
    <row r="312" customFormat="false" ht="14.25" hidden="false" customHeight="false" outlineLevel="0" collapsed="false">
      <c r="A312" s="312" t="s">
        <v>576</v>
      </c>
      <c r="B312" s="202" t="s">
        <v>28</v>
      </c>
      <c r="C312" s="203" t="n">
        <v>0.189349112426035</v>
      </c>
      <c r="D312" s="203" t="n">
        <v>0.189349112426035</v>
      </c>
      <c r="E312" s="203" t="n">
        <v>0.189349112426035</v>
      </c>
      <c r="F312" s="203" t="n">
        <v>0.189349112426035</v>
      </c>
      <c r="G312" s="203" t="n">
        <v>0.189349112426035</v>
      </c>
      <c r="H312" s="203" t="n">
        <f aca="false">G312+(I312-G312)/2</f>
        <v>0.238653613804641</v>
      </c>
      <c r="I312" s="203" t="n">
        <v>0.287958115183246</v>
      </c>
      <c r="J312" s="57"/>
    </row>
    <row r="313" customFormat="false" ht="14.25" hidden="false" customHeight="false" outlineLevel="0" collapsed="false">
      <c r="A313" s="312" t="s">
        <v>579</v>
      </c>
      <c r="B313" s="202" t="s">
        <v>28</v>
      </c>
      <c r="C313" s="203" t="n">
        <v>0.189349112426035</v>
      </c>
      <c r="D313" s="203" t="n">
        <v>0.189349112426035</v>
      </c>
      <c r="E313" s="203" t="n">
        <v>0.189349112426035</v>
      </c>
      <c r="F313" s="203" t="n">
        <v>0.189349112426035</v>
      </c>
      <c r="G313" s="203" t="n">
        <v>0.189349112426035</v>
      </c>
      <c r="H313" s="203" t="n">
        <f aca="false">G313+(I313-G313)/2</f>
        <v>0.238653613804641</v>
      </c>
      <c r="I313" s="203" t="n">
        <v>0.287958115183246</v>
      </c>
      <c r="J313" s="57"/>
    </row>
    <row r="314" customFormat="false" ht="14.25" hidden="false" customHeight="false" outlineLevel="0" collapsed="false">
      <c r="A314" s="312" t="s">
        <v>362</v>
      </c>
      <c r="B314" s="202" t="s">
        <v>28</v>
      </c>
      <c r="C314" s="203" t="n">
        <v>0.189349112426035</v>
      </c>
      <c r="D314" s="203" t="n">
        <v>0.189349112426035</v>
      </c>
      <c r="E314" s="203" t="n">
        <v>0.189349112426035</v>
      </c>
      <c r="F314" s="203" t="n">
        <v>0.189349112426035</v>
      </c>
      <c r="G314" s="203" t="n">
        <v>0.189349112426035</v>
      </c>
      <c r="H314" s="203" t="n">
        <f aca="false">G314+(I314-G314)/2</f>
        <v>0.238653613804641</v>
      </c>
      <c r="I314" s="203" t="n">
        <v>0.287958115183246</v>
      </c>
      <c r="J314" s="57"/>
    </row>
    <row r="315" customFormat="false" ht="14.25" hidden="false" customHeight="false" outlineLevel="0" collapsed="false">
      <c r="A315" s="312" t="s">
        <v>580</v>
      </c>
      <c r="B315" s="202" t="s">
        <v>28</v>
      </c>
      <c r="C315" s="203" t="n">
        <v>0.189349112426035</v>
      </c>
      <c r="D315" s="203" t="n">
        <v>0.189349112426035</v>
      </c>
      <c r="E315" s="203" t="n">
        <v>0.189349112426035</v>
      </c>
      <c r="F315" s="203" t="n">
        <v>0.189349112426035</v>
      </c>
      <c r="G315" s="203" t="n">
        <v>0.189349112426035</v>
      </c>
      <c r="H315" s="203" t="n">
        <f aca="false">G315+(I315-G315)/2</f>
        <v>0.238653613804641</v>
      </c>
      <c r="I315" s="203" t="n">
        <v>0.287958115183246</v>
      </c>
      <c r="J315" s="57"/>
    </row>
    <row r="316" customFormat="false" ht="14.25" hidden="false" customHeight="false" outlineLevel="0" collapsed="false">
      <c r="A316" s="312" t="s">
        <v>581</v>
      </c>
      <c r="B316" s="202" t="s">
        <v>28</v>
      </c>
      <c r="C316" s="203" t="n">
        <v>0.189349112426035</v>
      </c>
      <c r="D316" s="203" t="n">
        <v>0.189349112426035</v>
      </c>
      <c r="E316" s="203" t="n">
        <v>0.189349112426035</v>
      </c>
      <c r="F316" s="203" t="n">
        <v>0.189349112426035</v>
      </c>
      <c r="G316" s="203" t="n">
        <v>0.189349112426035</v>
      </c>
      <c r="H316" s="203" t="n">
        <f aca="false">G316+(I316-G316)/2</f>
        <v>0.238653613804641</v>
      </c>
      <c r="I316" s="203" t="n">
        <v>0.287958115183246</v>
      </c>
      <c r="J316" s="57"/>
    </row>
    <row r="317" customFormat="false" ht="14.25" hidden="false" customHeight="false" outlineLevel="0" collapsed="false">
      <c r="A317" s="312" t="s">
        <v>582</v>
      </c>
      <c r="B317" s="202" t="s">
        <v>28</v>
      </c>
      <c r="C317" s="203" t="n">
        <v>0.189349112426035</v>
      </c>
      <c r="D317" s="203" t="n">
        <v>0.189349112426035</v>
      </c>
      <c r="E317" s="203" t="n">
        <v>0.189349112426035</v>
      </c>
      <c r="F317" s="203" t="n">
        <v>0.189349112426035</v>
      </c>
      <c r="G317" s="203" t="n">
        <v>0.189349112426035</v>
      </c>
      <c r="H317" s="203" t="n">
        <f aca="false">G317+(I317-G317)/2</f>
        <v>0.238653613804641</v>
      </c>
      <c r="I317" s="203" t="n">
        <v>0.287958115183246</v>
      </c>
      <c r="J317" s="57"/>
    </row>
    <row r="318" customFormat="false" ht="14.25" hidden="false" customHeight="false" outlineLevel="0" collapsed="false">
      <c r="A318" s="312" t="s">
        <v>583</v>
      </c>
      <c r="B318" s="202" t="s">
        <v>28</v>
      </c>
      <c r="C318" s="203" t="n">
        <v>0.189349112426035</v>
      </c>
      <c r="D318" s="203" t="n">
        <v>0.189349112426035</v>
      </c>
      <c r="E318" s="203" t="n">
        <v>0.189349112426035</v>
      </c>
      <c r="F318" s="203" t="n">
        <v>0.189349112426035</v>
      </c>
      <c r="G318" s="203" t="n">
        <v>0.189349112426035</v>
      </c>
      <c r="H318" s="203" t="n">
        <f aca="false">G318+(I318-G318)/2</f>
        <v>0.238653613804641</v>
      </c>
      <c r="I318" s="203" t="n">
        <v>0.287958115183246</v>
      </c>
      <c r="J318" s="57"/>
    </row>
    <row r="319" customFormat="false" ht="14.25" hidden="false" customHeight="false" outlineLevel="0" collapsed="false">
      <c r="A319" s="312" t="s">
        <v>354</v>
      </c>
      <c r="B319" s="202" t="s">
        <v>28</v>
      </c>
      <c r="C319" s="203" t="n">
        <v>0.189349112426035</v>
      </c>
      <c r="D319" s="203" t="n">
        <v>0.189349112426035</v>
      </c>
      <c r="E319" s="203" t="n">
        <v>0.189349112426035</v>
      </c>
      <c r="F319" s="203" t="n">
        <v>0.189349112426035</v>
      </c>
      <c r="G319" s="203" t="n">
        <v>0.189349112426035</v>
      </c>
      <c r="H319" s="203" t="n">
        <f aca="false">G319+(I319-G319)/2</f>
        <v>0.238653613804641</v>
      </c>
      <c r="I319" s="203" t="n">
        <v>0.287958115183246</v>
      </c>
      <c r="J319" s="57"/>
    </row>
    <row r="320" customFormat="false" ht="14.25" hidden="false" customHeight="false" outlineLevel="0" collapsed="false">
      <c r="A320" s="312" t="s">
        <v>584</v>
      </c>
      <c r="B320" s="202" t="s">
        <v>28</v>
      </c>
      <c r="C320" s="203" t="n">
        <v>0.189349112426035</v>
      </c>
      <c r="D320" s="203" t="n">
        <v>0.189349112426035</v>
      </c>
      <c r="E320" s="203" t="n">
        <v>0.189349112426035</v>
      </c>
      <c r="F320" s="203" t="n">
        <v>0.189349112426035</v>
      </c>
      <c r="G320" s="203" t="n">
        <v>0.189349112426035</v>
      </c>
      <c r="H320" s="203" t="n">
        <f aca="false">G320+(I320-G320)/2</f>
        <v>0.238653613804641</v>
      </c>
      <c r="I320" s="203" t="n">
        <v>0.287958115183246</v>
      </c>
      <c r="J320" s="57"/>
    </row>
    <row r="321" customFormat="false" ht="14.25" hidden="false" customHeight="false" outlineLevel="0" collapsed="false">
      <c r="A321" s="312" t="s">
        <v>585</v>
      </c>
      <c r="B321" s="202" t="s">
        <v>28</v>
      </c>
      <c r="C321" s="203" t="n">
        <v>0.189349112426035</v>
      </c>
      <c r="D321" s="203" t="n">
        <v>0.189349112426035</v>
      </c>
      <c r="E321" s="203" t="n">
        <v>0.189349112426035</v>
      </c>
      <c r="F321" s="203" t="n">
        <v>0.189349112426035</v>
      </c>
      <c r="G321" s="203" t="n">
        <v>0.189349112426035</v>
      </c>
      <c r="H321" s="203" t="n">
        <f aca="false">G321+(I321-G321)/2</f>
        <v>0.238653613804641</v>
      </c>
      <c r="I321" s="203" t="n">
        <v>0.287958115183246</v>
      </c>
      <c r="J321" s="57"/>
    </row>
    <row r="322" customFormat="false" ht="14.25" hidden="false" customHeight="false" outlineLevel="0" collapsed="false">
      <c r="A322" s="312" t="s">
        <v>586</v>
      </c>
      <c r="B322" s="202" t="s">
        <v>28</v>
      </c>
      <c r="C322" s="203" t="n">
        <v>0.189349112426035</v>
      </c>
      <c r="D322" s="203" t="n">
        <v>0.189349112426035</v>
      </c>
      <c r="E322" s="203" t="n">
        <v>0.189349112426035</v>
      </c>
      <c r="F322" s="203" t="n">
        <v>0.189349112426035</v>
      </c>
      <c r="G322" s="203" t="n">
        <v>0.189349112426035</v>
      </c>
      <c r="H322" s="203" t="n">
        <f aca="false">G322+(I322-G322)/2</f>
        <v>0.238653613804641</v>
      </c>
      <c r="I322" s="203" t="n">
        <v>0.287958115183246</v>
      </c>
      <c r="J322" s="57"/>
    </row>
    <row r="323" customFormat="false" ht="14.25" hidden="false" customHeight="false" outlineLevel="0" collapsed="false">
      <c r="A323" s="312" t="s">
        <v>587</v>
      </c>
      <c r="B323" s="202" t="s">
        <v>28</v>
      </c>
      <c r="C323" s="203" t="n">
        <v>0.189349112426035</v>
      </c>
      <c r="D323" s="203" t="n">
        <v>0.189349112426035</v>
      </c>
      <c r="E323" s="203" t="n">
        <v>0.189349112426035</v>
      </c>
      <c r="F323" s="203" t="n">
        <v>0.189349112426035</v>
      </c>
      <c r="G323" s="203" t="n">
        <v>0.189349112426035</v>
      </c>
      <c r="H323" s="203" t="n">
        <f aca="false">G323+(I323-G323)/2</f>
        <v>0.238653613804641</v>
      </c>
      <c r="I323" s="203" t="n">
        <v>0.287958115183246</v>
      </c>
      <c r="J323" s="57"/>
    </row>
    <row r="324" customFormat="false" ht="14.25" hidden="false" customHeight="false" outlineLevel="0" collapsed="false">
      <c r="A324" s="312" t="s">
        <v>588</v>
      </c>
      <c r="B324" s="202" t="s">
        <v>28</v>
      </c>
      <c r="C324" s="203" t="n">
        <v>0.189349112426035</v>
      </c>
      <c r="D324" s="203" t="n">
        <v>0.189349112426035</v>
      </c>
      <c r="E324" s="203" t="n">
        <v>0.189349112426035</v>
      </c>
      <c r="F324" s="203" t="n">
        <v>0.189349112426035</v>
      </c>
      <c r="G324" s="203" t="n">
        <v>0.189349112426035</v>
      </c>
      <c r="H324" s="203" t="n">
        <f aca="false">G324+(I324-G324)/2</f>
        <v>0.238653613804641</v>
      </c>
      <c r="I324" s="203" t="n">
        <v>0.287958115183246</v>
      </c>
      <c r="J324" s="57"/>
    </row>
    <row r="325" customFormat="false" ht="14.25" hidden="false" customHeight="false" outlineLevel="0" collapsed="false">
      <c r="A325" s="312" t="s">
        <v>589</v>
      </c>
      <c r="B325" s="202" t="s">
        <v>28</v>
      </c>
      <c r="C325" s="203" t="n">
        <v>0.189349112426035</v>
      </c>
      <c r="D325" s="203" t="n">
        <v>0.189349112426035</v>
      </c>
      <c r="E325" s="203" t="n">
        <v>0.189349112426035</v>
      </c>
      <c r="F325" s="203" t="n">
        <v>0.189349112426035</v>
      </c>
      <c r="G325" s="203" t="n">
        <v>0.189349112426035</v>
      </c>
      <c r="H325" s="203" t="n">
        <f aca="false">G325+(I325-G325)/2</f>
        <v>0.238653613804641</v>
      </c>
      <c r="I325" s="203" t="n">
        <v>0.287958115183246</v>
      </c>
      <c r="J325" s="57"/>
    </row>
    <row r="326" customFormat="false" ht="14.25" hidden="false" customHeight="false" outlineLevel="0" collapsed="false">
      <c r="A326" s="312" t="s">
        <v>590</v>
      </c>
      <c r="B326" s="202" t="s">
        <v>28</v>
      </c>
      <c r="C326" s="203" t="n">
        <v>0.189349112426035</v>
      </c>
      <c r="D326" s="203" t="n">
        <v>0.189349112426035</v>
      </c>
      <c r="E326" s="203" t="n">
        <v>0.189349112426035</v>
      </c>
      <c r="F326" s="203" t="n">
        <v>0.189349112426035</v>
      </c>
      <c r="G326" s="203" t="n">
        <v>0.189349112426035</v>
      </c>
      <c r="H326" s="203" t="n">
        <f aca="false">G326+(I326-G326)/2</f>
        <v>0.238653613804641</v>
      </c>
      <c r="I326" s="203" t="n">
        <v>0.287958115183246</v>
      </c>
      <c r="J326" s="57"/>
    </row>
    <row r="327" customFormat="false" ht="14.25" hidden="false" customHeight="false" outlineLevel="0" collapsed="false">
      <c r="A327" s="312" t="s">
        <v>338</v>
      </c>
      <c r="B327" s="202" t="s">
        <v>28</v>
      </c>
      <c r="C327" s="203" t="n">
        <v>0.189349112426035</v>
      </c>
      <c r="D327" s="203" t="n">
        <v>0.189349112426035</v>
      </c>
      <c r="E327" s="203" t="n">
        <v>0.189349112426035</v>
      </c>
      <c r="F327" s="203" t="n">
        <v>0.189349112426035</v>
      </c>
      <c r="G327" s="203" t="n">
        <v>0.189349112426035</v>
      </c>
      <c r="H327" s="203" t="n">
        <f aca="false">G327+(I327-G327)/2</f>
        <v>0.238653613804641</v>
      </c>
      <c r="I327" s="203" t="n">
        <v>0.287958115183246</v>
      </c>
      <c r="J327" s="57"/>
    </row>
    <row r="328" customFormat="false" ht="14.25" hidden="false" customHeight="false" outlineLevel="0" collapsed="false">
      <c r="A328" s="312" t="s">
        <v>591</v>
      </c>
      <c r="B328" s="202" t="s">
        <v>28</v>
      </c>
      <c r="C328" s="203" t="n">
        <v>0.189349112426035</v>
      </c>
      <c r="D328" s="203" t="n">
        <v>0.189349112426035</v>
      </c>
      <c r="E328" s="203" t="n">
        <v>0.189349112426035</v>
      </c>
      <c r="F328" s="203" t="n">
        <v>0.189349112426035</v>
      </c>
      <c r="G328" s="203" t="n">
        <v>0.189349112426035</v>
      </c>
      <c r="H328" s="203" t="n">
        <f aca="false">G328+(I328-G328)/2</f>
        <v>0.238653613804641</v>
      </c>
      <c r="I328" s="203" t="n">
        <v>0.287958115183246</v>
      </c>
      <c r="J328" s="57"/>
    </row>
    <row r="329" customFormat="false" ht="14.25" hidden="false" customHeight="false" outlineLevel="0" collapsed="false">
      <c r="A329" s="312" t="s">
        <v>592</v>
      </c>
      <c r="B329" s="202" t="s">
        <v>28</v>
      </c>
      <c r="C329" s="203" t="n">
        <v>0.189349112426035</v>
      </c>
      <c r="D329" s="203" t="n">
        <v>0.189349112426035</v>
      </c>
      <c r="E329" s="203" t="n">
        <v>0.189349112426035</v>
      </c>
      <c r="F329" s="203" t="n">
        <v>0.189349112426035</v>
      </c>
      <c r="G329" s="203" t="n">
        <v>0.189349112426035</v>
      </c>
      <c r="H329" s="203" t="n">
        <f aca="false">G329+(I329-G329)/2</f>
        <v>0.238653613804641</v>
      </c>
      <c r="I329" s="203" t="n">
        <v>0.287958115183246</v>
      </c>
      <c r="J329" s="57"/>
    </row>
    <row r="330" customFormat="false" ht="14.25" hidden="false" customHeight="false" outlineLevel="0" collapsed="false">
      <c r="A330" s="312" t="s">
        <v>593</v>
      </c>
      <c r="B330" s="202" t="s">
        <v>28</v>
      </c>
      <c r="C330" s="203" t="n">
        <v>0.189349112426035</v>
      </c>
      <c r="D330" s="203" t="n">
        <v>0.189349112426035</v>
      </c>
      <c r="E330" s="203" t="n">
        <v>0.189349112426035</v>
      </c>
      <c r="F330" s="203" t="n">
        <v>0.189349112426035</v>
      </c>
      <c r="G330" s="203" t="n">
        <v>0.189349112426035</v>
      </c>
      <c r="H330" s="203" t="n">
        <f aca="false">G330+(I330-G330)/2</f>
        <v>0.169674556213018</v>
      </c>
      <c r="I330" s="203" t="n">
        <v>0.15</v>
      </c>
      <c r="J330" s="57"/>
    </row>
    <row r="331" customFormat="false" ht="14.25" hidden="false" customHeight="false" outlineLevel="0" collapsed="false">
      <c r="A331" s="312" t="s">
        <v>594</v>
      </c>
      <c r="B331" s="202" t="s">
        <v>28</v>
      </c>
      <c r="C331" s="203" t="n">
        <v>0.189349112426035</v>
      </c>
      <c r="D331" s="203" t="n">
        <v>0.189349112426035</v>
      </c>
      <c r="E331" s="203" t="n">
        <v>0.189349112426035</v>
      </c>
      <c r="F331" s="203" t="n">
        <v>0.189349112426035</v>
      </c>
      <c r="G331" s="203" t="n">
        <v>0.189349112426035</v>
      </c>
      <c r="H331" s="203" t="n">
        <f aca="false">G331+(I331-G331)/2</f>
        <v>0.169674556213018</v>
      </c>
      <c r="I331" s="203" t="n">
        <v>0.15</v>
      </c>
      <c r="J331" s="57"/>
    </row>
    <row r="332" customFormat="false" ht="14.25" hidden="false" customHeight="false" outlineLevel="0" collapsed="false">
      <c r="A332" s="312" t="s">
        <v>595</v>
      </c>
      <c r="B332" s="202" t="s">
        <v>28</v>
      </c>
      <c r="C332" s="203" t="n">
        <v>0.189349112426035</v>
      </c>
      <c r="D332" s="203" t="n">
        <v>0.189349112426035</v>
      </c>
      <c r="E332" s="203" t="n">
        <v>0.189349112426035</v>
      </c>
      <c r="F332" s="203" t="n">
        <v>0.189349112426035</v>
      </c>
      <c r="G332" s="203" t="n">
        <v>0.189349112426035</v>
      </c>
      <c r="H332" s="203" t="n">
        <f aca="false">G332+(I332-G332)/2</f>
        <v>0.169674556213018</v>
      </c>
      <c r="I332" s="203" t="n">
        <v>0.15</v>
      </c>
      <c r="J332" s="57"/>
    </row>
    <row r="333" customFormat="false" ht="14.25" hidden="false" customHeight="false" outlineLevel="0" collapsed="false">
      <c r="A333" s="312" t="s">
        <v>596</v>
      </c>
      <c r="B333" s="202" t="s">
        <v>28</v>
      </c>
      <c r="C333" s="203" t="n">
        <v>0.189349112426035</v>
      </c>
      <c r="D333" s="203" t="n">
        <v>0.189349112426035</v>
      </c>
      <c r="E333" s="203" t="n">
        <v>0.189349112426035</v>
      </c>
      <c r="F333" s="203" t="n">
        <v>0.189349112426035</v>
      </c>
      <c r="G333" s="203" t="n">
        <v>0.189349112426035</v>
      </c>
      <c r="H333" s="203" t="n">
        <f aca="false">G333+(I333-G333)/2</f>
        <v>0.169674556213018</v>
      </c>
      <c r="I333" s="203" t="n">
        <v>0.15</v>
      </c>
      <c r="J333" s="57"/>
    </row>
    <row r="334" customFormat="false" ht="14.25" hidden="false" customHeight="false" outlineLevel="0" collapsed="false">
      <c r="A334" s="312" t="s">
        <v>597</v>
      </c>
      <c r="B334" s="202" t="s">
        <v>28</v>
      </c>
      <c r="C334" s="203" t="n">
        <v>0.189349112426035</v>
      </c>
      <c r="D334" s="203" t="n">
        <v>0.189349112426035</v>
      </c>
      <c r="E334" s="203" t="n">
        <v>0.189349112426035</v>
      </c>
      <c r="F334" s="203" t="n">
        <v>0.189349112426035</v>
      </c>
      <c r="G334" s="203" t="n">
        <v>0.189349112426035</v>
      </c>
      <c r="H334" s="203" t="n">
        <f aca="false">G334+(I334-G334)/2</f>
        <v>0.169674556213018</v>
      </c>
      <c r="I334" s="203" t="n">
        <v>0.15</v>
      </c>
      <c r="J334" s="57"/>
    </row>
    <row r="335" customFormat="false" ht="14.25" hidden="false" customHeight="false" outlineLevel="0" collapsed="false">
      <c r="A335" s="312" t="s">
        <v>598</v>
      </c>
      <c r="B335" s="202" t="s">
        <v>28</v>
      </c>
      <c r="C335" s="203" t="n">
        <v>0.189349112426035</v>
      </c>
      <c r="D335" s="203" t="n">
        <v>0.189349112426035</v>
      </c>
      <c r="E335" s="203" t="n">
        <v>0.189349112426035</v>
      </c>
      <c r="F335" s="203" t="n">
        <v>0.189349112426035</v>
      </c>
      <c r="G335" s="203" t="n">
        <v>0.189349112426035</v>
      </c>
      <c r="H335" s="203" t="n">
        <f aca="false">G335+(I335-G335)/2</f>
        <v>0.169674556213018</v>
      </c>
      <c r="I335" s="203" t="n">
        <v>0.15</v>
      </c>
      <c r="J335" s="57"/>
    </row>
    <row r="336" customFormat="false" ht="14.25" hidden="false" customHeight="false" outlineLevel="0" collapsed="false">
      <c r="A336" s="312" t="s">
        <v>599</v>
      </c>
      <c r="B336" s="202" t="s">
        <v>28</v>
      </c>
      <c r="C336" s="203" t="n">
        <v>0.189349112426035</v>
      </c>
      <c r="D336" s="203" t="n">
        <v>0.189349112426035</v>
      </c>
      <c r="E336" s="203" t="n">
        <v>0.189349112426035</v>
      </c>
      <c r="F336" s="203" t="n">
        <v>0.189349112426035</v>
      </c>
      <c r="G336" s="203" t="n">
        <v>0.189349112426035</v>
      </c>
      <c r="H336" s="203" t="n">
        <f aca="false">G336+(I336-G336)/2</f>
        <v>0.169674556213018</v>
      </c>
      <c r="I336" s="203" t="n">
        <v>0.15</v>
      </c>
      <c r="J336" s="57"/>
    </row>
    <row r="337" customFormat="false" ht="14.25" hidden="false" customHeight="false" outlineLevel="0" collapsed="false">
      <c r="A337" s="312" t="s">
        <v>351</v>
      </c>
      <c r="B337" s="202" t="s">
        <v>28</v>
      </c>
      <c r="C337" s="203" t="n">
        <v>0.189349112426035</v>
      </c>
      <c r="D337" s="203" t="n">
        <v>0.189349112426035</v>
      </c>
      <c r="E337" s="203" t="n">
        <v>0.189349112426035</v>
      </c>
      <c r="F337" s="203" t="n">
        <v>0.189349112426035</v>
      </c>
      <c r="G337" s="203" t="n">
        <v>0.189349112426035</v>
      </c>
      <c r="H337" s="203" t="n">
        <f aca="false">G337+(I337-G337)/2</f>
        <v>0.169674556213018</v>
      </c>
      <c r="I337" s="203" t="n">
        <v>0.15</v>
      </c>
      <c r="J337" s="57"/>
    </row>
    <row r="338" customFormat="false" ht="14.25" hidden="false" customHeight="false" outlineLevel="0" collapsed="false">
      <c r="A338" s="312" t="s">
        <v>361</v>
      </c>
      <c r="B338" s="202" t="s">
        <v>28</v>
      </c>
      <c r="C338" s="203" t="n">
        <v>0.189349112426035</v>
      </c>
      <c r="D338" s="203" t="n">
        <v>0.189349112426035</v>
      </c>
      <c r="E338" s="203" t="n">
        <v>0.189349112426035</v>
      </c>
      <c r="F338" s="203" t="n">
        <v>0.189349112426035</v>
      </c>
      <c r="G338" s="203" t="n">
        <v>0.189349112426035</v>
      </c>
      <c r="H338" s="203" t="n">
        <f aca="false">G338+(I338-G338)/2</f>
        <v>0.169674556213018</v>
      </c>
      <c r="I338" s="203" t="n">
        <v>0.15</v>
      </c>
      <c r="J338" s="57"/>
    </row>
    <row r="339" customFormat="false" ht="14.25" hidden="false" customHeight="false" outlineLevel="0" collapsed="false">
      <c r="A339" s="312" t="s">
        <v>600</v>
      </c>
      <c r="B339" s="202" t="s">
        <v>28</v>
      </c>
      <c r="C339" s="203" t="n">
        <v>0.189349112426035</v>
      </c>
      <c r="D339" s="203" t="n">
        <v>0.189349112426035</v>
      </c>
      <c r="E339" s="203" t="n">
        <v>0.189349112426035</v>
      </c>
      <c r="F339" s="203" t="n">
        <v>0.189349112426035</v>
      </c>
      <c r="G339" s="203" t="n">
        <v>0.189349112426035</v>
      </c>
      <c r="H339" s="203" t="n">
        <f aca="false">G339+(I339-G339)/2</f>
        <v>0.169674556213018</v>
      </c>
      <c r="I339" s="203" t="n">
        <v>0.15</v>
      </c>
      <c r="J339" s="57"/>
    </row>
    <row r="340" customFormat="false" ht="18" hidden="false" customHeight="true" outlineLevel="0" collapsed="false">
      <c r="A340" s="200" t="s">
        <v>625</v>
      </c>
      <c r="B340" s="200"/>
      <c r="C340" s="200"/>
      <c r="D340" s="200"/>
      <c r="E340" s="200"/>
      <c r="F340" s="200"/>
      <c r="G340" s="200"/>
      <c r="H340" s="200"/>
      <c r="I340" s="200"/>
    </row>
    <row r="341" customFormat="false" ht="14.25" hidden="false" customHeight="false" outlineLevel="0" collapsed="false">
      <c r="A341" s="312" t="s">
        <v>626</v>
      </c>
      <c r="B341" s="219" t="s">
        <v>499</v>
      </c>
      <c r="C341" s="203" t="n">
        <v>0</v>
      </c>
      <c r="D341" s="203" t="n">
        <v>0</v>
      </c>
      <c r="E341" s="203" t="n">
        <v>0</v>
      </c>
      <c r="F341" s="203" t="n">
        <v>0</v>
      </c>
      <c r="G341" s="203" t="n">
        <v>0</v>
      </c>
      <c r="H341" s="203" t="n">
        <v>0</v>
      </c>
      <c r="I341" s="203" t="n">
        <v>0</v>
      </c>
    </row>
    <row r="342" customFormat="false" ht="14.25" hidden="false" customHeight="false" outlineLevel="0" collapsed="false">
      <c r="H342" s="54"/>
      <c r="J342" s="57"/>
    </row>
    <row r="343" customFormat="false" ht="17.35" hidden="false" customHeight="false" outlineLevel="0" collapsed="false">
      <c r="A343" s="316" t="s">
        <v>627</v>
      </c>
      <c r="B343" s="317"/>
      <c r="C343" s="318"/>
    </row>
    <row r="344" customFormat="false" ht="14.25" hidden="false" customHeight="false" outlineLevel="0" collapsed="false">
      <c r="A344" s="312" t="s">
        <v>434</v>
      </c>
      <c r="B344" s="202" t="s">
        <v>36</v>
      </c>
      <c r="C344" s="204" t="n">
        <v>2050</v>
      </c>
    </row>
    <row r="345" customFormat="false" ht="14.25" hidden="false" customHeight="false" outlineLevel="0" collapsed="false">
      <c r="A345" s="319" t="s">
        <v>628</v>
      </c>
      <c r="B345" s="205" t="s">
        <v>327</v>
      </c>
      <c r="C345" s="320" t="n">
        <v>0.05</v>
      </c>
    </row>
    <row r="347" customFormat="false" ht="17.35" hidden="false" customHeight="false" outlineLevel="0" collapsed="false">
      <c r="A347" s="316" t="s">
        <v>629</v>
      </c>
      <c r="B347" s="316"/>
      <c r="C347" s="316"/>
      <c r="D347" s="316"/>
      <c r="E347" s="316"/>
      <c r="F347" s="316"/>
      <c r="G347" s="316"/>
      <c r="H347" s="316"/>
      <c r="I347" s="316"/>
    </row>
    <row r="348" customFormat="false" ht="14.25" hidden="false" customHeight="false" outlineLevel="0" collapsed="false">
      <c r="A348" s="312" t="s">
        <v>630</v>
      </c>
      <c r="B348" s="202" t="s">
        <v>36</v>
      </c>
      <c r="C348" s="203" t="n">
        <v>2020</v>
      </c>
      <c r="D348" s="203" t="n">
        <f aca="false">C348+5</f>
        <v>2025</v>
      </c>
      <c r="E348" s="203" t="n">
        <f aca="false">D348+5</f>
        <v>2030</v>
      </c>
      <c r="F348" s="203" t="n">
        <f aca="false">E348+5</f>
        <v>2035</v>
      </c>
      <c r="G348" s="203" t="n">
        <f aca="false">F348+5</f>
        <v>2040</v>
      </c>
      <c r="H348" s="203" t="n">
        <f aca="false">G348+5</f>
        <v>2045</v>
      </c>
      <c r="I348" s="203" t="n">
        <f aca="false">H348+5</f>
        <v>2050</v>
      </c>
    </row>
    <row r="349" customFormat="false" ht="14.25" hidden="false" customHeight="false" outlineLevel="0" collapsed="false">
      <c r="A349" s="312" t="s">
        <v>631</v>
      </c>
      <c r="B349" s="202" t="s">
        <v>632</v>
      </c>
      <c r="C349" s="203" t="n">
        <v>0</v>
      </c>
      <c r="D349" s="203" t="n">
        <v>0</v>
      </c>
      <c r="E349" s="203" t="n">
        <v>0</v>
      </c>
      <c r="F349" s="203" t="n">
        <v>0</v>
      </c>
      <c r="G349" s="203" t="n">
        <v>0</v>
      </c>
      <c r="H349" s="203" t="n">
        <v>0</v>
      </c>
      <c r="I349" s="203" t="n">
        <v>0</v>
      </c>
      <c r="M349" s="198"/>
      <c r="Q349" s="198"/>
      <c r="U349" s="198"/>
    </row>
    <row r="351" customFormat="false" ht="17.35" hidden="false" customHeight="false" outlineLevel="0" collapsed="false">
      <c r="A351" s="316" t="s">
        <v>633</v>
      </c>
      <c r="B351" s="316"/>
      <c r="C351" s="316"/>
      <c r="D351" s="316"/>
      <c r="E351" s="316"/>
      <c r="F351" s="316"/>
      <c r="G351" s="316"/>
      <c r="H351" s="316"/>
      <c r="I351" s="316"/>
      <c r="J351" s="316"/>
      <c r="K351" s="316"/>
      <c r="L351" s="316"/>
      <c r="M351" s="316"/>
      <c r="N351" s="316"/>
      <c r="O351" s="316"/>
      <c r="P351" s="316"/>
      <c r="Q351" s="316"/>
      <c r="R351" s="316"/>
      <c r="S351" s="316"/>
      <c r="T351" s="316"/>
      <c r="U351" s="316"/>
      <c r="V351" s="316"/>
      <c r="W351" s="316"/>
      <c r="X351" s="316"/>
    </row>
    <row r="352" customFormat="false" ht="14.25" hidden="false" customHeight="false" outlineLevel="0" collapsed="false">
      <c r="A352" s="312" t="s">
        <v>630</v>
      </c>
      <c r="B352" s="202" t="s">
        <v>36</v>
      </c>
      <c r="C352" s="203" t="n">
        <v>1980</v>
      </c>
      <c r="D352" s="203" t="n">
        <v>2020</v>
      </c>
      <c r="E352" s="203" t="n">
        <f aca="false">D352+5</f>
        <v>2025</v>
      </c>
      <c r="F352" s="203" t="n">
        <f aca="false">E352+5</f>
        <v>2030</v>
      </c>
      <c r="G352" s="203" t="n">
        <f aca="false">F352+5</f>
        <v>2035</v>
      </c>
      <c r="H352" s="203" t="n">
        <f aca="false">G352+5</f>
        <v>2040</v>
      </c>
      <c r="I352" s="203" t="n">
        <f aca="false">H352+5</f>
        <v>2045</v>
      </c>
      <c r="J352" s="203" t="n">
        <f aca="false">I352+5</f>
        <v>2050</v>
      </c>
      <c r="K352" s="203" t="n">
        <f aca="false">J352+5</f>
        <v>2055</v>
      </c>
      <c r="L352" s="203" t="n">
        <f aca="false">K352+5</f>
        <v>2060</v>
      </c>
      <c r="M352" s="203" t="n">
        <f aca="false">L352+5</f>
        <v>2065</v>
      </c>
      <c r="N352" s="203" t="n">
        <f aca="false">M352+5</f>
        <v>2070</v>
      </c>
      <c r="O352" s="203" t="n">
        <f aca="false">N352+5</f>
        <v>2075</v>
      </c>
      <c r="P352" s="203" t="n">
        <f aca="false">O352+5</f>
        <v>2080</v>
      </c>
      <c r="Q352" s="203" t="n">
        <f aca="false">P352+5</f>
        <v>2085</v>
      </c>
      <c r="R352" s="203" t="n">
        <f aca="false">Q352+5</f>
        <v>2090</v>
      </c>
      <c r="S352" s="203" t="n">
        <f aca="false">R352+5</f>
        <v>2095</v>
      </c>
      <c r="T352" s="203" t="n">
        <f aca="false">S352+5</f>
        <v>2100</v>
      </c>
      <c r="U352" s="203" t="n">
        <f aca="false">T352+5</f>
        <v>2105</v>
      </c>
      <c r="V352" s="203" t="n">
        <f aca="false">U352+5</f>
        <v>2110</v>
      </c>
      <c r="W352" s="203" t="n">
        <f aca="false">V352+5</f>
        <v>2115</v>
      </c>
      <c r="X352" s="203" t="n">
        <f aca="false">W352+5</f>
        <v>2120</v>
      </c>
    </row>
    <row r="353" customFormat="false" ht="14.25" hidden="false" customHeight="false" outlineLevel="0" collapsed="false">
      <c r="A353" s="312" t="s">
        <v>633</v>
      </c>
      <c r="B353" s="202" t="s">
        <v>634</v>
      </c>
      <c r="C353" s="203"/>
      <c r="D353" s="203" t="n">
        <v>345</v>
      </c>
      <c r="E353" s="203"/>
      <c r="F353" s="203" t="n">
        <v>345</v>
      </c>
      <c r="G353" s="203"/>
      <c r="H353" s="203" t="n">
        <v>298</v>
      </c>
      <c r="I353" s="203"/>
      <c r="J353" s="203" t="n">
        <v>333</v>
      </c>
      <c r="K353" s="203"/>
      <c r="L353" s="203"/>
      <c r="M353" s="203"/>
      <c r="N353" s="203"/>
      <c r="O353" s="203"/>
      <c r="P353" s="203"/>
      <c r="Q353" s="203"/>
      <c r="R353" s="203"/>
      <c r="S353" s="203"/>
      <c r="T353" s="203"/>
      <c r="U353" s="203"/>
      <c r="V353" s="203"/>
      <c r="W353" s="203"/>
      <c r="X353" s="203"/>
    </row>
    <row r="354" customFormat="false" ht="14.25" hidden="false" customHeight="false" outlineLevel="0" collapsed="false">
      <c r="H354" s="54"/>
      <c r="J354" s="57"/>
    </row>
    <row r="355" customFormat="false" ht="14.25" hidden="false" customHeight="false" outlineLevel="0" collapsed="false">
      <c r="H355" s="54"/>
      <c r="J355" s="57"/>
    </row>
    <row r="356" customFormat="false" ht="14.25" hidden="false" customHeight="false" outlineLevel="0" collapsed="false">
      <c r="H356" s="54"/>
      <c r="J356" s="57"/>
    </row>
    <row r="357" customFormat="false" ht="14.25" hidden="false" customHeight="false" outlineLevel="0" collapsed="false">
      <c r="H357" s="54"/>
      <c r="J357" s="57"/>
    </row>
    <row r="358" customFormat="false" ht="14.25" hidden="false" customHeight="false" outlineLevel="0" collapsed="false">
      <c r="H358" s="54"/>
      <c r="J358" s="57"/>
    </row>
    <row r="359" customFormat="false" ht="24.45" hidden="false" customHeight="false" outlineLevel="0" collapsed="false">
      <c r="A359" s="199" t="s">
        <v>635</v>
      </c>
    </row>
    <row r="362" customFormat="false" ht="14.25" hidden="false" customHeight="false" outlineLevel="0" collapsed="false">
      <c r="H362" s="321"/>
    </row>
    <row r="363" customFormat="false" ht="14.25" hidden="false" customHeight="false" outlineLevel="0" collapsed="false">
      <c r="H363" s="321"/>
    </row>
    <row r="364" customFormat="false" ht="17.35" hidden="false" customHeight="false" outlineLevel="0" collapsed="false">
      <c r="A364" s="200" t="s">
        <v>636</v>
      </c>
      <c r="B364" s="200"/>
      <c r="C364" s="200"/>
      <c r="D364" s="200"/>
      <c r="E364" s="200"/>
      <c r="F364" s="200"/>
      <c r="G364" s="200"/>
      <c r="H364" s="200"/>
    </row>
    <row r="365" customFormat="false" ht="14.25" hidden="false" customHeight="false" outlineLevel="0" collapsed="false">
      <c r="A365" s="322" t="s">
        <v>36</v>
      </c>
      <c r="B365" s="203" t="n">
        <v>2020</v>
      </c>
      <c r="C365" s="203" t="n">
        <v>2025</v>
      </c>
      <c r="D365" s="203" t="n">
        <v>2030</v>
      </c>
      <c r="E365" s="203" t="n">
        <v>2035</v>
      </c>
      <c r="F365" s="203" t="n">
        <v>2040</v>
      </c>
      <c r="G365" s="203" t="n">
        <v>2045</v>
      </c>
      <c r="H365" s="204" t="n">
        <v>2050</v>
      </c>
    </row>
    <row r="366" customFormat="false" ht="14.25" hidden="false" customHeight="false" outlineLevel="0" collapsed="false">
      <c r="A366" s="305" t="s">
        <v>472</v>
      </c>
      <c r="B366" s="305"/>
      <c r="C366" s="305"/>
      <c r="D366" s="305"/>
      <c r="E366" s="305"/>
      <c r="F366" s="305"/>
      <c r="G366" s="305"/>
      <c r="H366" s="305"/>
    </row>
    <row r="367" customFormat="false" ht="14.25" hidden="false" customHeight="false" outlineLevel="0" collapsed="false">
      <c r="A367" s="323" t="s">
        <v>637</v>
      </c>
      <c r="B367" s="203" t="n">
        <v>18.8</v>
      </c>
      <c r="C367" s="203" t="n">
        <v>16.1316315</v>
      </c>
      <c r="D367" s="203" t="n">
        <v>13.486491</v>
      </c>
      <c r="E367" s="203" t="n">
        <v>10.8413505</v>
      </c>
      <c r="F367" s="203" t="n">
        <v>8.19621</v>
      </c>
      <c r="G367" s="203" t="n">
        <v>5.5510695</v>
      </c>
      <c r="H367" s="204" t="n">
        <v>2.9</v>
      </c>
    </row>
    <row r="368" customFormat="false" ht="14.25" hidden="false" customHeight="false" outlineLevel="0" collapsed="false">
      <c r="A368" s="305" t="s">
        <v>479</v>
      </c>
      <c r="B368" s="305"/>
      <c r="C368" s="305"/>
      <c r="D368" s="305"/>
      <c r="E368" s="305"/>
      <c r="F368" s="305"/>
      <c r="G368" s="305"/>
      <c r="H368" s="305"/>
      <c r="I368" s="57"/>
    </row>
    <row r="369" customFormat="false" ht="14.25" hidden="false" customHeight="false" outlineLevel="0" collapsed="false">
      <c r="A369" s="323" t="s">
        <v>637</v>
      </c>
      <c r="B369" s="203" t="n">
        <v>13.3</v>
      </c>
      <c r="C369" s="203" t="n">
        <v>11.39042</v>
      </c>
      <c r="D369" s="203" t="n">
        <v>9.52904</v>
      </c>
      <c r="E369" s="203" t="n">
        <v>7.66766</v>
      </c>
      <c r="F369" s="203" t="n">
        <v>5.80628</v>
      </c>
      <c r="G369" s="203" t="n">
        <v>3.9449</v>
      </c>
      <c r="H369" s="204" t="n">
        <v>2.1</v>
      </c>
    </row>
    <row r="370" customFormat="false" ht="14.25" hidden="false" customHeight="false" outlineLevel="0" collapsed="false">
      <c r="A370" s="305" t="s">
        <v>485</v>
      </c>
      <c r="B370" s="305"/>
      <c r="C370" s="305"/>
      <c r="D370" s="305"/>
      <c r="E370" s="305"/>
      <c r="F370" s="305"/>
      <c r="G370" s="305"/>
      <c r="H370" s="305"/>
      <c r="I370" s="57"/>
    </row>
    <row r="371" customFormat="false" ht="14.25" hidden="false" customHeight="false" outlineLevel="0" collapsed="false">
      <c r="A371" s="324" t="s">
        <v>637</v>
      </c>
      <c r="B371" s="325" t="n">
        <v>2.4</v>
      </c>
      <c r="C371" s="325" t="n">
        <v>2.083</v>
      </c>
      <c r="D371" s="325" t="n">
        <v>1.769</v>
      </c>
      <c r="E371" s="325" t="n">
        <v>1.455</v>
      </c>
      <c r="F371" s="325" t="n">
        <v>1.141</v>
      </c>
      <c r="G371" s="325" t="n">
        <v>0.827</v>
      </c>
      <c r="H371" s="242" t="n">
        <v>0.5</v>
      </c>
    </row>
    <row r="373" customFormat="false" ht="17.35" hidden="false" customHeight="false" outlineLevel="0" collapsed="false">
      <c r="A373" s="200" t="s">
        <v>638</v>
      </c>
      <c r="B373" s="200"/>
      <c r="C373" s="200"/>
      <c r="D373" s="200"/>
      <c r="E373" s="200"/>
      <c r="F373" s="200"/>
      <c r="G373" s="200"/>
      <c r="H373" s="200"/>
      <c r="I373" s="200"/>
    </row>
    <row r="374" customFormat="false" ht="14.25" hidden="false" customHeight="false" outlineLevel="0" collapsed="false">
      <c r="A374" s="326"/>
      <c r="B374" s="202" t="s">
        <v>36</v>
      </c>
      <c r="C374" s="203" t="n">
        <v>2020</v>
      </c>
      <c r="D374" s="203" t="n">
        <v>2025</v>
      </c>
      <c r="E374" s="203" t="n">
        <v>2030</v>
      </c>
      <c r="F374" s="203" t="n">
        <v>2035</v>
      </c>
      <c r="G374" s="203" t="n">
        <v>2040</v>
      </c>
      <c r="H374" s="203" t="n">
        <v>2045</v>
      </c>
      <c r="I374" s="204" t="n">
        <v>2050</v>
      </c>
    </row>
    <row r="375" customFormat="false" ht="14.25" hidden="false" customHeight="false" outlineLevel="0" collapsed="false">
      <c r="A375" s="312" t="s">
        <v>639</v>
      </c>
      <c r="B375" s="202" t="s">
        <v>146</v>
      </c>
      <c r="C375" s="204" t="n">
        <v>-0.01</v>
      </c>
      <c r="D375" s="204" t="n">
        <v>-0.013</v>
      </c>
      <c r="E375" s="204" t="n">
        <v>-0.016</v>
      </c>
      <c r="F375" s="204" t="n">
        <v>-0.019</v>
      </c>
      <c r="G375" s="204" t="n">
        <v>-0.023</v>
      </c>
      <c r="H375" s="204" t="n">
        <v>-0.026</v>
      </c>
      <c r="I375" s="204" t="n">
        <v>-0.029</v>
      </c>
    </row>
    <row r="376" customFormat="false" ht="14.25" hidden="false" customHeight="false" outlineLevel="0" collapsed="false">
      <c r="A376" s="319" t="s">
        <v>640</v>
      </c>
      <c r="B376" s="205" t="s">
        <v>327</v>
      </c>
      <c r="C376" s="304" t="n">
        <v>0</v>
      </c>
      <c r="D376" s="304" t="n">
        <v>0</v>
      </c>
      <c r="E376" s="304" t="n">
        <v>0</v>
      </c>
      <c r="F376" s="304" t="n">
        <v>0</v>
      </c>
      <c r="G376" s="304" t="n">
        <v>0</v>
      </c>
      <c r="H376" s="304" t="n">
        <v>0</v>
      </c>
      <c r="I376" s="304" t="n">
        <v>0</v>
      </c>
    </row>
    <row r="380" customFormat="false" ht="24.45" hidden="false" customHeight="false" outlineLevel="0" collapsed="false">
      <c r="A380" s="199" t="s">
        <v>641</v>
      </c>
      <c r="H380" s="54"/>
      <c r="J380" s="57"/>
    </row>
    <row r="381" customFormat="false" ht="17.35" hidden="false" customHeight="false" outlineLevel="0" collapsed="false">
      <c r="A381" s="200" t="s">
        <v>642</v>
      </c>
      <c r="B381" s="200"/>
      <c r="C381" s="200"/>
      <c r="H381" s="54"/>
      <c r="J381" s="57"/>
    </row>
    <row r="382" customFormat="false" ht="14.25" hidden="false" customHeight="false" outlineLevel="0" collapsed="false">
      <c r="A382" s="312" t="s">
        <v>416</v>
      </c>
      <c r="B382" s="202" t="s">
        <v>28</v>
      </c>
      <c r="C382" s="204" t="n">
        <v>0</v>
      </c>
    </row>
    <row r="383" customFormat="false" ht="14.25" hidden="false" customHeight="false" outlineLevel="0" collapsed="false">
      <c r="A383" s="312" t="s">
        <v>418</v>
      </c>
      <c r="B383" s="202" t="s">
        <v>125</v>
      </c>
      <c r="C383" s="204" t="n">
        <v>200</v>
      </c>
    </row>
    <row r="384" customFormat="false" ht="14.25" hidden="false" customHeight="false" outlineLevel="0" collapsed="false">
      <c r="A384" s="312" t="s">
        <v>420</v>
      </c>
      <c r="B384" s="202" t="s">
        <v>643</v>
      </c>
      <c r="C384" s="327" t="n">
        <v>0.0074</v>
      </c>
    </row>
    <row r="385" customFormat="false" ht="14.25" hidden="false" customHeight="false" outlineLevel="0" collapsed="false">
      <c r="A385" s="312" t="s">
        <v>644</v>
      </c>
      <c r="B385" s="202" t="s">
        <v>36</v>
      </c>
      <c r="C385" s="204" t="n">
        <v>2020</v>
      </c>
    </row>
    <row r="386" customFormat="false" ht="14.25" hidden="false" customHeight="false" outlineLevel="0" collapsed="false">
      <c r="A386" s="312" t="s">
        <v>424</v>
      </c>
      <c r="B386" s="202" t="s">
        <v>645</v>
      </c>
      <c r="C386" s="204" t="n">
        <v>185</v>
      </c>
    </row>
    <row r="387" customFormat="false" ht="14.25" hidden="false" customHeight="false" outlineLevel="0" collapsed="false">
      <c r="A387" s="312" t="s">
        <v>427</v>
      </c>
      <c r="B387" s="202" t="s">
        <v>36</v>
      </c>
      <c r="C387" s="204" t="n">
        <v>2020</v>
      </c>
    </row>
    <row r="388" customFormat="false" ht="14.25" hidden="false" customHeight="false" outlineLevel="0" collapsed="false">
      <c r="A388" s="319" t="s">
        <v>428</v>
      </c>
      <c r="B388" s="205" t="s">
        <v>36</v>
      </c>
      <c r="C388" s="242" t="n">
        <v>2050</v>
      </c>
    </row>
    <row r="390" customFormat="false" ht="14.25" hidden="false" customHeight="true" outlineLevel="0" collapsed="false">
      <c r="A390" s="328" t="s">
        <v>70</v>
      </c>
      <c r="B390" s="328"/>
      <c r="C390" s="328"/>
      <c r="F390" s="321"/>
      <c r="G390" s="321"/>
      <c r="H390" s="321"/>
      <c r="I390" s="321"/>
      <c r="J390" s="321"/>
      <c r="K390" s="321"/>
      <c r="L390" s="321"/>
      <c r="M390" s="321"/>
      <c r="N390" s="321"/>
      <c r="O390" s="321"/>
      <c r="P390" s="321"/>
      <c r="Q390" s="321"/>
      <c r="R390" s="321"/>
      <c r="S390" s="321"/>
      <c r="T390" s="321"/>
      <c r="U390" s="321"/>
      <c r="V390" s="321"/>
      <c r="W390" s="321"/>
      <c r="X390" s="321"/>
      <c r="Y390" s="321"/>
      <c r="Z390" s="321"/>
      <c r="AA390" s="321"/>
      <c r="AB390" s="321"/>
      <c r="AC390" s="321"/>
      <c r="AD390" s="321"/>
      <c r="AE390" s="321"/>
      <c r="AF390" s="321"/>
      <c r="AG390" s="321"/>
      <c r="AH390" s="321"/>
      <c r="AI390" s="321"/>
      <c r="AJ390" s="321"/>
      <c r="AK390" s="321"/>
      <c r="AL390" s="321"/>
    </row>
    <row r="391" customFormat="false" ht="14.25" hidden="false" customHeight="false" outlineLevel="0" collapsed="false">
      <c r="A391" s="329" t="s">
        <v>75</v>
      </c>
      <c r="B391" s="259" t="s">
        <v>76</v>
      </c>
      <c r="C391" s="330" t="n">
        <v>135</v>
      </c>
      <c r="F391" s="321"/>
      <c r="G391" s="321"/>
      <c r="H391" s="321"/>
      <c r="I391" s="321"/>
      <c r="J391" s="321"/>
      <c r="K391" s="321"/>
      <c r="L391" s="321"/>
      <c r="M391" s="321"/>
      <c r="N391" s="321"/>
      <c r="O391" s="321"/>
      <c r="P391" s="321"/>
      <c r="Q391" s="321"/>
      <c r="R391" s="321"/>
      <c r="S391" s="321"/>
      <c r="T391" s="321"/>
      <c r="U391" s="321"/>
      <c r="V391" s="321"/>
      <c r="W391" s="321"/>
      <c r="X391" s="321"/>
      <c r="Y391" s="321"/>
      <c r="Z391" s="321"/>
      <c r="AA391" s="321"/>
      <c r="AB391" s="321"/>
      <c r="AC391" s="321"/>
      <c r="AD391" s="321"/>
      <c r="AE391" s="321"/>
      <c r="AF391" s="321"/>
      <c r="AG391" s="321"/>
      <c r="AH391" s="321"/>
      <c r="AI391" s="321"/>
      <c r="AJ391" s="321"/>
      <c r="AK391" s="321"/>
      <c r="AL391" s="321"/>
    </row>
    <row r="392" customFormat="false" ht="14.25" hidden="false" customHeight="false" outlineLevel="0" collapsed="false">
      <c r="A392" s="312" t="s">
        <v>74</v>
      </c>
      <c r="B392" s="202" t="s">
        <v>28</v>
      </c>
      <c r="C392" s="204" t="n">
        <v>0.2</v>
      </c>
      <c r="F392" s="321"/>
      <c r="G392" s="321"/>
      <c r="H392" s="321"/>
      <c r="I392" s="321"/>
      <c r="J392" s="321"/>
      <c r="K392" s="321"/>
      <c r="L392" s="321"/>
      <c r="M392" s="321"/>
      <c r="N392" s="321"/>
      <c r="O392" s="321"/>
      <c r="P392" s="321"/>
      <c r="Q392" s="321"/>
      <c r="R392" s="321"/>
      <c r="S392" s="321"/>
      <c r="T392" s="321"/>
      <c r="U392" s="321"/>
      <c r="V392" s="321"/>
      <c r="W392" s="321"/>
      <c r="X392" s="321"/>
      <c r="Y392" s="321"/>
      <c r="Z392" s="321"/>
      <c r="AA392" s="321"/>
      <c r="AB392" s="321"/>
      <c r="AC392" s="321"/>
      <c r="AD392" s="321"/>
      <c r="AE392" s="321"/>
      <c r="AF392" s="321"/>
      <c r="AG392" s="321"/>
      <c r="AH392" s="321"/>
      <c r="AI392" s="321"/>
      <c r="AJ392" s="321"/>
      <c r="AK392" s="321"/>
      <c r="AL392" s="321"/>
    </row>
    <row r="393" customFormat="false" ht="14.25" hidden="false" customHeight="false" outlineLevel="0" collapsed="false">
      <c r="A393" s="312" t="s">
        <v>80</v>
      </c>
      <c r="B393" s="202" t="s">
        <v>28</v>
      </c>
      <c r="C393" s="204" t="n">
        <v>2020</v>
      </c>
      <c r="F393" s="321"/>
      <c r="G393" s="321"/>
      <c r="H393" s="321"/>
      <c r="I393" s="321"/>
      <c r="J393" s="321"/>
      <c r="K393" s="321"/>
      <c r="L393" s="321"/>
      <c r="M393" s="321"/>
      <c r="N393" s="321"/>
      <c r="O393" s="321"/>
      <c r="P393" s="321"/>
      <c r="Q393" s="321"/>
      <c r="R393" s="321"/>
      <c r="S393" s="321"/>
      <c r="T393" s="321"/>
      <c r="U393" s="321"/>
      <c r="V393" s="321"/>
      <c r="W393" s="321"/>
      <c r="X393" s="321"/>
      <c r="Y393" s="321"/>
      <c r="Z393" s="321"/>
      <c r="AA393" s="321"/>
      <c r="AB393" s="321"/>
      <c r="AC393" s="321"/>
      <c r="AD393" s="321"/>
      <c r="AE393" s="321"/>
      <c r="AF393" s="321"/>
      <c r="AG393" s="321"/>
      <c r="AH393" s="321"/>
      <c r="AI393" s="321"/>
      <c r="AJ393" s="321"/>
      <c r="AK393" s="321"/>
      <c r="AL393" s="321"/>
    </row>
    <row r="394" customFormat="false" ht="14.25" hidden="false" customHeight="false" outlineLevel="0" collapsed="false">
      <c r="A394" s="319" t="s">
        <v>83</v>
      </c>
      <c r="B394" s="205" t="s">
        <v>28</v>
      </c>
      <c r="C394" s="242" t="n">
        <v>2050</v>
      </c>
      <c r="F394" s="321"/>
      <c r="G394" s="321"/>
      <c r="H394" s="321"/>
      <c r="I394" s="321"/>
      <c r="J394" s="321"/>
      <c r="K394" s="321"/>
      <c r="L394" s="321"/>
      <c r="M394" s="321"/>
      <c r="N394" s="321"/>
      <c r="O394" s="321"/>
      <c r="P394" s="321"/>
      <c r="Q394" s="321"/>
      <c r="R394" s="321"/>
      <c r="S394" s="321"/>
      <c r="T394" s="321"/>
      <c r="U394" s="321"/>
      <c r="V394" s="321"/>
      <c r="W394" s="321"/>
      <c r="X394" s="321"/>
      <c r="Y394" s="321"/>
      <c r="Z394" s="321"/>
      <c r="AA394" s="321"/>
      <c r="AB394" s="321"/>
      <c r="AC394" s="321"/>
      <c r="AD394" s="321"/>
      <c r="AE394" s="321"/>
      <c r="AF394" s="321"/>
      <c r="AG394" s="321"/>
      <c r="AH394" s="321"/>
      <c r="AI394" s="321"/>
      <c r="AJ394" s="321"/>
      <c r="AK394" s="321"/>
      <c r="AL394" s="321"/>
    </row>
    <row r="397" customFormat="false" ht="17.35" hidden="false" customHeight="false" outlineLevel="0" collapsed="false">
      <c r="A397" s="328" t="s">
        <v>86</v>
      </c>
      <c r="B397" s="328"/>
      <c r="C397" s="328"/>
    </row>
    <row r="398" customFormat="false" ht="14.25" hidden="false" customHeight="false" outlineLevel="0" collapsed="false">
      <c r="A398" s="312" t="s">
        <v>89</v>
      </c>
      <c r="B398" s="202" t="s">
        <v>28</v>
      </c>
      <c r="C398" s="304" t="n">
        <v>0.5</v>
      </c>
    </row>
    <row r="399" customFormat="false" ht="14.25" hidden="false" customHeight="false" outlineLevel="0" collapsed="false">
      <c r="A399" s="312" t="s">
        <v>92</v>
      </c>
      <c r="B399" s="202" t="s">
        <v>28</v>
      </c>
      <c r="C399" s="304" t="n">
        <v>0.5</v>
      </c>
    </row>
    <row r="400" customFormat="false" ht="14.25" hidden="false" customHeight="false" outlineLevel="0" collapsed="false">
      <c r="A400" s="312" t="s">
        <v>93</v>
      </c>
      <c r="B400" s="202" t="s">
        <v>28</v>
      </c>
      <c r="C400" s="304" t="n">
        <v>0.5</v>
      </c>
    </row>
    <row r="401" customFormat="false" ht="14.25" hidden="false" customHeight="false" outlineLevel="0" collapsed="false">
      <c r="A401" s="319" t="s">
        <v>118</v>
      </c>
      <c r="B401" s="205" t="s">
        <v>28</v>
      </c>
      <c r="C401" s="331" t="n">
        <v>0.5</v>
      </c>
    </row>
    <row r="403" customFormat="false" ht="15.75" hidden="false" customHeight="true" outlineLevel="0" collapsed="false">
      <c r="A403" s="328" t="s">
        <v>646</v>
      </c>
      <c r="B403" s="328"/>
      <c r="C403" s="332" t="s">
        <v>576</v>
      </c>
      <c r="D403" s="333" t="s">
        <v>579</v>
      </c>
      <c r="E403" s="333" t="s">
        <v>647</v>
      </c>
      <c r="F403" s="333" t="s">
        <v>648</v>
      </c>
      <c r="G403" s="333" t="s">
        <v>649</v>
      </c>
      <c r="H403" s="333" t="s">
        <v>650</v>
      </c>
      <c r="I403" s="333" t="s">
        <v>651</v>
      </c>
      <c r="J403" s="333" t="s">
        <v>652</v>
      </c>
      <c r="K403" s="333" t="s">
        <v>354</v>
      </c>
      <c r="L403" s="333" t="s">
        <v>653</v>
      </c>
      <c r="M403" s="333" t="s">
        <v>654</v>
      </c>
      <c r="N403" s="333" t="s">
        <v>655</v>
      </c>
      <c r="O403" s="333" t="s">
        <v>656</v>
      </c>
      <c r="P403" s="333" t="s">
        <v>657</v>
      </c>
      <c r="Q403" s="334" t="s">
        <v>658</v>
      </c>
    </row>
    <row r="404" customFormat="false" ht="14.25" hidden="false" customHeight="false" outlineLevel="0" collapsed="false">
      <c r="A404" s="312" t="s">
        <v>659</v>
      </c>
      <c r="B404" s="335" t="s">
        <v>374</v>
      </c>
      <c r="C404" s="204" t="s">
        <v>660</v>
      </c>
      <c r="D404" s="204" t="s">
        <v>660</v>
      </c>
      <c r="E404" s="204" t="s">
        <v>660</v>
      </c>
      <c r="F404" s="204" t="s">
        <v>660</v>
      </c>
      <c r="G404" s="204" t="s">
        <v>660</v>
      </c>
      <c r="H404" s="204" t="s">
        <v>660</v>
      </c>
      <c r="I404" s="204" t="s">
        <v>660</v>
      </c>
      <c r="J404" s="204" t="s">
        <v>660</v>
      </c>
      <c r="K404" s="204" t="s">
        <v>660</v>
      </c>
      <c r="L404" s="204" t="s">
        <v>660</v>
      </c>
      <c r="M404" s="204" t="s">
        <v>660</v>
      </c>
      <c r="N404" s="204" t="s">
        <v>660</v>
      </c>
      <c r="O404" s="204" t="s">
        <v>660</v>
      </c>
      <c r="P404" s="204" t="s">
        <v>660</v>
      </c>
      <c r="Q404" s="204" t="s">
        <v>660</v>
      </c>
    </row>
    <row r="405" customFormat="false" ht="14.25" hidden="false" customHeight="false" outlineLevel="0" collapsed="false">
      <c r="A405" s="312" t="s">
        <v>661</v>
      </c>
      <c r="B405" s="335"/>
      <c r="C405" s="204" t="s">
        <v>660</v>
      </c>
      <c r="D405" s="204" t="s">
        <v>660</v>
      </c>
      <c r="E405" s="204" t="s">
        <v>660</v>
      </c>
      <c r="F405" s="204" t="s">
        <v>660</v>
      </c>
      <c r="G405" s="204" t="s">
        <v>660</v>
      </c>
      <c r="H405" s="204" t="s">
        <v>660</v>
      </c>
      <c r="I405" s="204" t="s">
        <v>660</v>
      </c>
      <c r="J405" s="204" t="s">
        <v>660</v>
      </c>
      <c r="K405" s="204" t="s">
        <v>660</v>
      </c>
      <c r="L405" s="204" t="s">
        <v>660</v>
      </c>
      <c r="M405" s="204" t="s">
        <v>660</v>
      </c>
      <c r="N405" s="204" t="s">
        <v>660</v>
      </c>
      <c r="O405" s="204" t="s">
        <v>660</v>
      </c>
      <c r="P405" s="204" t="s">
        <v>660</v>
      </c>
      <c r="Q405" s="204" t="s">
        <v>660</v>
      </c>
    </row>
    <row r="406" customFormat="false" ht="14.25" hidden="false" customHeight="false" outlineLevel="0" collapsed="false">
      <c r="A406" s="312" t="s">
        <v>662</v>
      </c>
      <c r="B406" s="335"/>
      <c r="C406" s="204" t="s">
        <v>660</v>
      </c>
      <c r="D406" s="204" t="s">
        <v>660</v>
      </c>
      <c r="E406" s="204" t="s">
        <v>660</v>
      </c>
      <c r="F406" s="204" t="s">
        <v>660</v>
      </c>
      <c r="G406" s="204" t="s">
        <v>660</v>
      </c>
      <c r="H406" s="204" t="s">
        <v>660</v>
      </c>
      <c r="I406" s="204" t="s">
        <v>660</v>
      </c>
      <c r="J406" s="204" t="s">
        <v>660</v>
      </c>
      <c r="K406" s="204" t="s">
        <v>660</v>
      </c>
      <c r="L406" s="204" t="s">
        <v>660</v>
      </c>
      <c r="M406" s="204" t="s">
        <v>660</v>
      </c>
      <c r="N406" s="204" t="s">
        <v>660</v>
      </c>
      <c r="O406" s="204" t="s">
        <v>660</v>
      </c>
      <c r="P406" s="204" t="s">
        <v>660</v>
      </c>
      <c r="Q406" s="204" t="s">
        <v>660</v>
      </c>
    </row>
    <row r="407" customFormat="false" ht="14.25" hidden="false" customHeight="false" outlineLevel="0" collapsed="false">
      <c r="A407" s="312" t="s">
        <v>663</v>
      </c>
      <c r="B407" s="335"/>
      <c r="C407" s="204" t="s">
        <v>660</v>
      </c>
      <c r="D407" s="204" t="s">
        <v>660</v>
      </c>
      <c r="E407" s="204" t="s">
        <v>660</v>
      </c>
      <c r="F407" s="204" t="s">
        <v>660</v>
      </c>
      <c r="G407" s="204" t="s">
        <v>660</v>
      </c>
      <c r="H407" s="204" t="s">
        <v>660</v>
      </c>
      <c r="I407" s="204" t="s">
        <v>660</v>
      </c>
      <c r="J407" s="204" t="s">
        <v>660</v>
      </c>
      <c r="K407" s="204" t="s">
        <v>660</v>
      </c>
      <c r="L407" s="204" t="s">
        <v>660</v>
      </c>
      <c r="M407" s="204" t="s">
        <v>660</v>
      </c>
      <c r="N407" s="204" t="s">
        <v>660</v>
      </c>
      <c r="O407" s="204" t="s">
        <v>660</v>
      </c>
      <c r="P407" s="204" t="s">
        <v>660</v>
      </c>
      <c r="Q407" s="204" t="s">
        <v>660</v>
      </c>
    </row>
    <row r="408" customFormat="false" ht="14.25" hidden="false" customHeight="false" outlineLevel="0" collapsed="false">
      <c r="A408" s="312" t="s">
        <v>664</v>
      </c>
      <c r="B408" s="335"/>
      <c r="C408" s="204" t="s">
        <v>660</v>
      </c>
      <c r="D408" s="204" t="s">
        <v>660</v>
      </c>
      <c r="E408" s="204" t="s">
        <v>660</v>
      </c>
      <c r="F408" s="204" t="s">
        <v>660</v>
      </c>
      <c r="G408" s="204" t="s">
        <v>660</v>
      </c>
      <c r="H408" s="204" t="s">
        <v>660</v>
      </c>
      <c r="I408" s="204" t="s">
        <v>660</v>
      </c>
      <c r="J408" s="204" t="s">
        <v>660</v>
      </c>
      <c r="K408" s="204" t="s">
        <v>660</v>
      </c>
      <c r="L408" s="204" t="s">
        <v>660</v>
      </c>
      <c r="M408" s="204" t="s">
        <v>660</v>
      </c>
      <c r="N408" s="204" t="s">
        <v>660</v>
      </c>
      <c r="O408" s="204" t="s">
        <v>660</v>
      </c>
      <c r="P408" s="204" t="s">
        <v>660</v>
      </c>
      <c r="Q408" s="204" t="s">
        <v>660</v>
      </c>
    </row>
    <row r="409" customFormat="false" ht="14.25" hidden="false" customHeight="false" outlineLevel="0" collapsed="false">
      <c r="A409" s="312" t="s">
        <v>659</v>
      </c>
      <c r="B409" s="335" t="s">
        <v>375</v>
      </c>
      <c r="C409" s="204" t="s">
        <v>660</v>
      </c>
      <c r="D409" s="204" t="s">
        <v>660</v>
      </c>
      <c r="E409" s="204" t="s">
        <v>660</v>
      </c>
      <c r="F409" s="204" t="s">
        <v>660</v>
      </c>
      <c r="G409" s="204" t="s">
        <v>660</v>
      </c>
      <c r="H409" s="204" t="s">
        <v>660</v>
      </c>
      <c r="I409" s="204" t="s">
        <v>660</v>
      </c>
      <c r="J409" s="204" t="s">
        <v>660</v>
      </c>
      <c r="K409" s="204" t="s">
        <v>660</v>
      </c>
      <c r="L409" s="204" t="s">
        <v>660</v>
      </c>
      <c r="M409" s="204" t="s">
        <v>660</v>
      </c>
      <c r="N409" s="204" t="s">
        <v>660</v>
      </c>
      <c r="O409" s="204" t="s">
        <v>660</v>
      </c>
      <c r="P409" s="204" t="s">
        <v>660</v>
      </c>
      <c r="Q409" s="204" t="s">
        <v>660</v>
      </c>
    </row>
    <row r="410" customFormat="false" ht="14.25" hidden="false" customHeight="false" outlineLevel="0" collapsed="false">
      <c r="A410" s="312" t="s">
        <v>661</v>
      </c>
      <c r="B410" s="335"/>
      <c r="C410" s="204" t="s">
        <v>660</v>
      </c>
      <c r="D410" s="204" t="s">
        <v>660</v>
      </c>
      <c r="E410" s="204" t="s">
        <v>660</v>
      </c>
      <c r="F410" s="204" t="s">
        <v>660</v>
      </c>
      <c r="G410" s="204" t="s">
        <v>660</v>
      </c>
      <c r="H410" s="204" t="s">
        <v>660</v>
      </c>
      <c r="I410" s="204" t="s">
        <v>660</v>
      </c>
      <c r="J410" s="204" t="s">
        <v>660</v>
      </c>
      <c r="K410" s="204" t="s">
        <v>660</v>
      </c>
      <c r="L410" s="204" t="s">
        <v>660</v>
      </c>
      <c r="M410" s="204" t="s">
        <v>660</v>
      </c>
      <c r="N410" s="204" t="s">
        <v>660</v>
      </c>
      <c r="O410" s="204" t="s">
        <v>660</v>
      </c>
      <c r="P410" s="204" t="s">
        <v>660</v>
      </c>
      <c r="Q410" s="204" t="s">
        <v>660</v>
      </c>
    </row>
    <row r="411" customFormat="false" ht="14.25" hidden="false" customHeight="false" outlineLevel="0" collapsed="false">
      <c r="A411" s="312" t="s">
        <v>662</v>
      </c>
      <c r="B411" s="335"/>
      <c r="C411" s="204" t="s">
        <v>660</v>
      </c>
      <c r="D411" s="204" t="s">
        <v>660</v>
      </c>
      <c r="E411" s="204" t="s">
        <v>660</v>
      </c>
      <c r="F411" s="204" t="s">
        <v>660</v>
      </c>
      <c r="G411" s="204" t="s">
        <v>660</v>
      </c>
      <c r="H411" s="204" t="s">
        <v>660</v>
      </c>
      <c r="I411" s="204" t="s">
        <v>660</v>
      </c>
      <c r="J411" s="204" t="s">
        <v>660</v>
      </c>
      <c r="K411" s="204" t="s">
        <v>660</v>
      </c>
      <c r="L411" s="204" t="s">
        <v>660</v>
      </c>
      <c r="M411" s="204" t="s">
        <v>660</v>
      </c>
      <c r="N411" s="204" t="s">
        <v>660</v>
      </c>
      <c r="O411" s="204" t="s">
        <v>660</v>
      </c>
      <c r="P411" s="204" t="s">
        <v>660</v>
      </c>
      <c r="Q411" s="204" t="s">
        <v>660</v>
      </c>
    </row>
    <row r="412" customFormat="false" ht="14.25" hidden="false" customHeight="false" outlineLevel="0" collapsed="false">
      <c r="A412" s="312" t="s">
        <v>663</v>
      </c>
      <c r="B412" s="335"/>
      <c r="C412" s="204" t="s">
        <v>660</v>
      </c>
      <c r="D412" s="204" t="s">
        <v>660</v>
      </c>
      <c r="E412" s="204" t="s">
        <v>660</v>
      </c>
      <c r="F412" s="204" t="s">
        <v>660</v>
      </c>
      <c r="G412" s="204" t="s">
        <v>660</v>
      </c>
      <c r="H412" s="204" t="s">
        <v>660</v>
      </c>
      <c r="I412" s="204" t="s">
        <v>660</v>
      </c>
      <c r="J412" s="204" t="s">
        <v>660</v>
      </c>
      <c r="K412" s="204" t="s">
        <v>660</v>
      </c>
      <c r="L412" s="204" t="s">
        <v>660</v>
      </c>
      <c r="M412" s="204" t="s">
        <v>660</v>
      </c>
      <c r="N412" s="204" t="s">
        <v>660</v>
      </c>
      <c r="O412" s="204" t="s">
        <v>660</v>
      </c>
      <c r="P412" s="204" t="s">
        <v>660</v>
      </c>
      <c r="Q412" s="204" t="s">
        <v>660</v>
      </c>
    </row>
    <row r="413" customFormat="false" ht="14.25" hidden="false" customHeight="false" outlineLevel="0" collapsed="false">
      <c r="A413" s="312" t="s">
        <v>664</v>
      </c>
      <c r="B413" s="335"/>
      <c r="C413" s="204" t="s">
        <v>660</v>
      </c>
      <c r="D413" s="204" t="s">
        <v>660</v>
      </c>
      <c r="E413" s="204" t="s">
        <v>660</v>
      </c>
      <c r="F413" s="204" t="s">
        <v>660</v>
      </c>
      <c r="G413" s="204" t="s">
        <v>660</v>
      </c>
      <c r="H413" s="204" t="s">
        <v>660</v>
      </c>
      <c r="I413" s="204" t="s">
        <v>660</v>
      </c>
      <c r="J413" s="204" t="s">
        <v>660</v>
      </c>
      <c r="K413" s="204" t="s">
        <v>660</v>
      </c>
      <c r="L413" s="204" t="s">
        <v>660</v>
      </c>
      <c r="M413" s="204" t="s">
        <v>660</v>
      </c>
      <c r="N413" s="204" t="s">
        <v>660</v>
      </c>
      <c r="O413" s="204" t="s">
        <v>660</v>
      </c>
      <c r="P413" s="204" t="s">
        <v>660</v>
      </c>
      <c r="Q413" s="204" t="s">
        <v>660</v>
      </c>
    </row>
    <row r="414" customFormat="false" ht="14.25" hidden="false" customHeight="false" outlineLevel="0" collapsed="false">
      <c r="A414" s="312" t="s">
        <v>665</v>
      </c>
      <c r="B414" s="335" t="s">
        <v>376</v>
      </c>
      <c r="C414" s="204" t="s">
        <v>660</v>
      </c>
      <c r="D414" s="204" t="s">
        <v>660</v>
      </c>
      <c r="E414" s="204" t="s">
        <v>660</v>
      </c>
      <c r="F414" s="204" t="s">
        <v>660</v>
      </c>
      <c r="G414" s="204" t="s">
        <v>660</v>
      </c>
      <c r="H414" s="204" t="s">
        <v>660</v>
      </c>
      <c r="I414" s="204" t="s">
        <v>660</v>
      </c>
      <c r="J414" s="204" t="s">
        <v>660</v>
      </c>
      <c r="K414" s="204" t="s">
        <v>660</v>
      </c>
      <c r="L414" s="204" t="s">
        <v>660</v>
      </c>
      <c r="M414" s="204" t="s">
        <v>660</v>
      </c>
      <c r="N414" s="204" t="s">
        <v>660</v>
      </c>
      <c r="O414" s="204" t="s">
        <v>660</v>
      </c>
      <c r="P414" s="204" t="s">
        <v>660</v>
      </c>
      <c r="Q414" s="204" t="s">
        <v>660</v>
      </c>
    </row>
    <row r="415" customFormat="false" ht="14.25" hidden="false" customHeight="false" outlineLevel="0" collapsed="false">
      <c r="A415" s="312" t="s">
        <v>661</v>
      </c>
      <c r="B415" s="335"/>
      <c r="C415" s="204" t="s">
        <v>660</v>
      </c>
      <c r="D415" s="204" t="s">
        <v>660</v>
      </c>
      <c r="E415" s="204" t="s">
        <v>660</v>
      </c>
      <c r="F415" s="204" t="s">
        <v>660</v>
      </c>
      <c r="G415" s="204" t="s">
        <v>660</v>
      </c>
      <c r="H415" s="204" t="s">
        <v>660</v>
      </c>
      <c r="I415" s="204" t="s">
        <v>660</v>
      </c>
      <c r="J415" s="204" t="s">
        <v>660</v>
      </c>
      <c r="K415" s="204" t="s">
        <v>660</v>
      </c>
      <c r="L415" s="204" t="s">
        <v>660</v>
      </c>
      <c r="M415" s="204" t="s">
        <v>660</v>
      </c>
      <c r="N415" s="204" t="s">
        <v>660</v>
      </c>
      <c r="O415" s="204" t="s">
        <v>660</v>
      </c>
      <c r="P415" s="204" t="s">
        <v>660</v>
      </c>
      <c r="Q415" s="204" t="s">
        <v>660</v>
      </c>
    </row>
    <row r="416" customFormat="false" ht="14.25" hidden="false" customHeight="false" outlineLevel="0" collapsed="false">
      <c r="A416" s="312" t="s">
        <v>662</v>
      </c>
      <c r="B416" s="335"/>
      <c r="C416" s="204" t="s">
        <v>660</v>
      </c>
      <c r="D416" s="204" t="s">
        <v>660</v>
      </c>
      <c r="E416" s="204" t="s">
        <v>660</v>
      </c>
      <c r="F416" s="204" t="s">
        <v>660</v>
      </c>
      <c r="G416" s="204" t="s">
        <v>660</v>
      </c>
      <c r="H416" s="204" t="s">
        <v>660</v>
      </c>
      <c r="I416" s="204" t="s">
        <v>660</v>
      </c>
      <c r="J416" s="204" t="s">
        <v>660</v>
      </c>
      <c r="K416" s="204" t="s">
        <v>660</v>
      </c>
      <c r="L416" s="204" t="s">
        <v>660</v>
      </c>
      <c r="M416" s="204" t="s">
        <v>660</v>
      </c>
      <c r="N416" s="204" t="s">
        <v>660</v>
      </c>
      <c r="O416" s="204" t="s">
        <v>660</v>
      </c>
      <c r="P416" s="204" t="s">
        <v>660</v>
      </c>
      <c r="Q416" s="204" t="s">
        <v>660</v>
      </c>
    </row>
    <row r="417" customFormat="false" ht="14.25" hidden="false" customHeight="false" outlineLevel="0" collapsed="false">
      <c r="A417" s="312" t="s">
        <v>663</v>
      </c>
      <c r="B417" s="335"/>
      <c r="C417" s="204" t="s">
        <v>660</v>
      </c>
      <c r="D417" s="204" t="s">
        <v>660</v>
      </c>
      <c r="E417" s="204" t="s">
        <v>660</v>
      </c>
      <c r="F417" s="204" t="s">
        <v>660</v>
      </c>
      <c r="G417" s="204" t="s">
        <v>660</v>
      </c>
      <c r="H417" s="204" t="s">
        <v>660</v>
      </c>
      <c r="I417" s="204" t="s">
        <v>660</v>
      </c>
      <c r="J417" s="204" t="s">
        <v>660</v>
      </c>
      <c r="K417" s="204" t="s">
        <v>660</v>
      </c>
      <c r="L417" s="204" t="s">
        <v>660</v>
      </c>
      <c r="M417" s="204" t="s">
        <v>660</v>
      </c>
      <c r="N417" s="204" t="s">
        <v>660</v>
      </c>
      <c r="O417" s="204" t="s">
        <v>660</v>
      </c>
      <c r="P417" s="204" t="s">
        <v>660</v>
      </c>
      <c r="Q417" s="204" t="s">
        <v>660</v>
      </c>
    </row>
    <row r="418" customFormat="false" ht="14.25" hidden="false" customHeight="false" outlineLevel="0" collapsed="false">
      <c r="A418" s="312" t="s">
        <v>664</v>
      </c>
      <c r="B418" s="335"/>
      <c r="C418" s="204" t="s">
        <v>660</v>
      </c>
      <c r="D418" s="204" t="s">
        <v>660</v>
      </c>
      <c r="E418" s="204" t="s">
        <v>660</v>
      </c>
      <c r="F418" s="204" t="s">
        <v>660</v>
      </c>
      <c r="G418" s="204" t="s">
        <v>660</v>
      </c>
      <c r="H418" s="204" t="s">
        <v>660</v>
      </c>
      <c r="I418" s="204" t="s">
        <v>660</v>
      </c>
      <c r="J418" s="204" t="s">
        <v>660</v>
      </c>
      <c r="K418" s="204" t="s">
        <v>660</v>
      </c>
      <c r="L418" s="204" t="s">
        <v>660</v>
      </c>
      <c r="M418" s="204" t="s">
        <v>660</v>
      </c>
      <c r="N418" s="204" t="s">
        <v>660</v>
      </c>
      <c r="O418" s="204" t="s">
        <v>660</v>
      </c>
      <c r="P418" s="204" t="s">
        <v>660</v>
      </c>
      <c r="Q418" s="204" t="s">
        <v>660</v>
      </c>
    </row>
    <row r="419" customFormat="false" ht="14.25" hidden="false" customHeight="false" outlineLevel="0" collapsed="false">
      <c r="A419" s="312" t="s">
        <v>659</v>
      </c>
      <c r="B419" s="335" t="s">
        <v>377</v>
      </c>
      <c r="C419" s="204" t="s">
        <v>660</v>
      </c>
      <c r="D419" s="204" t="s">
        <v>660</v>
      </c>
      <c r="E419" s="204" t="s">
        <v>660</v>
      </c>
      <c r="F419" s="204" t="s">
        <v>660</v>
      </c>
      <c r="G419" s="204" t="s">
        <v>660</v>
      </c>
      <c r="H419" s="204" t="s">
        <v>660</v>
      </c>
      <c r="I419" s="204" t="s">
        <v>660</v>
      </c>
      <c r="J419" s="204" t="s">
        <v>660</v>
      </c>
      <c r="K419" s="204" t="s">
        <v>660</v>
      </c>
      <c r="L419" s="204" t="s">
        <v>660</v>
      </c>
      <c r="M419" s="204" t="s">
        <v>660</v>
      </c>
      <c r="N419" s="204" t="s">
        <v>660</v>
      </c>
      <c r="O419" s="204" t="s">
        <v>660</v>
      </c>
      <c r="P419" s="204" t="s">
        <v>660</v>
      </c>
      <c r="Q419" s="204" t="s">
        <v>660</v>
      </c>
    </row>
    <row r="420" customFormat="false" ht="14.25" hidden="false" customHeight="false" outlineLevel="0" collapsed="false">
      <c r="A420" s="312" t="s">
        <v>661</v>
      </c>
      <c r="B420" s="335"/>
      <c r="C420" s="204" t="s">
        <v>660</v>
      </c>
      <c r="D420" s="204" t="s">
        <v>660</v>
      </c>
      <c r="E420" s="204" t="s">
        <v>660</v>
      </c>
      <c r="F420" s="204" t="s">
        <v>660</v>
      </c>
      <c r="G420" s="204" t="s">
        <v>660</v>
      </c>
      <c r="H420" s="204" t="s">
        <v>660</v>
      </c>
      <c r="I420" s="204" t="s">
        <v>660</v>
      </c>
      <c r="J420" s="204" t="s">
        <v>660</v>
      </c>
      <c r="K420" s="204" t="s">
        <v>660</v>
      </c>
      <c r="L420" s="204" t="s">
        <v>660</v>
      </c>
      <c r="M420" s="204" t="s">
        <v>660</v>
      </c>
      <c r="N420" s="204" t="s">
        <v>660</v>
      </c>
      <c r="O420" s="204" t="s">
        <v>660</v>
      </c>
      <c r="P420" s="204" t="s">
        <v>660</v>
      </c>
      <c r="Q420" s="204" t="s">
        <v>660</v>
      </c>
    </row>
    <row r="421" customFormat="false" ht="14.25" hidden="false" customHeight="false" outlineLevel="0" collapsed="false">
      <c r="A421" s="312" t="s">
        <v>662</v>
      </c>
      <c r="B421" s="335"/>
      <c r="C421" s="204" t="s">
        <v>660</v>
      </c>
      <c r="D421" s="204" t="s">
        <v>660</v>
      </c>
      <c r="E421" s="204" t="s">
        <v>660</v>
      </c>
      <c r="F421" s="204" t="s">
        <v>660</v>
      </c>
      <c r="G421" s="204" t="s">
        <v>660</v>
      </c>
      <c r="H421" s="204" t="s">
        <v>660</v>
      </c>
      <c r="I421" s="204" t="s">
        <v>660</v>
      </c>
      <c r="J421" s="204" t="s">
        <v>660</v>
      </c>
      <c r="K421" s="204" t="s">
        <v>660</v>
      </c>
      <c r="L421" s="204" t="s">
        <v>660</v>
      </c>
      <c r="M421" s="204" t="s">
        <v>660</v>
      </c>
      <c r="N421" s="204" t="s">
        <v>660</v>
      </c>
      <c r="O421" s="204" t="s">
        <v>660</v>
      </c>
      <c r="P421" s="204" t="s">
        <v>660</v>
      </c>
      <c r="Q421" s="204" t="s">
        <v>660</v>
      </c>
    </row>
    <row r="422" customFormat="false" ht="14.25" hidden="false" customHeight="false" outlineLevel="0" collapsed="false">
      <c r="A422" s="312" t="s">
        <v>663</v>
      </c>
      <c r="B422" s="335"/>
      <c r="C422" s="204" t="s">
        <v>660</v>
      </c>
      <c r="D422" s="204" t="s">
        <v>660</v>
      </c>
      <c r="E422" s="204" t="s">
        <v>660</v>
      </c>
      <c r="F422" s="204" t="s">
        <v>660</v>
      </c>
      <c r="G422" s="204" t="s">
        <v>660</v>
      </c>
      <c r="H422" s="204" t="s">
        <v>660</v>
      </c>
      <c r="I422" s="204" t="s">
        <v>660</v>
      </c>
      <c r="J422" s="204" t="s">
        <v>660</v>
      </c>
      <c r="K422" s="204" t="s">
        <v>660</v>
      </c>
      <c r="L422" s="204" t="s">
        <v>660</v>
      </c>
      <c r="M422" s="204" t="s">
        <v>660</v>
      </c>
      <c r="N422" s="204" t="s">
        <v>660</v>
      </c>
      <c r="O422" s="204" t="s">
        <v>660</v>
      </c>
      <c r="P422" s="204" t="s">
        <v>660</v>
      </c>
      <c r="Q422" s="204" t="s">
        <v>660</v>
      </c>
    </row>
    <row r="423" customFormat="false" ht="14.25" hidden="false" customHeight="false" outlineLevel="0" collapsed="false">
      <c r="A423" s="312" t="s">
        <v>664</v>
      </c>
      <c r="B423" s="335"/>
      <c r="C423" s="204" t="s">
        <v>660</v>
      </c>
      <c r="D423" s="204" t="s">
        <v>660</v>
      </c>
      <c r="E423" s="204" t="s">
        <v>660</v>
      </c>
      <c r="F423" s="204" t="s">
        <v>660</v>
      </c>
      <c r="G423" s="204" t="s">
        <v>660</v>
      </c>
      <c r="H423" s="204" t="s">
        <v>660</v>
      </c>
      <c r="I423" s="204" t="s">
        <v>660</v>
      </c>
      <c r="J423" s="204" t="s">
        <v>660</v>
      </c>
      <c r="K423" s="204" t="s">
        <v>660</v>
      </c>
      <c r="L423" s="204" t="s">
        <v>660</v>
      </c>
      <c r="M423" s="204" t="s">
        <v>660</v>
      </c>
      <c r="N423" s="204" t="s">
        <v>660</v>
      </c>
      <c r="O423" s="204" t="s">
        <v>660</v>
      </c>
      <c r="P423" s="204" t="s">
        <v>660</v>
      </c>
      <c r="Q423" s="204" t="s">
        <v>660</v>
      </c>
    </row>
    <row r="424" customFormat="false" ht="14.25" hidden="false" customHeight="false" outlineLevel="0" collapsed="false">
      <c r="A424" s="312" t="s">
        <v>659</v>
      </c>
      <c r="B424" s="335" t="s">
        <v>378</v>
      </c>
      <c r="C424" s="204" t="s">
        <v>660</v>
      </c>
      <c r="D424" s="204" t="s">
        <v>660</v>
      </c>
      <c r="E424" s="204" t="s">
        <v>660</v>
      </c>
      <c r="F424" s="204" t="s">
        <v>660</v>
      </c>
      <c r="G424" s="204" t="s">
        <v>660</v>
      </c>
      <c r="H424" s="204" t="s">
        <v>660</v>
      </c>
      <c r="I424" s="204" t="s">
        <v>660</v>
      </c>
      <c r="J424" s="204" t="s">
        <v>660</v>
      </c>
      <c r="K424" s="204" t="s">
        <v>660</v>
      </c>
      <c r="L424" s="204" t="s">
        <v>660</v>
      </c>
      <c r="M424" s="204" t="s">
        <v>660</v>
      </c>
      <c r="N424" s="204" t="s">
        <v>660</v>
      </c>
      <c r="O424" s="204" t="s">
        <v>660</v>
      </c>
      <c r="P424" s="204" t="s">
        <v>660</v>
      </c>
      <c r="Q424" s="204" t="s">
        <v>660</v>
      </c>
    </row>
    <row r="425" customFormat="false" ht="14.25" hidden="false" customHeight="false" outlineLevel="0" collapsed="false">
      <c r="A425" s="312" t="s">
        <v>661</v>
      </c>
      <c r="B425" s="335"/>
      <c r="C425" s="204" t="s">
        <v>660</v>
      </c>
      <c r="D425" s="204" t="s">
        <v>660</v>
      </c>
      <c r="E425" s="204" t="s">
        <v>660</v>
      </c>
      <c r="F425" s="204" t="s">
        <v>660</v>
      </c>
      <c r="G425" s="204" t="s">
        <v>660</v>
      </c>
      <c r="H425" s="204" t="s">
        <v>660</v>
      </c>
      <c r="I425" s="204" t="s">
        <v>660</v>
      </c>
      <c r="J425" s="204" t="s">
        <v>660</v>
      </c>
      <c r="K425" s="204" t="s">
        <v>660</v>
      </c>
      <c r="L425" s="204" t="s">
        <v>660</v>
      </c>
      <c r="M425" s="204" t="s">
        <v>660</v>
      </c>
      <c r="N425" s="204" t="s">
        <v>660</v>
      </c>
      <c r="O425" s="204" t="s">
        <v>660</v>
      </c>
      <c r="P425" s="204" t="s">
        <v>660</v>
      </c>
      <c r="Q425" s="204" t="s">
        <v>660</v>
      </c>
    </row>
    <row r="426" customFormat="false" ht="14.25" hidden="false" customHeight="false" outlineLevel="0" collapsed="false">
      <c r="A426" s="312" t="s">
        <v>662</v>
      </c>
      <c r="B426" s="335"/>
      <c r="C426" s="204" t="s">
        <v>660</v>
      </c>
      <c r="D426" s="204" t="s">
        <v>660</v>
      </c>
      <c r="E426" s="204" t="s">
        <v>660</v>
      </c>
      <c r="F426" s="204" t="s">
        <v>660</v>
      </c>
      <c r="G426" s="204" t="s">
        <v>660</v>
      </c>
      <c r="H426" s="204" t="s">
        <v>660</v>
      </c>
      <c r="I426" s="204" t="s">
        <v>660</v>
      </c>
      <c r="J426" s="204" t="s">
        <v>660</v>
      </c>
      <c r="K426" s="204" t="s">
        <v>660</v>
      </c>
      <c r="L426" s="204" t="s">
        <v>660</v>
      </c>
      <c r="M426" s="204" t="s">
        <v>660</v>
      </c>
      <c r="N426" s="204" t="s">
        <v>660</v>
      </c>
      <c r="O426" s="204" t="s">
        <v>660</v>
      </c>
      <c r="P426" s="204" t="s">
        <v>660</v>
      </c>
      <c r="Q426" s="204" t="s">
        <v>660</v>
      </c>
    </row>
    <row r="427" customFormat="false" ht="14.25" hidden="false" customHeight="false" outlineLevel="0" collapsed="false">
      <c r="A427" s="312" t="s">
        <v>663</v>
      </c>
      <c r="B427" s="335"/>
      <c r="C427" s="204" t="s">
        <v>660</v>
      </c>
      <c r="D427" s="204" t="s">
        <v>660</v>
      </c>
      <c r="E427" s="204" t="s">
        <v>660</v>
      </c>
      <c r="F427" s="204" t="s">
        <v>660</v>
      </c>
      <c r="G427" s="204" t="s">
        <v>660</v>
      </c>
      <c r="H427" s="204" t="s">
        <v>660</v>
      </c>
      <c r="I427" s="204" t="s">
        <v>660</v>
      </c>
      <c r="J427" s="204" t="s">
        <v>660</v>
      </c>
      <c r="K427" s="204" t="s">
        <v>660</v>
      </c>
      <c r="L427" s="204" t="s">
        <v>660</v>
      </c>
      <c r="M427" s="204" t="s">
        <v>660</v>
      </c>
      <c r="N427" s="204" t="s">
        <v>660</v>
      </c>
      <c r="O427" s="204" t="s">
        <v>660</v>
      </c>
      <c r="P427" s="204" t="s">
        <v>660</v>
      </c>
      <c r="Q427" s="204" t="s">
        <v>660</v>
      </c>
    </row>
    <row r="428" customFormat="false" ht="14.25" hidden="false" customHeight="false" outlineLevel="0" collapsed="false">
      <c r="A428" s="319" t="s">
        <v>664</v>
      </c>
      <c r="B428" s="335"/>
      <c r="C428" s="242" t="s">
        <v>660</v>
      </c>
      <c r="D428" s="242" t="s">
        <v>660</v>
      </c>
      <c r="E428" s="242" t="s">
        <v>660</v>
      </c>
      <c r="F428" s="242" t="s">
        <v>660</v>
      </c>
      <c r="G428" s="242" t="s">
        <v>660</v>
      </c>
      <c r="H428" s="242" t="s">
        <v>660</v>
      </c>
      <c r="I428" s="242" t="s">
        <v>660</v>
      </c>
      <c r="J428" s="242" t="s">
        <v>660</v>
      </c>
      <c r="K428" s="242" t="s">
        <v>660</v>
      </c>
      <c r="L428" s="242" t="s">
        <v>660</v>
      </c>
      <c r="M428" s="242" t="s">
        <v>660</v>
      </c>
      <c r="N428" s="242" t="s">
        <v>660</v>
      </c>
      <c r="O428" s="242" t="s">
        <v>660</v>
      </c>
      <c r="P428" s="242" t="s">
        <v>660</v>
      </c>
      <c r="Q428" s="242" t="s">
        <v>660</v>
      </c>
    </row>
  </sheetData>
  <mergeCells count="126">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5"/>
    <mergeCell ref="A126:A128"/>
    <mergeCell ref="B129:B131"/>
    <mergeCell ref="A133:I133"/>
    <mergeCell ref="A135:A138"/>
    <mergeCell ref="A139:A142"/>
    <mergeCell ref="A143:A146"/>
    <mergeCell ref="A147:I147"/>
    <mergeCell ref="A149:A152"/>
    <mergeCell ref="A153:A156"/>
    <mergeCell ref="A157:A160"/>
    <mergeCell ref="A161:A164"/>
    <mergeCell ref="A168:E168"/>
    <mergeCell ref="A169:E169"/>
    <mergeCell ref="A171:A173"/>
    <mergeCell ref="C171:C173"/>
    <mergeCell ref="A175:C175"/>
    <mergeCell ref="A178:B178"/>
    <mergeCell ref="A179:B179"/>
    <mergeCell ref="A180:B180"/>
    <mergeCell ref="A181:B181"/>
    <mergeCell ref="A182:B182"/>
    <mergeCell ref="A183:B183"/>
    <mergeCell ref="A184:Q184"/>
    <mergeCell ref="A185:B185"/>
    <mergeCell ref="A186:B186"/>
    <mergeCell ref="A187:B187"/>
    <mergeCell ref="A188:B188"/>
    <mergeCell ref="A189:B189"/>
    <mergeCell ref="A190:Q190"/>
    <mergeCell ref="A191:B191"/>
    <mergeCell ref="A192:B192"/>
    <mergeCell ref="A193:B193"/>
    <mergeCell ref="A194:B194"/>
    <mergeCell ref="A195:B195"/>
    <mergeCell ref="A196:Q196"/>
    <mergeCell ref="A197:B197"/>
    <mergeCell ref="A198:B198"/>
    <mergeCell ref="A199:B199"/>
    <mergeCell ref="A200:B200"/>
    <mergeCell ref="A201:B201"/>
    <mergeCell ref="A202:Q202"/>
    <mergeCell ref="A203:B203"/>
    <mergeCell ref="A204:B204"/>
    <mergeCell ref="A205:B205"/>
    <mergeCell ref="A206:B206"/>
    <mergeCell ref="A207:B207"/>
    <mergeCell ref="A209:C209"/>
    <mergeCell ref="A210:A211"/>
    <mergeCell ref="C210:C211"/>
    <mergeCell ref="A214:Q214"/>
    <mergeCell ref="A215:B215"/>
    <mergeCell ref="A216:B216"/>
    <mergeCell ref="A217:B217"/>
    <mergeCell ref="A218:B218"/>
    <mergeCell ref="A219:B219"/>
    <mergeCell ref="A220:B220"/>
    <mergeCell ref="A221:C221"/>
    <mergeCell ref="A225:C225"/>
    <mergeCell ref="A227:A229"/>
    <mergeCell ref="C227:C229"/>
    <mergeCell ref="A231:A233"/>
    <mergeCell ref="C231:C233"/>
    <mergeCell ref="A238:D238"/>
    <mergeCell ref="A239:D239"/>
    <mergeCell ref="A240:C240"/>
    <mergeCell ref="C242:E242"/>
    <mergeCell ref="A244:A262"/>
    <mergeCell ref="A263:C263"/>
    <mergeCell ref="A269:C269"/>
    <mergeCell ref="A270:C270"/>
    <mergeCell ref="A272:C272"/>
    <mergeCell ref="A273:A276"/>
    <mergeCell ref="C273:C276"/>
    <mergeCell ref="A281:I281"/>
    <mergeCell ref="A340:I340"/>
    <mergeCell ref="A364:H364"/>
    <mergeCell ref="A366:H366"/>
    <mergeCell ref="A368:H368"/>
    <mergeCell ref="A370:H370"/>
    <mergeCell ref="A373:I373"/>
    <mergeCell ref="A381:C381"/>
    <mergeCell ref="A390:C390"/>
    <mergeCell ref="A397:C397"/>
    <mergeCell ref="A403:B403"/>
    <mergeCell ref="B404:B408"/>
    <mergeCell ref="B409:B413"/>
    <mergeCell ref="B414:B418"/>
    <mergeCell ref="B419:B423"/>
    <mergeCell ref="B424:B428"/>
  </mergeCells>
  <conditionalFormatting sqref="C216:AD220">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Y428"/>
  <sheetViews>
    <sheetView showFormulas="false" showGridLines="true" showRowColHeaders="true" showZeros="true" rightToLeft="false" tabSelected="false" showOutlineSymbols="true" defaultGridColor="true" view="normal" topLeftCell="A351" colorId="64" zoomScale="75" zoomScaleNormal="75" zoomScalePageLayoutView="100" workbookViewId="0">
      <selection pane="topLeft" activeCell="B371" activeCellId="0" sqref="B371"/>
    </sheetView>
  </sheetViews>
  <sheetFormatPr defaultColWidth="11.4453125" defaultRowHeight="14.25" zeroHeight="false" outlineLevelRow="0" outlineLevelCol="0"/>
  <cols>
    <col collapsed="false" customWidth="true" hidden="false" outlineLevel="0" max="1" min="1" style="1" width="48.67"/>
    <col collapsed="false" customWidth="true" hidden="false" outlineLevel="0" max="2" min="2" style="1" width="50"/>
    <col collapsed="false" customWidth="true" hidden="false" outlineLevel="0" max="3" min="3" style="1" width="59.89"/>
    <col collapsed="false" customWidth="true" hidden="false" outlineLevel="0" max="4" min="4" style="1" width="55.88"/>
    <col collapsed="false" customWidth="true" hidden="false" outlineLevel="0" max="5" min="5" style="1" width="49.33"/>
    <col collapsed="false" customWidth="true" hidden="false" outlineLevel="0" max="6" min="6" style="1" width="30.88"/>
    <col collapsed="false" customWidth="true" hidden="false" outlineLevel="0" max="7" min="7" style="1" width="34.34"/>
    <col collapsed="false" customWidth="true" hidden="false" outlineLevel="0" max="8" min="8" style="1" width="32.44"/>
    <col collapsed="false" customWidth="true" hidden="false" outlineLevel="0" max="9" min="9" style="1" width="21.88"/>
    <col collapsed="false" customWidth="true" hidden="false" outlineLevel="0" max="10" min="10" style="1" width="29"/>
    <col collapsed="false" customWidth="true" hidden="false" outlineLevel="0" max="12" min="12" style="1" width="35.44"/>
    <col collapsed="false" customWidth="true" hidden="false" outlineLevel="0" max="18" min="18" style="1" width="12.56"/>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4.2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4.2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4.2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4.2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4.2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0.0114814377510482</v>
      </c>
      <c r="N10" s="206"/>
      <c r="O10" s="206"/>
      <c r="P10" s="206"/>
      <c r="Q10" s="206"/>
      <c r="R10" s="206" t="n">
        <v>0.011217229240813</v>
      </c>
      <c r="S10" s="206"/>
      <c r="T10" s="206"/>
      <c r="U10" s="206"/>
      <c r="V10" s="206"/>
      <c r="W10" s="206" t="n">
        <v>0.0137073065541908</v>
      </c>
      <c r="X10" s="206"/>
      <c r="Y10" s="206"/>
      <c r="Z10" s="206"/>
      <c r="AA10" s="206"/>
      <c r="AB10" s="206" t="n">
        <v>0.0153085880531061</v>
      </c>
      <c r="AC10" s="206"/>
      <c r="AD10" s="206"/>
      <c r="AE10" s="206"/>
      <c r="AF10" s="206"/>
      <c r="AG10" s="206" t="n">
        <v>0.015501328315761</v>
      </c>
      <c r="AH10" s="206"/>
      <c r="AI10" s="206"/>
      <c r="AJ10" s="206"/>
      <c r="AK10" s="206"/>
      <c r="AL10" s="206" t="n">
        <v>0.0157092931538709</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4.2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4.25" hidden="false" customHeight="false" outlineLevel="0" collapsed="false">
      <c r="A16" s="211" t="s">
        <v>498</v>
      </c>
      <c r="B16" s="202" t="s">
        <v>499</v>
      </c>
      <c r="C16" s="212" t="n">
        <v>0.117609721833719</v>
      </c>
      <c r="D16" s="212" t="n">
        <v>0.113707811921418</v>
      </c>
      <c r="E16" s="212" t="n">
        <v>0.113797431014698</v>
      </c>
      <c r="F16" s="212" t="n">
        <v>0.11418083665758</v>
      </c>
      <c r="G16" s="212" t="n">
        <v>0.114488940184614</v>
      </c>
      <c r="H16" s="212" t="n">
        <v>0.115790166319047</v>
      </c>
      <c r="I16" s="213" t="n">
        <v>0.115800025679749</v>
      </c>
      <c r="J16" s="81"/>
      <c r="K16" s="160"/>
      <c r="L16" s="81"/>
    </row>
    <row r="17" customFormat="false" ht="14.25" hidden="false" customHeight="false" outlineLevel="0" collapsed="false">
      <c r="A17" s="211" t="s">
        <v>500</v>
      </c>
      <c r="B17" s="202" t="s">
        <v>499</v>
      </c>
      <c r="C17" s="212" t="n">
        <v>0.000878474</v>
      </c>
      <c r="D17" s="212" t="n">
        <v>0.0011024</v>
      </c>
      <c r="E17" s="212" t="n">
        <v>0.0011334</v>
      </c>
      <c r="F17" s="212" t="n">
        <v>0.00200848238735286</v>
      </c>
      <c r="G17" s="212" t="n">
        <v>0.0025763285102634</v>
      </c>
      <c r="H17" s="212" t="n">
        <v>0.00298497591757019</v>
      </c>
      <c r="I17" s="213" t="n">
        <v>0.00339362332487698</v>
      </c>
      <c r="J17" s="81"/>
      <c r="K17" s="81"/>
      <c r="L17" s="81"/>
    </row>
    <row r="18" customFormat="false" ht="14.25" hidden="false" customHeight="false" outlineLevel="0" collapsed="false">
      <c r="A18" s="211" t="s">
        <v>501</v>
      </c>
      <c r="B18" s="202" t="s">
        <v>499</v>
      </c>
      <c r="C18" s="212" t="n">
        <v>0.0374522</v>
      </c>
      <c r="D18" s="212" t="n">
        <v>0.0396114137098256</v>
      </c>
      <c r="E18" s="212" t="n">
        <v>0.0388518310948766</v>
      </c>
      <c r="F18" s="214" t="n">
        <v>0.0395795735734857</v>
      </c>
      <c r="G18" s="214" t="n">
        <v>0.0434698585983582</v>
      </c>
      <c r="H18" s="214" t="n">
        <v>0.0427300398534315</v>
      </c>
      <c r="I18" s="213" t="n">
        <v>0.0467943816523362</v>
      </c>
      <c r="J18" s="81"/>
      <c r="K18" s="81"/>
      <c r="L18" s="81"/>
    </row>
    <row r="19" customFormat="false" ht="14.25" hidden="false" customHeight="false" outlineLevel="0" collapsed="false">
      <c r="A19" s="211" t="s">
        <v>502</v>
      </c>
      <c r="B19" s="202" t="s">
        <v>499</v>
      </c>
      <c r="C19" s="212" t="n">
        <v>0.0008299085</v>
      </c>
      <c r="D19" s="212" t="n">
        <v>0.00160824276183273</v>
      </c>
      <c r="E19" s="212" t="n">
        <v>0.0016481449681507</v>
      </c>
      <c r="F19" s="214" t="n">
        <v>0.00164736939369054</v>
      </c>
      <c r="G19" s="214" t="n">
        <v>0.00210751000079055</v>
      </c>
      <c r="H19" s="214" t="n">
        <v>0.00363286077927816</v>
      </c>
      <c r="I19" s="213" t="n">
        <v>0.00376193726951324</v>
      </c>
      <c r="J19" s="160"/>
      <c r="K19" s="81"/>
      <c r="L19" s="81"/>
    </row>
    <row r="20" customFormat="false" ht="14.25" hidden="false" customHeight="false" outlineLevel="0" collapsed="false">
      <c r="A20" s="211" t="s">
        <v>503</v>
      </c>
      <c r="B20" s="202" t="s">
        <v>499</v>
      </c>
      <c r="C20" s="212" t="n">
        <v>0.146914125126844</v>
      </c>
      <c r="D20" s="212" t="n">
        <v>0.170956271387911</v>
      </c>
      <c r="E20" s="212" t="n">
        <v>0.232033194217701</v>
      </c>
      <c r="F20" s="214" t="n">
        <v>0.266574203654975</v>
      </c>
      <c r="G20" s="214" t="n">
        <v>0.289246566785994</v>
      </c>
      <c r="H20" s="214" t="n">
        <v>0.325446142422074</v>
      </c>
      <c r="I20" s="213" t="n">
        <v>0.341333878371818</v>
      </c>
    </row>
    <row r="21" customFormat="false" ht="14.25" hidden="false" customHeight="false" outlineLevel="0" collapsed="false">
      <c r="A21" s="211" t="s">
        <v>504</v>
      </c>
      <c r="B21" s="202" t="s">
        <v>499</v>
      </c>
      <c r="C21" s="212" t="n">
        <v>0.0121029772625668</v>
      </c>
      <c r="D21" s="212" t="n">
        <v>0.0392747193946296</v>
      </c>
      <c r="E21" s="212" t="n">
        <v>0.0698931827334165</v>
      </c>
      <c r="F21" s="214" t="n">
        <v>0.0901781870086204</v>
      </c>
      <c r="G21" s="214" t="n">
        <v>0.105450155532974</v>
      </c>
      <c r="H21" s="214" t="n">
        <v>0.118804034641852</v>
      </c>
      <c r="I21" s="213" t="n">
        <v>0.123957599210511</v>
      </c>
      <c r="K21" s="81"/>
      <c r="L21" s="81"/>
    </row>
    <row r="22" customFormat="false" ht="14.25" hidden="false" customHeight="false" outlineLevel="0" collapsed="false">
      <c r="A22" s="211" t="s">
        <v>505</v>
      </c>
      <c r="B22" s="202" t="s">
        <v>499</v>
      </c>
      <c r="C22" s="212" t="n">
        <v>0.125671151626567</v>
      </c>
      <c r="D22" s="212" t="n">
        <v>0.156494540934672</v>
      </c>
      <c r="E22" s="212" t="n">
        <v>0.224623473617664</v>
      </c>
      <c r="F22" s="214" t="n">
        <v>0.271137445868651</v>
      </c>
      <c r="G22" s="214" t="n">
        <v>0.320523943760278</v>
      </c>
      <c r="H22" s="214" t="n">
        <v>0.373012309789902</v>
      </c>
      <c r="I22" s="213" t="n">
        <v>0.385633793755908</v>
      </c>
      <c r="K22" s="81"/>
      <c r="L22" s="81"/>
    </row>
    <row r="23" customFormat="false" ht="14.25" hidden="false" customHeight="false" outlineLevel="0" collapsed="false">
      <c r="A23" s="211" t="s">
        <v>506</v>
      </c>
      <c r="B23" s="202" t="s">
        <v>499</v>
      </c>
      <c r="C23" s="212" t="n">
        <v>0.0023288</v>
      </c>
      <c r="D23" s="212" t="n">
        <v>0.0049788</v>
      </c>
      <c r="E23" s="212" t="n">
        <v>0.0076288</v>
      </c>
      <c r="F23" s="212" t="n">
        <v>0.0092216</v>
      </c>
      <c r="G23" s="212" t="n">
        <v>0.0108144</v>
      </c>
      <c r="H23" s="212" t="n">
        <v>0.0124072</v>
      </c>
      <c r="I23" s="215" t="n">
        <v>0.014</v>
      </c>
    </row>
    <row r="24" customFormat="false" ht="15" hidden="false" customHeight="true" outlineLevel="0" collapsed="false">
      <c r="A24" s="211" t="s">
        <v>507</v>
      </c>
      <c r="B24" s="202" t="s">
        <v>499</v>
      </c>
      <c r="C24" s="212" t="n">
        <v>0.045</v>
      </c>
      <c r="D24" s="212" t="n">
        <v>0.055</v>
      </c>
      <c r="E24" s="212" t="n">
        <v>0.065</v>
      </c>
      <c r="F24" s="212" t="n">
        <v>0.065</v>
      </c>
      <c r="G24" s="212" t="n">
        <v>0.065</v>
      </c>
      <c r="H24" s="212" t="n">
        <v>0.065</v>
      </c>
      <c r="I24" s="213" t="n">
        <v>0.065</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t="s">
        <v>510</v>
      </c>
      <c r="B27" s="200"/>
      <c r="C27" s="200"/>
      <c r="D27" s="200"/>
      <c r="E27" s="200"/>
      <c r="F27" s="200"/>
      <c r="G27" s="200"/>
      <c r="H27" s="200"/>
      <c r="I27" s="200"/>
    </row>
    <row r="28" customFormat="false" ht="14.25" hidden="false" customHeight="false" outlineLevel="0" collapsed="false">
      <c r="A28" s="218" t="s">
        <v>511</v>
      </c>
      <c r="B28" s="219" t="s">
        <v>146</v>
      </c>
      <c r="C28" s="220" t="n">
        <v>0</v>
      </c>
      <c r="D28" s="220" t="n">
        <v>0</v>
      </c>
      <c r="E28" s="220" t="n">
        <v>0</v>
      </c>
      <c r="F28" s="220" t="n">
        <v>0</v>
      </c>
      <c r="G28" s="220" t="n">
        <v>0</v>
      </c>
      <c r="H28" s="220" t="n">
        <v>0</v>
      </c>
      <c r="I28" s="220" t="n">
        <v>0</v>
      </c>
    </row>
    <row r="29" customFormat="false" ht="14.2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512</v>
      </c>
      <c r="B31" s="222"/>
      <c r="C31" s="222"/>
      <c r="E31" s="81"/>
      <c r="F31" s="81"/>
      <c r="G31" s="81"/>
      <c r="H31" s="160"/>
      <c r="I31" s="81"/>
      <c r="L31" s="75"/>
    </row>
    <row r="32" customFormat="false" ht="14.25" hidden="false" customHeight="false" outlineLevel="0" collapsed="false">
      <c r="A32" s="211" t="s">
        <v>513</v>
      </c>
      <c r="B32" s="202" t="s">
        <v>514</v>
      </c>
      <c r="C32" s="223" t="n">
        <v>0.1</v>
      </c>
      <c r="H32" s="160"/>
      <c r="K32" s="45"/>
      <c r="M32" s="81"/>
    </row>
    <row r="33" customFormat="false" ht="14.25" hidden="false" customHeight="false" outlineLevel="0" collapsed="false">
      <c r="A33" s="211" t="s">
        <v>515</v>
      </c>
      <c r="B33" s="202" t="s">
        <v>36</v>
      </c>
      <c r="C33" s="204" t="n">
        <v>2035</v>
      </c>
      <c r="E33" s="81"/>
      <c r="F33" s="81"/>
      <c r="G33" s="81"/>
      <c r="H33" s="160"/>
      <c r="I33" s="81"/>
      <c r="J33" s="62"/>
    </row>
    <row r="34" customFormat="false" ht="14.25" hidden="false" customHeight="false" outlineLevel="0" collapsed="false">
      <c r="A34" s="211" t="s">
        <v>516</v>
      </c>
      <c r="B34" s="202" t="s">
        <v>514</v>
      </c>
      <c r="C34" s="224"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517</v>
      </c>
      <c r="B35" s="222"/>
      <c r="C35" s="222"/>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4.25" hidden="false" customHeight="false" outlineLevel="0" collapsed="false">
      <c r="A36" s="211" t="s">
        <v>518</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4.25" hidden="false" customHeight="false" outlineLevel="0" collapsed="false">
      <c r="A37" s="211" t="s">
        <v>519</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4.25" hidden="false" customHeight="false" outlineLevel="0" collapsed="false">
      <c r="A38" s="211" t="s">
        <v>520</v>
      </c>
      <c r="B38" s="202" t="s">
        <v>514</v>
      </c>
      <c r="C38" s="224"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4.25" hidden="false" customHeight="false" outlineLevel="0" collapsed="false">
      <c r="A39" s="211" t="s">
        <v>521</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4.25" hidden="false" customHeight="false" outlineLevel="0" collapsed="false">
      <c r="A40" s="211" t="s">
        <v>522</v>
      </c>
      <c r="B40" s="202" t="s">
        <v>514</v>
      </c>
      <c r="C40" s="224"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4.25" hidden="false" customHeight="false" outlineLevel="0" collapsed="false">
      <c r="A42" s="216" t="s">
        <v>523</v>
      </c>
      <c r="B42" s="205" t="s">
        <v>514</v>
      </c>
      <c r="C42" s="225"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4.25" hidden="false" customHeight="false" outlineLevel="0" collapsed="false">
      <c r="A45" s="216" t="s">
        <v>524</v>
      </c>
      <c r="B45" s="205" t="s">
        <v>514</v>
      </c>
      <c r="C45" s="225"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4.25" hidden="false" customHeight="false" outlineLevel="0" collapsed="false">
      <c r="A48" s="211" t="s">
        <v>525</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4.25" hidden="false" customHeight="false" outlineLevel="0" collapsed="false">
      <c r="A49" s="211" t="s">
        <v>526</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4.25" hidden="false" customHeight="false" outlineLevel="0" collapsed="false">
      <c r="A50" s="211" t="s">
        <v>527</v>
      </c>
      <c r="B50" s="202" t="s">
        <v>514</v>
      </c>
      <c r="C50" s="224"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4.25" hidden="false" customHeight="false" outlineLevel="0" collapsed="false">
      <c r="A51" s="211" t="s">
        <v>528</v>
      </c>
      <c r="B51" s="202" t="s">
        <v>514</v>
      </c>
      <c r="C51" s="224"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4.25" hidden="false" customHeight="false" outlineLevel="0" collapsed="false">
      <c r="A52" s="216" t="s">
        <v>529</v>
      </c>
      <c r="B52" s="205" t="s">
        <v>514</v>
      </c>
      <c r="C52" s="226" t="n">
        <v>0.01</v>
      </c>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7.35" hidden="false" customHeight="false" outlineLevel="0" collapsed="false">
      <c r="A53" s="200" t="s">
        <v>530</v>
      </c>
      <c r="B53" s="200"/>
      <c r="C53" s="200"/>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row>
    <row r="54" customFormat="false" ht="14.25" hidden="false" customHeight="false" outlineLevel="0" collapsed="false">
      <c r="A54" s="227" t="s">
        <v>531</v>
      </c>
      <c r="B54" s="202" t="s">
        <v>36</v>
      </c>
      <c r="C54" s="203" t="n">
        <v>2050</v>
      </c>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row>
    <row r="55" customFormat="false" ht="14.25" hidden="false" customHeight="false" outlineLevel="0" collapsed="false">
      <c r="A55" s="227" t="s">
        <v>532</v>
      </c>
      <c r="B55" s="202" t="s">
        <v>533</v>
      </c>
      <c r="C55" s="228" t="n">
        <v>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row>
    <row r="56" customFormat="false" ht="14.25" hidden="false" customHeight="false" outlineLevel="0" collapsed="false">
      <c r="A56" s="227" t="s">
        <v>534</v>
      </c>
      <c r="B56" s="202" t="s">
        <v>533</v>
      </c>
      <c r="C56" s="228"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row>
    <row r="57" customFormat="false" ht="14.25" hidden="false" customHeight="false" outlineLevel="0" collapsed="false">
      <c r="A57" s="227" t="s">
        <v>535</v>
      </c>
      <c r="B57" s="202" t="s">
        <v>533</v>
      </c>
      <c r="C57" s="228" t="n">
        <v>0.1</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row>
    <row r="58" customFormat="false" ht="14.25" hidden="false" customHeight="false" outlineLevel="0" collapsed="false">
      <c r="A58" s="227" t="s">
        <v>536</v>
      </c>
      <c r="B58" s="202" t="s">
        <v>533</v>
      </c>
      <c r="C58" s="228" t="n">
        <v>0.5</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row>
    <row r="59" customFormat="false" ht="14.25" hidden="false" customHeight="false" outlineLevel="0" collapsed="false">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row>
    <row r="60" customFormat="false" ht="17.35" hidden="false" customHeight="false" outlineLevel="0" collapsed="false">
      <c r="A60" s="200" t="s">
        <v>537</v>
      </c>
      <c r="B60" s="200"/>
      <c r="C60" s="200"/>
      <c r="D60" s="200"/>
      <c r="E60" s="200"/>
      <c r="F60" s="200"/>
      <c r="G60" s="200"/>
      <c r="H60" s="200"/>
      <c r="I60" s="200"/>
    </row>
    <row r="61" customFormat="false" ht="14.25" hidden="false" customHeight="false" outlineLevel="0" collapsed="false">
      <c r="A61" s="227" t="s">
        <v>36</v>
      </c>
      <c r="B61" s="202" t="s">
        <v>36</v>
      </c>
      <c r="C61" s="229" t="n">
        <v>2020</v>
      </c>
      <c r="D61" s="229" t="n">
        <v>2025</v>
      </c>
      <c r="E61" s="229" t="n">
        <v>2030</v>
      </c>
      <c r="F61" s="229" t="n">
        <v>2035</v>
      </c>
      <c r="G61" s="229" t="n">
        <v>2040</v>
      </c>
      <c r="H61" s="229" t="n">
        <v>2045</v>
      </c>
      <c r="I61" s="230" t="n">
        <v>2050</v>
      </c>
    </row>
    <row r="62" customFormat="false" ht="14.25" hidden="false" customHeight="false" outlineLevel="0" collapsed="false">
      <c r="A62" s="227" t="s">
        <v>538</v>
      </c>
      <c r="B62" s="202" t="s">
        <v>146</v>
      </c>
      <c r="C62" s="231" t="n">
        <v>0</v>
      </c>
      <c r="D62" s="231" t="n">
        <v>0</v>
      </c>
      <c r="E62" s="231" t="n">
        <v>0</v>
      </c>
      <c r="F62" s="231" t="n">
        <v>0</v>
      </c>
      <c r="G62" s="231" t="n">
        <v>0</v>
      </c>
      <c r="H62" s="231" t="n">
        <v>0</v>
      </c>
      <c r="I62" s="231" t="n">
        <v>0</v>
      </c>
      <c r="J62" s="221"/>
      <c r="K62" s="221"/>
    </row>
    <row r="63" customFormat="false" ht="14.25" hidden="false" customHeight="false" outlineLevel="0" collapsed="false">
      <c r="A63" s="227" t="s">
        <v>539</v>
      </c>
      <c r="B63" s="202" t="s">
        <v>146</v>
      </c>
      <c r="C63" s="231" t="n">
        <v>0</v>
      </c>
      <c r="D63" s="231" t="n">
        <v>0</v>
      </c>
      <c r="E63" s="231" t="n">
        <v>0</v>
      </c>
      <c r="F63" s="231" t="n">
        <v>0</v>
      </c>
      <c r="G63" s="231" t="n">
        <v>0</v>
      </c>
      <c r="H63" s="231" t="n">
        <v>0</v>
      </c>
      <c r="I63" s="231" t="n">
        <v>0</v>
      </c>
      <c r="J63" s="221"/>
      <c r="K63" s="221"/>
    </row>
    <row r="64" customFormat="false" ht="14.25" hidden="false" customHeight="false" outlineLevel="0" collapsed="false">
      <c r="A64" s="227" t="s">
        <v>540</v>
      </c>
      <c r="B64" s="202" t="s">
        <v>146</v>
      </c>
      <c r="C64" s="232" t="n">
        <v>4E-005</v>
      </c>
      <c r="D64" s="231" t="n">
        <v>0.00071</v>
      </c>
      <c r="E64" s="231" t="n">
        <v>0.00536</v>
      </c>
      <c r="F64" s="231" t="n">
        <v>0.03588</v>
      </c>
      <c r="G64" s="231" t="n">
        <v>0.09027</v>
      </c>
      <c r="H64" s="231" t="n">
        <v>0.13883</v>
      </c>
      <c r="I64" s="231" t="n">
        <v>0.18862</v>
      </c>
    </row>
    <row r="65" customFormat="false" ht="14.25" hidden="false" customHeight="false" outlineLevel="0" collapsed="false">
      <c r="A65" s="227" t="s">
        <v>541</v>
      </c>
      <c r="B65" s="202" t="s">
        <v>146</v>
      </c>
      <c r="C65" s="231" t="n">
        <v>0</v>
      </c>
      <c r="D65" s="231" t="n">
        <v>0</v>
      </c>
      <c r="E65" s="231" t="n">
        <v>0</v>
      </c>
      <c r="F65" s="231" t="n">
        <v>0</v>
      </c>
      <c r="G65" s="231" t="n">
        <v>0</v>
      </c>
      <c r="H65" s="231" t="n">
        <v>0</v>
      </c>
      <c r="I65" s="231" t="n">
        <v>0</v>
      </c>
    </row>
    <row r="66" customFormat="false" ht="14.25" hidden="false" customHeight="false" outlineLevel="0" collapsed="false">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row>
    <row r="67" customFormat="false" ht="14.2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row>
    <row r="68" customFormat="false" ht="24.45" hidden="false" customHeight="false" outlineLevel="0" collapsed="false">
      <c r="A68" s="199" t="s">
        <v>542</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3" t="s">
        <v>168</v>
      </c>
      <c r="B69" s="234"/>
      <c r="C69" s="235"/>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6"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4.25" hidden="false" customHeight="false" outlineLevel="0" collapsed="false">
      <c r="A71" s="236"/>
      <c r="B71" s="205" t="s">
        <v>543</v>
      </c>
      <c r="C71" s="226"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4.25" hidden="false" customHeight="false" outlineLevel="0" collapsed="false">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row>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6"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4.25" hidden="false" customHeight="false" outlineLevel="0" collapsed="false">
      <c r="A75" s="236"/>
      <c r="B75" s="205" t="s">
        <v>544</v>
      </c>
      <c r="C75" s="226"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7" t="s">
        <v>228</v>
      </c>
      <c r="B77" s="237"/>
      <c r="C77" s="237"/>
      <c r="D77" s="238" t="s">
        <v>545</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4.25" hidden="false" customHeight="false" outlineLevel="0" collapsed="false">
      <c r="A78" s="211" t="s">
        <v>546</v>
      </c>
      <c r="B78" s="202" t="s">
        <v>547</v>
      </c>
      <c r="C78" s="228"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39" t="s">
        <v>230</v>
      </c>
      <c r="B79" s="239"/>
      <c r="C79" s="239"/>
      <c r="D79" s="240" t="s">
        <v>548</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549</v>
      </c>
      <c r="B80" s="205" t="s">
        <v>547</v>
      </c>
      <c r="C80" s="241" t="n">
        <v>0.2</v>
      </c>
      <c r="D80" s="242"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4.25" hidden="false" customHeight="false" outlineLevel="0" collapsed="false">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row>
    <row r="82" customFormat="false" ht="17.35" hidden="false" customHeight="false" outlineLevel="0" collapsed="false">
      <c r="A82" s="200" t="s">
        <v>236</v>
      </c>
      <c r="B82" s="200"/>
      <c r="C82" s="200"/>
    </row>
    <row r="83" customFormat="false" ht="14.25" hidden="false" customHeight="false" outlineLevel="0" collapsed="false">
      <c r="A83" s="243" t="s">
        <v>550</v>
      </c>
      <c r="B83" s="202" t="s">
        <v>551</v>
      </c>
      <c r="C83" s="244" t="n">
        <v>0</v>
      </c>
    </row>
    <row r="84" customFormat="false" ht="14.25" hidden="false" customHeight="false" outlineLevel="0" collapsed="false">
      <c r="A84" s="243"/>
      <c r="B84" s="202" t="s">
        <v>552</v>
      </c>
      <c r="C84" s="244" t="n">
        <v>2023</v>
      </c>
    </row>
    <row r="85" customFormat="false" ht="14.25" hidden="false" customHeight="false" outlineLevel="0" collapsed="false">
      <c r="A85" s="243" t="s">
        <v>237</v>
      </c>
      <c r="B85" s="202" t="s">
        <v>238</v>
      </c>
      <c r="C85" s="244" t="n">
        <v>2015</v>
      </c>
      <c r="G85" s="118"/>
      <c r="H85" s="118"/>
      <c r="I85" s="127"/>
      <c r="J85" s="127"/>
      <c r="K85" s="127"/>
      <c r="L85" s="127"/>
      <c r="M85" s="127"/>
      <c r="N85" s="127"/>
      <c r="O85" s="127"/>
      <c r="P85" s="127"/>
      <c r="Q85" s="127"/>
      <c r="R85" s="127"/>
      <c r="S85" s="127"/>
      <c r="T85" s="127"/>
    </row>
    <row r="86" customFormat="false" ht="14.25" hidden="false" customHeight="false" outlineLevel="0" collapsed="false">
      <c r="A86" s="243"/>
      <c r="B86" s="202" t="s">
        <v>241</v>
      </c>
      <c r="C86" s="245" t="n">
        <v>0</v>
      </c>
      <c r="G86" s="118"/>
      <c r="H86" s="118"/>
      <c r="I86" s="127"/>
      <c r="J86" s="127"/>
      <c r="K86" s="127"/>
      <c r="L86" s="127"/>
      <c r="M86" s="127"/>
      <c r="N86" s="127"/>
      <c r="O86" s="127"/>
      <c r="P86" s="127"/>
      <c r="Q86" s="127"/>
      <c r="R86" s="127"/>
      <c r="S86" s="127"/>
      <c r="T86" s="127"/>
    </row>
    <row r="87" customFormat="false" ht="14.25" hidden="false" customHeight="false" outlineLevel="0" collapsed="false">
      <c r="A87" s="243" t="s">
        <v>243</v>
      </c>
      <c r="B87" s="202" t="s">
        <v>238</v>
      </c>
      <c r="C87" s="244" t="n">
        <v>2015</v>
      </c>
    </row>
    <row r="88" customFormat="false" ht="14.25" hidden="false" customHeight="false" outlineLevel="0" collapsed="false">
      <c r="A88" s="243"/>
      <c r="B88" s="202" t="s">
        <v>241</v>
      </c>
      <c r="C88" s="245" t="n">
        <v>0</v>
      </c>
    </row>
    <row r="89" customFormat="false" ht="14.25" hidden="false" customHeight="false" outlineLevel="0" collapsed="false">
      <c r="A89" s="243" t="s">
        <v>244</v>
      </c>
      <c r="B89" s="202" t="s">
        <v>238</v>
      </c>
      <c r="C89" s="244" t="n">
        <v>2023</v>
      </c>
    </row>
    <row r="90" customFormat="false" ht="14.25" hidden="false" customHeight="false" outlineLevel="0" collapsed="false">
      <c r="A90" s="243"/>
      <c r="B90" s="202" t="s">
        <v>241</v>
      </c>
      <c r="C90" s="245" t="n">
        <v>0</v>
      </c>
    </row>
    <row r="91" customFormat="false" ht="14.25" hidden="false" customHeight="false" outlineLevel="0" collapsed="false">
      <c r="A91" s="243" t="s">
        <v>246</v>
      </c>
      <c r="B91" s="202" t="s">
        <v>238</v>
      </c>
      <c r="C91" s="244" t="n">
        <v>2023</v>
      </c>
      <c r="G91" s="138"/>
      <c r="I91" s="125"/>
      <c r="J91" s="125"/>
      <c r="K91" s="125"/>
      <c r="L91" s="125"/>
      <c r="M91" s="125"/>
      <c r="N91" s="125"/>
      <c r="O91" s="125"/>
      <c r="P91" s="125"/>
      <c r="Q91" s="125"/>
      <c r="R91" s="125"/>
      <c r="S91" s="125"/>
      <c r="T91" s="125"/>
    </row>
    <row r="92" customFormat="false" ht="14.25" hidden="false" customHeight="false" outlineLevel="0" collapsed="false">
      <c r="A92" s="243"/>
      <c r="B92" s="202" t="s">
        <v>241</v>
      </c>
      <c r="C92" s="245" t="n">
        <v>0</v>
      </c>
    </row>
    <row r="93" customFormat="false" ht="14.25" hidden="false" customHeight="false" outlineLevel="0" collapsed="false">
      <c r="A93" s="243" t="s">
        <v>211</v>
      </c>
      <c r="B93" s="202" t="s">
        <v>238</v>
      </c>
      <c r="C93" s="244" t="n">
        <v>2023</v>
      </c>
    </row>
    <row r="94" customFormat="false" ht="14.25" hidden="false" customHeight="false" outlineLevel="0" collapsed="false">
      <c r="A94" s="243"/>
      <c r="B94" s="202" t="s">
        <v>241</v>
      </c>
      <c r="C94" s="245" t="n">
        <v>0.97</v>
      </c>
    </row>
    <row r="95" customFormat="false" ht="14.25" hidden="false" customHeight="false" outlineLevel="0" collapsed="false">
      <c r="A95" s="243" t="s">
        <v>240</v>
      </c>
      <c r="B95" s="202" t="s">
        <v>238</v>
      </c>
      <c r="C95" s="244" t="n">
        <v>2023</v>
      </c>
    </row>
    <row r="96" customFormat="false" ht="14.25" hidden="false" customHeight="false" outlineLevel="0" collapsed="false">
      <c r="A96" s="243"/>
      <c r="B96" s="202" t="s">
        <v>241</v>
      </c>
      <c r="C96" s="245" t="n">
        <v>0.74</v>
      </c>
    </row>
    <row r="97" customFormat="false" ht="14.25" hidden="false" customHeight="false" outlineLevel="0" collapsed="false">
      <c r="A97" s="236" t="s">
        <v>245</v>
      </c>
      <c r="B97" s="202" t="s">
        <v>238</v>
      </c>
      <c r="C97" s="244" t="n">
        <v>2023</v>
      </c>
    </row>
    <row r="98" customFormat="false" ht="14.25" hidden="false" customHeight="false" outlineLevel="0" collapsed="false">
      <c r="A98" s="236"/>
      <c r="B98" s="205" t="s">
        <v>241</v>
      </c>
      <c r="C98" s="246" t="n">
        <v>0.87</v>
      </c>
    </row>
    <row r="99" customFormat="false" ht="14.25" hidden="false" customHeight="false" outlineLevel="0" collapsed="false">
      <c r="A99" s="139" t="s">
        <v>247</v>
      </c>
    </row>
    <row r="101" customFormat="false" ht="14.25" hidden="false" customHeight="true" outlineLevel="0" collapsed="false">
      <c r="A101" s="200" t="s">
        <v>248</v>
      </c>
      <c r="B101" s="200"/>
      <c r="C101" s="200"/>
    </row>
    <row r="102" customFormat="false" ht="14.25" hidden="false" customHeight="false" outlineLevel="0" collapsed="false">
      <c r="A102" s="211" t="s">
        <v>249</v>
      </c>
      <c r="B102" s="202" t="s">
        <v>28</v>
      </c>
      <c r="C102" s="244" t="n">
        <v>1</v>
      </c>
    </row>
    <row r="103" customFormat="false" ht="14.25" hidden="false" customHeight="false" outlineLevel="0" collapsed="false">
      <c r="A103" s="211" t="s">
        <v>256</v>
      </c>
      <c r="B103" s="202" t="s">
        <v>28</v>
      </c>
      <c r="C103" s="244" t="n">
        <v>1</v>
      </c>
    </row>
    <row r="104" customFormat="false" ht="14.25" hidden="false" customHeight="false" outlineLevel="0" collapsed="false">
      <c r="A104" s="211" t="s">
        <v>553</v>
      </c>
      <c r="B104" s="202" t="s">
        <v>36</v>
      </c>
      <c r="C104" s="244" t="n">
        <v>2020</v>
      </c>
    </row>
    <row r="105" customFormat="false" ht="14.25" hidden="false" customHeight="false" outlineLevel="0" collapsed="false">
      <c r="A105" s="211" t="s">
        <v>554</v>
      </c>
      <c r="B105" s="202" t="s">
        <v>36</v>
      </c>
      <c r="C105" s="244" t="n">
        <v>2025</v>
      </c>
    </row>
    <row r="106" customFormat="false" ht="14.25" hidden="false" customHeight="false" outlineLevel="0" collapsed="false">
      <c r="A106" s="211" t="s">
        <v>555</v>
      </c>
      <c r="B106" s="202" t="s">
        <v>36</v>
      </c>
      <c r="C106" s="244" t="n">
        <v>2035</v>
      </c>
    </row>
    <row r="107" customFormat="false" ht="14.25" hidden="false" customHeight="false" outlineLevel="0" collapsed="false">
      <c r="A107" s="211" t="s">
        <v>556</v>
      </c>
      <c r="B107" s="202" t="s">
        <v>36</v>
      </c>
      <c r="C107" s="244" t="n">
        <v>2050</v>
      </c>
    </row>
    <row r="108" customFormat="false" ht="14.25" hidden="false" customHeight="false" outlineLevel="0" collapsed="false">
      <c r="A108" s="211" t="s">
        <v>255</v>
      </c>
      <c r="B108" s="202" t="s">
        <v>28</v>
      </c>
      <c r="C108" s="244" t="n">
        <v>0</v>
      </c>
    </row>
    <row r="109" customFormat="false" ht="14.25" hidden="false" customHeight="false" outlineLevel="0" collapsed="false">
      <c r="A109" s="211" t="s">
        <v>261</v>
      </c>
      <c r="B109" s="202" t="s">
        <v>28</v>
      </c>
      <c r="C109" s="244" t="n">
        <v>0</v>
      </c>
    </row>
    <row r="110" customFormat="false" ht="14.25" hidden="false" customHeight="false" outlineLevel="0" collapsed="false">
      <c r="A110" s="211" t="s">
        <v>557</v>
      </c>
      <c r="B110" s="202"/>
      <c r="C110" s="204" t="n">
        <v>2050</v>
      </c>
    </row>
    <row r="111" customFormat="false" ht="14.25" hidden="false" customHeight="false" outlineLevel="0" collapsed="false">
      <c r="A111" s="216" t="s">
        <v>558</v>
      </c>
      <c r="B111" s="205" t="s">
        <v>28</v>
      </c>
      <c r="C111" s="242" t="n">
        <v>0.8</v>
      </c>
    </row>
    <row r="112" customFormat="false" ht="14.25" hidden="false" customHeight="true" outlineLevel="0" collapsed="false"/>
    <row r="113" customFormat="false" ht="14.25" hidden="false" customHeight="true" outlineLevel="0" collapsed="false">
      <c r="A113" s="200" t="s">
        <v>58</v>
      </c>
      <c r="B113" s="200"/>
      <c r="C113" s="200"/>
      <c r="D113" s="200"/>
      <c r="E113" s="200"/>
    </row>
    <row r="114" customFormat="false" ht="14.25" hidden="false" customHeight="true" outlineLevel="0" collapsed="false">
      <c r="A114" s="236" t="s">
        <v>59</v>
      </c>
      <c r="B114" s="247" t="n">
        <v>4</v>
      </c>
      <c r="C114" s="227" t="s">
        <v>60</v>
      </c>
      <c r="D114" s="202" t="s">
        <v>65</v>
      </c>
      <c r="E114" s="224" t="n">
        <v>-0.012</v>
      </c>
    </row>
    <row r="115" customFormat="false" ht="14.25" hidden="false" customHeight="true" outlineLevel="0" collapsed="false">
      <c r="A115" s="236"/>
      <c r="B115" s="247"/>
      <c r="C115" s="227" t="s">
        <v>62</v>
      </c>
      <c r="D115" s="202" t="s">
        <v>559</v>
      </c>
      <c r="E115" s="204" t="n">
        <v>2017</v>
      </c>
    </row>
    <row r="116" customFormat="false" ht="14.25" hidden="false" customHeight="true" outlineLevel="0" collapsed="false">
      <c r="A116" s="236"/>
      <c r="B116" s="247"/>
      <c r="C116" s="227" t="s">
        <v>63</v>
      </c>
      <c r="D116" s="248"/>
      <c r="E116" s="248"/>
    </row>
    <row r="117" customFormat="false" ht="14.25" hidden="false" customHeight="true" outlineLevel="0" collapsed="false">
      <c r="A117" s="236"/>
      <c r="B117" s="247"/>
      <c r="C117" s="249" t="s">
        <v>64</v>
      </c>
      <c r="D117" s="248"/>
      <c r="E117" s="248"/>
    </row>
    <row r="118" customFormat="false" ht="14.25" hidden="false" customHeight="true" outlineLevel="0" collapsed="false"/>
    <row r="119" customFormat="false" ht="14.25" hidden="false" customHeight="true" outlineLevel="0" collapsed="false"/>
    <row r="120" customFormat="false" ht="24.45" hidden="false" customHeight="false" outlineLevel="0" collapsed="false">
      <c r="A120" s="199" t="s">
        <v>560</v>
      </c>
    </row>
    <row r="121" customFormat="false" ht="17.35" hidden="false" customHeight="false" outlineLevel="0" collapsed="false">
      <c r="A121" s="200" t="s">
        <v>561</v>
      </c>
      <c r="B121" s="200"/>
      <c r="C121" s="200"/>
      <c r="D121" s="200"/>
      <c r="E121" s="200"/>
      <c r="F121" s="200"/>
      <c r="G121" s="200"/>
      <c r="H121" s="200"/>
      <c r="I121" s="200"/>
      <c r="J121" s="200"/>
    </row>
    <row r="122" customFormat="false" ht="14.2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4.25" hidden="false" customHeight="false" outlineLevel="0" collapsed="false">
      <c r="A123" s="250" t="s">
        <v>562</v>
      </c>
      <c r="B123" s="203" t="s">
        <v>563</v>
      </c>
      <c r="C123" s="202" t="s">
        <v>28</v>
      </c>
      <c r="D123" s="251" t="n">
        <v>0.884728649558267</v>
      </c>
      <c r="E123" s="251" t="n">
        <v>0.880334612500551</v>
      </c>
      <c r="F123" s="251" t="n">
        <v>0.875347755270832</v>
      </c>
      <c r="G123" s="251" t="n">
        <v>0.8703</v>
      </c>
      <c r="H123" s="251" t="n">
        <v>0.8651</v>
      </c>
      <c r="I123" s="251" t="n">
        <v>0.85981</v>
      </c>
      <c r="J123" s="223" t="n">
        <v>0.85439</v>
      </c>
    </row>
    <row r="124" customFormat="false" ht="14.25" hidden="false" customHeight="false" outlineLevel="0" collapsed="false">
      <c r="A124" s="250"/>
      <c r="B124" s="203" t="s">
        <v>564</v>
      </c>
      <c r="C124" s="202" t="s">
        <v>28</v>
      </c>
      <c r="D124" s="251" t="n">
        <v>0.115271350441733</v>
      </c>
      <c r="E124" s="251" t="n">
        <v>0.119665387499449</v>
      </c>
      <c r="F124" s="251" t="n">
        <v>0.124652244729168</v>
      </c>
      <c r="G124" s="251" t="n">
        <v>0.1297</v>
      </c>
      <c r="H124" s="251" t="n">
        <v>0.13493</v>
      </c>
      <c r="I124" s="251" t="n">
        <v>0.1402</v>
      </c>
      <c r="J124" s="223" t="n">
        <v>0.14556</v>
      </c>
    </row>
    <row r="125" customFormat="false" ht="14.25" hidden="false" customHeight="false" outlineLevel="0" collapsed="false">
      <c r="A125" s="250"/>
      <c r="B125" s="203" t="s">
        <v>565</v>
      </c>
      <c r="C125" s="202" t="s">
        <v>28</v>
      </c>
      <c r="D125" s="251" t="n">
        <v>0</v>
      </c>
      <c r="E125" s="251" t="n">
        <v>0</v>
      </c>
      <c r="F125" s="251" t="n">
        <v>0</v>
      </c>
      <c r="G125" s="251" t="n">
        <v>0</v>
      </c>
      <c r="H125" s="251" t="n">
        <v>0</v>
      </c>
      <c r="I125" s="251" t="n">
        <v>0</v>
      </c>
      <c r="J125" s="223" t="n">
        <v>0</v>
      </c>
    </row>
    <row r="126" customFormat="false" ht="14.25" hidden="false" customHeight="false" outlineLevel="0" collapsed="false">
      <c r="A126" s="250" t="s">
        <v>566</v>
      </c>
      <c r="B126" s="203" t="s">
        <v>563</v>
      </c>
      <c r="C126" s="202" t="s">
        <v>28</v>
      </c>
      <c r="D126" s="251" t="n">
        <v>0.941542565014448</v>
      </c>
      <c r="E126" s="251" t="n">
        <v>0.900290185698342</v>
      </c>
      <c r="F126" s="251" t="n">
        <v>0.899485949917109</v>
      </c>
      <c r="G126" s="251" t="n">
        <v>0.898682485967326</v>
      </c>
      <c r="H126" s="251" t="n">
        <v>0.897879793054911</v>
      </c>
      <c r="I126" s="251" t="n">
        <v>0.897077870386644</v>
      </c>
      <c r="J126" s="223" t="n">
        <v>0.8962</v>
      </c>
    </row>
    <row r="127" customFormat="false" ht="14.25" hidden="false" customHeight="false" outlineLevel="0" collapsed="false">
      <c r="A127" s="250"/>
      <c r="B127" s="203" t="s">
        <v>564</v>
      </c>
      <c r="C127" s="202" t="s">
        <v>28</v>
      </c>
      <c r="D127" s="251" t="n">
        <v>0.00422316070237831</v>
      </c>
      <c r="E127" s="251" t="n">
        <v>0.00591359689433226</v>
      </c>
      <c r="F127" s="251" t="n">
        <v>0.00606680081830671</v>
      </c>
      <c r="G127" s="251" t="n">
        <v>0.0062248184197547</v>
      </c>
      <c r="H127" s="251" t="n">
        <v>0.00638782522707298</v>
      </c>
      <c r="I127" s="251" t="n">
        <v>0.0065</v>
      </c>
      <c r="J127" s="223" t="n">
        <v>0.00672954375025719</v>
      </c>
    </row>
    <row r="128" customFormat="false" ht="14.25" hidden="false" customHeight="false" outlineLevel="0" collapsed="false">
      <c r="A128" s="250"/>
      <c r="B128" s="203" t="s">
        <v>565</v>
      </c>
      <c r="C128" s="202" t="s">
        <v>28</v>
      </c>
      <c r="D128" s="251" t="n">
        <v>0.054234274283174</v>
      </c>
      <c r="E128" s="251" t="n">
        <v>0.0937962174073255</v>
      </c>
      <c r="F128" s="251" t="n">
        <v>0.0944472492645847</v>
      </c>
      <c r="G128" s="251" t="n">
        <v>0.0951030367253953</v>
      </c>
      <c r="H128" s="251" t="n">
        <v>0.0957636163505924</v>
      </c>
      <c r="I128" s="251" t="n">
        <v>0.096429024995418</v>
      </c>
      <c r="J128" s="223" t="n">
        <v>0.0970992998119844</v>
      </c>
    </row>
    <row r="129" customFormat="false" ht="14.25" hidden="false" customHeight="false" outlineLevel="0" collapsed="false">
      <c r="A129" s="208" t="s">
        <v>567</v>
      </c>
      <c r="B129" s="252"/>
      <c r="C129" s="202" t="s">
        <v>28</v>
      </c>
      <c r="D129" s="251" t="n">
        <v>0.861189801699717</v>
      </c>
      <c r="E129" s="251" t="n">
        <v>0.816445790051332</v>
      </c>
      <c r="F129" s="251" t="n">
        <v>0.797371103788976</v>
      </c>
      <c r="G129" s="251" t="n">
        <v>0.778743906218434</v>
      </c>
      <c r="H129" s="251" t="n">
        <v>0.760553654678055</v>
      </c>
      <c r="I129" s="251" t="n">
        <v>0.742790055964014</v>
      </c>
      <c r="J129" s="223" t="n">
        <v>0.725443060401842</v>
      </c>
    </row>
    <row r="130" customFormat="false" ht="14.25" hidden="false" customHeight="false" outlineLevel="0" collapsed="false">
      <c r="A130" s="208" t="s">
        <v>568</v>
      </c>
      <c r="B130" s="252"/>
      <c r="C130" s="202" t="s">
        <v>569</v>
      </c>
      <c r="D130" s="244" t="n">
        <f aca="false">SUM(D123:D125)</f>
        <v>1</v>
      </c>
      <c r="E130" s="244" t="n">
        <f aca="false">SUM(E123:E125)</f>
        <v>1</v>
      </c>
      <c r="F130" s="253" t="n">
        <f aca="false">SUM(F123:F125)</f>
        <v>1</v>
      </c>
      <c r="G130" s="253" t="n">
        <f aca="false">SUM(G123:G125)</f>
        <v>1</v>
      </c>
      <c r="H130" s="253" t="n">
        <f aca="false">SUM(H123:H125)</f>
        <v>1.00003</v>
      </c>
      <c r="I130" s="253" t="n">
        <f aca="false">SUM(I123:I125)</f>
        <v>1.00001</v>
      </c>
      <c r="J130" s="253" t="n">
        <f aca="false">SUM(J123:J125)</f>
        <v>0.99995</v>
      </c>
    </row>
    <row r="131" customFormat="false" ht="14.25" hidden="false" customHeight="false" outlineLevel="0" collapsed="false">
      <c r="A131" s="254" t="s">
        <v>570</v>
      </c>
      <c r="B131" s="252"/>
      <c r="C131" s="205" t="s">
        <v>569</v>
      </c>
      <c r="D131" s="244" t="n">
        <f aca="false">SUM(D126:D128)</f>
        <v>1</v>
      </c>
      <c r="E131" s="244" t="n">
        <f aca="false">SUM(E126:E128)</f>
        <v>1</v>
      </c>
      <c r="F131" s="253" t="n">
        <f aca="false">SUM(F126:F128)</f>
        <v>1</v>
      </c>
      <c r="G131" s="253" t="n">
        <f aca="false">SUM(G126:G128)</f>
        <v>1.00001034111248</v>
      </c>
      <c r="H131" s="253" t="n">
        <f aca="false">SUM(H126:H128)</f>
        <v>1.00003123463258</v>
      </c>
      <c r="I131" s="253" t="n">
        <f aca="false">SUM(I126:I128)</f>
        <v>1.00000689538206</v>
      </c>
      <c r="J131" s="253" t="n">
        <f aca="false">SUM(J126:J128)</f>
        <v>1.00002884356224</v>
      </c>
    </row>
    <row r="133" customFormat="false" ht="17.35" hidden="false" customHeight="false" outlineLevel="0" collapsed="false">
      <c r="A133" s="200" t="s">
        <v>571</v>
      </c>
      <c r="B133" s="200"/>
      <c r="C133" s="200"/>
      <c r="D133" s="200"/>
      <c r="E133" s="200"/>
      <c r="F133" s="200"/>
      <c r="G133" s="200"/>
      <c r="H133" s="200"/>
      <c r="I133" s="200"/>
    </row>
    <row r="134" customFormat="false" ht="14.25" hidden="false" customHeight="false" outlineLevel="0" collapsed="false">
      <c r="A134" s="208" t="s">
        <v>36</v>
      </c>
      <c r="B134" s="202" t="s">
        <v>36</v>
      </c>
      <c r="C134" s="203" t="n">
        <v>2020</v>
      </c>
      <c r="D134" s="203" t="n">
        <v>2025</v>
      </c>
      <c r="E134" s="203" t="n">
        <v>2030</v>
      </c>
      <c r="F134" s="203" t="n">
        <v>2035</v>
      </c>
      <c r="G134" s="203" t="n">
        <v>2040</v>
      </c>
      <c r="H134" s="203" t="n">
        <v>2045</v>
      </c>
      <c r="I134" s="204" t="n">
        <v>2050</v>
      </c>
    </row>
    <row r="135" customFormat="false" ht="14.25" hidden="false" customHeight="false" outlineLevel="0" collapsed="false">
      <c r="A135" s="250" t="s">
        <v>572</v>
      </c>
      <c r="B135" s="202" t="s">
        <v>573</v>
      </c>
      <c r="C135" s="251" t="n">
        <v>0.806894766766191</v>
      </c>
      <c r="D135" s="251" t="n">
        <v>0.710215421760778</v>
      </c>
      <c r="E135" s="251" t="n">
        <v>0.60650331097056</v>
      </c>
      <c r="F135" s="251" t="n">
        <v>0.519297101522442</v>
      </c>
      <c r="G135" s="251" t="n">
        <v>0.432090892074324</v>
      </c>
      <c r="H135" s="251" t="n">
        <v>0.344884682626206</v>
      </c>
      <c r="I135" s="223" t="n">
        <v>0.272681803709289</v>
      </c>
    </row>
    <row r="136" customFormat="false" ht="14.25" hidden="false" customHeight="false" outlineLevel="0" collapsed="false">
      <c r="A136" s="250"/>
      <c r="B136" s="202" t="s">
        <v>192</v>
      </c>
      <c r="C136" s="251" t="n">
        <v>0.0257197201277087</v>
      </c>
      <c r="D136" s="251" t="n">
        <v>0.0504865457750533</v>
      </c>
      <c r="E136" s="251" t="n">
        <v>0.0725226414272688</v>
      </c>
      <c r="F136" s="251" t="n">
        <v>0.0966968552363585</v>
      </c>
      <c r="G136" s="251" t="n">
        <v>0.120871069045448</v>
      </c>
      <c r="H136" s="251" t="n">
        <v>0.145045282854538</v>
      </c>
      <c r="I136" s="223" t="n">
        <v>0.169219496663627</v>
      </c>
    </row>
    <row r="137" customFormat="false" ht="14.25" hidden="false" customHeight="false" outlineLevel="0" collapsed="false">
      <c r="A137" s="250"/>
      <c r="B137" s="202" t="s">
        <v>374</v>
      </c>
      <c r="C137" s="251" t="n">
        <v>0.14108125388458</v>
      </c>
      <c r="D137" s="251" t="n">
        <v>0.187664065194228</v>
      </c>
      <c r="E137" s="251" t="n">
        <v>0.246803164324282</v>
      </c>
      <c r="F137" s="251" t="n">
        <v>0.285111532204015</v>
      </c>
      <c r="G137" s="251" t="n">
        <v>0.323419900083747</v>
      </c>
      <c r="H137" s="251" t="n">
        <v>0.361728267963479</v>
      </c>
      <c r="I137" s="223" t="n">
        <v>0.38503330531201</v>
      </c>
    </row>
    <row r="138" customFormat="false" ht="14.25" hidden="false" customHeight="false" outlineLevel="0" collapsed="false">
      <c r="A138" s="250"/>
      <c r="B138" s="202" t="s">
        <v>574</v>
      </c>
      <c r="C138" s="251" t="n">
        <v>0.0263042592215203</v>
      </c>
      <c r="D138" s="251" t="n">
        <v>0.0516339672699409</v>
      </c>
      <c r="E138" s="251" t="n">
        <v>0.0741708832778886</v>
      </c>
      <c r="F138" s="251" t="n">
        <v>0.0988945110371848</v>
      </c>
      <c r="G138" s="251" t="n">
        <v>0.123618138796481</v>
      </c>
      <c r="H138" s="251" t="n">
        <v>0.148341766555777</v>
      </c>
      <c r="I138" s="223" t="n">
        <v>0.173065394315073</v>
      </c>
    </row>
    <row r="139" customFormat="false" ht="14.25" hidden="false" customHeight="false" outlineLevel="0" collapsed="false">
      <c r="A139" s="250" t="s">
        <v>564</v>
      </c>
      <c r="B139" s="202" t="s">
        <v>573</v>
      </c>
      <c r="C139" s="251" t="n">
        <v>0.966386554621849</v>
      </c>
      <c r="D139" s="251" t="n">
        <v>0.932773109243698</v>
      </c>
      <c r="E139" s="251" t="n">
        <v>0.899159663865546</v>
      </c>
      <c r="F139" s="251" t="n">
        <v>0.865546218487395</v>
      </c>
      <c r="G139" s="251" t="n">
        <v>0.831932773109244</v>
      </c>
      <c r="H139" s="251" t="n">
        <v>0.798319327731093</v>
      </c>
      <c r="I139" s="223" t="n">
        <v>0.764705882352941</v>
      </c>
    </row>
    <row r="140" customFormat="false" ht="14.25" hidden="false" customHeight="false" outlineLevel="0" collapsed="false">
      <c r="A140" s="250"/>
      <c r="B140" s="202" t="s">
        <v>192</v>
      </c>
      <c r="C140" s="251" t="n">
        <v>0.0336134453781513</v>
      </c>
      <c r="D140" s="251" t="n">
        <v>0.0672268907563025</v>
      </c>
      <c r="E140" s="251" t="n">
        <v>0.100840336134454</v>
      </c>
      <c r="F140" s="251" t="n">
        <v>0.134453781512605</v>
      </c>
      <c r="G140" s="251" t="n">
        <v>0.168067226890756</v>
      </c>
      <c r="H140" s="251" t="n">
        <v>0.201680672268908</v>
      </c>
      <c r="I140" s="223" t="n">
        <v>0.235294117647059</v>
      </c>
    </row>
    <row r="141" customFormat="false" ht="14.25" hidden="false" customHeight="false" outlineLevel="0" collapsed="false">
      <c r="A141" s="250"/>
      <c r="B141" s="202" t="s">
        <v>374</v>
      </c>
      <c r="C141" s="251" t="n">
        <v>0</v>
      </c>
      <c r="D141" s="251" t="n">
        <v>0</v>
      </c>
      <c r="E141" s="251" t="n">
        <v>0</v>
      </c>
      <c r="F141" s="251" t="n">
        <v>0</v>
      </c>
      <c r="G141" s="251" t="n">
        <v>0</v>
      </c>
      <c r="H141" s="251" t="n">
        <v>0</v>
      </c>
      <c r="I141" s="223" t="n">
        <v>0</v>
      </c>
    </row>
    <row r="142" customFormat="false" ht="14.25" hidden="false" customHeight="false" outlineLevel="0" collapsed="false">
      <c r="A142" s="250"/>
      <c r="B142" s="202" t="s">
        <v>574</v>
      </c>
      <c r="C142" s="251" t="n">
        <v>0</v>
      </c>
      <c r="D142" s="251" t="n">
        <v>0</v>
      </c>
      <c r="E142" s="251" t="n">
        <v>0</v>
      </c>
      <c r="F142" s="251" t="n">
        <v>0</v>
      </c>
      <c r="G142" s="251" t="n">
        <v>0</v>
      </c>
      <c r="H142" s="251" t="n">
        <v>0</v>
      </c>
      <c r="I142" s="223" t="n">
        <v>0</v>
      </c>
    </row>
    <row r="143" customFormat="false" ht="14.25" hidden="false" customHeight="false" outlineLevel="0" collapsed="false">
      <c r="A143" s="250" t="s">
        <v>565</v>
      </c>
      <c r="B143" s="202" t="s">
        <v>573</v>
      </c>
      <c r="C143" s="251" t="n">
        <v>0</v>
      </c>
      <c r="D143" s="251" t="n">
        <v>0</v>
      </c>
      <c r="E143" s="251" t="n">
        <v>0</v>
      </c>
      <c r="F143" s="251" t="n">
        <v>0</v>
      </c>
      <c r="G143" s="251" t="n">
        <v>0</v>
      </c>
      <c r="H143" s="251" t="n">
        <v>0</v>
      </c>
      <c r="I143" s="223" t="n">
        <v>0</v>
      </c>
    </row>
    <row r="144" customFormat="false" ht="14.25" hidden="false" customHeight="false" outlineLevel="0" collapsed="false">
      <c r="A144" s="250"/>
      <c r="B144" s="202" t="s">
        <v>192</v>
      </c>
      <c r="C144" s="251" t="n">
        <v>0</v>
      </c>
      <c r="D144" s="251" t="n">
        <v>0</v>
      </c>
      <c r="E144" s="251" t="n">
        <v>0</v>
      </c>
      <c r="F144" s="251" t="n">
        <v>0</v>
      </c>
      <c r="G144" s="251" t="n">
        <v>0</v>
      </c>
      <c r="H144" s="251" t="n">
        <v>0</v>
      </c>
      <c r="I144" s="223" t="n">
        <v>0</v>
      </c>
    </row>
    <row r="145" customFormat="false" ht="14.25" hidden="false" customHeight="false" outlineLevel="0" collapsed="false">
      <c r="A145" s="250"/>
      <c r="B145" s="202" t="s">
        <v>374</v>
      </c>
      <c r="C145" s="251" t="n">
        <v>0</v>
      </c>
      <c r="D145" s="251" t="n">
        <v>0</v>
      </c>
      <c r="E145" s="251" t="n">
        <v>0</v>
      </c>
      <c r="F145" s="251" t="n">
        <v>0</v>
      </c>
      <c r="G145" s="251" t="n">
        <v>0</v>
      </c>
      <c r="H145" s="251" t="n">
        <v>0</v>
      </c>
      <c r="I145" s="223" t="n">
        <v>0</v>
      </c>
    </row>
    <row r="146" customFormat="false" ht="14.25" hidden="false" customHeight="false" outlineLevel="0" collapsed="false">
      <c r="A146" s="250"/>
      <c r="B146" s="202" t="s">
        <v>574</v>
      </c>
      <c r="C146" s="251" t="n">
        <v>0</v>
      </c>
      <c r="D146" s="251" t="n">
        <v>0</v>
      </c>
      <c r="E146" s="251" t="n">
        <v>0</v>
      </c>
      <c r="F146" s="251" t="n">
        <v>0</v>
      </c>
      <c r="G146" s="251" t="n">
        <v>0</v>
      </c>
      <c r="H146" s="251" t="n">
        <v>0</v>
      </c>
      <c r="I146" s="223" t="n">
        <v>0</v>
      </c>
    </row>
    <row r="147" customFormat="false" ht="17.35" hidden="false" customHeight="false" outlineLevel="0" collapsed="false">
      <c r="A147" s="255" t="s">
        <v>575</v>
      </c>
      <c r="B147" s="255"/>
      <c r="C147" s="255"/>
      <c r="D147" s="255"/>
      <c r="E147" s="255"/>
      <c r="F147" s="255"/>
      <c r="G147" s="255"/>
      <c r="H147" s="255"/>
      <c r="I147" s="255"/>
    </row>
    <row r="148" customFormat="false" ht="14.25" hidden="false" customHeight="false" outlineLevel="0" collapsed="false">
      <c r="A148" s="208" t="s">
        <v>36</v>
      </c>
      <c r="B148" s="202" t="s">
        <v>36</v>
      </c>
      <c r="C148" s="203" t="n">
        <v>2020</v>
      </c>
      <c r="D148" s="203" t="n">
        <v>2025</v>
      </c>
      <c r="E148" s="203" t="n">
        <v>2030</v>
      </c>
      <c r="F148" s="203" t="n">
        <v>2035</v>
      </c>
      <c r="G148" s="203" t="n">
        <v>2040</v>
      </c>
      <c r="H148" s="203" t="n">
        <v>2045</v>
      </c>
      <c r="I148" s="204" t="n">
        <v>2050</v>
      </c>
    </row>
    <row r="149" customFormat="false" ht="14.25" hidden="false" customHeight="false" outlineLevel="0" collapsed="false">
      <c r="A149" s="250" t="s">
        <v>572</v>
      </c>
      <c r="B149" s="202" t="s">
        <v>573</v>
      </c>
      <c r="C149" s="251" t="n">
        <v>0.812328070617052</v>
      </c>
      <c r="D149" s="251" t="n">
        <v>0.690704484080468</v>
      </c>
      <c r="E149" s="251" t="n">
        <v>0.581219325384736</v>
      </c>
      <c r="F149" s="251" t="n">
        <v>0.47324615070277</v>
      </c>
      <c r="G149" s="251" t="n">
        <v>0.365272976020804</v>
      </c>
      <c r="H149" s="251" t="n">
        <v>0.257299801338838</v>
      </c>
      <c r="I149" s="223" t="n">
        <v>0.0473264628821185</v>
      </c>
    </row>
    <row r="150" customFormat="false" ht="14.25" hidden="false" customHeight="false" outlineLevel="0" collapsed="false">
      <c r="A150" s="250"/>
      <c r="B150" s="202" t="s">
        <v>192</v>
      </c>
      <c r="C150" s="251" t="n">
        <v>0.0505115435433495</v>
      </c>
      <c r="D150" s="251" t="n">
        <v>0.0639897564814042</v>
      </c>
      <c r="E150" s="251" t="n">
        <v>0.0782975707697648</v>
      </c>
      <c r="F150" s="251" t="n">
        <v>0.0938225342940677</v>
      </c>
      <c r="G150" s="251" t="n">
        <v>0.10934749781837</v>
      </c>
      <c r="H150" s="251" t="n">
        <v>0.124872461342673</v>
      </c>
      <c r="I150" s="223" t="n">
        <v>0.147110104070304</v>
      </c>
    </row>
    <row r="151" customFormat="false" ht="14.25" hidden="false" customHeight="false" outlineLevel="0" collapsed="false">
      <c r="A151" s="250"/>
      <c r="B151" s="202" t="s">
        <v>374</v>
      </c>
      <c r="C151" s="251" t="n">
        <v>0.133646787816532</v>
      </c>
      <c r="D151" s="251" t="n">
        <v>0.238252494368915</v>
      </c>
      <c r="E151" s="251" t="n">
        <v>0.329808059781831</v>
      </c>
      <c r="F151" s="251" t="n">
        <v>0.418734491739984</v>
      </c>
      <c r="G151" s="251" t="n">
        <v>0.507660923698136</v>
      </c>
      <c r="H151" s="251" t="n">
        <v>0.596587355656288</v>
      </c>
      <c r="I151" s="223" t="n">
        <v>0.780910978650999</v>
      </c>
    </row>
    <row r="152" customFormat="false" ht="14.25" hidden="false" customHeight="false" outlineLevel="0" collapsed="false">
      <c r="A152" s="250"/>
      <c r="B152" s="202" t="s">
        <v>574</v>
      </c>
      <c r="C152" s="251" t="n">
        <v>0.00351359802306619</v>
      </c>
      <c r="D152" s="251" t="n">
        <v>0.00705326506921272</v>
      </c>
      <c r="E152" s="251" t="n">
        <v>0.0106750440636676</v>
      </c>
      <c r="F152" s="251" t="n">
        <v>0.0141968232631788</v>
      </c>
      <c r="G152" s="251" t="n">
        <v>0.01771860246269</v>
      </c>
      <c r="H152" s="251" t="n">
        <v>0.0212403816622012</v>
      </c>
      <c r="I152" s="223" t="n">
        <v>0.0246524543965785</v>
      </c>
    </row>
    <row r="153" customFormat="false" ht="14.25" hidden="false" customHeight="false" outlineLevel="0" collapsed="false">
      <c r="A153" s="250" t="s">
        <v>564</v>
      </c>
      <c r="B153" s="202" t="s">
        <v>573</v>
      </c>
      <c r="C153" s="251" t="n">
        <v>0.966386554621849</v>
      </c>
      <c r="D153" s="251" t="n">
        <v>0.932773109243698</v>
      </c>
      <c r="E153" s="251" t="n">
        <v>0.899159663865546</v>
      </c>
      <c r="F153" s="251" t="n">
        <v>0.865546218487395</v>
      </c>
      <c r="G153" s="251" t="n">
        <v>0.831932773109244</v>
      </c>
      <c r="H153" s="251" t="n">
        <v>0.798319327731093</v>
      </c>
      <c r="I153" s="223" t="n">
        <v>0.764705882352941</v>
      </c>
    </row>
    <row r="154" customFormat="false" ht="14.25" hidden="false" customHeight="false" outlineLevel="0" collapsed="false">
      <c r="A154" s="250"/>
      <c r="B154" s="202" t="s">
        <v>192</v>
      </c>
      <c r="C154" s="251" t="n">
        <v>0.0336134453781513</v>
      </c>
      <c r="D154" s="251" t="n">
        <v>0.0672268907563025</v>
      </c>
      <c r="E154" s="251" t="n">
        <v>0.100840336134454</v>
      </c>
      <c r="F154" s="251" t="n">
        <v>0.134453781512605</v>
      </c>
      <c r="G154" s="251" t="n">
        <v>0.168067226890756</v>
      </c>
      <c r="H154" s="251" t="n">
        <v>0.201680672268908</v>
      </c>
      <c r="I154" s="223" t="n">
        <v>0.235294117647059</v>
      </c>
    </row>
    <row r="155" customFormat="false" ht="14.25" hidden="false" customHeight="false" outlineLevel="0" collapsed="false">
      <c r="A155" s="250"/>
      <c r="B155" s="202" t="s">
        <v>374</v>
      </c>
      <c r="C155" s="251" t="n">
        <v>0</v>
      </c>
      <c r="D155" s="251" t="n">
        <v>0</v>
      </c>
      <c r="E155" s="251" t="n">
        <v>0</v>
      </c>
      <c r="F155" s="251" t="n">
        <v>0</v>
      </c>
      <c r="G155" s="251" t="n">
        <v>0</v>
      </c>
      <c r="H155" s="251" t="n">
        <v>0</v>
      </c>
      <c r="I155" s="223" t="n">
        <v>0</v>
      </c>
    </row>
    <row r="156" customFormat="false" ht="14.25" hidden="false" customHeight="false" outlineLevel="0" collapsed="false">
      <c r="A156" s="250"/>
      <c r="B156" s="202" t="s">
        <v>574</v>
      </c>
      <c r="C156" s="251" t="n">
        <v>0</v>
      </c>
      <c r="D156" s="251" t="n">
        <v>0</v>
      </c>
      <c r="E156" s="251" t="n">
        <v>0</v>
      </c>
      <c r="F156" s="251" t="n">
        <v>0</v>
      </c>
      <c r="G156" s="251" t="n">
        <v>0</v>
      </c>
      <c r="H156" s="251" t="n">
        <v>0</v>
      </c>
      <c r="I156" s="223" t="n">
        <v>0</v>
      </c>
    </row>
    <row r="157" customFormat="false" ht="14.25" hidden="false" customHeight="false" outlineLevel="0" collapsed="false">
      <c r="A157" s="250" t="s">
        <v>565</v>
      </c>
      <c r="B157" s="202" t="s">
        <v>573</v>
      </c>
      <c r="C157" s="251" t="n">
        <v>0.997198879551821</v>
      </c>
      <c r="D157" s="251" t="n">
        <v>0.994397759103642</v>
      </c>
      <c r="E157" s="251" t="n">
        <v>0.991596638655462</v>
      </c>
      <c r="F157" s="251" t="n">
        <v>0.988795518207283</v>
      </c>
      <c r="G157" s="251" t="n">
        <v>0.985994397759104</v>
      </c>
      <c r="H157" s="251" t="n">
        <v>0.983193277310924</v>
      </c>
      <c r="I157" s="223" t="n">
        <v>0.980392156862745</v>
      </c>
    </row>
    <row r="158" customFormat="false" ht="14.25" hidden="false" customHeight="false" outlineLevel="0" collapsed="false">
      <c r="A158" s="250"/>
      <c r="B158" s="202" t="s">
        <v>192</v>
      </c>
      <c r="C158" s="251" t="n">
        <v>0</v>
      </c>
      <c r="D158" s="251" t="n">
        <v>0</v>
      </c>
      <c r="E158" s="251" t="n">
        <v>0</v>
      </c>
      <c r="F158" s="251" t="n">
        <v>0</v>
      </c>
      <c r="G158" s="251" t="n">
        <v>0</v>
      </c>
      <c r="H158" s="251" t="n">
        <v>0</v>
      </c>
      <c r="I158" s="223" t="n">
        <v>0</v>
      </c>
    </row>
    <row r="159" customFormat="false" ht="14.25" hidden="false" customHeight="false" outlineLevel="0" collapsed="false">
      <c r="A159" s="250"/>
      <c r="B159" s="202" t="s">
        <v>374</v>
      </c>
      <c r="C159" s="251" t="n">
        <v>0.00280112044817927</v>
      </c>
      <c r="D159" s="251" t="n">
        <v>0.00560224089635854</v>
      </c>
      <c r="E159" s="251" t="n">
        <v>0.00840336134453782</v>
      </c>
      <c r="F159" s="251" t="n">
        <v>0.0112044817927171</v>
      </c>
      <c r="G159" s="251" t="n">
        <v>0.0140056022408964</v>
      </c>
      <c r="H159" s="251" t="n">
        <v>0.0168067226890756</v>
      </c>
      <c r="I159" s="223" t="n">
        <v>0.0196078431372549</v>
      </c>
    </row>
    <row r="160" customFormat="false" ht="14.25" hidden="false" customHeight="false" outlineLevel="0" collapsed="false">
      <c r="A160" s="250"/>
      <c r="B160" s="202" t="s">
        <v>574</v>
      </c>
      <c r="C160" s="251" t="n">
        <v>0</v>
      </c>
      <c r="D160" s="251" t="n">
        <v>0</v>
      </c>
      <c r="E160" s="251" t="n">
        <v>0</v>
      </c>
      <c r="F160" s="251" t="n">
        <v>0</v>
      </c>
      <c r="G160" s="251" t="n">
        <v>0</v>
      </c>
      <c r="H160" s="251" t="n">
        <v>0</v>
      </c>
      <c r="I160" s="223" t="n">
        <v>0</v>
      </c>
    </row>
    <row r="161" customFormat="false" ht="14.25" hidden="false" customHeight="false" outlineLevel="0" collapsed="false">
      <c r="A161" s="201" t="s">
        <v>576</v>
      </c>
      <c r="B161" s="202" t="s">
        <v>573</v>
      </c>
      <c r="C161" s="251" t="n">
        <v>0.828710839598997</v>
      </c>
      <c r="D161" s="251" t="n">
        <v>0.696621510611267</v>
      </c>
      <c r="E161" s="251" t="n">
        <v>0.564597266908706</v>
      </c>
      <c r="F161" s="251" t="n">
        <v>0.4325196526178</v>
      </c>
      <c r="G161" s="251" t="n">
        <v>0.300442038326894</v>
      </c>
      <c r="H161" s="251" t="n">
        <v>0.168364424035988</v>
      </c>
      <c r="I161" s="223" t="n">
        <v>0.0362868097450825</v>
      </c>
    </row>
    <row r="162" customFormat="false" ht="14.25" hidden="false" customHeight="false" outlineLevel="0" collapsed="false">
      <c r="A162" s="201"/>
      <c r="B162" s="202" t="s">
        <v>192</v>
      </c>
      <c r="C162" s="251" t="n">
        <v>0.0569658521303258</v>
      </c>
      <c r="D162" s="251" t="n">
        <v>0.075022347727485</v>
      </c>
      <c r="E162" s="251" t="n">
        <v>0.0930658402211721</v>
      </c>
      <c r="F162" s="251" t="n">
        <v>0.111123391308862</v>
      </c>
      <c r="G162" s="251" t="n">
        <v>0.129180942396552</v>
      </c>
      <c r="H162" s="251" t="n">
        <v>0.147238493484242</v>
      </c>
      <c r="I162" s="223" t="n">
        <v>0.165296044571933</v>
      </c>
    </row>
    <row r="163" customFormat="false" ht="14.25" hidden="false" customHeight="false" outlineLevel="0" collapsed="false">
      <c r="A163" s="201"/>
      <c r="B163" s="202" t="s">
        <v>374</v>
      </c>
      <c r="C163" s="251" t="n">
        <v>0.111544486215539</v>
      </c>
      <c r="D163" s="251" t="n">
        <v>0.222798930718471</v>
      </c>
      <c r="E163" s="251" t="n">
        <v>0.334002638521957</v>
      </c>
      <c r="F163" s="251" t="n">
        <v>0.445244616942451</v>
      </c>
      <c r="G163" s="251" t="n">
        <v>0.556486595362946</v>
      </c>
      <c r="H163" s="251" t="n">
        <v>0.66772857378344</v>
      </c>
      <c r="I163" s="223" t="n">
        <v>0.778970552203934</v>
      </c>
    </row>
    <row r="164" customFormat="false" ht="14.25" hidden="false" customHeight="false" outlineLevel="0" collapsed="false">
      <c r="A164" s="201"/>
      <c r="B164" s="205" t="s">
        <v>574</v>
      </c>
      <c r="C164" s="206" t="n">
        <v>0.00277882205513784</v>
      </c>
      <c r="D164" s="206" t="n">
        <v>0.00555721094277666</v>
      </c>
      <c r="E164" s="206" t="n">
        <v>0.00833425434816467</v>
      </c>
      <c r="F164" s="206" t="n">
        <v>0.0111123391308862</v>
      </c>
      <c r="G164" s="206" t="n">
        <v>0.0138904239136078</v>
      </c>
      <c r="H164" s="206" t="n">
        <v>0.0166685086963293</v>
      </c>
      <c r="I164" s="207" t="n">
        <v>0.0194465934790509</v>
      </c>
    </row>
    <row r="165" customFormat="false" ht="14.25" hidden="false" customHeight="false" outlineLevel="0" collapsed="false">
      <c r="A165" s="256"/>
      <c r="B165" s="256"/>
      <c r="C165" s="256"/>
      <c r="D165" s="256"/>
      <c r="E165" s="256"/>
      <c r="F165" s="256"/>
      <c r="G165" s="256"/>
      <c r="H165" s="256"/>
      <c r="I165" s="256"/>
      <c r="J165" s="256"/>
      <c r="K165" s="256"/>
      <c r="L165" s="256"/>
      <c r="M165" s="256"/>
      <c r="N165" s="256"/>
      <c r="O165" s="256"/>
      <c r="P165" s="256"/>
      <c r="Q165" s="256"/>
      <c r="R165" s="256"/>
      <c r="S165" s="256"/>
      <c r="T165" s="256"/>
      <c r="U165" s="256"/>
      <c r="V165" s="256"/>
      <c r="W165" s="256"/>
      <c r="X165" s="256"/>
      <c r="Y165" s="256"/>
      <c r="Z165" s="256"/>
      <c r="AA165" s="256"/>
      <c r="AB165" s="256"/>
      <c r="AC165" s="256"/>
      <c r="AD165" s="256"/>
      <c r="AE165" s="256"/>
      <c r="AF165" s="256"/>
      <c r="AG165" s="256"/>
      <c r="AH165" s="256"/>
      <c r="AI165" s="256"/>
      <c r="AJ165" s="256"/>
      <c r="AK165" s="256"/>
      <c r="AL165" s="256"/>
      <c r="AM165" s="256"/>
      <c r="AN165" s="256"/>
      <c r="AO165" s="256"/>
      <c r="AP165" s="256"/>
      <c r="AQ165" s="256"/>
      <c r="AR165" s="256"/>
      <c r="AS165" s="256"/>
      <c r="AT165" s="256"/>
      <c r="AU165" s="256"/>
      <c r="AV165" s="256"/>
      <c r="AW165" s="256"/>
      <c r="AX165" s="256"/>
      <c r="AY165" s="256"/>
    </row>
    <row r="166" customFormat="false" ht="15" hidden="false" customHeight="true" outlineLevel="0" collapsed="false"/>
    <row r="167" customFormat="false" ht="21.75" hidden="false" customHeight="true" outlineLevel="0" collapsed="false">
      <c r="A167" s="199" t="s">
        <v>577</v>
      </c>
    </row>
    <row r="168" customFormat="false" ht="17.35" hidden="false" customHeight="false" outlineLevel="0" collapsed="false">
      <c r="A168" s="200" t="s">
        <v>317</v>
      </c>
      <c r="B168" s="200"/>
      <c r="C168" s="200"/>
      <c r="D168" s="200"/>
      <c r="E168" s="200"/>
    </row>
    <row r="169" customFormat="false" ht="85.5" hidden="false" customHeight="true" outlineLevel="0" collapsed="false">
      <c r="A169" s="257" t="s">
        <v>318</v>
      </c>
      <c r="B169" s="257"/>
      <c r="C169" s="257"/>
      <c r="D169" s="257"/>
      <c r="E169" s="257"/>
    </row>
    <row r="170" customFormat="false" ht="15" hidden="false" customHeight="true" outlineLevel="0" collapsed="false">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row>
    <row r="171" customFormat="false" ht="13.5" hidden="false" customHeight="true" outlineLevel="0" collapsed="false">
      <c r="A171" s="258" t="s">
        <v>319</v>
      </c>
      <c r="B171" s="259" t="s">
        <v>320</v>
      </c>
      <c r="C171" s="260" t="n">
        <v>3</v>
      </c>
      <c r="D171" s="78"/>
      <c r="F171" s="78"/>
      <c r="G171" s="78"/>
      <c r="H171" s="78"/>
      <c r="I171" s="78"/>
      <c r="J171" s="78"/>
      <c r="K171" s="149"/>
      <c r="L171" s="149"/>
      <c r="M171" s="78"/>
      <c r="N171" s="78"/>
    </row>
    <row r="172" customFormat="false" ht="14.25" hidden="false" customHeight="false" outlineLevel="0" collapsed="false">
      <c r="A172" s="258"/>
      <c r="B172" s="202" t="s">
        <v>321</v>
      </c>
      <c r="C172" s="260"/>
      <c r="D172" s="151"/>
      <c r="E172" s="151"/>
      <c r="F172" s="151"/>
      <c r="G172" s="151"/>
      <c r="H172" s="151"/>
      <c r="I172" s="151"/>
      <c r="J172" s="151"/>
      <c r="K172" s="151"/>
      <c r="L172" s="151"/>
      <c r="M172" s="151"/>
      <c r="N172" s="151"/>
    </row>
    <row r="173" customFormat="false" ht="28.5" hidden="false" customHeight="true" outlineLevel="0" collapsed="false">
      <c r="A173" s="258"/>
      <c r="B173" s="205" t="s">
        <v>322</v>
      </c>
      <c r="C173" s="260"/>
      <c r="D173" s="78"/>
      <c r="E173" s="78"/>
      <c r="F173" s="78"/>
      <c r="G173" s="78"/>
      <c r="H173" s="78"/>
      <c r="I173" s="78"/>
      <c r="J173" s="78"/>
      <c r="K173" s="78"/>
      <c r="L173" s="78"/>
      <c r="M173" s="78"/>
      <c r="N173" s="78"/>
    </row>
    <row r="175" customFormat="false" ht="15.75" hidden="false" customHeight="true" outlineLevel="0" collapsed="false">
      <c r="A175" s="200" t="s">
        <v>323</v>
      </c>
      <c r="B175" s="200"/>
      <c r="C175" s="200"/>
    </row>
    <row r="176" customFormat="false" ht="14.25" hidden="false" customHeight="false" outlineLevel="0" collapsed="false">
      <c r="A176" s="208" t="s">
        <v>324</v>
      </c>
      <c r="B176" s="202" t="s">
        <v>28</v>
      </c>
      <c r="C176" s="204" t="n">
        <v>0.3</v>
      </c>
    </row>
    <row r="177" customFormat="false" ht="31.3" hidden="false" customHeight="false" outlineLevel="0" collapsed="false">
      <c r="A177" s="261" t="s">
        <v>326</v>
      </c>
      <c r="B177" s="205" t="s">
        <v>327</v>
      </c>
      <c r="C177" s="246" t="n">
        <v>0.031</v>
      </c>
    </row>
    <row r="178" customFormat="false" ht="15.75" hidden="false" customHeight="true" outlineLevel="0" collapsed="false">
      <c r="A178" s="237" t="s">
        <v>578</v>
      </c>
      <c r="B178" s="237"/>
      <c r="C178" s="262" t="s">
        <v>576</v>
      </c>
      <c r="D178" s="262" t="s">
        <v>579</v>
      </c>
      <c r="E178" s="262" t="s">
        <v>362</v>
      </c>
      <c r="F178" s="262" t="s">
        <v>580</v>
      </c>
      <c r="G178" s="262" t="s">
        <v>581</v>
      </c>
      <c r="H178" s="262" t="s">
        <v>582</v>
      </c>
      <c r="I178" s="262" t="s">
        <v>583</v>
      </c>
      <c r="J178" s="262" t="s">
        <v>354</v>
      </c>
      <c r="K178" s="262" t="s">
        <v>584</v>
      </c>
      <c r="L178" s="262" t="s">
        <v>585</v>
      </c>
      <c r="M178" s="262" t="s">
        <v>586</v>
      </c>
      <c r="N178" s="262" t="s">
        <v>587</v>
      </c>
      <c r="O178" s="262" t="s">
        <v>588</v>
      </c>
      <c r="P178" s="262" t="s">
        <v>589</v>
      </c>
      <c r="Q178" s="263" t="s">
        <v>590</v>
      </c>
      <c r="R178" s="263" t="s">
        <v>338</v>
      </c>
      <c r="S178" s="263" t="s">
        <v>591</v>
      </c>
      <c r="T178" s="263" t="s">
        <v>592</v>
      </c>
      <c r="U178" s="263" t="s">
        <v>593</v>
      </c>
      <c r="V178" s="263" t="s">
        <v>594</v>
      </c>
      <c r="W178" s="263" t="s">
        <v>595</v>
      </c>
      <c r="X178" s="263" t="s">
        <v>596</v>
      </c>
      <c r="Y178" s="263" t="s">
        <v>597</v>
      </c>
      <c r="Z178" s="263" t="s">
        <v>598</v>
      </c>
      <c r="AA178" s="263" t="s">
        <v>599</v>
      </c>
      <c r="AB178" s="263" t="s">
        <v>351</v>
      </c>
      <c r="AC178" s="263" t="s">
        <v>361</v>
      </c>
      <c r="AD178" s="263" t="s">
        <v>600</v>
      </c>
    </row>
    <row r="179" customFormat="false" ht="14.25" hidden="false" customHeight="false" outlineLevel="0" collapsed="false">
      <c r="A179" s="264" t="s">
        <v>374</v>
      </c>
      <c r="B179" s="264"/>
      <c r="C179" s="265" t="n">
        <v>2030</v>
      </c>
      <c r="D179" s="265" t="n">
        <v>2030</v>
      </c>
      <c r="E179" s="265" t="n">
        <v>2030</v>
      </c>
      <c r="F179" s="265" t="n">
        <v>2030</v>
      </c>
      <c r="G179" s="265" t="n">
        <v>2030</v>
      </c>
      <c r="H179" s="265" t="n">
        <v>2030</v>
      </c>
      <c r="I179" s="265" t="n">
        <v>2030</v>
      </c>
      <c r="J179" s="265" t="n">
        <v>2030</v>
      </c>
      <c r="K179" s="265" t="n">
        <v>2030</v>
      </c>
      <c r="L179" s="265" t="n">
        <v>2030</v>
      </c>
      <c r="M179" s="265" t="n">
        <v>2030</v>
      </c>
      <c r="N179" s="265" t="n">
        <v>2030</v>
      </c>
      <c r="O179" s="265" t="n">
        <v>2030</v>
      </c>
      <c r="P179" s="265" t="n">
        <v>2030</v>
      </c>
      <c r="Q179" s="266" t="n">
        <v>2030</v>
      </c>
      <c r="R179" s="266" t="n">
        <v>2030</v>
      </c>
      <c r="S179" s="266" t="n">
        <v>2030</v>
      </c>
      <c r="T179" s="266" t="n">
        <v>2030</v>
      </c>
      <c r="U179" s="266" t="n">
        <v>2030</v>
      </c>
      <c r="V179" s="266" t="n">
        <v>2030</v>
      </c>
      <c r="W179" s="266" t="n">
        <v>2030</v>
      </c>
      <c r="X179" s="266" t="n">
        <v>2030</v>
      </c>
      <c r="Y179" s="266" t="n">
        <v>2030</v>
      </c>
      <c r="Z179" s="266" t="n">
        <v>2030</v>
      </c>
      <c r="AA179" s="266" t="n">
        <v>2030</v>
      </c>
      <c r="AB179" s="266" t="n">
        <v>2030</v>
      </c>
      <c r="AC179" s="266" t="n">
        <v>2030</v>
      </c>
      <c r="AD179" s="266" t="n">
        <v>2030</v>
      </c>
    </row>
    <row r="180" customFormat="false" ht="14.25" hidden="false" customHeight="false" outlineLevel="0" collapsed="false">
      <c r="A180" s="264" t="s">
        <v>375</v>
      </c>
      <c r="B180" s="264"/>
      <c r="C180" s="265" t="n">
        <v>2030</v>
      </c>
      <c r="D180" s="265" t="n">
        <v>2030</v>
      </c>
      <c r="E180" s="265" t="n">
        <v>2030</v>
      </c>
      <c r="F180" s="265" t="n">
        <v>2030</v>
      </c>
      <c r="G180" s="265" t="n">
        <v>2030</v>
      </c>
      <c r="H180" s="265" t="n">
        <v>2030</v>
      </c>
      <c r="I180" s="265" t="n">
        <v>2030</v>
      </c>
      <c r="J180" s="265" t="n">
        <v>2030</v>
      </c>
      <c r="K180" s="265" t="n">
        <v>2030</v>
      </c>
      <c r="L180" s="265" t="n">
        <v>2030</v>
      </c>
      <c r="M180" s="265" t="n">
        <v>2030</v>
      </c>
      <c r="N180" s="265" t="n">
        <v>2030</v>
      </c>
      <c r="O180" s="265" t="n">
        <v>2030</v>
      </c>
      <c r="P180" s="265" t="n">
        <v>2030</v>
      </c>
      <c r="Q180" s="266" t="n">
        <v>2030</v>
      </c>
      <c r="R180" s="266" t="n">
        <v>2030</v>
      </c>
      <c r="S180" s="266" t="n">
        <v>2030</v>
      </c>
      <c r="T180" s="266" t="n">
        <v>2030</v>
      </c>
      <c r="U180" s="266" t="n">
        <v>2030</v>
      </c>
      <c r="V180" s="266" t="n">
        <v>2030</v>
      </c>
      <c r="W180" s="266" t="n">
        <v>2030</v>
      </c>
      <c r="X180" s="266" t="n">
        <v>2030</v>
      </c>
      <c r="Y180" s="266" t="n">
        <v>2030</v>
      </c>
      <c r="Z180" s="266" t="n">
        <v>2030</v>
      </c>
      <c r="AA180" s="266" t="n">
        <v>2030</v>
      </c>
      <c r="AB180" s="266" t="n">
        <v>2030</v>
      </c>
      <c r="AC180" s="266" t="n">
        <v>2030</v>
      </c>
      <c r="AD180" s="266" t="n">
        <v>2030</v>
      </c>
    </row>
    <row r="181" customFormat="false" ht="14.25" hidden="false" customHeight="false" outlineLevel="0" collapsed="false">
      <c r="A181" s="264" t="s">
        <v>376</v>
      </c>
      <c r="B181" s="264"/>
      <c r="C181" s="265" t="n">
        <v>2030</v>
      </c>
      <c r="D181" s="265" t="n">
        <v>2030</v>
      </c>
      <c r="E181" s="265" t="n">
        <v>2030</v>
      </c>
      <c r="F181" s="265" t="n">
        <v>2030</v>
      </c>
      <c r="G181" s="265" t="n">
        <v>2030</v>
      </c>
      <c r="H181" s="265" t="n">
        <v>2030</v>
      </c>
      <c r="I181" s="265" t="n">
        <v>2030</v>
      </c>
      <c r="J181" s="265" t="n">
        <v>2030</v>
      </c>
      <c r="K181" s="265" t="n">
        <v>2030</v>
      </c>
      <c r="L181" s="265" t="n">
        <v>2030</v>
      </c>
      <c r="M181" s="265" t="n">
        <v>2030</v>
      </c>
      <c r="N181" s="265" t="n">
        <v>2030</v>
      </c>
      <c r="O181" s="265" t="n">
        <v>2030</v>
      </c>
      <c r="P181" s="265" t="n">
        <v>2030</v>
      </c>
      <c r="Q181" s="266" t="n">
        <v>2030</v>
      </c>
      <c r="R181" s="266" t="n">
        <v>2030</v>
      </c>
      <c r="S181" s="266" t="n">
        <v>2030</v>
      </c>
      <c r="T181" s="266" t="n">
        <v>2030</v>
      </c>
      <c r="U181" s="266" t="n">
        <v>2030</v>
      </c>
      <c r="V181" s="266" t="n">
        <v>2030</v>
      </c>
      <c r="W181" s="266" t="n">
        <v>2030</v>
      </c>
      <c r="X181" s="266" t="n">
        <v>2030</v>
      </c>
      <c r="Y181" s="266" t="n">
        <v>2030</v>
      </c>
      <c r="Z181" s="266" t="n">
        <v>2030</v>
      </c>
      <c r="AA181" s="266" t="n">
        <v>2030</v>
      </c>
      <c r="AB181" s="266" t="n">
        <v>2030</v>
      </c>
      <c r="AC181" s="266" t="n">
        <v>2030</v>
      </c>
      <c r="AD181" s="266" t="n">
        <v>2030</v>
      </c>
    </row>
    <row r="182" customFormat="false" ht="14.25" hidden="false" customHeight="false" outlineLevel="0" collapsed="false">
      <c r="A182" s="264" t="s">
        <v>377</v>
      </c>
      <c r="B182" s="264"/>
      <c r="C182" s="265" t="n">
        <v>2030</v>
      </c>
      <c r="D182" s="265" t="n">
        <v>2030</v>
      </c>
      <c r="E182" s="265" t="n">
        <v>2030</v>
      </c>
      <c r="F182" s="265" t="n">
        <v>2030</v>
      </c>
      <c r="G182" s="265" t="n">
        <v>2030</v>
      </c>
      <c r="H182" s="265" t="n">
        <v>2030</v>
      </c>
      <c r="I182" s="265" t="n">
        <v>2030</v>
      </c>
      <c r="J182" s="265" t="n">
        <v>2030</v>
      </c>
      <c r="K182" s="265" t="n">
        <v>2030</v>
      </c>
      <c r="L182" s="265" t="n">
        <v>2030</v>
      </c>
      <c r="M182" s="265" t="n">
        <v>2030</v>
      </c>
      <c r="N182" s="265" t="n">
        <v>2030</v>
      </c>
      <c r="O182" s="265" t="n">
        <v>2030</v>
      </c>
      <c r="P182" s="265" t="n">
        <v>2030</v>
      </c>
      <c r="Q182" s="266" t="n">
        <v>2030</v>
      </c>
      <c r="R182" s="266" t="n">
        <v>2030</v>
      </c>
      <c r="S182" s="266" t="n">
        <v>2030</v>
      </c>
      <c r="T182" s="266" t="n">
        <v>2030</v>
      </c>
      <c r="U182" s="266" t="n">
        <v>2030</v>
      </c>
      <c r="V182" s="266" t="n">
        <v>2030</v>
      </c>
      <c r="W182" s="266" t="n">
        <v>2030</v>
      </c>
      <c r="X182" s="266" t="n">
        <v>2030</v>
      </c>
      <c r="Y182" s="266" t="n">
        <v>2030</v>
      </c>
      <c r="Z182" s="266" t="n">
        <v>2030</v>
      </c>
      <c r="AA182" s="266" t="n">
        <v>2030</v>
      </c>
      <c r="AB182" s="266" t="n">
        <v>2030</v>
      </c>
      <c r="AC182" s="266" t="n">
        <v>2030</v>
      </c>
      <c r="AD182" s="266" t="n">
        <v>2030</v>
      </c>
    </row>
    <row r="183" customFormat="false" ht="14.25" hidden="false" customHeight="false" outlineLevel="0" collapsed="false">
      <c r="A183" s="264" t="s">
        <v>378</v>
      </c>
      <c r="B183" s="264"/>
      <c r="C183" s="265" t="n">
        <v>2030</v>
      </c>
      <c r="D183" s="265" t="n">
        <v>2030</v>
      </c>
      <c r="E183" s="265" t="n">
        <v>2030</v>
      </c>
      <c r="F183" s="265" t="n">
        <v>2030</v>
      </c>
      <c r="G183" s="265" t="n">
        <v>2030</v>
      </c>
      <c r="H183" s="265" t="n">
        <v>2030</v>
      </c>
      <c r="I183" s="265" t="n">
        <v>2030</v>
      </c>
      <c r="J183" s="265" t="n">
        <v>2030</v>
      </c>
      <c r="K183" s="265" t="n">
        <v>2030</v>
      </c>
      <c r="L183" s="265" t="n">
        <v>2030</v>
      </c>
      <c r="M183" s="265" t="n">
        <v>2030</v>
      </c>
      <c r="N183" s="265" t="n">
        <v>2030</v>
      </c>
      <c r="O183" s="265" t="n">
        <v>2030</v>
      </c>
      <c r="P183" s="265" t="n">
        <v>2030</v>
      </c>
      <c r="Q183" s="266" t="n">
        <v>2030</v>
      </c>
      <c r="R183" s="266" t="n">
        <v>2030</v>
      </c>
      <c r="S183" s="266" t="n">
        <v>2030</v>
      </c>
      <c r="T183" s="266" t="n">
        <v>2030</v>
      </c>
      <c r="U183" s="266" t="n">
        <v>2030</v>
      </c>
      <c r="V183" s="266" t="n">
        <v>2030</v>
      </c>
      <c r="W183" s="266" t="n">
        <v>2030</v>
      </c>
      <c r="X183" s="266" t="n">
        <v>2030</v>
      </c>
      <c r="Y183" s="266" t="n">
        <v>2030</v>
      </c>
      <c r="Z183" s="266" t="n">
        <v>2030</v>
      </c>
      <c r="AA183" s="266" t="n">
        <v>2030</v>
      </c>
      <c r="AB183" s="266" t="n">
        <v>2030</v>
      </c>
      <c r="AC183" s="266" t="n">
        <v>2030</v>
      </c>
      <c r="AD183" s="266" t="n">
        <v>2030</v>
      </c>
    </row>
    <row r="184" customFormat="false" ht="15.75" hidden="false" customHeight="true" outlineLevel="0" collapsed="false">
      <c r="A184" s="200" t="s">
        <v>601</v>
      </c>
      <c r="B184" s="200"/>
      <c r="C184" s="200"/>
      <c r="D184" s="200"/>
      <c r="E184" s="200"/>
      <c r="F184" s="200"/>
      <c r="G184" s="200"/>
      <c r="H184" s="200"/>
      <c r="I184" s="200"/>
      <c r="J184" s="200"/>
      <c r="K184" s="200"/>
      <c r="L184" s="200"/>
      <c r="M184" s="200"/>
      <c r="N184" s="200"/>
      <c r="O184" s="200"/>
      <c r="P184" s="200"/>
      <c r="Q184" s="200"/>
    </row>
    <row r="185" customFormat="false" ht="14.25" hidden="false" customHeight="false" outlineLevel="0" collapsed="false">
      <c r="A185" s="264" t="s">
        <v>374</v>
      </c>
      <c r="B185" s="264"/>
      <c r="C185" s="265" t="n">
        <v>1</v>
      </c>
      <c r="D185" s="265" t="n">
        <v>1</v>
      </c>
      <c r="E185" s="265" t="n">
        <v>1</v>
      </c>
      <c r="F185" s="265" t="n">
        <v>1</v>
      </c>
      <c r="G185" s="265" t="n">
        <v>1</v>
      </c>
      <c r="H185" s="265" t="n">
        <v>1</v>
      </c>
      <c r="I185" s="265" t="n">
        <v>1</v>
      </c>
      <c r="J185" s="265" t="n">
        <v>1</v>
      </c>
      <c r="K185" s="265" t="n">
        <v>1</v>
      </c>
      <c r="L185" s="265" t="n">
        <v>1</v>
      </c>
      <c r="M185" s="265" t="n">
        <v>1</v>
      </c>
      <c r="N185" s="265" t="n">
        <v>1</v>
      </c>
      <c r="O185" s="265" t="n">
        <v>1</v>
      </c>
      <c r="P185" s="265" t="n">
        <v>1</v>
      </c>
      <c r="Q185" s="266" t="n">
        <v>1</v>
      </c>
      <c r="R185" s="266" t="n">
        <v>1</v>
      </c>
      <c r="S185" s="266" t="n">
        <v>1</v>
      </c>
      <c r="T185" s="266" t="n">
        <v>1</v>
      </c>
      <c r="U185" s="266" t="n">
        <v>1</v>
      </c>
      <c r="V185" s="266" t="n">
        <v>1</v>
      </c>
      <c r="W185" s="266" t="n">
        <v>1</v>
      </c>
      <c r="X185" s="266" t="n">
        <v>1</v>
      </c>
      <c r="Y185" s="266" t="n">
        <v>1</v>
      </c>
      <c r="Z185" s="266" t="n">
        <v>1</v>
      </c>
      <c r="AA185" s="266" t="n">
        <v>1</v>
      </c>
      <c r="AB185" s="266" t="n">
        <v>1</v>
      </c>
      <c r="AC185" s="266" t="n">
        <v>1</v>
      </c>
      <c r="AD185" s="266" t="n">
        <v>1</v>
      </c>
    </row>
    <row r="186" customFormat="false" ht="14.25" hidden="false" customHeight="false" outlineLevel="0" collapsed="false">
      <c r="A186" s="264" t="s">
        <v>375</v>
      </c>
      <c r="B186" s="264"/>
      <c r="C186" s="265" t="n">
        <v>1</v>
      </c>
      <c r="D186" s="265" t="n">
        <v>1</v>
      </c>
      <c r="E186" s="265" t="n">
        <v>1</v>
      </c>
      <c r="F186" s="265" t="n">
        <v>1</v>
      </c>
      <c r="G186" s="265" t="n">
        <v>1</v>
      </c>
      <c r="H186" s="265" t="n">
        <v>1</v>
      </c>
      <c r="I186" s="265" t="n">
        <v>1</v>
      </c>
      <c r="J186" s="265" t="n">
        <v>1</v>
      </c>
      <c r="K186" s="265" t="n">
        <v>1</v>
      </c>
      <c r="L186" s="265" t="n">
        <v>1</v>
      </c>
      <c r="M186" s="265" t="n">
        <v>1</v>
      </c>
      <c r="N186" s="265" t="n">
        <v>1</v>
      </c>
      <c r="O186" s="265" t="n">
        <v>1</v>
      </c>
      <c r="P186" s="265" t="n">
        <v>1</v>
      </c>
      <c r="Q186" s="266" t="n">
        <v>1</v>
      </c>
      <c r="R186" s="266" t="n">
        <v>1</v>
      </c>
      <c r="S186" s="266" t="n">
        <v>1</v>
      </c>
      <c r="T186" s="266" t="n">
        <v>1</v>
      </c>
      <c r="U186" s="266" t="n">
        <v>1</v>
      </c>
      <c r="V186" s="266" t="n">
        <v>1</v>
      </c>
      <c r="W186" s="266" t="n">
        <v>1</v>
      </c>
      <c r="X186" s="266" t="n">
        <v>1</v>
      </c>
      <c r="Y186" s="266" t="n">
        <v>1</v>
      </c>
      <c r="Z186" s="266" t="n">
        <v>1</v>
      </c>
      <c r="AA186" s="266" t="n">
        <v>1</v>
      </c>
      <c r="AB186" s="266" t="n">
        <v>1</v>
      </c>
      <c r="AC186" s="266" t="n">
        <v>1</v>
      </c>
      <c r="AD186" s="266" t="n">
        <v>1</v>
      </c>
    </row>
    <row r="187" customFormat="false" ht="14.25" hidden="false" customHeight="false" outlineLevel="0" collapsed="false">
      <c r="A187" s="264" t="s">
        <v>376</v>
      </c>
      <c r="B187" s="264"/>
      <c r="C187" s="265" t="n">
        <v>1</v>
      </c>
      <c r="D187" s="265" t="n">
        <v>1</v>
      </c>
      <c r="E187" s="265" t="n">
        <v>1</v>
      </c>
      <c r="F187" s="265" t="n">
        <v>1</v>
      </c>
      <c r="G187" s="265" t="n">
        <v>1</v>
      </c>
      <c r="H187" s="265" t="n">
        <v>1</v>
      </c>
      <c r="I187" s="265" t="n">
        <v>1</v>
      </c>
      <c r="J187" s="265" t="n">
        <v>1</v>
      </c>
      <c r="K187" s="265" t="n">
        <v>1</v>
      </c>
      <c r="L187" s="265" t="n">
        <v>1</v>
      </c>
      <c r="M187" s="265" t="n">
        <v>1</v>
      </c>
      <c r="N187" s="265" t="n">
        <v>1</v>
      </c>
      <c r="O187" s="265" t="n">
        <v>1</v>
      </c>
      <c r="P187" s="265" t="n">
        <v>1</v>
      </c>
      <c r="Q187" s="266" t="n">
        <v>1</v>
      </c>
      <c r="R187" s="266" t="n">
        <v>1</v>
      </c>
      <c r="S187" s="266" t="n">
        <v>1</v>
      </c>
      <c r="T187" s="266" t="n">
        <v>1</v>
      </c>
      <c r="U187" s="266" t="n">
        <v>1</v>
      </c>
      <c r="V187" s="266" t="n">
        <v>1</v>
      </c>
      <c r="W187" s="266" t="n">
        <v>1</v>
      </c>
      <c r="X187" s="266" t="n">
        <v>1</v>
      </c>
      <c r="Y187" s="266" t="n">
        <v>1</v>
      </c>
      <c r="Z187" s="266" t="n">
        <v>1</v>
      </c>
      <c r="AA187" s="266" t="n">
        <v>1</v>
      </c>
      <c r="AB187" s="266" t="n">
        <v>1</v>
      </c>
      <c r="AC187" s="266" t="n">
        <v>1</v>
      </c>
      <c r="AD187" s="266" t="n">
        <v>1</v>
      </c>
    </row>
    <row r="188" customFormat="false" ht="14.25" hidden="false" customHeight="false" outlineLevel="0" collapsed="false">
      <c r="A188" s="264" t="s">
        <v>377</v>
      </c>
      <c r="B188" s="264"/>
      <c r="C188" s="265" t="n">
        <v>1</v>
      </c>
      <c r="D188" s="265" t="n">
        <v>1</v>
      </c>
      <c r="E188" s="265" t="n">
        <v>1</v>
      </c>
      <c r="F188" s="265" t="n">
        <v>1</v>
      </c>
      <c r="G188" s="265" t="n">
        <v>1</v>
      </c>
      <c r="H188" s="265" t="n">
        <v>1</v>
      </c>
      <c r="I188" s="265" t="n">
        <v>1</v>
      </c>
      <c r="J188" s="265" t="n">
        <v>1</v>
      </c>
      <c r="K188" s="265" t="n">
        <v>1</v>
      </c>
      <c r="L188" s="265" t="n">
        <v>1</v>
      </c>
      <c r="M188" s="265" t="n">
        <v>1</v>
      </c>
      <c r="N188" s="265" t="n">
        <v>1</v>
      </c>
      <c r="O188" s="265" t="n">
        <v>1</v>
      </c>
      <c r="P188" s="265" t="n">
        <v>1</v>
      </c>
      <c r="Q188" s="266" t="n">
        <v>1</v>
      </c>
      <c r="R188" s="266" t="n">
        <v>1</v>
      </c>
      <c r="S188" s="266" t="n">
        <v>1</v>
      </c>
      <c r="T188" s="266" t="n">
        <v>1</v>
      </c>
      <c r="U188" s="266" t="n">
        <v>1</v>
      </c>
      <c r="V188" s="266" t="n">
        <v>1</v>
      </c>
      <c r="W188" s="266" t="n">
        <v>1</v>
      </c>
      <c r="X188" s="266" t="n">
        <v>1</v>
      </c>
      <c r="Y188" s="266" t="n">
        <v>1</v>
      </c>
      <c r="Z188" s="266" t="n">
        <v>1</v>
      </c>
      <c r="AA188" s="266" t="n">
        <v>1</v>
      </c>
      <c r="AB188" s="266" t="n">
        <v>1</v>
      </c>
      <c r="AC188" s="266" t="n">
        <v>1</v>
      </c>
      <c r="AD188" s="266" t="n">
        <v>1</v>
      </c>
    </row>
    <row r="189" customFormat="false" ht="14.25" hidden="false" customHeight="false" outlineLevel="0" collapsed="false">
      <c r="A189" s="264" t="s">
        <v>378</v>
      </c>
      <c r="B189" s="264"/>
      <c r="C189" s="265" t="n">
        <v>1</v>
      </c>
      <c r="D189" s="265" t="n">
        <v>1</v>
      </c>
      <c r="E189" s="265" t="n">
        <v>1</v>
      </c>
      <c r="F189" s="265" t="n">
        <v>1</v>
      </c>
      <c r="G189" s="265" t="n">
        <v>1</v>
      </c>
      <c r="H189" s="265" t="n">
        <v>1</v>
      </c>
      <c r="I189" s="265" t="n">
        <v>1</v>
      </c>
      <c r="J189" s="265" t="n">
        <v>1</v>
      </c>
      <c r="K189" s="265" t="n">
        <v>1</v>
      </c>
      <c r="L189" s="265" t="n">
        <v>1</v>
      </c>
      <c r="M189" s="265" t="n">
        <v>1</v>
      </c>
      <c r="N189" s="265" t="n">
        <v>1</v>
      </c>
      <c r="O189" s="265" t="n">
        <v>1</v>
      </c>
      <c r="P189" s="265" t="n">
        <v>1</v>
      </c>
      <c r="Q189" s="266" t="n">
        <v>1</v>
      </c>
      <c r="R189" s="266" t="n">
        <v>1</v>
      </c>
      <c r="S189" s="266" t="n">
        <v>1</v>
      </c>
      <c r="T189" s="266" t="n">
        <v>1</v>
      </c>
      <c r="U189" s="266" t="n">
        <v>1</v>
      </c>
      <c r="V189" s="266" t="n">
        <v>1</v>
      </c>
      <c r="W189" s="266" t="n">
        <v>1</v>
      </c>
      <c r="X189" s="266" t="n">
        <v>1</v>
      </c>
      <c r="Y189" s="266" t="n">
        <v>1</v>
      </c>
      <c r="Z189" s="266" t="n">
        <v>1</v>
      </c>
      <c r="AA189" s="266" t="n">
        <v>1</v>
      </c>
      <c r="AB189" s="266" t="n">
        <v>1</v>
      </c>
      <c r="AC189" s="266" t="n">
        <v>1</v>
      </c>
      <c r="AD189" s="266" t="n">
        <v>1</v>
      </c>
    </row>
    <row r="190" customFormat="false" ht="15.75" hidden="false" customHeight="true" outlineLevel="0" collapsed="false">
      <c r="A190" s="200" t="s">
        <v>602</v>
      </c>
      <c r="B190" s="200"/>
      <c r="C190" s="200"/>
      <c r="D190" s="200"/>
      <c r="E190" s="200"/>
      <c r="F190" s="200"/>
      <c r="G190" s="200"/>
      <c r="H190" s="200"/>
      <c r="I190" s="200"/>
      <c r="J190" s="200"/>
      <c r="K190" s="200"/>
      <c r="L190" s="200"/>
      <c r="M190" s="200"/>
      <c r="N190" s="200"/>
      <c r="O190" s="200"/>
      <c r="P190" s="200"/>
      <c r="Q190" s="200"/>
    </row>
    <row r="191" customFormat="false" ht="14.25" hidden="false" customHeight="false" outlineLevel="0" collapsed="false">
      <c r="A191" s="264" t="s">
        <v>374</v>
      </c>
      <c r="B191" s="264"/>
      <c r="C191" s="265" t="n">
        <v>2040</v>
      </c>
      <c r="D191" s="265" t="n">
        <v>2040</v>
      </c>
      <c r="E191" s="265" t="n">
        <v>2040</v>
      </c>
      <c r="F191" s="265" t="n">
        <v>2040</v>
      </c>
      <c r="G191" s="265" t="n">
        <v>2040</v>
      </c>
      <c r="H191" s="265" t="n">
        <v>2040</v>
      </c>
      <c r="I191" s="265" t="n">
        <v>2040</v>
      </c>
      <c r="J191" s="265" t="n">
        <v>2040</v>
      </c>
      <c r="K191" s="265" t="n">
        <v>2040</v>
      </c>
      <c r="L191" s="265" t="n">
        <v>2040</v>
      </c>
      <c r="M191" s="265" t="n">
        <v>2040</v>
      </c>
      <c r="N191" s="265" t="n">
        <v>2040</v>
      </c>
      <c r="O191" s="265" t="n">
        <v>2040</v>
      </c>
      <c r="P191" s="265" t="n">
        <v>2040</v>
      </c>
      <c r="Q191" s="265" t="n">
        <v>2040</v>
      </c>
      <c r="R191" s="265" t="n">
        <v>2040</v>
      </c>
      <c r="S191" s="265" t="n">
        <v>2040</v>
      </c>
      <c r="T191" s="265" t="n">
        <v>2040</v>
      </c>
      <c r="U191" s="265" t="n">
        <v>2040</v>
      </c>
      <c r="V191" s="265" t="n">
        <v>2040</v>
      </c>
      <c r="W191" s="265" t="n">
        <v>2040</v>
      </c>
      <c r="X191" s="265" t="n">
        <v>2040</v>
      </c>
      <c r="Y191" s="265" t="n">
        <v>2040</v>
      </c>
      <c r="Z191" s="265" t="n">
        <v>2040</v>
      </c>
      <c r="AA191" s="265" t="n">
        <v>2040</v>
      </c>
      <c r="AB191" s="265" t="n">
        <v>2040</v>
      </c>
      <c r="AC191" s="265" t="n">
        <v>2040</v>
      </c>
      <c r="AD191" s="265" t="n">
        <v>2040</v>
      </c>
    </row>
    <row r="192" customFormat="false" ht="14.25" hidden="false" customHeight="false" outlineLevel="0" collapsed="false">
      <c r="A192" s="264" t="s">
        <v>375</v>
      </c>
      <c r="B192" s="264"/>
      <c r="C192" s="265" t="n">
        <v>2040</v>
      </c>
      <c r="D192" s="265" t="n">
        <v>2040</v>
      </c>
      <c r="E192" s="265" t="n">
        <v>2040</v>
      </c>
      <c r="F192" s="265" t="n">
        <v>2040</v>
      </c>
      <c r="G192" s="265" t="n">
        <v>2040</v>
      </c>
      <c r="H192" s="265" t="n">
        <v>2040</v>
      </c>
      <c r="I192" s="265" t="n">
        <v>2040</v>
      </c>
      <c r="J192" s="265" t="n">
        <v>2040</v>
      </c>
      <c r="K192" s="265" t="n">
        <v>2040</v>
      </c>
      <c r="L192" s="265" t="n">
        <v>2040</v>
      </c>
      <c r="M192" s="265" t="n">
        <v>2040</v>
      </c>
      <c r="N192" s="265" t="n">
        <v>2040</v>
      </c>
      <c r="O192" s="265" t="n">
        <v>2040</v>
      </c>
      <c r="P192" s="265" t="n">
        <v>2040</v>
      </c>
      <c r="Q192" s="265" t="n">
        <v>2040</v>
      </c>
      <c r="R192" s="265" t="n">
        <v>2040</v>
      </c>
      <c r="S192" s="265" t="n">
        <v>2040</v>
      </c>
      <c r="T192" s="265" t="n">
        <v>2040</v>
      </c>
      <c r="U192" s="265" t="n">
        <v>2040</v>
      </c>
      <c r="V192" s="265" t="n">
        <v>2040</v>
      </c>
      <c r="W192" s="265" t="n">
        <v>2040</v>
      </c>
      <c r="X192" s="265" t="n">
        <v>2040</v>
      </c>
      <c r="Y192" s="265" t="n">
        <v>2040</v>
      </c>
      <c r="Z192" s="265" t="n">
        <v>2040</v>
      </c>
      <c r="AA192" s="265" t="n">
        <v>2040</v>
      </c>
      <c r="AB192" s="265" t="n">
        <v>2040</v>
      </c>
      <c r="AC192" s="265" t="n">
        <v>2040</v>
      </c>
      <c r="AD192" s="265" t="n">
        <v>2040</v>
      </c>
    </row>
    <row r="193" customFormat="false" ht="14.25" hidden="false" customHeight="false" outlineLevel="0" collapsed="false">
      <c r="A193" s="264" t="s">
        <v>376</v>
      </c>
      <c r="B193" s="264"/>
      <c r="C193" s="265" t="n">
        <v>2040</v>
      </c>
      <c r="D193" s="265" t="n">
        <v>2040</v>
      </c>
      <c r="E193" s="265" t="n">
        <v>2040</v>
      </c>
      <c r="F193" s="265" t="n">
        <v>2040</v>
      </c>
      <c r="G193" s="265" t="n">
        <v>2040</v>
      </c>
      <c r="H193" s="265" t="n">
        <v>2040</v>
      </c>
      <c r="I193" s="265" t="n">
        <v>2040</v>
      </c>
      <c r="J193" s="265" t="n">
        <v>2040</v>
      </c>
      <c r="K193" s="265" t="n">
        <v>2040</v>
      </c>
      <c r="L193" s="265" t="n">
        <v>2040</v>
      </c>
      <c r="M193" s="265" t="n">
        <v>2040</v>
      </c>
      <c r="N193" s="265" t="n">
        <v>2040</v>
      </c>
      <c r="O193" s="265" t="n">
        <v>2040</v>
      </c>
      <c r="P193" s="265" t="n">
        <v>2040</v>
      </c>
      <c r="Q193" s="265" t="n">
        <v>2040</v>
      </c>
      <c r="R193" s="265" t="n">
        <v>2040</v>
      </c>
      <c r="S193" s="265" t="n">
        <v>2040</v>
      </c>
      <c r="T193" s="265" t="n">
        <v>2040</v>
      </c>
      <c r="U193" s="265" t="n">
        <v>2040</v>
      </c>
      <c r="V193" s="265" t="n">
        <v>2040</v>
      </c>
      <c r="W193" s="265" t="n">
        <v>2040</v>
      </c>
      <c r="X193" s="265" t="n">
        <v>2040</v>
      </c>
      <c r="Y193" s="265" t="n">
        <v>2040</v>
      </c>
      <c r="Z193" s="265" t="n">
        <v>2040</v>
      </c>
      <c r="AA193" s="265" t="n">
        <v>2040</v>
      </c>
      <c r="AB193" s="265" t="n">
        <v>2040</v>
      </c>
      <c r="AC193" s="265" t="n">
        <v>2040</v>
      </c>
      <c r="AD193" s="265" t="n">
        <v>2040</v>
      </c>
    </row>
    <row r="194" customFormat="false" ht="14.25" hidden="false" customHeight="false" outlineLevel="0" collapsed="false">
      <c r="A194" s="264" t="s">
        <v>377</v>
      </c>
      <c r="B194" s="264"/>
      <c r="C194" s="265" t="n">
        <v>2040</v>
      </c>
      <c r="D194" s="265" t="n">
        <v>2040</v>
      </c>
      <c r="E194" s="265" t="n">
        <v>2040</v>
      </c>
      <c r="F194" s="265" t="n">
        <v>2040</v>
      </c>
      <c r="G194" s="265" t="n">
        <v>2040</v>
      </c>
      <c r="H194" s="265" t="n">
        <v>2040</v>
      </c>
      <c r="I194" s="265" t="n">
        <v>2040</v>
      </c>
      <c r="J194" s="265" t="n">
        <v>2040</v>
      </c>
      <c r="K194" s="265" t="n">
        <v>2040</v>
      </c>
      <c r="L194" s="265" t="n">
        <v>2040</v>
      </c>
      <c r="M194" s="265" t="n">
        <v>2040</v>
      </c>
      <c r="N194" s="265" t="n">
        <v>2040</v>
      </c>
      <c r="O194" s="265" t="n">
        <v>2040</v>
      </c>
      <c r="P194" s="265" t="n">
        <v>2040</v>
      </c>
      <c r="Q194" s="265" t="n">
        <v>2040</v>
      </c>
      <c r="R194" s="265" t="n">
        <v>2040</v>
      </c>
      <c r="S194" s="265" t="n">
        <v>2040</v>
      </c>
      <c r="T194" s="265" t="n">
        <v>2040</v>
      </c>
      <c r="U194" s="265" t="n">
        <v>2040</v>
      </c>
      <c r="V194" s="265" t="n">
        <v>2040</v>
      </c>
      <c r="W194" s="265" t="n">
        <v>2040</v>
      </c>
      <c r="X194" s="265" t="n">
        <v>2040</v>
      </c>
      <c r="Y194" s="265" t="n">
        <v>2040</v>
      </c>
      <c r="Z194" s="265" t="n">
        <v>2040</v>
      </c>
      <c r="AA194" s="265" t="n">
        <v>2040</v>
      </c>
      <c r="AB194" s="265" t="n">
        <v>2040</v>
      </c>
      <c r="AC194" s="265" t="n">
        <v>2040</v>
      </c>
      <c r="AD194" s="265" t="n">
        <v>2040</v>
      </c>
    </row>
    <row r="195" customFormat="false" ht="14.25" hidden="false" customHeight="false" outlineLevel="0" collapsed="false">
      <c r="A195" s="264" t="s">
        <v>378</v>
      </c>
      <c r="B195" s="264"/>
      <c r="C195" s="265" t="n">
        <v>2040</v>
      </c>
      <c r="D195" s="265" t="n">
        <v>2040</v>
      </c>
      <c r="E195" s="265" t="n">
        <v>2040</v>
      </c>
      <c r="F195" s="265" t="n">
        <v>2040</v>
      </c>
      <c r="G195" s="265" t="n">
        <v>2040</v>
      </c>
      <c r="H195" s="265" t="n">
        <v>2040</v>
      </c>
      <c r="I195" s="265" t="n">
        <v>2040</v>
      </c>
      <c r="J195" s="265" t="n">
        <v>2040</v>
      </c>
      <c r="K195" s="265" t="n">
        <v>2040</v>
      </c>
      <c r="L195" s="265" t="n">
        <v>2040</v>
      </c>
      <c r="M195" s="265" t="n">
        <v>2040</v>
      </c>
      <c r="N195" s="265" t="n">
        <v>2040</v>
      </c>
      <c r="O195" s="265" t="n">
        <v>2040</v>
      </c>
      <c r="P195" s="265" t="n">
        <v>2040</v>
      </c>
      <c r="Q195" s="265" t="n">
        <v>2040</v>
      </c>
      <c r="R195" s="265" t="n">
        <v>2040</v>
      </c>
      <c r="S195" s="265" t="n">
        <v>2040</v>
      </c>
      <c r="T195" s="265" t="n">
        <v>2040</v>
      </c>
      <c r="U195" s="265" t="n">
        <v>2040</v>
      </c>
      <c r="V195" s="265" t="n">
        <v>2040</v>
      </c>
      <c r="W195" s="265" t="n">
        <v>2040</v>
      </c>
      <c r="X195" s="265" t="n">
        <v>2040</v>
      </c>
      <c r="Y195" s="265" t="n">
        <v>2040</v>
      </c>
      <c r="Z195" s="265" t="n">
        <v>2040</v>
      </c>
      <c r="AA195" s="265" t="n">
        <v>2040</v>
      </c>
      <c r="AB195" s="265" t="n">
        <v>2040</v>
      </c>
      <c r="AC195" s="265" t="n">
        <v>2040</v>
      </c>
      <c r="AD195" s="265" t="n">
        <v>2040</v>
      </c>
    </row>
    <row r="196" customFormat="false" ht="15.75" hidden="false" customHeight="true" outlineLevel="0" collapsed="false">
      <c r="A196" s="200" t="s">
        <v>603</v>
      </c>
      <c r="B196" s="200"/>
      <c r="C196" s="200"/>
      <c r="D196" s="200"/>
      <c r="E196" s="200"/>
      <c r="F196" s="200"/>
      <c r="G196" s="200"/>
      <c r="H196" s="200"/>
      <c r="I196" s="200"/>
      <c r="J196" s="200"/>
      <c r="K196" s="200"/>
      <c r="L196" s="200"/>
      <c r="M196" s="200"/>
      <c r="N196" s="200"/>
      <c r="O196" s="200"/>
      <c r="P196" s="200"/>
      <c r="Q196" s="200"/>
    </row>
    <row r="197" customFormat="false" ht="14.25" hidden="false" customHeight="false" outlineLevel="0" collapsed="false">
      <c r="A197" s="264" t="s">
        <v>374</v>
      </c>
      <c r="B197" s="264"/>
      <c r="C197" s="265" t="n">
        <v>1</v>
      </c>
      <c r="D197" s="265" t="n">
        <v>1</v>
      </c>
      <c r="E197" s="265" t="n">
        <v>1</v>
      </c>
      <c r="F197" s="265" t="n">
        <v>1</v>
      </c>
      <c r="G197" s="265" t="n">
        <v>1</v>
      </c>
      <c r="H197" s="265" t="n">
        <v>1</v>
      </c>
      <c r="I197" s="265" t="n">
        <v>1</v>
      </c>
      <c r="J197" s="265" t="n">
        <v>1</v>
      </c>
      <c r="K197" s="265" t="n">
        <v>1</v>
      </c>
      <c r="L197" s="265" t="n">
        <v>1</v>
      </c>
      <c r="M197" s="265" t="n">
        <v>1</v>
      </c>
      <c r="N197" s="265" t="n">
        <v>1</v>
      </c>
      <c r="O197" s="265" t="n">
        <v>1</v>
      </c>
      <c r="P197" s="265" t="n">
        <v>1</v>
      </c>
      <c r="Q197" s="266" t="n">
        <v>1</v>
      </c>
      <c r="R197" s="266" t="n">
        <v>1</v>
      </c>
      <c r="S197" s="266" t="n">
        <v>1</v>
      </c>
      <c r="T197" s="266" t="n">
        <v>1</v>
      </c>
      <c r="U197" s="266" t="n">
        <v>1</v>
      </c>
      <c r="V197" s="266" t="n">
        <v>1</v>
      </c>
      <c r="W197" s="266" t="n">
        <v>1</v>
      </c>
      <c r="X197" s="266" t="n">
        <v>1</v>
      </c>
      <c r="Y197" s="266" t="n">
        <v>1</v>
      </c>
      <c r="Z197" s="266" t="n">
        <v>1</v>
      </c>
      <c r="AA197" s="266" t="n">
        <v>1</v>
      </c>
      <c r="AB197" s="266" t="n">
        <v>1</v>
      </c>
      <c r="AC197" s="266" t="n">
        <v>1</v>
      </c>
      <c r="AD197" s="266" t="n">
        <v>1</v>
      </c>
    </row>
    <row r="198" customFormat="false" ht="14.25" hidden="false" customHeight="false" outlineLevel="0" collapsed="false">
      <c r="A198" s="264" t="s">
        <v>375</v>
      </c>
      <c r="B198" s="264"/>
      <c r="C198" s="265" t="n">
        <v>1</v>
      </c>
      <c r="D198" s="265" t="n">
        <v>1</v>
      </c>
      <c r="E198" s="265" t="n">
        <v>1</v>
      </c>
      <c r="F198" s="265" t="n">
        <v>1</v>
      </c>
      <c r="G198" s="265" t="n">
        <v>1</v>
      </c>
      <c r="H198" s="265" t="n">
        <v>1</v>
      </c>
      <c r="I198" s="265" t="n">
        <v>1</v>
      </c>
      <c r="J198" s="265" t="n">
        <v>1</v>
      </c>
      <c r="K198" s="265" t="n">
        <v>1</v>
      </c>
      <c r="L198" s="265" t="n">
        <v>1</v>
      </c>
      <c r="M198" s="265" t="n">
        <v>1</v>
      </c>
      <c r="N198" s="265" t="n">
        <v>1</v>
      </c>
      <c r="O198" s="265" t="n">
        <v>1</v>
      </c>
      <c r="P198" s="265" t="n">
        <v>1</v>
      </c>
      <c r="Q198" s="266" t="n">
        <v>1</v>
      </c>
      <c r="R198" s="266" t="n">
        <v>1</v>
      </c>
      <c r="S198" s="266" t="n">
        <v>1</v>
      </c>
      <c r="T198" s="266" t="n">
        <v>1</v>
      </c>
      <c r="U198" s="266" t="n">
        <v>1</v>
      </c>
      <c r="V198" s="266" t="n">
        <v>1</v>
      </c>
      <c r="W198" s="266" t="n">
        <v>1</v>
      </c>
      <c r="X198" s="266" t="n">
        <v>1</v>
      </c>
      <c r="Y198" s="266" t="n">
        <v>1</v>
      </c>
      <c r="Z198" s="266" t="n">
        <v>1</v>
      </c>
      <c r="AA198" s="266" t="n">
        <v>1</v>
      </c>
      <c r="AB198" s="266" t="n">
        <v>1</v>
      </c>
      <c r="AC198" s="266" t="n">
        <v>1</v>
      </c>
      <c r="AD198" s="266" t="n">
        <v>1</v>
      </c>
    </row>
    <row r="199" customFormat="false" ht="14.25" hidden="false" customHeight="false" outlineLevel="0" collapsed="false">
      <c r="A199" s="264" t="s">
        <v>376</v>
      </c>
      <c r="B199" s="264"/>
      <c r="C199" s="265" t="n">
        <v>1</v>
      </c>
      <c r="D199" s="265" t="n">
        <v>1</v>
      </c>
      <c r="E199" s="265" t="n">
        <v>1</v>
      </c>
      <c r="F199" s="265" t="n">
        <v>1</v>
      </c>
      <c r="G199" s="265" t="n">
        <v>1</v>
      </c>
      <c r="H199" s="265" t="n">
        <v>1</v>
      </c>
      <c r="I199" s="265" t="n">
        <v>1</v>
      </c>
      <c r="J199" s="265" t="n">
        <v>1</v>
      </c>
      <c r="K199" s="265" t="n">
        <v>1</v>
      </c>
      <c r="L199" s="265" t="n">
        <v>1</v>
      </c>
      <c r="M199" s="265" t="n">
        <v>1</v>
      </c>
      <c r="N199" s="265" t="n">
        <v>1</v>
      </c>
      <c r="O199" s="265" t="n">
        <v>1</v>
      </c>
      <c r="P199" s="265" t="n">
        <v>1</v>
      </c>
      <c r="Q199" s="266" t="n">
        <v>1</v>
      </c>
      <c r="R199" s="266" t="n">
        <v>1</v>
      </c>
      <c r="S199" s="266" t="n">
        <v>1</v>
      </c>
      <c r="T199" s="266" t="n">
        <v>1</v>
      </c>
      <c r="U199" s="266" t="n">
        <v>1</v>
      </c>
      <c r="V199" s="266" t="n">
        <v>1</v>
      </c>
      <c r="W199" s="266" t="n">
        <v>1</v>
      </c>
      <c r="X199" s="266" t="n">
        <v>1</v>
      </c>
      <c r="Y199" s="266" t="n">
        <v>1</v>
      </c>
      <c r="Z199" s="266" t="n">
        <v>1</v>
      </c>
      <c r="AA199" s="266" t="n">
        <v>1</v>
      </c>
      <c r="AB199" s="266" t="n">
        <v>1</v>
      </c>
      <c r="AC199" s="266" t="n">
        <v>1</v>
      </c>
      <c r="AD199" s="266" t="n">
        <v>1</v>
      </c>
    </row>
    <row r="200" customFormat="false" ht="14.25" hidden="false" customHeight="false" outlineLevel="0" collapsed="false">
      <c r="A200" s="264" t="s">
        <v>377</v>
      </c>
      <c r="B200" s="264"/>
      <c r="C200" s="265" t="n">
        <v>1</v>
      </c>
      <c r="D200" s="265" t="n">
        <v>1</v>
      </c>
      <c r="E200" s="265" t="n">
        <v>1</v>
      </c>
      <c r="F200" s="265" t="n">
        <v>1</v>
      </c>
      <c r="G200" s="265" t="n">
        <v>1</v>
      </c>
      <c r="H200" s="265" t="n">
        <v>1</v>
      </c>
      <c r="I200" s="265" t="n">
        <v>1</v>
      </c>
      <c r="J200" s="265" t="n">
        <v>1</v>
      </c>
      <c r="K200" s="265" t="n">
        <v>1</v>
      </c>
      <c r="L200" s="265" t="n">
        <v>1</v>
      </c>
      <c r="M200" s="265" t="n">
        <v>1</v>
      </c>
      <c r="N200" s="265" t="n">
        <v>1</v>
      </c>
      <c r="O200" s="265" t="n">
        <v>1</v>
      </c>
      <c r="P200" s="265" t="n">
        <v>1</v>
      </c>
      <c r="Q200" s="266" t="n">
        <v>1</v>
      </c>
      <c r="R200" s="266" t="n">
        <v>1</v>
      </c>
      <c r="S200" s="266" t="n">
        <v>1</v>
      </c>
      <c r="T200" s="266" t="n">
        <v>1</v>
      </c>
      <c r="U200" s="266" t="n">
        <v>1</v>
      </c>
      <c r="V200" s="266" t="n">
        <v>1</v>
      </c>
      <c r="W200" s="266" t="n">
        <v>1</v>
      </c>
      <c r="X200" s="266" t="n">
        <v>1</v>
      </c>
      <c r="Y200" s="266" t="n">
        <v>1</v>
      </c>
      <c r="Z200" s="266" t="n">
        <v>1</v>
      </c>
      <c r="AA200" s="266" t="n">
        <v>1</v>
      </c>
      <c r="AB200" s="266" t="n">
        <v>1</v>
      </c>
      <c r="AC200" s="266" t="n">
        <v>1</v>
      </c>
      <c r="AD200" s="266" t="n">
        <v>1</v>
      </c>
    </row>
    <row r="201" customFormat="false" ht="14.25" hidden="false" customHeight="false" outlineLevel="0" collapsed="false">
      <c r="A201" s="264" t="s">
        <v>378</v>
      </c>
      <c r="B201" s="264"/>
      <c r="C201" s="265" t="n">
        <v>1</v>
      </c>
      <c r="D201" s="265" t="n">
        <v>1</v>
      </c>
      <c r="E201" s="265" t="n">
        <v>1</v>
      </c>
      <c r="F201" s="265" t="n">
        <v>1</v>
      </c>
      <c r="G201" s="265" t="n">
        <v>1</v>
      </c>
      <c r="H201" s="265" t="n">
        <v>1</v>
      </c>
      <c r="I201" s="265" t="n">
        <v>1</v>
      </c>
      <c r="J201" s="265" t="n">
        <v>1</v>
      </c>
      <c r="K201" s="265" t="n">
        <v>1</v>
      </c>
      <c r="L201" s="265" t="n">
        <v>1</v>
      </c>
      <c r="M201" s="265" t="n">
        <v>1</v>
      </c>
      <c r="N201" s="265" t="n">
        <v>1</v>
      </c>
      <c r="O201" s="265" t="n">
        <v>1</v>
      </c>
      <c r="P201" s="265" t="n">
        <v>1</v>
      </c>
      <c r="Q201" s="266" t="n">
        <v>1</v>
      </c>
      <c r="R201" s="266" t="n">
        <v>1</v>
      </c>
      <c r="S201" s="266" t="n">
        <v>1</v>
      </c>
      <c r="T201" s="266" t="n">
        <v>1</v>
      </c>
      <c r="U201" s="266" t="n">
        <v>1</v>
      </c>
      <c r="V201" s="266" t="n">
        <v>1</v>
      </c>
      <c r="W201" s="266" t="n">
        <v>1</v>
      </c>
      <c r="X201" s="266" t="n">
        <v>1</v>
      </c>
      <c r="Y201" s="266" t="n">
        <v>1</v>
      </c>
      <c r="Z201" s="266" t="n">
        <v>1</v>
      </c>
      <c r="AA201" s="266" t="n">
        <v>1</v>
      </c>
      <c r="AB201" s="266" t="n">
        <v>1</v>
      </c>
      <c r="AC201" s="266" t="n">
        <v>1</v>
      </c>
      <c r="AD201" s="266" t="n">
        <v>1</v>
      </c>
    </row>
    <row r="202" customFormat="false" ht="15.75" hidden="false" customHeight="true" outlineLevel="0" collapsed="false">
      <c r="A202" s="200" t="s">
        <v>604</v>
      </c>
      <c r="B202" s="200"/>
      <c r="C202" s="200"/>
      <c r="D202" s="200"/>
      <c r="E202" s="200"/>
      <c r="F202" s="200"/>
      <c r="G202" s="200"/>
      <c r="H202" s="200"/>
      <c r="I202" s="200"/>
      <c r="J202" s="200"/>
      <c r="K202" s="200"/>
      <c r="L202" s="200"/>
      <c r="M202" s="200"/>
      <c r="N202" s="200"/>
      <c r="O202" s="200"/>
      <c r="P202" s="200"/>
      <c r="Q202" s="200"/>
    </row>
    <row r="203" customFormat="false" ht="14.25" hidden="false" customHeight="false" outlineLevel="0" collapsed="false">
      <c r="A203" s="264" t="s">
        <v>374</v>
      </c>
      <c r="B203" s="264"/>
      <c r="C203" s="265" t="n">
        <v>2050</v>
      </c>
      <c r="D203" s="265" t="n">
        <v>2050</v>
      </c>
      <c r="E203" s="265" t="n">
        <v>2050</v>
      </c>
      <c r="F203" s="265" t="n">
        <v>2050</v>
      </c>
      <c r="G203" s="265" t="n">
        <v>2050</v>
      </c>
      <c r="H203" s="265" t="n">
        <v>2050</v>
      </c>
      <c r="I203" s="265" t="n">
        <v>2050</v>
      </c>
      <c r="J203" s="265" t="n">
        <v>2050</v>
      </c>
      <c r="K203" s="265" t="n">
        <v>2050</v>
      </c>
      <c r="L203" s="265" t="n">
        <v>2050</v>
      </c>
      <c r="M203" s="265" t="n">
        <v>2050</v>
      </c>
      <c r="N203" s="265" t="n">
        <v>2050</v>
      </c>
      <c r="O203" s="265" t="n">
        <v>2050</v>
      </c>
      <c r="P203" s="265" t="n">
        <v>2050</v>
      </c>
      <c r="Q203" s="266" t="n">
        <v>2050</v>
      </c>
      <c r="R203" s="266" t="n">
        <v>2050</v>
      </c>
      <c r="S203" s="266" t="n">
        <v>2050</v>
      </c>
      <c r="T203" s="266" t="n">
        <v>2050</v>
      </c>
      <c r="U203" s="266" t="n">
        <v>2050</v>
      </c>
      <c r="V203" s="266" t="n">
        <v>2050</v>
      </c>
      <c r="W203" s="266" t="n">
        <v>2050</v>
      </c>
      <c r="X203" s="266" t="n">
        <v>2050</v>
      </c>
      <c r="Y203" s="266" t="n">
        <v>2050</v>
      </c>
      <c r="Z203" s="266" t="n">
        <v>2050</v>
      </c>
      <c r="AA203" s="266" t="n">
        <v>2050</v>
      </c>
      <c r="AB203" s="266" t="n">
        <v>2050</v>
      </c>
      <c r="AC203" s="266" t="n">
        <v>2050</v>
      </c>
      <c r="AD203" s="266" t="n">
        <v>2050</v>
      </c>
    </row>
    <row r="204" customFormat="false" ht="14.25" hidden="false" customHeight="false" outlineLevel="0" collapsed="false">
      <c r="A204" s="264" t="s">
        <v>375</v>
      </c>
      <c r="B204" s="264"/>
      <c r="C204" s="265" t="n">
        <v>2050</v>
      </c>
      <c r="D204" s="265" t="n">
        <v>2050</v>
      </c>
      <c r="E204" s="265" t="n">
        <v>2050</v>
      </c>
      <c r="F204" s="265" t="n">
        <v>2050</v>
      </c>
      <c r="G204" s="265" t="n">
        <v>2050</v>
      </c>
      <c r="H204" s="265" t="n">
        <v>2050</v>
      </c>
      <c r="I204" s="265" t="n">
        <v>2050</v>
      </c>
      <c r="J204" s="265" t="n">
        <v>2050</v>
      </c>
      <c r="K204" s="265" t="n">
        <v>2050</v>
      </c>
      <c r="L204" s="265" t="n">
        <v>2050</v>
      </c>
      <c r="M204" s="265" t="n">
        <v>2050</v>
      </c>
      <c r="N204" s="265" t="n">
        <v>2050</v>
      </c>
      <c r="O204" s="265" t="n">
        <v>2050</v>
      </c>
      <c r="P204" s="265" t="n">
        <v>2050</v>
      </c>
      <c r="Q204" s="266" t="n">
        <v>2050</v>
      </c>
      <c r="R204" s="266" t="n">
        <v>2050</v>
      </c>
      <c r="S204" s="266" t="n">
        <v>2050</v>
      </c>
      <c r="T204" s="266" t="n">
        <v>2050</v>
      </c>
      <c r="U204" s="266" t="n">
        <v>2050</v>
      </c>
      <c r="V204" s="266" t="n">
        <v>2050</v>
      </c>
      <c r="W204" s="266" t="n">
        <v>2050</v>
      </c>
      <c r="X204" s="266" t="n">
        <v>2050</v>
      </c>
      <c r="Y204" s="266" t="n">
        <v>2050</v>
      </c>
      <c r="Z204" s="266" t="n">
        <v>2050</v>
      </c>
      <c r="AA204" s="266" t="n">
        <v>2050</v>
      </c>
      <c r="AB204" s="266" t="n">
        <v>2050</v>
      </c>
      <c r="AC204" s="266" t="n">
        <v>2050</v>
      </c>
      <c r="AD204" s="266" t="n">
        <v>2050</v>
      </c>
    </row>
    <row r="205" customFormat="false" ht="14.25" hidden="false" customHeight="false" outlineLevel="0" collapsed="false">
      <c r="A205" s="264" t="s">
        <v>376</v>
      </c>
      <c r="B205" s="264"/>
      <c r="C205" s="265" t="n">
        <v>2050</v>
      </c>
      <c r="D205" s="265" t="n">
        <v>2050</v>
      </c>
      <c r="E205" s="265" t="n">
        <v>2050</v>
      </c>
      <c r="F205" s="265" t="n">
        <v>2050</v>
      </c>
      <c r="G205" s="265" t="n">
        <v>2050</v>
      </c>
      <c r="H205" s="265" t="n">
        <v>2050</v>
      </c>
      <c r="I205" s="265" t="n">
        <v>2050</v>
      </c>
      <c r="J205" s="265" t="n">
        <v>2050</v>
      </c>
      <c r="K205" s="265" t="n">
        <v>2050</v>
      </c>
      <c r="L205" s="265" t="n">
        <v>2050</v>
      </c>
      <c r="M205" s="265" t="n">
        <v>2050</v>
      </c>
      <c r="N205" s="265" t="n">
        <v>2050</v>
      </c>
      <c r="O205" s="265" t="n">
        <v>2050</v>
      </c>
      <c r="P205" s="265" t="n">
        <v>2050</v>
      </c>
      <c r="Q205" s="266" t="n">
        <v>2050</v>
      </c>
      <c r="R205" s="266" t="n">
        <v>2050</v>
      </c>
      <c r="S205" s="266" t="n">
        <v>2050</v>
      </c>
      <c r="T205" s="266" t="n">
        <v>2050</v>
      </c>
      <c r="U205" s="266" t="n">
        <v>2050</v>
      </c>
      <c r="V205" s="266" t="n">
        <v>2050</v>
      </c>
      <c r="W205" s="266" t="n">
        <v>2050</v>
      </c>
      <c r="X205" s="266" t="n">
        <v>2050</v>
      </c>
      <c r="Y205" s="266" t="n">
        <v>2050</v>
      </c>
      <c r="Z205" s="266" t="n">
        <v>2050</v>
      </c>
      <c r="AA205" s="266" t="n">
        <v>2050</v>
      </c>
      <c r="AB205" s="266" t="n">
        <v>2050</v>
      </c>
      <c r="AC205" s="266" t="n">
        <v>2050</v>
      </c>
      <c r="AD205" s="266" t="n">
        <v>2050</v>
      </c>
    </row>
    <row r="206" customFormat="false" ht="14.25" hidden="false" customHeight="false" outlineLevel="0" collapsed="false">
      <c r="A206" s="264" t="s">
        <v>377</v>
      </c>
      <c r="B206" s="264"/>
      <c r="C206" s="265" t="n">
        <v>2050</v>
      </c>
      <c r="D206" s="265" t="n">
        <v>2050</v>
      </c>
      <c r="E206" s="265" t="n">
        <v>2050</v>
      </c>
      <c r="F206" s="265" t="n">
        <v>2050</v>
      </c>
      <c r="G206" s="265" t="n">
        <v>2050</v>
      </c>
      <c r="H206" s="265" t="n">
        <v>2050</v>
      </c>
      <c r="I206" s="265" t="n">
        <v>2050</v>
      </c>
      <c r="J206" s="265" t="n">
        <v>2050</v>
      </c>
      <c r="K206" s="265" t="n">
        <v>2050</v>
      </c>
      <c r="L206" s="265" t="n">
        <v>2050</v>
      </c>
      <c r="M206" s="265" t="n">
        <v>2050</v>
      </c>
      <c r="N206" s="265" t="n">
        <v>2050</v>
      </c>
      <c r="O206" s="265" t="n">
        <v>2050</v>
      </c>
      <c r="P206" s="265" t="n">
        <v>2050</v>
      </c>
      <c r="Q206" s="266" t="n">
        <v>2050</v>
      </c>
      <c r="R206" s="266" t="n">
        <v>2050</v>
      </c>
      <c r="S206" s="266" t="n">
        <v>2050</v>
      </c>
      <c r="T206" s="266" t="n">
        <v>2050</v>
      </c>
      <c r="U206" s="266" t="n">
        <v>2050</v>
      </c>
      <c r="V206" s="266" t="n">
        <v>2050</v>
      </c>
      <c r="W206" s="266" t="n">
        <v>2050</v>
      </c>
      <c r="X206" s="266" t="n">
        <v>2050</v>
      </c>
      <c r="Y206" s="266" t="n">
        <v>2050</v>
      </c>
      <c r="Z206" s="266" t="n">
        <v>2050</v>
      </c>
      <c r="AA206" s="266" t="n">
        <v>2050</v>
      </c>
      <c r="AB206" s="266" t="n">
        <v>2050</v>
      </c>
      <c r="AC206" s="266" t="n">
        <v>2050</v>
      </c>
      <c r="AD206" s="266" t="n">
        <v>2050</v>
      </c>
    </row>
    <row r="207" customFormat="false" ht="14.25" hidden="false" customHeight="false" outlineLevel="0" collapsed="false">
      <c r="A207" s="264" t="s">
        <v>378</v>
      </c>
      <c r="B207" s="264"/>
      <c r="C207" s="267" t="n">
        <v>2050</v>
      </c>
      <c r="D207" s="267" t="n">
        <v>2050</v>
      </c>
      <c r="E207" s="267" t="n">
        <v>2050</v>
      </c>
      <c r="F207" s="267" t="n">
        <v>2050</v>
      </c>
      <c r="G207" s="267" t="n">
        <v>2050</v>
      </c>
      <c r="H207" s="267" t="n">
        <v>2050</v>
      </c>
      <c r="I207" s="267" t="n">
        <v>2050</v>
      </c>
      <c r="J207" s="267" t="n">
        <v>2050</v>
      </c>
      <c r="K207" s="267" t="n">
        <v>2050</v>
      </c>
      <c r="L207" s="267" t="n">
        <v>2050</v>
      </c>
      <c r="M207" s="267" t="n">
        <v>2050</v>
      </c>
      <c r="N207" s="267" t="n">
        <v>2050</v>
      </c>
      <c r="O207" s="267" t="n">
        <v>2050</v>
      </c>
      <c r="P207" s="267" t="n">
        <v>2050</v>
      </c>
      <c r="Q207" s="268" t="n">
        <v>2050</v>
      </c>
      <c r="R207" s="268" t="n">
        <v>2050</v>
      </c>
      <c r="S207" s="268" t="n">
        <v>2050</v>
      </c>
      <c r="T207" s="268" t="n">
        <v>2050</v>
      </c>
      <c r="U207" s="268" t="n">
        <v>2050</v>
      </c>
      <c r="V207" s="268" t="n">
        <v>2050</v>
      </c>
      <c r="W207" s="268" t="n">
        <v>2050</v>
      </c>
      <c r="X207" s="268" t="n">
        <v>2050</v>
      </c>
      <c r="Y207" s="268" t="n">
        <v>2050</v>
      </c>
      <c r="Z207" s="268" t="n">
        <v>2050</v>
      </c>
      <c r="AA207" s="268" t="n">
        <v>2050</v>
      </c>
      <c r="AB207" s="268" t="n">
        <v>2050</v>
      </c>
      <c r="AC207" s="268" t="n">
        <v>2050</v>
      </c>
      <c r="AD207" s="268" t="n">
        <v>2050</v>
      </c>
    </row>
    <row r="209" customFormat="false" ht="23.25" hidden="false" customHeight="true" outlineLevel="0" collapsed="false">
      <c r="A209" s="200" t="s">
        <v>386</v>
      </c>
      <c r="B209" s="200"/>
      <c r="C209" s="200"/>
    </row>
    <row r="210" customFormat="false" ht="15.75" hidden="false" customHeight="true" outlineLevel="0" collapsed="false">
      <c r="A210" s="243" t="s">
        <v>387</v>
      </c>
      <c r="B210" s="269" t="s">
        <v>388</v>
      </c>
      <c r="C210" s="270" t="n">
        <v>1</v>
      </c>
    </row>
    <row r="211" customFormat="false" ht="14.25" hidden="false" customHeight="true" outlineLevel="0" collapsed="false">
      <c r="A211" s="243"/>
      <c r="B211" s="269" t="s">
        <v>389</v>
      </c>
      <c r="C211" s="270"/>
    </row>
    <row r="212" customFormat="false" ht="14.25" hidden="false" customHeight="false" outlineLevel="0" collapsed="false">
      <c r="A212" s="208" t="s">
        <v>605</v>
      </c>
      <c r="B212" s="269" t="s">
        <v>36</v>
      </c>
      <c r="C212" s="204" t="n">
        <v>2025</v>
      </c>
    </row>
    <row r="213" customFormat="false" ht="14.25" hidden="false" customHeight="false" outlineLevel="0" collapsed="false">
      <c r="A213" s="271" t="s">
        <v>390</v>
      </c>
      <c r="B213" s="272" t="s">
        <v>36</v>
      </c>
      <c r="C213" s="273" t="n">
        <v>2050</v>
      </c>
    </row>
    <row r="214" customFormat="false" ht="14.25" hidden="false" customHeight="true" outlineLevel="0" collapsed="false">
      <c r="A214" s="200" t="s">
        <v>394</v>
      </c>
      <c r="B214" s="200"/>
      <c r="C214" s="200"/>
      <c r="D214" s="200"/>
      <c r="E214" s="200"/>
      <c r="F214" s="200"/>
      <c r="G214" s="200"/>
      <c r="H214" s="200"/>
      <c r="I214" s="200"/>
      <c r="J214" s="200"/>
      <c r="K214" s="200"/>
      <c r="L214" s="200"/>
      <c r="M214" s="200"/>
      <c r="N214" s="200"/>
      <c r="O214" s="200"/>
      <c r="P214" s="200"/>
      <c r="Q214" s="200"/>
    </row>
    <row r="215" customFormat="false" ht="14.25" hidden="false" customHeight="false" outlineLevel="0" collapsed="false">
      <c r="A215" s="274" t="s">
        <v>606</v>
      </c>
      <c r="B215" s="274"/>
      <c r="C215" s="262" t="s">
        <v>576</v>
      </c>
      <c r="D215" s="262" t="s">
        <v>579</v>
      </c>
      <c r="E215" s="262" t="s">
        <v>362</v>
      </c>
      <c r="F215" s="262" t="s">
        <v>580</v>
      </c>
      <c r="G215" s="262" t="s">
        <v>581</v>
      </c>
      <c r="H215" s="262" t="s">
        <v>582</v>
      </c>
      <c r="I215" s="262" t="s">
        <v>583</v>
      </c>
      <c r="J215" s="262" t="s">
        <v>354</v>
      </c>
      <c r="K215" s="262" t="s">
        <v>584</v>
      </c>
      <c r="L215" s="262" t="s">
        <v>585</v>
      </c>
      <c r="M215" s="262" t="s">
        <v>586</v>
      </c>
      <c r="N215" s="262" t="s">
        <v>587</v>
      </c>
      <c r="O215" s="262" t="s">
        <v>588</v>
      </c>
      <c r="P215" s="262" t="s">
        <v>589</v>
      </c>
      <c r="Q215" s="263" t="s">
        <v>590</v>
      </c>
      <c r="R215" s="263" t="s">
        <v>338</v>
      </c>
      <c r="S215" s="263" t="s">
        <v>591</v>
      </c>
      <c r="T215" s="263" t="s">
        <v>592</v>
      </c>
      <c r="U215" s="263" t="s">
        <v>593</v>
      </c>
      <c r="V215" s="263" t="s">
        <v>594</v>
      </c>
      <c r="W215" s="263" t="s">
        <v>595</v>
      </c>
      <c r="X215" s="263" t="s">
        <v>596</v>
      </c>
      <c r="Y215" s="263" t="s">
        <v>597</v>
      </c>
      <c r="Z215" s="263" t="s">
        <v>598</v>
      </c>
      <c r="AA215" s="263" t="s">
        <v>599</v>
      </c>
      <c r="AB215" s="263" t="s">
        <v>351</v>
      </c>
      <c r="AC215" s="263" t="s">
        <v>361</v>
      </c>
      <c r="AD215" s="263" t="s">
        <v>600</v>
      </c>
    </row>
    <row r="216" customFormat="false" ht="16.4" hidden="false" customHeight="false" outlineLevel="0" collapsed="false">
      <c r="A216" s="275" t="s">
        <v>374</v>
      </c>
      <c r="B216" s="275"/>
      <c r="C216" s="276" t="n">
        <v>4.1139176438819E-007</v>
      </c>
      <c r="D216" s="276" t="n">
        <v>2.9903304550905E-007</v>
      </c>
      <c r="E216" s="276" t="n">
        <v>0</v>
      </c>
      <c r="F216" s="276" t="n">
        <v>1.11822432141206E-006</v>
      </c>
      <c r="G216" s="276" t="n">
        <v>1.02414393598889E-006</v>
      </c>
      <c r="H216" s="276" t="n">
        <v>3.44919728015917E-007</v>
      </c>
      <c r="I216" s="276" t="n">
        <v>1.53602769294291E-007</v>
      </c>
      <c r="J216" s="276" t="n">
        <v>2.93888819690594E-008</v>
      </c>
      <c r="K216" s="276" t="n">
        <v>1.17629781773799E-006</v>
      </c>
      <c r="L216" s="276" t="n">
        <v>1.39767095114969E-007</v>
      </c>
      <c r="M216" s="276" t="n">
        <v>3.05999734607722E-007</v>
      </c>
      <c r="N216" s="276" t="n">
        <v>6.4535051055734E-007</v>
      </c>
      <c r="O216" s="276" t="n">
        <v>1.69531363809185E-007</v>
      </c>
      <c r="P216" s="276" t="n">
        <v>4.68402094186417E-007</v>
      </c>
      <c r="Q216" s="277" t="n">
        <v>8.15319589568876E-008</v>
      </c>
      <c r="R216" s="277" t="n">
        <v>4.49576818388231E-007</v>
      </c>
      <c r="S216" s="277" t="n">
        <v>3.05186199283768E-007</v>
      </c>
      <c r="T216" s="277" t="n">
        <v>4.22860203801219E-007</v>
      </c>
      <c r="U216" s="277" t="n">
        <v>3.7102126930245E-007</v>
      </c>
      <c r="V216" s="277" t="n">
        <v>1.97597745823714E-007</v>
      </c>
      <c r="W216" s="277" t="n">
        <v>6.8734590371863E-008</v>
      </c>
      <c r="X216" s="277" t="n">
        <v>1.50598500307975E-007</v>
      </c>
      <c r="Y216" s="277" t="n">
        <v>5.2172463840772E-007</v>
      </c>
      <c r="Z216" s="277" t="n">
        <v>1.09802962830968E-007</v>
      </c>
      <c r="AA216" s="277" t="n">
        <v>1.37833653003322E-007</v>
      </c>
      <c r="AB216" s="277" t="n">
        <v>7.48124670815682E-008</v>
      </c>
      <c r="AC216" s="277" t="n">
        <v>0</v>
      </c>
      <c r="AD216" s="277" t="n">
        <v>2.68608327323E-007</v>
      </c>
    </row>
    <row r="217" customFormat="false" ht="16.4" hidden="false" customHeight="false" outlineLevel="0" collapsed="false">
      <c r="A217" s="275" t="s">
        <v>375</v>
      </c>
      <c r="B217" s="275"/>
      <c r="C217" s="276" t="n">
        <v>1.46572106441547E-007</v>
      </c>
      <c r="D217" s="276" t="n">
        <v>1.7454537935622E-008</v>
      </c>
      <c r="E217" s="276" t="n">
        <v>0</v>
      </c>
      <c r="F217" s="276" t="n">
        <v>6.37988318586956E-007</v>
      </c>
      <c r="G217" s="276" t="n">
        <v>4.04118638409667E-007</v>
      </c>
      <c r="H217" s="276" t="n">
        <v>3.62026424147706E-007</v>
      </c>
      <c r="I217" s="276" t="n">
        <v>2.33324721386833E-008</v>
      </c>
      <c r="J217" s="276" t="n">
        <v>4.93969138930201E-010</v>
      </c>
      <c r="K217" s="276" t="n">
        <v>1.03109879950139E-007</v>
      </c>
      <c r="L217" s="276" t="n">
        <v>1.56012475931902E-012</v>
      </c>
      <c r="M217" s="276" t="n">
        <v>4.70015631634442E-008</v>
      </c>
      <c r="N217" s="276" t="n">
        <v>3.5535645609638E-008</v>
      </c>
      <c r="O217" s="276" t="n">
        <v>0</v>
      </c>
      <c r="P217" s="276" t="n">
        <v>1.82177800078583E-007</v>
      </c>
      <c r="Q217" s="277" t="n">
        <v>5.42391530798366E-009</v>
      </c>
      <c r="R217" s="277" t="n">
        <v>4.19219484292558E-008</v>
      </c>
      <c r="S217" s="277" t="n">
        <v>8.67271134330197E-009</v>
      </c>
      <c r="T217" s="277" t="n">
        <v>2.23072969197764E-008</v>
      </c>
      <c r="U217" s="277" t="n">
        <v>0</v>
      </c>
      <c r="V217" s="277" t="n">
        <v>1.14463436613945E-007</v>
      </c>
      <c r="W217" s="277" t="n">
        <v>2.4378250317035E-010</v>
      </c>
      <c r="X217" s="277" t="n">
        <v>4.24005362408183E-008</v>
      </c>
      <c r="Y217" s="277" t="n">
        <v>1.33722468740622E-007</v>
      </c>
      <c r="Z217" s="277" t="n">
        <v>0</v>
      </c>
      <c r="AA217" s="277" t="n">
        <v>1.3909720408743E-008</v>
      </c>
      <c r="AB217" s="277" t="n">
        <v>1.06416843391719E-008</v>
      </c>
      <c r="AC217" s="277" t="n">
        <v>0</v>
      </c>
      <c r="AD217" s="277" t="n">
        <v>9.58151766262172E-008</v>
      </c>
    </row>
    <row r="218" customFormat="false" ht="16.4" hidden="false" customHeight="false" outlineLevel="0" collapsed="false">
      <c r="A218" s="275" t="s">
        <v>376</v>
      </c>
      <c r="B218" s="275"/>
      <c r="C218" s="276" t="n">
        <v>5.85373713937335E-007</v>
      </c>
      <c r="D218" s="276" t="n">
        <v>4.26234149388627E-007</v>
      </c>
      <c r="E218" s="276" t="n">
        <v>3.35733720789132E-007</v>
      </c>
      <c r="F218" s="276" t="n">
        <v>1.01831383936819E-007</v>
      </c>
      <c r="G218" s="276" t="n">
        <v>3.04650276280748E-008</v>
      </c>
      <c r="H218" s="276" t="n">
        <v>0</v>
      </c>
      <c r="I218" s="276" t="n">
        <v>0</v>
      </c>
      <c r="J218" s="276" t="n">
        <v>0</v>
      </c>
      <c r="K218" s="276" t="n">
        <v>2.41329567240224E-009</v>
      </c>
      <c r="L218" s="276" t="n">
        <v>0</v>
      </c>
      <c r="M218" s="276" t="n">
        <v>1.97809139721063E-008</v>
      </c>
      <c r="N218" s="276" t="n">
        <v>1.23690769502083E-008</v>
      </c>
      <c r="O218" s="276" t="n">
        <v>1.35468863637687E-006</v>
      </c>
      <c r="P218" s="276" t="n">
        <v>0</v>
      </c>
      <c r="Q218" s="277" t="n">
        <v>3.1436288629517E-009</v>
      </c>
      <c r="R218" s="277" t="n">
        <v>9.82304477837706E-008</v>
      </c>
      <c r="S218" s="277" t="n">
        <v>7.26743056004975E-009</v>
      </c>
      <c r="T218" s="277" t="n">
        <v>3.93417300156465E-008</v>
      </c>
      <c r="U218" s="277" t="n">
        <v>0</v>
      </c>
      <c r="V218" s="277" t="n">
        <v>8.13602601343131E-008</v>
      </c>
      <c r="W218" s="277" t="n">
        <v>0</v>
      </c>
      <c r="X218" s="277" t="n">
        <v>6.25529197662458E-009</v>
      </c>
      <c r="Y218" s="277" t="n">
        <v>0</v>
      </c>
      <c r="Z218" s="277" t="n">
        <v>0</v>
      </c>
      <c r="AA218" s="277" t="n">
        <v>0</v>
      </c>
      <c r="AB218" s="277" t="n">
        <v>0</v>
      </c>
      <c r="AC218" s="277" t="n">
        <v>0</v>
      </c>
      <c r="AD218" s="277" t="n">
        <v>0</v>
      </c>
    </row>
    <row r="219" customFormat="false" ht="16.4" hidden="false" customHeight="false" outlineLevel="0" collapsed="false">
      <c r="A219" s="275" t="s">
        <v>377</v>
      </c>
      <c r="B219" s="275"/>
      <c r="C219" s="276" t="n">
        <v>4.21179441956327E-007</v>
      </c>
      <c r="D219" s="276" t="n">
        <v>2.31372336458603E-007</v>
      </c>
      <c r="E219" s="276" t="n">
        <v>0</v>
      </c>
      <c r="F219" s="276" t="n">
        <v>1.37264534819944E-006</v>
      </c>
      <c r="G219" s="276" t="n">
        <v>3.39051722035229E-008</v>
      </c>
      <c r="H219" s="276" t="n">
        <v>0</v>
      </c>
      <c r="I219" s="276" t="n">
        <v>0</v>
      </c>
      <c r="J219" s="276" t="n">
        <v>0</v>
      </c>
      <c r="K219" s="276" t="n">
        <v>6.65640226934362E-009</v>
      </c>
      <c r="L219" s="276" t="n">
        <v>0</v>
      </c>
      <c r="M219" s="276" t="n">
        <v>3.20072583668983E-007</v>
      </c>
      <c r="N219" s="276" t="n">
        <v>7.38076801223966E-007</v>
      </c>
      <c r="O219" s="276" t="n">
        <v>4.23124123197027E-008</v>
      </c>
      <c r="P219" s="276" t="n">
        <v>3.78048312745745E-006</v>
      </c>
      <c r="Q219" s="277" t="n">
        <v>3.7957556169563E-008</v>
      </c>
      <c r="R219" s="277" t="n">
        <v>1.6293432501584E-007</v>
      </c>
      <c r="S219" s="277" t="n">
        <v>1.60259746771988E-007</v>
      </c>
      <c r="T219" s="277" t="n">
        <v>7.67545164216247E-007</v>
      </c>
      <c r="U219" s="277" t="n">
        <v>0</v>
      </c>
      <c r="V219" s="277" t="n">
        <v>1.52908847559242E-006</v>
      </c>
      <c r="W219" s="277" t="n">
        <v>0</v>
      </c>
      <c r="X219" s="277" t="n">
        <v>4.36994314929661E-008</v>
      </c>
      <c r="Y219" s="277" t="n">
        <v>0</v>
      </c>
      <c r="Z219" s="277" t="n">
        <v>0</v>
      </c>
      <c r="AA219" s="277" t="n">
        <v>0</v>
      </c>
      <c r="AB219" s="277" t="n">
        <v>0</v>
      </c>
      <c r="AC219" s="277" t="n">
        <v>0</v>
      </c>
      <c r="AD219" s="277" t="n">
        <v>0</v>
      </c>
    </row>
    <row r="220" customFormat="false" ht="16.4" hidden="false" customHeight="false" outlineLevel="0" collapsed="false">
      <c r="A220" s="278" t="s">
        <v>378</v>
      </c>
      <c r="B220" s="278"/>
      <c r="C220" s="279" t="n">
        <v>3.75875013886066E-007</v>
      </c>
      <c r="D220" s="280" t="n">
        <v>1.8116449100918E-007</v>
      </c>
      <c r="E220" s="280" t="n">
        <v>0</v>
      </c>
      <c r="F220" s="280" t="n">
        <v>3.06678363291838E-007</v>
      </c>
      <c r="G220" s="280" t="n">
        <v>4.96458766466272E-007</v>
      </c>
      <c r="H220" s="280" t="n">
        <v>0</v>
      </c>
      <c r="I220" s="280" t="n">
        <v>0</v>
      </c>
      <c r="J220" s="280" t="n">
        <v>0</v>
      </c>
      <c r="K220" s="280" t="n">
        <v>3.05585312510224E-009</v>
      </c>
      <c r="L220" s="280" t="n">
        <v>0</v>
      </c>
      <c r="M220" s="280" t="n">
        <v>7.46313061208192E-008</v>
      </c>
      <c r="N220" s="280" t="n">
        <v>2.84070425609438E-007</v>
      </c>
      <c r="O220" s="280" t="n">
        <v>3.57716246832714E-011</v>
      </c>
      <c r="P220" s="280" t="n">
        <v>0</v>
      </c>
      <c r="Q220" s="281" t="n">
        <v>1.70566570158838E-009</v>
      </c>
      <c r="R220" s="281" t="n">
        <v>6.83021253535125E-008</v>
      </c>
      <c r="S220" s="281" t="n">
        <v>2.78307381281279E-008</v>
      </c>
      <c r="T220" s="281" t="n">
        <v>1.17204740498505E-006</v>
      </c>
      <c r="U220" s="281" t="n">
        <v>0</v>
      </c>
      <c r="V220" s="281" t="n">
        <v>2.21581346446701E-007</v>
      </c>
      <c r="W220" s="281" t="n">
        <v>0</v>
      </c>
      <c r="X220" s="281" t="n">
        <v>1.53479232271839E-008</v>
      </c>
      <c r="Y220" s="281" t="n">
        <v>0</v>
      </c>
      <c r="Z220" s="281" t="n">
        <v>0</v>
      </c>
      <c r="AA220" s="281" t="n">
        <v>0</v>
      </c>
      <c r="AB220" s="281" t="n">
        <v>0</v>
      </c>
      <c r="AC220" s="281" t="n">
        <v>0</v>
      </c>
      <c r="AD220" s="281" t="n">
        <v>0</v>
      </c>
    </row>
    <row r="221" customFormat="false" ht="17.35" hidden="false" customHeight="false" outlineLevel="0" collapsed="false">
      <c r="A221" s="200" t="s">
        <v>397</v>
      </c>
      <c r="B221" s="200"/>
      <c r="C221" s="200"/>
    </row>
    <row r="222" customFormat="false" ht="31.3" hidden="false" customHeight="false" outlineLevel="0" collapsed="false">
      <c r="A222" s="282" t="s">
        <v>398</v>
      </c>
      <c r="B222" s="269" t="s">
        <v>36</v>
      </c>
      <c r="C222" s="204" t="n">
        <v>2020</v>
      </c>
    </row>
    <row r="223" customFormat="false" ht="31.3" hidden="false" customHeight="false" outlineLevel="0" collapsed="false">
      <c r="A223" s="261" t="s">
        <v>399</v>
      </c>
      <c r="B223" s="283" t="s">
        <v>327</v>
      </c>
      <c r="C223" s="242" t="n">
        <v>-0.3</v>
      </c>
    </row>
    <row r="225" customFormat="false" ht="14.25" hidden="false" customHeight="true" outlineLevel="0" collapsed="false">
      <c r="A225" s="200" t="s">
        <v>400</v>
      </c>
      <c r="B225" s="200"/>
      <c r="C225" s="200"/>
    </row>
    <row r="226" customFormat="false" ht="28.5" hidden="false" customHeight="true" outlineLevel="0" collapsed="false">
      <c r="A226" s="284" t="s">
        <v>401</v>
      </c>
      <c r="B226" s="269" t="s">
        <v>28</v>
      </c>
      <c r="C226" s="270" t="n">
        <v>1</v>
      </c>
    </row>
    <row r="227" customFormat="false" ht="14.25" hidden="false" customHeight="true" outlineLevel="0" collapsed="false">
      <c r="A227" s="285" t="s">
        <v>403</v>
      </c>
      <c r="B227" s="269" t="s">
        <v>404</v>
      </c>
      <c r="C227" s="286" t="n">
        <v>1</v>
      </c>
    </row>
    <row r="228" customFormat="false" ht="14.25" hidden="false" customHeight="false" outlineLevel="0" collapsed="false">
      <c r="A228" s="285"/>
      <c r="B228" s="269" t="s">
        <v>408</v>
      </c>
      <c r="C228" s="286"/>
    </row>
    <row r="229" customFormat="false" ht="14.25" hidden="false" customHeight="false" outlineLevel="0" collapsed="false">
      <c r="A229" s="285"/>
      <c r="B229" s="269" t="s">
        <v>409</v>
      </c>
      <c r="C229" s="286"/>
    </row>
    <row r="230" customFormat="false" ht="16.4" hidden="false" customHeight="false" outlineLevel="0" collapsed="false">
      <c r="A230" s="284" t="s">
        <v>607</v>
      </c>
      <c r="B230" s="269" t="s">
        <v>608</v>
      </c>
      <c r="C230" s="204" t="n">
        <v>0.1</v>
      </c>
    </row>
    <row r="231" customFormat="false" ht="15" hidden="false" customHeight="true" outlineLevel="0" collapsed="false">
      <c r="A231" s="285" t="s">
        <v>406</v>
      </c>
      <c r="B231" s="269" t="s">
        <v>404</v>
      </c>
      <c r="C231" s="286" t="n">
        <v>1</v>
      </c>
    </row>
    <row r="232" customFormat="false" ht="14.25" hidden="false" customHeight="false" outlineLevel="0" collapsed="false">
      <c r="A232" s="285"/>
      <c r="B232" s="269" t="s">
        <v>408</v>
      </c>
      <c r="C232" s="286"/>
    </row>
    <row r="233" customFormat="false" ht="14.25" hidden="false" customHeight="false" outlineLevel="0" collapsed="false">
      <c r="A233" s="285"/>
      <c r="B233" s="269" t="s">
        <v>409</v>
      </c>
      <c r="C233" s="286"/>
    </row>
    <row r="234" customFormat="false" ht="16.4" hidden="false" customHeight="false" outlineLevel="0" collapsed="false">
      <c r="A234" s="287" t="s">
        <v>413</v>
      </c>
      <c r="B234" s="283" t="s">
        <v>608</v>
      </c>
      <c r="C234" s="242" t="n">
        <v>0.1</v>
      </c>
    </row>
    <row r="237" customFormat="false" ht="24.45" hidden="false" customHeight="false" outlineLevel="0" collapsed="false">
      <c r="A237" s="199" t="s">
        <v>609</v>
      </c>
    </row>
    <row r="238" customFormat="false" ht="15.75" hidden="false" customHeight="true" outlineLevel="0" collapsed="false">
      <c r="A238" s="200" t="s">
        <v>429</v>
      </c>
      <c r="B238" s="200"/>
      <c r="C238" s="200"/>
      <c r="D238" s="200"/>
    </row>
    <row r="239" customFormat="false" ht="15.75" hidden="false" customHeight="true" outlineLevel="0" collapsed="false">
      <c r="A239" s="288" t="s">
        <v>430</v>
      </c>
      <c r="B239" s="288"/>
      <c r="C239" s="288"/>
      <c r="D239" s="288"/>
    </row>
    <row r="240" customFormat="false" ht="15" hidden="false" customHeight="true" outlineLevel="0" collapsed="false">
      <c r="A240" s="284" t="s">
        <v>431</v>
      </c>
      <c r="B240" s="284"/>
      <c r="C240" s="284"/>
      <c r="D240" s="289" t="n">
        <v>2</v>
      </c>
    </row>
    <row r="241" customFormat="false" ht="16.4" hidden="false" customHeight="false" outlineLevel="0" collapsed="false">
      <c r="A241" s="290" t="s">
        <v>432</v>
      </c>
      <c r="B241" s="291"/>
      <c r="C241" s="291"/>
      <c r="D241" s="292"/>
    </row>
    <row r="242" customFormat="false" ht="14.25" hidden="false" customHeight="false" outlineLevel="0" collapsed="false">
      <c r="A242" s="293" t="s">
        <v>433</v>
      </c>
      <c r="B242" s="294" t="n">
        <v>2050</v>
      </c>
      <c r="C242" s="295"/>
      <c r="D242" s="295"/>
      <c r="E242" s="295"/>
    </row>
    <row r="243" customFormat="false" ht="16.4" hidden="false" customHeight="false" outlineLevel="0" collapsed="false">
      <c r="A243" s="296" t="s">
        <v>435</v>
      </c>
      <c r="B243" s="297" t="n">
        <v>2020</v>
      </c>
      <c r="C243" s="203"/>
      <c r="D243" s="298" t="s">
        <v>437</v>
      </c>
      <c r="E243" s="299" t="s">
        <v>438</v>
      </c>
    </row>
    <row r="244" customFormat="false" ht="13.5" hidden="false" customHeight="true" outlineLevel="0" collapsed="false">
      <c r="A244" s="300" t="s">
        <v>439</v>
      </c>
      <c r="B244" s="301" t="s">
        <v>440</v>
      </c>
      <c r="C244" s="269" t="s">
        <v>610</v>
      </c>
      <c r="D244" s="251" t="n">
        <v>0.201666666666667</v>
      </c>
      <c r="E244" s="223" t="n">
        <v>0.605</v>
      </c>
    </row>
    <row r="245" customFormat="false" ht="14.25" hidden="false" customHeight="false" outlineLevel="0" collapsed="false">
      <c r="A245" s="300"/>
      <c r="B245" s="301" t="s">
        <v>443</v>
      </c>
      <c r="C245" s="269" t="s">
        <v>610</v>
      </c>
      <c r="D245" s="251" t="n">
        <v>0.05</v>
      </c>
      <c r="E245" s="223" t="n">
        <v>0.15</v>
      </c>
    </row>
    <row r="246" customFormat="false" ht="14.25" hidden="false" customHeight="false" outlineLevel="0" collapsed="false">
      <c r="A246" s="300"/>
      <c r="B246" s="301" t="s">
        <v>444</v>
      </c>
      <c r="C246" s="269" t="s">
        <v>610</v>
      </c>
      <c r="D246" s="251" t="n">
        <v>0.196666666666667</v>
      </c>
      <c r="E246" s="223" t="n">
        <v>0.59</v>
      </c>
    </row>
    <row r="247" customFormat="false" ht="14.25" hidden="false" customHeight="false" outlineLevel="0" collapsed="false">
      <c r="A247" s="300"/>
      <c r="B247" s="301" t="s">
        <v>445</v>
      </c>
      <c r="C247" s="269" t="s">
        <v>610</v>
      </c>
      <c r="D247" s="251" t="n">
        <v>0.163333333333333</v>
      </c>
      <c r="E247" s="223" t="n">
        <v>0.49</v>
      </c>
    </row>
    <row r="248" customFormat="false" ht="14.25" hidden="false" customHeight="false" outlineLevel="0" collapsed="false">
      <c r="A248" s="300"/>
      <c r="B248" s="301" t="s">
        <v>446</v>
      </c>
      <c r="C248" s="269" t="s">
        <v>610</v>
      </c>
      <c r="D248" s="251" t="n">
        <v>0.00166666666666667</v>
      </c>
      <c r="E248" s="223" t="n">
        <v>0.005</v>
      </c>
    </row>
    <row r="249" customFormat="false" ht="14.25" hidden="false" customHeight="false" outlineLevel="0" collapsed="false">
      <c r="A249" s="300"/>
      <c r="B249" s="301" t="s">
        <v>447</v>
      </c>
      <c r="C249" s="269" t="s">
        <v>610</v>
      </c>
      <c r="D249" s="251" t="n">
        <v>0.0633333333333333</v>
      </c>
      <c r="E249" s="223" t="n">
        <v>0.19</v>
      </c>
    </row>
    <row r="250" customFormat="false" ht="14.25" hidden="false" customHeight="false" outlineLevel="0" collapsed="false">
      <c r="A250" s="300"/>
      <c r="B250" s="301" t="s">
        <v>448</v>
      </c>
      <c r="C250" s="269" t="s">
        <v>610</v>
      </c>
      <c r="D250" s="251" t="n">
        <v>0.253333333333333</v>
      </c>
      <c r="E250" s="223" t="n">
        <v>0.76</v>
      </c>
    </row>
    <row r="251" customFormat="false" ht="14.25" hidden="false" customHeight="false" outlineLevel="0" collapsed="false">
      <c r="A251" s="300"/>
      <c r="B251" s="301" t="s">
        <v>449</v>
      </c>
      <c r="C251" s="269" t="s">
        <v>610</v>
      </c>
      <c r="D251" s="251" t="n">
        <v>0.00166666666666667</v>
      </c>
      <c r="E251" s="223" t="n">
        <v>0.005</v>
      </c>
    </row>
    <row r="252" customFormat="false" ht="14.25" hidden="false" customHeight="false" outlineLevel="0" collapsed="false">
      <c r="A252" s="300"/>
      <c r="B252" s="301" t="s">
        <v>450</v>
      </c>
      <c r="C252" s="269" t="s">
        <v>610</v>
      </c>
      <c r="D252" s="251" t="n">
        <v>0.13</v>
      </c>
      <c r="E252" s="223" t="n">
        <v>0.39</v>
      </c>
    </row>
    <row r="253" customFormat="false" ht="14.25" hidden="false" customHeight="false" outlineLevel="0" collapsed="false">
      <c r="A253" s="300"/>
      <c r="B253" s="301" t="s">
        <v>451</v>
      </c>
      <c r="C253" s="269" t="s">
        <v>610</v>
      </c>
      <c r="D253" s="251" t="n">
        <v>0.176666666666667</v>
      </c>
      <c r="E253" s="223" t="n">
        <v>0.53</v>
      </c>
    </row>
    <row r="254" customFormat="false" ht="14.25" hidden="false" customHeight="false" outlineLevel="0" collapsed="false">
      <c r="A254" s="300"/>
      <c r="B254" s="301" t="s">
        <v>452</v>
      </c>
      <c r="C254" s="269" t="s">
        <v>610</v>
      </c>
      <c r="D254" s="251" t="n">
        <v>0.116666666666667</v>
      </c>
      <c r="E254" s="223" t="n">
        <v>0.35</v>
      </c>
    </row>
    <row r="255" customFormat="false" ht="14.25" hidden="false" customHeight="false" outlineLevel="0" collapsed="false">
      <c r="A255" s="300"/>
      <c r="B255" s="301" t="s">
        <v>453</v>
      </c>
      <c r="C255" s="269" t="s">
        <v>610</v>
      </c>
      <c r="D255" s="251" t="n">
        <v>0.188333333333333</v>
      </c>
      <c r="E255" s="223" t="n">
        <v>0.565</v>
      </c>
    </row>
    <row r="256" customFormat="false" ht="14.25" hidden="false" customHeight="false" outlineLevel="0" collapsed="false">
      <c r="A256" s="300"/>
      <c r="B256" s="301" t="s">
        <v>454</v>
      </c>
      <c r="C256" s="269" t="s">
        <v>610</v>
      </c>
      <c r="D256" s="251" t="n">
        <v>0.245</v>
      </c>
      <c r="E256" s="223" t="n">
        <v>0.735</v>
      </c>
    </row>
    <row r="257" customFormat="false" ht="14.25" hidden="false" customHeight="false" outlineLevel="0" collapsed="false">
      <c r="A257" s="300"/>
      <c r="B257" s="301" t="s">
        <v>455</v>
      </c>
      <c r="C257" s="269" t="s">
        <v>610</v>
      </c>
      <c r="D257" s="251" t="n">
        <v>0.191666666666667</v>
      </c>
      <c r="E257" s="223" t="n">
        <v>0.575</v>
      </c>
    </row>
    <row r="258" customFormat="false" ht="14.25" hidden="false" customHeight="false" outlineLevel="0" collapsed="false">
      <c r="A258" s="300"/>
      <c r="B258" s="301" t="s">
        <v>456</v>
      </c>
      <c r="C258" s="269" t="s">
        <v>610</v>
      </c>
      <c r="D258" s="251" t="n">
        <v>0.101666666666667</v>
      </c>
      <c r="E258" s="223" t="n">
        <v>0.305</v>
      </c>
    </row>
    <row r="259" customFormat="false" ht="14.25" hidden="false" customHeight="false" outlineLevel="0" collapsed="false">
      <c r="A259" s="300"/>
      <c r="B259" s="301" t="s">
        <v>457</v>
      </c>
      <c r="C259" s="269" t="s">
        <v>610</v>
      </c>
      <c r="D259" s="251" t="n">
        <v>0.00166666666666667</v>
      </c>
      <c r="E259" s="223" t="n">
        <v>0.005</v>
      </c>
    </row>
    <row r="260" customFormat="false" ht="14.25" hidden="false" customHeight="false" outlineLevel="0" collapsed="false">
      <c r="A260" s="300"/>
      <c r="B260" s="301" t="s">
        <v>458</v>
      </c>
      <c r="C260" s="269" t="s">
        <v>610</v>
      </c>
      <c r="D260" s="251" t="n">
        <v>0.303333333333333</v>
      </c>
      <c r="E260" s="223" t="n">
        <v>0.91</v>
      </c>
    </row>
    <row r="261" customFormat="false" ht="14.25" hidden="false" customHeight="false" outlineLevel="0" collapsed="false">
      <c r="A261" s="300"/>
      <c r="B261" s="301" t="s">
        <v>459</v>
      </c>
      <c r="C261" s="269" t="s">
        <v>610</v>
      </c>
      <c r="D261" s="251" t="n">
        <v>0.00166666666666667</v>
      </c>
      <c r="E261" s="223" t="n">
        <v>0.005</v>
      </c>
    </row>
    <row r="262" customFormat="false" ht="14.25" hidden="false" customHeight="false" outlineLevel="0" collapsed="false">
      <c r="A262" s="300"/>
      <c r="B262" s="302" t="s">
        <v>460</v>
      </c>
      <c r="C262" s="283" t="s">
        <v>610</v>
      </c>
      <c r="D262" s="206" t="n">
        <v>0.183333333333333</v>
      </c>
      <c r="E262" s="207" t="n">
        <v>0.55</v>
      </c>
    </row>
    <row r="263" customFormat="false" ht="15" hidden="false" customHeight="true" outlineLevel="0" collapsed="false">
      <c r="A263" s="303" t="s">
        <v>461</v>
      </c>
      <c r="B263" s="303"/>
      <c r="C263" s="303"/>
    </row>
    <row r="264" customFormat="false" ht="31.3" hidden="false" customHeight="false" outlineLevel="0" collapsed="false">
      <c r="A264" s="284" t="s">
        <v>611</v>
      </c>
      <c r="B264" s="269" t="s">
        <v>612</v>
      </c>
      <c r="C264" s="304" t="n">
        <v>0.014</v>
      </c>
    </row>
    <row r="265" customFormat="false" ht="16.4" hidden="false" customHeight="false" outlineLevel="0" collapsed="false">
      <c r="A265" s="284" t="s">
        <v>613</v>
      </c>
      <c r="B265" s="269" t="s">
        <v>423</v>
      </c>
      <c r="C265" s="204" t="n">
        <v>2020</v>
      </c>
    </row>
    <row r="266" customFormat="false" ht="16.4" hidden="false" customHeight="false" outlineLevel="0" collapsed="false">
      <c r="A266" s="284" t="s">
        <v>614</v>
      </c>
      <c r="B266" s="269" t="s">
        <v>612</v>
      </c>
      <c r="C266" s="304" t="n">
        <v>0.014</v>
      </c>
    </row>
    <row r="267" customFormat="false" ht="16.4" hidden="false" customHeight="false" outlineLevel="0" collapsed="false">
      <c r="A267" s="287" t="s">
        <v>615</v>
      </c>
      <c r="B267" s="283" t="s">
        <v>423</v>
      </c>
      <c r="C267" s="242" t="n">
        <v>2020</v>
      </c>
    </row>
    <row r="269" customFormat="false" ht="17.35" hidden="false" customHeight="false" outlineLevel="0" collapsed="false">
      <c r="A269" s="200" t="s">
        <v>232</v>
      </c>
      <c r="B269" s="200"/>
      <c r="C269" s="200"/>
    </row>
    <row r="270" customFormat="false" ht="14.25" hidden="false" customHeight="false" outlineLevel="0" collapsed="false">
      <c r="A270" s="305" t="s">
        <v>233</v>
      </c>
      <c r="B270" s="305"/>
      <c r="C270" s="305"/>
      <c r="H270" s="54"/>
      <c r="J270" s="57"/>
    </row>
    <row r="271" customFormat="false" ht="16.4" hidden="false" customHeight="false" outlineLevel="0" collapsed="false">
      <c r="A271" s="284" t="s">
        <v>234</v>
      </c>
      <c r="B271" s="203" t="s">
        <v>28</v>
      </c>
      <c r="C271" s="306" t="n">
        <v>1</v>
      </c>
      <c r="H271" s="54"/>
      <c r="J271" s="57"/>
    </row>
    <row r="272" customFormat="false" ht="14.25" hidden="false" customHeight="false" outlineLevel="0" collapsed="false">
      <c r="A272" s="305" t="s">
        <v>616</v>
      </c>
      <c r="B272" s="305"/>
      <c r="C272" s="305"/>
      <c r="H272" s="54"/>
      <c r="J272" s="57"/>
    </row>
    <row r="273" customFormat="false" ht="15" hidden="false" customHeight="true" outlineLevel="0" collapsed="false">
      <c r="A273" s="300" t="s">
        <v>617</v>
      </c>
      <c r="B273" s="269" t="s">
        <v>618</v>
      </c>
      <c r="C273" s="307" t="n">
        <v>4</v>
      </c>
      <c r="H273" s="54"/>
      <c r="J273" s="57"/>
    </row>
    <row r="274" customFormat="false" ht="14.25" hidden="false" customHeight="false" outlineLevel="0" collapsed="false">
      <c r="A274" s="300"/>
      <c r="B274" s="269" t="s">
        <v>619</v>
      </c>
      <c r="C274" s="307"/>
      <c r="H274" s="54"/>
      <c r="J274" s="57"/>
    </row>
    <row r="275" customFormat="false" ht="14.25" hidden="false" customHeight="false" outlineLevel="0" collapsed="false">
      <c r="A275" s="300"/>
      <c r="B275" s="269" t="s">
        <v>620</v>
      </c>
      <c r="C275" s="307"/>
      <c r="H275" s="54"/>
      <c r="J275" s="57"/>
    </row>
    <row r="276" customFormat="false" ht="14.25" hidden="false" customHeight="false" outlineLevel="0" collapsed="false">
      <c r="A276" s="300"/>
      <c r="B276" s="283" t="s">
        <v>621</v>
      </c>
      <c r="C276" s="307"/>
      <c r="H276" s="54"/>
      <c r="J276" s="57"/>
    </row>
    <row r="277" customFormat="false" ht="14.25" hidden="false" customHeight="false" outlineLevel="0" collapsed="false">
      <c r="H277" s="54"/>
      <c r="J277" s="57"/>
    </row>
    <row r="278" customFormat="false" ht="14.25" hidden="false" customHeight="false" outlineLevel="0" collapsed="false">
      <c r="A278" s="308" t="s">
        <v>164</v>
      </c>
      <c r="B278" s="309"/>
      <c r="H278" s="54"/>
      <c r="J278" s="57"/>
    </row>
    <row r="279" customFormat="false" ht="14.25" hidden="false" customHeight="false" outlineLevel="0" collapsed="false">
      <c r="A279" s="310" t="s">
        <v>165</v>
      </c>
      <c r="B279" s="311" t="n">
        <v>1</v>
      </c>
      <c r="H279" s="54"/>
      <c r="J279" s="57"/>
    </row>
    <row r="280" customFormat="false" ht="14.25" hidden="false" customHeight="false" outlineLevel="0" collapsed="false">
      <c r="H280" s="54"/>
      <c r="J280" s="57"/>
    </row>
    <row r="281" customFormat="false" ht="17.35" hidden="false" customHeight="false" outlineLevel="0" collapsed="false">
      <c r="A281" s="200" t="s">
        <v>622</v>
      </c>
      <c r="B281" s="200"/>
      <c r="C281" s="200"/>
      <c r="D281" s="200"/>
      <c r="E281" s="200"/>
      <c r="F281" s="200"/>
      <c r="G281" s="200"/>
      <c r="H281" s="200"/>
      <c r="I281" s="200"/>
      <c r="J281" s="57"/>
    </row>
    <row r="282" customFormat="false" ht="14.25" hidden="false" customHeight="false" outlineLevel="0" collapsed="false">
      <c r="A282" s="312" t="s">
        <v>623</v>
      </c>
      <c r="B282" s="202" t="s">
        <v>36</v>
      </c>
      <c r="C282" s="203" t="n">
        <v>2020</v>
      </c>
      <c r="D282" s="203" t="n">
        <v>2025</v>
      </c>
      <c r="E282" s="203" t="n">
        <v>2030</v>
      </c>
      <c r="F282" s="203" t="n">
        <v>2035</v>
      </c>
      <c r="G282" s="203" t="n">
        <v>2040</v>
      </c>
      <c r="H282" s="203" t="n">
        <v>2045</v>
      </c>
      <c r="I282" s="204" t="n">
        <v>2050</v>
      </c>
      <c r="J282" s="57"/>
    </row>
    <row r="283" customFormat="false" ht="14.25" hidden="false" customHeight="false" outlineLevel="0" collapsed="false">
      <c r="A283" s="312" t="s">
        <v>576</v>
      </c>
      <c r="B283" s="202" t="s">
        <v>499</v>
      </c>
      <c r="C283" s="203" t="n">
        <v>0</v>
      </c>
      <c r="D283" s="203" t="n">
        <v>0</v>
      </c>
      <c r="E283" s="203" t="n">
        <v>0</v>
      </c>
      <c r="F283" s="203" t="n">
        <v>0</v>
      </c>
      <c r="G283" s="203" t="n">
        <v>0</v>
      </c>
      <c r="H283" s="203" t="n">
        <v>0</v>
      </c>
      <c r="I283" s="204" t="n">
        <v>0</v>
      </c>
      <c r="J283" s="57"/>
    </row>
    <row r="284" customFormat="false" ht="14.25" hidden="false" customHeight="false" outlineLevel="0" collapsed="false">
      <c r="A284" s="312" t="s">
        <v>579</v>
      </c>
      <c r="B284" s="202" t="s">
        <v>499</v>
      </c>
      <c r="C284" s="203" t="n">
        <v>0</v>
      </c>
      <c r="D284" s="203" t="n">
        <v>0</v>
      </c>
      <c r="E284" s="203" t="n">
        <v>0</v>
      </c>
      <c r="F284" s="203" t="n">
        <v>0</v>
      </c>
      <c r="G284" s="203" t="n">
        <v>0</v>
      </c>
      <c r="H284" s="203" t="n">
        <v>0</v>
      </c>
      <c r="I284" s="204" t="n">
        <v>0</v>
      </c>
      <c r="J284" s="57"/>
    </row>
    <row r="285" customFormat="false" ht="14.25" hidden="false" customHeight="false" outlineLevel="0" collapsed="false">
      <c r="A285" s="312" t="s">
        <v>362</v>
      </c>
      <c r="B285" s="202" t="s">
        <v>499</v>
      </c>
      <c r="C285" s="203" t="n">
        <v>0</v>
      </c>
      <c r="D285" s="203" t="n">
        <v>0</v>
      </c>
      <c r="E285" s="203" t="n">
        <v>0</v>
      </c>
      <c r="F285" s="203" t="n">
        <v>0</v>
      </c>
      <c r="G285" s="203" t="n">
        <v>0</v>
      </c>
      <c r="H285" s="203" t="n">
        <v>0</v>
      </c>
      <c r="I285" s="204" t="n">
        <v>0</v>
      </c>
      <c r="J285" s="57"/>
    </row>
    <row r="286" customFormat="false" ht="14.25" hidden="false" customHeight="false" outlineLevel="0" collapsed="false">
      <c r="A286" s="312" t="s">
        <v>580</v>
      </c>
      <c r="B286" s="202" t="s">
        <v>499</v>
      </c>
      <c r="C286" s="203" t="n">
        <v>0</v>
      </c>
      <c r="D286" s="203" t="n">
        <v>0</v>
      </c>
      <c r="E286" s="203" t="n">
        <v>0</v>
      </c>
      <c r="F286" s="203" t="n">
        <v>0</v>
      </c>
      <c r="G286" s="203" t="n">
        <v>0</v>
      </c>
      <c r="H286" s="203" t="n">
        <v>0</v>
      </c>
      <c r="I286" s="204" t="n">
        <v>0</v>
      </c>
      <c r="J286" s="57"/>
    </row>
    <row r="287" customFormat="false" ht="14.25" hidden="false" customHeight="false" outlineLevel="0" collapsed="false">
      <c r="A287" s="312" t="s">
        <v>581</v>
      </c>
      <c r="B287" s="202" t="s">
        <v>499</v>
      </c>
      <c r="C287" s="203" t="n">
        <v>0</v>
      </c>
      <c r="D287" s="203" t="n">
        <v>0</v>
      </c>
      <c r="E287" s="203" t="n">
        <v>0</v>
      </c>
      <c r="F287" s="203" t="n">
        <v>0</v>
      </c>
      <c r="G287" s="203" t="n">
        <v>0</v>
      </c>
      <c r="H287" s="203" t="n">
        <v>0</v>
      </c>
      <c r="I287" s="204" t="n">
        <v>0</v>
      </c>
      <c r="J287" s="57"/>
    </row>
    <row r="288" customFormat="false" ht="14.25" hidden="false" customHeight="false" outlineLevel="0" collapsed="false">
      <c r="A288" s="312" t="s">
        <v>582</v>
      </c>
      <c r="B288" s="202" t="s">
        <v>499</v>
      </c>
      <c r="C288" s="203" t="n">
        <v>0</v>
      </c>
      <c r="D288" s="203" t="n">
        <v>0</v>
      </c>
      <c r="E288" s="203" t="n">
        <v>0</v>
      </c>
      <c r="F288" s="203" t="n">
        <v>0</v>
      </c>
      <c r="G288" s="203" t="n">
        <v>0</v>
      </c>
      <c r="H288" s="203" t="n">
        <v>0</v>
      </c>
      <c r="I288" s="204" t="n">
        <v>0</v>
      </c>
      <c r="J288" s="57"/>
    </row>
    <row r="289" customFormat="false" ht="14.25" hidden="false" customHeight="false" outlineLevel="0" collapsed="false">
      <c r="A289" s="312" t="s">
        <v>583</v>
      </c>
      <c r="B289" s="202" t="s">
        <v>499</v>
      </c>
      <c r="C289" s="203" t="n">
        <v>0</v>
      </c>
      <c r="D289" s="203" t="n">
        <v>0</v>
      </c>
      <c r="E289" s="203" t="n">
        <v>0</v>
      </c>
      <c r="F289" s="203" t="n">
        <v>0</v>
      </c>
      <c r="G289" s="203" t="n">
        <v>0</v>
      </c>
      <c r="H289" s="203" t="n">
        <v>0</v>
      </c>
      <c r="I289" s="204" t="n">
        <v>0</v>
      </c>
      <c r="J289" s="57"/>
    </row>
    <row r="290" customFormat="false" ht="14.25" hidden="false" customHeight="false" outlineLevel="0" collapsed="false">
      <c r="A290" s="312" t="s">
        <v>354</v>
      </c>
      <c r="B290" s="202" t="s">
        <v>499</v>
      </c>
      <c r="C290" s="203" t="n">
        <v>0</v>
      </c>
      <c r="D290" s="203" t="n">
        <v>0</v>
      </c>
      <c r="E290" s="203" t="n">
        <v>0</v>
      </c>
      <c r="F290" s="203" t="n">
        <v>0</v>
      </c>
      <c r="G290" s="203" t="n">
        <v>0</v>
      </c>
      <c r="H290" s="203" t="n">
        <v>0</v>
      </c>
      <c r="I290" s="204" t="n">
        <v>0</v>
      </c>
      <c r="J290" s="57"/>
    </row>
    <row r="291" customFormat="false" ht="14.25" hidden="false" customHeight="false" outlineLevel="0" collapsed="false">
      <c r="A291" s="312" t="s">
        <v>584</v>
      </c>
      <c r="B291" s="202" t="s">
        <v>499</v>
      </c>
      <c r="C291" s="203" t="n">
        <v>0</v>
      </c>
      <c r="D291" s="203" t="n">
        <v>0</v>
      </c>
      <c r="E291" s="203" t="n">
        <v>0.00161360525774253</v>
      </c>
      <c r="F291" s="203" t="n">
        <v>0.0041492706627665</v>
      </c>
      <c r="G291" s="203" t="n">
        <v>0.00668493606779047</v>
      </c>
      <c r="H291" s="203" t="n">
        <v>0.00922060147281444</v>
      </c>
      <c r="I291" s="204" t="n">
        <v>0.0126783270251199</v>
      </c>
      <c r="J291" s="57"/>
    </row>
    <row r="292" customFormat="false" ht="14.25" hidden="false" customHeight="false" outlineLevel="0" collapsed="false">
      <c r="A292" s="312" t="s">
        <v>585</v>
      </c>
      <c r="B292" s="202" t="s">
        <v>499</v>
      </c>
      <c r="C292" s="203" t="n">
        <v>0</v>
      </c>
      <c r="D292" s="203" t="n">
        <v>0</v>
      </c>
      <c r="E292" s="203" t="n">
        <v>0</v>
      </c>
      <c r="F292" s="203" t="n">
        <v>0</v>
      </c>
      <c r="G292" s="203" t="n">
        <v>0</v>
      </c>
      <c r="H292" s="203" t="n">
        <v>0</v>
      </c>
      <c r="I292" s="204" t="n">
        <v>0</v>
      </c>
      <c r="J292" s="57"/>
    </row>
    <row r="293" customFormat="false" ht="14.25" hidden="false" customHeight="false" outlineLevel="0" collapsed="false">
      <c r="A293" s="312" t="s">
        <v>586</v>
      </c>
      <c r="B293" s="202" t="s">
        <v>499</v>
      </c>
      <c r="C293" s="203" t="n">
        <v>0</v>
      </c>
      <c r="D293" s="203" t="n">
        <v>0</v>
      </c>
      <c r="E293" s="203" t="n">
        <v>0</v>
      </c>
      <c r="F293" s="203" t="n">
        <v>0</v>
      </c>
      <c r="G293" s="203" t="n">
        <v>0</v>
      </c>
      <c r="H293" s="203" t="n">
        <v>0</v>
      </c>
      <c r="I293" s="204" t="n">
        <v>0</v>
      </c>
      <c r="J293" s="57"/>
    </row>
    <row r="294" customFormat="false" ht="14.25" hidden="false" customHeight="false" outlineLevel="0" collapsed="false">
      <c r="A294" s="312" t="s">
        <v>587</v>
      </c>
      <c r="B294" s="202" t="s">
        <v>499</v>
      </c>
      <c r="C294" s="203" t="n">
        <v>0</v>
      </c>
      <c r="D294" s="203" t="n">
        <v>0</v>
      </c>
      <c r="E294" s="203" t="n">
        <v>0.000159949209222292</v>
      </c>
      <c r="F294" s="203" t="n">
        <v>0.000411297966571607</v>
      </c>
      <c r="G294" s="203" t="n">
        <v>0.000662646723920922</v>
      </c>
      <c r="H294" s="203" t="n">
        <v>0.000913995481270237</v>
      </c>
      <c r="I294" s="204" t="n">
        <v>0.00125674378674658</v>
      </c>
      <c r="J294" s="57"/>
    </row>
    <row r="295" customFormat="false" ht="14.25" hidden="false" customHeight="false" outlineLevel="0" collapsed="false">
      <c r="A295" s="312" t="s">
        <v>588</v>
      </c>
      <c r="B295" s="202" t="s">
        <v>499</v>
      </c>
      <c r="C295" s="203" t="n">
        <v>0</v>
      </c>
      <c r="D295" s="203" t="n">
        <v>0</v>
      </c>
      <c r="E295" s="203" t="n">
        <v>0</v>
      </c>
      <c r="F295" s="203" t="n">
        <v>0</v>
      </c>
      <c r="G295" s="203" t="n">
        <v>0</v>
      </c>
      <c r="H295" s="203" t="n">
        <v>0</v>
      </c>
      <c r="I295" s="204" t="n">
        <v>0</v>
      </c>
      <c r="J295" s="57"/>
    </row>
    <row r="296" customFormat="false" ht="14.25" hidden="false" customHeight="false" outlineLevel="0" collapsed="false">
      <c r="A296" s="312" t="s">
        <v>589</v>
      </c>
      <c r="B296" s="202" t="s">
        <v>499</v>
      </c>
      <c r="C296" s="203" t="n">
        <v>0</v>
      </c>
      <c r="D296" s="203" t="n">
        <f aca="false">E296/2</f>
        <v>0</v>
      </c>
      <c r="E296" s="203" t="n">
        <v>0</v>
      </c>
      <c r="F296" s="203" t="n">
        <v>0</v>
      </c>
      <c r="G296" s="203" t="n">
        <v>0</v>
      </c>
      <c r="H296" s="203" t="n">
        <v>0</v>
      </c>
      <c r="I296" s="204" t="n">
        <v>0</v>
      </c>
      <c r="J296" s="57"/>
    </row>
    <row r="297" customFormat="false" ht="14.25" hidden="false" customHeight="false" outlineLevel="0" collapsed="false">
      <c r="A297" s="312" t="s">
        <v>590</v>
      </c>
      <c r="B297" s="202" t="s">
        <v>499</v>
      </c>
      <c r="C297" s="203" t="n">
        <v>0</v>
      </c>
      <c r="D297" s="203" t="n">
        <f aca="false">E297/2</f>
        <v>0</v>
      </c>
      <c r="E297" s="203" t="n">
        <v>0</v>
      </c>
      <c r="F297" s="203" t="n">
        <v>0</v>
      </c>
      <c r="G297" s="203" t="n">
        <v>0</v>
      </c>
      <c r="H297" s="203" t="n">
        <v>0</v>
      </c>
      <c r="I297" s="204" t="n">
        <v>0</v>
      </c>
      <c r="J297" s="57"/>
    </row>
    <row r="298" customFormat="false" ht="14.25" hidden="false" customHeight="false" outlineLevel="0" collapsed="false">
      <c r="A298" s="312" t="s">
        <v>338</v>
      </c>
      <c r="B298" s="202" t="s">
        <v>499</v>
      </c>
      <c r="C298" s="203" t="n">
        <v>0</v>
      </c>
      <c r="D298" s="203" t="n">
        <f aca="false">E298/2</f>
        <v>0</v>
      </c>
      <c r="E298" s="203" t="n">
        <v>0</v>
      </c>
      <c r="F298" s="203" t="n">
        <v>0</v>
      </c>
      <c r="G298" s="203" t="n">
        <v>0</v>
      </c>
      <c r="H298" s="203" t="n">
        <v>0</v>
      </c>
      <c r="I298" s="204" t="n">
        <v>0</v>
      </c>
      <c r="J298" s="57"/>
    </row>
    <row r="299" customFormat="false" ht="14.25" hidden="false" customHeight="false" outlineLevel="0" collapsed="false">
      <c r="A299" s="312" t="s">
        <v>591</v>
      </c>
      <c r="B299" s="202" t="s">
        <v>499</v>
      </c>
      <c r="C299" s="203" t="n">
        <v>0</v>
      </c>
      <c r="D299" s="203" t="n">
        <v>0</v>
      </c>
      <c r="E299" s="203" t="n">
        <v>0</v>
      </c>
      <c r="F299" s="203" t="n">
        <v>0</v>
      </c>
      <c r="G299" s="203" t="n">
        <v>0</v>
      </c>
      <c r="H299" s="203" t="n">
        <v>0</v>
      </c>
      <c r="I299" s="204" t="n">
        <v>0</v>
      </c>
      <c r="J299" s="57"/>
    </row>
    <row r="300" customFormat="false" ht="14.25" hidden="false" customHeight="false" outlineLevel="0" collapsed="false">
      <c r="A300" s="312" t="s">
        <v>592</v>
      </c>
      <c r="B300" s="202" t="s">
        <v>499</v>
      </c>
      <c r="C300" s="203" t="n">
        <v>0</v>
      </c>
      <c r="D300" s="203" t="n">
        <v>0</v>
      </c>
      <c r="E300" s="203" t="n">
        <v>0.000762110938059153</v>
      </c>
      <c r="F300" s="203" t="n">
        <v>0.00195971384072354</v>
      </c>
      <c r="G300" s="203" t="n">
        <v>0.00315731674338792</v>
      </c>
      <c r="H300" s="203" t="n">
        <v>0.0043549196460523</v>
      </c>
      <c r="I300" s="204" t="n">
        <v>0.00598801451332192</v>
      </c>
      <c r="J300" s="57"/>
    </row>
    <row r="301" customFormat="false" ht="14.25" hidden="false" customHeight="false" outlineLevel="0" collapsed="false">
      <c r="A301" s="312" t="s">
        <v>593</v>
      </c>
      <c r="B301" s="202" t="s">
        <v>499</v>
      </c>
      <c r="C301" s="203" t="n">
        <v>0</v>
      </c>
      <c r="D301" s="203" t="n">
        <v>0</v>
      </c>
      <c r="E301" s="203" t="n">
        <v>0</v>
      </c>
      <c r="F301" s="203" t="n">
        <v>0</v>
      </c>
      <c r="G301" s="203" t="n">
        <v>0</v>
      </c>
      <c r="H301" s="203" t="n">
        <v>0</v>
      </c>
      <c r="I301" s="204" t="n">
        <v>0</v>
      </c>
      <c r="J301" s="57"/>
    </row>
    <row r="302" customFormat="false" ht="14.25" hidden="false" customHeight="false" outlineLevel="0" collapsed="false">
      <c r="A302" s="312" t="s">
        <v>594</v>
      </c>
      <c r="B302" s="202" t="s">
        <v>499</v>
      </c>
      <c r="C302" s="203" t="n">
        <v>0</v>
      </c>
      <c r="D302" s="203" t="n">
        <v>0</v>
      </c>
      <c r="E302" s="203" t="n">
        <v>0</v>
      </c>
      <c r="F302" s="203" t="n">
        <v>0</v>
      </c>
      <c r="G302" s="203" t="n">
        <v>0</v>
      </c>
      <c r="H302" s="203" t="n">
        <v>0</v>
      </c>
      <c r="I302" s="204" t="n">
        <v>0</v>
      </c>
      <c r="J302" s="57"/>
    </row>
    <row r="303" customFormat="false" ht="14.25" hidden="false" customHeight="false" outlineLevel="0" collapsed="false">
      <c r="A303" s="312" t="s">
        <v>595</v>
      </c>
      <c r="B303" s="202" t="s">
        <v>499</v>
      </c>
      <c r="C303" s="203" t="n">
        <v>0</v>
      </c>
      <c r="D303" s="203" t="n">
        <v>0</v>
      </c>
      <c r="E303" s="203" t="n">
        <v>0</v>
      </c>
      <c r="F303" s="203" t="n">
        <v>0</v>
      </c>
      <c r="G303" s="203" t="n">
        <v>0</v>
      </c>
      <c r="H303" s="203" t="n">
        <v>0</v>
      </c>
      <c r="I303" s="204" t="n">
        <v>0</v>
      </c>
      <c r="J303" s="57"/>
    </row>
    <row r="304" customFormat="false" ht="14.25" hidden="false" customHeight="false" outlineLevel="0" collapsed="false">
      <c r="A304" s="312" t="s">
        <v>596</v>
      </c>
      <c r="B304" s="202" t="s">
        <v>499</v>
      </c>
      <c r="C304" s="203" t="n">
        <v>0</v>
      </c>
      <c r="D304" s="203" t="n">
        <f aca="false">E304/2</f>
        <v>0</v>
      </c>
      <c r="E304" s="203" t="n">
        <v>0</v>
      </c>
      <c r="F304" s="203" t="n">
        <v>0</v>
      </c>
      <c r="G304" s="203" t="n">
        <v>0</v>
      </c>
      <c r="H304" s="203" t="n">
        <v>0</v>
      </c>
      <c r="I304" s="204" t="n">
        <v>0</v>
      </c>
      <c r="J304" s="57"/>
    </row>
    <row r="305" customFormat="false" ht="14.25" hidden="false" customHeight="false" outlineLevel="0" collapsed="false">
      <c r="A305" s="312" t="s">
        <v>597</v>
      </c>
      <c r="B305" s="202" t="s">
        <v>499</v>
      </c>
      <c r="C305" s="203" t="n">
        <v>0</v>
      </c>
      <c r="D305" s="203" t="n">
        <f aca="false">E305/2</f>
        <v>0</v>
      </c>
      <c r="E305" s="203" t="n">
        <v>0</v>
      </c>
      <c r="F305" s="203" t="n">
        <v>0</v>
      </c>
      <c r="G305" s="203" t="n">
        <v>0</v>
      </c>
      <c r="H305" s="203" t="n">
        <v>0</v>
      </c>
      <c r="I305" s="204" t="n">
        <v>0</v>
      </c>
      <c r="J305" s="57"/>
    </row>
    <row r="306" customFormat="false" ht="14.25" hidden="false" customHeight="false" outlineLevel="0" collapsed="false">
      <c r="A306" s="312" t="s">
        <v>598</v>
      </c>
      <c r="B306" s="202" t="s">
        <v>499</v>
      </c>
      <c r="C306" s="203" t="n">
        <v>0</v>
      </c>
      <c r="D306" s="203" t="n">
        <f aca="false">E306/2</f>
        <v>0</v>
      </c>
      <c r="E306" s="203" t="n">
        <v>0</v>
      </c>
      <c r="F306" s="203" t="n">
        <v>0</v>
      </c>
      <c r="G306" s="203" t="n">
        <v>0</v>
      </c>
      <c r="H306" s="203" t="n">
        <v>0</v>
      </c>
      <c r="I306" s="204" t="n">
        <v>0</v>
      </c>
      <c r="J306" s="57"/>
    </row>
    <row r="307" customFormat="false" ht="14.25" hidden="false" customHeight="false" outlineLevel="0" collapsed="false">
      <c r="A307" s="312" t="s">
        <v>599</v>
      </c>
      <c r="B307" s="202" t="s">
        <v>499</v>
      </c>
      <c r="C307" s="203" t="n">
        <v>0</v>
      </c>
      <c r="D307" s="203" t="n">
        <f aca="false">E307/2</f>
        <v>0</v>
      </c>
      <c r="E307" s="203" t="n">
        <v>0</v>
      </c>
      <c r="F307" s="203" t="n">
        <v>0</v>
      </c>
      <c r="G307" s="203" t="n">
        <v>0</v>
      </c>
      <c r="H307" s="203" t="n">
        <v>0</v>
      </c>
      <c r="I307" s="204" t="n">
        <v>0</v>
      </c>
      <c r="J307" s="57"/>
    </row>
    <row r="308" customFormat="false" ht="14.25" hidden="false" customHeight="false" outlineLevel="0" collapsed="false">
      <c r="A308" s="312" t="s">
        <v>351</v>
      </c>
      <c r="B308" s="202" t="s">
        <v>499</v>
      </c>
      <c r="C308" s="203" t="n">
        <v>0</v>
      </c>
      <c r="D308" s="203" t="n">
        <v>0</v>
      </c>
      <c r="E308" s="203" t="n">
        <v>0</v>
      </c>
      <c r="F308" s="203" t="n">
        <v>0</v>
      </c>
      <c r="G308" s="203" t="n">
        <v>0</v>
      </c>
      <c r="H308" s="203" t="n">
        <v>0</v>
      </c>
      <c r="I308" s="204" t="n">
        <v>0</v>
      </c>
      <c r="J308" s="57"/>
    </row>
    <row r="309" customFormat="false" ht="14.25" hidden="false" customHeight="false" outlineLevel="0" collapsed="false">
      <c r="A309" s="312" t="s">
        <v>361</v>
      </c>
      <c r="B309" s="202" t="s">
        <v>499</v>
      </c>
      <c r="C309" s="203" t="n">
        <v>0</v>
      </c>
      <c r="D309" s="203" t="n">
        <v>0</v>
      </c>
      <c r="E309" s="203" t="n">
        <v>0</v>
      </c>
      <c r="F309" s="203" t="n">
        <v>0</v>
      </c>
      <c r="G309" s="203" t="n">
        <v>0</v>
      </c>
      <c r="H309" s="203" t="n">
        <v>0</v>
      </c>
      <c r="I309" s="204" t="n">
        <v>0</v>
      </c>
      <c r="J309" s="57"/>
    </row>
    <row r="310" customFormat="false" ht="14.25" hidden="false" customHeight="false" outlineLevel="0" collapsed="false">
      <c r="A310" s="312" t="s">
        <v>600</v>
      </c>
      <c r="B310" s="202" t="s">
        <v>499</v>
      </c>
      <c r="C310" s="203" t="n">
        <v>0</v>
      </c>
      <c r="D310" s="203" t="n">
        <v>0</v>
      </c>
      <c r="E310" s="203" t="n">
        <v>0</v>
      </c>
      <c r="F310" s="203" t="n">
        <v>0</v>
      </c>
      <c r="G310" s="203" t="n">
        <v>0</v>
      </c>
      <c r="H310" s="203" t="n">
        <v>0</v>
      </c>
      <c r="I310" s="204" t="n">
        <v>0</v>
      </c>
      <c r="J310" s="57"/>
    </row>
    <row r="311" customFormat="false" ht="14.25" hidden="false" customHeight="false" outlineLevel="0" collapsed="false">
      <c r="A311" s="313" t="s">
        <v>624</v>
      </c>
      <c r="B311" s="314"/>
      <c r="C311" s="314"/>
      <c r="D311" s="314"/>
      <c r="E311" s="314"/>
      <c r="F311" s="314"/>
      <c r="G311" s="314"/>
      <c r="H311" s="315"/>
      <c r="I311" s="314"/>
      <c r="J311" s="57"/>
    </row>
    <row r="312" customFormat="false" ht="14.25" hidden="false" customHeight="false" outlineLevel="0" collapsed="false">
      <c r="A312" s="312" t="s">
        <v>576</v>
      </c>
      <c r="B312" s="202" t="s">
        <v>28</v>
      </c>
      <c r="C312" s="203" t="n">
        <v>0.189349112426035</v>
      </c>
      <c r="D312" s="203" t="n">
        <v>0.189349112426035</v>
      </c>
      <c r="E312" s="203" t="n">
        <v>0.189349112426035</v>
      </c>
      <c r="F312" s="203" t="n">
        <v>0.189349112426035</v>
      </c>
      <c r="G312" s="203" t="n">
        <v>0.189349112426035</v>
      </c>
      <c r="H312" s="203" t="n">
        <f aca="false">G312+(I312-G312)/2</f>
        <v>0.238653613804641</v>
      </c>
      <c r="I312" s="203" t="n">
        <v>0.287958115183246</v>
      </c>
      <c r="J312" s="57"/>
    </row>
    <row r="313" customFormat="false" ht="14.25" hidden="false" customHeight="false" outlineLevel="0" collapsed="false">
      <c r="A313" s="312" t="s">
        <v>579</v>
      </c>
      <c r="B313" s="202" t="s">
        <v>28</v>
      </c>
      <c r="C313" s="203" t="n">
        <v>0.189349112426035</v>
      </c>
      <c r="D313" s="203" t="n">
        <v>0.189349112426035</v>
      </c>
      <c r="E313" s="203" t="n">
        <v>0.189349112426035</v>
      </c>
      <c r="F313" s="203" t="n">
        <v>0.189349112426035</v>
      </c>
      <c r="G313" s="203" t="n">
        <v>0.189349112426035</v>
      </c>
      <c r="H313" s="203" t="n">
        <f aca="false">G313+(I313-G313)/2</f>
        <v>0.238653613804641</v>
      </c>
      <c r="I313" s="203" t="n">
        <v>0.287958115183246</v>
      </c>
      <c r="J313" s="57"/>
    </row>
    <row r="314" customFormat="false" ht="14.25" hidden="false" customHeight="false" outlineLevel="0" collapsed="false">
      <c r="A314" s="312" t="s">
        <v>362</v>
      </c>
      <c r="B314" s="202" t="s">
        <v>28</v>
      </c>
      <c r="C314" s="203" t="n">
        <v>0.189349112426035</v>
      </c>
      <c r="D314" s="203" t="n">
        <v>0.189349112426035</v>
      </c>
      <c r="E314" s="203" t="n">
        <v>0.189349112426035</v>
      </c>
      <c r="F314" s="203" t="n">
        <v>0.189349112426035</v>
      </c>
      <c r="G314" s="203" t="n">
        <v>0.189349112426035</v>
      </c>
      <c r="H314" s="203" t="n">
        <f aca="false">G314+(I314-G314)/2</f>
        <v>0.238653613804641</v>
      </c>
      <c r="I314" s="203" t="n">
        <v>0.287958115183246</v>
      </c>
      <c r="J314" s="57"/>
    </row>
    <row r="315" customFormat="false" ht="14.25" hidden="false" customHeight="false" outlineLevel="0" collapsed="false">
      <c r="A315" s="312" t="s">
        <v>580</v>
      </c>
      <c r="B315" s="202" t="s">
        <v>28</v>
      </c>
      <c r="C315" s="203" t="n">
        <v>0.189349112426035</v>
      </c>
      <c r="D315" s="203" t="n">
        <v>0.189349112426035</v>
      </c>
      <c r="E315" s="203" t="n">
        <v>0.189349112426035</v>
      </c>
      <c r="F315" s="203" t="n">
        <v>0.189349112426035</v>
      </c>
      <c r="G315" s="203" t="n">
        <v>0.189349112426035</v>
      </c>
      <c r="H315" s="203" t="n">
        <f aca="false">G315+(I315-G315)/2</f>
        <v>0.238653613804641</v>
      </c>
      <c r="I315" s="203" t="n">
        <v>0.287958115183246</v>
      </c>
      <c r="J315" s="57"/>
    </row>
    <row r="316" customFormat="false" ht="14.25" hidden="false" customHeight="false" outlineLevel="0" collapsed="false">
      <c r="A316" s="312" t="s">
        <v>581</v>
      </c>
      <c r="B316" s="202" t="s">
        <v>28</v>
      </c>
      <c r="C316" s="203" t="n">
        <v>0.189349112426035</v>
      </c>
      <c r="D316" s="203" t="n">
        <v>0.189349112426035</v>
      </c>
      <c r="E316" s="203" t="n">
        <v>0.189349112426035</v>
      </c>
      <c r="F316" s="203" t="n">
        <v>0.189349112426035</v>
      </c>
      <c r="G316" s="203" t="n">
        <v>0.189349112426035</v>
      </c>
      <c r="H316" s="203" t="n">
        <f aca="false">G316+(I316-G316)/2</f>
        <v>0.238653613804641</v>
      </c>
      <c r="I316" s="203" t="n">
        <v>0.287958115183246</v>
      </c>
      <c r="J316" s="57"/>
    </row>
    <row r="317" customFormat="false" ht="14.25" hidden="false" customHeight="false" outlineLevel="0" collapsed="false">
      <c r="A317" s="312" t="s">
        <v>582</v>
      </c>
      <c r="B317" s="202" t="s">
        <v>28</v>
      </c>
      <c r="C317" s="203" t="n">
        <v>0.189349112426035</v>
      </c>
      <c r="D317" s="203" t="n">
        <v>0.189349112426035</v>
      </c>
      <c r="E317" s="203" t="n">
        <v>0.189349112426035</v>
      </c>
      <c r="F317" s="203" t="n">
        <v>0.189349112426035</v>
      </c>
      <c r="G317" s="203" t="n">
        <v>0.189349112426035</v>
      </c>
      <c r="H317" s="203" t="n">
        <f aca="false">G317+(I317-G317)/2</f>
        <v>0.238653613804641</v>
      </c>
      <c r="I317" s="203" t="n">
        <v>0.287958115183246</v>
      </c>
      <c r="J317" s="57"/>
    </row>
    <row r="318" customFormat="false" ht="14.25" hidden="false" customHeight="false" outlineLevel="0" collapsed="false">
      <c r="A318" s="312" t="s">
        <v>583</v>
      </c>
      <c r="B318" s="202" t="s">
        <v>28</v>
      </c>
      <c r="C318" s="203" t="n">
        <v>0.189349112426035</v>
      </c>
      <c r="D318" s="203" t="n">
        <v>0.189349112426035</v>
      </c>
      <c r="E318" s="203" t="n">
        <v>0.189349112426035</v>
      </c>
      <c r="F318" s="203" t="n">
        <v>0.189349112426035</v>
      </c>
      <c r="G318" s="203" t="n">
        <v>0.189349112426035</v>
      </c>
      <c r="H318" s="203" t="n">
        <f aca="false">G318+(I318-G318)/2</f>
        <v>0.238653613804641</v>
      </c>
      <c r="I318" s="203" t="n">
        <v>0.287958115183246</v>
      </c>
      <c r="J318" s="57"/>
    </row>
    <row r="319" customFormat="false" ht="14.25" hidden="false" customHeight="false" outlineLevel="0" collapsed="false">
      <c r="A319" s="312" t="s">
        <v>354</v>
      </c>
      <c r="B319" s="202" t="s">
        <v>28</v>
      </c>
      <c r="C319" s="203" t="n">
        <v>0.189349112426035</v>
      </c>
      <c r="D319" s="203" t="n">
        <v>0.189349112426035</v>
      </c>
      <c r="E319" s="203" t="n">
        <v>0.189349112426035</v>
      </c>
      <c r="F319" s="203" t="n">
        <v>0.189349112426035</v>
      </c>
      <c r="G319" s="203" t="n">
        <v>0.189349112426035</v>
      </c>
      <c r="H319" s="203" t="n">
        <f aca="false">G319+(I319-G319)/2</f>
        <v>0.238653613804641</v>
      </c>
      <c r="I319" s="203" t="n">
        <v>0.287958115183246</v>
      </c>
      <c r="J319" s="57"/>
    </row>
    <row r="320" customFormat="false" ht="14.25" hidden="false" customHeight="false" outlineLevel="0" collapsed="false">
      <c r="A320" s="312" t="s">
        <v>584</v>
      </c>
      <c r="B320" s="202" t="s">
        <v>28</v>
      </c>
      <c r="C320" s="203" t="n">
        <v>0.189349112426035</v>
      </c>
      <c r="D320" s="203" t="n">
        <v>0.189349112426035</v>
      </c>
      <c r="E320" s="203" t="n">
        <v>0.189349112426035</v>
      </c>
      <c r="F320" s="203" t="n">
        <v>0.189349112426035</v>
      </c>
      <c r="G320" s="203" t="n">
        <v>0.189349112426035</v>
      </c>
      <c r="H320" s="203" t="n">
        <f aca="false">G320+(I320-G320)/2</f>
        <v>0.238653613804641</v>
      </c>
      <c r="I320" s="203" t="n">
        <v>0.287958115183246</v>
      </c>
      <c r="J320" s="57"/>
    </row>
    <row r="321" customFormat="false" ht="14.25" hidden="false" customHeight="false" outlineLevel="0" collapsed="false">
      <c r="A321" s="312" t="s">
        <v>585</v>
      </c>
      <c r="B321" s="202" t="s">
        <v>28</v>
      </c>
      <c r="C321" s="203" t="n">
        <v>0.189349112426035</v>
      </c>
      <c r="D321" s="203" t="n">
        <v>0.189349112426035</v>
      </c>
      <c r="E321" s="203" t="n">
        <v>0.189349112426035</v>
      </c>
      <c r="F321" s="203" t="n">
        <v>0.189349112426035</v>
      </c>
      <c r="G321" s="203" t="n">
        <v>0.189349112426035</v>
      </c>
      <c r="H321" s="203" t="n">
        <f aca="false">G321+(I321-G321)/2</f>
        <v>0.238653613804641</v>
      </c>
      <c r="I321" s="203" t="n">
        <v>0.287958115183246</v>
      </c>
      <c r="J321" s="57"/>
    </row>
    <row r="322" customFormat="false" ht="14.25" hidden="false" customHeight="false" outlineLevel="0" collapsed="false">
      <c r="A322" s="312" t="s">
        <v>586</v>
      </c>
      <c r="B322" s="202" t="s">
        <v>28</v>
      </c>
      <c r="C322" s="203" t="n">
        <v>0.189349112426035</v>
      </c>
      <c r="D322" s="203" t="n">
        <v>0.189349112426035</v>
      </c>
      <c r="E322" s="203" t="n">
        <v>0.189349112426035</v>
      </c>
      <c r="F322" s="203" t="n">
        <v>0.189349112426035</v>
      </c>
      <c r="G322" s="203" t="n">
        <v>0.189349112426035</v>
      </c>
      <c r="H322" s="203" t="n">
        <f aca="false">G322+(I322-G322)/2</f>
        <v>0.238653613804641</v>
      </c>
      <c r="I322" s="203" t="n">
        <v>0.287958115183246</v>
      </c>
      <c r="J322" s="57"/>
    </row>
    <row r="323" customFormat="false" ht="14.25" hidden="false" customHeight="false" outlineLevel="0" collapsed="false">
      <c r="A323" s="312" t="s">
        <v>587</v>
      </c>
      <c r="B323" s="202" t="s">
        <v>28</v>
      </c>
      <c r="C323" s="203" t="n">
        <v>0.189349112426035</v>
      </c>
      <c r="D323" s="203" t="n">
        <v>0.189349112426035</v>
      </c>
      <c r="E323" s="203" t="n">
        <v>0.189349112426035</v>
      </c>
      <c r="F323" s="203" t="n">
        <v>0.189349112426035</v>
      </c>
      <c r="G323" s="203" t="n">
        <v>0.189349112426035</v>
      </c>
      <c r="H323" s="203" t="n">
        <f aca="false">G323+(I323-G323)/2</f>
        <v>0.238653613804641</v>
      </c>
      <c r="I323" s="203" t="n">
        <v>0.287958115183246</v>
      </c>
      <c r="J323" s="57"/>
    </row>
    <row r="324" customFormat="false" ht="14.25" hidden="false" customHeight="false" outlineLevel="0" collapsed="false">
      <c r="A324" s="312" t="s">
        <v>588</v>
      </c>
      <c r="B324" s="202" t="s">
        <v>28</v>
      </c>
      <c r="C324" s="203" t="n">
        <v>0.189349112426035</v>
      </c>
      <c r="D324" s="203" t="n">
        <v>0.189349112426035</v>
      </c>
      <c r="E324" s="203" t="n">
        <v>0.189349112426035</v>
      </c>
      <c r="F324" s="203" t="n">
        <v>0.189349112426035</v>
      </c>
      <c r="G324" s="203" t="n">
        <v>0.189349112426035</v>
      </c>
      <c r="H324" s="203" t="n">
        <f aca="false">G324+(I324-G324)/2</f>
        <v>0.238653613804641</v>
      </c>
      <c r="I324" s="203" t="n">
        <v>0.287958115183246</v>
      </c>
      <c r="J324" s="57"/>
    </row>
    <row r="325" customFormat="false" ht="14.25" hidden="false" customHeight="false" outlineLevel="0" collapsed="false">
      <c r="A325" s="312" t="s">
        <v>589</v>
      </c>
      <c r="B325" s="202" t="s">
        <v>28</v>
      </c>
      <c r="C325" s="203" t="n">
        <v>0.189349112426035</v>
      </c>
      <c r="D325" s="203" t="n">
        <v>0.189349112426035</v>
      </c>
      <c r="E325" s="203" t="n">
        <v>0.189349112426035</v>
      </c>
      <c r="F325" s="203" t="n">
        <v>0.189349112426035</v>
      </c>
      <c r="G325" s="203" t="n">
        <v>0.189349112426035</v>
      </c>
      <c r="H325" s="203" t="n">
        <f aca="false">G325+(I325-G325)/2</f>
        <v>0.238653613804641</v>
      </c>
      <c r="I325" s="203" t="n">
        <v>0.287958115183246</v>
      </c>
      <c r="J325" s="57"/>
    </row>
    <row r="326" customFormat="false" ht="14.25" hidden="false" customHeight="false" outlineLevel="0" collapsed="false">
      <c r="A326" s="312" t="s">
        <v>590</v>
      </c>
      <c r="B326" s="202" t="s">
        <v>28</v>
      </c>
      <c r="C326" s="203" t="n">
        <v>0.189349112426035</v>
      </c>
      <c r="D326" s="203" t="n">
        <v>0.189349112426035</v>
      </c>
      <c r="E326" s="203" t="n">
        <v>0.189349112426035</v>
      </c>
      <c r="F326" s="203" t="n">
        <v>0.189349112426035</v>
      </c>
      <c r="G326" s="203" t="n">
        <v>0.189349112426035</v>
      </c>
      <c r="H326" s="203" t="n">
        <f aca="false">G326+(I326-G326)/2</f>
        <v>0.238653613804641</v>
      </c>
      <c r="I326" s="203" t="n">
        <v>0.287958115183246</v>
      </c>
      <c r="J326" s="57"/>
    </row>
    <row r="327" customFormat="false" ht="14.25" hidden="false" customHeight="false" outlineLevel="0" collapsed="false">
      <c r="A327" s="312" t="s">
        <v>338</v>
      </c>
      <c r="B327" s="202" t="s">
        <v>28</v>
      </c>
      <c r="C327" s="203" t="n">
        <v>0.189349112426035</v>
      </c>
      <c r="D327" s="203" t="n">
        <v>0.189349112426035</v>
      </c>
      <c r="E327" s="203" t="n">
        <v>0.189349112426035</v>
      </c>
      <c r="F327" s="203" t="n">
        <v>0.189349112426035</v>
      </c>
      <c r="G327" s="203" t="n">
        <v>0.189349112426035</v>
      </c>
      <c r="H327" s="203" t="n">
        <f aca="false">G327+(I327-G327)/2</f>
        <v>0.238653613804641</v>
      </c>
      <c r="I327" s="203" t="n">
        <v>0.287958115183246</v>
      </c>
      <c r="J327" s="57"/>
    </row>
    <row r="328" customFormat="false" ht="14.25" hidden="false" customHeight="false" outlineLevel="0" collapsed="false">
      <c r="A328" s="312" t="s">
        <v>591</v>
      </c>
      <c r="B328" s="202" t="s">
        <v>28</v>
      </c>
      <c r="C328" s="203" t="n">
        <v>0.189349112426035</v>
      </c>
      <c r="D328" s="203" t="n">
        <v>0.189349112426035</v>
      </c>
      <c r="E328" s="203" t="n">
        <v>0.189349112426035</v>
      </c>
      <c r="F328" s="203" t="n">
        <v>0.189349112426035</v>
      </c>
      <c r="G328" s="203" t="n">
        <v>0.189349112426035</v>
      </c>
      <c r="H328" s="203" t="n">
        <f aca="false">G328+(I328-G328)/2</f>
        <v>0.238653613804641</v>
      </c>
      <c r="I328" s="203" t="n">
        <v>0.287958115183246</v>
      </c>
      <c r="J328" s="57"/>
    </row>
    <row r="329" customFormat="false" ht="14.25" hidden="false" customHeight="false" outlineLevel="0" collapsed="false">
      <c r="A329" s="312" t="s">
        <v>592</v>
      </c>
      <c r="B329" s="202" t="s">
        <v>28</v>
      </c>
      <c r="C329" s="203" t="n">
        <v>0.189349112426035</v>
      </c>
      <c r="D329" s="203" t="n">
        <v>0.189349112426035</v>
      </c>
      <c r="E329" s="203" t="n">
        <v>0.189349112426035</v>
      </c>
      <c r="F329" s="203" t="n">
        <v>0.189349112426035</v>
      </c>
      <c r="G329" s="203" t="n">
        <v>0.189349112426035</v>
      </c>
      <c r="H329" s="203" t="n">
        <f aca="false">G329+(I329-G329)/2</f>
        <v>0.238653613804641</v>
      </c>
      <c r="I329" s="203" t="n">
        <v>0.287958115183246</v>
      </c>
      <c r="J329" s="57"/>
    </row>
    <row r="330" customFormat="false" ht="14.25" hidden="false" customHeight="false" outlineLevel="0" collapsed="false">
      <c r="A330" s="312" t="s">
        <v>593</v>
      </c>
      <c r="B330" s="202" t="s">
        <v>28</v>
      </c>
      <c r="C330" s="203" t="n">
        <v>0.189349112426035</v>
      </c>
      <c r="D330" s="203" t="n">
        <v>0.189349112426035</v>
      </c>
      <c r="E330" s="203" t="n">
        <v>0.189349112426035</v>
      </c>
      <c r="F330" s="203" t="n">
        <v>0.189349112426035</v>
      </c>
      <c r="G330" s="203" t="n">
        <v>0.189349112426035</v>
      </c>
      <c r="H330" s="203" t="n">
        <f aca="false">G330+(I330-G330)/2</f>
        <v>0.169674556213018</v>
      </c>
      <c r="I330" s="203" t="n">
        <v>0.15</v>
      </c>
      <c r="J330" s="57"/>
    </row>
    <row r="331" customFormat="false" ht="14.25" hidden="false" customHeight="false" outlineLevel="0" collapsed="false">
      <c r="A331" s="312" t="s">
        <v>594</v>
      </c>
      <c r="B331" s="202" t="s">
        <v>28</v>
      </c>
      <c r="C331" s="203" t="n">
        <v>0.189349112426035</v>
      </c>
      <c r="D331" s="203" t="n">
        <v>0.189349112426035</v>
      </c>
      <c r="E331" s="203" t="n">
        <v>0.189349112426035</v>
      </c>
      <c r="F331" s="203" t="n">
        <v>0.189349112426035</v>
      </c>
      <c r="G331" s="203" t="n">
        <v>0.189349112426035</v>
      </c>
      <c r="H331" s="203" t="n">
        <f aca="false">G331+(I331-G331)/2</f>
        <v>0.169674556213018</v>
      </c>
      <c r="I331" s="203" t="n">
        <v>0.15</v>
      </c>
      <c r="J331" s="57"/>
    </row>
    <row r="332" customFormat="false" ht="14.25" hidden="false" customHeight="false" outlineLevel="0" collapsed="false">
      <c r="A332" s="312" t="s">
        <v>595</v>
      </c>
      <c r="B332" s="202" t="s">
        <v>28</v>
      </c>
      <c r="C332" s="203" t="n">
        <v>0.189349112426035</v>
      </c>
      <c r="D332" s="203" t="n">
        <v>0.189349112426035</v>
      </c>
      <c r="E332" s="203" t="n">
        <v>0.189349112426035</v>
      </c>
      <c r="F332" s="203" t="n">
        <v>0.189349112426035</v>
      </c>
      <c r="G332" s="203" t="n">
        <v>0.189349112426035</v>
      </c>
      <c r="H332" s="203" t="n">
        <f aca="false">G332+(I332-G332)/2</f>
        <v>0.169674556213018</v>
      </c>
      <c r="I332" s="203" t="n">
        <v>0.15</v>
      </c>
      <c r="J332" s="57"/>
    </row>
    <row r="333" customFormat="false" ht="14.25" hidden="false" customHeight="false" outlineLevel="0" collapsed="false">
      <c r="A333" s="312" t="s">
        <v>596</v>
      </c>
      <c r="B333" s="202" t="s">
        <v>28</v>
      </c>
      <c r="C333" s="203" t="n">
        <v>0.189349112426035</v>
      </c>
      <c r="D333" s="203" t="n">
        <v>0.189349112426035</v>
      </c>
      <c r="E333" s="203" t="n">
        <v>0.189349112426035</v>
      </c>
      <c r="F333" s="203" t="n">
        <v>0.189349112426035</v>
      </c>
      <c r="G333" s="203" t="n">
        <v>0.189349112426035</v>
      </c>
      <c r="H333" s="203" t="n">
        <f aca="false">G333+(I333-G333)/2</f>
        <v>0.169674556213018</v>
      </c>
      <c r="I333" s="203" t="n">
        <v>0.15</v>
      </c>
      <c r="J333" s="57"/>
    </row>
    <row r="334" customFormat="false" ht="14.25" hidden="false" customHeight="false" outlineLevel="0" collapsed="false">
      <c r="A334" s="312" t="s">
        <v>597</v>
      </c>
      <c r="B334" s="202" t="s">
        <v>28</v>
      </c>
      <c r="C334" s="203" t="n">
        <v>0.189349112426035</v>
      </c>
      <c r="D334" s="203" t="n">
        <v>0.189349112426035</v>
      </c>
      <c r="E334" s="203" t="n">
        <v>0.189349112426035</v>
      </c>
      <c r="F334" s="203" t="n">
        <v>0.189349112426035</v>
      </c>
      <c r="G334" s="203" t="n">
        <v>0.189349112426035</v>
      </c>
      <c r="H334" s="203" t="n">
        <f aca="false">G334+(I334-G334)/2</f>
        <v>0.169674556213018</v>
      </c>
      <c r="I334" s="203" t="n">
        <v>0.15</v>
      </c>
      <c r="J334" s="57"/>
    </row>
    <row r="335" customFormat="false" ht="14.25" hidden="false" customHeight="false" outlineLevel="0" collapsed="false">
      <c r="A335" s="312" t="s">
        <v>598</v>
      </c>
      <c r="B335" s="202" t="s">
        <v>28</v>
      </c>
      <c r="C335" s="203" t="n">
        <v>0.189349112426035</v>
      </c>
      <c r="D335" s="203" t="n">
        <v>0.189349112426035</v>
      </c>
      <c r="E335" s="203" t="n">
        <v>0.189349112426035</v>
      </c>
      <c r="F335" s="203" t="n">
        <v>0.189349112426035</v>
      </c>
      <c r="G335" s="203" t="n">
        <v>0.189349112426035</v>
      </c>
      <c r="H335" s="203" t="n">
        <f aca="false">G335+(I335-G335)/2</f>
        <v>0.169674556213018</v>
      </c>
      <c r="I335" s="203" t="n">
        <v>0.15</v>
      </c>
      <c r="J335" s="57"/>
    </row>
    <row r="336" customFormat="false" ht="14.25" hidden="false" customHeight="false" outlineLevel="0" collapsed="false">
      <c r="A336" s="312" t="s">
        <v>599</v>
      </c>
      <c r="B336" s="202" t="s">
        <v>28</v>
      </c>
      <c r="C336" s="203" t="n">
        <v>0.189349112426035</v>
      </c>
      <c r="D336" s="203" t="n">
        <v>0.189349112426035</v>
      </c>
      <c r="E336" s="203" t="n">
        <v>0.189349112426035</v>
      </c>
      <c r="F336" s="203" t="n">
        <v>0.189349112426035</v>
      </c>
      <c r="G336" s="203" t="n">
        <v>0.189349112426035</v>
      </c>
      <c r="H336" s="203" t="n">
        <f aca="false">G336+(I336-G336)/2</f>
        <v>0.169674556213018</v>
      </c>
      <c r="I336" s="203" t="n">
        <v>0.15</v>
      </c>
      <c r="J336" s="57"/>
    </row>
    <row r="337" customFormat="false" ht="14.25" hidden="false" customHeight="false" outlineLevel="0" collapsed="false">
      <c r="A337" s="312" t="s">
        <v>351</v>
      </c>
      <c r="B337" s="202" t="s">
        <v>28</v>
      </c>
      <c r="C337" s="203" t="n">
        <v>0.189349112426035</v>
      </c>
      <c r="D337" s="203" t="n">
        <v>0.189349112426035</v>
      </c>
      <c r="E337" s="203" t="n">
        <v>0.189349112426035</v>
      </c>
      <c r="F337" s="203" t="n">
        <v>0.189349112426035</v>
      </c>
      <c r="G337" s="203" t="n">
        <v>0.189349112426035</v>
      </c>
      <c r="H337" s="203" t="n">
        <f aca="false">G337+(I337-G337)/2</f>
        <v>0.169674556213018</v>
      </c>
      <c r="I337" s="203" t="n">
        <v>0.15</v>
      </c>
      <c r="J337" s="57"/>
    </row>
    <row r="338" customFormat="false" ht="14.25" hidden="false" customHeight="false" outlineLevel="0" collapsed="false">
      <c r="A338" s="312" t="s">
        <v>361</v>
      </c>
      <c r="B338" s="202" t="s">
        <v>28</v>
      </c>
      <c r="C338" s="203" t="n">
        <v>0.189349112426035</v>
      </c>
      <c r="D338" s="203" t="n">
        <v>0.189349112426035</v>
      </c>
      <c r="E338" s="203" t="n">
        <v>0.189349112426035</v>
      </c>
      <c r="F338" s="203" t="n">
        <v>0.189349112426035</v>
      </c>
      <c r="G338" s="203" t="n">
        <v>0.189349112426035</v>
      </c>
      <c r="H338" s="203" t="n">
        <f aca="false">G338+(I338-G338)/2</f>
        <v>0.169674556213018</v>
      </c>
      <c r="I338" s="203" t="n">
        <v>0.15</v>
      </c>
      <c r="J338" s="57"/>
    </row>
    <row r="339" customFormat="false" ht="14.25" hidden="false" customHeight="false" outlineLevel="0" collapsed="false">
      <c r="A339" s="312" t="s">
        <v>600</v>
      </c>
      <c r="B339" s="202" t="s">
        <v>28</v>
      </c>
      <c r="C339" s="203" t="n">
        <v>0.189349112426035</v>
      </c>
      <c r="D339" s="203" t="n">
        <v>0.189349112426035</v>
      </c>
      <c r="E339" s="203" t="n">
        <v>0.189349112426035</v>
      </c>
      <c r="F339" s="203" t="n">
        <v>0.189349112426035</v>
      </c>
      <c r="G339" s="203" t="n">
        <v>0.189349112426035</v>
      </c>
      <c r="H339" s="203" t="n">
        <f aca="false">G339+(I339-G339)/2</f>
        <v>0.169674556213018</v>
      </c>
      <c r="I339" s="203" t="n">
        <v>0.15</v>
      </c>
      <c r="J339" s="57"/>
    </row>
    <row r="340" customFormat="false" ht="18" hidden="false" customHeight="true" outlineLevel="0" collapsed="false">
      <c r="A340" s="200" t="s">
        <v>625</v>
      </c>
      <c r="B340" s="200"/>
      <c r="C340" s="200"/>
      <c r="D340" s="200"/>
      <c r="E340" s="200"/>
      <c r="F340" s="200"/>
      <c r="G340" s="200"/>
      <c r="H340" s="200"/>
      <c r="I340" s="200"/>
    </row>
    <row r="341" customFormat="false" ht="14.25" hidden="false" customHeight="false" outlineLevel="0" collapsed="false">
      <c r="A341" s="312" t="s">
        <v>626</v>
      </c>
      <c r="B341" s="219" t="s">
        <v>499</v>
      </c>
      <c r="C341" s="203" t="n">
        <v>0</v>
      </c>
      <c r="D341" s="203" t="n">
        <v>0</v>
      </c>
      <c r="E341" s="203" t="n">
        <v>0</v>
      </c>
      <c r="F341" s="203" t="n">
        <v>0</v>
      </c>
      <c r="G341" s="203" t="n">
        <v>0</v>
      </c>
      <c r="H341" s="203" t="n">
        <v>0</v>
      </c>
      <c r="I341" s="203" t="n">
        <v>0</v>
      </c>
    </row>
    <row r="342" customFormat="false" ht="14.25" hidden="false" customHeight="false" outlineLevel="0" collapsed="false">
      <c r="H342" s="54"/>
      <c r="J342" s="57"/>
    </row>
    <row r="343" customFormat="false" ht="17.35" hidden="false" customHeight="false" outlineLevel="0" collapsed="false">
      <c r="A343" s="316" t="s">
        <v>627</v>
      </c>
      <c r="B343" s="317"/>
      <c r="C343" s="318"/>
    </row>
    <row r="344" customFormat="false" ht="14.25" hidden="false" customHeight="false" outlineLevel="0" collapsed="false">
      <c r="A344" s="312" t="s">
        <v>434</v>
      </c>
      <c r="B344" s="202" t="s">
        <v>36</v>
      </c>
      <c r="C344" s="204" t="n">
        <v>2050</v>
      </c>
    </row>
    <row r="345" customFormat="false" ht="14.25" hidden="false" customHeight="false" outlineLevel="0" collapsed="false">
      <c r="A345" s="319" t="s">
        <v>628</v>
      </c>
      <c r="B345" s="205" t="s">
        <v>327</v>
      </c>
      <c r="C345" s="320" t="n">
        <v>0.05</v>
      </c>
    </row>
    <row r="347" customFormat="false" ht="17.35" hidden="false" customHeight="false" outlineLevel="0" collapsed="false">
      <c r="A347" s="316" t="s">
        <v>629</v>
      </c>
      <c r="B347" s="316"/>
      <c r="C347" s="316"/>
      <c r="D347" s="316"/>
      <c r="E347" s="316"/>
      <c r="F347" s="316"/>
      <c r="G347" s="316"/>
      <c r="H347" s="316"/>
      <c r="I347" s="316"/>
    </row>
    <row r="348" customFormat="false" ht="14.25" hidden="false" customHeight="false" outlineLevel="0" collapsed="false">
      <c r="A348" s="312" t="s">
        <v>630</v>
      </c>
      <c r="B348" s="202" t="s">
        <v>36</v>
      </c>
      <c r="C348" s="203" t="n">
        <v>2020</v>
      </c>
      <c r="D348" s="203" t="n">
        <f aca="false">C348+5</f>
        <v>2025</v>
      </c>
      <c r="E348" s="203" t="n">
        <f aca="false">D348+5</f>
        <v>2030</v>
      </c>
      <c r="F348" s="203" t="n">
        <f aca="false">E348+5</f>
        <v>2035</v>
      </c>
      <c r="G348" s="203" t="n">
        <f aca="false">F348+5</f>
        <v>2040</v>
      </c>
      <c r="H348" s="203" t="n">
        <f aca="false">G348+5</f>
        <v>2045</v>
      </c>
      <c r="I348" s="203" t="n">
        <f aca="false">H348+5</f>
        <v>2050</v>
      </c>
    </row>
    <row r="349" customFormat="false" ht="14.25" hidden="false" customHeight="false" outlineLevel="0" collapsed="false">
      <c r="A349" s="312" t="s">
        <v>631</v>
      </c>
      <c r="B349" s="202" t="s">
        <v>632</v>
      </c>
      <c r="C349" s="203" t="n">
        <v>0</v>
      </c>
      <c r="D349" s="203" t="n">
        <v>0</v>
      </c>
      <c r="E349" s="203" t="n">
        <v>0</v>
      </c>
      <c r="F349" s="203" t="n">
        <v>0</v>
      </c>
      <c r="G349" s="203" t="n">
        <v>0</v>
      </c>
      <c r="H349" s="203" t="n">
        <v>0</v>
      </c>
      <c r="I349" s="203" t="n">
        <v>0</v>
      </c>
      <c r="M349" s="198"/>
      <c r="Q349" s="198"/>
      <c r="U349" s="198"/>
    </row>
    <row r="351" customFormat="false" ht="17.35" hidden="false" customHeight="false" outlineLevel="0" collapsed="false">
      <c r="A351" s="316" t="s">
        <v>633</v>
      </c>
      <c r="B351" s="316"/>
      <c r="C351" s="316"/>
      <c r="D351" s="316"/>
      <c r="E351" s="316"/>
      <c r="F351" s="316"/>
      <c r="G351" s="316"/>
      <c r="H351" s="316"/>
      <c r="I351" s="316"/>
      <c r="J351" s="316"/>
      <c r="K351" s="316"/>
      <c r="L351" s="316"/>
      <c r="M351" s="316"/>
      <c r="N351" s="316"/>
      <c r="O351" s="316"/>
      <c r="P351" s="316"/>
      <c r="Q351" s="316"/>
      <c r="R351" s="316"/>
      <c r="S351" s="316"/>
      <c r="T351" s="316"/>
      <c r="U351" s="316"/>
      <c r="V351" s="316"/>
      <c r="W351" s="316"/>
      <c r="X351" s="316"/>
    </row>
    <row r="352" customFormat="false" ht="14.25" hidden="false" customHeight="false" outlineLevel="0" collapsed="false">
      <c r="A352" s="312" t="s">
        <v>630</v>
      </c>
      <c r="B352" s="202" t="s">
        <v>36</v>
      </c>
      <c r="C352" s="203" t="n">
        <v>1980</v>
      </c>
      <c r="D352" s="203" t="n">
        <v>2020</v>
      </c>
      <c r="E352" s="203" t="n">
        <f aca="false">D352+5</f>
        <v>2025</v>
      </c>
      <c r="F352" s="203" t="n">
        <f aca="false">E352+5</f>
        <v>2030</v>
      </c>
      <c r="G352" s="203" t="n">
        <f aca="false">F352+5</f>
        <v>2035</v>
      </c>
      <c r="H352" s="203" t="n">
        <f aca="false">G352+5</f>
        <v>2040</v>
      </c>
      <c r="I352" s="203" t="n">
        <f aca="false">H352+5</f>
        <v>2045</v>
      </c>
      <c r="J352" s="203" t="n">
        <f aca="false">I352+5</f>
        <v>2050</v>
      </c>
      <c r="K352" s="203" t="n">
        <f aca="false">J352+5</f>
        <v>2055</v>
      </c>
      <c r="L352" s="203" t="n">
        <f aca="false">K352+5</f>
        <v>2060</v>
      </c>
      <c r="M352" s="203" t="n">
        <f aca="false">L352+5</f>
        <v>2065</v>
      </c>
      <c r="N352" s="203" t="n">
        <f aca="false">M352+5</f>
        <v>2070</v>
      </c>
      <c r="O352" s="203" t="n">
        <f aca="false">N352+5</f>
        <v>2075</v>
      </c>
      <c r="P352" s="203" t="n">
        <f aca="false">O352+5</f>
        <v>2080</v>
      </c>
      <c r="Q352" s="203" t="n">
        <f aca="false">P352+5</f>
        <v>2085</v>
      </c>
      <c r="R352" s="203" t="n">
        <f aca="false">Q352+5</f>
        <v>2090</v>
      </c>
      <c r="S352" s="203" t="n">
        <f aca="false">R352+5</f>
        <v>2095</v>
      </c>
      <c r="T352" s="203" t="n">
        <f aca="false">S352+5</f>
        <v>2100</v>
      </c>
      <c r="U352" s="203" t="n">
        <f aca="false">T352+5</f>
        <v>2105</v>
      </c>
      <c r="V352" s="203" t="n">
        <f aca="false">U352+5</f>
        <v>2110</v>
      </c>
      <c r="W352" s="203" t="n">
        <f aca="false">V352+5</f>
        <v>2115</v>
      </c>
      <c r="X352" s="203" t="n">
        <f aca="false">W352+5</f>
        <v>2120</v>
      </c>
    </row>
    <row r="353" customFormat="false" ht="14.25" hidden="false" customHeight="false" outlineLevel="0" collapsed="false">
      <c r="A353" s="312" t="s">
        <v>633</v>
      </c>
      <c r="B353" s="202" t="s">
        <v>634</v>
      </c>
      <c r="C353" s="203"/>
      <c r="D353" s="203" t="n">
        <v>345</v>
      </c>
      <c r="E353" s="203"/>
      <c r="F353" s="203" t="n">
        <v>345</v>
      </c>
      <c r="G353" s="203"/>
      <c r="H353" s="203" t="n">
        <v>298</v>
      </c>
      <c r="I353" s="203"/>
      <c r="J353" s="203" t="n">
        <v>333</v>
      </c>
      <c r="K353" s="203"/>
      <c r="L353" s="203"/>
      <c r="M353" s="203"/>
      <c r="N353" s="203"/>
      <c r="O353" s="203"/>
      <c r="P353" s="203"/>
      <c r="Q353" s="203"/>
      <c r="R353" s="203"/>
      <c r="S353" s="203"/>
      <c r="T353" s="203"/>
      <c r="U353" s="203"/>
      <c r="V353" s="203"/>
      <c r="W353" s="203"/>
      <c r="X353" s="203"/>
    </row>
    <row r="354" customFormat="false" ht="14.25" hidden="false" customHeight="false" outlineLevel="0" collapsed="false">
      <c r="H354" s="54"/>
      <c r="J354" s="57"/>
    </row>
    <row r="355" customFormat="false" ht="14.25" hidden="false" customHeight="false" outlineLevel="0" collapsed="false">
      <c r="H355" s="54"/>
      <c r="J355" s="57"/>
    </row>
    <row r="356" customFormat="false" ht="14.25" hidden="false" customHeight="false" outlineLevel="0" collapsed="false">
      <c r="H356" s="54"/>
      <c r="J356" s="57"/>
    </row>
    <row r="357" customFormat="false" ht="14.25" hidden="false" customHeight="false" outlineLevel="0" collapsed="false">
      <c r="H357" s="54"/>
      <c r="J357" s="57"/>
    </row>
    <row r="358" customFormat="false" ht="14.25" hidden="false" customHeight="false" outlineLevel="0" collapsed="false">
      <c r="H358" s="54"/>
      <c r="J358" s="57"/>
    </row>
    <row r="359" customFormat="false" ht="24.45" hidden="false" customHeight="false" outlineLevel="0" collapsed="false">
      <c r="A359" s="199" t="s">
        <v>635</v>
      </c>
    </row>
    <row r="362" customFormat="false" ht="14.25" hidden="false" customHeight="false" outlineLevel="0" collapsed="false">
      <c r="H362" s="321"/>
    </row>
    <row r="363" customFormat="false" ht="14.25" hidden="false" customHeight="false" outlineLevel="0" collapsed="false">
      <c r="H363" s="321"/>
    </row>
    <row r="364" customFormat="false" ht="17.35" hidden="false" customHeight="false" outlineLevel="0" collapsed="false">
      <c r="A364" s="200" t="s">
        <v>636</v>
      </c>
      <c r="B364" s="200"/>
      <c r="C364" s="200"/>
      <c r="D364" s="200"/>
      <c r="E364" s="200"/>
      <c r="F364" s="200"/>
      <c r="G364" s="200"/>
      <c r="H364" s="200"/>
    </row>
    <row r="365" customFormat="false" ht="14.25" hidden="false" customHeight="false" outlineLevel="0" collapsed="false">
      <c r="A365" s="322" t="s">
        <v>36</v>
      </c>
      <c r="B365" s="203" t="n">
        <v>2020</v>
      </c>
      <c r="C365" s="203" t="n">
        <v>2025</v>
      </c>
      <c r="D365" s="203" t="n">
        <v>2030</v>
      </c>
      <c r="E365" s="203" t="n">
        <v>2035</v>
      </c>
      <c r="F365" s="203" t="n">
        <v>2040</v>
      </c>
      <c r="G365" s="203" t="n">
        <v>2045</v>
      </c>
      <c r="H365" s="204" t="n">
        <v>2050</v>
      </c>
    </row>
    <row r="366" customFormat="false" ht="14.25" hidden="false" customHeight="false" outlineLevel="0" collapsed="false">
      <c r="A366" s="305" t="s">
        <v>472</v>
      </c>
      <c r="B366" s="305"/>
      <c r="C366" s="305"/>
      <c r="D366" s="305"/>
      <c r="E366" s="305"/>
      <c r="F366" s="305"/>
      <c r="G366" s="305"/>
      <c r="H366" s="305"/>
    </row>
    <row r="367" customFormat="false" ht="14.25" hidden="false" customHeight="false" outlineLevel="0" collapsed="false">
      <c r="A367" s="323" t="s">
        <v>637</v>
      </c>
      <c r="B367" s="203" t="n">
        <v>18.8</v>
      </c>
      <c r="C367" s="203" t="n">
        <v>16.1316315</v>
      </c>
      <c r="D367" s="203" t="n">
        <v>100</v>
      </c>
      <c r="E367" s="203" t="n">
        <v>100</v>
      </c>
      <c r="F367" s="203" t="n">
        <v>100</v>
      </c>
      <c r="G367" s="203" t="n">
        <v>100</v>
      </c>
      <c r="H367" s="203" t="n">
        <v>100</v>
      </c>
    </row>
    <row r="368" customFormat="false" ht="14.25" hidden="false" customHeight="false" outlineLevel="0" collapsed="false">
      <c r="A368" s="305" t="s">
        <v>479</v>
      </c>
      <c r="B368" s="305"/>
      <c r="C368" s="305"/>
      <c r="D368" s="305"/>
      <c r="E368" s="305"/>
      <c r="F368" s="305"/>
      <c r="G368" s="305"/>
      <c r="H368" s="305"/>
      <c r="I368" s="57"/>
    </row>
    <row r="369" customFormat="false" ht="14.25" hidden="false" customHeight="false" outlineLevel="0" collapsed="false">
      <c r="A369" s="323" t="s">
        <v>637</v>
      </c>
      <c r="B369" s="203" t="n">
        <v>13.3</v>
      </c>
      <c r="C369" s="203" t="n">
        <v>11.39042</v>
      </c>
      <c r="D369" s="203" t="n">
        <v>100</v>
      </c>
      <c r="E369" s="203" t="n">
        <v>100</v>
      </c>
      <c r="F369" s="203" t="n">
        <v>100</v>
      </c>
      <c r="G369" s="203" t="n">
        <v>100</v>
      </c>
      <c r="H369" s="203" t="n">
        <v>100</v>
      </c>
    </row>
    <row r="370" customFormat="false" ht="14.25" hidden="false" customHeight="false" outlineLevel="0" collapsed="false">
      <c r="A370" s="305" t="s">
        <v>485</v>
      </c>
      <c r="B370" s="305"/>
      <c r="C370" s="305"/>
      <c r="D370" s="305"/>
      <c r="E370" s="305"/>
      <c r="F370" s="305"/>
      <c r="G370" s="305"/>
      <c r="H370" s="305"/>
      <c r="I370" s="57"/>
    </row>
    <row r="371" customFormat="false" ht="14.25" hidden="false" customHeight="false" outlineLevel="0" collapsed="false">
      <c r="A371" s="324" t="s">
        <v>637</v>
      </c>
      <c r="B371" s="325" t="n">
        <v>2.4</v>
      </c>
      <c r="C371" s="325" t="n">
        <v>2.083</v>
      </c>
      <c r="D371" s="203" t="n">
        <v>100</v>
      </c>
      <c r="E371" s="203" t="n">
        <v>100</v>
      </c>
      <c r="F371" s="203" t="n">
        <v>100</v>
      </c>
      <c r="G371" s="203" t="n">
        <v>100</v>
      </c>
      <c r="H371" s="203" t="n">
        <v>100</v>
      </c>
    </row>
    <row r="373" customFormat="false" ht="17.35" hidden="false" customHeight="false" outlineLevel="0" collapsed="false">
      <c r="A373" s="200" t="s">
        <v>638</v>
      </c>
      <c r="B373" s="200"/>
      <c r="C373" s="200"/>
      <c r="D373" s="200"/>
      <c r="E373" s="200"/>
      <c r="F373" s="200"/>
      <c r="G373" s="200"/>
      <c r="H373" s="200"/>
      <c r="I373" s="200"/>
    </row>
    <row r="374" customFormat="false" ht="14.25" hidden="false" customHeight="false" outlineLevel="0" collapsed="false">
      <c r="A374" s="326"/>
      <c r="B374" s="202" t="s">
        <v>36</v>
      </c>
      <c r="C374" s="203" t="n">
        <v>2020</v>
      </c>
      <c r="D374" s="203" t="n">
        <v>2025</v>
      </c>
      <c r="E374" s="203" t="n">
        <v>2030</v>
      </c>
      <c r="F374" s="203" t="n">
        <v>2035</v>
      </c>
      <c r="G374" s="203" t="n">
        <v>2040</v>
      </c>
      <c r="H374" s="203" t="n">
        <v>2045</v>
      </c>
      <c r="I374" s="204" t="n">
        <v>2050</v>
      </c>
    </row>
    <row r="375" customFormat="false" ht="14.25" hidden="false" customHeight="false" outlineLevel="0" collapsed="false">
      <c r="A375" s="312" t="s">
        <v>639</v>
      </c>
      <c r="B375" s="202" t="s">
        <v>146</v>
      </c>
      <c r="C375" s="204" t="n">
        <v>-0.01</v>
      </c>
      <c r="D375" s="204" t="n">
        <v>-0.013</v>
      </c>
      <c r="E375" s="204" t="n">
        <v>-0.016</v>
      </c>
      <c r="F375" s="204" t="n">
        <v>-0.019</v>
      </c>
      <c r="G375" s="204" t="n">
        <v>-0.023</v>
      </c>
      <c r="H375" s="204" t="n">
        <v>-0.026</v>
      </c>
      <c r="I375" s="204" t="n">
        <v>-0.029</v>
      </c>
    </row>
    <row r="376" customFormat="false" ht="14.25" hidden="false" customHeight="false" outlineLevel="0" collapsed="false">
      <c r="A376" s="319" t="s">
        <v>640</v>
      </c>
      <c r="B376" s="205" t="s">
        <v>327</v>
      </c>
      <c r="C376" s="304" t="n">
        <v>0</v>
      </c>
      <c r="D376" s="304" t="n">
        <v>0</v>
      </c>
      <c r="E376" s="304" t="n">
        <v>0</v>
      </c>
      <c r="F376" s="304" t="n">
        <v>0</v>
      </c>
      <c r="G376" s="304" t="n">
        <v>0</v>
      </c>
      <c r="H376" s="304" t="n">
        <v>0</v>
      </c>
      <c r="I376" s="304" t="n">
        <v>0</v>
      </c>
    </row>
    <row r="380" customFormat="false" ht="24.45" hidden="false" customHeight="false" outlineLevel="0" collapsed="false">
      <c r="A380" s="199" t="s">
        <v>641</v>
      </c>
      <c r="H380" s="54"/>
      <c r="J380" s="57"/>
    </row>
    <row r="381" customFormat="false" ht="17.35" hidden="false" customHeight="false" outlineLevel="0" collapsed="false">
      <c r="A381" s="200" t="s">
        <v>642</v>
      </c>
      <c r="B381" s="200"/>
      <c r="C381" s="200"/>
      <c r="H381" s="54"/>
      <c r="J381" s="57"/>
    </row>
    <row r="382" customFormat="false" ht="14.25" hidden="false" customHeight="false" outlineLevel="0" collapsed="false">
      <c r="A382" s="312" t="s">
        <v>416</v>
      </c>
      <c r="B382" s="202" t="s">
        <v>28</v>
      </c>
      <c r="C382" s="204" t="n">
        <v>0</v>
      </c>
    </row>
    <row r="383" customFormat="false" ht="14.25" hidden="false" customHeight="false" outlineLevel="0" collapsed="false">
      <c r="A383" s="312" t="s">
        <v>418</v>
      </c>
      <c r="B383" s="202" t="s">
        <v>125</v>
      </c>
      <c r="C383" s="204" t="n">
        <v>200</v>
      </c>
    </row>
    <row r="384" customFormat="false" ht="14.25" hidden="false" customHeight="false" outlineLevel="0" collapsed="false">
      <c r="A384" s="312" t="s">
        <v>420</v>
      </c>
      <c r="B384" s="202" t="s">
        <v>643</v>
      </c>
      <c r="C384" s="327" t="n">
        <v>0.0074</v>
      </c>
    </row>
    <row r="385" customFormat="false" ht="14.25" hidden="false" customHeight="false" outlineLevel="0" collapsed="false">
      <c r="A385" s="312" t="s">
        <v>644</v>
      </c>
      <c r="B385" s="202" t="s">
        <v>36</v>
      </c>
      <c r="C385" s="204" t="n">
        <v>2020</v>
      </c>
    </row>
    <row r="386" customFormat="false" ht="14.25" hidden="false" customHeight="false" outlineLevel="0" collapsed="false">
      <c r="A386" s="312" t="s">
        <v>424</v>
      </c>
      <c r="B386" s="202" t="s">
        <v>645</v>
      </c>
      <c r="C386" s="204" t="n">
        <v>185</v>
      </c>
    </row>
    <row r="387" customFormat="false" ht="14.25" hidden="false" customHeight="false" outlineLevel="0" collapsed="false">
      <c r="A387" s="312" t="s">
        <v>427</v>
      </c>
      <c r="B387" s="202" t="s">
        <v>36</v>
      </c>
      <c r="C387" s="204" t="n">
        <v>2020</v>
      </c>
    </row>
    <row r="388" customFormat="false" ht="14.25" hidden="false" customHeight="false" outlineLevel="0" collapsed="false">
      <c r="A388" s="319" t="s">
        <v>428</v>
      </c>
      <c r="B388" s="205" t="s">
        <v>36</v>
      </c>
      <c r="C388" s="242" t="n">
        <v>2050</v>
      </c>
    </row>
    <row r="390" customFormat="false" ht="14.25" hidden="false" customHeight="true" outlineLevel="0" collapsed="false">
      <c r="A390" s="328" t="s">
        <v>70</v>
      </c>
      <c r="B390" s="328"/>
      <c r="C390" s="328"/>
      <c r="F390" s="321"/>
      <c r="G390" s="321"/>
      <c r="H390" s="321"/>
      <c r="I390" s="321"/>
      <c r="J390" s="321"/>
      <c r="K390" s="321"/>
      <c r="L390" s="321"/>
      <c r="M390" s="321"/>
      <c r="N390" s="321"/>
      <c r="O390" s="321"/>
      <c r="P390" s="321"/>
      <c r="Q390" s="321"/>
      <c r="R390" s="321"/>
      <c r="S390" s="321"/>
      <c r="T390" s="321"/>
      <c r="U390" s="321"/>
      <c r="V390" s="321"/>
      <c r="W390" s="321"/>
      <c r="X390" s="321"/>
      <c r="Y390" s="321"/>
      <c r="Z390" s="321"/>
      <c r="AA390" s="321"/>
      <c r="AB390" s="321"/>
      <c r="AC390" s="321"/>
      <c r="AD390" s="321"/>
      <c r="AE390" s="321"/>
      <c r="AF390" s="321"/>
      <c r="AG390" s="321"/>
      <c r="AH390" s="321"/>
      <c r="AI390" s="321"/>
      <c r="AJ390" s="321"/>
      <c r="AK390" s="321"/>
      <c r="AL390" s="321"/>
    </row>
    <row r="391" customFormat="false" ht="14.25" hidden="false" customHeight="false" outlineLevel="0" collapsed="false">
      <c r="A391" s="329" t="s">
        <v>75</v>
      </c>
      <c r="B391" s="259" t="s">
        <v>76</v>
      </c>
      <c r="C391" s="330" t="n">
        <v>135</v>
      </c>
      <c r="F391" s="321"/>
      <c r="G391" s="321"/>
      <c r="H391" s="321"/>
      <c r="I391" s="321"/>
      <c r="J391" s="321"/>
      <c r="K391" s="321"/>
      <c r="L391" s="321"/>
      <c r="M391" s="321"/>
      <c r="N391" s="321"/>
      <c r="O391" s="321"/>
      <c r="P391" s="321"/>
      <c r="Q391" s="321"/>
      <c r="R391" s="321"/>
      <c r="S391" s="321"/>
      <c r="T391" s="321"/>
      <c r="U391" s="321"/>
      <c r="V391" s="321"/>
      <c r="W391" s="321"/>
      <c r="X391" s="321"/>
      <c r="Y391" s="321"/>
      <c r="Z391" s="321"/>
      <c r="AA391" s="321"/>
      <c r="AB391" s="321"/>
      <c r="AC391" s="321"/>
      <c r="AD391" s="321"/>
      <c r="AE391" s="321"/>
      <c r="AF391" s="321"/>
      <c r="AG391" s="321"/>
      <c r="AH391" s="321"/>
      <c r="AI391" s="321"/>
      <c r="AJ391" s="321"/>
      <c r="AK391" s="321"/>
      <c r="AL391" s="321"/>
    </row>
    <row r="392" customFormat="false" ht="14.25" hidden="false" customHeight="false" outlineLevel="0" collapsed="false">
      <c r="A392" s="312" t="s">
        <v>74</v>
      </c>
      <c r="B392" s="202" t="s">
        <v>28</v>
      </c>
      <c r="C392" s="204" t="n">
        <v>0.2</v>
      </c>
      <c r="F392" s="321"/>
      <c r="G392" s="321"/>
      <c r="H392" s="321"/>
      <c r="I392" s="321"/>
      <c r="J392" s="321"/>
      <c r="K392" s="321"/>
      <c r="L392" s="321"/>
      <c r="M392" s="321"/>
      <c r="N392" s="321"/>
      <c r="O392" s="321"/>
      <c r="P392" s="321"/>
      <c r="Q392" s="321"/>
      <c r="R392" s="321"/>
      <c r="S392" s="321"/>
      <c r="T392" s="321"/>
      <c r="U392" s="321"/>
      <c r="V392" s="321"/>
      <c r="W392" s="321"/>
      <c r="X392" s="321"/>
      <c r="Y392" s="321"/>
      <c r="Z392" s="321"/>
      <c r="AA392" s="321"/>
      <c r="AB392" s="321"/>
      <c r="AC392" s="321"/>
      <c r="AD392" s="321"/>
      <c r="AE392" s="321"/>
      <c r="AF392" s="321"/>
      <c r="AG392" s="321"/>
      <c r="AH392" s="321"/>
      <c r="AI392" s="321"/>
      <c r="AJ392" s="321"/>
      <c r="AK392" s="321"/>
      <c r="AL392" s="321"/>
    </row>
    <row r="393" customFormat="false" ht="14.25" hidden="false" customHeight="false" outlineLevel="0" collapsed="false">
      <c r="A393" s="312" t="s">
        <v>80</v>
      </c>
      <c r="B393" s="202" t="s">
        <v>28</v>
      </c>
      <c r="C393" s="204" t="n">
        <v>2020</v>
      </c>
      <c r="F393" s="321"/>
      <c r="G393" s="321"/>
      <c r="H393" s="321"/>
      <c r="I393" s="321"/>
      <c r="J393" s="321"/>
      <c r="K393" s="321"/>
      <c r="L393" s="321"/>
      <c r="M393" s="321"/>
      <c r="N393" s="321"/>
      <c r="O393" s="321"/>
      <c r="P393" s="321"/>
      <c r="Q393" s="321"/>
      <c r="R393" s="321"/>
      <c r="S393" s="321"/>
      <c r="T393" s="321"/>
      <c r="U393" s="321"/>
      <c r="V393" s="321"/>
      <c r="W393" s="321"/>
      <c r="X393" s="321"/>
      <c r="Y393" s="321"/>
      <c r="Z393" s="321"/>
      <c r="AA393" s="321"/>
      <c r="AB393" s="321"/>
      <c r="AC393" s="321"/>
      <c r="AD393" s="321"/>
      <c r="AE393" s="321"/>
      <c r="AF393" s="321"/>
      <c r="AG393" s="321"/>
      <c r="AH393" s="321"/>
      <c r="AI393" s="321"/>
      <c r="AJ393" s="321"/>
      <c r="AK393" s="321"/>
      <c r="AL393" s="321"/>
    </row>
    <row r="394" customFormat="false" ht="14.25" hidden="false" customHeight="false" outlineLevel="0" collapsed="false">
      <c r="A394" s="319" t="s">
        <v>83</v>
      </c>
      <c r="B394" s="205" t="s">
        <v>28</v>
      </c>
      <c r="C394" s="242" t="n">
        <v>2050</v>
      </c>
      <c r="F394" s="321"/>
      <c r="G394" s="321"/>
      <c r="H394" s="321"/>
      <c r="I394" s="321"/>
      <c r="J394" s="321"/>
      <c r="K394" s="321"/>
      <c r="L394" s="321"/>
      <c r="M394" s="321"/>
      <c r="N394" s="321"/>
      <c r="O394" s="321"/>
      <c r="P394" s="321"/>
      <c r="Q394" s="321"/>
      <c r="R394" s="321"/>
      <c r="S394" s="321"/>
      <c r="T394" s="321"/>
      <c r="U394" s="321"/>
      <c r="V394" s="321"/>
      <c r="W394" s="321"/>
      <c r="X394" s="321"/>
      <c r="Y394" s="321"/>
      <c r="Z394" s="321"/>
      <c r="AA394" s="321"/>
      <c r="AB394" s="321"/>
      <c r="AC394" s="321"/>
      <c r="AD394" s="321"/>
      <c r="AE394" s="321"/>
      <c r="AF394" s="321"/>
      <c r="AG394" s="321"/>
      <c r="AH394" s="321"/>
      <c r="AI394" s="321"/>
      <c r="AJ394" s="321"/>
      <c r="AK394" s="321"/>
      <c r="AL394" s="321"/>
    </row>
    <row r="397" customFormat="false" ht="17.35" hidden="false" customHeight="false" outlineLevel="0" collapsed="false">
      <c r="A397" s="328" t="s">
        <v>86</v>
      </c>
      <c r="B397" s="328"/>
      <c r="C397" s="328"/>
    </row>
    <row r="398" customFormat="false" ht="14.25" hidden="false" customHeight="false" outlineLevel="0" collapsed="false">
      <c r="A398" s="312" t="s">
        <v>89</v>
      </c>
      <c r="B398" s="202" t="s">
        <v>28</v>
      </c>
      <c r="C398" s="304" t="n">
        <v>0.5</v>
      </c>
    </row>
    <row r="399" customFormat="false" ht="14.25" hidden="false" customHeight="false" outlineLevel="0" collapsed="false">
      <c r="A399" s="312" t="s">
        <v>92</v>
      </c>
      <c r="B399" s="202" t="s">
        <v>28</v>
      </c>
      <c r="C399" s="304" t="n">
        <v>0.5</v>
      </c>
    </row>
    <row r="400" customFormat="false" ht="14.25" hidden="false" customHeight="false" outlineLevel="0" collapsed="false">
      <c r="A400" s="312" t="s">
        <v>93</v>
      </c>
      <c r="B400" s="202" t="s">
        <v>28</v>
      </c>
      <c r="C400" s="304" t="n">
        <v>0.5</v>
      </c>
    </row>
    <row r="401" customFormat="false" ht="14.25" hidden="false" customHeight="false" outlineLevel="0" collapsed="false">
      <c r="A401" s="319" t="s">
        <v>118</v>
      </c>
      <c r="B401" s="205" t="s">
        <v>28</v>
      </c>
      <c r="C401" s="331" t="n">
        <v>0.5</v>
      </c>
    </row>
    <row r="403" customFormat="false" ht="15.75" hidden="false" customHeight="true" outlineLevel="0" collapsed="false">
      <c r="A403" s="328" t="s">
        <v>646</v>
      </c>
      <c r="B403" s="328"/>
      <c r="C403" s="332" t="s">
        <v>576</v>
      </c>
      <c r="D403" s="333" t="s">
        <v>579</v>
      </c>
      <c r="E403" s="333" t="s">
        <v>647</v>
      </c>
      <c r="F403" s="333" t="s">
        <v>648</v>
      </c>
      <c r="G403" s="333" t="s">
        <v>649</v>
      </c>
      <c r="H403" s="333" t="s">
        <v>650</v>
      </c>
      <c r="I403" s="333" t="s">
        <v>651</v>
      </c>
      <c r="J403" s="333" t="s">
        <v>652</v>
      </c>
      <c r="K403" s="333" t="s">
        <v>354</v>
      </c>
      <c r="L403" s="333" t="s">
        <v>653</v>
      </c>
      <c r="M403" s="333" t="s">
        <v>654</v>
      </c>
      <c r="N403" s="333" t="s">
        <v>655</v>
      </c>
      <c r="O403" s="333" t="s">
        <v>656</v>
      </c>
      <c r="P403" s="333" t="s">
        <v>657</v>
      </c>
      <c r="Q403" s="334" t="s">
        <v>658</v>
      </c>
    </row>
    <row r="404" customFormat="false" ht="14.25" hidden="false" customHeight="false" outlineLevel="0" collapsed="false">
      <c r="A404" s="312" t="s">
        <v>659</v>
      </c>
      <c r="B404" s="335" t="s">
        <v>374</v>
      </c>
      <c r="C404" s="204" t="s">
        <v>660</v>
      </c>
      <c r="D404" s="204" t="s">
        <v>660</v>
      </c>
      <c r="E404" s="204" t="s">
        <v>660</v>
      </c>
      <c r="F404" s="204" t="s">
        <v>660</v>
      </c>
      <c r="G404" s="204" t="s">
        <v>660</v>
      </c>
      <c r="H404" s="204" t="s">
        <v>660</v>
      </c>
      <c r="I404" s="204" t="s">
        <v>660</v>
      </c>
      <c r="J404" s="204" t="s">
        <v>660</v>
      </c>
      <c r="K404" s="204" t="s">
        <v>660</v>
      </c>
      <c r="L404" s="204" t="s">
        <v>660</v>
      </c>
      <c r="M404" s="204" t="s">
        <v>660</v>
      </c>
      <c r="N404" s="204" t="s">
        <v>660</v>
      </c>
      <c r="O404" s="204" t="s">
        <v>660</v>
      </c>
      <c r="P404" s="204" t="s">
        <v>660</v>
      </c>
      <c r="Q404" s="204" t="s">
        <v>660</v>
      </c>
    </row>
    <row r="405" customFormat="false" ht="14.25" hidden="false" customHeight="false" outlineLevel="0" collapsed="false">
      <c r="A405" s="312" t="s">
        <v>661</v>
      </c>
      <c r="B405" s="335"/>
      <c r="C405" s="204" t="s">
        <v>660</v>
      </c>
      <c r="D405" s="204" t="s">
        <v>660</v>
      </c>
      <c r="E405" s="204" t="s">
        <v>660</v>
      </c>
      <c r="F405" s="204" t="s">
        <v>660</v>
      </c>
      <c r="G405" s="204" t="s">
        <v>660</v>
      </c>
      <c r="H405" s="204" t="s">
        <v>660</v>
      </c>
      <c r="I405" s="204" t="s">
        <v>660</v>
      </c>
      <c r="J405" s="204" t="s">
        <v>660</v>
      </c>
      <c r="K405" s="204" t="s">
        <v>660</v>
      </c>
      <c r="L405" s="204" t="s">
        <v>660</v>
      </c>
      <c r="M405" s="204" t="s">
        <v>660</v>
      </c>
      <c r="N405" s="204" t="s">
        <v>660</v>
      </c>
      <c r="O405" s="204" t="s">
        <v>660</v>
      </c>
      <c r="P405" s="204" t="s">
        <v>660</v>
      </c>
      <c r="Q405" s="204" t="s">
        <v>660</v>
      </c>
    </row>
    <row r="406" customFormat="false" ht="14.25" hidden="false" customHeight="false" outlineLevel="0" collapsed="false">
      <c r="A406" s="312" t="s">
        <v>662</v>
      </c>
      <c r="B406" s="335"/>
      <c r="C406" s="204" t="s">
        <v>660</v>
      </c>
      <c r="D406" s="204" t="s">
        <v>660</v>
      </c>
      <c r="E406" s="204" t="s">
        <v>660</v>
      </c>
      <c r="F406" s="204" t="s">
        <v>660</v>
      </c>
      <c r="G406" s="204" t="s">
        <v>660</v>
      </c>
      <c r="H406" s="204" t="s">
        <v>660</v>
      </c>
      <c r="I406" s="204" t="s">
        <v>660</v>
      </c>
      <c r="J406" s="204" t="s">
        <v>660</v>
      </c>
      <c r="K406" s="204" t="s">
        <v>660</v>
      </c>
      <c r="L406" s="204" t="s">
        <v>660</v>
      </c>
      <c r="M406" s="204" t="s">
        <v>660</v>
      </c>
      <c r="N406" s="204" t="s">
        <v>660</v>
      </c>
      <c r="O406" s="204" t="s">
        <v>660</v>
      </c>
      <c r="P406" s="204" t="s">
        <v>660</v>
      </c>
      <c r="Q406" s="204" t="s">
        <v>660</v>
      </c>
    </row>
    <row r="407" customFormat="false" ht="14.25" hidden="false" customHeight="false" outlineLevel="0" collapsed="false">
      <c r="A407" s="312" t="s">
        <v>663</v>
      </c>
      <c r="B407" s="335"/>
      <c r="C407" s="204" t="s">
        <v>660</v>
      </c>
      <c r="D407" s="204" t="s">
        <v>660</v>
      </c>
      <c r="E407" s="204" t="s">
        <v>660</v>
      </c>
      <c r="F407" s="204" t="s">
        <v>660</v>
      </c>
      <c r="G407" s="204" t="s">
        <v>660</v>
      </c>
      <c r="H407" s="204" t="s">
        <v>660</v>
      </c>
      <c r="I407" s="204" t="s">
        <v>660</v>
      </c>
      <c r="J407" s="204" t="s">
        <v>660</v>
      </c>
      <c r="K407" s="204" t="s">
        <v>660</v>
      </c>
      <c r="L407" s="204" t="s">
        <v>660</v>
      </c>
      <c r="M407" s="204" t="s">
        <v>660</v>
      </c>
      <c r="N407" s="204" t="s">
        <v>660</v>
      </c>
      <c r="O407" s="204" t="s">
        <v>660</v>
      </c>
      <c r="P407" s="204" t="s">
        <v>660</v>
      </c>
      <c r="Q407" s="204" t="s">
        <v>660</v>
      </c>
    </row>
    <row r="408" customFormat="false" ht="14.25" hidden="false" customHeight="false" outlineLevel="0" collapsed="false">
      <c r="A408" s="312" t="s">
        <v>664</v>
      </c>
      <c r="B408" s="335"/>
      <c r="C408" s="204" t="s">
        <v>660</v>
      </c>
      <c r="D408" s="204" t="s">
        <v>660</v>
      </c>
      <c r="E408" s="204" t="s">
        <v>660</v>
      </c>
      <c r="F408" s="204" t="s">
        <v>660</v>
      </c>
      <c r="G408" s="204" t="s">
        <v>660</v>
      </c>
      <c r="H408" s="204" t="s">
        <v>660</v>
      </c>
      <c r="I408" s="204" t="s">
        <v>660</v>
      </c>
      <c r="J408" s="204" t="s">
        <v>660</v>
      </c>
      <c r="K408" s="204" t="s">
        <v>660</v>
      </c>
      <c r="L408" s="204" t="s">
        <v>660</v>
      </c>
      <c r="M408" s="204" t="s">
        <v>660</v>
      </c>
      <c r="N408" s="204" t="s">
        <v>660</v>
      </c>
      <c r="O408" s="204" t="s">
        <v>660</v>
      </c>
      <c r="P408" s="204" t="s">
        <v>660</v>
      </c>
      <c r="Q408" s="204" t="s">
        <v>660</v>
      </c>
    </row>
    <row r="409" customFormat="false" ht="14.25" hidden="false" customHeight="false" outlineLevel="0" collapsed="false">
      <c r="A409" s="312" t="s">
        <v>659</v>
      </c>
      <c r="B409" s="335" t="s">
        <v>375</v>
      </c>
      <c r="C409" s="204" t="s">
        <v>660</v>
      </c>
      <c r="D409" s="204" t="s">
        <v>660</v>
      </c>
      <c r="E409" s="204" t="s">
        <v>660</v>
      </c>
      <c r="F409" s="204" t="s">
        <v>660</v>
      </c>
      <c r="G409" s="204" t="s">
        <v>660</v>
      </c>
      <c r="H409" s="204" t="s">
        <v>660</v>
      </c>
      <c r="I409" s="204" t="s">
        <v>660</v>
      </c>
      <c r="J409" s="204" t="s">
        <v>660</v>
      </c>
      <c r="K409" s="204" t="s">
        <v>660</v>
      </c>
      <c r="L409" s="204" t="s">
        <v>660</v>
      </c>
      <c r="M409" s="204" t="s">
        <v>660</v>
      </c>
      <c r="N409" s="204" t="s">
        <v>660</v>
      </c>
      <c r="O409" s="204" t="s">
        <v>660</v>
      </c>
      <c r="P409" s="204" t="s">
        <v>660</v>
      </c>
      <c r="Q409" s="204" t="s">
        <v>660</v>
      </c>
    </row>
    <row r="410" customFormat="false" ht="14.25" hidden="false" customHeight="false" outlineLevel="0" collapsed="false">
      <c r="A410" s="312" t="s">
        <v>661</v>
      </c>
      <c r="B410" s="335"/>
      <c r="C410" s="204" t="s">
        <v>660</v>
      </c>
      <c r="D410" s="204" t="s">
        <v>660</v>
      </c>
      <c r="E410" s="204" t="s">
        <v>660</v>
      </c>
      <c r="F410" s="204" t="s">
        <v>660</v>
      </c>
      <c r="G410" s="204" t="s">
        <v>660</v>
      </c>
      <c r="H410" s="204" t="s">
        <v>660</v>
      </c>
      <c r="I410" s="204" t="s">
        <v>660</v>
      </c>
      <c r="J410" s="204" t="s">
        <v>660</v>
      </c>
      <c r="K410" s="204" t="s">
        <v>660</v>
      </c>
      <c r="L410" s="204" t="s">
        <v>660</v>
      </c>
      <c r="M410" s="204" t="s">
        <v>660</v>
      </c>
      <c r="N410" s="204" t="s">
        <v>660</v>
      </c>
      <c r="O410" s="204" t="s">
        <v>660</v>
      </c>
      <c r="P410" s="204" t="s">
        <v>660</v>
      </c>
      <c r="Q410" s="204" t="s">
        <v>660</v>
      </c>
    </row>
    <row r="411" customFormat="false" ht="14.25" hidden="false" customHeight="false" outlineLevel="0" collapsed="false">
      <c r="A411" s="312" t="s">
        <v>662</v>
      </c>
      <c r="B411" s="335"/>
      <c r="C411" s="204" t="s">
        <v>660</v>
      </c>
      <c r="D411" s="204" t="s">
        <v>660</v>
      </c>
      <c r="E411" s="204" t="s">
        <v>660</v>
      </c>
      <c r="F411" s="204" t="s">
        <v>660</v>
      </c>
      <c r="G411" s="204" t="s">
        <v>660</v>
      </c>
      <c r="H411" s="204" t="s">
        <v>660</v>
      </c>
      <c r="I411" s="204" t="s">
        <v>660</v>
      </c>
      <c r="J411" s="204" t="s">
        <v>660</v>
      </c>
      <c r="K411" s="204" t="s">
        <v>660</v>
      </c>
      <c r="L411" s="204" t="s">
        <v>660</v>
      </c>
      <c r="M411" s="204" t="s">
        <v>660</v>
      </c>
      <c r="N411" s="204" t="s">
        <v>660</v>
      </c>
      <c r="O411" s="204" t="s">
        <v>660</v>
      </c>
      <c r="P411" s="204" t="s">
        <v>660</v>
      </c>
      <c r="Q411" s="204" t="s">
        <v>660</v>
      </c>
    </row>
    <row r="412" customFormat="false" ht="14.25" hidden="false" customHeight="false" outlineLevel="0" collapsed="false">
      <c r="A412" s="312" t="s">
        <v>663</v>
      </c>
      <c r="B412" s="335"/>
      <c r="C412" s="204" t="s">
        <v>660</v>
      </c>
      <c r="D412" s="204" t="s">
        <v>660</v>
      </c>
      <c r="E412" s="204" t="s">
        <v>660</v>
      </c>
      <c r="F412" s="204" t="s">
        <v>660</v>
      </c>
      <c r="G412" s="204" t="s">
        <v>660</v>
      </c>
      <c r="H412" s="204" t="s">
        <v>660</v>
      </c>
      <c r="I412" s="204" t="s">
        <v>660</v>
      </c>
      <c r="J412" s="204" t="s">
        <v>660</v>
      </c>
      <c r="K412" s="204" t="s">
        <v>660</v>
      </c>
      <c r="L412" s="204" t="s">
        <v>660</v>
      </c>
      <c r="M412" s="204" t="s">
        <v>660</v>
      </c>
      <c r="N412" s="204" t="s">
        <v>660</v>
      </c>
      <c r="O412" s="204" t="s">
        <v>660</v>
      </c>
      <c r="P412" s="204" t="s">
        <v>660</v>
      </c>
      <c r="Q412" s="204" t="s">
        <v>660</v>
      </c>
    </row>
    <row r="413" customFormat="false" ht="14.25" hidden="false" customHeight="false" outlineLevel="0" collapsed="false">
      <c r="A413" s="312" t="s">
        <v>664</v>
      </c>
      <c r="B413" s="335"/>
      <c r="C413" s="204" t="s">
        <v>660</v>
      </c>
      <c r="D413" s="204" t="s">
        <v>660</v>
      </c>
      <c r="E413" s="204" t="s">
        <v>660</v>
      </c>
      <c r="F413" s="204" t="s">
        <v>660</v>
      </c>
      <c r="G413" s="204" t="s">
        <v>660</v>
      </c>
      <c r="H413" s="204" t="s">
        <v>660</v>
      </c>
      <c r="I413" s="204" t="s">
        <v>660</v>
      </c>
      <c r="J413" s="204" t="s">
        <v>660</v>
      </c>
      <c r="K413" s="204" t="s">
        <v>660</v>
      </c>
      <c r="L413" s="204" t="s">
        <v>660</v>
      </c>
      <c r="M413" s="204" t="s">
        <v>660</v>
      </c>
      <c r="N413" s="204" t="s">
        <v>660</v>
      </c>
      <c r="O413" s="204" t="s">
        <v>660</v>
      </c>
      <c r="P413" s="204" t="s">
        <v>660</v>
      </c>
      <c r="Q413" s="204" t="s">
        <v>660</v>
      </c>
    </row>
    <row r="414" customFormat="false" ht="14.25" hidden="false" customHeight="false" outlineLevel="0" collapsed="false">
      <c r="A414" s="312" t="s">
        <v>665</v>
      </c>
      <c r="B414" s="335" t="s">
        <v>376</v>
      </c>
      <c r="C414" s="204" t="s">
        <v>660</v>
      </c>
      <c r="D414" s="204" t="s">
        <v>660</v>
      </c>
      <c r="E414" s="204" t="s">
        <v>660</v>
      </c>
      <c r="F414" s="204" t="s">
        <v>660</v>
      </c>
      <c r="G414" s="204" t="s">
        <v>660</v>
      </c>
      <c r="H414" s="204" t="s">
        <v>660</v>
      </c>
      <c r="I414" s="204" t="s">
        <v>660</v>
      </c>
      <c r="J414" s="204" t="s">
        <v>660</v>
      </c>
      <c r="K414" s="204" t="s">
        <v>660</v>
      </c>
      <c r="L414" s="204" t="s">
        <v>660</v>
      </c>
      <c r="M414" s="204" t="s">
        <v>660</v>
      </c>
      <c r="N414" s="204" t="s">
        <v>660</v>
      </c>
      <c r="O414" s="204" t="s">
        <v>660</v>
      </c>
      <c r="P414" s="204" t="s">
        <v>660</v>
      </c>
      <c r="Q414" s="204" t="s">
        <v>660</v>
      </c>
    </row>
    <row r="415" customFormat="false" ht="14.25" hidden="false" customHeight="false" outlineLevel="0" collapsed="false">
      <c r="A415" s="312" t="s">
        <v>661</v>
      </c>
      <c r="B415" s="335"/>
      <c r="C415" s="204" t="s">
        <v>660</v>
      </c>
      <c r="D415" s="204" t="s">
        <v>660</v>
      </c>
      <c r="E415" s="204" t="s">
        <v>660</v>
      </c>
      <c r="F415" s="204" t="s">
        <v>660</v>
      </c>
      <c r="G415" s="204" t="s">
        <v>660</v>
      </c>
      <c r="H415" s="204" t="s">
        <v>660</v>
      </c>
      <c r="I415" s="204" t="s">
        <v>660</v>
      </c>
      <c r="J415" s="204" t="s">
        <v>660</v>
      </c>
      <c r="K415" s="204" t="s">
        <v>660</v>
      </c>
      <c r="L415" s="204" t="s">
        <v>660</v>
      </c>
      <c r="M415" s="204" t="s">
        <v>660</v>
      </c>
      <c r="N415" s="204" t="s">
        <v>660</v>
      </c>
      <c r="O415" s="204" t="s">
        <v>660</v>
      </c>
      <c r="P415" s="204" t="s">
        <v>660</v>
      </c>
      <c r="Q415" s="204" t="s">
        <v>660</v>
      </c>
    </row>
    <row r="416" customFormat="false" ht="14.25" hidden="false" customHeight="false" outlineLevel="0" collapsed="false">
      <c r="A416" s="312" t="s">
        <v>662</v>
      </c>
      <c r="B416" s="335"/>
      <c r="C416" s="204" t="s">
        <v>660</v>
      </c>
      <c r="D416" s="204" t="s">
        <v>660</v>
      </c>
      <c r="E416" s="204" t="s">
        <v>660</v>
      </c>
      <c r="F416" s="204" t="s">
        <v>660</v>
      </c>
      <c r="G416" s="204" t="s">
        <v>660</v>
      </c>
      <c r="H416" s="204" t="s">
        <v>660</v>
      </c>
      <c r="I416" s="204" t="s">
        <v>660</v>
      </c>
      <c r="J416" s="204" t="s">
        <v>660</v>
      </c>
      <c r="K416" s="204" t="s">
        <v>660</v>
      </c>
      <c r="L416" s="204" t="s">
        <v>660</v>
      </c>
      <c r="M416" s="204" t="s">
        <v>660</v>
      </c>
      <c r="N416" s="204" t="s">
        <v>660</v>
      </c>
      <c r="O416" s="204" t="s">
        <v>660</v>
      </c>
      <c r="P416" s="204" t="s">
        <v>660</v>
      </c>
      <c r="Q416" s="204" t="s">
        <v>660</v>
      </c>
    </row>
    <row r="417" customFormat="false" ht="14.25" hidden="false" customHeight="false" outlineLevel="0" collapsed="false">
      <c r="A417" s="312" t="s">
        <v>663</v>
      </c>
      <c r="B417" s="335"/>
      <c r="C417" s="204" t="s">
        <v>660</v>
      </c>
      <c r="D417" s="204" t="s">
        <v>660</v>
      </c>
      <c r="E417" s="204" t="s">
        <v>660</v>
      </c>
      <c r="F417" s="204" t="s">
        <v>660</v>
      </c>
      <c r="G417" s="204" t="s">
        <v>660</v>
      </c>
      <c r="H417" s="204" t="s">
        <v>660</v>
      </c>
      <c r="I417" s="204" t="s">
        <v>660</v>
      </c>
      <c r="J417" s="204" t="s">
        <v>660</v>
      </c>
      <c r="K417" s="204" t="s">
        <v>660</v>
      </c>
      <c r="L417" s="204" t="s">
        <v>660</v>
      </c>
      <c r="M417" s="204" t="s">
        <v>660</v>
      </c>
      <c r="N417" s="204" t="s">
        <v>660</v>
      </c>
      <c r="O417" s="204" t="s">
        <v>660</v>
      </c>
      <c r="P417" s="204" t="s">
        <v>660</v>
      </c>
      <c r="Q417" s="204" t="s">
        <v>660</v>
      </c>
    </row>
    <row r="418" customFormat="false" ht="14.25" hidden="false" customHeight="false" outlineLevel="0" collapsed="false">
      <c r="A418" s="312" t="s">
        <v>664</v>
      </c>
      <c r="B418" s="335"/>
      <c r="C418" s="204" t="s">
        <v>660</v>
      </c>
      <c r="D418" s="204" t="s">
        <v>660</v>
      </c>
      <c r="E418" s="204" t="s">
        <v>660</v>
      </c>
      <c r="F418" s="204" t="s">
        <v>660</v>
      </c>
      <c r="G418" s="204" t="s">
        <v>660</v>
      </c>
      <c r="H418" s="204" t="s">
        <v>660</v>
      </c>
      <c r="I418" s="204" t="s">
        <v>660</v>
      </c>
      <c r="J418" s="204" t="s">
        <v>660</v>
      </c>
      <c r="K418" s="204" t="s">
        <v>660</v>
      </c>
      <c r="L418" s="204" t="s">
        <v>660</v>
      </c>
      <c r="M418" s="204" t="s">
        <v>660</v>
      </c>
      <c r="N418" s="204" t="s">
        <v>660</v>
      </c>
      <c r="O418" s="204" t="s">
        <v>660</v>
      </c>
      <c r="P418" s="204" t="s">
        <v>660</v>
      </c>
      <c r="Q418" s="204" t="s">
        <v>660</v>
      </c>
    </row>
    <row r="419" customFormat="false" ht="14.25" hidden="false" customHeight="false" outlineLevel="0" collapsed="false">
      <c r="A419" s="312" t="s">
        <v>659</v>
      </c>
      <c r="B419" s="335" t="s">
        <v>377</v>
      </c>
      <c r="C419" s="204" t="s">
        <v>660</v>
      </c>
      <c r="D419" s="204" t="s">
        <v>660</v>
      </c>
      <c r="E419" s="204" t="s">
        <v>660</v>
      </c>
      <c r="F419" s="204" t="s">
        <v>660</v>
      </c>
      <c r="G419" s="204" t="s">
        <v>660</v>
      </c>
      <c r="H419" s="204" t="s">
        <v>660</v>
      </c>
      <c r="I419" s="204" t="s">
        <v>660</v>
      </c>
      <c r="J419" s="204" t="s">
        <v>660</v>
      </c>
      <c r="K419" s="204" t="s">
        <v>660</v>
      </c>
      <c r="L419" s="204" t="s">
        <v>660</v>
      </c>
      <c r="M419" s="204" t="s">
        <v>660</v>
      </c>
      <c r="N419" s="204" t="s">
        <v>660</v>
      </c>
      <c r="O419" s="204" t="s">
        <v>660</v>
      </c>
      <c r="P419" s="204" t="s">
        <v>660</v>
      </c>
      <c r="Q419" s="204" t="s">
        <v>660</v>
      </c>
    </row>
    <row r="420" customFormat="false" ht="14.25" hidden="false" customHeight="false" outlineLevel="0" collapsed="false">
      <c r="A420" s="312" t="s">
        <v>661</v>
      </c>
      <c r="B420" s="335"/>
      <c r="C420" s="204" t="s">
        <v>660</v>
      </c>
      <c r="D420" s="204" t="s">
        <v>660</v>
      </c>
      <c r="E420" s="204" t="s">
        <v>660</v>
      </c>
      <c r="F420" s="204" t="s">
        <v>660</v>
      </c>
      <c r="G420" s="204" t="s">
        <v>660</v>
      </c>
      <c r="H420" s="204" t="s">
        <v>660</v>
      </c>
      <c r="I420" s="204" t="s">
        <v>660</v>
      </c>
      <c r="J420" s="204" t="s">
        <v>660</v>
      </c>
      <c r="K420" s="204" t="s">
        <v>660</v>
      </c>
      <c r="L420" s="204" t="s">
        <v>660</v>
      </c>
      <c r="M420" s="204" t="s">
        <v>660</v>
      </c>
      <c r="N420" s="204" t="s">
        <v>660</v>
      </c>
      <c r="O420" s="204" t="s">
        <v>660</v>
      </c>
      <c r="P420" s="204" t="s">
        <v>660</v>
      </c>
      <c r="Q420" s="204" t="s">
        <v>660</v>
      </c>
    </row>
    <row r="421" customFormat="false" ht="14.25" hidden="false" customHeight="false" outlineLevel="0" collapsed="false">
      <c r="A421" s="312" t="s">
        <v>662</v>
      </c>
      <c r="B421" s="335"/>
      <c r="C421" s="204" t="s">
        <v>660</v>
      </c>
      <c r="D421" s="204" t="s">
        <v>660</v>
      </c>
      <c r="E421" s="204" t="s">
        <v>660</v>
      </c>
      <c r="F421" s="204" t="s">
        <v>660</v>
      </c>
      <c r="G421" s="204" t="s">
        <v>660</v>
      </c>
      <c r="H421" s="204" t="s">
        <v>660</v>
      </c>
      <c r="I421" s="204" t="s">
        <v>660</v>
      </c>
      <c r="J421" s="204" t="s">
        <v>660</v>
      </c>
      <c r="K421" s="204" t="s">
        <v>660</v>
      </c>
      <c r="L421" s="204" t="s">
        <v>660</v>
      </c>
      <c r="M421" s="204" t="s">
        <v>660</v>
      </c>
      <c r="N421" s="204" t="s">
        <v>660</v>
      </c>
      <c r="O421" s="204" t="s">
        <v>660</v>
      </c>
      <c r="P421" s="204" t="s">
        <v>660</v>
      </c>
      <c r="Q421" s="204" t="s">
        <v>660</v>
      </c>
    </row>
    <row r="422" customFormat="false" ht="14.25" hidden="false" customHeight="false" outlineLevel="0" collapsed="false">
      <c r="A422" s="312" t="s">
        <v>663</v>
      </c>
      <c r="B422" s="335"/>
      <c r="C422" s="204" t="s">
        <v>660</v>
      </c>
      <c r="D422" s="204" t="s">
        <v>660</v>
      </c>
      <c r="E422" s="204" t="s">
        <v>660</v>
      </c>
      <c r="F422" s="204" t="s">
        <v>660</v>
      </c>
      <c r="G422" s="204" t="s">
        <v>660</v>
      </c>
      <c r="H422" s="204" t="s">
        <v>660</v>
      </c>
      <c r="I422" s="204" t="s">
        <v>660</v>
      </c>
      <c r="J422" s="204" t="s">
        <v>660</v>
      </c>
      <c r="K422" s="204" t="s">
        <v>660</v>
      </c>
      <c r="L422" s="204" t="s">
        <v>660</v>
      </c>
      <c r="M422" s="204" t="s">
        <v>660</v>
      </c>
      <c r="N422" s="204" t="s">
        <v>660</v>
      </c>
      <c r="O422" s="204" t="s">
        <v>660</v>
      </c>
      <c r="P422" s="204" t="s">
        <v>660</v>
      </c>
      <c r="Q422" s="204" t="s">
        <v>660</v>
      </c>
    </row>
    <row r="423" customFormat="false" ht="14.25" hidden="false" customHeight="false" outlineLevel="0" collapsed="false">
      <c r="A423" s="312" t="s">
        <v>664</v>
      </c>
      <c r="B423" s="335"/>
      <c r="C423" s="204" t="s">
        <v>660</v>
      </c>
      <c r="D423" s="204" t="s">
        <v>660</v>
      </c>
      <c r="E423" s="204" t="s">
        <v>660</v>
      </c>
      <c r="F423" s="204" t="s">
        <v>660</v>
      </c>
      <c r="G423" s="204" t="s">
        <v>660</v>
      </c>
      <c r="H423" s="204" t="s">
        <v>660</v>
      </c>
      <c r="I423" s="204" t="s">
        <v>660</v>
      </c>
      <c r="J423" s="204" t="s">
        <v>660</v>
      </c>
      <c r="K423" s="204" t="s">
        <v>660</v>
      </c>
      <c r="L423" s="204" t="s">
        <v>660</v>
      </c>
      <c r="M423" s="204" t="s">
        <v>660</v>
      </c>
      <c r="N423" s="204" t="s">
        <v>660</v>
      </c>
      <c r="O423" s="204" t="s">
        <v>660</v>
      </c>
      <c r="P423" s="204" t="s">
        <v>660</v>
      </c>
      <c r="Q423" s="204" t="s">
        <v>660</v>
      </c>
    </row>
    <row r="424" customFormat="false" ht="14.25" hidden="false" customHeight="false" outlineLevel="0" collapsed="false">
      <c r="A424" s="312" t="s">
        <v>659</v>
      </c>
      <c r="B424" s="335" t="s">
        <v>378</v>
      </c>
      <c r="C424" s="204" t="s">
        <v>660</v>
      </c>
      <c r="D424" s="204" t="s">
        <v>660</v>
      </c>
      <c r="E424" s="204" t="s">
        <v>660</v>
      </c>
      <c r="F424" s="204" t="s">
        <v>660</v>
      </c>
      <c r="G424" s="204" t="s">
        <v>660</v>
      </c>
      <c r="H424" s="204" t="s">
        <v>660</v>
      </c>
      <c r="I424" s="204" t="s">
        <v>660</v>
      </c>
      <c r="J424" s="204" t="s">
        <v>660</v>
      </c>
      <c r="K424" s="204" t="s">
        <v>660</v>
      </c>
      <c r="L424" s="204" t="s">
        <v>660</v>
      </c>
      <c r="M424" s="204" t="s">
        <v>660</v>
      </c>
      <c r="N424" s="204" t="s">
        <v>660</v>
      </c>
      <c r="O424" s="204" t="s">
        <v>660</v>
      </c>
      <c r="P424" s="204" t="s">
        <v>660</v>
      </c>
      <c r="Q424" s="204" t="s">
        <v>660</v>
      </c>
    </row>
    <row r="425" customFormat="false" ht="14.25" hidden="false" customHeight="false" outlineLevel="0" collapsed="false">
      <c r="A425" s="312" t="s">
        <v>661</v>
      </c>
      <c r="B425" s="335"/>
      <c r="C425" s="204" t="s">
        <v>660</v>
      </c>
      <c r="D425" s="204" t="s">
        <v>660</v>
      </c>
      <c r="E425" s="204" t="s">
        <v>660</v>
      </c>
      <c r="F425" s="204" t="s">
        <v>660</v>
      </c>
      <c r="G425" s="204" t="s">
        <v>660</v>
      </c>
      <c r="H425" s="204" t="s">
        <v>660</v>
      </c>
      <c r="I425" s="204" t="s">
        <v>660</v>
      </c>
      <c r="J425" s="204" t="s">
        <v>660</v>
      </c>
      <c r="K425" s="204" t="s">
        <v>660</v>
      </c>
      <c r="L425" s="204" t="s">
        <v>660</v>
      </c>
      <c r="M425" s="204" t="s">
        <v>660</v>
      </c>
      <c r="N425" s="204" t="s">
        <v>660</v>
      </c>
      <c r="O425" s="204" t="s">
        <v>660</v>
      </c>
      <c r="P425" s="204" t="s">
        <v>660</v>
      </c>
      <c r="Q425" s="204" t="s">
        <v>660</v>
      </c>
    </row>
    <row r="426" customFormat="false" ht="14.25" hidden="false" customHeight="false" outlineLevel="0" collapsed="false">
      <c r="A426" s="312" t="s">
        <v>662</v>
      </c>
      <c r="B426" s="335"/>
      <c r="C426" s="204" t="s">
        <v>660</v>
      </c>
      <c r="D426" s="204" t="s">
        <v>660</v>
      </c>
      <c r="E426" s="204" t="s">
        <v>660</v>
      </c>
      <c r="F426" s="204" t="s">
        <v>660</v>
      </c>
      <c r="G426" s="204" t="s">
        <v>660</v>
      </c>
      <c r="H426" s="204" t="s">
        <v>660</v>
      </c>
      <c r="I426" s="204" t="s">
        <v>660</v>
      </c>
      <c r="J426" s="204" t="s">
        <v>660</v>
      </c>
      <c r="K426" s="204" t="s">
        <v>660</v>
      </c>
      <c r="L426" s="204" t="s">
        <v>660</v>
      </c>
      <c r="M426" s="204" t="s">
        <v>660</v>
      </c>
      <c r="N426" s="204" t="s">
        <v>660</v>
      </c>
      <c r="O426" s="204" t="s">
        <v>660</v>
      </c>
      <c r="P426" s="204" t="s">
        <v>660</v>
      </c>
      <c r="Q426" s="204" t="s">
        <v>660</v>
      </c>
    </row>
    <row r="427" customFormat="false" ht="14.25" hidden="false" customHeight="false" outlineLevel="0" collapsed="false">
      <c r="A427" s="312" t="s">
        <v>663</v>
      </c>
      <c r="B427" s="335"/>
      <c r="C427" s="204" t="s">
        <v>660</v>
      </c>
      <c r="D427" s="204" t="s">
        <v>660</v>
      </c>
      <c r="E427" s="204" t="s">
        <v>660</v>
      </c>
      <c r="F427" s="204" t="s">
        <v>660</v>
      </c>
      <c r="G427" s="204" t="s">
        <v>660</v>
      </c>
      <c r="H427" s="204" t="s">
        <v>660</v>
      </c>
      <c r="I427" s="204" t="s">
        <v>660</v>
      </c>
      <c r="J427" s="204" t="s">
        <v>660</v>
      </c>
      <c r="K427" s="204" t="s">
        <v>660</v>
      </c>
      <c r="L427" s="204" t="s">
        <v>660</v>
      </c>
      <c r="M427" s="204" t="s">
        <v>660</v>
      </c>
      <c r="N427" s="204" t="s">
        <v>660</v>
      </c>
      <c r="O427" s="204" t="s">
        <v>660</v>
      </c>
      <c r="P427" s="204" t="s">
        <v>660</v>
      </c>
      <c r="Q427" s="204" t="s">
        <v>660</v>
      </c>
    </row>
    <row r="428" customFormat="false" ht="14.25" hidden="false" customHeight="false" outlineLevel="0" collapsed="false">
      <c r="A428" s="319" t="s">
        <v>664</v>
      </c>
      <c r="B428" s="335"/>
      <c r="C428" s="242" t="s">
        <v>660</v>
      </c>
      <c r="D428" s="242" t="s">
        <v>660</v>
      </c>
      <c r="E428" s="242" t="s">
        <v>660</v>
      </c>
      <c r="F428" s="242" t="s">
        <v>660</v>
      </c>
      <c r="G428" s="242" t="s">
        <v>660</v>
      </c>
      <c r="H428" s="242" t="s">
        <v>660</v>
      </c>
      <c r="I428" s="242" t="s">
        <v>660</v>
      </c>
      <c r="J428" s="242" t="s">
        <v>660</v>
      </c>
      <c r="K428" s="242" t="s">
        <v>660</v>
      </c>
      <c r="L428" s="242" t="s">
        <v>660</v>
      </c>
      <c r="M428" s="242" t="s">
        <v>660</v>
      </c>
      <c r="N428" s="242" t="s">
        <v>660</v>
      </c>
      <c r="O428" s="242" t="s">
        <v>660</v>
      </c>
      <c r="P428" s="242" t="s">
        <v>660</v>
      </c>
      <c r="Q428" s="242" t="s">
        <v>660</v>
      </c>
    </row>
  </sheetData>
  <mergeCells count="126">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5"/>
    <mergeCell ref="A126:A128"/>
    <mergeCell ref="B129:B131"/>
    <mergeCell ref="A133:I133"/>
    <mergeCell ref="A135:A138"/>
    <mergeCell ref="A139:A142"/>
    <mergeCell ref="A143:A146"/>
    <mergeCell ref="A147:I147"/>
    <mergeCell ref="A149:A152"/>
    <mergeCell ref="A153:A156"/>
    <mergeCell ref="A157:A160"/>
    <mergeCell ref="A161:A164"/>
    <mergeCell ref="A168:E168"/>
    <mergeCell ref="A169:E169"/>
    <mergeCell ref="A171:A173"/>
    <mergeCell ref="C171:C173"/>
    <mergeCell ref="A175:C175"/>
    <mergeCell ref="A178:B178"/>
    <mergeCell ref="A179:B179"/>
    <mergeCell ref="A180:B180"/>
    <mergeCell ref="A181:B181"/>
    <mergeCell ref="A182:B182"/>
    <mergeCell ref="A183:B183"/>
    <mergeCell ref="A184:Q184"/>
    <mergeCell ref="A185:B185"/>
    <mergeCell ref="A186:B186"/>
    <mergeCell ref="A187:B187"/>
    <mergeCell ref="A188:B188"/>
    <mergeCell ref="A189:B189"/>
    <mergeCell ref="A190:Q190"/>
    <mergeCell ref="A191:B191"/>
    <mergeCell ref="A192:B192"/>
    <mergeCell ref="A193:B193"/>
    <mergeCell ref="A194:B194"/>
    <mergeCell ref="A195:B195"/>
    <mergeCell ref="A196:Q196"/>
    <mergeCell ref="A197:B197"/>
    <mergeCell ref="A198:B198"/>
    <mergeCell ref="A199:B199"/>
    <mergeCell ref="A200:B200"/>
    <mergeCell ref="A201:B201"/>
    <mergeCell ref="A202:Q202"/>
    <mergeCell ref="A203:B203"/>
    <mergeCell ref="A204:B204"/>
    <mergeCell ref="A205:B205"/>
    <mergeCell ref="A206:B206"/>
    <mergeCell ref="A207:B207"/>
    <mergeCell ref="A209:C209"/>
    <mergeCell ref="A210:A211"/>
    <mergeCell ref="C210:C211"/>
    <mergeCell ref="A214:Q214"/>
    <mergeCell ref="A215:B215"/>
    <mergeCell ref="A216:B216"/>
    <mergeCell ref="A217:B217"/>
    <mergeCell ref="A218:B218"/>
    <mergeCell ref="A219:B219"/>
    <mergeCell ref="A220:B220"/>
    <mergeCell ref="A221:C221"/>
    <mergeCell ref="A225:C225"/>
    <mergeCell ref="A227:A229"/>
    <mergeCell ref="C227:C229"/>
    <mergeCell ref="A231:A233"/>
    <mergeCell ref="C231:C233"/>
    <mergeCell ref="A238:D238"/>
    <mergeCell ref="A239:D239"/>
    <mergeCell ref="A240:C240"/>
    <mergeCell ref="C242:E242"/>
    <mergeCell ref="A244:A262"/>
    <mergeCell ref="A263:C263"/>
    <mergeCell ref="A269:C269"/>
    <mergeCell ref="A270:C270"/>
    <mergeCell ref="A272:C272"/>
    <mergeCell ref="A273:A276"/>
    <mergeCell ref="C273:C276"/>
    <mergeCell ref="A281:I281"/>
    <mergeCell ref="A340:I340"/>
    <mergeCell ref="A364:H364"/>
    <mergeCell ref="A366:H366"/>
    <mergeCell ref="A368:H368"/>
    <mergeCell ref="A370:H370"/>
    <mergeCell ref="A373:I373"/>
    <mergeCell ref="A381:C381"/>
    <mergeCell ref="A390:C390"/>
    <mergeCell ref="A397:C397"/>
    <mergeCell ref="A403:B403"/>
    <mergeCell ref="B404:B408"/>
    <mergeCell ref="B409:B413"/>
    <mergeCell ref="B414:B418"/>
    <mergeCell ref="B419:B423"/>
    <mergeCell ref="B424:B428"/>
  </mergeCells>
  <conditionalFormatting sqref="C216:AD220">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Y428"/>
  <sheetViews>
    <sheetView showFormulas="false" showGridLines="true" showRowColHeaders="true" showZeros="true" rightToLeft="false" tabSelected="false" showOutlineSymbols="true" defaultGridColor="true" view="normal" topLeftCell="A351" colorId="64" zoomScale="75" zoomScaleNormal="75" zoomScalePageLayoutView="100" workbookViewId="0">
      <selection pane="topLeft" activeCell="C360" activeCellId="0" sqref="C360"/>
    </sheetView>
  </sheetViews>
  <sheetFormatPr defaultColWidth="11.4453125" defaultRowHeight="14.25" zeroHeight="false" outlineLevelRow="0" outlineLevelCol="0"/>
  <cols>
    <col collapsed="false" customWidth="true" hidden="false" outlineLevel="0" max="1" min="1" style="1" width="48.67"/>
    <col collapsed="false" customWidth="true" hidden="false" outlineLevel="0" max="2" min="2" style="1" width="50"/>
    <col collapsed="false" customWidth="true" hidden="false" outlineLevel="0" max="3" min="3" style="1" width="59.89"/>
    <col collapsed="false" customWidth="true" hidden="false" outlineLevel="0" max="4" min="4" style="1" width="55.88"/>
    <col collapsed="false" customWidth="true" hidden="false" outlineLevel="0" max="5" min="5" style="1" width="49.33"/>
    <col collapsed="false" customWidth="true" hidden="false" outlineLevel="0" max="6" min="6" style="1" width="30.88"/>
    <col collapsed="false" customWidth="true" hidden="false" outlineLevel="0" max="7" min="7" style="1" width="34.34"/>
    <col collapsed="false" customWidth="true" hidden="false" outlineLevel="0" max="8" min="8" style="1" width="32.44"/>
    <col collapsed="false" customWidth="true" hidden="false" outlineLevel="0" max="9" min="9" style="1" width="21.88"/>
    <col collapsed="false" customWidth="true" hidden="false" outlineLevel="0" max="10" min="10" style="1" width="29"/>
    <col collapsed="false" customWidth="true" hidden="false" outlineLevel="0" max="12" min="12" style="1" width="35.44"/>
    <col collapsed="false" customWidth="true" hidden="false" outlineLevel="0" max="18" min="18" style="1" width="12.56"/>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4.2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4.2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4.2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4.2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4.2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0.0114814377510482</v>
      </c>
      <c r="N10" s="206"/>
      <c r="O10" s="206"/>
      <c r="P10" s="206"/>
      <c r="Q10" s="206"/>
      <c r="R10" s="206" t="n">
        <v>0.011217229240813</v>
      </c>
      <c r="S10" s="206"/>
      <c r="T10" s="206"/>
      <c r="U10" s="206"/>
      <c r="V10" s="206"/>
      <c r="W10" s="206" t="n">
        <v>0.0137073065541908</v>
      </c>
      <c r="X10" s="206"/>
      <c r="Y10" s="206"/>
      <c r="Z10" s="206"/>
      <c r="AA10" s="206"/>
      <c r="AB10" s="206" t="n">
        <v>0</v>
      </c>
      <c r="AC10" s="206"/>
      <c r="AD10" s="206"/>
      <c r="AE10" s="206"/>
      <c r="AF10" s="206"/>
      <c r="AG10" s="206" t="n">
        <v>0</v>
      </c>
      <c r="AH10" s="206"/>
      <c r="AI10" s="206"/>
      <c r="AJ10" s="206"/>
      <c r="AK10" s="206"/>
      <c r="AL10" s="206" t="n">
        <v>0</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4.2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4.25" hidden="false" customHeight="false" outlineLevel="0" collapsed="false">
      <c r="A16" s="211" t="s">
        <v>498</v>
      </c>
      <c r="B16" s="202" t="s">
        <v>499</v>
      </c>
      <c r="C16" s="212" t="n">
        <v>0.117609721833719</v>
      </c>
      <c r="D16" s="212" t="n">
        <v>0.113707811921418</v>
      </c>
      <c r="E16" s="212" t="n">
        <v>0.113797431014698</v>
      </c>
      <c r="F16" s="212" t="n">
        <v>0.11418083665758</v>
      </c>
      <c r="G16" s="212" t="n">
        <v>0.114488940184614</v>
      </c>
      <c r="H16" s="212" t="n">
        <v>0.115790166319047</v>
      </c>
      <c r="I16" s="213" t="n">
        <v>0.115800025679749</v>
      </c>
      <c r="J16" s="81"/>
      <c r="K16" s="160"/>
      <c r="L16" s="81"/>
    </row>
    <row r="17" customFormat="false" ht="14.25" hidden="false" customHeight="false" outlineLevel="0" collapsed="false">
      <c r="A17" s="211" t="s">
        <v>500</v>
      </c>
      <c r="B17" s="202" t="s">
        <v>499</v>
      </c>
      <c r="C17" s="212" t="n">
        <v>0.000878474</v>
      </c>
      <c r="D17" s="212" t="n">
        <v>0.0011024</v>
      </c>
      <c r="E17" s="212" t="n">
        <v>0.0011334</v>
      </c>
      <c r="F17" s="212" t="n">
        <v>0.00200848238735286</v>
      </c>
      <c r="G17" s="212" t="n">
        <v>0.0025763285102634</v>
      </c>
      <c r="H17" s="212" t="n">
        <v>0.00298497591757019</v>
      </c>
      <c r="I17" s="213" t="n">
        <v>0.00339362332487698</v>
      </c>
      <c r="J17" s="81"/>
      <c r="K17" s="81"/>
      <c r="L17" s="81"/>
    </row>
    <row r="18" customFormat="false" ht="14.25" hidden="false" customHeight="false" outlineLevel="0" collapsed="false">
      <c r="A18" s="211" t="s">
        <v>501</v>
      </c>
      <c r="B18" s="202" t="s">
        <v>499</v>
      </c>
      <c r="C18" s="212" t="n">
        <v>0.0374522</v>
      </c>
      <c r="D18" s="212" t="n">
        <v>0.0396114137098256</v>
      </c>
      <c r="E18" s="212" t="n">
        <v>0.0388518310948766</v>
      </c>
      <c r="F18" s="214" t="n">
        <v>0.0395795735734857</v>
      </c>
      <c r="G18" s="214" t="n">
        <v>0.0434698585983582</v>
      </c>
      <c r="H18" s="214" t="n">
        <v>0.0427300398534315</v>
      </c>
      <c r="I18" s="213" t="n">
        <v>0.0467943816523362</v>
      </c>
      <c r="J18" s="81"/>
      <c r="K18" s="81"/>
      <c r="L18" s="81"/>
    </row>
    <row r="19" customFormat="false" ht="14.25" hidden="false" customHeight="false" outlineLevel="0" collapsed="false">
      <c r="A19" s="211" t="s">
        <v>502</v>
      </c>
      <c r="B19" s="202" t="s">
        <v>499</v>
      </c>
      <c r="C19" s="212" t="n">
        <v>0.0008299085</v>
      </c>
      <c r="D19" s="212" t="n">
        <v>0.00160824276183273</v>
      </c>
      <c r="E19" s="212" t="n">
        <v>0.0016481449681507</v>
      </c>
      <c r="F19" s="214" t="n">
        <v>0.00164736939369054</v>
      </c>
      <c r="G19" s="214" t="n">
        <v>0.00210751000079055</v>
      </c>
      <c r="H19" s="214" t="n">
        <v>0.00363286077927816</v>
      </c>
      <c r="I19" s="213" t="n">
        <v>0.00376193726951324</v>
      </c>
      <c r="J19" s="160"/>
      <c r="K19" s="81"/>
      <c r="L19" s="81"/>
    </row>
    <row r="20" customFormat="false" ht="14.25" hidden="false" customHeight="false" outlineLevel="0" collapsed="false">
      <c r="A20" s="211" t="s">
        <v>503</v>
      </c>
      <c r="B20" s="202" t="s">
        <v>499</v>
      </c>
      <c r="C20" s="212" t="n">
        <v>0.146914125126844</v>
      </c>
      <c r="D20" s="212" t="n">
        <v>0.170956271387911</v>
      </c>
      <c r="E20" s="212" t="n">
        <v>0.232033194217701</v>
      </c>
      <c r="F20" s="214" t="n">
        <v>0.266574203654975</v>
      </c>
      <c r="G20" s="214" t="n">
        <v>0.289246566785994</v>
      </c>
      <c r="H20" s="214" t="n">
        <v>0.325446142422074</v>
      </c>
      <c r="I20" s="213" t="n">
        <v>0.341333878371818</v>
      </c>
    </row>
    <row r="21" customFormat="false" ht="14.25" hidden="false" customHeight="false" outlineLevel="0" collapsed="false">
      <c r="A21" s="211" t="s">
        <v>504</v>
      </c>
      <c r="B21" s="202" t="s">
        <v>499</v>
      </c>
      <c r="C21" s="212" t="n">
        <v>0.0121029772625668</v>
      </c>
      <c r="D21" s="212" t="n">
        <v>0.0392747193946296</v>
      </c>
      <c r="E21" s="212" t="n">
        <v>0.0698931827334165</v>
      </c>
      <c r="F21" s="214" t="n">
        <v>0.0901781870086204</v>
      </c>
      <c r="G21" s="214" t="n">
        <v>0.105450155532974</v>
      </c>
      <c r="H21" s="214" t="n">
        <v>0.118804034641852</v>
      </c>
      <c r="I21" s="213" t="n">
        <v>0.123957599210511</v>
      </c>
      <c r="K21" s="81"/>
      <c r="L21" s="81"/>
    </row>
    <row r="22" customFormat="false" ht="14.25" hidden="false" customHeight="false" outlineLevel="0" collapsed="false">
      <c r="A22" s="211" t="s">
        <v>505</v>
      </c>
      <c r="B22" s="202" t="s">
        <v>499</v>
      </c>
      <c r="C22" s="212" t="n">
        <v>0.125671151626567</v>
      </c>
      <c r="D22" s="212" t="n">
        <v>0.156494540934672</v>
      </c>
      <c r="E22" s="212" t="n">
        <v>0.224623473617664</v>
      </c>
      <c r="F22" s="214" t="n">
        <v>0.271137445868651</v>
      </c>
      <c r="G22" s="214" t="n">
        <v>0.320523943760278</v>
      </c>
      <c r="H22" s="214" t="n">
        <v>0.373012309789902</v>
      </c>
      <c r="I22" s="213" t="n">
        <v>0.385633793755908</v>
      </c>
      <c r="K22" s="81"/>
      <c r="L22" s="81"/>
    </row>
    <row r="23" customFormat="false" ht="14.25" hidden="false" customHeight="false" outlineLevel="0" collapsed="false">
      <c r="A23" s="211" t="s">
        <v>506</v>
      </c>
      <c r="B23" s="202" t="s">
        <v>499</v>
      </c>
      <c r="C23" s="212" t="n">
        <v>0.0023288</v>
      </c>
      <c r="D23" s="212" t="n">
        <v>0.0049788</v>
      </c>
      <c r="E23" s="212" t="n">
        <v>0.0076288</v>
      </c>
      <c r="F23" s="212" t="n">
        <v>0.0092216</v>
      </c>
      <c r="G23" s="212" t="n">
        <v>0.0108144</v>
      </c>
      <c r="H23" s="212" t="n">
        <v>0.0124072</v>
      </c>
      <c r="I23" s="215" t="n">
        <v>0.014</v>
      </c>
    </row>
    <row r="24" customFormat="false" ht="15" hidden="false" customHeight="true" outlineLevel="0" collapsed="false">
      <c r="A24" s="211" t="s">
        <v>507</v>
      </c>
      <c r="B24" s="202" t="s">
        <v>499</v>
      </c>
      <c r="C24" s="212" t="n">
        <v>0.045</v>
      </c>
      <c r="D24" s="212" t="n">
        <v>0.055</v>
      </c>
      <c r="E24" s="212" t="n">
        <v>0.065</v>
      </c>
      <c r="F24" s="212" t="n">
        <v>0.065</v>
      </c>
      <c r="G24" s="212" t="n">
        <v>0.065</v>
      </c>
      <c r="H24" s="212" t="n">
        <v>0.065</v>
      </c>
      <c r="I24" s="213" t="n">
        <v>0.065</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t="s">
        <v>510</v>
      </c>
      <c r="B27" s="200"/>
      <c r="C27" s="200"/>
      <c r="D27" s="200"/>
      <c r="E27" s="200"/>
      <c r="F27" s="200"/>
      <c r="G27" s="200"/>
      <c r="H27" s="200"/>
      <c r="I27" s="200"/>
    </row>
    <row r="28" customFormat="false" ht="14.25" hidden="false" customHeight="false" outlineLevel="0" collapsed="false">
      <c r="A28" s="218" t="s">
        <v>511</v>
      </c>
      <c r="B28" s="219" t="s">
        <v>146</v>
      </c>
      <c r="C28" s="220" t="n">
        <v>0</v>
      </c>
      <c r="D28" s="220" t="n">
        <v>0</v>
      </c>
      <c r="E28" s="220" t="n">
        <v>0</v>
      </c>
      <c r="F28" s="220" t="n">
        <v>0</v>
      </c>
      <c r="G28" s="220" t="n">
        <v>0</v>
      </c>
      <c r="H28" s="220" t="n">
        <v>0</v>
      </c>
      <c r="I28" s="220" t="n">
        <v>0</v>
      </c>
    </row>
    <row r="29" customFormat="false" ht="14.2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512</v>
      </c>
      <c r="B31" s="222"/>
      <c r="C31" s="222"/>
      <c r="E31" s="81"/>
      <c r="F31" s="81"/>
      <c r="G31" s="81"/>
      <c r="H31" s="160"/>
      <c r="I31" s="81"/>
      <c r="L31" s="75"/>
    </row>
    <row r="32" customFormat="false" ht="14.25" hidden="false" customHeight="false" outlineLevel="0" collapsed="false">
      <c r="A32" s="211" t="s">
        <v>513</v>
      </c>
      <c r="B32" s="202" t="s">
        <v>514</v>
      </c>
      <c r="C32" s="223" t="n">
        <v>0.1</v>
      </c>
      <c r="H32" s="160"/>
      <c r="K32" s="45"/>
      <c r="M32" s="81"/>
    </row>
    <row r="33" customFormat="false" ht="14.25" hidden="false" customHeight="false" outlineLevel="0" collapsed="false">
      <c r="A33" s="211" t="s">
        <v>515</v>
      </c>
      <c r="B33" s="202" t="s">
        <v>36</v>
      </c>
      <c r="C33" s="204" t="n">
        <v>2035</v>
      </c>
      <c r="E33" s="81"/>
      <c r="F33" s="81"/>
      <c r="G33" s="81"/>
      <c r="H33" s="160"/>
      <c r="I33" s="81"/>
      <c r="J33" s="62"/>
    </row>
    <row r="34" customFormat="false" ht="14.25" hidden="false" customHeight="false" outlineLevel="0" collapsed="false">
      <c r="A34" s="211" t="s">
        <v>516</v>
      </c>
      <c r="B34" s="202" t="s">
        <v>514</v>
      </c>
      <c r="C34" s="224"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517</v>
      </c>
      <c r="B35" s="222"/>
      <c r="C35" s="222"/>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4.25" hidden="false" customHeight="false" outlineLevel="0" collapsed="false">
      <c r="A36" s="211" t="s">
        <v>518</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4.25" hidden="false" customHeight="false" outlineLevel="0" collapsed="false">
      <c r="A37" s="211" t="s">
        <v>519</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4.25" hidden="false" customHeight="false" outlineLevel="0" collapsed="false">
      <c r="A38" s="211" t="s">
        <v>520</v>
      </c>
      <c r="B38" s="202" t="s">
        <v>514</v>
      </c>
      <c r="C38" s="224"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4.25" hidden="false" customHeight="false" outlineLevel="0" collapsed="false">
      <c r="A39" s="211" t="s">
        <v>521</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4.25" hidden="false" customHeight="false" outlineLevel="0" collapsed="false">
      <c r="A40" s="211" t="s">
        <v>522</v>
      </c>
      <c r="B40" s="202" t="s">
        <v>514</v>
      </c>
      <c r="C40" s="224"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4.25" hidden="false" customHeight="false" outlineLevel="0" collapsed="false">
      <c r="A42" s="216" t="s">
        <v>523</v>
      </c>
      <c r="B42" s="205" t="s">
        <v>514</v>
      </c>
      <c r="C42" s="225"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4.25" hidden="false" customHeight="false" outlineLevel="0" collapsed="false">
      <c r="A45" s="216" t="s">
        <v>524</v>
      </c>
      <c r="B45" s="205" t="s">
        <v>514</v>
      </c>
      <c r="C45" s="225"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4.25" hidden="false" customHeight="false" outlineLevel="0" collapsed="false">
      <c r="A48" s="211" t="s">
        <v>525</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4.25" hidden="false" customHeight="false" outlineLevel="0" collapsed="false">
      <c r="A49" s="211" t="s">
        <v>526</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4.25" hidden="false" customHeight="false" outlineLevel="0" collapsed="false">
      <c r="A50" s="211" t="s">
        <v>527</v>
      </c>
      <c r="B50" s="202" t="s">
        <v>514</v>
      </c>
      <c r="C50" s="224"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4.25" hidden="false" customHeight="false" outlineLevel="0" collapsed="false">
      <c r="A51" s="211" t="s">
        <v>528</v>
      </c>
      <c r="B51" s="202" t="s">
        <v>514</v>
      </c>
      <c r="C51" s="224"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4.25" hidden="false" customHeight="false" outlineLevel="0" collapsed="false">
      <c r="A52" s="216" t="s">
        <v>529</v>
      </c>
      <c r="B52" s="205" t="s">
        <v>514</v>
      </c>
      <c r="C52" s="226" t="n">
        <v>0.01</v>
      </c>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7.35" hidden="false" customHeight="false" outlineLevel="0" collapsed="false">
      <c r="A53" s="200" t="s">
        <v>530</v>
      </c>
      <c r="B53" s="200"/>
      <c r="C53" s="200"/>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row>
    <row r="54" customFormat="false" ht="14.25" hidden="false" customHeight="false" outlineLevel="0" collapsed="false">
      <c r="A54" s="227" t="s">
        <v>531</v>
      </c>
      <c r="B54" s="202" t="s">
        <v>36</v>
      </c>
      <c r="C54" s="203" t="n">
        <v>2050</v>
      </c>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row>
    <row r="55" customFormat="false" ht="14.25" hidden="false" customHeight="false" outlineLevel="0" collapsed="false">
      <c r="A55" s="227" t="s">
        <v>532</v>
      </c>
      <c r="B55" s="202" t="s">
        <v>533</v>
      </c>
      <c r="C55" s="228" t="n">
        <v>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row>
    <row r="56" customFormat="false" ht="14.25" hidden="false" customHeight="false" outlineLevel="0" collapsed="false">
      <c r="A56" s="227" t="s">
        <v>534</v>
      </c>
      <c r="B56" s="202" t="s">
        <v>533</v>
      </c>
      <c r="C56" s="228"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row>
    <row r="57" customFormat="false" ht="14.25" hidden="false" customHeight="false" outlineLevel="0" collapsed="false">
      <c r="A57" s="227" t="s">
        <v>535</v>
      </c>
      <c r="B57" s="202" t="s">
        <v>533</v>
      </c>
      <c r="C57" s="228" t="n">
        <v>0.1</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row>
    <row r="58" customFormat="false" ht="14.25" hidden="false" customHeight="false" outlineLevel="0" collapsed="false">
      <c r="A58" s="227" t="s">
        <v>536</v>
      </c>
      <c r="B58" s="202" t="s">
        <v>533</v>
      </c>
      <c r="C58" s="228" t="n">
        <v>0.5</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row>
    <row r="59" customFormat="false" ht="14.25" hidden="false" customHeight="false" outlineLevel="0" collapsed="false">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row>
    <row r="60" customFormat="false" ht="17.35" hidden="false" customHeight="false" outlineLevel="0" collapsed="false">
      <c r="A60" s="200" t="s">
        <v>537</v>
      </c>
      <c r="B60" s="200"/>
      <c r="C60" s="200"/>
      <c r="D60" s="200"/>
      <c r="E60" s="200"/>
      <c r="F60" s="200"/>
      <c r="G60" s="200"/>
      <c r="H60" s="200"/>
      <c r="I60" s="200"/>
    </row>
    <row r="61" customFormat="false" ht="14.25" hidden="false" customHeight="false" outlineLevel="0" collapsed="false">
      <c r="A61" s="227" t="s">
        <v>36</v>
      </c>
      <c r="B61" s="202" t="s">
        <v>36</v>
      </c>
      <c r="C61" s="229" t="n">
        <v>2020</v>
      </c>
      <c r="D61" s="229" t="n">
        <v>2025</v>
      </c>
      <c r="E61" s="229" t="n">
        <v>2030</v>
      </c>
      <c r="F61" s="229" t="n">
        <v>2035</v>
      </c>
      <c r="G61" s="229" t="n">
        <v>2040</v>
      </c>
      <c r="H61" s="229" t="n">
        <v>2045</v>
      </c>
      <c r="I61" s="230" t="n">
        <v>2050</v>
      </c>
    </row>
    <row r="62" customFormat="false" ht="14.25" hidden="false" customHeight="false" outlineLevel="0" collapsed="false">
      <c r="A62" s="227" t="s">
        <v>538</v>
      </c>
      <c r="B62" s="202" t="s">
        <v>146</v>
      </c>
      <c r="C62" s="231" t="n">
        <v>0</v>
      </c>
      <c r="D62" s="231" t="n">
        <v>0</v>
      </c>
      <c r="E62" s="231" t="n">
        <v>0</v>
      </c>
      <c r="F62" s="231" t="n">
        <v>0</v>
      </c>
      <c r="G62" s="231" t="n">
        <v>0</v>
      </c>
      <c r="H62" s="231" t="n">
        <v>0</v>
      </c>
      <c r="I62" s="231" t="n">
        <v>0</v>
      </c>
      <c r="J62" s="221"/>
      <c r="K62" s="221"/>
    </row>
    <row r="63" customFormat="false" ht="14.25" hidden="false" customHeight="false" outlineLevel="0" collapsed="false">
      <c r="A63" s="227" t="s">
        <v>539</v>
      </c>
      <c r="B63" s="202" t="s">
        <v>146</v>
      </c>
      <c r="C63" s="231" t="n">
        <v>0</v>
      </c>
      <c r="D63" s="231" t="n">
        <v>0</v>
      </c>
      <c r="E63" s="231" t="n">
        <v>0</v>
      </c>
      <c r="F63" s="231" t="n">
        <v>0</v>
      </c>
      <c r="G63" s="231" t="n">
        <v>0</v>
      </c>
      <c r="H63" s="231" t="n">
        <v>0</v>
      </c>
      <c r="I63" s="231" t="n">
        <v>0</v>
      </c>
      <c r="J63" s="221"/>
      <c r="K63" s="221"/>
    </row>
    <row r="64" customFormat="false" ht="14.25" hidden="false" customHeight="false" outlineLevel="0" collapsed="false">
      <c r="A64" s="227" t="s">
        <v>540</v>
      </c>
      <c r="B64" s="202" t="s">
        <v>146</v>
      </c>
      <c r="C64" s="232" t="n">
        <v>4E-005</v>
      </c>
      <c r="D64" s="231" t="n">
        <v>0.00071</v>
      </c>
      <c r="E64" s="231" t="n">
        <v>0.00536</v>
      </c>
      <c r="F64" s="231" t="n">
        <v>0.03588</v>
      </c>
      <c r="G64" s="231" t="n">
        <v>0.09027</v>
      </c>
      <c r="H64" s="231" t="n">
        <v>0.13883</v>
      </c>
      <c r="I64" s="231" t="n">
        <v>0.18862</v>
      </c>
    </row>
    <row r="65" customFormat="false" ht="14.25" hidden="false" customHeight="false" outlineLevel="0" collapsed="false">
      <c r="A65" s="227" t="s">
        <v>541</v>
      </c>
      <c r="B65" s="202" t="s">
        <v>146</v>
      </c>
      <c r="C65" s="231" t="n">
        <v>0</v>
      </c>
      <c r="D65" s="231" t="n">
        <v>0</v>
      </c>
      <c r="E65" s="231" t="n">
        <v>0</v>
      </c>
      <c r="F65" s="231" t="n">
        <v>0</v>
      </c>
      <c r="G65" s="231" t="n">
        <v>0</v>
      </c>
      <c r="H65" s="231" t="n">
        <v>0</v>
      </c>
      <c r="I65" s="231" t="n">
        <v>0</v>
      </c>
    </row>
    <row r="66" customFormat="false" ht="14.25" hidden="false" customHeight="false" outlineLevel="0" collapsed="false">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row>
    <row r="67" customFormat="false" ht="14.2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row>
    <row r="68" customFormat="false" ht="24.45" hidden="false" customHeight="false" outlineLevel="0" collapsed="false">
      <c r="A68" s="199" t="s">
        <v>542</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3" t="s">
        <v>168</v>
      </c>
      <c r="B69" s="234"/>
      <c r="C69" s="235"/>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6"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4.25" hidden="false" customHeight="false" outlineLevel="0" collapsed="false">
      <c r="A71" s="236"/>
      <c r="B71" s="205" t="s">
        <v>543</v>
      </c>
      <c r="C71" s="226"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4.25" hidden="false" customHeight="false" outlineLevel="0" collapsed="false">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row>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6"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4.25" hidden="false" customHeight="false" outlineLevel="0" collapsed="false">
      <c r="A75" s="236"/>
      <c r="B75" s="205" t="s">
        <v>544</v>
      </c>
      <c r="C75" s="226"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7" t="s">
        <v>228</v>
      </c>
      <c r="B77" s="237"/>
      <c r="C77" s="237"/>
      <c r="D77" s="238" t="s">
        <v>545</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4.25" hidden="false" customHeight="false" outlineLevel="0" collapsed="false">
      <c r="A78" s="211" t="s">
        <v>546</v>
      </c>
      <c r="B78" s="202" t="s">
        <v>547</v>
      </c>
      <c r="C78" s="228"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39" t="s">
        <v>230</v>
      </c>
      <c r="B79" s="239"/>
      <c r="C79" s="239"/>
      <c r="D79" s="240" t="s">
        <v>548</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549</v>
      </c>
      <c r="B80" s="205" t="s">
        <v>547</v>
      </c>
      <c r="C80" s="241" t="n">
        <v>0.2</v>
      </c>
      <c r="D80" s="242"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4.25" hidden="false" customHeight="false" outlineLevel="0" collapsed="false">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row>
    <row r="82" customFormat="false" ht="17.35" hidden="false" customHeight="false" outlineLevel="0" collapsed="false">
      <c r="A82" s="200" t="s">
        <v>236</v>
      </c>
      <c r="B82" s="200"/>
      <c r="C82" s="200"/>
    </row>
    <row r="83" customFormat="false" ht="14.25" hidden="false" customHeight="false" outlineLevel="0" collapsed="false">
      <c r="A83" s="243" t="s">
        <v>550</v>
      </c>
      <c r="B83" s="202" t="s">
        <v>551</v>
      </c>
      <c r="C83" s="244" t="n">
        <v>0</v>
      </c>
    </row>
    <row r="84" customFormat="false" ht="14.25" hidden="false" customHeight="false" outlineLevel="0" collapsed="false">
      <c r="A84" s="243"/>
      <c r="B84" s="202" t="s">
        <v>552</v>
      </c>
      <c r="C84" s="244" t="n">
        <v>2023</v>
      </c>
    </row>
    <row r="85" customFormat="false" ht="14.25" hidden="false" customHeight="false" outlineLevel="0" collapsed="false">
      <c r="A85" s="243" t="s">
        <v>237</v>
      </c>
      <c r="B85" s="202" t="s">
        <v>238</v>
      </c>
      <c r="C85" s="244" t="n">
        <v>2015</v>
      </c>
      <c r="G85" s="118"/>
      <c r="H85" s="118"/>
      <c r="I85" s="127"/>
      <c r="J85" s="127"/>
      <c r="K85" s="127"/>
      <c r="L85" s="127"/>
      <c r="M85" s="127"/>
      <c r="N85" s="127"/>
      <c r="O85" s="127"/>
      <c r="P85" s="127"/>
      <c r="Q85" s="127"/>
      <c r="R85" s="127"/>
      <c r="S85" s="127"/>
      <c r="T85" s="127"/>
    </row>
    <row r="86" customFormat="false" ht="14.25" hidden="false" customHeight="false" outlineLevel="0" collapsed="false">
      <c r="A86" s="243"/>
      <c r="B86" s="202" t="s">
        <v>241</v>
      </c>
      <c r="C86" s="245" t="n">
        <v>0</v>
      </c>
      <c r="G86" s="118"/>
      <c r="H86" s="118"/>
      <c r="I86" s="127"/>
      <c r="J86" s="127"/>
      <c r="K86" s="127"/>
      <c r="L86" s="127"/>
      <c r="M86" s="127"/>
      <c r="N86" s="127"/>
      <c r="O86" s="127"/>
      <c r="P86" s="127"/>
      <c r="Q86" s="127"/>
      <c r="R86" s="127"/>
      <c r="S86" s="127"/>
      <c r="T86" s="127"/>
    </row>
    <row r="87" customFormat="false" ht="14.25" hidden="false" customHeight="false" outlineLevel="0" collapsed="false">
      <c r="A87" s="243" t="s">
        <v>243</v>
      </c>
      <c r="B87" s="202" t="s">
        <v>238</v>
      </c>
      <c r="C87" s="244" t="n">
        <v>2015</v>
      </c>
    </row>
    <row r="88" customFormat="false" ht="14.25" hidden="false" customHeight="false" outlineLevel="0" collapsed="false">
      <c r="A88" s="243"/>
      <c r="B88" s="202" t="s">
        <v>241</v>
      </c>
      <c r="C88" s="245" t="n">
        <v>0</v>
      </c>
    </row>
    <row r="89" customFormat="false" ht="14.25" hidden="false" customHeight="false" outlineLevel="0" collapsed="false">
      <c r="A89" s="243" t="s">
        <v>244</v>
      </c>
      <c r="B89" s="202" t="s">
        <v>238</v>
      </c>
      <c r="C89" s="244" t="n">
        <v>2023</v>
      </c>
    </row>
    <row r="90" customFormat="false" ht="14.25" hidden="false" customHeight="false" outlineLevel="0" collapsed="false">
      <c r="A90" s="243"/>
      <c r="B90" s="202" t="s">
        <v>241</v>
      </c>
      <c r="C90" s="245" t="n">
        <v>0</v>
      </c>
    </row>
    <row r="91" customFormat="false" ht="14.25" hidden="false" customHeight="false" outlineLevel="0" collapsed="false">
      <c r="A91" s="243" t="s">
        <v>246</v>
      </c>
      <c r="B91" s="202" t="s">
        <v>238</v>
      </c>
      <c r="C91" s="244" t="n">
        <v>2023</v>
      </c>
      <c r="G91" s="138"/>
      <c r="I91" s="125"/>
      <c r="J91" s="125"/>
      <c r="K91" s="125"/>
      <c r="L91" s="125"/>
      <c r="M91" s="125"/>
      <c r="N91" s="125"/>
      <c r="O91" s="125"/>
      <c r="P91" s="125"/>
      <c r="Q91" s="125"/>
      <c r="R91" s="125"/>
      <c r="S91" s="125"/>
      <c r="T91" s="125"/>
    </row>
    <row r="92" customFormat="false" ht="14.25" hidden="false" customHeight="false" outlineLevel="0" collapsed="false">
      <c r="A92" s="243"/>
      <c r="B92" s="202" t="s">
        <v>241</v>
      </c>
      <c r="C92" s="245" t="n">
        <v>0</v>
      </c>
    </row>
    <row r="93" customFormat="false" ht="14.25" hidden="false" customHeight="false" outlineLevel="0" collapsed="false">
      <c r="A93" s="243" t="s">
        <v>211</v>
      </c>
      <c r="B93" s="202" t="s">
        <v>238</v>
      </c>
      <c r="C93" s="244" t="n">
        <v>2023</v>
      </c>
    </row>
    <row r="94" customFormat="false" ht="14.25" hidden="false" customHeight="false" outlineLevel="0" collapsed="false">
      <c r="A94" s="243"/>
      <c r="B94" s="202" t="s">
        <v>241</v>
      </c>
      <c r="C94" s="245" t="n">
        <v>0.97</v>
      </c>
    </row>
    <row r="95" customFormat="false" ht="14.25" hidden="false" customHeight="false" outlineLevel="0" collapsed="false">
      <c r="A95" s="243" t="s">
        <v>240</v>
      </c>
      <c r="B95" s="202" t="s">
        <v>238</v>
      </c>
      <c r="C95" s="244" t="n">
        <v>2023</v>
      </c>
    </row>
    <row r="96" customFormat="false" ht="14.25" hidden="false" customHeight="false" outlineLevel="0" collapsed="false">
      <c r="A96" s="243"/>
      <c r="B96" s="202" t="s">
        <v>241</v>
      </c>
      <c r="C96" s="245" t="n">
        <v>0.74</v>
      </c>
    </row>
    <row r="97" customFormat="false" ht="14.25" hidden="false" customHeight="false" outlineLevel="0" collapsed="false">
      <c r="A97" s="236" t="s">
        <v>245</v>
      </c>
      <c r="B97" s="202" t="s">
        <v>238</v>
      </c>
      <c r="C97" s="244" t="n">
        <v>2023</v>
      </c>
    </row>
    <row r="98" customFormat="false" ht="14.25" hidden="false" customHeight="false" outlineLevel="0" collapsed="false">
      <c r="A98" s="236"/>
      <c r="B98" s="205" t="s">
        <v>241</v>
      </c>
      <c r="C98" s="246" t="n">
        <v>0.87</v>
      </c>
    </row>
    <row r="99" customFormat="false" ht="14.25" hidden="false" customHeight="false" outlineLevel="0" collapsed="false">
      <c r="A99" s="139" t="s">
        <v>247</v>
      </c>
    </row>
    <row r="101" customFormat="false" ht="14.25" hidden="false" customHeight="true" outlineLevel="0" collapsed="false">
      <c r="A101" s="200" t="s">
        <v>248</v>
      </c>
      <c r="B101" s="200"/>
      <c r="C101" s="200"/>
    </row>
    <row r="102" customFormat="false" ht="14.25" hidden="false" customHeight="false" outlineLevel="0" collapsed="false">
      <c r="A102" s="211" t="s">
        <v>249</v>
      </c>
      <c r="B102" s="202" t="s">
        <v>28</v>
      </c>
      <c r="C102" s="244" t="n">
        <v>1</v>
      </c>
    </row>
    <row r="103" customFormat="false" ht="14.25" hidden="false" customHeight="false" outlineLevel="0" collapsed="false">
      <c r="A103" s="211" t="s">
        <v>256</v>
      </c>
      <c r="B103" s="202" t="s">
        <v>28</v>
      </c>
      <c r="C103" s="244" t="n">
        <v>1</v>
      </c>
    </row>
    <row r="104" customFormat="false" ht="14.25" hidden="false" customHeight="false" outlineLevel="0" collapsed="false">
      <c r="A104" s="211" t="s">
        <v>553</v>
      </c>
      <c r="B104" s="202" t="s">
        <v>36</v>
      </c>
      <c r="C104" s="244" t="n">
        <v>2020</v>
      </c>
    </row>
    <row r="105" customFormat="false" ht="14.25" hidden="false" customHeight="false" outlineLevel="0" collapsed="false">
      <c r="A105" s="211" t="s">
        <v>554</v>
      </c>
      <c r="B105" s="202" t="s">
        <v>36</v>
      </c>
      <c r="C105" s="244" t="n">
        <v>2025</v>
      </c>
    </row>
    <row r="106" customFormat="false" ht="14.25" hidden="false" customHeight="false" outlineLevel="0" collapsed="false">
      <c r="A106" s="211" t="s">
        <v>555</v>
      </c>
      <c r="B106" s="202" t="s">
        <v>36</v>
      </c>
      <c r="C106" s="244" t="n">
        <v>2035</v>
      </c>
    </row>
    <row r="107" customFormat="false" ht="14.25" hidden="false" customHeight="false" outlineLevel="0" collapsed="false">
      <c r="A107" s="211" t="s">
        <v>556</v>
      </c>
      <c r="B107" s="202" t="s">
        <v>36</v>
      </c>
      <c r="C107" s="244" t="n">
        <v>2050</v>
      </c>
    </row>
    <row r="108" customFormat="false" ht="14.25" hidden="false" customHeight="false" outlineLevel="0" collapsed="false">
      <c r="A108" s="211" t="s">
        <v>255</v>
      </c>
      <c r="B108" s="202" t="s">
        <v>28</v>
      </c>
      <c r="C108" s="244" t="n">
        <v>0</v>
      </c>
    </row>
    <row r="109" customFormat="false" ht="14.25" hidden="false" customHeight="false" outlineLevel="0" collapsed="false">
      <c r="A109" s="211" t="s">
        <v>261</v>
      </c>
      <c r="B109" s="202" t="s">
        <v>28</v>
      </c>
      <c r="C109" s="244" t="n">
        <v>0</v>
      </c>
    </row>
    <row r="110" customFormat="false" ht="14.25" hidden="false" customHeight="false" outlineLevel="0" collapsed="false">
      <c r="A110" s="211" t="s">
        <v>557</v>
      </c>
      <c r="B110" s="202"/>
      <c r="C110" s="204" t="n">
        <v>2050</v>
      </c>
    </row>
    <row r="111" customFormat="false" ht="14.25" hidden="false" customHeight="false" outlineLevel="0" collapsed="false">
      <c r="A111" s="216" t="s">
        <v>558</v>
      </c>
      <c r="B111" s="205" t="s">
        <v>28</v>
      </c>
      <c r="C111" s="242" t="n">
        <v>0.8</v>
      </c>
    </row>
    <row r="112" customFormat="false" ht="14.25" hidden="false" customHeight="true" outlineLevel="0" collapsed="false"/>
    <row r="113" customFormat="false" ht="14.25" hidden="false" customHeight="true" outlineLevel="0" collapsed="false">
      <c r="A113" s="200" t="s">
        <v>58</v>
      </c>
      <c r="B113" s="200"/>
      <c r="C113" s="200"/>
      <c r="D113" s="200"/>
      <c r="E113" s="200"/>
    </row>
    <row r="114" customFormat="false" ht="14.25" hidden="false" customHeight="true" outlineLevel="0" collapsed="false">
      <c r="A114" s="236" t="s">
        <v>59</v>
      </c>
      <c r="B114" s="247" t="n">
        <v>4</v>
      </c>
      <c r="C114" s="227" t="s">
        <v>60</v>
      </c>
      <c r="D114" s="202" t="s">
        <v>65</v>
      </c>
      <c r="E114" s="224" t="n">
        <v>-0.012</v>
      </c>
    </row>
    <row r="115" customFormat="false" ht="14.25" hidden="false" customHeight="true" outlineLevel="0" collapsed="false">
      <c r="A115" s="236"/>
      <c r="B115" s="247"/>
      <c r="C115" s="227" t="s">
        <v>62</v>
      </c>
      <c r="D115" s="202" t="s">
        <v>559</v>
      </c>
      <c r="E115" s="204" t="n">
        <v>2017</v>
      </c>
    </row>
    <row r="116" customFormat="false" ht="14.25" hidden="false" customHeight="true" outlineLevel="0" collapsed="false">
      <c r="A116" s="236"/>
      <c r="B116" s="247"/>
      <c r="C116" s="227" t="s">
        <v>63</v>
      </c>
      <c r="D116" s="248"/>
      <c r="E116" s="248"/>
    </row>
    <row r="117" customFormat="false" ht="14.25" hidden="false" customHeight="true" outlineLevel="0" collapsed="false">
      <c r="A117" s="236"/>
      <c r="B117" s="247"/>
      <c r="C117" s="249" t="s">
        <v>64</v>
      </c>
      <c r="D117" s="248"/>
      <c r="E117" s="248"/>
    </row>
    <row r="118" customFormat="false" ht="14.25" hidden="false" customHeight="true" outlineLevel="0" collapsed="false"/>
    <row r="119" customFormat="false" ht="14.25" hidden="false" customHeight="true" outlineLevel="0" collapsed="false"/>
    <row r="120" customFormat="false" ht="24.45" hidden="false" customHeight="false" outlineLevel="0" collapsed="false">
      <c r="A120" s="199" t="s">
        <v>560</v>
      </c>
    </row>
    <row r="121" customFormat="false" ht="17.35" hidden="false" customHeight="false" outlineLevel="0" collapsed="false">
      <c r="A121" s="200" t="s">
        <v>561</v>
      </c>
      <c r="B121" s="200"/>
      <c r="C121" s="200"/>
      <c r="D121" s="200"/>
      <c r="E121" s="200"/>
      <c r="F121" s="200"/>
      <c r="G121" s="200"/>
      <c r="H121" s="200"/>
      <c r="I121" s="200"/>
      <c r="J121" s="200"/>
    </row>
    <row r="122" customFormat="false" ht="14.2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4.25" hidden="false" customHeight="false" outlineLevel="0" collapsed="false">
      <c r="A123" s="250" t="s">
        <v>562</v>
      </c>
      <c r="B123" s="203" t="s">
        <v>563</v>
      </c>
      <c r="C123" s="202" t="s">
        <v>28</v>
      </c>
      <c r="D123" s="251" t="n">
        <v>0.884728649558267</v>
      </c>
      <c r="E123" s="251" t="n">
        <v>0.880334612500551</v>
      </c>
      <c r="F123" s="251" t="n">
        <v>0.875347755270832</v>
      </c>
      <c r="G123" s="251" t="n">
        <v>0.8703</v>
      </c>
      <c r="H123" s="251" t="n">
        <v>0.8651</v>
      </c>
      <c r="I123" s="251" t="n">
        <v>0.85981</v>
      </c>
      <c r="J123" s="223" t="n">
        <v>0.85439</v>
      </c>
    </row>
    <row r="124" customFormat="false" ht="14.25" hidden="false" customHeight="false" outlineLevel="0" collapsed="false">
      <c r="A124" s="250"/>
      <c r="B124" s="203" t="s">
        <v>564</v>
      </c>
      <c r="C124" s="202" t="s">
        <v>28</v>
      </c>
      <c r="D124" s="251" t="n">
        <v>0.115271350441733</v>
      </c>
      <c r="E124" s="251" t="n">
        <v>0.119665387499449</v>
      </c>
      <c r="F124" s="251" t="n">
        <v>0.124652244729168</v>
      </c>
      <c r="G124" s="251" t="n">
        <v>0.1297</v>
      </c>
      <c r="H124" s="251" t="n">
        <v>0.13493</v>
      </c>
      <c r="I124" s="251" t="n">
        <v>0.1402</v>
      </c>
      <c r="J124" s="223" t="n">
        <v>0.14556</v>
      </c>
    </row>
    <row r="125" customFormat="false" ht="14.25" hidden="false" customHeight="false" outlineLevel="0" collapsed="false">
      <c r="A125" s="250"/>
      <c r="B125" s="203" t="s">
        <v>565</v>
      </c>
      <c r="C125" s="202" t="s">
        <v>28</v>
      </c>
      <c r="D125" s="251" t="n">
        <v>0</v>
      </c>
      <c r="E125" s="251" t="n">
        <v>0</v>
      </c>
      <c r="F125" s="251" t="n">
        <v>0</v>
      </c>
      <c r="G125" s="251" t="n">
        <v>0</v>
      </c>
      <c r="H125" s="251" t="n">
        <v>0</v>
      </c>
      <c r="I125" s="251" t="n">
        <v>0</v>
      </c>
      <c r="J125" s="223" t="n">
        <v>0</v>
      </c>
    </row>
    <row r="126" customFormat="false" ht="14.25" hidden="false" customHeight="false" outlineLevel="0" collapsed="false">
      <c r="A126" s="250" t="s">
        <v>566</v>
      </c>
      <c r="B126" s="203" t="s">
        <v>563</v>
      </c>
      <c r="C126" s="202" t="s">
        <v>28</v>
      </c>
      <c r="D126" s="251" t="n">
        <v>0.941542565014448</v>
      </c>
      <c r="E126" s="251" t="n">
        <v>0.900290185698342</v>
      </c>
      <c r="F126" s="251" t="n">
        <v>0.899485949917109</v>
      </c>
      <c r="G126" s="251" t="n">
        <v>0.898682485967326</v>
      </c>
      <c r="H126" s="251" t="n">
        <v>0.897879793054911</v>
      </c>
      <c r="I126" s="251" t="n">
        <v>0.897077870386644</v>
      </c>
      <c r="J126" s="223" t="n">
        <v>0.8962</v>
      </c>
    </row>
    <row r="127" customFormat="false" ht="14.25" hidden="false" customHeight="false" outlineLevel="0" collapsed="false">
      <c r="A127" s="250"/>
      <c r="B127" s="203" t="s">
        <v>564</v>
      </c>
      <c r="C127" s="202" t="s">
        <v>28</v>
      </c>
      <c r="D127" s="251" t="n">
        <v>0.00422316070237831</v>
      </c>
      <c r="E127" s="251" t="n">
        <v>0.00591359689433226</v>
      </c>
      <c r="F127" s="251" t="n">
        <v>0.00606680081830671</v>
      </c>
      <c r="G127" s="251" t="n">
        <v>0.0062248184197547</v>
      </c>
      <c r="H127" s="251" t="n">
        <v>0.00638782522707298</v>
      </c>
      <c r="I127" s="251" t="n">
        <v>0.0065</v>
      </c>
      <c r="J127" s="223" t="n">
        <v>0.00672954375025719</v>
      </c>
    </row>
    <row r="128" customFormat="false" ht="14.25" hidden="false" customHeight="false" outlineLevel="0" collapsed="false">
      <c r="A128" s="250"/>
      <c r="B128" s="203" t="s">
        <v>565</v>
      </c>
      <c r="C128" s="202" t="s">
        <v>28</v>
      </c>
      <c r="D128" s="251" t="n">
        <v>0.054234274283174</v>
      </c>
      <c r="E128" s="251" t="n">
        <v>0.0937962174073255</v>
      </c>
      <c r="F128" s="251" t="n">
        <v>0.0944472492645847</v>
      </c>
      <c r="G128" s="251" t="n">
        <v>0.0951030367253953</v>
      </c>
      <c r="H128" s="251" t="n">
        <v>0.0957636163505924</v>
      </c>
      <c r="I128" s="251" t="n">
        <v>0.096429024995418</v>
      </c>
      <c r="J128" s="223" t="n">
        <v>0.0970992998119844</v>
      </c>
    </row>
    <row r="129" customFormat="false" ht="14.25" hidden="false" customHeight="false" outlineLevel="0" collapsed="false">
      <c r="A129" s="208" t="s">
        <v>567</v>
      </c>
      <c r="B129" s="252"/>
      <c r="C129" s="202" t="s">
        <v>28</v>
      </c>
      <c r="D129" s="251" t="n">
        <v>0.861189801699717</v>
      </c>
      <c r="E129" s="251" t="n">
        <v>0.816445790051332</v>
      </c>
      <c r="F129" s="251" t="n">
        <v>0.797371103788976</v>
      </c>
      <c r="G129" s="251" t="n">
        <v>0.778743906218434</v>
      </c>
      <c r="H129" s="251" t="n">
        <v>0.760553654678055</v>
      </c>
      <c r="I129" s="251" t="n">
        <v>0.742790055964014</v>
      </c>
      <c r="J129" s="223" t="n">
        <v>0.725443060401842</v>
      </c>
    </row>
    <row r="130" customFormat="false" ht="14.25" hidden="false" customHeight="false" outlineLevel="0" collapsed="false">
      <c r="A130" s="208" t="s">
        <v>568</v>
      </c>
      <c r="B130" s="252"/>
      <c r="C130" s="202" t="s">
        <v>569</v>
      </c>
      <c r="D130" s="244" t="n">
        <f aca="false">SUM(D123:D125)</f>
        <v>1</v>
      </c>
      <c r="E130" s="244" t="n">
        <f aca="false">SUM(E123:E125)</f>
        <v>1</v>
      </c>
      <c r="F130" s="253" t="n">
        <f aca="false">SUM(F123:F125)</f>
        <v>1</v>
      </c>
      <c r="G130" s="253" t="n">
        <f aca="false">SUM(G123:G125)</f>
        <v>1</v>
      </c>
      <c r="H130" s="253" t="n">
        <f aca="false">SUM(H123:H125)</f>
        <v>1.00003</v>
      </c>
      <c r="I130" s="253" t="n">
        <f aca="false">SUM(I123:I125)</f>
        <v>1.00001</v>
      </c>
      <c r="J130" s="253" t="n">
        <f aca="false">SUM(J123:J125)</f>
        <v>0.99995</v>
      </c>
    </row>
    <row r="131" customFormat="false" ht="14.25" hidden="false" customHeight="false" outlineLevel="0" collapsed="false">
      <c r="A131" s="254" t="s">
        <v>570</v>
      </c>
      <c r="B131" s="252"/>
      <c r="C131" s="205" t="s">
        <v>569</v>
      </c>
      <c r="D131" s="244" t="n">
        <f aca="false">SUM(D126:D128)</f>
        <v>1</v>
      </c>
      <c r="E131" s="244" t="n">
        <f aca="false">SUM(E126:E128)</f>
        <v>1</v>
      </c>
      <c r="F131" s="253" t="n">
        <f aca="false">SUM(F126:F128)</f>
        <v>1</v>
      </c>
      <c r="G131" s="253" t="n">
        <f aca="false">SUM(G126:G128)</f>
        <v>1.00001034111248</v>
      </c>
      <c r="H131" s="253" t="n">
        <f aca="false">SUM(H126:H128)</f>
        <v>1.00003123463258</v>
      </c>
      <c r="I131" s="253" t="n">
        <f aca="false">SUM(I126:I128)</f>
        <v>1.00000689538206</v>
      </c>
      <c r="J131" s="253" t="n">
        <f aca="false">SUM(J126:J128)</f>
        <v>1.00002884356224</v>
      </c>
    </row>
    <row r="133" customFormat="false" ht="17.35" hidden="false" customHeight="false" outlineLevel="0" collapsed="false">
      <c r="A133" s="200" t="s">
        <v>571</v>
      </c>
      <c r="B133" s="200"/>
      <c r="C133" s="200"/>
      <c r="D133" s="200"/>
      <c r="E133" s="200"/>
      <c r="F133" s="200"/>
      <c r="G133" s="200"/>
      <c r="H133" s="200"/>
      <c r="I133" s="200"/>
    </row>
    <row r="134" customFormat="false" ht="14.25" hidden="false" customHeight="false" outlineLevel="0" collapsed="false">
      <c r="A134" s="208" t="s">
        <v>36</v>
      </c>
      <c r="B134" s="202" t="s">
        <v>36</v>
      </c>
      <c r="C134" s="203" t="n">
        <v>2020</v>
      </c>
      <c r="D134" s="203" t="n">
        <v>2025</v>
      </c>
      <c r="E134" s="203" t="n">
        <v>2030</v>
      </c>
      <c r="F134" s="203" t="n">
        <v>2035</v>
      </c>
      <c r="G134" s="203" t="n">
        <v>2040</v>
      </c>
      <c r="H134" s="203" t="n">
        <v>2045</v>
      </c>
      <c r="I134" s="204" t="n">
        <v>2050</v>
      </c>
    </row>
    <row r="135" customFormat="false" ht="14.25" hidden="false" customHeight="false" outlineLevel="0" collapsed="false">
      <c r="A135" s="250" t="s">
        <v>572</v>
      </c>
      <c r="B135" s="202" t="s">
        <v>573</v>
      </c>
      <c r="C135" s="251" t="n">
        <v>0.806894766766191</v>
      </c>
      <c r="D135" s="251" t="n">
        <v>0.710215421760778</v>
      </c>
      <c r="E135" s="251" t="n">
        <v>0.60650331097056</v>
      </c>
      <c r="F135" s="251" t="n">
        <v>0.519297101522442</v>
      </c>
      <c r="G135" s="251" t="n">
        <v>0.432090892074324</v>
      </c>
      <c r="H135" s="251" t="n">
        <v>0.344884682626206</v>
      </c>
      <c r="I135" s="223" t="n">
        <v>0.272681803709289</v>
      </c>
    </row>
    <row r="136" customFormat="false" ht="14.25" hidden="false" customHeight="false" outlineLevel="0" collapsed="false">
      <c r="A136" s="250"/>
      <c r="B136" s="202" t="s">
        <v>192</v>
      </c>
      <c r="C136" s="251" t="n">
        <v>0.0257197201277087</v>
      </c>
      <c r="D136" s="251" t="n">
        <v>0.0504865457750533</v>
      </c>
      <c r="E136" s="251" t="n">
        <v>0.0725226414272688</v>
      </c>
      <c r="F136" s="251" t="n">
        <v>0.0966968552363585</v>
      </c>
      <c r="G136" s="251" t="n">
        <v>0.120871069045448</v>
      </c>
      <c r="H136" s="251" t="n">
        <v>0.145045282854538</v>
      </c>
      <c r="I136" s="223" t="n">
        <v>0.169219496663627</v>
      </c>
    </row>
    <row r="137" customFormat="false" ht="14.25" hidden="false" customHeight="false" outlineLevel="0" collapsed="false">
      <c r="A137" s="250"/>
      <c r="B137" s="202" t="s">
        <v>374</v>
      </c>
      <c r="C137" s="251" t="n">
        <v>0.14108125388458</v>
      </c>
      <c r="D137" s="251" t="n">
        <v>0.187664065194228</v>
      </c>
      <c r="E137" s="251" t="n">
        <v>0.246803164324282</v>
      </c>
      <c r="F137" s="251" t="n">
        <v>0.285111532204015</v>
      </c>
      <c r="G137" s="251" t="n">
        <v>0.323419900083747</v>
      </c>
      <c r="H137" s="251" t="n">
        <v>0.361728267963479</v>
      </c>
      <c r="I137" s="223" t="n">
        <v>0.38503330531201</v>
      </c>
    </row>
    <row r="138" customFormat="false" ht="14.25" hidden="false" customHeight="false" outlineLevel="0" collapsed="false">
      <c r="A138" s="250"/>
      <c r="B138" s="202" t="s">
        <v>574</v>
      </c>
      <c r="C138" s="251" t="n">
        <v>0.0263042592215203</v>
      </c>
      <c r="D138" s="251" t="n">
        <v>0.0516339672699409</v>
      </c>
      <c r="E138" s="251" t="n">
        <v>0.0741708832778886</v>
      </c>
      <c r="F138" s="251" t="n">
        <v>0.0988945110371848</v>
      </c>
      <c r="G138" s="251" t="n">
        <v>0.123618138796481</v>
      </c>
      <c r="H138" s="251" t="n">
        <v>0.148341766555777</v>
      </c>
      <c r="I138" s="223" t="n">
        <v>0.173065394315073</v>
      </c>
    </row>
    <row r="139" customFormat="false" ht="14.25" hidden="false" customHeight="false" outlineLevel="0" collapsed="false">
      <c r="A139" s="250" t="s">
        <v>564</v>
      </c>
      <c r="B139" s="202" t="s">
        <v>573</v>
      </c>
      <c r="C139" s="251" t="n">
        <v>0.966386554621849</v>
      </c>
      <c r="D139" s="251" t="n">
        <v>0.932773109243698</v>
      </c>
      <c r="E139" s="251" t="n">
        <v>0.899159663865546</v>
      </c>
      <c r="F139" s="251" t="n">
        <v>0.865546218487395</v>
      </c>
      <c r="G139" s="251" t="n">
        <v>0.831932773109244</v>
      </c>
      <c r="H139" s="251" t="n">
        <v>0.798319327731093</v>
      </c>
      <c r="I139" s="223" t="n">
        <v>0.764705882352941</v>
      </c>
    </row>
    <row r="140" customFormat="false" ht="14.25" hidden="false" customHeight="false" outlineLevel="0" collapsed="false">
      <c r="A140" s="250"/>
      <c r="B140" s="202" t="s">
        <v>192</v>
      </c>
      <c r="C140" s="251" t="n">
        <v>0.0336134453781513</v>
      </c>
      <c r="D140" s="251" t="n">
        <v>0.0672268907563025</v>
      </c>
      <c r="E140" s="251" t="n">
        <v>0.100840336134454</v>
      </c>
      <c r="F140" s="251" t="n">
        <v>0.134453781512605</v>
      </c>
      <c r="G140" s="251" t="n">
        <v>0.168067226890756</v>
      </c>
      <c r="H140" s="251" t="n">
        <v>0.201680672268908</v>
      </c>
      <c r="I140" s="223" t="n">
        <v>0.235294117647059</v>
      </c>
    </row>
    <row r="141" customFormat="false" ht="14.25" hidden="false" customHeight="false" outlineLevel="0" collapsed="false">
      <c r="A141" s="250"/>
      <c r="B141" s="202" t="s">
        <v>374</v>
      </c>
      <c r="C141" s="251" t="n">
        <v>0</v>
      </c>
      <c r="D141" s="251" t="n">
        <v>0</v>
      </c>
      <c r="E141" s="251" t="n">
        <v>0</v>
      </c>
      <c r="F141" s="251" t="n">
        <v>0</v>
      </c>
      <c r="G141" s="251" t="n">
        <v>0</v>
      </c>
      <c r="H141" s="251" t="n">
        <v>0</v>
      </c>
      <c r="I141" s="223" t="n">
        <v>0</v>
      </c>
    </row>
    <row r="142" customFormat="false" ht="14.25" hidden="false" customHeight="false" outlineLevel="0" collapsed="false">
      <c r="A142" s="250"/>
      <c r="B142" s="202" t="s">
        <v>574</v>
      </c>
      <c r="C142" s="251" t="n">
        <v>0</v>
      </c>
      <c r="D142" s="251" t="n">
        <v>0</v>
      </c>
      <c r="E142" s="251" t="n">
        <v>0</v>
      </c>
      <c r="F142" s="251" t="n">
        <v>0</v>
      </c>
      <c r="G142" s="251" t="n">
        <v>0</v>
      </c>
      <c r="H142" s="251" t="n">
        <v>0</v>
      </c>
      <c r="I142" s="223" t="n">
        <v>0</v>
      </c>
    </row>
    <row r="143" customFormat="false" ht="14.25" hidden="false" customHeight="false" outlineLevel="0" collapsed="false">
      <c r="A143" s="250" t="s">
        <v>565</v>
      </c>
      <c r="B143" s="202" t="s">
        <v>573</v>
      </c>
      <c r="C143" s="251" t="n">
        <v>0</v>
      </c>
      <c r="D143" s="251" t="n">
        <v>0</v>
      </c>
      <c r="E143" s="251" t="n">
        <v>0</v>
      </c>
      <c r="F143" s="251" t="n">
        <v>0</v>
      </c>
      <c r="G143" s="251" t="n">
        <v>0</v>
      </c>
      <c r="H143" s="251" t="n">
        <v>0</v>
      </c>
      <c r="I143" s="223" t="n">
        <v>0</v>
      </c>
    </row>
    <row r="144" customFormat="false" ht="14.25" hidden="false" customHeight="false" outlineLevel="0" collapsed="false">
      <c r="A144" s="250"/>
      <c r="B144" s="202" t="s">
        <v>192</v>
      </c>
      <c r="C144" s="251" t="n">
        <v>0</v>
      </c>
      <c r="D144" s="251" t="n">
        <v>0</v>
      </c>
      <c r="E144" s="251" t="n">
        <v>0</v>
      </c>
      <c r="F144" s="251" t="n">
        <v>0</v>
      </c>
      <c r="G144" s="251" t="n">
        <v>0</v>
      </c>
      <c r="H144" s="251" t="n">
        <v>0</v>
      </c>
      <c r="I144" s="223" t="n">
        <v>0</v>
      </c>
    </row>
    <row r="145" customFormat="false" ht="14.25" hidden="false" customHeight="false" outlineLevel="0" collapsed="false">
      <c r="A145" s="250"/>
      <c r="B145" s="202" t="s">
        <v>374</v>
      </c>
      <c r="C145" s="251" t="n">
        <v>0</v>
      </c>
      <c r="D145" s="251" t="n">
        <v>0</v>
      </c>
      <c r="E145" s="251" t="n">
        <v>0</v>
      </c>
      <c r="F145" s="251" t="n">
        <v>0</v>
      </c>
      <c r="G145" s="251" t="n">
        <v>0</v>
      </c>
      <c r="H145" s="251" t="n">
        <v>0</v>
      </c>
      <c r="I145" s="223" t="n">
        <v>0</v>
      </c>
    </row>
    <row r="146" customFormat="false" ht="14.25" hidden="false" customHeight="false" outlineLevel="0" collapsed="false">
      <c r="A146" s="250"/>
      <c r="B146" s="202" t="s">
        <v>574</v>
      </c>
      <c r="C146" s="251" t="n">
        <v>0</v>
      </c>
      <c r="D146" s="251" t="n">
        <v>0</v>
      </c>
      <c r="E146" s="251" t="n">
        <v>0</v>
      </c>
      <c r="F146" s="251" t="n">
        <v>0</v>
      </c>
      <c r="G146" s="251" t="n">
        <v>0</v>
      </c>
      <c r="H146" s="251" t="n">
        <v>0</v>
      </c>
      <c r="I146" s="223" t="n">
        <v>0</v>
      </c>
    </row>
    <row r="147" customFormat="false" ht="17.35" hidden="false" customHeight="false" outlineLevel="0" collapsed="false">
      <c r="A147" s="255" t="s">
        <v>575</v>
      </c>
      <c r="B147" s="255"/>
      <c r="C147" s="255"/>
      <c r="D147" s="255"/>
      <c r="E147" s="255"/>
      <c r="F147" s="255"/>
      <c r="G147" s="255"/>
      <c r="H147" s="255"/>
      <c r="I147" s="255"/>
    </row>
    <row r="148" customFormat="false" ht="14.25" hidden="false" customHeight="false" outlineLevel="0" collapsed="false">
      <c r="A148" s="208" t="s">
        <v>36</v>
      </c>
      <c r="B148" s="202" t="s">
        <v>36</v>
      </c>
      <c r="C148" s="203" t="n">
        <v>2020</v>
      </c>
      <c r="D148" s="203" t="n">
        <v>2025</v>
      </c>
      <c r="E148" s="203" t="n">
        <v>2030</v>
      </c>
      <c r="F148" s="203" t="n">
        <v>2035</v>
      </c>
      <c r="G148" s="203" t="n">
        <v>2040</v>
      </c>
      <c r="H148" s="203" t="n">
        <v>2045</v>
      </c>
      <c r="I148" s="204" t="n">
        <v>2050</v>
      </c>
    </row>
    <row r="149" customFormat="false" ht="14.25" hidden="false" customHeight="false" outlineLevel="0" collapsed="false">
      <c r="A149" s="250" t="s">
        <v>572</v>
      </c>
      <c r="B149" s="202" t="s">
        <v>573</v>
      </c>
      <c r="C149" s="251" t="n">
        <v>0.812328070617052</v>
      </c>
      <c r="D149" s="251" t="n">
        <v>0.690704484080468</v>
      </c>
      <c r="E149" s="251" t="n">
        <v>0.581219325384736</v>
      </c>
      <c r="F149" s="251" t="n">
        <v>0.47324615070277</v>
      </c>
      <c r="G149" s="251" t="n">
        <v>0.365272976020804</v>
      </c>
      <c r="H149" s="251" t="n">
        <v>0.257299801338838</v>
      </c>
      <c r="I149" s="223" t="n">
        <v>0.0473264628821185</v>
      </c>
    </row>
    <row r="150" customFormat="false" ht="14.25" hidden="false" customHeight="false" outlineLevel="0" collapsed="false">
      <c r="A150" s="250"/>
      <c r="B150" s="202" t="s">
        <v>192</v>
      </c>
      <c r="C150" s="251" t="n">
        <v>0.0505115435433495</v>
      </c>
      <c r="D150" s="251" t="n">
        <v>0.0639897564814042</v>
      </c>
      <c r="E150" s="251" t="n">
        <v>0.0782975707697648</v>
      </c>
      <c r="F150" s="251" t="n">
        <v>0.0938225342940677</v>
      </c>
      <c r="G150" s="251" t="n">
        <v>0.10934749781837</v>
      </c>
      <c r="H150" s="251" t="n">
        <v>0.124872461342673</v>
      </c>
      <c r="I150" s="223" t="n">
        <v>0.147110104070304</v>
      </c>
    </row>
    <row r="151" customFormat="false" ht="14.25" hidden="false" customHeight="false" outlineLevel="0" collapsed="false">
      <c r="A151" s="250"/>
      <c r="B151" s="202" t="s">
        <v>374</v>
      </c>
      <c r="C151" s="251" t="n">
        <v>0.133646787816532</v>
      </c>
      <c r="D151" s="251" t="n">
        <v>0.238252494368915</v>
      </c>
      <c r="E151" s="251" t="n">
        <v>0.329808059781831</v>
      </c>
      <c r="F151" s="251" t="n">
        <v>0.418734491739984</v>
      </c>
      <c r="G151" s="251" t="n">
        <v>0.507660923698136</v>
      </c>
      <c r="H151" s="251" t="n">
        <v>0.596587355656288</v>
      </c>
      <c r="I151" s="223" t="n">
        <v>0.780910978650999</v>
      </c>
    </row>
    <row r="152" customFormat="false" ht="14.25" hidden="false" customHeight="false" outlineLevel="0" collapsed="false">
      <c r="A152" s="250"/>
      <c r="B152" s="202" t="s">
        <v>574</v>
      </c>
      <c r="C152" s="251" t="n">
        <v>0.00351359802306619</v>
      </c>
      <c r="D152" s="251" t="n">
        <v>0.00705326506921272</v>
      </c>
      <c r="E152" s="251" t="n">
        <v>0.0106750440636676</v>
      </c>
      <c r="F152" s="251" t="n">
        <v>0.0141968232631788</v>
      </c>
      <c r="G152" s="251" t="n">
        <v>0.01771860246269</v>
      </c>
      <c r="H152" s="251" t="n">
        <v>0.0212403816622012</v>
      </c>
      <c r="I152" s="223" t="n">
        <v>0.0246524543965785</v>
      </c>
    </row>
    <row r="153" customFormat="false" ht="14.25" hidden="false" customHeight="false" outlineLevel="0" collapsed="false">
      <c r="A153" s="250" t="s">
        <v>564</v>
      </c>
      <c r="B153" s="202" t="s">
        <v>573</v>
      </c>
      <c r="C153" s="251" t="n">
        <v>0.966386554621849</v>
      </c>
      <c r="D153" s="251" t="n">
        <v>0.932773109243698</v>
      </c>
      <c r="E153" s="251" t="n">
        <v>0.899159663865546</v>
      </c>
      <c r="F153" s="251" t="n">
        <v>0.865546218487395</v>
      </c>
      <c r="G153" s="251" t="n">
        <v>0.831932773109244</v>
      </c>
      <c r="H153" s="251" t="n">
        <v>0.798319327731093</v>
      </c>
      <c r="I153" s="223" t="n">
        <v>0.764705882352941</v>
      </c>
    </row>
    <row r="154" customFormat="false" ht="14.25" hidden="false" customHeight="false" outlineLevel="0" collapsed="false">
      <c r="A154" s="250"/>
      <c r="B154" s="202" t="s">
        <v>192</v>
      </c>
      <c r="C154" s="251" t="n">
        <v>0.0336134453781513</v>
      </c>
      <c r="D154" s="251" t="n">
        <v>0.0672268907563025</v>
      </c>
      <c r="E154" s="251" t="n">
        <v>0.100840336134454</v>
      </c>
      <c r="F154" s="251" t="n">
        <v>0.134453781512605</v>
      </c>
      <c r="G154" s="251" t="n">
        <v>0.168067226890756</v>
      </c>
      <c r="H154" s="251" t="n">
        <v>0.201680672268908</v>
      </c>
      <c r="I154" s="223" t="n">
        <v>0.235294117647059</v>
      </c>
    </row>
    <row r="155" customFormat="false" ht="14.25" hidden="false" customHeight="false" outlineLevel="0" collapsed="false">
      <c r="A155" s="250"/>
      <c r="B155" s="202" t="s">
        <v>374</v>
      </c>
      <c r="C155" s="251" t="n">
        <v>0</v>
      </c>
      <c r="D155" s="251" t="n">
        <v>0</v>
      </c>
      <c r="E155" s="251" t="n">
        <v>0</v>
      </c>
      <c r="F155" s="251" t="n">
        <v>0</v>
      </c>
      <c r="G155" s="251" t="n">
        <v>0</v>
      </c>
      <c r="H155" s="251" t="n">
        <v>0</v>
      </c>
      <c r="I155" s="223" t="n">
        <v>0</v>
      </c>
    </row>
    <row r="156" customFormat="false" ht="14.25" hidden="false" customHeight="false" outlineLevel="0" collapsed="false">
      <c r="A156" s="250"/>
      <c r="B156" s="202" t="s">
        <v>574</v>
      </c>
      <c r="C156" s="251" t="n">
        <v>0</v>
      </c>
      <c r="D156" s="251" t="n">
        <v>0</v>
      </c>
      <c r="E156" s="251" t="n">
        <v>0</v>
      </c>
      <c r="F156" s="251" t="n">
        <v>0</v>
      </c>
      <c r="G156" s="251" t="n">
        <v>0</v>
      </c>
      <c r="H156" s="251" t="n">
        <v>0</v>
      </c>
      <c r="I156" s="223" t="n">
        <v>0</v>
      </c>
    </row>
    <row r="157" customFormat="false" ht="14.25" hidden="false" customHeight="false" outlineLevel="0" collapsed="false">
      <c r="A157" s="250" t="s">
        <v>565</v>
      </c>
      <c r="B157" s="202" t="s">
        <v>573</v>
      </c>
      <c r="C157" s="251" t="n">
        <v>0.997198879551821</v>
      </c>
      <c r="D157" s="251" t="n">
        <v>0.994397759103642</v>
      </c>
      <c r="E157" s="251" t="n">
        <v>0.991596638655462</v>
      </c>
      <c r="F157" s="251" t="n">
        <v>0.988795518207283</v>
      </c>
      <c r="G157" s="251" t="n">
        <v>0.985994397759104</v>
      </c>
      <c r="H157" s="251" t="n">
        <v>0.983193277310924</v>
      </c>
      <c r="I157" s="223" t="n">
        <v>0.980392156862745</v>
      </c>
    </row>
    <row r="158" customFormat="false" ht="14.25" hidden="false" customHeight="false" outlineLevel="0" collapsed="false">
      <c r="A158" s="250"/>
      <c r="B158" s="202" t="s">
        <v>192</v>
      </c>
      <c r="C158" s="251" t="n">
        <v>0</v>
      </c>
      <c r="D158" s="251" t="n">
        <v>0</v>
      </c>
      <c r="E158" s="251" t="n">
        <v>0</v>
      </c>
      <c r="F158" s="251" t="n">
        <v>0</v>
      </c>
      <c r="G158" s="251" t="n">
        <v>0</v>
      </c>
      <c r="H158" s="251" t="n">
        <v>0</v>
      </c>
      <c r="I158" s="223" t="n">
        <v>0</v>
      </c>
    </row>
    <row r="159" customFormat="false" ht="14.25" hidden="false" customHeight="false" outlineLevel="0" collapsed="false">
      <c r="A159" s="250"/>
      <c r="B159" s="202" t="s">
        <v>374</v>
      </c>
      <c r="C159" s="251" t="n">
        <v>0.00280112044817927</v>
      </c>
      <c r="D159" s="251" t="n">
        <v>0.00560224089635854</v>
      </c>
      <c r="E159" s="251" t="n">
        <v>0.00840336134453782</v>
      </c>
      <c r="F159" s="251" t="n">
        <v>0.0112044817927171</v>
      </c>
      <c r="G159" s="251" t="n">
        <v>0.0140056022408964</v>
      </c>
      <c r="H159" s="251" t="n">
        <v>0.0168067226890756</v>
      </c>
      <c r="I159" s="223" t="n">
        <v>0.0196078431372549</v>
      </c>
    </row>
    <row r="160" customFormat="false" ht="14.25" hidden="false" customHeight="false" outlineLevel="0" collapsed="false">
      <c r="A160" s="250"/>
      <c r="B160" s="202" t="s">
        <v>574</v>
      </c>
      <c r="C160" s="251" t="n">
        <v>0</v>
      </c>
      <c r="D160" s="251" t="n">
        <v>0</v>
      </c>
      <c r="E160" s="251" t="n">
        <v>0</v>
      </c>
      <c r="F160" s="251" t="n">
        <v>0</v>
      </c>
      <c r="G160" s="251" t="n">
        <v>0</v>
      </c>
      <c r="H160" s="251" t="n">
        <v>0</v>
      </c>
      <c r="I160" s="223" t="n">
        <v>0</v>
      </c>
    </row>
    <row r="161" customFormat="false" ht="14.25" hidden="false" customHeight="false" outlineLevel="0" collapsed="false">
      <c r="A161" s="201" t="s">
        <v>576</v>
      </c>
      <c r="B161" s="202" t="s">
        <v>573</v>
      </c>
      <c r="C161" s="251" t="n">
        <v>0.828710839598997</v>
      </c>
      <c r="D161" s="251" t="n">
        <v>0.696621510611267</v>
      </c>
      <c r="E161" s="251" t="n">
        <v>0.564597266908706</v>
      </c>
      <c r="F161" s="251" t="n">
        <v>0.4325196526178</v>
      </c>
      <c r="G161" s="251" t="n">
        <v>0.300442038326894</v>
      </c>
      <c r="H161" s="251" t="n">
        <v>0.168364424035988</v>
      </c>
      <c r="I161" s="223" t="n">
        <v>0.0362868097450825</v>
      </c>
    </row>
    <row r="162" customFormat="false" ht="14.25" hidden="false" customHeight="false" outlineLevel="0" collapsed="false">
      <c r="A162" s="201"/>
      <c r="B162" s="202" t="s">
        <v>192</v>
      </c>
      <c r="C162" s="251" t="n">
        <v>0.0569658521303258</v>
      </c>
      <c r="D162" s="251" t="n">
        <v>0.075022347727485</v>
      </c>
      <c r="E162" s="251" t="n">
        <v>0.0930658402211721</v>
      </c>
      <c r="F162" s="251" t="n">
        <v>0.111123391308862</v>
      </c>
      <c r="G162" s="251" t="n">
        <v>0.129180942396552</v>
      </c>
      <c r="H162" s="251" t="n">
        <v>0.147238493484242</v>
      </c>
      <c r="I162" s="223" t="n">
        <v>0.165296044571933</v>
      </c>
    </row>
    <row r="163" customFormat="false" ht="14.25" hidden="false" customHeight="false" outlineLevel="0" collapsed="false">
      <c r="A163" s="201"/>
      <c r="B163" s="202" t="s">
        <v>374</v>
      </c>
      <c r="C163" s="251" t="n">
        <v>0.111544486215539</v>
      </c>
      <c r="D163" s="251" t="n">
        <v>0.222798930718471</v>
      </c>
      <c r="E163" s="251" t="n">
        <v>0.334002638521957</v>
      </c>
      <c r="F163" s="251" t="n">
        <v>0.445244616942451</v>
      </c>
      <c r="G163" s="251" t="n">
        <v>0.556486595362946</v>
      </c>
      <c r="H163" s="251" t="n">
        <v>0.66772857378344</v>
      </c>
      <c r="I163" s="223" t="n">
        <v>0.778970552203934</v>
      </c>
    </row>
    <row r="164" customFormat="false" ht="14.25" hidden="false" customHeight="false" outlineLevel="0" collapsed="false">
      <c r="A164" s="201"/>
      <c r="B164" s="205" t="s">
        <v>574</v>
      </c>
      <c r="C164" s="206" t="n">
        <v>0.00277882205513784</v>
      </c>
      <c r="D164" s="206" t="n">
        <v>0.00555721094277666</v>
      </c>
      <c r="E164" s="206" t="n">
        <v>0.00833425434816467</v>
      </c>
      <c r="F164" s="206" t="n">
        <v>0.0111123391308862</v>
      </c>
      <c r="G164" s="206" t="n">
        <v>0.0138904239136078</v>
      </c>
      <c r="H164" s="206" t="n">
        <v>0.0166685086963293</v>
      </c>
      <c r="I164" s="207" t="n">
        <v>0.0194465934790509</v>
      </c>
    </row>
    <row r="165" customFormat="false" ht="14.25" hidden="false" customHeight="false" outlineLevel="0" collapsed="false">
      <c r="A165" s="256"/>
      <c r="B165" s="256"/>
      <c r="C165" s="256"/>
      <c r="D165" s="256"/>
      <c r="E165" s="256"/>
      <c r="F165" s="256"/>
      <c r="G165" s="256"/>
      <c r="H165" s="256"/>
      <c r="I165" s="256"/>
      <c r="J165" s="256"/>
      <c r="K165" s="256"/>
      <c r="L165" s="256"/>
      <c r="M165" s="256"/>
      <c r="N165" s="256"/>
      <c r="O165" s="256"/>
      <c r="P165" s="256"/>
      <c r="Q165" s="256"/>
      <c r="R165" s="256"/>
      <c r="S165" s="256"/>
      <c r="T165" s="256"/>
      <c r="U165" s="256"/>
      <c r="V165" s="256"/>
      <c r="W165" s="256"/>
      <c r="X165" s="256"/>
      <c r="Y165" s="256"/>
      <c r="Z165" s="256"/>
      <c r="AA165" s="256"/>
      <c r="AB165" s="256"/>
      <c r="AC165" s="256"/>
      <c r="AD165" s="256"/>
      <c r="AE165" s="256"/>
      <c r="AF165" s="256"/>
      <c r="AG165" s="256"/>
      <c r="AH165" s="256"/>
      <c r="AI165" s="256"/>
      <c r="AJ165" s="256"/>
      <c r="AK165" s="256"/>
      <c r="AL165" s="256"/>
      <c r="AM165" s="256"/>
      <c r="AN165" s="256"/>
      <c r="AO165" s="256"/>
      <c r="AP165" s="256"/>
      <c r="AQ165" s="256"/>
      <c r="AR165" s="256"/>
      <c r="AS165" s="256"/>
      <c r="AT165" s="256"/>
      <c r="AU165" s="256"/>
      <c r="AV165" s="256"/>
      <c r="AW165" s="256"/>
      <c r="AX165" s="256"/>
      <c r="AY165" s="256"/>
    </row>
    <row r="166" customFormat="false" ht="15" hidden="false" customHeight="true" outlineLevel="0" collapsed="false"/>
    <row r="167" customFormat="false" ht="21.75" hidden="false" customHeight="true" outlineLevel="0" collapsed="false">
      <c r="A167" s="199" t="s">
        <v>577</v>
      </c>
    </row>
    <row r="168" customFormat="false" ht="17.35" hidden="false" customHeight="false" outlineLevel="0" collapsed="false">
      <c r="A168" s="200" t="s">
        <v>317</v>
      </c>
      <c r="B168" s="200"/>
      <c r="C168" s="200"/>
      <c r="D168" s="200"/>
      <c r="E168" s="200"/>
    </row>
    <row r="169" customFormat="false" ht="85.5" hidden="false" customHeight="true" outlineLevel="0" collapsed="false">
      <c r="A169" s="257" t="s">
        <v>318</v>
      </c>
      <c r="B169" s="257"/>
      <c r="C169" s="257"/>
      <c r="D169" s="257"/>
      <c r="E169" s="257"/>
    </row>
    <row r="170" customFormat="false" ht="15" hidden="false" customHeight="true" outlineLevel="0" collapsed="false">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row>
    <row r="171" customFormat="false" ht="13.5" hidden="false" customHeight="true" outlineLevel="0" collapsed="false">
      <c r="A171" s="258" t="s">
        <v>319</v>
      </c>
      <c r="B171" s="259" t="s">
        <v>320</v>
      </c>
      <c r="C171" s="260" t="n">
        <v>3</v>
      </c>
      <c r="D171" s="78"/>
      <c r="F171" s="78"/>
      <c r="G171" s="78"/>
      <c r="H171" s="78"/>
      <c r="I171" s="78"/>
      <c r="J171" s="78"/>
      <c r="K171" s="149"/>
      <c r="L171" s="149"/>
      <c r="M171" s="78"/>
      <c r="N171" s="78"/>
    </row>
    <row r="172" customFormat="false" ht="14.25" hidden="false" customHeight="false" outlineLevel="0" collapsed="false">
      <c r="A172" s="258"/>
      <c r="B172" s="202" t="s">
        <v>321</v>
      </c>
      <c r="C172" s="260"/>
      <c r="D172" s="151"/>
      <c r="E172" s="151"/>
      <c r="F172" s="151"/>
      <c r="G172" s="151"/>
      <c r="H172" s="151"/>
      <c r="I172" s="151"/>
      <c r="J172" s="151"/>
      <c r="K172" s="151"/>
      <c r="L172" s="151"/>
      <c r="M172" s="151"/>
      <c r="N172" s="151"/>
    </row>
    <row r="173" customFormat="false" ht="28.5" hidden="false" customHeight="true" outlineLevel="0" collapsed="false">
      <c r="A173" s="258"/>
      <c r="B173" s="205" t="s">
        <v>322</v>
      </c>
      <c r="C173" s="260"/>
      <c r="D173" s="78"/>
      <c r="E173" s="78"/>
      <c r="F173" s="78"/>
      <c r="G173" s="78"/>
      <c r="H173" s="78"/>
      <c r="I173" s="78"/>
      <c r="J173" s="78"/>
      <c r="K173" s="78"/>
      <c r="L173" s="78"/>
      <c r="M173" s="78"/>
      <c r="N173" s="78"/>
    </row>
    <row r="175" customFormat="false" ht="15.75" hidden="false" customHeight="true" outlineLevel="0" collapsed="false">
      <c r="A175" s="200" t="s">
        <v>323</v>
      </c>
      <c r="B175" s="200"/>
      <c r="C175" s="200"/>
    </row>
    <row r="176" customFormat="false" ht="14.25" hidden="false" customHeight="false" outlineLevel="0" collapsed="false">
      <c r="A176" s="208" t="s">
        <v>324</v>
      </c>
      <c r="B176" s="202" t="s">
        <v>28</v>
      </c>
      <c r="C176" s="204" t="n">
        <v>0.3</v>
      </c>
    </row>
    <row r="177" customFormat="false" ht="31.3" hidden="false" customHeight="false" outlineLevel="0" collapsed="false">
      <c r="A177" s="261" t="s">
        <v>326</v>
      </c>
      <c r="B177" s="205" t="s">
        <v>327</v>
      </c>
      <c r="C177" s="246" t="n">
        <v>0.031</v>
      </c>
    </row>
    <row r="178" customFormat="false" ht="15.75" hidden="false" customHeight="true" outlineLevel="0" collapsed="false">
      <c r="A178" s="237" t="s">
        <v>578</v>
      </c>
      <c r="B178" s="237"/>
      <c r="C178" s="262" t="s">
        <v>576</v>
      </c>
      <c r="D178" s="262" t="s">
        <v>579</v>
      </c>
      <c r="E178" s="262" t="s">
        <v>362</v>
      </c>
      <c r="F178" s="262" t="s">
        <v>580</v>
      </c>
      <c r="G178" s="262" t="s">
        <v>581</v>
      </c>
      <c r="H178" s="262" t="s">
        <v>582</v>
      </c>
      <c r="I178" s="262" t="s">
        <v>583</v>
      </c>
      <c r="J178" s="262" t="s">
        <v>354</v>
      </c>
      <c r="K178" s="262" t="s">
        <v>584</v>
      </c>
      <c r="L178" s="262" t="s">
        <v>585</v>
      </c>
      <c r="M178" s="262" t="s">
        <v>586</v>
      </c>
      <c r="N178" s="262" t="s">
        <v>587</v>
      </c>
      <c r="O178" s="262" t="s">
        <v>588</v>
      </c>
      <c r="P178" s="262" t="s">
        <v>589</v>
      </c>
      <c r="Q178" s="263" t="s">
        <v>590</v>
      </c>
      <c r="R178" s="263" t="s">
        <v>338</v>
      </c>
      <c r="S178" s="263" t="s">
        <v>591</v>
      </c>
      <c r="T178" s="263" t="s">
        <v>592</v>
      </c>
      <c r="U178" s="263" t="s">
        <v>593</v>
      </c>
      <c r="V178" s="263" t="s">
        <v>594</v>
      </c>
      <c r="W178" s="263" t="s">
        <v>595</v>
      </c>
      <c r="X178" s="263" t="s">
        <v>596</v>
      </c>
      <c r="Y178" s="263" t="s">
        <v>597</v>
      </c>
      <c r="Z178" s="263" t="s">
        <v>598</v>
      </c>
      <c r="AA178" s="263" t="s">
        <v>599</v>
      </c>
      <c r="AB178" s="263" t="s">
        <v>351</v>
      </c>
      <c r="AC178" s="263" t="s">
        <v>361</v>
      </c>
      <c r="AD178" s="263" t="s">
        <v>600</v>
      </c>
    </row>
    <row r="179" customFormat="false" ht="14.25" hidden="false" customHeight="false" outlineLevel="0" collapsed="false">
      <c r="A179" s="264" t="s">
        <v>374</v>
      </c>
      <c r="B179" s="264"/>
      <c r="C179" s="265" t="n">
        <v>2030</v>
      </c>
      <c r="D179" s="265" t="n">
        <v>2030</v>
      </c>
      <c r="E179" s="265" t="n">
        <v>2030</v>
      </c>
      <c r="F179" s="265" t="n">
        <v>2030</v>
      </c>
      <c r="G179" s="265" t="n">
        <v>2030</v>
      </c>
      <c r="H179" s="265" t="n">
        <v>2030</v>
      </c>
      <c r="I179" s="265" t="n">
        <v>2030</v>
      </c>
      <c r="J179" s="265" t="n">
        <v>2030</v>
      </c>
      <c r="K179" s="265" t="n">
        <v>2030</v>
      </c>
      <c r="L179" s="265" t="n">
        <v>2030</v>
      </c>
      <c r="M179" s="265" t="n">
        <v>2030</v>
      </c>
      <c r="N179" s="265" t="n">
        <v>2030</v>
      </c>
      <c r="O179" s="265" t="n">
        <v>2030</v>
      </c>
      <c r="P179" s="265" t="n">
        <v>2030</v>
      </c>
      <c r="Q179" s="266" t="n">
        <v>2030</v>
      </c>
      <c r="R179" s="266" t="n">
        <v>2030</v>
      </c>
      <c r="S179" s="266" t="n">
        <v>2030</v>
      </c>
      <c r="T179" s="266" t="n">
        <v>2030</v>
      </c>
      <c r="U179" s="266" t="n">
        <v>2030</v>
      </c>
      <c r="V179" s="266" t="n">
        <v>2030</v>
      </c>
      <c r="W179" s="266" t="n">
        <v>2030</v>
      </c>
      <c r="X179" s="266" t="n">
        <v>2030</v>
      </c>
      <c r="Y179" s="266" t="n">
        <v>2030</v>
      </c>
      <c r="Z179" s="266" t="n">
        <v>2030</v>
      </c>
      <c r="AA179" s="266" t="n">
        <v>2030</v>
      </c>
      <c r="AB179" s="266" t="n">
        <v>2030</v>
      </c>
      <c r="AC179" s="266" t="n">
        <v>2030</v>
      </c>
      <c r="AD179" s="266" t="n">
        <v>2030</v>
      </c>
    </row>
    <row r="180" customFormat="false" ht="14.25" hidden="false" customHeight="false" outlineLevel="0" collapsed="false">
      <c r="A180" s="264" t="s">
        <v>375</v>
      </c>
      <c r="B180" s="264"/>
      <c r="C180" s="265" t="n">
        <v>2030</v>
      </c>
      <c r="D180" s="265" t="n">
        <v>2030</v>
      </c>
      <c r="E180" s="265" t="n">
        <v>2030</v>
      </c>
      <c r="F180" s="265" t="n">
        <v>2030</v>
      </c>
      <c r="G180" s="265" t="n">
        <v>2030</v>
      </c>
      <c r="H180" s="265" t="n">
        <v>2030</v>
      </c>
      <c r="I180" s="265" t="n">
        <v>2030</v>
      </c>
      <c r="J180" s="265" t="n">
        <v>2030</v>
      </c>
      <c r="K180" s="265" t="n">
        <v>2030</v>
      </c>
      <c r="L180" s="265" t="n">
        <v>2030</v>
      </c>
      <c r="M180" s="265" t="n">
        <v>2030</v>
      </c>
      <c r="N180" s="265" t="n">
        <v>2030</v>
      </c>
      <c r="O180" s="265" t="n">
        <v>2030</v>
      </c>
      <c r="P180" s="265" t="n">
        <v>2030</v>
      </c>
      <c r="Q180" s="266" t="n">
        <v>2030</v>
      </c>
      <c r="R180" s="266" t="n">
        <v>2030</v>
      </c>
      <c r="S180" s="266" t="n">
        <v>2030</v>
      </c>
      <c r="T180" s="266" t="n">
        <v>2030</v>
      </c>
      <c r="U180" s="266" t="n">
        <v>2030</v>
      </c>
      <c r="V180" s="266" t="n">
        <v>2030</v>
      </c>
      <c r="W180" s="266" t="n">
        <v>2030</v>
      </c>
      <c r="X180" s="266" t="n">
        <v>2030</v>
      </c>
      <c r="Y180" s="266" t="n">
        <v>2030</v>
      </c>
      <c r="Z180" s="266" t="n">
        <v>2030</v>
      </c>
      <c r="AA180" s="266" t="n">
        <v>2030</v>
      </c>
      <c r="AB180" s="266" t="n">
        <v>2030</v>
      </c>
      <c r="AC180" s="266" t="n">
        <v>2030</v>
      </c>
      <c r="AD180" s="266" t="n">
        <v>2030</v>
      </c>
    </row>
    <row r="181" customFormat="false" ht="14.25" hidden="false" customHeight="false" outlineLevel="0" collapsed="false">
      <c r="A181" s="264" t="s">
        <v>376</v>
      </c>
      <c r="B181" s="264"/>
      <c r="C181" s="265" t="n">
        <v>2030</v>
      </c>
      <c r="D181" s="265" t="n">
        <v>2030</v>
      </c>
      <c r="E181" s="265" t="n">
        <v>2030</v>
      </c>
      <c r="F181" s="265" t="n">
        <v>2030</v>
      </c>
      <c r="G181" s="265" t="n">
        <v>2030</v>
      </c>
      <c r="H181" s="265" t="n">
        <v>2030</v>
      </c>
      <c r="I181" s="265" t="n">
        <v>2030</v>
      </c>
      <c r="J181" s="265" t="n">
        <v>2030</v>
      </c>
      <c r="K181" s="265" t="n">
        <v>2030</v>
      </c>
      <c r="L181" s="265" t="n">
        <v>2030</v>
      </c>
      <c r="M181" s="265" t="n">
        <v>2030</v>
      </c>
      <c r="N181" s="265" t="n">
        <v>2030</v>
      </c>
      <c r="O181" s="265" t="n">
        <v>2030</v>
      </c>
      <c r="P181" s="265" t="n">
        <v>2030</v>
      </c>
      <c r="Q181" s="266" t="n">
        <v>2030</v>
      </c>
      <c r="R181" s="266" t="n">
        <v>2030</v>
      </c>
      <c r="S181" s="266" t="n">
        <v>2030</v>
      </c>
      <c r="T181" s="266" t="n">
        <v>2030</v>
      </c>
      <c r="U181" s="266" t="n">
        <v>2030</v>
      </c>
      <c r="V181" s="266" t="n">
        <v>2030</v>
      </c>
      <c r="W181" s="266" t="n">
        <v>2030</v>
      </c>
      <c r="X181" s="266" t="n">
        <v>2030</v>
      </c>
      <c r="Y181" s="266" t="n">
        <v>2030</v>
      </c>
      <c r="Z181" s="266" t="n">
        <v>2030</v>
      </c>
      <c r="AA181" s="266" t="n">
        <v>2030</v>
      </c>
      <c r="AB181" s="266" t="n">
        <v>2030</v>
      </c>
      <c r="AC181" s="266" t="n">
        <v>2030</v>
      </c>
      <c r="AD181" s="266" t="n">
        <v>2030</v>
      </c>
    </row>
    <row r="182" customFormat="false" ht="14.25" hidden="false" customHeight="false" outlineLevel="0" collapsed="false">
      <c r="A182" s="264" t="s">
        <v>377</v>
      </c>
      <c r="B182" s="264"/>
      <c r="C182" s="265" t="n">
        <v>2030</v>
      </c>
      <c r="D182" s="265" t="n">
        <v>2030</v>
      </c>
      <c r="E182" s="265" t="n">
        <v>2030</v>
      </c>
      <c r="F182" s="265" t="n">
        <v>2030</v>
      </c>
      <c r="G182" s="265" t="n">
        <v>2030</v>
      </c>
      <c r="H182" s="265" t="n">
        <v>2030</v>
      </c>
      <c r="I182" s="265" t="n">
        <v>2030</v>
      </c>
      <c r="J182" s="265" t="n">
        <v>2030</v>
      </c>
      <c r="K182" s="265" t="n">
        <v>2030</v>
      </c>
      <c r="L182" s="265" t="n">
        <v>2030</v>
      </c>
      <c r="M182" s="265" t="n">
        <v>2030</v>
      </c>
      <c r="N182" s="265" t="n">
        <v>2030</v>
      </c>
      <c r="O182" s="265" t="n">
        <v>2030</v>
      </c>
      <c r="P182" s="265" t="n">
        <v>2030</v>
      </c>
      <c r="Q182" s="266" t="n">
        <v>2030</v>
      </c>
      <c r="R182" s="266" t="n">
        <v>2030</v>
      </c>
      <c r="S182" s="266" t="n">
        <v>2030</v>
      </c>
      <c r="T182" s="266" t="n">
        <v>2030</v>
      </c>
      <c r="U182" s="266" t="n">
        <v>2030</v>
      </c>
      <c r="V182" s="266" t="n">
        <v>2030</v>
      </c>
      <c r="W182" s="266" t="n">
        <v>2030</v>
      </c>
      <c r="X182" s="266" t="n">
        <v>2030</v>
      </c>
      <c r="Y182" s="266" t="n">
        <v>2030</v>
      </c>
      <c r="Z182" s="266" t="n">
        <v>2030</v>
      </c>
      <c r="AA182" s="266" t="n">
        <v>2030</v>
      </c>
      <c r="AB182" s="266" t="n">
        <v>2030</v>
      </c>
      <c r="AC182" s="266" t="n">
        <v>2030</v>
      </c>
      <c r="AD182" s="266" t="n">
        <v>2030</v>
      </c>
    </row>
    <row r="183" customFormat="false" ht="14.25" hidden="false" customHeight="false" outlineLevel="0" collapsed="false">
      <c r="A183" s="264" t="s">
        <v>378</v>
      </c>
      <c r="B183" s="264"/>
      <c r="C183" s="265" t="n">
        <v>2030</v>
      </c>
      <c r="D183" s="265" t="n">
        <v>2030</v>
      </c>
      <c r="E183" s="265" t="n">
        <v>2030</v>
      </c>
      <c r="F183" s="265" t="n">
        <v>2030</v>
      </c>
      <c r="G183" s="265" t="n">
        <v>2030</v>
      </c>
      <c r="H183" s="265" t="n">
        <v>2030</v>
      </c>
      <c r="I183" s="265" t="n">
        <v>2030</v>
      </c>
      <c r="J183" s="265" t="n">
        <v>2030</v>
      </c>
      <c r="K183" s="265" t="n">
        <v>2030</v>
      </c>
      <c r="L183" s="265" t="n">
        <v>2030</v>
      </c>
      <c r="M183" s="265" t="n">
        <v>2030</v>
      </c>
      <c r="N183" s="265" t="n">
        <v>2030</v>
      </c>
      <c r="O183" s="265" t="n">
        <v>2030</v>
      </c>
      <c r="P183" s="265" t="n">
        <v>2030</v>
      </c>
      <c r="Q183" s="266" t="n">
        <v>2030</v>
      </c>
      <c r="R183" s="266" t="n">
        <v>2030</v>
      </c>
      <c r="S183" s="266" t="n">
        <v>2030</v>
      </c>
      <c r="T183" s="266" t="n">
        <v>2030</v>
      </c>
      <c r="U183" s="266" t="n">
        <v>2030</v>
      </c>
      <c r="V183" s="266" t="n">
        <v>2030</v>
      </c>
      <c r="W183" s="266" t="n">
        <v>2030</v>
      </c>
      <c r="X183" s="266" t="n">
        <v>2030</v>
      </c>
      <c r="Y183" s="266" t="n">
        <v>2030</v>
      </c>
      <c r="Z183" s="266" t="n">
        <v>2030</v>
      </c>
      <c r="AA183" s="266" t="n">
        <v>2030</v>
      </c>
      <c r="AB183" s="266" t="n">
        <v>2030</v>
      </c>
      <c r="AC183" s="266" t="n">
        <v>2030</v>
      </c>
      <c r="AD183" s="266" t="n">
        <v>2030</v>
      </c>
    </row>
    <row r="184" customFormat="false" ht="15.75" hidden="false" customHeight="true" outlineLevel="0" collapsed="false">
      <c r="A184" s="200" t="s">
        <v>601</v>
      </c>
      <c r="B184" s="200"/>
      <c r="C184" s="200"/>
      <c r="D184" s="200"/>
      <c r="E184" s="200"/>
      <c r="F184" s="200"/>
      <c r="G184" s="200"/>
      <c r="H184" s="200"/>
      <c r="I184" s="200"/>
      <c r="J184" s="200"/>
      <c r="K184" s="200"/>
      <c r="L184" s="200"/>
      <c r="M184" s="200"/>
      <c r="N184" s="200"/>
      <c r="O184" s="200"/>
      <c r="P184" s="200"/>
      <c r="Q184" s="200"/>
    </row>
    <row r="185" customFormat="false" ht="14.25" hidden="false" customHeight="false" outlineLevel="0" collapsed="false">
      <c r="A185" s="264" t="s">
        <v>374</v>
      </c>
      <c r="B185" s="264"/>
      <c r="C185" s="265" t="n">
        <v>1</v>
      </c>
      <c r="D185" s="265" t="n">
        <v>1</v>
      </c>
      <c r="E185" s="265" t="n">
        <v>1</v>
      </c>
      <c r="F185" s="265" t="n">
        <v>1</v>
      </c>
      <c r="G185" s="265" t="n">
        <v>1</v>
      </c>
      <c r="H185" s="265" t="n">
        <v>1</v>
      </c>
      <c r="I185" s="265" t="n">
        <v>1</v>
      </c>
      <c r="J185" s="265" t="n">
        <v>1</v>
      </c>
      <c r="K185" s="265" t="n">
        <v>1</v>
      </c>
      <c r="L185" s="265" t="n">
        <v>1</v>
      </c>
      <c r="M185" s="265" t="n">
        <v>1</v>
      </c>
      <c r="N185" s="265" t="n">
        <v>1</v>
      </c>
      <c r="O185" s="265" t="n">
        <v>1</v>
      </c>
      <c r="P185" s="265" t="n">
        <v>1</v>
      </c>
      <c r="Q185" s="266" t="n">
        <v>1</v>
      </c>
      <c r="R185" s="266" t="n">
        <v>1</v>
      </c>
      <c r="S185" s="266" t="n">
        <v>1</v>
      </c>
      <c r="T185" s="266" t="n">
        <v>1</v>
      </c>
      <c r="U185" s="266" t="n">
        <v>1</v>
      </c>
      <c r="V185" s="266" t="n">
        <v>1</v>
      </c>
      <c r="W185" s="266" t="n">
        <v>1</v>
      </c>
      <c r="X185" s="266" t="n">
        <v>1</v>
      </c>
      <c r="Y185" s="266" t="n">
        <v>1</v>
      </c>
      <c r="Z185" s="266" t="n">
        <v>1</v>
      </c>
      <c r="AA185" s="266" t="n">
        <v>1</v>
      </c>
      <c r="AB185" s="266" t="n">
        <v>1</v>
      </c>
      <c r="AC185" s="266" t="n">
        <v>1</v>
      </c>
      <c r="AD185" s="266" t="n">
        <v>1</v>
      </c>
    </row>
    <row r="186" customFormat="false" ht="14.25" hidden="false" customHeight="false" outlineLevel="0" collapsed="false">
      <c r="A186" s="264" t="s">
        <v>375</v>
      </c>
      <c r="B186" s="264"/>
      <c r="C186" s="265" t="n">
        <v>1</v>
      </c>
      <c r="D186" s="265" t="n">
        <v>1</v>
      </c>
      <c r="E186" s="265" t="n">
        <v>1</v>
      </c>
      <c r="F186" s="265" t="n">
        <v>1</v>
      </c>
      <c r="G186" s="265" t="n">
        <v>1</v>
      </c>
      <c r="H186" s="265" t="n">
        <v>1</v>
      </c>
      <c r="I186" s="265" t="n">
        <v>1</v>
      </c>
      <c r="J186" s="265" t="n">
        <v>1</v>
      </c>
      <c r="K186" s="265" t="n">
        <v>1</v>
      </c>
      <c r="L186" s="265" t="n">
        <v>1</v>
      </c>
      <c r="M186" s="265" t="n">
        <v>1</v>
      </c>
      <c r="N186" s="265" t="n">
        <v>1</v>
      </c>
      <c r="O186" s="265" t="n">
        <v>1</v>
      </c>
      <c r="P186" s="265" t="n">
        <v>1</v>
      </c>
      <c r="Q186" s="266" t="n">
        <v>1</v>
      </c>
      <c r="R186" s="266" t="n">
        <v>1</v>
      </c>
      <c r="S186" s="266" t="n">
        <v>1</v>
      </c>
      <c r="T186" s="266" t="n">
        <v>1</v>
      </c>
      <c r="U186" s="266" t="n">
        <v>1</v>
      </c>
      <c r="V186" s="266" t="n">
        <v>1</v>
      </c>
      <c r="W186" s="266" t="n">
        <v>1</v>
      </c>
      <c r="X186" s="266" t="n">
        <v>1</v>
      </c>
      <c r="Y186" s="266" t="n">
        <v>1</v>
      </c>
      <c r="Z186" s="266" t="n">
        <v>1</v>
      </c>
      <c r="AA186" s="266" t="n">
        <v>1</v>
      </c>
      <c r="AB186" s="266" t="n">
        <v>1</v>
      </c>
      <c r="AC186" s="266" t="n">
        <v>1</v>
      </c>
      <c r="AD186" s="266" t="n">
        <v>1</v>
      </c>
    </row>
    <row r="187" customFormat="false" ht="14.25" hidden="false" customHeight="false" outlineLevel="0" collapsed="false">
      <c r="A187" s="264" t="s">
        <v>376</v>
      </c>
      <c r="B187" s="264"/>
      <c r="C187" s="265" t="n">
        <v>1</v>
      </c>
      <c r="D187" s="265" t="n">
        <v>1</v>
      </c>
      <c r="E187" s="265" t="n">
        <v>1</v>
      </c>
      <c r="F187" s="265" t="n">
        <v>1</v>
      </c>
      <c r="G187" s="265" t="n">
        <v>1</v>
      </c>
      <c r="H187" s="265" t="n">
        <v>1</v>
      </c>
      <c r="I187" s="265" t="n">
        <v>1</v>
      </c>
      <c r="J187" s="265" t="n">
        <v>1</v>
      </c>
      <c r="K187" s="265" t="n">
        <v>1</v>
      </c>
      <c r="L187" s="265" t="n">
        <v>1</v>
      </c>
      <c r="M187" s="265" t="n">
        <v>1</v>
      </c>
      <c r="N187" s="265" t="n">
        <v>1</v>
      </c>
      <c r="O187" s="265" t="n">
        <v>1</v>
      </c>
      <c r="P187" s="265" t="n">
        <v>1</v>
      </c>
      <c r="Q187" s="266" t="n">
        <v>1</v>
      </c>
      <c r="R187" s="266" t="n">
        <v>1</v>
      </c>
      <c r="S187" s="266" t="n">
        <v>1</v>
      </c>
      <c r="T187" s="266" t="n">
        <v>1</v>
      </c>
      <c r="U187" s="266" t="n">
        <v>1</v>
      </c>
      <c r="V187" s="266" t="n">
        <v>1</v>
      </c>
      <c r="W187" s="266" t="n">
        <v>1</v>
      </c>
      <c r="X187" s="266" t="n">
        <v>1</v>
      </c>
      <c r="Y187" s="266" t="n">
        <v>1</v>
      </c>
      <c r="Z187" s="266" t="n">
        <v>1</v>
      </c>
      <c r="AA187" s="266" t="n">
        <v>1</v>
      </c>
      <c r="AB187" s="266" t="n">
        <v>1</v>
      </c>
      <c r="AC187" s="266" t="n">
        <v>1</v>
      </c>
      <c r="AD187" s="266" t="n">
        <v>1</v>
      </c>
    </row>
    <row r="188" customFormat="false" ht="14.25" hidden="false" customHeight="false" outlineLevel="0" collapsed="false">
      <c r="A188" s="264" t="s">
        <v>377</v>
      </c>
      <c r="B188" s="264"/>
      <c r="C188" s="265" t="n">
        <v>1</v>
      </c>
      <c r="D188" s="265" t="n">
        <v>1</v>
      </c>
      <c r="E188" s="265" t="n">
        <v>1</v>
      </c>
      <c r="F188" s="265" t="n">
        <v>1</v>
      </c>
      <c r="G188" s="265" t="n">
        <v>1</v>
      </c>
      <c r="H188" s="265" t="n">
        <v>1</v>
      </c>
      <c r="I188" s="265" t="n">
        <v>1</v>
      </c>
      <c r="J188" s="265" t="n">
        <v>1</v>
      </c>
      <c r="K188" s="265" t="n">
        <v>1</v>
      </c>
      <c r="L188" s="265" t="n">
        <v>1</v>
      </c>
      <c r="M188" s="265" t="n">
        <v>1</v>
      </c>
      <c r="N188" s="265" t="n">
        <v>1</v>
      </c>
      <c r="O188" s="265" t="n">
        <v>1</v>
      </c>
      <c r="P188" s="265" t="n">
        <v>1</v>
      </c>
      <c r="Q188" s="266" t="n">
        <v>1</v>
      </c>
      <c r="R188" s="266" t="n">
        <v>1</v>
      </c>
      <c r="S188" s="266" t="n">
        <v>1</v>
      </c>
      <c r="T188" s="266" t="n">
        <v>1</v>
      </c>
      <c r="U188" s="266" t="n">
        <v>1</v>
      </c>
      <c r="V188" s="266" t="n">
        <v>1</v>
      </c>
      <c r="W188" s="266" t="n">
        <v>1</v>
      </c>
      <c r="X188" s="266" t="n">
        <v>1</v>
      </c>
      <c r="Y188" s="266" t="n">
        <v>1</v>
      </c>
      <c r="Z188" s="266" t="n">
        <v>1</v>
      </c>
      <c r="AA188" s="266" t="n">
        <v>1</v>
      </c>
      <c r="AB188" s="266" t="n">
        <v>1</v>
      </c>
      <c r="AC188" s="266" t="n">
        <v>1</v>
      </c>
      <c r="AD188" s="266" t="n">
        <v>1</v>
      </c>
    </row>
    <row r="189" customFormat="false" ht="14.25" hidden="false" customHeight="false" outlineLevel="0" collapsed="false">
      <c r="A189" s="264" t="s">
        <v>378</v>
      </c>
      <c r="B189" s="264"/>
      <c r="C189" s="265" t="n">
        <v>1</v>
      </c>
      <c r="D189" s="265" t="n">
        <v>1</v>
      </c>
      <c r="E189" s="265" t="n">
        <v>1</v>
      </c>
      <c r="F189" s="265" t="n">
        <v>1</v>
      </c>
      <c r="G189" s="265" t="n">
        <v>1</v>
      </c>
      <c r="H189" s="265" t="n">
        <v>1</v>
      </c>
      <c r="I189" s="265" t="n">
        <v>1</v>
      </c>
      <c r="J189" s="265" t="n">
        <v>1</v>
      </c>
      <c r="K189" s="265" t="n">
        <v>1</v>
      </c>
      <c r="L189" s="265" t="n">
        <v>1</v>
      </c>
      <c r="M189" s="265" t="n">
        <v>1</v>
      </c>
      <c r="N189" s="265" t="n">
        <v>1</v>
      </c>
      <c r="O189" s="265" t="n">
        <v>1</v>
      </c>
      <c r="P189" s="265" t="n">
        <v>1</v>
      </c>
      <c r="Q189" s="266" t="n">
        <v>1</v>
      </c>
      <c r="R189" s="266" t="n">
        <v>1</v>
      </c>
      <c r="S189" s="266" t="n">
        <v>1</v>
      </c>
      <c r="T189" s="266" t="n">
        <v>1</v>
      </c>
      <c r="U189" s="266" t="n">
        <v>1</v>
      </c>
      <c r="V189" s="266" t="n">
        <v>1</v>
      </c>
      <c r="W189" s="266" t="n">
        <v>1</v>
      </c>
      <c r="X189" s="266" t="n">
        <v>1</v>
      </c>
      <c r="Y189" s="266" t="n">
        <v>1</v>
      </c>
      <c r="Z189" s="266" t="n">
        <v>1</v>
      </c>
      <c r="AA189" s="266" t="n">
        <v>1</v>
      </c>
      <c r="AB189" s="266" t="n">
        <v>1</v>
      </c>
      <c r="AC189" s="266" t="n">
        <v>1</v>
      </c>
      <c r="AD189" s="266" t="n">
        <v>1</v>
      </c>
    </row>
    <row r="190" customFormat="false" ht="15.75" hidden="false" customHeight="true" outlineLevel="0" collapsed="false">
      <c r="A190" s="200" t="s">
        <v>602</v>
      </c>
      <c r="B190" s="200"/>
      <c r="C190" s="200"/>
      <c r="D190" s="200"/>
      <c r="E190" s="200"/>
      <c r="F190" s="200"/>
      <c r="G190" s="200"/>
      <c r="H190" s="200"/>
      <c r="I190" s="200"/>
      <c r="J190" s="200"/>
      <c r="K190" s="200"/>
      <c r="L190" s="200"/>
      <c r="M190" s="200"/>
      <c r="N190" s="200"/>
      <c r="O190" s="200"/>
      <c r="P190" s="200"/>
      <c r="Q190" s="200"/>
    </row>
    <row r="191" customFormat="false" ht="14.25" hidden="false" customHeight="false" outlineLevel="0" collapsed="false">
      <c r="A191" s="264" t="s">
        <v>374</v>
      </c>
      <c r="B191" s="264"/>
      <c r="C191" s="265" t="n">
        <v>2040</v>
      </c>
      <c r="D191" s="265" t="n">
        <v>2040</v>
      </c>
      <c r="E191" s="265" t="n">
        <v>2040</v>
      </c>
      <c r="F191" s="265" t="n">
        <v>2040</v>
      </c>
      <c r="G191" s="265" t="n">
        <v>2040</v>
      </c>
      <c r="H191" s="265" t="n">
        <v>2040</v>
      </c>
      <c r="I191" s="265" t="n">
        <v>2040</v>
      </c>
      <c r="J191" s="265" t="n">
        <v>2040</v>
      </c>
      <c r="K191" s="265" t="n">
        <v>2040</v>
      </c>
      <c r="L191" s="265" t="n">
        <v>2040</v>
      </c>
      <c r="M191" s="265" t="n">
        <v>2040</v>
      </c>
      <c r="N191" s="265" t="n">
        <v>2040</v>
      </c>
      <c r="O191" s="265" t="n">
        <v>2040</v>
      </c>
      <c r="P191" s="265" t="n">
        <v>2040</v>
      </c>
      <c r="Q191" s="265" t="n">
        <v>2040</v>
      </c>
      <c r="R191" s="265" t="n">
        <v>2040</v>
      </c>
      <c r="S191" s="265" t="n">
        <v>2040</v>
      </c>
      <c r="T191" s="265" t="n">
        <v>2040</v>
      </c>
      <c r="U191" s="265" t="n">
        <v>2040</v>
      </c>
      <c r="V191" s="265" t="n">
        <v>2040</v>
      </c>
      <c r="W191" s="265" t="n">
        <v>2040</v>
      </c>
      <c r="X191" s="265" t="n">
        <v>2040</v>
      </c>
      <c r="Y191" s="265" t="n">
        <v>2040</v>
      </c>
      <c r="Z191" s="265" t="n">
        <v>2040</v>
      </c>
      <c r="AA191" s="265" t="n">
        <v>2040</v>
      </c>
      <c r="AB191" s="265" t="n">
        <v>2040</v>
      </c>
      <c r="AC191" s="265" t="n">
        <v>2040</v>
      </c>
      <c r="AD191" s="265" t="n">
        <v>2040</v>
      </c>
    </row>
    <row r="192" customFormat="false" ht="14.25" hidden="false" customHeight="false" outlineLevel="0" collapsed="false">
      <c r="A192" s="264" t="s">
        <v>375</v>
      </c>
      <c r="B192" s="264"/>
      <c r="C192" s="265" t="n">
        <v>2040</v>
      </c>
      <c r="D192" s="265" t="n">
        <v>2040</v>
      </c>
      <c r="E192" s="265" t="n">
        <v>2040</v>
      </c>
      <c r="F192" s="265" t="n">
        <v>2040</v>
      </c>
      <c r="G192" s="265" t="n">
        <v>2040</v>
      </c>
      <c r="H192" s="265" t="n">
        <v>2040</v>
      </c>
      <c r="I192" s="265" t="n">
        <v>2040</v>
      </c>
      <c r="J192" s="265" t="n">
        <v>2040</v>
      </c>
      <c r="K192" s="265" t="n">
        <v>2040</v>
      </c>
      <c r="L192" s="265" t="n">
        <v>2040</v>
      </c>
      <c r="M192" s="265" t="n">
        <v>2040</v>
      </c>
      <c r="N192" s="265" t="n">
        <v>2040</v>
      </c>
      <c r="O192" s="265" t="n">
        <v>2040</v>
      </c>
      <c r="P192" s="265" t="n">
        <v>2040</v>
      </c>
      <c r="Q192" s="265" t="n">
        <v>2040</v>
      </c>
      <c r="R192" s="265" t="n">
        <v>2040</v>
      </c>
      <c r="S192" s="265" t="n">
        <v>2040</v>
      </c>
      <c r="T192" s="265" t="n">
        <v>2040</v>
      </c>
      <c r="U192" s="265" t="n">
        <v>2040</v>
      </c>
      <c r="V192" s="265" t="n">
        <v>2040</v>
      </c>
      <c r="W192" s="265" t="n">
        <v>2040</v>
      </c>
      <c r="X192" s="265" t="n">
        <v>2040</v>
      </c>
      <c r="Y192" s="265" t="n">
        <v>2040</v>
      </c>
      <c r="Z192" s="265" t="n">
        <v>2040</v>
      </c>
      <c r="AA192" s="265" t="n">
        <v>2040</v>
      </c>
      <c r="AB192" s="265" t="n">
        <v>2040</v>
      </c>
      <c r="AC192" s="265" t="n">
        <v>2040</v>
      </c>
      <c r="AD192" s="265" t="n">
        <v>2040</v>
      </c>
    </row>
    <row r="193" customFormat="false" ht="14.25" hidden="false" customHeight="false" outlineLevel="0" collapsed="false">
      <c r="A193" s="264" t="s">
        <v>376</v>
      </c>
      <c r="B193" s="264"/>
      <c r="C193" s="265" t="n">
        <v>2040</v>
      </c>
      <c r="D193" s="265" t="n">
        <v>2040</v>
      </c>
      <c r="E193" s="265" t="n">
        <v>2040</v>
      </c>
      <c r="F193" s="265" t="n">
        <v>2040</v>
      </c>
      <c r="G193" s="265" t="n">
        <v>2040</v>
      </c>
      <c r="H193" s="265" t="n">
        <v>2040</v>
      </c>
      <c r="I193" s="265" t="n">
        <v>2040</v>
      </c>
      <c r="J193" s="265" t="n">
        <v>2040</v>
      </c>
      <c r="K193" s="265" t="n">
        <v>2040</v>
      </c>
      <c r="L193" s="265" t="n">
        <v>2040</v>
      </c>
      <c r="M193" s="265" t="n">
        <v>2040</v>
      </c>
      <c r="N193" s="265" t="n">
        <v>2040</v>
      </c>
      <c r="O193" s="265" t="n">
        <v>2040</v>
      </c>
      <c r="P193" s="265" t="n">
        <v>2040</v>
      </c>
      <c r="Q193" s="265" t="n">
        <v>2040</v>
      </c>
      <c r="R193" s="265" t="n">
        <v>2040</v>
      </c>
      <c r="S193" s="265" t="n">
        <v>2040</v>
      </c>
      <c r="T193" s="265" t="n">
        <v>2040</v>
      </c>
      <c r="U193" s="265" t="n">
        <v>2040</v>
      </c>
      <c r="V193" s="265" t="n">
        <v>2040</v>
      </c>
      <c r="W193" s="265" t="n">
        <v>2040</v>
      </c>
      <c r="X193" s="265" t="n">
        <v>2040</v>
      </c>
      <c r="Y193" s="265" t="n">
        <v>2040</v>
      </c>
      <c r="Z193" s="265" t="n">
        <v>2040</v>
      </c>
      <c r="AA193" s="265" t="n">
        <v>2040</v>
      </c>
      <c r="AB193" s="265" t="n">
        <v>2040</v>
      </c>
      <c r="AC193" s="265" t="n">
        <v>2040</v>
      </c>
      <c r="AD193" s="265" t="n">
        <v>2040</v>
      </c>
    </row>
    <row r="194" customFormat="false" ht="14.25" hidden="false" customHeight="false" outlineLevel="0" collapsed="false">
      <c r="A194" s="264" t="s">
        <v>377</v>
      </c>
      <c r="B194" s="264"/>
      <c r="C194" s="265" t="n">
        <v>2040</v>
      </c>
      <c r="D194" s="265" t="n">
        <v>2040</v>
      </c>
      <c r="E194" s="265" t="n">
        <v>2040</v>
      </c>
      <c r="F194" s="265" t="n">
        <v>2040</v>
      </c>
      <c r="G194" s="265" t="n">
        <v>2040</v>
      </c>
      <c r="H194" s="265" t="n">
        <v>2040</v>
      </c>
      <c r="I194" s="265" t="n">
        <v>2040</v>
      </c>
      <c r="J194" s="265" t="n">
        <v>2040</v>
      </c>
      <c r="K194" s="265" t="n">
        <v>2040</v>
      </c>
      <c r="L194" s="265" t="n">
        <v>2040</v>
      </c>
      <c r="M194" s="265" t="n">
        <v>2040</v>
      </c>
      <c r="N194" s="265" t="n">
        <v>2040</v>
      </c>
      <c r="O194" s="265" t="n">
        <v>2040</v>
      </c>
      <c r="P194" s="265" t="n">
        <v>2040</v>
      </c>
      <c r="Q194" s="265" t="n">
        <v>2040</v>
      </c>
      <c r="R194" s="265" t="n">
        <v>2040</v>
      </c>
      <c r="S194" s="265" t="n">
        <v>2040</v>
      </c>
      <c r="T194" s="265" t="n">
        <v>2040</v>
      </c>
      <c r="U194" s="265" t="n">
        <v>2040</v>
      </c>
      <c r="V194" s="265" t="n">
        <v>2040</v>
      </c>
      <c r="W194" s="265" t="n">
        <v>2040</v>
      </c>
      <c r="X194" s="265" t="n">
        <v>2040</v>
      </c>
      <c r="Y194" s="265" t="n">
        <v>2040</v>
      </c>
      <c r="Z194" s="265" t="n">
        <v>2040</v>
      </c>
      <c r="AA194" s="265" t="n">
        <v>2040</v>
      </c>
      <c r="AB194" s="265" t="n">
        <v>2040</v>
      </c>
      <c r="AC194" s="265" t="n">
        <v>2040</v>
      </c>
      <c r="AD194" s="265" t="n">
        <v>2040</v>
      </c>
    </row>
    <row r="195" customFormat="false" ht="14.25" hidden="false" customHeight="false" outlineLevel="0" collapsed="false">
      <c r="A195" s="264" t="s">
        <v>378</v>
      </c>
      <c r="B195" s="264"/>
      <c r="C195" s="265" t="n">
        <v>2040</v>
      </c>
      <c r="D195" s="265" t="n">
        <v>2040</v>
      </c>
      <c r="E195" s="265" t="n">
        <v>2040</v>
      </c>
      <c r="F195" s="265" t="n">
        <v>2040</v>
      </c>
      <c r="G195" s="265" t="n">
        <v>2040</v>
      </c>
      <c r="H195" s="265" t="n">
        <v>2040</v>
      </c>
      <c r="I195" s="265" t="n">
        <v>2040</v>
      </c>
      <c r="J195" s="265" t="n">
        <v>2040</v>
      </c>
      <c r="K195" s="265" t="n">
        <v>2040</v>
      </c>
      <c r="L195" s="265" t="n">
        <v>2040</v>
      </c>
      <c r="M195" s="265" t="n">
        <v>2040</v>
      </c>
      <c r="N195" s="265" t="n">
        <v>2040</v>
      </c>
      <c r="O195" s="265" t="n">
        <v>2040</v>
      </c>
      <c r="P195" s="265" t="n">
        <v>2040</v>
      </c>
      <c r="Q195" s="265" t="n">
        <v>2040</v>
      </c>
      <c r="R195" s="265" t="n">
        <v>2040</v>
      </c>
      <c r="S195" s="265" t="n">
        <v>2040</v>
      </c>
      <c r="T195" s="265" t="n">
        <v>2040</v>
      </c>
      <c r="U195" s="265" t="n">
        <v>2040</v>
      </c>
      <c r="V195" s="265" t="n">
        <v>2040</v>
      </c>
      <c r="W195" s="265" t="n">
        <v>2040</v>
      </c>
      <c r="X195" s="265" t="n">
        <v>2040</v>
      </c>
      <c r="Y195" s="265" t="n">
        <v>2040</v>
      </c>
      <c r="Z195" s="265" t="n">
        <v>2040</v>
      </c>
      <c r="AA195" s="265" t="n">
        <v>2040</v>
      </c>
      <c r="AB195" s="265" t="n">
        <v>2040</v>
      </c>
      <c r="AC195" s="265" t="n">
        <v>2040</v>
      </c>
      <c r="AD195" s="265" t="n">
        <v>2040</v>
      </c>
    </row>
    <row r="196" customFormat="false" ht="15.75" hidden="false" customHeight="true" outlineLevel="0" collapsed="false">
      <c r="A196" s="200" t="s">
        <v>603</v>
      </c>
      <c r="B196" s="200"/>
      <c r="C196" s="200"/>
      <c r="D196" s="200"/>
      <c r="E196" s="200"/>
      <c r="F196" s="200"/>
      <c r="G196" s="200"/>
      <c r="H196" s="200"/>
      <c r="I196" s="200"/>
      <c r="J196" s="200"/>
      <c r="K196" s="200"/>
      <c r="L196" s="200"/>
      <c r="M196" s="200"/>
      <c r="N196" s="200"/>
      <c r="O196" s="200"/>
      <c r="P196" s="200"/>
      <c r="Q196" s="200"/>
    </row>
    <row r="197" customFormat="false" ht="14.25" hidden="false" customHeight="false" outlineLevel="0" collapsed="false">
      <c r="A197" s="264" t="s">
        <v>374</v>
      </c>
      <c r="B197" s="264"/>
      <c r="C197" s="265" t="n">
        <v>1</v>
      </c>
      <c r="D197" s="265" t="n">
        <v>1</v>
      </c>
      <c r="E197" s="265" t="n">
        <v>1</v>
      </c>
      <c r="F197" s="265" t="n">
        <v>1</v>
      </c>
      <c r="G197" s="265" t="n">
        <v>1</v>
      </c>
      <c r="H197" s="265" t="n">
        <v>1</v>
      </c>
      <c r="I197" s="265" t="n">
        <v>1</v>
      </c>
      <c r="J197" s="265" t="n">
        <v>1</v>
      </c>
      <c r="K197" s="265" t="n">
        <v>1</v>
      </c>
      <c r="L197" s="265" t="n">
        <v>1</v>
      </c>
      <c r="M197" s="265" t="n">
        <v>1</v>
      </c>
      <c r="N197" s="265" t="n">
        <v>1</v>
      </c>
      <c r="O197" s="265" t="n">
        <v>1</v>
      </c>
      <c r="P197" s="265" t="n">
        <v>1</v>
      </c>
      <c r="Q197" s="266" t="n">
        <v>1</v>
      </c>
      <c r="R197" s="266" t="n">
        <v>1</v>
      </c>
      <c r="S197" s="266" t="n">
        <v>1</v>
      </c>
      <c r="T197" s="266" t="n">
        <v>1</v>
      </c>
      <c r="U197" s="266" t="n">
        <v>1</v>
      </c>
      <c r="V197" s="266" t="n">
        <v>1</v>
      </c>
      <c r="W197" s="266" t="n">
        <v>1</v>
      </c>
      <c r="X197" s="266" t="n">
        <v>1</v>
      </c>
      <c r="Y197" s="266" t="n">
        <v>1</v>
      </c>
      <c r="Z197" s="266" t="n">
        <v>1</v>
      </c>
      <c r="AA197" s="266" t="n">
        <v>1</v>
      </c>
      <c r="AB197" s="266" t="n">
        <v>1</v>
      </c>
      <c r="AC197" s="266" t="n">
        <v>1</v>
      </c>
      <c r="AD197" s="266" t="n">
        <v>1</v>
      </c>
    </row>
    <row r="198" customFormat="false" ht="14.25" hidden="false" customHeight="false" outlineLevel="0" collapsed="false">
      <c r="A198" s="264" t="s">
        <v>375</v>
      </c>
      <c r="B198" s="264"/>
      <c r="C198" s="265" t="n">
        <v>1</v>
      </c>
      <c r="D198" s="265" t="n">
        <v>1</v>
      </c>
      <c r="E198" s="265" t="n">
        <v>1</v>
      </c>
      <c r="F198" s="265" t="n">
        <v>1</v>
      </c>
      <c r="G198" s="265" t="n">
        <v>1</v>
      </c>
      <c r="H198" s="265" t="n">
        <v>1</v>
      </c>
      <c r="I198" s="265" t="n">
        <v>1</v>
      </c>
      <c r="J198" s="265" t="n">
        <v>1</v>
      </c>
      <c r="K198" s="265" t="n">
        <v>1</v>
      </c>
      <c r="L198" s="265" t="n">
        <v>1</v>
      </c>
      <c r="M198" s="265" t="n">
        <v>1</v>
      </c>
      <c r="N198" s="265" t="n">
        <v>1</v>
      </c>
      <c r="O198" s="265" t="n">
        <v>1</v>
      </c>
      <c r="P198" s="265" t="n">
        <v>1</v>
      </c>
      <c r="Q198" s="266" t="n">
        <v>1</v>
      </c>
      <c r="R198" s="266" t="n">
        <v>1</v>
      </c>
      <c r="S198" s="266" t="n">
        <v>1</v>
      </c>
      <c r="T198" s="266" t="n">
        <v>1</v>
      </c>
      <c r="U198" s="266" t="n">
        <v>1</v>
      </c>
      <c r="V198" s="266" t="n">
        <v>1</v>
      </c>
      <c r="W198" s="266" t="n">
        <v>1</v>
      </c>
      <c r="X198" s="266" t="n">
        <v>1</v>
      </c>
      <c r="Y198" s="266" t="n">
        <v>1</v>
      </c>
      <c r="Z198" s="266" t="n">
        <v>1</v>
      </c>
      <c r="AA198" s="266" t="n">
        <v>1</v>
      </c>
      <c r="AB198" s="266" t="n">
        <v>1</v>
      </c>
      <c r="AC198" s="266" t="n">
        <v>1</v>
      </c>
      <c r="AD198" s="266" t="n">
        <v>1</v>
      </c>
    </row>
    <row r="199" customFormat="false" ht="14.25" hidden="false" customHeight="false" outlineLevel="0" collapsed="false">
      <c r="A199" s="264" t="s">
        <v>376</v>
      </c>
      <c r="B199" s="264"/>
      <c r="C199" s="265" t="n">
        <v>1</v>
      </c>
      <c r="D199" s="265" t="n">
        <v>1</v>
      </c>
      <c r="E199" s="265" t="n">
        <v>1</v>
      </c>
      <c r="F199" s="265" t="n">
        <v>1</v>
      </c>
      <c r="G199" s="265" t="n">
        <v>1</v>
      </c>
      <c r="H199" s="265" t="n">
        <v>1</v>
      </c>
      <c r="I199" s="265" t="n">
        <v>1</v>
      </c>
      <c r="J199" s="265" t="n">
        <v>1</v>
      </c>
      <c r="K199" s="265" t="n">
        <v>1</v>
      </c>
      <c r="L199" s="265" t="n">
        <v>1</v>
      </c>
      <c r="M199" s="265" t="n">
        <v>1</v>
      </c>
      <c r="N199" s="265" t="n">
        <v>1</v>
      </c>
      <c r="O199" s="265" t="n">
        <v>1</v>
      </c>
      <c r="P199" s="265" t="n">
        <v>1</v>
      </c>
      <c r="Q199" s="266" t="n">
        <v>1</v>
      </c>
      <c r="R199" s="266" t="n">
        <v>1</v>
      </c>
      <c r="S199" s="266" t="n">
        <v>1</v>
      </c>
      <c r="T199" s="266" t="n">
        <v>1</v>
      </c>
      <c r="U199" s="266" t="n">
        <v>1</v>
      </c>
      <c r="V199" s="266" t="n">
        <v>1</v>
      </c>
      <c r="W199" s="266" t="n">
        <v>1</v>
      </c>
      <c r="X199" s="266" t="n">
        <v>1</v>
      </c>
      <c r="Y199" s="266" t="n">
        <v>1</v>
      </c>
      <c r="Z199" s="266" t="n">
        <v>1</v>
      </c>
      <c r="AA199" s="266" t="n">
        <v>1</v>
      </c>
      <c r="AB199" s="266" t="n">
        <v>1</v>
      </c>
      <c r="AC199" s="266" t="n">
        <v>1</v>
      </c>
      <c r="AD199" s="266" t="n">
        <v>1</v>
      </c>
    </row>
    <row r="200" customFormat="false" ht="14.25" hidden="false" customHeight="false" outlineLevel="0" collapsed="false">
      <c r="A200" s="264" t="s">
        <v>377</v>
      </c>
      <c r="B200" s="264"/>
      <c r="C200" s="265" t="n">
        <v>1</v>
      </c>
      <c r="D200" s="265" t="n">
        <v>1</v>
      </c>
      <c r="E200" s="265" t="n">
        <v>1</v>
      </c>
      <c r="F200" s="265" t="n">
        <v>1</v>
      </c>
      <c r="G200" s="265" t="n">
        <v>1</v>
      </c>
      <c r="H200" s="265" t="n">
        <v>1</v>
      </c>
      <c r="I200" s="265" t="n">
        <v>1</v>
      </c>
      <c r="J200" s="265" t="n">
        <v>1</v>
      </c>
      <c r="K200" s="265" t="n">
        <v>1</v>
      </c>
      <c r="L200" s="265" t="n">
        <v>1</v>
      </c>
      <c r="M200" s="265" t="n">
        <v>1</v>
      </c>
      <c r="N200" s="265" t="n">
        <v>1</v>
      </c>
      <c r="O200" s="265" t="n">
        <v>1</v>
      </c>
      <c r="P200" s="265" t="n">
        <v>1</v>
      </c>
      <c r="Q200" s="266" t="n">
        <v>1</v>
      </c>
      <c r="R200" s="266" t="n">
        <v>1</v>
      </c>
      <c r="S200" s="266" t="n">
        <v>1</v>
      </c>
      <c r="T200" s="266" t="n">
        <v>1</v>
      </c>
      <c r="U200" s="266" t="n">
        <v>1</v>
      </c>
      <c r="V200" s="266" t="n">
        <v>1</v>
      </c>
      <c r="W200" s="266" t="n">
        <v>1</v>
      </c>
      <c r="X200" s="266" t="n">
        <v>1</v>
      </c>
      <c r="Y200" s="266" t="n">
        <v>1</v>
      </c>
      <c r="Z200" s="266" t="n">
        <v>1</v>
      </c>
      <c r="AA200" s="266" t="n">
        <v>1</v>
      </c>
      <c r="AB200" s="266" t="n">
        <v>1</v>
      </c>
      <c r="AC200" s="266" t="n">
        <v>1</v>
      </c>
      <c r="AD200" s="266" t="n">
        <v>1</v>
      </c>
    </row>
    <row r="201" customFormat="false" ht="14.25" hidden="false" customHeight="false" outlineLevel="0" collapsed="false">
      <c r="A201" s="264" t="s">
        <v>378</v>
      </c>
      <c r="B201" s="264"/>
      <c r="C201" s="265" t="n">
        <v>1</v>
      </c>
      <c r="D201" s="265" t="n">
        <v>1</v>
      </c>
      <c r="E201" s="265" t="n">
        <v>1</v>
      </c>
      <c r="F201" s="265" t="n">
        <v>1</v>
      </c>
      <c r="G201" s="265" t="n">
        <v>1</v>
      </c>
      <c r="H201" s="265" t="n">
        <v>1</v>
      </c>
      <c r="I201" s="265" t="n">
        <v>1</v>
      </c>
      <c r="J201" s="265" t="n">
        <v>1</v>
      </c>
      <c r="K201" s="265" t="n">
        <v>1</v>
      </c>
      <c r="L201" s="265" t="n">
        <v>1</v>
      </c>
      <c r="M201" s="265" t="n">
        <v>1</v>
      </c>
      <c r="N201" s="265" t="n">
        <v>1</v>
      </c>
      <c r="O201" s="265" t="n">
        <v>1</v>
      </c>
      <c r="P201" s="265" t="n">
        <v>1</v>
      </c>
      <c r="Q201" s="266" t="n">
        <v>1</v>
      </c>
      <c r="R201" s="266" t="n">
        <v>1</v>
      </c>
      <c r="S201" s="266" t="n">
        <v>1</v>
      </c>
      <c r="T201" s="266" t="n">
        <v>1</v>
      </c>
      <c r="U201" s="266" t="n">
        <v>1</v>
      </c>
      <c r="V201" s="266" t="n">
        <v>1</v>
      </c>
      <c r="W201" s="266" t="n">
        <v>1</v>
      </c>
      <c r="X201" s="266" t="n">
        <v>1</v>
      </c>
      <c r="Y201" s="266" t="n">
        <v>1</v>
      </c>
      <c r="Z201" s="266" t="n">
        <v>1</v>
      </c>
      <c r="AA201" s="266" t="n">
        <v>1</v>
      </c>
      <c r="AB201" s="266" t="n">
        <v>1</v>
      </c>
      <c r="AC201" s="266" t="n">
        <v>1</v>
      </c>
      <c r="AD201" s="266" t="n">
        <v>1</v>
      </c>
    </row>
    <row r="202" customFormat="false" ht="15.75" hidden="false" customHeight="true" outlineLevel="0" collapsed="false">
      <c r="A202" s="200" t="s">
        <v>604</v>
      </c>
      <c r="B202" s="200"/>
      <c r="C202" s="200"/>
      <c r="D202" s="200"/>
      <c r="E202" s="200"/>
      <c r="F202" s="200"/>
      <c r="G202" s="200"/>
      <c r="H202" s="200"/>
      <c r="I202" s="200"/>
      <c r="J202" s="200"/>
      <c r="K202" s="200"/>
      <c r="L202" s="200"/>
      <c r="M202" s="200"/>
      <c r="N202" s="200"/>
      <c r="O202" s="200"/>
      <c r="P202" s="200"/>
      <c r="Q202" s="200"/>
    </row>
    <row r="203" customFormat="false" ht="14.25" hidden="false" customHeight="false" outlineLevel="0" collapsed="false">
      <c r="A203" s="264" t="s">
        <v>374</v>
      </c>
      <c r="B203" s="264"/>
      <c r="C203" s="265" t="n">
        <v>2050</v>
      </c>
      <c r="D203" s="265" t="n">
        <v>2050</v>
      </c>
      <c r="E203" s="265" t="n">
        <v>2050</v>
      </c>
      <c r="F203" s="265" t="n">
        <v>2050</v>
      </c>
      <c r="G203" s="265" t="n">
        <v>2050</v>
      </c>
      <c r="H203" s="265" t="n">
        <v>2050</v>
      </c>
      <c r="I203" s="265" t="n">
        <v>2050</v>
      </c>
      <c r="J203" s="265" t="n">
        <v>2050</v>
      </c>
      <c r="K203" s="265" t="n">
        <v>2050</v>
      </c>
      <c r="L203" s="265" t="n">
        <v>2050</v>
      </c>
      <c r="M203" s="265" t="n">
        <v>2050</v>
      </c>
      <c r="N203" s="265" t="n">
        <v>2050</v>
      </c>
      <c r="O203" s="265" t="n">
        <v>2050</v>
      </c>
      <c r="P203" s="265" t="n">
        <v>2050</v>
      </c>
      <c r="Q203" s="266" t="n">
        <v>2050</v>
      </c>
      <c r="R203" s="266" t="n">
        <v>2050</v>
      </c>
      <c r="S203" s="266" t="n">
        <v>2050</v>
      </c>
      <c r="T203" s="266" t="n">
        <v>2050</v>
      </c>
      <c r="U203" s="266" t="n">
        <v>2050</v>
      </c>
      <c r="V203" s="266" t="n">
        <v>2050</v>
      </c>
      <c r="W203" s="266" t="n">
        <v>2050</v>
      </c>
      <c r="X203" s="266" t="n">
        <v>2050</v>
      </c>
      <c r="Y203" s="266" t="n">
        <v>2050</v>
      </c>
      <c r="Z203" s="266" t="n">
        <v>2050</v>
      </c>
      <c r="AA203" s="266" t="n">
        <v>2050</v>
      </c>
      <c r="AB203" s="266" t="n">
        <v>2050</v>
      </c>
      <c r="AC203" s="266" t="n">
        <v>2050</v>
      </c>
      <c r="AD203" s="266" t="n">
        <v>2050</v>
      </c>
    </row>
    <row r="204" customFormat="false" ht="14.25" hidden="false" customHeight="false" outlineLevel="0" collapsed="false">
      <c r="A204" s="264" t="s">
        <v>375</v>
      </c>
      <c r="B204" s="264"/>
      <c r="C204" s="265" t="n">
        <v>2050</v>
      </c>
      <c r="D204" s="265" t="n">
        <v>2050</v>
      </c>
      <c r="E204" s="265" t="n">
        <v>2050</v>
      </c>
      <c r="F204" s="265" t="n">
        <v>2050</v>
      </c>
      <c r="G204" s="265" t="n">
        <v>2050</v>
      </c>
      <c r="H204" s="265" t="n">
        <v>2050</v>
      </c>
      <c r="I204" s="265" t="n">
        <v>2050</v>
      </c>
      <c r="J204" s="265" t="n">
        <v>2050</v>
      </c>
      <c r="K204" s="265" t="n">
        <v>2050</v>
      </c>
      <c r="L204" s="265" t="n">
        <v>2050</v>
      </c>
      <c r="M204" s="265" t="n">
        <v>2050</v>
      </c>
      <c r="N204" s="265" t="n">
        <v>2050</v>
      </c>
      <c r="O204" s="265" t="n">
        <v>2050</v>
      </c>
      <c r="P204" s="265" t="n">
        <v>2050</v>
      </c>
      <c r="Q204" s="266" t="n">
        <v>2050</v>
      </c>
      <c r="R204" s="266" t="n">
        <v>2050</v>
      </c>
      <c r="S204" s="266" t="n">
        <v>2050</v>
      </c>
      <c r="T204" s="266" t="n">
        <v>2050</v>
      </c>
      <c r="U204" s="266" t="n">
        <v>2050</v>
      </c>
      <c r="V204" s="266" t="n">
        <v>2050</v>
      </c>
      <c r="W204" s="266" t="n">
        <v>2050</v>
      </c>
      <c r="X204" s="266" t="n">
        <v>2050</v>
      </c>
      <c r="Y204" s="266" t="n">
        <v>2050</v>
      </c>
      <c r="Z204" s="266" t="n">
        <v>2050</v>
      </c>
      <c r="AA204" s="266" t="n">
        <v>2050</v>
      </c>
      <c r="AB204" s="266" t="n">
        <v>2050</v>
      </c>
      <c r="AC204" s="266" t="n">
        <v>2050</v>
      </c>
      <c r="AD204" s="266" t="n">
        <v>2050</v>
      </c>
    </row>
    <row r="205" customFormat="false" ht="14.25" hidden="false" customHeight="false" outlineLevel="0" collapsed="false">
      <c r="A205" s="264" t="s">
        <v>376</v>
      </c>
      <c r="B205" s="264"/>
      <c r="C205" s="265" t="n">
        <v>2050</v>
      </c>
      <c r="D205" s="265" t="n">
        <v>2050</v>
      </c>
      <c r="E205" s="265" t="n">
        <v>2050</v>
      </c>
      <c r="F205" s="265" t="n">
        <v>2050</v>
      </c>
      <c r="G205" s="265" t="n">
        <v>2050</v>
      </c>
      <c r="H205" s="265" t="n">
        <v>2050</v>
      </c>
      <c r="I205" s="265" t="n">
        <v>2050</v>
      </c>
      <c r="J205" s="265" t="n">
        <v>2050</v>
      </c>
      <c r="K205" s="265" t="n">
        <v>2050</v>
      </c>
      <c r="L205" s="265" t="n">
        <v>2050</v>
      </c>
      <c r="M205" s="265" t="n">
        <v>2050</v>
      </c>
      <c r="N205" s="265" t="n">
        <v>2050</v>
      </c>
      <c r="O205" s="265" t="n">
        <v>2050</v>
      </c>
      <c r="P205" s="265" t="n">
        <v>2050</v>
      </c>
      <c r="Q205" s="266" t="n">
        <v>2050</v>
      </c>
      <c r="R205" s="266" t="n">
        <v>2050</v>
      </c>
      <c r="S205" s="266" t="n">
        <v>2050</v>
      </c>
      <c r="T205" s="266" t="n">
        <v>2050</v>
      </c>
      <c r="U205" s="266" t="n">
        <v>2050</v>
      </c>
      <c r="V205" s="266" t="n">
        <v>2050</v>
      </c>
      <c r="W205" s="266" t="n">
        <v>2050</v>
      </c>
      <c r="X205" s="266" t="n">
        <v>2050</v>
      </c>
      <c r="Y205" s="266" t="n">
        <v>2050</v>
      </c>
      <c r="Z205" s="266" t="n">
        <v>2050</v>
      </c>
      <c r="AA205" s="266" t="n">
        <v>2050</v>
      </c>
      <c r="AB205" s="266" t="n">
        <v>2050</v>
      </c>
      <c r="AC205" s="266" t="n">
        <v>2050</v>
      </c>
      <c r="AD205" s="266" t="n">
        <v>2050</v>
      </c>
    </row>
    <row r="206" customFormat="false" ht="14.25" hidden="false" customHeight="false" outlineLevel="0" collapsed="false">
      <c r="A206" s="264" t="s">
        <v>377</v>
      </c>
      <c r="B206" s="264"/>
      <c r="C206" s="265" t="n">
        <v>2050</v>
      </c>
      <c r="D206" s="265" t="n">
        <v>2050</v>
      </c>
      <c r="E206" s="265" t="n">
        <v>2050</v>
      </c>
      <c r="F206" s="265" t="n">
        <v>2050</v>
      </c>
      <c r="G206" s="265" t="n">
        <v>2050</v>
      </c>
      <c r="H206" s="265" t="n">
        <v>2050</v>
      </c>
      <c r="I206" s="265" t="n">
        <v>2050</v>
      </c>
      <c r="J206" s="265" t="n">
        <v>2050</v>
      </c>
      <c r="K206" s="265" t="n">
        <v>2050</v>
      </c>
      <c r="L206" s="265" t="n">
        <v>2050</v>
      </c>
      <c r="M206" s="265" t="n">
        <v>2050</v>
      </c>
      <c r="N206" s="265" t="n">
        <v>2050</v>
      </c>
      <c r="O206" s="265" t="n">
        <v>2050</v>
      </c>
      <c r="P206" s="265" t="n">
        <v>2050</v>
      </c>
      <c r="Q206" s="266" t="n">
        <v>2050</v>
      </c>
      <c r="R206" s="266" t="n">
        <v>2050</v>
      </c>
      <c r="S206" s="266" t="n">
        <v>2050</v>
      </c>
      <c r="T206" s="266" t="n">
        <v>2050</v>
      </c>
      <c r="U206" s="266" t="n">
        <v>2050</v>
      </c>
      <c r="V206" s="266" t="n">
        <v>2050</v>
      </c>
      <c r="W206" s="266" t="n">
        <v>2050</v>
      </c>
      <c r="X206" s="266" t="n">
        <v>2050</v>
      </c>
      <c r="Y206" s="266" t="n">
        <v>2050</v>
      </c>
      <c r="Z206" s="266" t="n">
        <v>2050</v>
      </c>
      <c r="AA206" s="266" t="n">
        <v>2050</v>
      </c>
      <c r="AB206" s="266" t="n">
        <v>2050</v>
      </c>
      <c r="AC206" s="266" t="n">
        <v>2050</v>
      </c>
      <c r="AD206" s="266" t="n">
        <v>2050</v>
      </c>
    </row>
    <row r="207" customFormat="false" ht="14.25" hidden="false" customHeight="false" outlineLevel="0" collapsed="false">
      <c r="A207" s="264" t="s">
        <v>378</v>
      </c>
      <c r="B207" s="264"/>
      <c r="C207" s="267" t="n">
        <v>2050</v>
      </c>
      <c r="D207" s="267" t="n">
        <v>2050</v>
      </c>
      <c r="E207" s="267" t="n">
        <v>2050</v>
      </c>
      <c r="F207" s="267" t="n">
        <v>2050</v>
      </c>
      <c r="G207" s="267" t="n">
        <v>2050</v>
      </c>
      <c r="H207" s="267" t="n">
        <v>2050</v>
      </c>
      <c r="I207" s="267" t="n">
        <v>2050</v>
      </c>
      <c r="J207" s="267" t="n">
        <v>2050</v>
      </c>
      <c r="K207" s="267" t="n">
        <v>2050</v>
      </c>
      <c r="L207" s="267" t="n">
        <v>2050</v>
      </c>
      <c r="M207" s="267" t="n">
        <v>2050</v>
      </c>
      <c r="N207" s="267" t="n">
        <v>2050</v>
      </c>
      <c r="O207" s="267" t="n">
        <v>2050</v>
      </c>
      <c r="P207" s="267" t="n">
        <v>2050</v>
      </c>
      <c r="Q207" s="268" t="n">
        <v>2050</v>
      </c>
      <c r="R207" s="268" t="n">
        <v>2050</v>
      </c>
      <c r="S207" s="268" t="n">
        <v>2050</v>
      </c>
      <c r="T207" s="268" t="n">
        <v>2050</v>
      </c>
      <c r="U207" s="268" t="n">
        <v>2050</v>
      </c>
      <c r="V207" s="268" t="n">
        <v>2050</v>
      </c>
      <c r="W207" s="268" t="n">
        <v>2050</v>
      </c>
      <c r="X207" s="268" t="n">
        <v>2050</v>
      </c>
      <c r="Y207" s="268" t="n">
        <v>2050</v>
      </c>
      <c r="Z207" s="268" t="n">
        <v>2050</v>
      </c>
      <c r="AA207" s="268" t="n">
        <v>2050</v>
      </c>
      <c r="AB207" s="268" t="n">
        <v>2050</v>
      </c>
      <c r="AC207" s="268" t="n">
        <v>2050</v>
      </c>
      <c r="AD207" s="268" t="n">
        <v>2050</v>
      </c>
    </row>
    <row r="209" customFormat="false" ht="23.25" hidden="false" customHeight="true" outlineLevel="0" collapsed="false">
      <c r="A209" s="200" t="s">
        <v>386</v>
      </c>
      <c r="B209" s="200"/>
      <c r="C209" s="200"/>
    </row>
    <row r="210" customFormat="false" ht="15.75" hidden="false" customHeight="true" outlineLevel="0" collapsed="false">
      <c r="A210" s="243" t="s">
        <v>387</v>
      </c>
      <c r="B210" s="269" t="s">
        <v>388</v>
      </c>
      <c r="C210" s="270" t="n">
        <v>1</v>
      </c>
    </row>
    <row r="211" customFormat="false" ht="14.25" hidden="false" customHeight="true" outlineLevel="0" collapsed="false">
      <c r="A211" s="243"/>
      <c r="B211" s="269" t="s">
        <v>389</v>
      </c>
      <c r="C211" s="270"/>
    </row>
    <row r="212" customFormat="false" ht="14.25" hidden="false" customHeight="false" outlineLevel="0" collapsed="false">
      <c r="A212" s="208" t="s">
        <v>605</v>
      </c>
      <c r="B212" s="269" t="s">
        <v>36</v>
      </c>
      <c r="C212" s="204" t="n">
        <v>2025</v>
      </c>
    </row>
    <row r="213" customFormat="false" ht="14.25" hidden="false" customHeight="false" outlineLevel="0" collapsed="false">
      <c r="A213" s="271" t="s">
        <v>390</v>
      </c>
      <c r="B213" s="272" t="s">
        <v>36</v>
      </c>
      <c r="C213" s="273" t="n">
        <v>2050</v>
      </c>
    </row>
    <row r="214" customFormat="false" ht="14.25" hidden="false" customHeight="true" outlineLevel="0" collapsed="false">
      <c r="A214" s="200" t="s">
        <v>394</v>
      </c>
      <c r="B214" s="200"/>
      <c r="C214" s="200"/>
      <c r="D214" s="200"/>
      <c r="E214" s="200"/>
      <c r="F214" s="200"/>
      <c r="G214" s="200"/>
      <c r="H214" s="200"/>
      <c r="I214" s="200"/>
      <c r="J214" s="200"/>
      <c r="K214" s="200"/>
      <c r="L214" s="200"/>
      <c r="M214" s="200"/>
      <c r="N214" s="200"/>
      <c r="O214" s="200"/>
      <c r="P214" s="200"/>
      <c r="Q214" s="200"/>
    </row>
    <row r="215" customFormat="false" ht="14.25" hidden="false" customHeight="false" outlineLevel="0" collapsed="false">
      <c r="A215" s="274" t="s">
        <v>606</v>
      </c>
      <c r="B215" s="274"/>
      <c r="C215" s="262" t="s">
        <v>576</v>
      </c>
      <c r="D215" s="262" t="s">
        <v>579</v>
      </c>
      <c r="E215" s="262" t="s">
        <v>362</v>
      </c>
      <c r="F215" s="262" t="s">
        <v>580</v>
      </c>
      <c r="G215" s="262" t="s">
        <v>581</v>
      </c>
      <c r="H215" s="262" t="s">
        <v>582</v>
      </c>
      <c r="I215" s="262" t="s">
        <v>583</v>
      </c>
      <c r="J215" s="262" t="s">
        <v>354</v>
      </c>
      <c r="K215" s="262" t="s">
        <v>584</v>
      </c>
      <c r="L215" s="262" t="s">
        <v>585</v>
      </c>
      <c r="M215" s="262" t="s">
        <v>586</v>
      </c>
      <c r="N215" s="262" t="s">
        <v>587</v>
      </c>
      <c r="O215" s="262" t="s">
        <v>588</v>
      </c>
      <c r="P215" s="262" t="s">
        <v>589</v>
      </c>
      <c r="Q215" s="263" t="s">
        <v>590</v>
      </c>
      <c r="R215" s="263" t="s">
        <v>338</v>
      </c>
      <c r="S215" s="263" t="s">
        <v>591</v>
      </c>
      <c r="T215" s="263" t="s">
        <v>592</v>
      </c>
      <c r="U215" s="263" t="s">
        <v>593</v>
      </c>
      <c r="V215" s="263" t="s">
        <v>594</v>
      </c>
      <c r="W215" s="263" t="s">
        <v>595</v>
      </c>
      <c r="X215" s="263" t="s">
        <v>596</v>
      </c>
      <c r="Y215" s="263" t="s">
        <v>597</v>
      </c>
      <c r="Z215" s="263" t="s">
        <v>598</v>
      </c>
      <c r="AA215" s="263" t="s">
        <v>599</v>
      </c>
      <c r="AB215" s="263" t="s">
        <v>351</v>
      </c>
      <c r="AC215" s="263" t="s">
        <v>361</v>
      </c>
      <c r="AD215" s="263" t="s">
        <v>600</v>
      </c>
    </row>
    <row r="216" customFormat="false" ht="16.4" hidden="false" customHeight="false" outlineLevel="0" collapsed="false">
      <c r="A216" s="275" t="s">
        <v>374</v>
      </c>
      <c r="B216" s="275"/>
      <c r="C216" s="276" t="n">
        <v>4.1139176438819E-007</v>
      </c>
      <c r="D216" s="276" t="n">
        <v>2.9903304550905E-007</v>
      </c>
      <c r="E216" s="276" t="n">
        <v>0</v>
      </c>
      <c r="F216" s="276" t="n">
        <v>1.11822432141206E-006</v>
      </c>
      <c r="G216" s="276" t="n">
        <v>1.02414393598889E-006</v>
      </c>
      <c r="H216" s="276" t="n">
        <v>3.44919728015917E-007</v>
      </c>
      <c r="I216" s="276" t="n">
        <v>1.53602769294291E-007</v>
      </c>
      <c r="J216" s="276" t="n">
        <v>2.93888819690594E-008</v>
      </c>
      <c r="K216" s="276" t="n">
        <v>1.17629781773799E-006</v>
      </c>
      <c r="L216" s="276" t="n">
        <v>1.39767095114969E-007</v>
      </c>
      <c r="M216" s="276" t="n">
        <v>3.05999734607722E-007</v>
      </c>
      <c r="N216" s="276" t="n">
        <v>6.4535051055734E-007</v>
      </c>
      <c r="O216" s="276" t="n">
        <v>1.69531363809185E-007</v>
      </c>
      <c r="P216" s="276" t="n">
        <v>4.68402094186417E-007</v>
      </c>
      <c r="Q216" s="277" t="n">
        <v>8.15319589568876E-008</v>
      </c>
      <c r="R216" s="277" t="n">
        <v>4.49576818388231E-007</v>
      </c>
      <c r="S216" s="277" t="n">
        <v>3.05186199283768E-007</v>
      </c>
      <c r="T216" s="277" t="n">
        <v>4.22860203801219E-007</v>
      </c>
      <c r="U216" s="277" t="n">
        <v>3.7102126930245E-007</v>
      </c>
      <c r="V216" s="277" t="n">
        <v>1.97597745823714E-007</v>
      </c>
      <c r="W216" s="277" t="n">
        <v>6.8734590371863E-008</v>
      </c>
      <c r="X216" s="277" t="n">
        <v>1.50598500307975E-007</v>
      </c>
      <c r="Y216" s="277" t="n">
        <v>5.2172463840772E-007</v>
      </c>
      <c r="Z216" s="277" t="n">
        <v>1.09802962830968E-007</v>
      </c>
      <c r="AA216" s="277" t="n">
        <v>1.37833653003322E-007</v>
      </c>
      <c r="AB216" s="277" t="n">
        <v>7.48124670815682E-008</v>
      </c>
      <c r="AC216" s="277" t="n">
        <v>0</v>
      </c>
      <c r="AD216" s="277" t="n">
        <v>2.68608327323E-007</v>
      </c>
    </row>
    <row r="217" customFormat="false" ht="16.4" hidden="false" customHeight="false" outlineLevel="0" collapsed="false">
      <c r="A217" s="275" t="s">
        <v>375</v>
      </c>
      <c r="B217" s="275"/>
      <c r="C217" s="276" t="n">
        <v>1.46572106441547E-007</v>
      </c>
      <c r="D217" s="276" t="n">
        <v>1.7454537935622E-008</v>
      </c>
      <c r="E217" s="276" t="n">
        <v>0</v>
      </c>
      <c r="F217" s="276" t="n">
        <v>6.37988318586956E-007</v>
      </c>
      <c r="G217" s="276" t="n">
        <v>4.04118638409667E-007</v>
      </c>
      <c r="H217" s="276" t="n">
        <v>3.62026424147706E-007</v>
      </c>
      <c r="I217" s="276" t="n">
        <v>2.33324721386833E-008</v>
      </c>
      <c r="J217" s="276" t="n">
        <v>4.93969138930201E-010</v>
      </c>
      <c r="K217" s="276" t="n">
        <v>1.03109879950139E-007</v>
      </c>
      <c r="L217" s="276" t="n">
        <v>1.56012475931902E-012</v>
      </c>
      <c r="M217" s="276" t="n">
        <v>4.70015631634442E-008</v>
      </c>
      <c r="N217" s="276" t="n">
        <v>3.5535645609638E-008</v>
      </c>
      <c r="O217" s="276" t="n">
        <v>0</v>
      </c>
      <c r="P217" s="276" t="n">
        <v>1.82177800078583E-007</v>
      </c>
      <c r="Q217" s="277" t="n">
        <v>5.42391530798366E-009</v>
      </c>
      <c r="R217" s="277" t="n">
        <v>4.19219484292558E-008</v>
      </c>
      <c r="S217" s="277" t="n">
        <v>8.67271134330197E-009</v>
      </c>
      <c r="T217" s="277" t="n">
        <v>2.23072969197764E-008</v>
      </c>
      <c r="U217" s="277" t="n">
        <v>0</v>
      </c>
      <c r="V217" s="277" t="n">
        <v>1.14463436613945E-007</v>
      </c>
      <c r="W217" s="277" t="n">
        <v>2.4378250317035E-010</v>
      </c>
      <c r="X217" s="277" t="n">
        <v>4.24005362408183E-008</v>
      </c>
      <c r="Y217" s="277" t="n">
        <v>1.33722468740622E-007</v>
      </c>
      <c r="Z217" s="277" t="n">
        <v>0</v>
      </c>
      <c r="AA217" s="277" t="n">
        <v>1.3909720408743E-008</v>
      </c>
      <c r="AB217" s="277" t="n">
        <v>1.06416843391719E-008</v>
      </c>
      <c r="AC217" s="277" t="n">
        <v>0</v>
      </c>
      <c r="AD217" s="277" t="n">
        <v>9.58151766262172E-008</v>
      </c>
    </row>
    <row r="218" customFormat="false" ht="16.4" hidden="false" customHeight="false" outlineLevel="0" collapsed="false">
      <c r="A218" s="275" t="s">
        <v>376</v>
      </c>
      <c r="B218" s="275"/>
      <c r="C218" s="276" t="n">
        <v>5.85373713937335E-007</v>
      </c>
      <c r="D218" s="276" t="n">
        <v>4.26234149388627E-007</v>
      </c>
      <c r="E218" s="276" t="n">
        <v>3.35733720789132E-007</v>
      </c>
      <c r="F218" s="276" t="n">
        <v>1.01831383936819E-007</v>
      </c>
      <c r="G218" s="276" t="n">
        <v>3.04650276280748E-008</v>
      </c>
      <c r="H218" s="276" t="n">
        <v>0</v>
      </c>
      <c r="I218" s="276" t="n">
        <v>0</v>
      </c>
      <c r="J218" s="276" t="n">
        <v>0</v>
      </c>
      <c r="K218" s="276" t="n">
        <v>2.41329567240224E-009</v>
      </c>
      <c r="L218" s="276" t="n">
        <v>0</v>
      </c>
      <c r="M218" s="276" t="n">
        <v>1.97809139721063E-008</v>
      </c>
      <c r="N218" s="276" t="n">
        <v>1.23690769502083E-008</v>
      </c>
      <c r="O218" s="276" t="n">
        <v>1.35468863637687E-006</v>
      </c>
      <c r="P218" s="276" t="n">
        <v>0</v>
      </c>
      <c r="Q218" s="277" t="n">
        <v>3.1436288629517E-009</v>
      </c>
      <c r="R218" s="277" t="n">
        <v>9.82304477837706E-008</v>
      </c>
      <c r="S218" s="277" t="n">
        <v>7.26743056004975E-009</v>
      </c>
      <c r="T218" s="277" t="n">
        <v>3.93417300156465E-008</v>
      </c>
      <c r="U218" s="277" t="n">
        <v>0</v>
      </c>
      <c r="V218" s="277" t="n">
        <v>8.13602601343131E-008</v>
      </c>
      <c r="W218" s="277" t="n">
        <v>0</v>
      </c>
      <c r="X218" s="277" t="n">
        <v>6.25529197662458E-009</v>
      </c>
      <c r="Y218" s="277" t="n">
        <v>0</v>
      </c>
      <c r="Z218" s="277" t="n">
        <v>0</v>
      </c>
      <c r="AA218" s="277" t="n">
        <v>0</v>
      </c>
      <c r="AB218" s="277" t="n">
        <v>0</v>
      </c>
      <c r="AC218" s="277" t="n">
        <v>0</v>
      </c>
      <c r="AD218" s="277" t="n">
        <v>0</v>
      </c>
    </row>
    <row r="219" customFormat="false" ht="16.4" hidden="false" customHeight="false" outlineLevel="0" collapsed="false">
      <c r="A219" s="275" t="s">
        <v>377</v>
      </c>
      <c r="B219" s="275"/>
      <c r="C219" s="276" t="n">
        <v>4.21179441956327E-007</v>
      </c>
      <c r="D219" s="276" t="n">
        <v>2.31372336458603E-007</v>
      </c>
      <c r="E219" s="276" t="n">
        <v>0</v>
      </c>
      <c r="F219" s="276" t="n">
        <v>1.37264534819944E-006</v>
      </c>
      <c r="G219" s="276" t="n">
        <v>3.39051722035229E-008</v>
      </c>
      <c r="H219" s="276" t="n">
        <v>0</v>
      </c>
      <c r="I219" s="276" t="n">
        <v>0</v>
      </c>
      <c r="J219" s="276" t="n">
        <v>0</v>
      </c>
      <c r="K219" s="276" t="n">
        <v>6.65640226934362E-009</v>
      </c>
      <c r="L219" s="276" t="n">
        <v>0</v>
      </c>
      <c r="M219" s="276" t="n">
        <v>3.20072583668983E-007</v>
      </c>
      <c r="N219" s="276" t="n">
        <v>7.38076801223966E-007</v>
      </c>
      <c r="O219" s="276" t="n">
        <v>4.23124123197027E-008</v>
      </c>
      <c r="P219" s="276" t="n">
        <v>3.78048312745745E-006</v>
      </c>
      <c r="Q219" s="277" t="n">
        <v>3.7957556169563E-008</v>
      </c>
      <c r="R219" s="277" t="n">
        <v>1.6293432501584E-007</v>
      </c>
      <c r="S219" s="277" t="n">
        <v>1.60259746771988E-007</v>
      </c>
      <c r="T219" s="277" t="n">
        <v>7.67545164216247E-007</v>
      </c>
      <c r="U219" s="277" t="n">
        <v>0</v>
      </c>
      <c r="V219" s="277" t="n">
        <v>1.52908847559242E-006</v>
      </c>
      <c r="W219" s="277" t="n">
        <v>0</v>
      </c>
      <c r="X219" s="277" t="n">
        <v>4.36994314929661E-008</v>
      </c>
      <c r="Y219" s="277" t="n">
        <v>0</v>
      </c>
      <c r="Z219" s="277" t="n">
        <v>0</v>
      </c>
      <c r="AA219" s="277" t="n">
        <v>0</v>
      </c>
      <c r="AB219" s="277" t="n">
        <v>0</v>
      </c>
      <c r="AC219" s="277" t="n">
        <v>0</v>
      </c>
      <c r="AD219" s="277" t="n">
        <v>0</v>
      </c>
    </row>
    <row r="220" customFormat="false" ht="16.4" hidden="false" customHeight="false" outlineLevel="0" collapsed="false">
      <c r="A220" s="278" t="s">
        <v>378</v>
      </c>
      <c r="B220" s="278"/>
      <c r="C220" s="279" t="n">
        <v>3.75875013886066E-007</v>
      </c>
      <c r="D220" s="280" t="n">
        <v>1.8116449100918E-007</v>
      </c>
      <c r="E220" s="280" t="n">
        <v>0</v>
      </c>
      <c r="F220" s="280" t="n">
        <v>3.06678363291838E-007</v>
      </c>
      <c r="G220" s="280" t="n">
        <v>4.96458766466272E-007</v>
      </c>
      <c r="H220" s="280" t="n">
        <v>0</v>
      </c>
      <c r="I220" s="280" t="n">
        <v>0</v>
      </c>
      <c r="J220" s="280" t="n">
        <v>0</v>
      </c>
      <c r="K220" s="280" t="n">
        <v>3.05585312510224E-009</v>
      </c>
      <c r="L220" s="280" t="n">
        <v>0</v>
      </c>
      <c r="M220" s="280" t="n">
        <v>7.46313061208192E-008</v>
      </c>
      <c r="N220" s="280" t="n">
        <v>2.84070425609438E-007</v>
      </c>
      <c r="O220" s="280" t="n">
        <v>3.57716246832714E-011</v>
      </c>
      <c r="P220" s="280" t="n">
        <v>0</v>
      </c>
      <c r="Q220" s="281" t="n">
        <v>1.70566570158838E-009</v>
      </c>
      <c r="R220" s="281" t="n">
        <v>6.83021253535125E-008</v>
      </c>
      <c r="S220" s="281" t="n">
        <v>2.78307381281279E-008</v>
      </c>
      <c r="T220" s="281" t="n">
        <v>1.17204740498505E-006</v>
      </c>
      <c r="U220" s="281" t="n">
        <v>0</v>
      </c>
      <c r="V220" s="281" t="n">
        <v>2.21581346446701E-007</v>
      </c>
      <c r="W220" s="281" t="n">
        <v>0</v>
      </c>
      <c r="X220" s="281" t="n">
        <v>1.53479232271839E-008</v>
      </c>
      <c r="Y220" s="281" t="n">
        <v>0</v>
      </c>
      <c r="Z220" s="281" t="n">
        <v>0</v>
      </c>
      <c r="AA220" s="281" t="n">
        <v>0</v>
      </c>
      <c r="AB220" s="281" t="n">
        <v>0</v>
      </c>
      <c r="AC220" s="281" t="n">
        <v>0</v>
      </c>
      <c r="AD220" s="281" t="n">
        <v>0</v>
      </c>
    </row>
    <row r="221" customFormat="false" ht="17.35" hidden="false" customHeight="false" outlineLevel="0" collapsed="false">
      <c r="A221" s="200" t="s">
        <v>397</v>
      </c>
      <c r="B221" s="200"/>
      <c r="C221" s="200"/>
    </row>
    <row r="222" customFormat="false" ht="31.3" hidden="false" customHeight="false" outlineLevel="0" collapsed="false">
      <c r="A222" s="282" t="s">
        <v>398</v>
      </c>
      <c r="B222" s="269" t="s">
        <v>36</v>
      </c>
      <c r="C222" s="204" t="n">
        <v>2020</v>
      </c>
    </row>
    <row r="223" customFormat="false" ht="31.3" hidden="false" customHeight="false" outlineLevel="0" collapsed="false">
      <c r="A223" s="261" t="s">
        <v>399</v>
      </c>
      <c r="B223" s="283" t="s">
        <v>327</v>
      </c>
      <c r="C223" s="242" t="n">
        <v>-0.3</v>
      </c>
    </row>
    <row r="225" customFormat="false" ht="14.25" hidden="false" customHeight="true" outlineLevel="0" collapsed="false">
      <c r="A225" s="200" t="s">
        <v>400</v>
      </c>
      <c r="B225" s="200"/>
      <c r="C225" s="200"/>
    </row>
    <row r="226" customFormat="false" ht="28.5" hidden="false" customHeight="true" outlineLevel="0" collapsed="false">
      <c r="A226" s="284" t="s">
        <v>401</v>
      </c>
      <c r="B226" s="269" t="s">
        <v>28</v>
      </c>
      <c r="C226" s="270" t="n">
        <v>1</v>
      </c>
    </row>
    <row r="227" customFormat="false" ht="14.25" hidden="false" customHeight="true" outlineLevel="0" collapsed="false">
      <c r="A227" s="285" t="s">
        <v>403</v>
      </c>
      <c r="B227" s="269" t="s">
        <v>404</v>
      </c>
      <c r="C227" s="286" t="n">
        <v>1</v>
      </c>
    </row>
    <row r="228" customFormat="false" ht="14.25" hidden="false" customHeight="false" outlineLevel="0" collapsed="false">
      <c r="A228" s="285"/>
      <c r="B228" s="269" t="s">
        <v>408</v>
      </c>
      <c r="C228" s="286"/>
    </row>
    <row r="229" customFormat="false" ht="14.25" hidden="false" customHeight="false" outlineLevel="0" collapsed="false">
      <c r="A229" s="285"/>
      <c r="B229" s="269" t="s">
        <v>409</v>
      </c>
      <c r="C229" s="286"/>
    </row>
    <row r="230" customFormat="false" ht="16.4" hidden="false" customHeight="false" outlineLevel="0" collapsed="false">
      <c r="A230" s="284" t="s">
        <v>607</v>
      </c>
      <c r="B230" s="269" t="s">
        <v>608</v>
      </c>
      <c r="C230" s="204" t="n">
        <v>0.1</v>
      </c>
    </row>
    <row r="231" customFormat="false" ht="15" hidden="false" customHeight="true" outlineLevel="0" collapsed="false">
      <c r="A231" s="285" t="s">
        <v>406</v>
      </c>
      <c r="B231" s="269" t="s">
        <v>404</v>
      </c>
      <c r="C231" s="286" t="n">
        <v>1</v>
      </c>
    </row>
    <row r="232" customFormat="false" ht="14.25" hidden="false" customHeight="false" outlineLevel="0" collapsed="false">
      <c r="A232" s="285"/>
      <c r="B232" s="269" t="s">
        <v>408</v>
      </c>
      <c r="C232" s="286"/>
    </row>
    <row r="233" customFormat="false" ht="14.25" hidden="false" customHeight="false" outlineLevel="0" collapsed="false">
      <c r="A233" s="285"/>
      <c r="B233" s="269" t="s">
        <v>409</v>
      </c>
      <c r="C233" s="286"/>
    </row>
    <row r="234" customFormat="false" ht="16.4" hidden="false" customHeight="false" outlineLevel="0" collapsed="false">
      <c r="A234" s="287" t="s">
        <v>413</v>
      </c>
      <c r="B234" s="283" t="s">
        <v>608</v>
      </c>
      <c r="C234" s="242" t="n">
        <v>0.1</v>
      </c>
    </row>
    <row r="237" customFormat="false" ht="24.45" hidden="false" customHeight="false" outlineLevel="0" collapsed="false">
      <c r="A237" s="199" t="s">
        <v>609</v>
      </c>
    </row>
    <row r="238" customFormat="false" ht="15.75" hidden="false" customHeight="true" outlineLevel="0" collapsed="false">
      <c r="A238" s="200" t="s">
        <v>429</v>
      </c>
      <c r="B238" s="200"/>
      <c r="C238" s="200"/>
      <c r="D238" s="200"/>
    </row>
    <row r="239" customFormat="false" ht="15.75" hidden="false" customHeight="true" outlineLevel="0" collapsed="false">
      <c r="A239" s="288" t="s">
        <v>430</v>
      </c>
      <c r="B239" s="288"/>
      <c r="C239" s="288"/>
      <c r="D239" s="288"/>
    </row>
    <row r="240" customFormat="false" ht="15" hidden="false" customHeight="true" outlineLevel="0" collapsed="false">
      <c r="A240" s="284" t="s">
        <v>431</v>
      </c>
      <c r="B240" s="284"/>
      <c r="C240" s="284"/>
      <c r="D240" s="289" t="n">
        <v>2</v>
      </c>
    </row>
    <row r="241" customFormat="false" ht="16.4" hidden="false" customHeight="false" outlineLevel="0" collapsed="false">
      <c r="A241" s="290" t="s">
        <v>432</v>
      </c>
      <c r="B241" s="291"/>
      <c r="C241" s="291"/>
      <c r="D241" s="292"/>
    </row>
    <row r="242" customFormat="false" ht="14.25" hidden="false" customHeight="false" outlineLevel="0" collapsed="false">
      <c r="A242" s="293" t="s">
        <v>433</v>
      </c>
      <c r="B242" s="294" t="n">
        <v>2050</v>
      </c>
      <c r="C242" s="295"/>
      <c r="D242" s="295"/>
      <c r="E242" s="295"/>
    </row>
    <row r="243" customFormat="false" ht="16.4" hidden="false" customHeight="false" outlineLevel="0" collapsed="false">
      <c r="A243" s="296" t="s">
        <v>435</v>
      </c>
      <c r="B243" s="297" t="n">
        <v>2020</v>
      </c>
      <c r="C243" s="203"/>
      <c r="D243" s="298" t="s">
        <v>437</v>
      </c>
      <c r="E243" s="299" t="s">
        <v>438</v>
      </c>
    </row>
    <row r="244" customFormat="false" ht="13.5" hidden="false" customHeight="true" outlineLevel="0" collapsed="false">
      <c r="A244" s="300" t="s">
        <v>439</v>
      </c>
      <c r="B244" s="301" t="s">
        <v>440</v>
      </c>
      <c r="C244" s="269" t="s">
        <v>610</v>
      </c>
      <c r="D244" s="251" t="n">
        <v>0.201666666666667</v>
      </c>
      <c r="E244" s="223" t="n">
        <v>0.605</v>
      </c>
    </row>
    <row r="245" customFormat="false" ht="14.25" hidden="false" customHeight="false" outlineLevel="0" collapsed="false">
      <c r="A245" s="300"/>
      <c r="B245" s="301" t="s">
        <v>443</v>
      </c>
      <c r="C245" s="269" t="s">
        <v>610</v>
      </c>
      <c r="D245" s="251" t="n">
        <v>0.05</v>
      </c>
      <c r="E245" s="223" t="n">
        <v>0.15</v>
      </c>
    </row>
    <row r="246" customFormat="false" ht="14.25" hidden="false" customHeight="false" outlineLevel="0" collapsed="false">
      <c r="A246" s="300"/>
      <c r="B246" s="301" t="s">
        <v>444</v>
      </c>
      <c r="C246" s="269" t="s">
        <v>610</v>
      </c>
      <c r="D246" s="251" t="n">
        <v>0.196666666666667</v>
      </c>
      <c r="E246" s="223" t="n">
        <v>0.59</v>
      </c>
    </row>
    <row r="247" customFormat="false" ht="14.25" hidden="false" customHeight="false" outlineLevel="0" collapsed="false">
      <c r="A247" s="300"/>
      <c r="B247" s="301" t="s">
        <v>445</v>
      </c>
      <c r="C247" s="269" t="s">
        <v>610</v>
      </c>
      <c r="D247" s="251" t="n">
        <v>0.163333333333333</v>
      </c>
      <c r="E247" s="223" t="n">
        <v>0.49</v>
      </c>
    </row>
    <row r="248" customFormat="false" ht="14.25" hidden="false" customHeight="false" outlineLevel="0" collapsed="false">
      <c r="A248" s="300"/>
      <c r="B248" s="301" t="s">
        <v>446</v>
      </c>
      <c r="C248" s="269" t="s">
        <v>610</v>
      </c>
      <c r="D248" s="251" t="n">
        <v>0.00166666666666667</v>
      </c>
      <c r="E248" s="223" t="n">
        <v>0.005</v>
      </c>
    </row>
    <row r="249" customFormat="false" ht="14.25" hidden="false" customHeight="false" outlineLevel="0" collapsed="false">
      <c r="A249" s="300"/>
      <c r="B249" s="301" t="s">
        <v>447</v>
      </c>
      <c r="C249" s="269" t="s">
        <v>610</v>
      </c>
      <c r="D249" s="251" t="n">
        <v>0.0633333333333333</v>
      </c>
      <c r="E249" s="223" t="n">
        <v>0.19</v>
      </c>
    </row>
    <row r="250" customFormat="false" ht="14.25" hidden="false" customHeight="false" outlineLevel="0" collapsed="false">
      <c r="A250" s="300"/>
      <c r="B250" s="301" t="s">
        <v>448</v>
      </c>
      <c r="C250" s="269" t="s">
        <v>610</v>
      </c>
      <c r="D250" s="251" t="n">
        <v>0.253333333333333</v>
      </c>
      <c r="E250" s="223" t="n">
        <v>0.76</v>
      </c>
    </row>
    <row r="251" customFormat="false" ht="14.25" hidden="false" customHeight="false" outlineLevel="0" collapsed="false">
      <c r="A251" s="300"/>
      <c r="B251" s="301" t="s">
        <v>449</v>
      </c>
      <c r="C251" s="269" t="s">
        <v>610</v>
      </c>
      <c r="D251" s="251" t="n">
        <v>0.00166666666666667</v>
      </c>
      <c r="E251" s="223" t="n">
        <v>0.005</v>
      </c>
    </row>
    <row r="252" customFormat="false" ht="14.25" hidden="false" customHeight="false" outlineLevel="0" collapsed="false">
      <c r="A252" s="300"/>
      <c r="B252" s="301" t="s">
        <v>450</v>
      </c>
      <c r="C252" s="269" t="s">
        <v>610</v>
      </c>
      <c r="D252" s="251" t="n">
        <v>0.13</v>
      </c>
      <c r="E252" s="223" t="n">
        <v>0.39</v>
      </c>
    </row>
    <row r="253" customFormat="false" ht="14.25" hidden="false" customHeight="false" outlineLevel="0" collapsed="false">
      <c r="A253" s="300"/>
      <c r="B253" s="301" t="s">
        <v>451</v>
      </c>
      <c r="C253" s="269" t="s">
        <v>610</v>
      </c>
      <c r="D253" s="251" t="n">
        <v>0.176666666666667</v>
      </c>
      <c r="E253" s="223" t="n">
        <v>0.53</v>
      </c>
    </row>
    <row r="254" customFormat="false" ht="14.25" hidden="false" customHeight="false" outlineLevel="0" collapsed="false">
      <c r="A254" s="300"/>
      <c r="B254" s="301" t="s">
        <v>452</v>
      </c>
      <c r="C254" s="269" t="s">
        <v>610</v>
      </c>
      <c r="D254" s="251" t="n">
        <v>0.116666666666667</v>
      </c>
      <c r="E254" s="223" t="n">
        <v>0.35</v>
      </c>
    </row>
    <row r="255" customFormat="false" ht="14.25" hidden="false" customHeight="false" outlineLevel="0" collapsed="false">
      <c r="A255" s="300"/>
      <c r="B255" s="301" t="s">
        <v>453</v>
      </c>
      <c r="C255" s="269" t="s">
        <v>610</v>
      </c>
      <c r="D255" s="251" t="n">
        <v>0.188333333333333</v>
      </c>
      <c r="E255" s="223" t="n">
        <v>0.565</v>
      </c>
    </row>
    <row r="256" customFormat="false" ht="14.25" hidden="false" customHeight="false" outlineLevel="0" collapsed="false">
      <c r="A256" s="300"/>
      <c r="B256" s="301" t="s">
        <v>454</v>
      </c>
      <c r="C256" s="269" t="s">
        <v>610</v>
      </c>
      <c r="D256" s="251" t="n">
        <v>0.245</v>
      </c>
      <c r="E256" s="223" t="n">
        <v>0.735</v>
      </c>
    </row>
    <row r="257" customFormat="false" ht="14.25" hidden="false" customHeight="false" outlineLevel="0" collapsed="false">
      <c r="A257" s="300"/>
      <c r="B257" s="301" t="s">
        <v>455</v>
      </c>
      <c r="C257" s="269" t="s">
        <v>610</v>
      </c>
      <c r="D257" s="251" t="n">
        <v>0.191666666666667</v>
      </c>
      <c r="E257" s="223" t="n">
        <v>0.575</v>
      </c>
    </row>
    <row r="258" customFormat="false" ht="14.25" hidden="false" customHeight="false" outlineLevel="0" collapsed="false">
      <c r="A258" s="300"/>
      <c r="B258" s="301" t="s">
        <v>456</v>
      </c>
      <c r="C258" s="269" t="s">
        <v>610</v>
      </c>
      <c r="D258" s="251" t="n">
        <v>0.101666666666667</v>
      </c>
      <c r="E258" s="223" t="n">
        <v>0.305</v>
      </c>
    </row>
    <row r="259" customFormat="false" ht="14.25" hidden="false" customHeight="false" outlineLevel="0" collapsed="false">
      <c r="A259" s="300"/>
      <c r="B259" s="301" t="s">
        <v>457</v>
      </c>
      <c r="C259" s="269" t="s">
        <v>610</v>
      </c>
      <c r="D259" s="251" t="n">
        <v>0.00166666666666667</v>
      </c>
      <c r="E259" s="223" t="n">
        <v>0.005</v>
      </c>
    </row>
    <row r="260" customFormat="false" ht="14.25" hidden="false" customHeight="false" outlineLevel="0" collapsed="false">
      <c r="A260" s="300"/>
      <c r="B260" s="301" t="s">
        <v>458</v>
      </c>
      <c r="C260" s="269" t="s">
        <v>610</v>
      </c>
      <c r="D260" s="251" t="n">
        <v>0.303333333333333</v>
      </c>
      <c r="E260" s="223" t="n">
        <v>0.91</v>
      </c>
    </row>
    <row r="261" customFormat="false" ht="14.25" hidden="false" customHeight="false" outlineLevel="0" collapsed="false">
      <c r="A261" s="300"/>
      <c r="B261" s="301" t="s">
        <v>459</v>
      </c>
      <c r="C261" s="269" t="s">
        <v>610</v>
      </c>
      <c r="D261" s="251" t="n">
        <v>0.00166666666666667</v>
      </c>
      <c r="E261" s="223" t="n">
        <v>0.005</v>
      </c>
    </row>
    <row r="262" customFormat="false" ht="14.25" hidden="false" customHeight="false" outlineLevel="0" collapsed="false">
      <c r="A262" s="300"/>
      <c r="B262" s="302" t="s">
        <v>460</v>
      </c>
      <c r="C262" s="283" t="s">
        <v>610</v>
      </c>
      <c r="D262" s="206" t="n">
        <v>0.183333333333333</v>
      </c>
      <c r="E262" s="207" t="n">
        <v>0.55</v>
      </c>
    </row>
    <row r="263" customFormat="false" ht="15" hidden="false" customHeight="true" outlineLevel="0" collapsed="false">
      <c r="A263" s="303" t="s">
        <v>461</v>
      </c>
      <c r="B263" s="303"/>
      <c r="C263" s="303"/>
    </row>
    <row r="264" customFormat="false" ht="31.3" hidden="false" customHeight="false" outlineLevel="0" collapsed="false">
      <c r="A264" s="284" t="s">
        <v>611</v>
      </c>
      <c r="B264" s="269" t="s">
        <v>612</v>
      </c>
      <c r="C264" s="304" t="n">
        <v>0.014</v>
      </c>
    </row>
    <row r="265" customFormat="false" ht="16.4" hidden="false" customHeight="false" outlineLevel="0" collapsed="false">
      <c r="A265" s="284" t="s">
        <v>613</v>
      </c>
      <c r="B265" s="269" t="s">
        <v>423</v>
      </c>
      <c r="C265" s="204" t="n">
        <v>2020</v>
      </c>
    </row>
    <row r="266" customFormat="false" ht="16.4" hidden="false" customHeight="false" outlineLevel="0" collapsed="false">
      <c r="A266" s="284" t="s">
        <v>614</v>
      </c>
      <c r="B266" s="269" t="s">
        <v>612</v>
      </c>
      <c r="C266" s="304" t="n">
        <v>0.014</v>
      </c>
    </row>
    <row r="267" customFormat="false" ht="16.4" hidden="false" customHeight="false" outlineLevel="0" collapsed="false">
      <c r="A267" s="287" t="s">
        <v>615</v>
      </c>
      <c r="B267" s="283" t="s">
        <v>423</v>
      </c>
      <c r="C267" s="242" t="n">
        <v>2020</v>
      </c>
    </row>
    <row r="269" customFormat="false" ht="17.35" hidden="false" customHeight="false" outlineLevel="0" collapsed="false">
      <c r="A269" s="200" t="s">
        <v>232</v>
      </c>
      <c r="B269" s="200"/>
      <c r="C269" s="200"/>
    </row>
    <row r="270" customFormat="false" ht="14.25" hidden="false" customHeight="false" outlineLevel="0" collapsed="false">
      <c r="A270" s="305" t="s">
        <v>233</v>
      </c>
      <c r="B270" s="305"/>
      <c r="C270" s="305"/>
      <c r="H270" s="54"/>
      <c r="J270" s="57"/>
    </row>
    <row r="271" customFormat="false" ht="16.4" hidden="false" customHeight="false" outlineLevel="0" collapsed="false">
      <c r="A271" s="284" t="s">
        <v>234</v>
      </c>
      <c r="B271" s="203" t="s">
        <v>28</v>
      </c>
      <c r="C271" s="306" t="n">
        <v>1</v>
      </c>
      <c r="H271" s="54"/>
      <c r="J271" s="57"/>
    </row>
    <row r="272" customFormat="false" ht="14.25" hidden="false" customHeight="false" outlineLevel="0" collapsed="false">
      <c r="A272" s="305" t="s">
        <v>616</v>
      </c>
      <c r="B272" s="305"/>
      <c r="C272" s="305"/>
      <c r="H272" s="54"/>
      <c r="J272" s="57"/>
    </row>
    <row r="273" customFormat="false" ht="15" hidden="false" customHeight="true" outlineLevel="0" collapsed="false">
      <c r="A273" s="300" t="s">
        <v>617</v>
      </c>
      <c r="B273" s="269" t="s">
        <v>618</v>
      </c>
      <c r="C273" s="307" t="n">
        <v>4</v>
      </c>
      <c r="H273" s="54"/>
      <c r="J273" s="57"/>
    </row>
    <row r="274" customFormat="false" ht="14.25" hidden="false" customHeight="false" outlineLevel="0" collapsed="false">
      <c r="A274" s="300"/>
      <c r="B274" s="269" t="s">
        <v>619</v>
      </c>
      <c r="C274" s="307"/>
      <c r="H274" s="54"/>
      <c r="J274" s="57"/>
    </row>
    <row r="275" customFormat="false" ht="14.25" hidden="false" customHeight="false" outlineLevel="0" collapsed="false">
      <c r="A275" s="300"/>
      <c r="B275" s="269" t="s">
        <v>620</v>
      </c>
      <c r="C275" s="307"/>
      <c r="H275" s="54"/>
      <c r="J275" s="57"/>
    </row>
    <row r="276" customFormat="false" ht="14.25" hidden="false" customHeight="false" outlineLevel="0" collapsed="false">
      <c r="A276" s="300"/>
      <c r="B276" s="283" t="s">
        <v>621</v>
      </c>
      <c r="C276" s="307"/>
      <c r="H276" s="54"/>
      <c r="J276" s="57"/>
    </row>
    <row r="277" customFormat="false" ht="14.25" hidden="false" customHeight="false" outlineLevel="0" collapsed="false">
      <c r="H277" s="54"/>
      <c r="J277" s="57"/>
    </row>
    <row r="278" customFormat="false" ht="14.25" hidden="false" customHeight="false" outlineLevel="0" collapsed="false">
      <c r="A278" s="308" t="s">
        <v>164</v>
      </c>
      <c r="B278" s="309"/>
      <c r="H278" s="54"/>
      <c r="J278" s="57"/>
    </row>
    <row r="279" customFormat="false" ht="14.25" hidden="false" customHeight="false" outlineLevel="0" collapsed="false">
      <c r="A279" s="310" t="s">
        <v>165</v>
      </c>
      <c r="B279" s="311" t="n">
        <v>1</v>
      </c>
      <c r="H279" s="54"/>
      <c r="J279" s="57"/>
    </row>
    <row r="280" customFormat="false" ht="14.25" hidden="false" customHeight="false" outlineLevel="0" collapsed="false">
      <c r="H280" s="54"/>
      <c r="J280" s="57"/>
    </row>
    <row r="281" customFormat="false" ht="17.35" hidden="false" customHeight="false" outlineLevel="0" collapsed="false">
      <c r="A281" s="200" t="s">
        <v>622</v>
      </c>
      <c r="B281" s="200"/>
      <c r="C281" s="200"/>
      <c r="D281" s="200"/>
      <c r="E281" s="200"/>
      <c r="F281" s="200"/>
      <c r="G281" s="200"/>
      <c r="H281" s="200"/>
      <c r="I281" s="200"/>
      <c r="J281" s="57"/>
    </row>
    <row r="282" customFormat="false" ht="14.25" hidden="false" customHeight="false" outlineLevel="0" collapsed="false">
      <c r="A282" s="312" t="s">
        <v>623</v>
      </c>
      <c r="B282" s="202" t="s">
        <v>36</v>
      </c>
      <c r="C282" s="203" t="n">
        <v>2020</v>
      </c>
      <c r="D282" s="203" t="n">
        <v>2025</v>
      </c>
      <c r="E282" s="203" t="n">
        <v>2030</v>
      </c>
      <c r="F282" s="203" t="n">
        <v>2035</v>
      </c>
      <c r="G282" s="203" t="n">
        <v>2040</v>
      </c>
      <c r="H282" s="203" t="n">
        <v>2045</v>
      </c>
      <c r="I282" s="204" t="n">
        <v>2050</v>
      </c>
      <c r="J282" s="57"/>
    </row>
    <row r="283" customFormat="false" ht="14.25" hidden="false" customHeight="false" outlineLevel="0" collapsed="false">
      <c r="A283" s="312" t="s">
        <v>576</v>
      </c>
      <c r="B283" s="202" t="s">
        <v>499</v>
      </c>
      <c r="C283" s="203" t="n">
        <v>0</v>
      </c>
      <c r="D283" s="203" t="n">
        <v>0</v>
      </c>
      <c r="E283" s="203" t="n">
        <v>0</v>
      </c>
      <c r="F283" s="203" t="n">
        <v>0</v>
      </c>
      <c r="G283" s="203" t="n">
        <v>0</v>
      </c>
      <c r="H283" s="203" t="n">
        <v>0</v>
      </c>
      <c r="I283" s="204" t="n">
        <v>0</v>
      </c>
      <c r="J283" s="57"/>
    </row>
    <row r="284" customFormat="false" ht="14.25" hidden="false" customHeight="false" outlineLevel="0" collapsed="false">
      <c r="A284" s="312" t="s">
        <v>579</v>
      </c>
      <c r="B284" s="202" t="s">
        <v>499</v>
      </c>
      <c r="C284" s="203" t="n">
        <v>0</v>
      </c>
      <c r="D284" s="203" t="n">
        <v>0</v>
      </c>
      <c r="E284" s="203" t="n">
        <v>0</v>
      </c>
      <c r="F284" s="203" t="n">
        <v>0</v>
      </c>
      <c r="G284" s="203" t="n">
        <v>0</v>
      </c>
      <c r="H284" s="203" t="n">
        <v>0</v>
      </c>
      <c r="I284" s="204" t="n">
        <v>0</v>
      </c>
      <c r="J284" s="57"/>
    </row>
    <row r="285" customFormat="false" ht="14.25" hidden="false" customHeight="false" outlineLevel="0" collapsed="false">
      <c r="A285" s="312" t="s">
        <v>362</v>
      </c>
      <c r="B285" s="202" t="s">
        <v>499</v>
      </c>
      <c r="C285" s="203" t="n">
        <v>0</v>
      </c>
      <c r="D285" s="203" t="n">
        <v>0</v>
      </c>
      <c r="E285" s="203" t="n">
        <v>0</v>
      </c>
      <c r="F285" s="203" t="n">
        <v>0</v>
      </c>
      <c r="G285" s="203" t="n">
        <v>0</v>
      </c>
      <c r="H285" s="203" t="n">
        <v>0</v>
      </c>
      <c r="I285" s="204" t="n">
        <v>0</v>
      </c>
      <c r="J285" s="57"/>
    </row>
    <row r="286" customFormat="false" ht="14.25" hidden="false" customHeight="false" outlineLevel="0" collapsed="false">
      <c r="A286" s="312" t="s">
        <v>580</v>
      </c>
      <c r="B286" s="202" t="s">
        <v>499</v>
      </c>
      <c r="C286" s="203" t="n">
        <v>0</v>
      </c>
      <c r="D286" s="203" t="n">
        <v>0</v>
      </c>
      <c r="E286" s="203" t="n">
        <v>0</v>
      </c>
      <c r="F286" s="203" t="n">
        <v>0</v>
      </c>
      <c r="G286" s="203" t="n">
        <v>0</v>
      </c>
      <c r="H286" s="203" t="n">
        <v>0</v>
      </c>
      <c r="I286" s="204" t="n">
        <v>0</v>
      </c>
      <c r="J286" s="57"/>
    </row>
    <row r="287" customFormat="false" ht="14.25" hidden="false" customHeight="false" outlineLevel="0" collapsed="false">
      <c r="A287" s="312" t="s">
        <v>581</v>
      </c>
      <c r="B287" s="202" t="s">
        <v>499</v>
      </c>
      <c r="C287" s="203" t="n">
        <v>0</v>
      </c>
      <c r="D287" s="203" t="n">
        <v>0</v>
      </c>
      <c r="E287" s="203" t="n">
        <v>0</v>
      </c>
      <c r="F287" s="203" t="n">
        <v>0</v>
      </c>
      <c r="G287" s="203" t="n">
        <v>0</v>
      </c>
      <c r="H287" s="203" t="n">
        <v>0</v>
      </c>
      <c r="I287" s="204" t="n">
        <v>0</v>
      </c>
      <c r="J287" s="57"/>
    </row>
    <row r="288" customFormat="false" ht="14.25" hidden="false" customHeight="false" outlineLevel="0" collapsed="false">
      <c r="A288" s="312" t="s">
        <v>582</v>
      </c>
      <c r="B288" s="202" t="s">
        <v>499</v>
      </c>
      <c r="C288" s="203" t="n">
        <v>0</v>
      </c>
      <c r="D288" s="203" t="n">
        <v>0</v>
      </c>
      <c r="E288" s="203" t="n">
        <v>0</v>
      </c>
      <c r="F288" s="203" t="n">
        <v>0</v>
      </c>
      <c r="G288" s="203" t="n">
        <v>0</v>
      </c>
      <c r="H288" s="203" t="n">
        <v>0</v>
      </c>
      <c r="I288" s="204" t="n">
        <v>0</v>
      </c>
      <c r="J288" s="57"/>
    </row>
    <row r="289" customFormat="false" ht="14.25" hidden="false" customHeight="false" outlineLevel="0" collapsed="false">
      <c r="A289" s="312" t="s">
        <v>583</v>
      </c>
      <c r="B289" s="202" t="s">
        <v>499</v>
      </c>
      <c r="C289" s="203" t="n">
        <v>0</v>
      </c>
      <c r="D289" s="203" t="n">
        <v>0</v>
      </c>
      <c r="E289" s="203" t="n">
        <v>0</v>
      </c>
      <c r="F289" s="203" t="n">
        <v>0</v>
      </c>
      <c r="G289" s="203" t="n">
        <v>0</v>
      </c>
      <c r="H289" s="203" t="n">
        <v>0</v>
      </c>
      <c r="I289" s="204" t="n">
        <v>0</v>
      </c>
      <c r="J289" s="57"/>
    </row>
    <row r="290" customFormat="false" ht="14.25" hidden="false" customHeight="false" outlineLevel="0" collapsed="false">
      <c r="A290" s="312" t="s">
        <v>354</v>
      </c>
      <c r="B290" s="202" t="s">
        <v>499</v>
      </c>
      <c r="C290" s="203" t="n">
        <v>0</v>
      </c>
      <c r="D290" s="203" t="n">
        <v>0</v>
      </c>
      <c r="E290" s="203" t="n">
        <v>0</v>
      </c>
      <c r="F290" s="203" t="n">
        <v>0</v>
      </c>
      <c r="G290" s="203" t="n">
        <v>0</v>
      </c>
      <c r="H290" s="203" t="n">
        <v>0</v>
      </c>
      <c r="I290" s="204" t="n">
        <v>0</v>
      </c>
      <c r="J290" s="57"/>
    </row>
    <row r="291" customFormat="false" ht="14.25" hidden="false" customHeight="false" outlineLevel="0" collapsed="false">
      <c r="A291" s="312" t="s">
        <v>584</v>
      </c>
      <c r="B291" s="202" t="s">
        <v>499</v>
      </c>
      <c r="C291" s="203" t="n">
        <v>0</v>
      </c>
      <c r="D291" s="203" t="n">
        <v>0</v>
      </c>
      <c r="E291" s="203" t="n">
        <v>0.00161360525774253</v>
      </c>
      <c r="F291" s="203" t="n">
        <v>0.0041492706627665</v>
      </c>
      <c r="G291" s="203" t="n">
        <v>0.00668493606779047</v>
      </c>
      <c r="H291" s="203" t="n">
        <v>0.00922060147281444</v>
      </c>
      <c r="I291" s="204" t="n">
        <v>0.0126783270251199</v>
      </c>
      <c r="J291" s="57"/>
    </row>
    <row r="292" customFormat="false" ht="14.25" hidden="false" customHeight="false" outlineLevel="0" collapsed="false">
      <c r="A292" s="312" t="s">
        <v>585</v>
      </c>
      <c r="B292" s="202" t="s">
        <v>499</v>
      </c>
      <c r="C292" s="203" t="n">
        <v>0</v>
      </c>
      <c r="D292" s="203" t="n">
        <v>0</v>
      </c>
      <c r="E292" s="203" t="n">
        <v>0</v>
      </c>
      <c r="F292" s="203" t="n">
        <v>0</v>
      </c>
      <c r="G292" s="203" t="n">
        <v>0</v>
      </c>
      <c r="H292" s="203" t="n">
        <v>0</v>
      </c>
      <c r="I292" s="204" t="n">
        <v>0</v>
      </c>
      <c r="J292" s="57"/>
    </row>
    <row r="293" customFormat="false" ht="14.25" hidden="false" customHeight="false" outlineLevel="0" collapsed="false">
      <c r="A293" s="312" t="s">
        <v>586</v>
      </c>
      <c r="B293" s="202" t="s">
        <v>499</v>
      </c>
      <c r="C293" s="203" t="n">
        <v>0</v>
      </c>
      <c r="D293" s="203" t="n">
        <v>0</v>
      </c>
      <c r="E293" s="203" t="n">
        <v>0</v>
      </c>
      <c r="F293" s="203" t="n">
        <v>0</v>
      </c>
      <c r="G293" s="203" t="n">
        <v>0</v>
      </c>
      <c r="H293" s="203" t="n">
        <v>0</v>
      </c>
      <c r="I293" s="204" t="n">
        <v>0</v>
      </c>
      <c r="J293" s="57"/>
    </row>
    <row r="294" customFormat="false" ht="14.25" hidden="false" customHeight="false" outlineLevel="0" collapsed="false">
      <c r="A294" s="312" t="s">
        <v>587</v>
      </c>
      <c r="B294" s="202" t="s">
        <v>499</v>
      </c>
      <c r="C294" s="203" t="n">
        <v>0</v>
      </c>
      <c r="D294" s="203" t="n">
        <v>0</v>
      </c>
      <c r="E294" s="203" t="n">
        <v>0.000159949209222292</v>
      </c>
      <c r="F294" s="203" t="n">
        <v>0.000411297966571607</v>
      </c>
      <c r="G294" s="203" t="n">
        <v>0.000662646723920922</v>
      </c>
      <c r="H294" s="203" t="n">
        <v>0.000913995481270237</v>
      </c>
      <c r="I294" s="204" t="n">
        <v>0.00125674378674658</v>
      </c>
      <c r="J294" s="57"/>
    </row>
    <row r="295" customFormat="false" ht="14.25" hidden="false" customHeight="false" outlineLevel="0" collapsed="false">
      <c r="A295" s="312" t="s">
        <v>588</v>
      </c>
      <c r="B295" s="202" t="s">
        <v>499</v>
      </c>
      <c r="C295" s="203" t="n">
        <v>0</v>
      </c>
      <c r="D295" s="203" t="n">
        <v>0</v>
      </c>
      <c r="E295" s="203" t="n">
        <v>0</v>
      </c>
      <c r="F295" s="203" t="n">
        <v>0</v>
      </c>
      <c r="G295" s="203" t="n">
        <v>0</v>
      </c>
      <c r="H295" s="203" t="n">
        <v>0</v>
      </c>
      <c r="I295" s="204" t="n">
        <v>0</v>
      </c>
      <c r="J295" s="57"/>
    </row>
    <row r="296" customFormat="false" ht="14.25" hidden="false" customHeight="false" outlineLevel="0" collapsed="false">
      <c r="A296" s="312" t="s">
        <v>589</v>
      </c>
      <c r="B296" s="202" t="s">
        <v>499</v>
      </c>
      <c r="C296" s="203" t="n">
        <v>0</v>
      </c>
      <c r="D296" s="203" t="n">
        <f aca="false">E296/2</f>
        <v>0</v>
      </c>
      <c r="E296" s="203" t="n">
        <v>0</v>
      </c>
      <c r="F296" s="203" t="n">
        <v>0</v>
      </c>
      <c r="G296" s="203" t="n">
        <v>0</v>
      </c>
      <c r="H296" s="203" t="n">
        <v>0</v>
      </c>
      <c r="I296" s="204" t="n">
        <v>0</v>
      </c>
      <c r="J296" s="57"/>
    </row>
    <row r="297" customFormat="false" ht="14.25" hidden="false" customHeight="false" outlineLevel="0" collapsed="false">
      <c r="A297" s="312" t="s">
        <v>590</v>
      </c>
      <c r="B297" s="202" t="s">
        <v>499</v>
      </c>
      <c r="C297" s="203" t="n">
        <v>0</v>
      </c>
      <c r="D297" s="203" t="n">
        <f aca="false">E297/2</f>
        <v>0</v>
      </c>
      <c r="E297" s="203" t="n">
        <v>0</v>
      </c>
      <c r="F297" s="203" t="n">
        <v>0</v>
      </c>
      <c r="G297" s="203" t="n">
        <v>0</v>
      </c>
      <c r="H297" s="203" t="n">
        <v>0</v>
      </c>
      <c r="I297" s="204" t="n">
        <v>0</v>
      </c>
      <c r="J297" s="57"/>
    </row>
    <row r="298" customFormat="false" ht="14.25" hidden="false" customHeight="false" outlineLevel="0" collapsed="false">
      <c r="A298" s="312" t="s">
        <v>338</v>
      </c>
      <c r="B298" s="202" t="s">
        <v>499</v>
      </c>
      <c r="C298" s="203" t="n">
        <v>0</v>
      </c>
      <c r="D298" s="203" t="n">
        <f aca="false">E298/2</f>
        <v>0</v>
      </c>
      <c r="E298" s="203" t="n">
        <v>0</v>
      </c>
      <c r="F298" s="203" t="n">
        <v>0</v>
      </c>
      <c r="G298" s="203" t="n">
        <v>0</v>
      </c>
      <c r="H298" s="203" t="n">
        <v>0</v>
      </c>
      <c r="I298" s="204" t="n">
        <v>0</v>
      </c>
      <c r="J298" s="57"/>
    </row>
    <row r="299" customFormat="false" ht="14.25" hidden="false" customHeight="false" outlineLevel="0" collapsed="false">
      <c r="A299" s="312" t="s">
        <v>591</v>
      </c>
      <c r="B299" s="202" t="s">
        <v>499</v>
      </c>
      <c r="C299" s="203" t="n">
        <v>0</v>
      </c>
      <c r="D299" s="203" t="n">
        <v>0</v>
      </c>
      <c r="E299" s="203" t="n">
        <v>0</v>
      </c>
      <c r="F299" s="203" t="n">
        <v>0</v>
      </c>
      <c r="G299" s="203" t="n">
        <v>0</v>
      </c>
      <c r="H299" s="203" t="n">
        <v>0</v>
      </c>
      <c r="I299" s="204" t="n">
        <v>0</v>
      </c>
      <c r="J299" s="57"/>
    </row>
    <row r="300" customFormat="false" ht="14.25" hidden="false" customHeight="false" outlineLevel="0" collapsed="false">
      <c r="A300" s="312" t="s">
        <v>592</v>
      </c>
      <c r="B300" s="202" t="s">
        <v>499</v>
      </c>
      <c r="C300" s="203" t="n">
        <v>0</v>
      </c>
      <c r="D300" s="203" t="n">
        <v>0</v>
      </c>
      <c r="E300" s="203" t="n">
        <v>0.000762110938059153</v>
      </c>
      <c r="F300" s="203" t="n">
        <v>0.00195971384072354</v>
      </c>
      <c r="G300" s="203" t="n">
        <v>0.00315731674338792</v>
      </c>
      <c r="H300" s="203" t="n">
        <v>0.0043549196460523</v>
      </c>
      <c r="I300" s="204" t="n">
        <v>0.00598801451332192</v>
      </c>
      <c r="J300" s="57"/>
    </row>
    <row r="301" customFormat="false" ht="14.25" hidden="false" customHeight="false" outlineLevel="0" collapsed="false">
      <c r="A301" s="312" t="s">
        <v>593</v>
      </c>
      <c r="B301" s="202" t="s">
        <v>499</v>
      </c>
      <c r="C301" s="203" t="n">
        <v>0</v>
      </c>
      <c r="D301" s="203" t="n">
        <v>0</v>
      </c>
      <c r="E301" s="203" t="n">
        <v>0</v>
      </c>
      <c r="F301" s="203" t="n">
        <v>0</v>
      </c>
      <c r="G301" s="203" t="n">
        <v>0</v>
      </c>
      <c r="H301" s="203" t="n">
        <v>0</v>
      </c>
      <c r="I301" s="204" t="n">
        <v>0</v>
      </c>
      <c r="J301" s="57"/>
    </row>
    <row r="302" customFormat="false" ht="14.25" hidden="false" customHeight="false" outlineLevel="0" collapsed="false">
      <c r="A302" s="312" t="s">
        <v>594</v>
      </c>
      <c r="B302" s="202" t="s">
        <v>499</v>
      </c>
      <c r="C302" s="203" t="n">
        <v>0</v>
      </c>
      <c r="D302" s="203" t="n">
        <v>0</v>
      </c>
      <c r="E302" s="203" t="n">
        <v>0</v>
      </c>
      <c r="F302" s="203" t="n">
        <v>0</v>
      </c>
      <c r="G302" s="203" t="n">
        <v>0</v>
      </c>
      <c r="H302" s="203" t="n">
        <v>0</v>
      </c>
      <c r="I302" s="204" t="n">
        <v>0</v>
      </c>
      <c r="J302" s="57"/>
    </row>
    <row r="303" customFormat="false" ht="14.25" hidden="false" customHeight="false" outlineLevel="0" collapsed="false">
      <c r="A303" s="312" t="s">
        <v>595</v>
      </c>
      <c r="B303" s="202" t="s">
        <v>499</v>
      </c>
      <c r="C303" s="203" t="n">
        <v>0</v>
      </c>
      <c r="D303" s="203" t="n">
        <v>0</v>
      </c>
      <c r="E303" s="203" t="n">
        <v>0</v>
      </c>
      <c r="F303" s="203" t="n">
        <v>0</v>
      </c>
      <c r="G303" s="203" t="n">
        <v>0</v>
      </c>
      <c r="H303" s="203" t="n">
        <v>0</v>
      </c>
      <c r="I303" s="204" t="n">
        <v>0</v>
      </c>
      <c r="J303" s="57"/>
    </row>
    <row r="304" customFormat="false" ht="14.25" hidden="false" customHeight="false" outlineLevel="0" collapsed="false">
      <c r="A304" s="312" t="s">
        <v>596</v>
      </c>
      <c r="B304" s="202" t="s">
        <v>499</v>
      </c>
      <c r="C304" s="203" t="n">
        <v>0</v>
      </c>
      <c r="D304" s="203" t="n">
        <f aca="false">E304/2</f>
        <v>0</v>
      </c>
      <c r="E304" s="203" t="n">
        <v>0</v>
      </c>
      <c r="F304" s="203" t="n">
        <v>0</v>
      </c>
      <c r="G304" s="203" t="n">
        <v>0</v>
      </c>
      <c r="H304" s="203" t="n">
        <v>0</v>
      </c>
      <c r="I304" s="204" t="n">
        <v>0</v>
      </c>
      <c r="J304" s="57"/>
    </row>
    <row r="305" customFormat="false" ht="14.25" hidden="false" customHeight="false" outlineLevel="0" collapsed="false">
      <c r="A305" s="312" t="s">
        <v>597</v>
      </c>
      <c r="B305" s="202" t="s">
        <v>499</v>
      </c>
      <c r="C305" s="203" t="n">
        <v>0</v>
      </c>
      <c r="D305" s="203" t="n">
        <f aca="false">E305/2</f>
        <v>0</v>
      </c>
      <c r="E305" s="203" t="n">
        <v>0</v>
      </c>
      <c r="F305" s="203" t="n">
        <v>0</v>
      </c>
      <c r="G305" s="203" t="n">
        <v>0</v>
      </c>
      <c r="H305" s="203" t="n">
        <v>0</v>
      </c>
      <c r="I305" s="204" t="n">
        <v>0</v>
      </c>
      <c r="J305" s="57"/>
    </row>
    <row r="306" customFormat="false" ht="14.25" hidden="false" customHeight="false" outlineLevel="0" collapsed="false">
      <c r="A306" s="312" t="s">
        <v>598</v>
      </c>
      <c r="B306" s="202" t="s">
        <v>499</v>
      </c>
      <c r="C306" s="203" t="n">
        <v>0</v>
      </c>
      <c r="D306" s="203" t="n">
        <f aca="false">E306/2</f>
        <v>0</v>
      </c>
      <c r="E306" s="203" t="n">
        <v>0</v>
      </c>
      <c r="F306" s="203" t="n">
        <v>0</v>
      </c>
      <c r="G306" s="203" t="n">
        <v>0</v>
      </c>
      <c r="H306" s="203" t="n">
        <v>0</v>
      </c>
      <c r="I306" s="204" t="n">
        <v>0</v>
      </c>
      <c r="J306" s="57"/>
    </row>
    <row r="307" customFormat="false" ht="14.25" hidden="false" customHeight="false" outlineLevel="0" collapsed="false">
      <c r="A307" s="312" t="s">
        <v>599</v>
      </c>
      <c r="B307" s="202" t="s">
        <v>499</v>
      </c>
      <c r="C307" s="203" t="n">
        <v>0</v>
      </c>
      <c r="D307" s="203" t="n">
        <f aca="false">E307/2</f>
        <v>0</v>
      </c>
      <c r="E307" s="203" t="n">
        <v>0</v>
      </c>
      <c r="F307" s="203" t="n">
        <v>0</v>
      </c>
      <c r="G307" s="203" t="n">
        <v>0</v>
      </c>
      <c r="H307" s="203" t="n">
        <v>0</v>
      </c>
      <c r="I307" s="204" t="n">
        <v>0</v>
      </c>
      <c r="J307" s="57"/>
    </row>
    <row r="308" customFormat="false" ht="14.25" hidden="false" customHeight="false" outlineLevel="0" collapsed="false">
      <c r="A308" s="312" t="s">
        <v>351</v>
      </c>
      <c r="B308" s="202" t="s">
        <v>499</v>
      </c>
      <c r="C308" s="203" t="n">
        <v>0</v>
      </c>
      <c r="D308" s="203" t="n">
        <v>0</v>
      </c>
      <c r="E308" s="203" t="n">
        <v>0</v>
      </c>
      <c r="F308" s="203" t="n">
        <v>0</v>
      </c>
      <c r="G308" s="203" t="n">
        <v>0</v>
      </c>
      <c r="H308" s="203" t="n">
        <v>0</v>
      </c>
      <c r="I308" s="204" t="n">
        <v>0</v>
      </c>
      <c r="J308" s="57"/>
    </row>
    <row r="309" customFormat="false" ht="14.25" hidden="false" customHeight="false" outlineLevel="0" collapsed="false">
      <c r="A309" s="312" t="s">
        <v>361</v>
      </c>
      <c r="B309" s="202" t="s">
        <v>499</v>
      </c>
      <c r="C309" s="203" t="n">
        <v>0</v>
      </c>
      <c r="D309" s="203" t="n">
        <v>0</v>
      </c>
      <c r="E309" s="203" t="n">
        <v>0</v>
      </c>
      <c r="F309" s="203" t="n">
        <v>0</v>
      </c>
      <c r="G309" s="203" t="n">
        <v>0</v>
      </c>
      <c r="H309" s="203" t="n">
        <v>0</v>
      </c>
      <c r="I309" s="204" t="n">
        <v>0</v>
      </c>
      <c r="J309" s="57"/>
    </row>
    <row r="310" customFormat="false" ht="14.25" hidden="false" customHeight="false" outlineLevel="0" collapsed="false">
      <c r="A310" s="312" t="s">
        <v>600</v>
      </c>
      <c r="B310" s="202" t="s">
        <v>499</v>
      </c>
      <c r="C310" s="203" t="n">
        <v>0</v>
      </c>
      <c r="D310" s="203" t="n">
        <v>0</v>
      </c>
      <c r="E310" s="203" t="n">
        <v>0</v>
      </c>
      <c r="F310" s="203" t="n">
        <v>0</v>
      </c>
      <c r="G310" s="203" t="n">
        <v>0</v>
      </c>
      <c r="H310" s="203" t="n">
        <v>0</v>
      </c>
      <c r="I310" s="204" t="n">
        <v>0</v>
      </c>
      <c r="J310" s="57"/>
    </row>
    <row r="311" customFormat="false" ht="14.25" hidden="false" customHeight="false" outlineLevel="0" collapsed="false">
      <c r="A311" s="313" t="s">
        <v>624</v>
      </c>
      <c r="B311" s="314"/>
      <c r="C311" s="314"/>
      <c r="D311" s="314"/>
      <c r="E311" s="314"/>
      <c r="F311" s="314"/>
      <c r="G311" s="314"/>
      <c r="H311" s="315"/>
      <c r="I311" s="314"/>
      <c r="J311" s="57"/>
    </row>
    <row r="312" customFormat="false" ht="14.25" hidden="false" customHeight="false" outlineLevel="0" collapsed="false">
      <c r="A312" s="312" t="s">
        <v>576</v>
      </c>
      <c r="B312" s="202" t="s">
        <v>28</v>
      </c>
      <c r="C312" s="203" t="n">
        <v>0.189349112426035</v>
      </c>
      <c r="D312" s="203" t="n">
        <v>0.189349112426035</v>
      </c>
      <c r="E312" s="203" t="n">
        <v>0.189349112426035</v>
      </c>
      <c r="F312" s="203" t="n">
        <v>0.189349112426035</v>
      </c>
      <c r="G312" s="203" t="n">
        <v>0.189349112426035</v>
      </c>
      <c r="H312" s="203" t="n">
        <f aca="false">G312+(I312-G312)/2</f>
        <v>0.238653613804641</v>
      </c>
      <c r="I312" s="203" t="n">
        <v>0.287958115183246</v>
      </c>
      <c r="J312" s="57"/>
    </row>
    <row r="313" customFormat="false" ht="14.25" hidden="false" customHeight="false" outlineLevel="0" collapsed="false">
      <c r="A313" s="312" t="s">
        <v>579</v>
      </c>
      <c r="B313" s="202" t="s">
        <v>28</v>
      </c>
      <c r="C313" s="203" t="n">
        <v>0.189349112426035</v>
      </c>
      <c r="D313" s="203" t="n">
        <v>0.189349112426035</v>
      </c>
      <c r="E313" s="203" t="n">
        <v>0.189349112426035</v>
      </c>
      <c r="F313" s="203" t="n">
        <v>0.189349112426035</v>
      </c>
      <c r="G313" s="203" t="n">
        <v>0.189349112426035</v>
      </c>
      <c r="H313" s="203" t="n">
        <f aca="false">G313+(I313-G313)/2</f>
        <v>0.238653613804641</v>
      </c>
      <c r="I313" s="203" t="n">
        <v>0.287958115183246</v>
      </c>
      <c r="J313" s="57"/>
    </row>
    <row r="314" customFormat="false" ht="14.25" hidden="false" customHeight="false" outlineLevel="0" collapsed="false">
      <c r="A314" s="312" t="s">
        <v>362</v>
      </c>
      <c r="B314" s="202" t="s">
        <v>28</v>
      </c>
      <c r="C314" s="203" t="n">
        <v>0.189349112426035</v>
      </c>
      <c r="D314" s="203" t="n">
        <v>0.189349112426035</v>
      </c>
      <c r="E314" s="203" t="n">
        <v>0.189349112426035</v>
      </c>
      <c r="F314" s="203" t="n">
        <v>0.189349112426035</v>
      </c>
      <c r="G314" s="203" t="n">
        <v>0.189349112426035</v>
      </c>
      <c r="H314" s="203" t="n">
        <f aca="false">G314+(I314-G314)/2</f>
        <v>0.238653613804641</v>
      </c>
      <c r="I314" s="203" t="n">
        <v>0.287958115183246</v>
      </c>
      <c r="J314" s="57"/>
    </row>
    <row r="315" customFormat="false" ht="14.25" hidden="false" customHeight="false" outlineLevel="0" collapsed="false">
      <c r="A315" s="312" t="s">
        <v>580</v>
      </c>
      <c r="B315" s="202" t="s">
        <v>28</v>
      </c>
      <c r="C315" s="203" t="n">
        <v>0.189349112426035</v>
      </c>
      <c r="D315" s="203" t="n">
        <v>0.189349112426035</v>
      </c>
      <c r="E315" s="203" t="n">
        <v>0.189349112426035</v>
      </c>
      <c r="F315" s="203" t="n">
        <v>0.189349112426035</v>
      </c>
      <c r="G315" s="203" t="n">
        <v>0.189349112426035</v>
      </c>
      <c r="H315" s="203" t="n">
        <f aca="false">G315+(I315-G315)/2</f>
        <v>0.238653613804641</v>
      </c>
      <c r="I315" s="203" t="n">
        <v>0.287958115183246</v>
      </c>
      <c r="J315" s="57"/>
    </row>
    <row r="316" customFormat="false" ht="14.25" hidden="false" customHeight="false" outlineLevel="0" collapsed="false">
      <c r="A316" s="312" t="s">
        <v>581</v>
      </c>
      <c r="B316" s="202" t="s">
        <v>28</v>
      </c>
      <c r="C316" s="203" t="n">
        <v>0.189349112426035</v>
      </c>
      <c r="D316" s="203" t="n">
        <v>0.189349112426035</v>
      </c>
      <c r="E316" s="203" t="n">
        <v>0.189349112426035</v>
      </c>
      <c r="F316" s="203" t="n">
        <v>0.189349112426035</v>
      </c>
      <c r="G316" s="203" t="n">
        <v>0.189349112426035</v>
      </c>
      <c r="H316" s="203" t="n">
        <f aca="false">G316+(I316-G316)/2</f>
        <v>0.238653613804641</v>
      </c>
      <c r="I316" s="203" t="n">
        <v>0.287958115183246</v>
      </c>
      <c r="J316" s="57"/>
    </row>
    <row r="317" customFormat="false" ht="14.25" hidden="false" customHeight="false" outlineLevel="0" collapsed="false">
      <c r="A317" s="312" t="s">
        <v>582</v>
      </c>
      <c r="B317" s="202" t="s">
        <v>28</v>
      </c>
      <c r="C317" s="203" t="n">
        <v>0.189349112426035</v>
      </c>
      <c r="D317" s="203" t="n">
        <v>0.189349112426035</v>
      </c>
      <c r="E317" s="203" t="n">
        <v>0.189349112426035</v>
      </c>
      <c r="F317" s="203" t="n">
        <v>0.189349112426035</v>
      </c>
      <c r="G317" s="203" t="n">
        <v>0.189349112426035</v>
      </c>
      <c r="H317" s="203" t="n">
        <f aca="false">G317+(I317-G317)/2</f>
        <v>0.238653613804641</v>
      </c>
      <c r="I317" s="203" t="n">
        <v>0.287958115183246</v>
      </c>
      <c r="J317" s="57"/>
    </row>
    <row r="318" customFormat="false" ht="14.25" hidden="false" customHeight="false" outlineLevel="0" collapsed="false">
      <c r="A318" s="312" t="s">
        <v>583</v>
      </c>
      <c r="B318" s="202" t="s">
        <v>28</v>
      </c>
      <c r="C318" s="203" t="n">
        <v>0.189349112426035</v>
      </c>
      <c r="D318" s="203" t="n">
        <v>0.189349112426035</v>
      </c>
      <c r="E318" s="203" t="n">
        <v>0.189349112426035</v>
      </c>
      <c r="F318" s="203" t="n">
        <v>0.189349112426035</v>
      </c>
      <c r="G318" s="203" t="n">
        <v>0.189349112426035</v>
      </c>
      <c r="H318" s="203" t="n">
        <f aca="false">G318+(I318-G318)/2</f>
        <v>0.238653613804641</v>
      </c>
      <c r="I318" s="203" t="n">
        <v>0.287958115183246</v>
      </c>
      <c r="J318" s="57"/>
    </row>
    <row r="319" customFormat="false" ht="14.25" hidden="false" customHeight="false" outlineLevel="0" collapsed="false">
      <c r="A319" s="312" t="s">
        <v>354</v>
      </c>
      <c r="B319" s="202" t="s">
        <v>28</v>
      </c>
      <c r="C319" s="203" t="n">
        <v>0.189349112426035</v>
      </c>
      <c r="D319" s="203" t="n">
        <v>0.189349112426035</v>
      </c>
      <c r="E319" s="203" t="n">
        <v>0.189349112426035</v>
      </c>
      <c r="F319" s="203" t="n">
        <v>0.189349112426035</v>
      </c>
      <c r="G319" s="203" t="n">
        <v>0.189349112426035</v>
      </c>
      <c r="H319" s="203" t="n">
        <f aca="false">G319+(I319-G319)/2</f>
        <v>0.238653613804641</v>
      </c>
      <c r="I319" s="203" t="n">
        <v>0.287958115183246</v>
      </c>
      <c r="J319" s="57"/>
    </row>
    <row r="320" customFormat="false" ht="14.25" hidden="false" customHeight="false" outlineLevel="0" collapsed="false">
      <c r="A320" s="312" t="s">
        <v>584</v>
      </c>
      <c r="B320" s="202" t="s">
        <v>28</v>
      </c>
      <c r="C320" s="203" t="n">
        <v>0.189349112426035</v>
      </c>
      <c r="D320" s="203" t="n">
        <v>0.189349112426035</v>
      </c>
      <c r="E320" s="203" t="n">
        <v>0.189349112426035</v>
      </c>
      <c r="F320" s="203" t="n">
        <v>0.189349112426035</v>
      </c>
      <c r="G320" s="203" t="n">
        <v>0.189349112426035</v>
      </c>
      <c r="H320" s="203" t="n">
        <f aca="false">G320+(I320-G320)/2</f>
        <v>0.238653613804641</v>
      </c>
      <c r="I320" s="203" t="n">
        <v>0.287958115183246</v>
      </c>
      <c r="J320" s="57"/>
    </row>
    <row r="321" customFormat="false" ht="14.25" hidden="false" customHeight="false" outlineLevel="0" collapsed="false">
      <c r="A321" s="312" t="s">
        <v>585</v>
      </c>
      <c r="B321" s="202" t="s">
        <v>28</v>
      </c>
      <c r="C321" s="203" t="n">
        <v>0.189349112426035</v>
      </c>
      <c r="D321" s="203" t="n">
        <v>0.189349112426035</v>
      </c>
      <c r="E321" s="203" t="n">
        <v>0.189349112426035</v>
      </c>
      <c r="F321" s="203" t="n">
        <v>0.189349112426035</v>
      </c>
      <c r="G321" s="203" t="n">
        <v>0.189349112426035</v>
      </c>
      <c r="H321" s="203" t="n">
        <f aca="false">G321+(I321-G321)/2</f>
        <v>0.238653613804641</v>
      </c>
      <c r="I321" s="203" t="n">
        <v>0.287958115183246</v>
      </c>
      <c r="J321" s="57"/>
    </row>
    <row r="322" customFormat="false" ht="14.25" hidden="false" customHeight="false" outlineLevel="0" collapsed="false">
      <c r="A322" s="312" t="s">
        <v>586</v>
      </c>
      <c r="B322" s="202" t="s">
        <v>28</v>
      </c>
      <c r="C322" s="203" t="n">
        <v>0.189349112426035</v>
      </c>
      <c r="D322" s="203" t="n">
        <v>0.189349112426035</v>
      </c>
      <c r="E322" s="203" t="n">
        <v>0.189349112426035</v>
      </c>
      <c r="F322" s="203" t="n">
        <v>0.189349112426035</v>
      </c>
      <c r="G322" s="203" t="n">
        <v>0.189349112426035</v>
      </c>
      <c r="H322" s="203" t="n">
        <f aca="false">G322+(I322-G322)/2</f>
        <v>0.238653613804641</v>
      </c>
      <c r="I322" s="203" t="n">
        <v>0.287958115183246</v>
      </c>
      <c r="J322" s="57"/>
    </row>
    <row r="323" customFormat="false" ht="14.25" hidden="false" customHeight="false" outlineLevel="0" collapsed="false">
      <c r="A323" s="312" t="s">
        <v>587</v>
      </c>
      <c r="B323" s="202" t="s">
        <v>28</v>
      </c>
      <c r="C323" s="203" t="n">
        <v>0.189349112426035</v>
      </c>
      <c r="D323" s="203" t="n">
        <v>0.189349112426035</v>
      </c>
      <c r="E323" s="203" t="n">
        <v>0.189349112426035</v>
      </c>
      <c r="F323" s="203" t="n">
        <v>0.189349112426035</v>
      </c>
      <c r="G323" s="203" t="n">
        <v>0.189349112426035</v>
      </c>
      <c r="H323" s="203" t="n">
        <f aca="false">G323+(I323-G323)/2</f>
        <v>0.238653613804641</v>
      </c>
      <c r="I323" s="203" t="n">
        <v>0.287958115183246</v>
      </c>
      <c r="J323" s="57"/>
    </row>
    <row r="324" customFormat="false" ht="14.25" hidden="false" customHeight="false" outlineLevel="0" collapsed="false">
      <c r="A324" s="312" t="s">
        <v>588</v>
      </c>
      <c r="B324" s="202" t="s">
        <v>28</v>
      </c>
      <c r="C324" s="203" t="n">
        <v>0.189349112426035</v>
      </c>
      <c r="D324" s="203" t="n">
        <v>0.189349112426035</v>
      </c>
      <c r="E324" s="203" t="n">
        <v>0.189349112426035</v>
      </c>
      <c r="F324" s="203" t="n">
        <v>0.189349112426035</v>
      </c>
      <c r="G324" s="203" t="n">
        <v>0.189349112426035</v>
      </c>
      <c r="H324" s="203" t="n">
        <f aca="false">G324+(I324-G324)/2</f>
        <v>0.238653613804641</v>
      </c>
      <c r="I324" s="203" t="n">
        <v>0.287958115183246</v>
      </c>
      <c r="J324" s="57"/>
    </row>
    <row r="325" customFormat="false" ht="14.25" hidden="false" customHeight="false" outlineLevel="0" collapsed="false">
      <c r="A325" s="312" t="s">
        <v>589</v>
      </c>
      <c r="B325" s="202" t="s">
        <v>28</v>
      </c>
      <c r="C325" s="203" t="n">
        <v>0.189349112426035</v>
      </c>
      <c r="D325" s="203" t="n">
        <v>0.189349112426035</v>
      </c>
      <c r="E325" s="203" t="n">
        <v>0.189349112426035</v>
      </c>
      <c r="F325" s="203" t="n">
        <v>0.189349112426035</v>
      </c>
      <c r="G325" s="203" t="n">
        <v>0.189349112426035</v>
      </c>
      <c r="H325" s="203" t="n">
        <f aca="false">G325+(I325-G325)/2</f>
        <v>0.238653613804641</v>
      </c>
      <c r="I325" s="203" t="n">
        <v>0.287958115183246</v>
      </c>
      <c r="J325" s="57"/>
    </row>
    <row r="326" customFormat="false" ht="14.25" hidden="false" customHeight="false" outlineLevel="0" collapsed="false">
      <c r="A326" s="312" t="s">
        <v>590</v>
      </c>
      <c r="B326" s="202" t="s">
        <v>28</v>
      </c>
      <c r="C326" s="203" t="n">
        <v>0.189349112426035</v>
      </c>
      <c r="D326" s="203" t="n">
        <v>0.189349112426035</v>
      </c>
      <c r="E326" s="203" t="n">
        <v>0.189349112426035</v>
      </c>
      <c r="F326" s="203" t="n">
        <v>0.189349112426035</v>
      </c>
      <c r="G326" s="203" t="n">
        <v>0.189349112426035</v>
      </c>
      <c r="H326" s="203" t="n">
        <f aca="false">G326+(I326-G326)/2</f>
        <v>0.238653613804641</v>
      </c>
      <c r="I326" s="203" t="n">
        <v>0.287958115183246</v>
      </c>
      <c r="J326" s="57"/>
    </row>
    <row r="327" customFormat="false" ht="14.25" hidden="false" customHeight="false" outlineLevel="0" collapsed="false">
      <c r="A327" s="312" t="s">
        <v>338</v>
      </c>
      <c r="B327" s="202" t="s">
        <v>28</v>
      </c>
      <c r="C327" s="203" t="n">
        <v>0.189349112426035</v>
      </c>
      <c r="D327" s="203" t="n">
        <v>0.189349112426035</v>
      </c>
      <c r="E327" s="203" t="n">
        <v>0.189349112426035</v>
      </c>
      <c r="F327" s="203" t="n">
        <v>0.189349112426035</v>
      </c>
      <c r="G327" s="203" t="n">
        <v>0.189349112426035</v>
      </c>
      <c r="H327" s="203" t="n">
        <f aca="false">G327+(I327-G327)/2</f>
        <v>0.238653613804641</v>
      </c>
      <c r="I327" s="203" t="n">
        <v>0.287958115183246</v>
      </c>
      <c r="J327" s="57"/>
    </row>
    <row r="328" customFormat="false" ht="14.25" hidden="false" customHeight="false" outlineLevel="0" collapsed="false">
      <c r="A328" s="312" t="s">
        <v>591</v>
      </c>
      <c r="B328" s="202" t="s">
        <v>28</v>
      </c>
      <c r="C328" s="203" t="n">
        <v>0.189349112426035</v>
      </c>
      <c r="D328" s="203" t="n">
        <v>0.189349112426035</v>
      </c>
      <c r="E328" s="203" t="n">
        <v>0.189349112426035</v>
      </c>
      <c r="F328" s="203" t="n">
        <v>0.189349112426035</v>
      </c>
      <c r="G328" s="203" t="n">
        <v>0.189349112426035</v>
      </c>
      <c r="H328" s="203" t="n">
        <f aca="false">G328+(I328-G328)/2</f>
        <v>0.238653613804641</v>
      </c>
      <c r="I328" s="203" t="n">
        <v>0.287958115183246</v>
      </c>
      <c r="J328" s="57"/>
    </row>
    <row r="329" customFormat="false" ht="14.25" hidden="false" customHeight="false" outlineLevel="0" collapsed="false">
      <c r="A329" s="312" t="s">
        <v>592</v>
      </c>
      <c r="B329" s="202" t="s">
        <v>28</v>
      </c>
      <c r="C329" s="203" t="n">
        <v>0.189349112426035</v>
      </c>
      <c r="D329" s="203" t="n">
        <v>0.189349112426035</v>
      </c>
      <c r="E329" s="203" t="n">
        <v>0.189349112426035</v>
      </c>
      <c r="F329" s="203" t="n">
        <v>0.189349112426035</v>
      </c>
      <c r="G329" s="203" t="n">
        <v>0.189349112426035</v>
      </c>
      <c r="H329" s="203" t="n">
        <f aca="false">G329+(I329-G329)/2</f>
        <v>0.238653613804641</v>
      </c>
      <c r="I329" s="203" t="n">
        <v>0.287958115183246</v>
      </c>
      <c r="J329" s="57"/>
    </row>
    <row r="330" customFormat="false" ht="14.25" hidden="false" customHeight="false" outlineLevel="0" collapsed="false">
      <c r="A330" s="312" t="s">
        <v>593</v>
      </c>
      <c r="B330" s="202" t="s">
        <v>28</v>
      </c>
      <c r="C330" s="203" t="n">
        <v>0.189349112426035</v>
      </c>
      <c r="D330" s="203" t="n">
        <v>0.189349112426035</v>
      </c>
      <c r="E330" s="203" t="n">
        <v>0.189349112426035</v>
      </c>
      <c r="F330" s="203" t="n">
        <v>0.189349112426035</v>
      </c>
      <c r="G330" s="203" t="n">
        <v>0.189349112426035</v>
      </c>
      <c r="H330" s="203" t="n">
        <f aca="false">G330+(I330-G330)/2</f>
        <v>0.169674556213018</v>
      </c>
      <c r="I330" s="203" t="n">
        <v>0.15</v>
      </c>
      <c r="J330" s="57"/>
    </row>
    <row r="331" customFormat="false" ht="14.25" hidden="false" customHeight="false" outlineLevel="0" collapsed="false">
      <c r="A331" s="312" t="s">
        <v>594</v>
      </c>
      <c r="B331" s="202" t="s">
        <v>28</v>
      </c>
      <c r="C331" s="203" t="n">
        <v>0.189349112426035</v>
      </c>
      <c r="D331" s="203" t="n">
        <v>0.189349112426035</v>
      </c>
      <c r="E331" s="203" t="n">
        <v>0.189349112426035</v>
      </c>
      <c r="F331" s="203" t="n">
        <v>0.189349112426035</v>
      </c>
      <c r="G331" s="203" t="n">
        <v>0.189349112426035</v>
      </c>
      <c r="H331" s="203" t="n">
        <f aca="false">G331+(I331-G331)/2</f>
        <v>0.169674556213018</v>
      </c>
      <c r="I331" s="203" t="n">
        <v>0.15</v>
      </c>
      <c r="J331" s="57"/>
    </row>
    <row r="332" customFormat="false" ht="14.25" hidden="false" customHeight="false" outlineLevel="0" collapsed="false">
      <c r="A332" s="312" t="s">
        <v>595</v>
      </c>
      <c r="B332" s="202" t="s">
        <v>28</v>
      </c>
      <c r="C332" s="203" t="n">
        <v>0.189349112426035</v>
      </c>
      <c r="D332" s="203" t="n">
        <v>0.189349112426035</v>
      </c>
      <c r="E332" s="203" t="n">
        <v>0.189349112426035</v>
      </c>
      <c r="F332" s="203" t="n">
        <v>0.189349112426035</v>
      </c>
      <c r="G332" s="203" t="n">
        <v>0.189349112426035</v>
      </c>
      <c r="H332" s="203" t="n">
        <f aca="false">G332+(I332-G332)/2</f>
        <v>0.169674556213018</v>
      </c>
      <c r="I332" s="203" t="n">
        <v>0.15</v>
      </c>
      <c r="J332" s="57"/>
    </row>
    <row r="333" customFormat="false" ht="14.25" hidden="false" customHeight="false" outlineLevel="0" collapsed="false">
      <c r="A333" s="312" t="s">
        <v>596</v>
      </c>
      <c r="B333" s="202" t="s">
        <v>28</v>
      </c>
      <c r="C333" s="203" t="n">
        <v>0.189349112426035</v>
      </c>
      <c r="D333" s="203" t="n">
        <v>0.189349112426035</v>
      </c>
      <c r="E333" s="203" t="n">
        <v>0.189349112426035</v>
      </c>
      <c r="F333" s="203" t="n">
        <v>0.189349112426035</v>
      </c>
      <c r="G333" s="203" t="n">
        <v>0.189349112426035</v>
      </c>
      <c r="H333" s="203" t="n">
        <f aca="false">G333+(I333-G333)/2</f>
        <v>0.169674556213018</v>
      </c>
      <c r="I333" s="203" t="n">
        <v>0.15</v>
      </c>
      <c r="J333" s="57"/>
    </row>
    <row r="334" customFormat="false" ht="14.25" hidden="false" customHeight="false" outlineLevel="0" collapsed="false">
      <c r="A334" s="312" t="s">
        <v>597</v>
      </c>
      <c r="B334" s="202" t="s">
        <v>28</v>
      </c>
      <c r="C334" s="203" t="n">
        <v>0.189349112426035</v>
      </c>
      <c r="D334" s="203" t="n">
        <v>0.189349112426035</v>
      </c>
      <c r="E334" s="203" t="n">
        <v>0.189349112426035</v>
      </c>
      <c r="F334" s="203" t="n">
        <v>0.189349112426035</v>
      </c>
      <c r="G334" s="203" t="n">
        <v>0.189349112426035</v>
      </c>
      <c r="H334" s="203" t="n">
        <f aca="false">G334+(I334-G334)/2</f>
        <v>0.169674556213018</v>
      </c>
      <c r="I334" s="203" t="n">
        <v>0.15</v>
      </c>
      <c r="J334" s="57"/>
    </row>
    <row r="335" customFormat="false" ht="14.25" hidden="false" customHeight="false" outlineLevel="0" collapsed="false">
      <c r="A335" s="312" t="s">
        <v>598</v>
      </c>
      <c r="B335" s="202" t="s">
        <v>28</v>
      </c>
      <c r="C335" s="203" t="n">
        <v>0.189349112426035</v>
      </c>
      <c r="D335" s="203" t="n">
        <v>0.189349112426035</v>
      </c>
      <c r="E335" s="203" t="n">
        <v>0.189349112426035</v>
      </c>
      <c r="F335" s="203" t="n">
        <v>0.189349112426035</v>
      </c>
      <c r="G335" s="203" t="n">
        <v>0.189349112426035</v>
      </c>
      <c r="H335" s="203" t="n">
        <f aca="false">G335+(I335-G335)/2</f>
        <v>0.169674556213018</v>
      </c>
      <c r="I335" s="203" t="n">
        <v>0.15</v>
      </c>
      <c r="J335" s="57"/>
    </row>
    <row r="336" customFormat="false" ht="14.25" hidden="false" customHeight="false" outlineLevel="0" collapsed="false">
      <c r="A336" s="312" t="s">
        <v>599</v>
      </c>
      <c r="B336" s="202" t="s">
        <v>28</v>
      </c>
      <c r="C336" s="203" t="n">
        <v>0.189349112426035</v>
      </c>
      <c r="D336" s="203" t="n">
        <v>0.189349112426035</v>
      </c>
      <c r="E336" s="203" t="n">
        <v>0.189349112426035</v>
      </c>
      <c r="F336" s="203" t="n">
        <v>0.189349112426035</v>
      </c>
      <c r="G336" s="203" t="n">
        <v>0.189349112426035</v>
      </c>
      <c r="H336" s="203" t="n">
        <f aca="false">G336+(I336-G336)/2</f>
        <v>0.169674556213018</v>
      </c>
      <c r="I336" s="203" t="n">
        <v>0.15</v>
      </c>
      <c r="J336" s="57"/>
    </row>
    <row r="337" customFormat="false" ht="14.25" hidden="false" customHeight="false" outlineLevel="0" collapsed="false">
      <c r="A337" s="312" t="s">
        <v>351</v>
      </c>
      <c r="B337" s="202" t="s">
        <v>28</v>
      </c>
      <c r="C337" s="203" t="n">
        <v>0.189349112426035</v>
      </c>
      <c r="D337" s="203" t="n">
        <v>0.189349112426035</v>
      </c>
      <c r="E337" s="203" t="n">
        <v>0.189349112426035</v>
      </c>
      <c r="F337" s="203" t="n">
        <v>0.189349112426035</v>
      </c>
      <c r="G337" s="203" t="n">
        <v>0.189349112426035</v>
      </c>
      <c r="H337" s="203" t="n">
        <f aca="false">G337+(I337-G337)/2</f>
        <v>0.169674556213018</v>
      </c>
      <c r="I337" s="203" t="n">
        <v>0.15</v>
      </c>
      <c r="J337" s="57"/>
    </row>
    <row r="338" customFormat="false" ht="14.25" hidden="false" customHeight="false" outlineLevel="0" collapsed="false">
      <c r="A338" s="312" t="s">
        <v>361</v>
      </c>
      <c r="B338" s="202" t="s">
        <v>28</v>
      </c>
      <c r="C338" s="203" t="n">
        <v>0.189349112426035</v>
      </c>
      <c r="D338" s="203" t="n">
        <v>0.189349112426035</v>
      </c>
      <c r="E338" s="203" t="n">
        <v>0.189349112426035</v>
      </c>
      <c r="F338" s="203" t="n">
        <v>0.189349112426035</v>
      </c>
      <c r="G338" s="203" t="n">
        <v>0.189349112426035</v>
      </c>
      <c r="H338" s="203" t="n">
        <f aca="false">G338+(I338-G338)/2</f>
        <v>0.169674556213018</v>
      </c>
      <c r="I338" s="203" t="n">
        <v>0.15</v>
      </c>
      <c r="J338" s="57"/>
    </row>
    <row r="339" customFormat="false" ht="14.25" hidden="false" customHeight="false" outlineLevel="0" collapsed="false">
      <c r="A339" s="312" t="s">
        <v>600</v>
      </c>
      <c r="B339" s="202" t="s">
        <v>28</v>
      </c>
      <c r="C339" s="203" t="n">
        <v>0.189349112426035</v>
      </c>
      <c r="D339" s="203" t="n">
        <v>0.189349112426035</v>
      </c>
      <c r="E339" s="203" t="n">
        <v>0.189349112426035</v>
      </c>
      <c r="F339" s="203" t="n">
        <v>0.189349112426035</v>
      </c>
      <c r="G339" s="203" t="n">
        <v>0.189349112426035</v>
      </c>
      <c r="H339" s="203" t="n">
        <f aca="false">G339+(I339-G339)/2</f>
        <v>0.169674556213018</v>
      </c>
      <c r="I339" s="203" t="n">
        <v>0.15</v>
      </c>
      <c r="J339" s="57"/>
    </row>
    <row r="340" customFormat="false" ht="18" hidden="false" customHeight="true" outlineLevel="0" collapsed="false">
      <c r="A340" s="200" t="s">
        <v>625</v>
      </c>
      <c r="B340" s="200"/>
      <c r="C340" s="200"/>
      <c r="D340" s="200"/>
      <c r="E340" s="200"/>
      <c r="F340" s="200"/>
      <c r="G340" s="200"/>
      <c r="H340" s="200"/>
      <c r="I340" s="200"/>
    </row>
    <row r="341" customFormat="false" ht="14.25" hidden="false" customHeight="false" outlineLevel="0" collapsed="false">
      <c r="A341" s="312" t="s">
        <v>626</v>
      </c>
      <c r="B341" s="219" t="s">
        <v>499</v>
      </c>
      <c r="C341" s="203" t="n">
        <v>0</v>
      </c>
      <c r="D341" s="203" t="n">
        <v>0</v>
      </c>
      <c r="E341" s="203" t="n">
        <v>0</v>
      </c>
      <c r="F341" s="203" t="n">
        <v>0</v>
      </c>
      <c r="G341" s="203" t="n">
        <v>0</v>
      </c>
      <c r="H341" s="203" t="n">
        <v>0</v>
      </c>
      <c r="I341" s="203" t="n">
        <v>0</v>
      </c>
    </row>
    <row r="342" customFormat="false" ht="14.25" hidden="false" customHeight="false" outlineLevel="0" collapsed="false">
      <c r="H342" s="54"/>
      <c r="J342" s="57"/>
    </row>
    <row r="343" customFormat="false" ht="17.35" hidden="false" customHeight="false" outlineLevel="0" collapsed="false">
      <c r="A343" s="316" t="s">
        <v>627</v>
      </c>
      <c r="B343" s="317"/>
      <c r="C343" s="318"/>
    </row>
    <row r="344" customFormat="false" ht="14.25" hidden="false" customHeight="false" outlineLevel="0" collapsed="false">
      <c r="A344" s="312" t="s">
        <v>434</v>
      </c>
      <c r="B344" s="202" t="s">
        <v>36</v>
      </c>
      <c r="C344" s="204" t="n">
        <v>2050</v>
      </c>
    </row>
    <row r="345" customFormat="false" ht="14.25" hidden="false" customHeight="false" outlineLevel="0" collapsed="false">
      <c r="A345" s="319" t="s">
        <v>628</v>
      </c>
      <c r="B345" s="205" t="s">
        <v>327</v>
      </c>
      <c r="C345" s="320" t="n">
        <v>0.05</v>
      </c>
    </row>
    <row r="347" customFormat="false" ht="17.35" hidden="false" customHeight="false" outlineLevel="0" collapsed="false">
      <c r="A347" s="316" t="s">
        <v>629</v>
      </c>
      <c r="B347" s="316"/>
      <c r="C347" s="316"/>
      <c r="D347" s="316"/>
      <c r="E347" s="316"/>
      <c r="F347" s="316"/>
      <c r="G347" s="316"/>
      <c r="H347" s="316"/>
      <c r="I347" s="316"/>
    </row>
    <row r="348" customFormat="false" ht="14.25" hidden="false" customHeight="false" outlineLevel="0" collapsed="false">
      <c r="A348" s="312" t="s">
        <v>630</v>
      </c>
      <c r="B348" s="202" t="s">
        <v>36</v>
      </c>
      <c r="C348" s="203" t="n">
        <v>2020</v>
      </c>
      <c r="D348" s="203" t="n">
        <f aca="false">C348+5</f>
        <v>2025</v>
      </c>
      <c r="E348" s="203" t="n">
        <f aca="false">D348+5</f>
        <v>2030</v>
      </c>
      <c r="F348" s="203" t="n">
        <f aca="false">E348+5</f>
        <v>2035</v>
      </c>
      <c r="G348" s="203" t="n">
        <f aca="false">F348+5</f>
        <v>2040</v>
      </c>
      <c r="H348" s="203" t="n">
        <f aca="false">G348+5</f>
        <v>2045</v>
      </c>
      <c r="I348" s="203" t="n">
        <f aca="false">H348+5</f>
        <v>2050</v>
      </c>
    </row>
    <row r="349" customFormat="false" ht="14.25" hidden="false" customHeight="false" outlineLevel="0" collapsed="false">
      <c r="A349" s="312" t="s">
        <v>631</v>
      </c>
      <c r="B349" s="202" t="s">
        <v>632</v>
      </c>
      <c r="C349" s="203" t="n">
        <v>0</v>
      </c>
      <c r="D349" s="203" t="n">
        <v>0</v>
      </c>
      <c r="E349" s="203" t="n">
        <v>0</v>
      </c>
      <c r="F349" s="203" t="n">
        <v>0</v>
      </c>
      <c r="G349" s="203" t="n">
        <v>0</v>
      </c>
      <c r="H349" s="203" t="n">
        <v>0</v>
      </c>
      <c r="I349" s="203" t="n">
        <v>0</v>
      </c>
      <c r="M349" s="198"/>
      <c r="Q349" s="198"/>
      <c r="U349" s="198"/>
    </row>
    <row r="351" customFormat="false" ht="17.35" hidden="false" customHeight="false" outlineLevel="0" collapsed="false">
      <c r="A351" s="316" t="s">
        <v>633</v>
      </c>
      <c r="B351" s="316"/>
      <c r="C351" s="316"/>
      <c r="D351" s="316"/>
      <c r="E351" s="316"/>
      <c r="F351" s="316"/>
      <c r="G351" s="316"/>
      <c r="H351" s="316"/>
      <c r="I351" s="316"/>
      <c r="J351" s="316"/>
      <c r="K351" s="316"/>
      <c r="L351" s="316"/>
      <c r="M351" s="316"/>
      <c r="N351" s="316"/>
      <c r="O351" s="316"/>
      <c r="P351" s="316"/>
      <c r="Q351" s="316"/>
      <c r="R351" s="316"/>
      <c r="S351" s="316"/>
      <c r="T351" s="316"/>
      <c r="U351" s="316"/>
      <c r="V351" s="316"/>
      <c r="W351" s="316"/>
      <c r="X351" s="316"/>
    </row>
    <row r="352" customFormat="false" ht="14.25" hidden="false" customHeight="false" outlineLevel="0" collapsed="false">
      <c r="A352" s="312" t="s">
        <v>630</v>
      </c>
      <c r="B352" s="202" t="s">
        <v>36</v>
      </c>
      <c r="C352" s="203" t="n">
        <v>1980</v>
      </c>
      <c r="D352" s="203" t="n">
        <v>2020</v>
      </c>
      <c r="E352" s="203" t="n">
        <f aca="false">D352+5</f>
        <v>2025</v>
      </c>
      <c r="F352" s="203" t="n">
        <f aca="false">E352+5</f>
        <v>2030</v>
      </c>
      <c r="G352" s="203" t="n">
        <f aca="false">F352+5</f>
        <v>2035</v>
      </c>
      <c r="H352" s="203" t="n">
        <f aca="false">G352+5</f>
        <v>2040</v>
      </c>
      <c r="I352" s="203" t="n">
        <f aca="false">H352+5</f>
        <v>2045</v>
      </c>
      <c r="J352" s="203" t="n">
        <f aca="false">I352+5</f>
        <v>2050</v>
      </c>
      <c r="K352" s="203" t="n">
        <f aca="false">J352+5</f>
        <v>2055</v>
      </c>
      <c r="L352" s="203" t="n">
        <f aca="false">K352+5</f>
        <v>2060</v>
      </c>
      <c r="M352" s="203" t="n">
        <f aca="false">L352+5</f>
        <v>2065</v>
      </c>
      <c r="N352" s="203" t="n">
        <f aca="false">M352+5</f>
        <v>2070</v>
      </c>
      <c r="O352" s="203" t="n">
        <f aca="false">N352+5</f>
        <v>2075</v>
      </c>
      <c r="P352" s="203" t="n">
        <f aca="false">O352+5</f>
        <v>2080</v>
      </c>
      <c r="Q352" s="203" t="n">
        <f aca="false">P352+5</f>
        <v>2085</v>
      </c>
      <c r="R352" s="203" t="n">
        <f aca="false">Q352+5</f>
        <v>2090</v>
      </c>
      <c r="S352" s="203" t="n">
        <f aca="false">R352+5</f>
        <v>2095</v>
      </c>
      <c r="T352" s="203" t="n">
        <f aca="false">S352+5</f>
        <v>2100</v>
      </c>
      <c r="U352" s="203" t="n">
        <f aca="false">T352+5</f>
        <v>2105</v>
      </c>
      <c r="V352" s="203" t="n">
        <f aca="false">U352+5</f>
        <v>2110</v>
      </c>
      <c r="W352" s="203" t="n">
        <f aca="false">V352+5</f>
        <v>2115</v>
      </c>
      <c r="X352" s="203" t="n">
        <f aca="false">W352+5</f>
        <v>2120</v>
      </c>
    </row>
    <row r="353" customFormat="false" ht="14.25" hidden="false" customHeight="false" outlineLevel="0" collapsed="false">
      <c r="A353" s="312" t="s">
        <v>633</v>
      </c>
      <c r="B353" s="202" t="s">
        <v>634</v>
      </c>
      <c r="C353" s="203"/>
      <c r="D353" s="203" t="n">
        <v>345</v>
      </c>
      <c r="E353" s="203"/>
      <c r="F353" s="203" t="n">
        <v>345</v>
      </c>
      <c r="G353" s="203"/>
      <c r="H353" s="203" t="n">
        <v>298</v>
      </c>
      <c r="I353" s="203"/>
      <c r="J353" s="203" t="n">
        <v>333</v>
      </c>
      <c r="K353" s="203"/>
      <c r="L353" s="203"/>
      <c r="M353" s="203"/>
      <c r="N353" s="203"/>
      <c r="O353" s="203"/>
      <c r="P353" s="203"/>
      <c r="Q353" s="203"/>
      <c r="R353" s="203"/>
      <c r="S353" s="203"/>
      <c r="T353" s="203"/>
      <c r="U353" s="203"/>
      <c r="V353" s="203"/>
      <c r="W353" s="203"/>
      <c r="X353" s="203"/>
    </row>
    <row r="354" customFormat="false" ht="14.25" hidden="false" customHeight="false" outlineLevel="0" collapsed="false">
      <c r="H354" s="54"/>
      <c r="J354" s="57"/>
    </row>
    <row r="355" customFormat="false" ht="14.25" hidden="false" customHeight="false" outlineLevel="0" collapsed="false">
      <c r="H355" s="54"/>
      <c r="J355" s="57"/>
    </row>
    <row r="356" customFormat="false" ht="14.25" hidden="false" customHeight="false" outlineLevel="0" collapsed="false">
      <c r="H356" s="54"/>
      <c r="J356" s="57"/>
    </row>
    <row r="357" customFormat="false" ht="14.25" hidden="false" customHeight="false" outlineLevel="0" collapsed="false">
      <c r="H357" s="54"/>
      <c r="J357" s="57"/>
    </row>
    <row r="358" customFormat="false" ht="14.25" hidden="false" customHeight="false" outlineLevel="0" collapsed="false">
      <c r="H358" s="54"/>
      <c r="J358" s="57"/>
    </row>
    <row r="359" customFormat="false" ht="24.45" hidden="false" customHeight="false" outlineLevel="0" collapsed="false">
      <c r="A359" s="199" t="s">
        <v>635</v>
      </c>
    </row>
    <row r="362" customFormat="false" ht="14.25" hidden="false" customHeight="false" outlineLevel="0" collapsed="false">
      <c r="H362" s="321"/>
    </row>
    <row r="363" customFormat="false" ht="14.25" hidden="false" customHeight="false" outlineLevel="0" collapsed="false">
      <c r="H363" s="321"/>
    </row>
    <row r="364" customFormat="false" ht="17.35" hidden="false" customHeight="false" outlineLevel="0" collapsed="false">
      <c r="A364" s="200" t="s">
        <v>636</v>
      </c>
      <c r="B364" s="200"/>
      <c r="C364" s="200"/>
      <c r="D364" s="200"/>
      <c r="E364" s="200"/>
      <c r="F364" s="200"/>
      <c r="G364" s="200"/>
      <c r="H364" s="200"/>
    </row>
    <row r="365" customFormat="false" ht="14.25" hidden="false" customHeight="false" outlineLevel="0" collapsed="false">
      <c r="A365" s="322" t="s">
        <v>36</v>
      </c>
      <c r="B365" s="203" t="n">
        <v>2020</v>
      </c>
      <c r="C365" s="203" t="n">
        <v>2025</v>
      </c>
      <c r="D365" s="203" t="n">
        <v>2030</v>
      </c>
      <c r="E365" s="203" t="n">
        <v>2035</v>
      </c>
      <c r="F365" s="203" t="n">
        <v>2040</v>
      </c>
      <c r="G365" s="203" t="n">
        <v>2045</v>
      </c>
      <c r="H365" s="204" t="n">
        <v>2050</v>
      </c>
    </row>
    <row r="366" customFormat="false" ht="14.25" hidden="false" customHeight="false" outlineLevel="0" collapsed="false">
      <c r="A366" s="305" t="s">
        <v>472</v>
      </c>
      <c r="B366" s="305"/>
      <c r="C366" s="305"/>
      <c r="D366" s="305"/>
      <c r="E366" s="305"/>
      <c r="F366" s="305"/>
      <c r="G366" s="305"/>
      <c r="H366" s="305"/>
    </row>
    <row r="367" customFormat="false" ht="14.25" hidden="false" customHeight="false" outlineLevel="0" collapsed="false">
      <c r="A367" s="323" t="s">
        <v>637</v>
      </c>
      <c r="B367" s="203" t="n">
        <v>18.8</v>
      </c>
      <c r="C367" s="203" t="n">
        <v>16.1316315</v>
      </c>
      <c r="D367" s="203" t="n">
        <v>100</v>
      </c>
      <c r="E367" s="203" t="n">
        <v>100</v>
      </c>
      <c r="F367" s="203" t="n">
        <v>100</v>
      </c>
      <c r="G367" s="203" t="n">
        <v>100</v>
      </c>
      <c r="H367" s="203" t="n">
        <v>100</v>
      </c>
    </row>
    <row r="368" customFormat="false" ht="14.25" hidden="false" customHeight="false" outlineLevel="0" collapsed="false">
      <c r="A368" s="305" t="s">
        <v>479</v>
      </c>
      <c r="B368" s="305"/>
      <c r="C368" s="305"/>
      <c r="D368" s="305"/>
      <c r="E368" s="305"/>
      <c r="F368" s="305"/>
      <c r="G368" s="305"/>
      <c r="H368" s="305"/>
      <c r="I368" s="57"/>
    </row>
    <row r="369" customFormat="false" ht="14.25" hidden="false" customHeight="false" outlineLevel="0" collapsed="false">
      <c r="A369" s="323" t="s">
        <v>637</v>
      </c>
      <c r="B369" s="203" t="n">
        <v>13.3</v>
      </c>
      <c r="C369" s="203" t="n">
        <v>11.39042</v>
      </c>
      <c r="D369" s="203" t="n">
        <v>100</v>
      </c>
      <c r="E369" s="203" t="n">
        <v>100</v>
      </c>
      <c r="F369" s="203" t="n">
        <v>100</v>
      </c>
      <c r="G369" s="203" t="n">
        <v>100</v>
      </c>
      <c r="H369" s="203" t="n">
        <v>100</v>
      </c>
    </row>
    <row r="370" customFormat="false" ht="14.25" hidden="false" customHeight="false" outlineLevel="0" collapsed="false">
      <c r="A370" s="305" t="s">
        <v>485</v>
      </c>
      <c r="B370" s="305"/>
      <c r="C370" s="305"/>
      <c r="D370" s="305"/>
      <c r="E370" s="305"/>
      <c r="F370" s="305"/>
      <c r="G370" s="305"/>
      <c r="H370" s="305"/>
      <c r="I370" s="57"/>
    </row>
    <row r="371" customFormat="false" ht="14.25" hidden="false" customHeight="false" outlineLevel="0" collapsed="false">
      <c r="A371" s="324" t="s">
        <v>637</v>
      </c>
      <c r="B371" s="325" t="n">
        <v>2.4</v>
      </c>
      <c r="C371" s="325" t="n">
        <v>2.083</v>
      </c>
      <c r="D371" s="203" t="n">
        <v>100</v>
      </c>
      <c r="E371" s="203" t="n">
        <v>100</v>
      </c>
      <c r="F371" s="203" t="n">
        <v>100</v>
      </c>
      <c r="G371" s="203" t="n">
        <v>100</v>
      </c>
      <c r="H371" s="203" t="n">
        <v>100</v>
      </c>
    </row>
    <row r="373" customFormat="false" ht="17.35" hidden="false" customHeight="false" outlineLevel="0" collapsed="false">
      <c r="A373" s="200" t="s">
        <v>638</v>
      </c>
      <c r="B373" s="200"/>
      <c r="C373" s="200"/>
      <c r="D373" s="200"/>
      <c r="E373" s="200"/>
      <c r="F373" s="200"/>
      <c r="G373" s="200"/>
      <c r="H373" s="200"/>
      <c r="I373" s="200"/>
    </row>
    <row r="374" customFormat="false" ht="14.25" hidden="false" customHeight="false" outlineLevel="0" collapsed="false">
      <c r="A374" s="326"/>
      <c r="B374" s="202" t="s">
        <v>36</v>
      </c>
      <c r="C374" s="203" t="n">
        <v>2020</v>
      </c>
      <c r="D374" s="203" t="n">
        <v>2025</v>
      </c>
      <c r="E374" s="203" t="n">
        <v>2030</v>
      </c>
      <c r="F374" s="203" t="n">
        <v>2035</v>
      </c>
      <c r="G374" s="203" t="n">
        <v>2040</v>
      </c>
      <c r="H374" s="203" t="n">
        <v>2045</v>
      </c>
      <c r="I374" s="204" t="n">
        <v>2050</v>
      </c>
    </row>
    <row r="375" customFormat="false" ht="14.25" hidden="false" customHeight="false" outlineLevel="0" collapsed="false">
      <c r="A375" s="312" t="s">
        <v>639</v>
      </c>
      <c r="B375" s="202" t="s">
        <v>146</v>
      </c>
      <c r="C375" s="204" t="n">
        <v>-0.01</v>
      </c>
      <c r="D375" s="204" t="n">
        <v>-0.013</v>
      </c>
      <c r="E375" s="204" t="n">
        <v>-0.016</v>
      </c>
      <c r="F375" s="204" t="n">
        <v>-0.019</v>
      </c>
      <c r="G375" s="204" t="n">
        <v>-0.023</v>
      </c>
      <c r="H375" s="204" t="n">
        <v>-0.026</v>
      </c>
      <c r="I375" s="204" t="n">
        <v>-0.029</v>
      </c>
    </row>
    <row r="376" customFormat="false" ht="14.25" hidden="false" customHeight="false" outlineLevel="0" collapsed="false">
      <c r="A376" s="319" t="s">
        <v>640</v>
      </c>
      <c r="B376" s="205" t="s">
        <v>327</v>
      </c>
      <c r="C376" s="304" t="n">
        <v>0</v>
      </c>
      <c r="D376" s="304" t="n">
        <v>0</v>
      </c>
      <c r="E376" s="304" t="n">
        <v>0</v>
      </c>
      <c r="F376" s="304" t="n">
        <v>0</v>
      </c>
      <c r="G376" s="304" t="n">
        <v>0</v>
      </c>
      <c r="H376" s="304" t="n">
        <v>0</v>
      </c>
      <c r="I376" s="304" t="n">
        <v>0</v>
      </c>
    </row>
    <row r="380" customFormat="false" ht="24.45" hidden="false" customHeight="false" outlineLevel="0" collapsed="false">
      <c r="A380" s="199" t="s">
        <v>641</v>
      </c>
      <c r="H380" s="54"/>
      <c r="J380" s="57"/>
    </row>
    <row r="381" customFormat="false" ht="17.35" hidden="false" customHeight="false" outlineLevel="0" collapsed="false">
      <c r="A381" s="200" t="s">
        <v>642</v>
      </c>
      <c r="B381" s="200"/>
      <c r="C381" s="200"/>
      <c r="H381" s="54"/>
      <c r="J381" s="57"/>
    </row>
    <row r="382" customFormat="false" ht="14.25" hidden="false" customHeight="false" outlineLevel="0" collapsed="false">
      <c r="A382" s="312" t="s">
        <v>416</v>
      </c>
      <c r="B382" s="202" t="s">
        <v>28</v>
      </c>
      <c r="C382" s="204" t="n">
        <v>0</v>
      </c>
    </row>
    <row r="383" customFormat="false" ht="14.25" hidden="false" customHeight="false" outlineLevel="0" collapsed="false">
      <c r="A383" s="312" t="s">
        <v>418</v>
      </c>
      <c r="B383" s="202" t="s">
        <v>125</v>
      </c>
      <c r="C383" s="204" t="n">
        <v>200</v>
      </c>
    </row>
    <row r="384" customFormat="false" ht="14.25" hidden="false" customHeight="false" outlineLevel="0" collapsed="false">
      <c r="A384" s="312" t="s">
        <v>420</v>
      </c>
      <c r="B384" s="202" t="s">
        <v>643</v>
      </c>
      <c r="C384" s="327" t="n">
        <v>0.0074</v>
      </c>
    </row>
    <row r="385" customFormat="false" ht="14.25" hidden="false" customHeight="false" outlineLevel="0" collapsed="false">
      <c r="A385" s="312" t="s">
        <v>644</v>
      </c>
      <c r="B385" s="202" t="s">
        <v>36</v>
      </c>
      <c r="C385" s="204" t="n">
        <v>2020</v>
      </c>
    </row>
    <row r="386" customFormat="false" ht="14.25" hidden="false" customHeight="false" outlineLevel="0" collapsed="false">
      <c r="A386" s="312" t="s">
        <v>424</v>
      </c>
      <c r="B386" s="202" t="s">
        <v>645</v>
      </c>
      <c r="C386" s="204" t="n">
        <v>185</v>
      </c>
    </row>
    <row r="387" customFormat="false" ht="14.25" hidden="false" customHeight="false" outlineLevel="0" collapsed="false">
      <c r="A387" s="312" t="s">
        <v>427</v>
      </c>
      <c r="B387" s="202" t="s">
        <v>36</v>
      </c>
      <c r="C387" s="204" t="n">
        <v>2020</v>
      </c>
    </row>
    <row r="388" customFormat="false" ht="14.25" hidden="false" customHeight="false" outlineLevel="0" collapsed="false">
      <c r="A388" s="319" t="s">
        <v>428</v>
      </c>
      <c r="B388" s="205" t="s">
        <v>36</v>
      </c>
      <c r="C388" s="242" t="n">
        <v>2050</v>
      </c>
    </row>
    <row r="390" customFormat="false" ht="14.25" hidden="false" customHeight="true" outlineLevel="0" collapsed="false">
      <c r="A390" s="328" t="s">
        <v>70</v>
      </c>
      <c r="B390" s="328"/>
      <c r="C390" s="328"/>
      <c r="F390" s="321"/>
      <c r="G390" s="321"/>
      <c r="H390" s="321"/>
      <c r="I390" s="321"/>
      <c r="J390" s="321"/>
      <c r="K390" s="321"/>
      <c r="L390" s="321"/>
      <c r="M390" s="321"/>
      <c r="N390" s="321"/>
      <c r="O390" s="321"/>
      <c r="P390" s="321"/>
      <c r="Q390" s="321"/>
      <c r="R390" s="321"/>
      <c r="S390" s="321"/>
      <c r="T390" s="321"/>
      <c r="U390" s="321"/>
      <c r="V390" s="321"/>
      <c r="W390" s="321"/>
      <c r="X390" s="321"/>
      <c r="Y390" s="321"/>
      <c r="Z390" s="321"/>
      <c r="AA390" s="321"/>
      <c r="AB390" s="321"/>
      <c r="AC390" s="321"/>
      <c r="AD390" s="321"/>
      <c r="AE390" s="321"/>
      <c r="AF390" s="321"/>
      <c r="AG390" s="321"/>
      <c r="AH390" s="321"/>
      <c r="AI390" s="321"/>
      <c r="AJ390" s="321"/>
      <c r="AK390" s="321"/>
      <c r="AL390" s="321"/>
    </row>
    <row r="391" customFormat="false" ht="14.25" hidden="false" customHeight="false" outlineLevel="0" collapsed="false">
      <c r="A391" s="329" t="s">
        <v>75</v>
      </c>
      <c r="B391" s="259" t="s">
        <v>76</v>
      </c>
      <c r="C391" s="330" t="n">
        <v>135</v>
      </c>
      <c r="F391" s="321"/>
      <c r="G391" s="321"/>
      <c r="H391" s="321"/>
      <c r="I391" s="321"/>
      <c r="J391" s="321"/>
      <c r="K391" s="321"/>
      <c r="L391" s="321"/>
      <c r="M391" s="321"/>
      <c r="N391" s="321"/>
      <c r="O391" s="321"/>
      <c r="P391" s="321"/>
      <c r="Q391" s="321"/>
      <c r="R391" s="321"/>
      <c r="S391" s="321"/>
      <c r="T391" s="321"/>
      <c r="U391" s="321"/>
      <c r="V391" s="321"/>
      <c r="W391" s="321"/>
      <c r="X391" s="321"/>
      <c r="Y391" s="321"/>
      <c r="Z391" s="321"/>
      <c r="AA391" s="321"/>
      <c r="AB391" s="321"/>
      <c r="AC391" s="321"/>
      <c r="AD391" s="321"/>
      <c r="AE391" s="321"/>
      <c r="AF391" s="321"/>
      <c r="AG391" s="321"/>
      <c r="AH391" s="321"/>
      <c r="AI391" s="321"/>
      <c r="AJ391" s="321"/>
      <c r="AK391" s="321"/>
      <c r="AL391" s="321"/>
    </row>
    <row r="392" customFormat="false" ht="14.25" hidden="false" customHeight="false" outlineLevel="0" collapsed="false">
      <c r="A392" s="312" t="s">
        <v>74</v>
      </c>
      <c r="B392" s="202" t="s">
        <v>28</v>
      </c>
      <c r="C392" s="204" t="n">
        <v>0.2</v>
      </c>
      <c r="F392" s="321"/>
      <c r="G392" s="321"/>
      <c r="H392" s="321"/>
      <c r="I392" s="321"/>
      <c r="J392" s="321"/>
      <c r="K392" s="321"/>
      <c r="L392" s="321"/>
      <c r="M392" s="321"/>
      <c r="N392" s="321"/>
      <c r="O392" s="321"/>
      <c r="P392" s="321"/>
      <c r="Q392" s="321"/>
      <c r="R392" s="321"/>
      <c r="S392" s="321"/>
      <c r="T392" s="321"/>
      <c r="U392" s="321"/>
      <c r="V392" s="321"/>
      <c r="W392" s="321"/>
      <c r="X392" s="321"/>
      <c r="Y392" s="321"/>
      <c r="Z392" s="321"/>
      <c r="AA392" s="321"/>
      <c r="AB392" s="321"/>
      <c r="AC392" s="321"/>
      <c r="AD392" s="321"/>
      <c r="AE392" s="321"/>
      <c r="AF392" s="321"/>
      <c r="AG392" s="321"/>
      <c r="AH392" s="321"/>
      <c r="AI392" s="321"/>
      <c r="AJ392" s="321"/>
      <c r="AK392" s="321"/>
      <c r="AL392" s="321"/>
    </row>
    <row r="393" customFormat="false" ht="14.25" hidden="false" customHeight="false" outlineLevel="0" collapsed="false">
      <c r="A393" s="312" t="s">
        <v>80</v>
      </c>
      <c r="B393" s="202" t="s">
        <v>28</v>
      </c>
      <c r="C393" s="204" t="n">
        <v>2020</v>
      </c>
      <c r="F393" s="321"/>
      <c r="G393" s="321"/>
      <c r="H393" s="321"/>
      <c r="I393" s="321"/>
      <c r="J393" s="321"/>
      <c r="K393" s="321"/>
      <c r="L393" s="321"/>
      <c r="M393" s="321"/>
      <c r="N393" s="321"/>
      <c r="O393" s="321"/>
      <c r="P393" s="321"/>
      <c r="Q393" s="321"/>
      <c r="R393" s="321"/>
      <c r="S393" s="321"/>
      <c r="T393" s="321"/>
      <c r="U393" s="321"/>
      <c r="V393" s="321"/>
      <c r="W393" s="321"/>
      <c r="X393" s="321"/>
      <c r="Y393" s="321"/>
      <c r="Z393" s="321"/>
      <c r="AA393" s="321"/>
      <c r="AB393" s="321"/>
      <c r="AC393" s="321"/>
      <c r="AD393" s="321"/>
      <c r="AE393" s="321"/>
      <c r="AF393" s="321"/>
      <c r="AG393" s="321"/>
      <c r="AH393" s="321"/>
      <c r="AI393" s="321"/>
      <c r="AJ393" s="321"/>
      <c r="AK393" s="321"/>
      <c r="AL393" s="321"/>
    </row>
    <row r="394" customFormat="false" ht="14.25" hidden="false" customHeight="false" outlineLevel="0" collapsed="false">
      <c r="A394" s="319" t="s">
        <v>83</v>
      </c>
      <c r="B394" s="205" t="s">
        <v>28</v>
      </c>
      <c r="C394" s="242" t="n">
        <v>2050</v>
      </c>
      <c r="F394" s="321"/>
      <c r="G394" s="321"/>
      <c r="H394" s="321"/>
      <c r="I394" s="321"/>
      <c r="J394" s="321"/>
      <c r="K394" s="321"/>
      <c r="L394" s="321"/>
      <c r="M394" s="321"/>
      <c r="N394" s="321"/>
      <c r="O394" s="321"/>
      <c r="P394" s="321"/>
      <c r="Q394" s="321"/>
      <c r="R394" s="321"/>
      <c r="S394" s="321"/>
      <c r="T394" s="321"/>
      <c r="U394" s="321"/>
      <c r="V394" s="321"/>
      <c r="W394" s="321"/>
      <c r="X394" s="321"/>
      <c r="Y394" s="321"/>
      <c r="Z394" s="321"/>
      <c r="AA394" s="321"/>
      <c r="AB394" s="321"/>
      <c r="AC394" s="321"/>
      <c r="AD394" s="321"/>
      <c r="AE394" s="321"/>
      <c r="AF394" s="321"/>
      <c r="AG394" s="321"/>
      <c r="AH394" s="321"/>
      <c r="AI394" s="321"/>
      <c r="AJ394" s="321"/>
      <c r="AK394" s="321"/>
      <c r="AL394" s="321"/>
    </row>
    <row r="397" customFormat="false" ht="17.35" hidden="false" customHeight="false" outlineLevel="0" collapsed="false">
      <c r="A397" s="328" t="s">
        <v>86</v>
      </c>
      <c r="B397" s="328"/>
      <c r="C397" s="328"/>
    </row>
    <row r="398" customFormat="false" ht="14.25" hidden="false" customHeight="false" outlineLevel="0" collapsed="false">
      <c r="A398" s="312" t="s">
        <v>89</v>
      </c>
      <c r="B398" s="202" t="s">
        <v>28</v>
      </c>
      <c r="C398" s="304" t="n">
        <v>0.5</v>
      </c>
    </row>
    <row r="399" customFormat="false" ht="14.25" hidden="false" customHeight="false" outlineLevel="0" collapsed="false">
      <c r="A399" s="312" t="s">
        <v>92</v>
      </c>
      <c r="B399" s="202" t="s">
        <v>28</v>
      </c>
      <c r="C399" s="304" t="n">
        <v>0.5</v>
      </c>
    </row>
    <row r="400" customFormat="false" ht="14.25" hidden="false" customHeight="false" outlineLevel="0" collapsed="false">
      <c r="A400" s="312" t="s">
        <v>93</v>
      </c>
      <c r="B400" s="202" t="s">
        <v>28</v>
      </c>
      <c r="C400" s="304" t="n">
        <v>0.5</v>
      </c>
    </row>
    <row r="401" customFormat="false" ht="14.25" hidden="false" customHeight="false" outlineLevel="0" collapsed="false">
      <c r="A401" s="319" t="s">
        <v>118</v>
      </c>
      <c r="B401" s="205" t="s">
        <v>28</v>
      </c>
      <c r="C401" s="331" t="n">
        <v>0.5</v>
      </c>
    </row>
    <row r="403" customFormat="false" ht="15.75" hidden="false" customHeight="true" outlineLevel="0" collapsed="false">
      <c r="A403" s="328" t="s">
        <v>646</v>
      </c>
      <c r="B403" s="328"/>
      <c r="C403" s="332" t="s">
        <v>576</v>
      </c>
      <c r="D403" s="333" t="s">
        <v>579</v>
      </c>
      <c r="E403" s="333" t="s">
        <v>647</v>
      </c>
      <c r="F403" s="333" t="s">
        <v>648</v>
      </c>
      <c r="G403" s="333" t="s">
        <v>649</v>
      </c>
      <c r="H403" s="333" t="s">
        <v>650</v>
      </c>
      <c r="I403" s="333" t="s">
        <v>651</v>
      </c>
      <c r="J403" s="333" t="s">
        <v>652</v>
      </c>
      <c r="K403" s="333" t="s">
        <v>354</v>
      </c>
      <c r="L403" s="333" t="s">
        <v>653</v>
      </c>
      <c r="M403" s="333" t="s">
        <v>654</v>
      </c>
      <c r="N403" s="333" t="s">
        <v>655</v>
      </c>
      <c r="O403" s="333" t="s">
        <v>656</v>
      </c>
      <c r="P403" s="333" t="s">
        <v>657</v>
      </c>
      <c r="Q403" s="334" t="s">
        <v>658</v>
      </c>
    </row>
    <row r="404" customFormat="false" ht="14.25" hidden="false" customHeight="false" outlineLevel="0" collapsed="false">
      <c r="A404" s="312" t="s">
        <v>659</v>
      </c>
      <c r="B404" s="335" t="s">
        <v>374</v>
      </c>
      <c r="C404" s="204" t="s">
        <v>660</v>
      </c>
      <c r="D404" s="204" t="s">
        <v>660</v>
      </c>
      <c r="E404" s="204" t="s">
        <v>660</v>
      </c>
      <c r="F404" s="204" t="s">
        <v>660</v>
      </c>
      <c r="G404" s="204" t="s">
        <v>660</v>
      </c>
      <c r="H404" s="204" t="s">
        <v>660</v>
      </c>
      <c r="I404" s="204" t="s">
        <v>660</v>
      </c>
      <c r="J404" s="204" t="s">
        <v>660</v>
      </c>
      <c r="K404" s="204" t="s">
        <v>660</v>
      </c>
      <c r="L404" s="204" t="s">
        <v>660</v>
      </c>
      <c r="M404" s="204" t="s">
        <v>660</v>
      </c>
      <c r="N404" s="204" t="s">
        <v>660</v>
      </c>
      <c r="O404" s="204" t="s">
        <v>660</v>
      </c>
      <c r="P404" s="204" t="s">
        <v>660</v>
      </c>
      <c r="Q404" s="204" t="s">
        <v>660</v>
      </c>
    </row>
    <row r="405" customFormat="false" ht="14.25" hidden="false" customHeight="false" outlineLevel="0" collapsed="false">
      <c r="A405" s="312" t="s">
        <v>661</v>
      </c>
      <c r="B405" s="335"/>
      <c r="C405" s="204" t="s">
        <v>660</v>
      </c>
      <c r="D405" s="204" t="s">
        <v>660</v>
      </c>
      <c r="E405" s="204" t="s">
        <v>660</v>
      </c>
      <c r="F405" s="204" t="s">
        <v>660</v>
      </c>
      <c r="G405" s="204" t="s">
        <v>660</v>
      </c>
      <c r="H405" s="204" t="s">
        <v>660</v>
      </c>
      <c r="I405" s="204" t="s">
        <v>660</v>
      </c>
      <c r="J405" s="204" t="s">
        <v>660</v>
      </c>
      <c r="K405" s="204" t="s">
        <v>660</v>
      </c>
      <c r="L405" s="204" t="s">
        <v>660</v>
      </c>
      <c r="M405" s="204" t="s">
        <v>660</v>
      </c>
      <c r="N405" s="204" t="s">
        <v>660</v>
      </c>
      <c r="O405" s="204" t="s">
        <v>660</v>
      </c>
      <c r="P405" s="204" t="s">
        <v>660</v>
      </c>
      <c r="Q405" s="204" t="s">
        <v>660</v>
      </c>
    </row>
    <row r="406" customFormat="false" ht="14.25" hidden="false" customHeight="false" outlineLevel="0" collapsed="false">
      <c r="A406" s="312" t="s">
        <v>662</v>
      </c>
      <c r="B406" s="335"/>
      <c r="C406" s="204" t="s">
        <v>660</v>
      </c>
      <c r="D406" s="204" t="s">
        <v>660</v>
      </c>
      <c r="E406" s="204" t="s">
        <v>660</v>
      </c>
      <c r="F406" s="204" t="s">
        <v>660</v>
      </c>
      <c r="G406" s="204" t="s">
        <v>660</v>
      </c>
      <c r="H406" s="204" t="s">
        <v>660</v>
      </c>
      <c r="I406" s="204" t="s">
        <v>660</v>
      </c>
      <c r="J406" s="204" t="s">
        <v>660</v>
      </c>
      <c r="K406" s="204" t="s">
        <v>660</v>
      </c>
      <c r="L406" s="204" t="s">
        <v>660</v>
      </c>
      <c r="M406" s="204" t="s">
        <v>660</v>
      </c>
      <c r="N406" s="204" t="s">
        <v>660</v>
      </c>
      <c r="O406" s="204" t="s">
        <v>660</v>
      </c>
      <c r="P406" s="204" t="s">
        <v>660</v>
      </c>
      <c r="Q406" s="204" t="s">
        <v>660</v>
      </c>
    </row>
    <row r="407" customFormat="false" ht="14.25" hidden="false" customHeight="false" outlineLevel="0" collapsed="false">
      <c r="A407" s="312" t="s">
        <v>663</v>
      </c>
      <c r="B407" s="335"/>
      <c r="C407" s="204" t="s">
        <v>660</v>
      </c>
      <c r="D407" s="204" t="s">
        <v>660</v>
      </c>
      <c r="E407" s="204" t="s">
        <v>660</v>
      </c>
      <c r="F407" s="204" t="s">
        <v>660</v>
      </c>
      <c r="G407" s="204" t="s">
        <v>660</v>
      </c>
      <c r="H407" s="204" t="s">
        <v>660</v>
      </c>
      <c r="I407" s="204" t="s">
        <v>660</v>
      </c>
      <c r="J407" s="204" t="s">
        <v>660</v>
      </c>
      <c r="K407" s="204" t="s">
        <v>660</v>
      </c>
      <c r="L407" s="204" t="s">
        <v>660</v>
      </c>
      <c r="M407" s="204" t="s">
        <v>660</v>
      </c>
      <c r="N407" s="204" t="s">
        <v>660</v>
      </c>
      <c r="O407" s="204" t="s">
        <v>660</v>
      </c>
      <c r="P407" s="204" t="s">
        <v>660</v>
      </c>
      <c r="Q407" s="204" t="s">
        <v>660</v>
      </c>
    </row>
    <row r="408" customFormat="false" ht="14.25" hidden="false" customHeight="false" outlineLevel="0" collapsed="false">
      <c r="A408" s="312" t="s">
        <v>664</v>
      </c>
      <c r="B408" s="335"/>
      <c r="C408" s="204" t="s">
        <v>660</v>
      </c>
      <c r="D408" s="204" t="s">
        <v>660</v>
      </c>
      <c r="E408" s="204" t="s">
        <v>660</v>
      </c>
      <c r="F408" s="204" t="s">
        <v>660</v>
      </c>
      <c r="G408" s="204" t="s">
        <v>660</v>
      </c>
      <c r="H408" s="204" t="s">
        <v>660</v>
      </c>
      <c r="I408" s="204" t="s">
        <v>660</v>
      </c>
      <c r="J408" s="204" t="s">
        <v>660</v>
      </c>
      <c r="K408" s="204" t="s">
        <v>660</v>
      </c>
      <c r="L408" s="204" t="s">
        <v>660</v>
      </c>
      <c r="M408" s="204" t="s">
        <v>660</v>
      </c>
      <c r="N408" s="204" t="s">
        <v>660</v>
      </c>
      <c r="O408" s="204" t="s">
        <v>660</v>
      </c>
      <c r="P408" s="204" t="s">
        <v>660</v>
      </c>
      <c r="Q408" s="204" t="s">
        <v>660</v>
      </c>
    </row>
    <row r="409" customFormat="false" ht="14.25" hidden="false" customHeight="false" outlineLevel="0" collapsed="false">
      <c r="A409" s="312" t="s">
        <v>659</v>
      </c>
      <c r="B409" s="335" t="s">
        <v>375</v>
      </c>
      <c r="C409" s="204" t="s">
        <v>660</v>
      </c>
      <c r="D409" s="204" t="s">
        <v>660</v>
      </c>
      <c r="E409" s="204" t="s">
        <v>660</v>
      </c>
      <c r="F409" s="204" t="s">
        <v>660</v>
      </c>
      <c r="G409" s="204" t="s">
        <v>660</v>
      </c>
      <c r="H409" s="204" t="s">
        <v>660</v>
      </c>
      <c r="I409" s="204" t="s">
        <v>660</v>
      </c>
      <c r="J409" s="204" t="s">
        <v>660</v>
      </c>
      <c r="K409" s="204" t="s">
        <v>660</v>
      </c>
      <c r="L409" s="204" t="s">
        <v>660</v>
      </c>
      <c r="M409" s="204" t="s">
        <v>660</v>
      </c>
      <c r="N409" s="204" t="s">
        <v>660</v>
      </c>
      <c r="O409" s="204" t="s">
        <v>660</v>
      </c>
      <c r="P409" s="204" t="s">
        <v>660</v>
      </c>
      <c r="Q409" s="204" t="s">
        <v>660</v>
      </c>
    </row>
    <row r="410" customFormat="false" ht="14.25" hidden="false" customHeight="false" outlineLevel="0" collapsed="false">
      <c r="A410" s="312" t="s">
        <v>661</v>
      </c>
      <c r="B410" s="335"/>
      <c r="C410" s="204" t="s">
        <v>660</v>
      </c>
      <c r="D410" s="204" t="s">
        <v>660</v>
      </c>
      <c r="E410" s="204" t="s">
        <v>660</v>
      </c>
      <c r="F410" s="204" t="s">
        <v>660</v>
      </c>
      <c r="G410" s="204" t="s">
        <v>660</v>
      </c>
      <c r="H410" s="204" t="s">
        <v>660</v>
      </c>
      <c r="I410" s="204" t="s">
        <v>660</v>
      </c>
      <c r="J410" s="204" t="s">
        <v>660</v>
      </c>
      <c r="K410" s="204" t="s">
        <v>660</v>
      </c>
      <c r="L410" s="204" t="s">
        <v>660</v>
      </c>
      <c r="M410" s="204" t="s">
        <v>660</v>
      </c>
      <c r="N410" s="204" t="s">
        <v>660</v>
      </c>
      <c r="O410" s="204" t="s">
        <v>660</v>
      </c>
      <c r="P410" s="204" t="s">
        <v>660</v>
      </c>
      <c r="Q410" s="204" t="s">
        <v>660</v>
      </c>
    </row>
    <row r="411" customFormat="false" ht="14.25" hidden="false" customHeight="false" outlineLevel="0" collapsed="false">
      <c r="A411" s="312" t="s">
        <v>662</v>
      </c>
      <c r="B411" s="335"/>
      <c r="C411" s="204" t="s">
        <v>660</v>
      </c>
      <c r="D411" s="204" t="s">
        <v>660</v>
      </c>
      <c r="E411" s="204" t="s">
        <v>660</v>
      </c>
      <c r="F411" s="204" t="s">
        <v>660</v>
      </c>
      <c r="G411" s="204" t="s">
        <v>660</v>
      </c>
      <c r="H411" s="204" t="s">
        <v>660</v>
      </c>
      <c r="I411" s="204" t="s">
        <v>660</v>
      </c>
      <c r="J411" s="204" t="s">
        <v>660</v>
      </c>
      <c r="K411" s="204" t="s">
        <v>660</v>
      </c>
      <c r="L411" s="204" t="s">
        <v>660</v>
      </c>
      <c r="M411" s="204" t="s">
        <v>660</v>
      </c>
      <c r="N411" s="204" t="s">
        <v>660</v>
      </c>
      <c r="O411" s="204" t="s">
        <v>660</v>
      </c>
      <c r="P411" s="204" t="s">
        <v>660</v>
      </c>
      <c r="Q411" s="204" t="s">
        <v>660</v>
      </c>
    </row>
    <row r="412" customFormat="false" ht="14.25" hidden="false" customHeight="false" outlineLevel="0" collapsed="false">
      <c r="A412" s="312" t="s">
        <v>663</v>
      </c>
      <c r="B412" s="335"/>
      <c r="C412" s="204" t="s">
        <v>660</v>
      </c>
      <c r="D412" s="204" t="s">
        <v>660</v>
      </c>
      <c r="E412" s="204" t="s">
        <v>660</v>
      </c>
      <c r="F412" s="204" t="s">
        <v>660</v>
      </c>
      <c r="G412" s="204" t="s">
        <v>660</v>
      </c>
      <c r="H412" s="204" t="s">
        <v>660</v>
      </c>
      <c r="I412" s="204" t="s">
        <v>660</v>
      </c>
      <c r="J412" s="204" t="s">
        <v>660</v>
      </c>
      <c r="K412" s="204" t="s">
        <v>660</v>
      </c>
      <c r="L412" s="204" t="s">
        <v>660</v>
      </c>
      <c r="M412" s="204" t="s">
        <v>660</v>
      </c>
      <c r="N412" s="204" t="s">
        <v>660</v>
      </c>
      <c r="O412" s="204" t="s">
        <v>660</v>
      </c>
      <c r="P412" s="204" t="s">
        <v>660</v>
      </c>
      <c r="Q412" s="204" t="s">
        <v>660</v>
      </c>
    </row>
    <row r="413" customFormat="false" ht="14.25" hidden="false" customHeight="false" outlineLevel="0" collapsed="false">
      <c r="A413" s="312" t="s">
        <v>664</v>
      </c>
      <c r="B413" s="335"/>
      <c r="C413" s="204" t="s">
        <v>660</v>
      </c>
      <c r="D413" s="204" t="s">
        <v>660</v>
      </c>
      <c r="E413" s="204" t="s">
        <v>660</v>
      </c>
      <c r="F413" s="204" t="s">
        <v>660</v>
      </c>
      <c r="G413" s="204" t="s">
        <v>660</v>
      </c>
      <c r="H413" s="204" t="s">
        <v>660</v>
      </c>
      <c r="I413" s="204" t="s">
        <v>660</v>
      </c>
      <c r="J413" s="204" t="s">
        <v>660</v>
      </c>
      <c r="K413" s="204" t="s">
        <v>660</v>
      </c>
      <c r="L413" s="204" t="s">
        <v>660</v>
      </c>
      <c r="M413" s="204" t="s">
        <v>660</v>
      </c>
      <c r="N413" s="204" t="s">
        <v>660</v>
      </c>
      <c r="O413" s="204" t="s">
        <v>660</v>
      </c>
      <c r="P413" s="204" t="s">
        <v>660</v>
      </c>
      <c r="Q413" s="204" t="s">
        <v>660</v>
      </c>
    </row>
    <row r="414" customFormat="false" ht="14.25" hidden="false" customHeight="false" outlineLevel="0" collapsed="false">
      <c r="A414" s="312" t="s">
        <v>665</v>
      </c>
      <c r="B414" s="335" t="s">
        <v>376</v>
      </c>
      <c r="C414" s="204" t="s">
        <v>660</v>
      </c>
      <c r="D414" s="204" t="s">
        <v>660</v>
      </c>
      <c r="E414" s="204" t="s">
        <v>660</v>
      </c>
      <c r="F414" s="204" t="s">
        <v>660</v>
      </c>
      <c r="G414" s="204" t="s">
        <v>660</v>
      </c>
      <c r="H414" s="204" t="s">
        <v>660</v>
      </c>
      <c r="I414" s="204" t="s">
        <v>660</v>
      </c>
      <c r="J414" s="204" t="s">
        <v>660</v>
      </c>
      <c r="K414" s="204" t="s">
        <v>660</v>
      </c>
      <c r="L414" s="204" t="s">
        <v>660</v>
      </c>
      <c r="M414" s="204" t="s">
        <v>660</v>
      </c>
      <c r="N414" s="204" t="s">
        <v>660</v>
      </c>
      <c r="O414" s="204" t="s">
        <v>660</v>
      </c>
      <c r="P414" s="204" t="s">
        <v>660</v>
      </c>
      <c r="Q414" s="204" t="s">
        <v>660</v>
      </c>
    </row>
    <row r="415" customFormat="false" ht="14.25" hidden="false" customHeight="false" outlineLevel="0" collapsed="false">
      <c r="A415" s="312" t="s">
        <v>661</v>
      </c>
      <c r="B415" s="335"/>
      <c r="C415" s="204" t="s">
        <v>660</v>
      </c>
      <c r="D415" s="204" t="s">
        <v>660</v>
      </c>
      <c r="E415" s="204" t="s">
        <v>660</v>
      </c>
      <c r="F415" s="204" t="s">
        <v>660</v>
      </c>
      <c r="G415" s="204" t="s">
        <v>660</v>
      </c>
      <c r="H415" s="204" t="s">
        <v>660</v>
      </c>
      <c r="I415" s="204" t="s">
        <v>660</v>
      </c>
      <c r="J415" s="204" t="s">
        <v>660</v>
      </c>
      <c r="K415" s="204" t="s">
        <v>660</v>
      </c>
      <c r="L415" s="204" t="s">
        <v>660</v>
      </c>
      <c r="M415" s="204" t="s">
        <v>660</v>
      </c>
      <c r="N415" s="204" t="s">
        <v>660</v>
      </c>
      <c r="O415" s="204" t="s">
        <v>660</v>
      </c>
      <c r="P415" s="204" t="s">
        <v>660</v>
      </c>
      <c r="Q415" s="204" t="s">
        <v>660</v>
      </c>
    </row>
    <row r="416" customFormat="false" ht="14.25" hidden="false" customHeight="false" outlineLevel="0" collapsed="false">
      <c r="A416" s="312" t="s">
        <v>662</v>
      </c>
      <c r="B416" s="335"/>
      <c r="C416" s="204" t="s">
        <v>660</v>
      </c>
      <c r="D416" s="204" t="s">
        <v>660</v>
      </c>
      <c r="E416" s="204" t="s">
        <v>660</v>
      </c>
      <c r="F416" s="204" t="s">
        <v>660</v>
      </c>
      <c r="G416" s="204" t="s">
        <v>660</v>
      </c>
      <c r="H416" s="204" t="s">
        <v>660</v>
      </c>
      <c r="I416" s="204" t="s">
        <v>660</v>
      </c>
      <c r="J416" s="204" t="s">
        <v>660</v>
      </c>
      <c r="K416" s="204" t="s">
        <v>660</v>
      </c>
      <c r="L416" s="204" t="s">
        <v>660</v>
      </c>
      <c r="M416" s="204" t="s">
        <v>660</v>
      </c>
      <c r="N416" s="204" t="s">
        <v>660</v>
      </c>
      <c r="O416" s="204" t="s">
        <v>660</v>
      </c>
      <c r="P416" s="204" t="s">
        <v>660</v>
      </c>
      <c r="Q416" s="204" t="s">
        <v>660</v>
      </c>
    </row>
    <row r="417" customFormat="false" ht="14.25" hidden="false" customHeight="false" outlineLevel="0" collapsed="false">
      <c r="A417" s="312" t="s">
        <v>663</v>
      </c>
      <c r="B417" s="335"/>
      <c r="C417" s="204" t="s">
        <v>660</v>
      </c>
      <c r="D417" s="204" t="s">
        <v>660</v>
      </c>
      <c r="E417" s="204" t="s">
        <v>660</v>
      </c>
      <c r="F417" s="204" t="s">
        <v>660</v>
      </c>
      <c r="G417" s="204" t="s">
        <v>660</v>
      </c>
      <c r="H417" s="204" t="s">
        <v>660</v>
      </c>
      <c r="I417" s="204" t="s">
        <v>660</v>
      </c>
      <c r="J417" s="204" t="s">
        <v>660</v>
      </c>
      <c r="K417" s="204" t="s">
        <v>660</v>
      </c>
      <c r="L417" s="204" t="s">
        <v>660</v>
      </c>
      <c r="M417" s="204" t="s">
        <v>660</v>
      </c>
      <c r="N417" s="204" t="s">
        <v>660</v>
      </c>
      <c r="O417" s="204" t="s">
        <v>660</v>
      </c>
      <c r="P417" s="204" t="s">
        <v>660</v>
      </c>
      <c r="Q417" s="204" t="s">
        <v>660</v>
      </c>
    </row>
    <row r="418" customFormat="false" ht="14.25" hidden="false" customHeight="false" outlineLevel="0" collapsed="false">
      <c r="A418" s="312" t="s">
        <v>664</v>
      </c>
      <c r="B418" s="335"/>
      <c r="C418" s="204" t="s">
        <v>660</v>
      </c>
      <c r="D418" s="204" t="s">
        <v>660</v>
      </c>
      <c r="E418" s="204" t="s">
        <v>660</v>
      </c>
      <c r="F418" s="204" t="s">
        <v>660</v>
      </c>
      <c r="G418" s="204" t="s">
        <v>660</v>
      </c>
      <c r="H418" s="204" t="s">
        <v>660</v>
      </c>
      <c r="I418" s="204" t="s">
        <v>660</v>
      </c>
      <c r="J418" s="204" t="s">
        <v>660</v>
      </c>
      <c r="K418" s="204" t="s">
        <v>660</v>
      </c>
      <c r="L418" s="204" t="s">
        <v>660</v>
      </c>
      <c r="M418" s="204" t="s">
        <v>660</v>
      </c>
      <c r="N418" s="204" t="s">
        <v>660</v>
      </c>
      <c r="O418" s="204" t="s">
        <v>660</v>
      </c>
      <c r="P418" s="204" t="s">
        <v>660</v>
      </c>
      <c r="Q418" s="204" t="s">
        <v>660</v>
      </c>
    </row>
    <row r="419" customFormat="false" ht="14.25" hidden="false" customHeight="false" outlineLevel="0" collapsed="false">
      <c r="A419" s="312" t="s">
        <v>659</v>
      </c>
      <c r="B419" s="335" t="s">
        <v>377</v>
      </c>
      <c r="C419" s="204" t="s">
        <v>660</v>
      </c>
      <c r="D419" s="204" t="s">
        <v>660</v>
      </c>
      <c r="E419" s="204" t="s">
        <v>660</v>
      </c>
      <c r="F419" s="204" t="s">
        <v>660</v>
      </c>
      <c r="G419" s="204" t="s">
        <v>660</v>
      </c>
      <c r="H419" s="204" t="s">
        <v>660</v>
      </c>
      <c r="I419" s="204" t="s">
        <v>660</v>
      </c>
      <c r="J419" s="204" t="s">
        <v>660</v>
      </c>
      <c r="K419" s="204" t="s">
        <v>660</v>
      </c>
      <c r="L419" s="204" t="s">
        <v>660</v>
      </c>
      <c r="M419" s="204" t="s">
        <v>660</v>
      </c>
      <c r="N419" s="204" t="s">
        <v>660</v>
      </c>
      <c r="O419" s="204" t="s">
        <v>660</v>
      </c>
      <c r="P419" s="204" t="s">
        <v>660</v>
      </c>
      <c r="Q419" s="204" t="s">
        <v>660</v>
      </c>
    </row>
    <row r="420" customFormat="false" ht="14.25" hidden="false" customHeight="false" outlineLevel="0" collapsed="false">
      <c r="A420" s="312" t="s">
        <v>661</v>
      </c>
      <c r="B420" s="335"/>
      <c r="C420" s="204" t="s">
        <v>660</v>
      </c>
      <c r="D420" s="204" t="s">
        <v>660</v>
      </c>
      <c r="E420" s="204" t="s">
        <v>660</v>
      </c>
      <c r="F420" s="204" t="s">
        <v>660</v>
      </c>
      <c r="G420" s="204" t="s">
        <v>660</v>
      </c>
      <c r="H420" s="204" t="s">
        <v>660</v>
      </c>
      <c r="I420" s="204" t="s">
        <v>660</v>
      </c>
      <c r="J420" s="204" t="s">
        <v>660</v>
      </c>
      <c r="K420" s="204" t="s">
        <v>660</v>
      </c>
      <c r="L420" s="204" t="s">
        <v>660</v>
      </c>
      <c r="M420" s="204" t="s">
        <v>660</v>
      </c>
      <c r="N420" s="204" t="s">
        <v>660</v>
      </c>
      <c r="O420" s="204" t="s">
        <v>660</v>
      </c>
      <c r="P420" s="204" t="s">
        <v>660</v>
      </c>
      <c r="Q420" s="204" t="s">
        <v>660</v>
      </c>
    </row>
    <row r="421" customFormat="false" ht="14.25" hidden="false" customHeight="false" outlineLevel="0" collapsed="false">
      <c r="A421" s="312" t="s">
        <v>662</v>
      </c>
      <c r="B421" s="335"/>
      <c r="C421" s="204" t="s">
        <v>660</v>
      </c>
      <c r="D421" s="204" t="s">
        <v>660</v>
      </c>
      <c r="E421" s="204" t="s">
        <v>660</v>
      </c>
      <c r="F421" s="204" t="s">
        <v>660</v>
      </c>
      <c r="G421" s="204" t="s">
        <v>660</v>
      </c>
      <c r="H421" s="204" t="s">
        <v>660</v>
      </c>
      <c r="I421" s="204" t="s">
        <v>660</v>
      </c>
      <c r="J421" s="204" t="s">
        <v>660</v>
      </c>
      <c r="K421" s="204" t="s">
        <v>660</v>
      </c>
      <c r="L421" s="204" t="s">
        <v>660</v>
      </c>
      <c r="M421" s="204" t="s">
        <v>660</v>
      </c>
      <c r="N421" s="204" t="s">
        <v>660</v>
      </c>
      <c r="O421" s="204" t="s">
        <v>660</v>
      </c>
      <c r="P421" s="204" t="s">
        <v>660</v>
      </c>
      <c r="Q421" s="204" t="s">
        <v>660</v>
      </c>
    </row>
    <row r="422" customFormat="false" ht="14.25" hidden="false" customHeight="false" outlineLevel="0" collapsed="false">
      <c r="A422" s="312" t="s">
        <v>663</v>
      </c>
      <c r="B422" s="335"/>
      <c r="C422" s="204" t="s">
        <v>660</v>
      </c>
      <c r="D422" s="204" t="s">
        <v>660</v>
      </c>
      <c r="E422" s="204" t="s">
        <v>660</v>
      </c>
      <c r="F422" s="204" t="s">
        <v>660</v>
      </c>
      <c r="G422" s="204" t="s">
        <v>660</v>
      </c>
      <c r="H422" s="204" t="s">
        <v>660</v>
      </c>
      <c r="I422" s="204" t="s">
        <v>660</v>
      </c>
      <c r="J422" s="204" t="s">
        <v>660</v>
      </c>
      <c r="K422" s="204" t="s">
        <v>660</v>
      </c>
      <c r="L422" s="204" t="s">
        <v>660</v>
      </c>
      <c r="M422" s="204" t="s">
        <v>660</v>
      </c>
      <c r="N422" s="204" t="s">
        <v>660</v>
      </c>
      <c r="O422" s="204" t="s">
        <v>660</v>
      </c>
      <c r="P422" s="204" t="s">
        <v>660</v>
      </c>
      <c r="Q422" s="204" t="s">
        <v>660</v>
      </c>
    </row>
    <row r="423" customFormat="false" ht="14.25" hidden="false" customHeight="false" outlineLevel="0" collapsed="false">
      <c r="A423" s="312" t="s">
        <v>664</v>
      </c>
      <c r="B423" s="335"/>
      <c r="C423" s="204" t="s">
        <v>660</v>
      </c>
      <c r="D423" s="204" t="s">
        <v>660</v>
      </c>
      <c r="E423" s="204" t="s">
        <v>660</v>
      </c>
      <c r="F423" s="204" t="s">
        <v>660</v>
      </c>
      <c r="G423" s="204" t="s">
        <v>660</v>
      </c>
      <c r="H423" s="204" t="s">
        <v>660</v>
      </c>
      <c r="I423" s="204" t="s">
        <v>660</v>
      </c>
      <c r="J423" s="204" t="s">
        <v>660</v>
      </c>
      <c r="K423" s="204" t="s">
        <v>660</v>
      </c>
      <c r="L423" s="204" t="s">
        <v>660</v>
      </c>
      <c r="M423" s="204" t="s">
        <v>660</v>
      </c>
      <c r="N423" s="204" t="s">
        <v>660</v>
      </c>
      <c r="O423" s="204" t="s">
        <v>660</v>
      </c>
      <c r="P423" s="204" t="s">
        <v>660</v>
      </c>
      <c r="Q423" s="204" t="s">
        <v>660</v>
      </c>
    </row>
    <row r="424" customFormat="false" ht="14.25" hidden="false" customHeight="false" outlineLevel="0" collapsed="false">
      <c r="A424" s="312" t="s">
        <v>659</v>
      </c>
      <c r="B424" s="335" t="s">
        <v>378</v>
      </c>
      <c r="C424" s="204" t="s">
        <v>660</v>
      </c>
      <c r="D424" s="204" t="s">
        <v>660</v>
      </c>
      <c r="E424" s="204" t="s">
        <v>660</v>
      </c>
      <c r="F424" s="204" t="s">
        <v>660</v>
      </c>
      <c r="G424" s="204" t="s">
        <v>660</v>
      </c>
      <c r="H424" s="204" t="s">
        <v>660</v>
      </c>
      <c r="I424" s="204" t="s">
        <v>660</v>
      </c>
      <c r="J424" s="204" t="s">
        <v>660</v>
      </c>
      <c r="K424" s="204" t="s">
        <v>660</v>
      </c>
      <c r="L424" s="204" t="s">
        <v>660</v>
      </c>
      <c r="M424" s="204" t="s">
        <v>660</v>
      </c>
      <c r="N424" s="204" t="s">
        <v>660</v>
      </c>
      <c r="O424" s="204" t="s">
        <v>660</v>
      </c>
      <c r="P424" s="204" t="s">
        <v>660</v>
      </c>
      <c r="Q424" s="204" t="s">
        <v>660</v>
      </c>
    </row>
    <row r="425" customFormat="false" ht="14.25" hidden="false" customHeight="false" outlineLevel="0" collapsed="false">
      <c r="A425" s="312" t="s">
        <v>661</v>
      </c>
      <c r="B425" s="335"/>
      <c r="C425" s="204" t="s">
        <v>660</v>
      </c>
      <c r="D425" s="204" t="s">
        <v>660</v>
      </c>
      <c r="E425" s="204" t="s">
        <v>660</v>
      </c>
      <c r="F425" s="204" t="s">
        <v>660</v>
      </c>
      <c r="G425" s="204" t="s">
        <v>660</v>
      </c>
      <c r="H425" s="204" t="s">
        <v>660</v>
      </c>
      <c r="I425" s="204" t="s">
        <v>660</v>
      </c>
      <c r="J425" s="204" t="s">
        <v>660</v>
      </c>
      <c r="K425" s="204" t="s">
        <v>660</v>
      </c>
      <c r="L425" s="204" t="s">
        <v>660</v>
      </c>
      <c r="M425" s="204" t="s">
        <v>660</v>
      </c>
      <c r="N425" s="204" t="s">
        <v>660</v>
      </c>
      <c r="O425" s="204" t="s">
        <v>660</v>
      </c>
      <c r="P425" s="204" t="s">
        <v>660</v>
      </c>
      <c r="Q425" s="204" t="s">
        <v>660</v>
      </c>
    </row>
    <row r="426" customFormat="false" ht="14.25" hidden="false" customHeight="false" outlineLevel="0" collapsed="false">
      <c r="A426" s="312" t="s">
        <v>662</v>
      </c>
      <c r="B426" s="335"/>
      <c r="C426" s="204" t="s">
        <v>660</v>
      </c>
      <c r="D426" s="204" t="s">
        <v>660</v>
      </c>
      <c r="E426" s="204" t="s">
        <v>660</v>
      </c>
      <c r="F426" s="204" t="s">
        <v>660</v>
      </c>
      <c r="G426" s="204" t="s">
        <v>660</v>
      </c>
      <c r="H426" s="204" t="s">
        <v>660</v>
      </c>
      <c r="I426" s="204" t="s">
        <v>660</v>
      </c>
      <c r="J426" s="204" t="s">
        <v>660</v>
      </c>
      <c r="K426" s="204" t="s">
        <v>660</v>
      </c>
      <c r="L426" s="204" t="s">
        <v>660</v>
      </c>
      <c r="M426" s="204" t="s">
        <v>660</v>
      </c>
      <c r="N426" s="204" t="s">
        <v>660</v>
      </c>
      <c r="O426" s="204" t="s">
        <v>660</v>
      </c>
      <c r="P426" s="204" t="s">
        <v>660</v>
      </c>
      <c r="Q426" s="204" t="s">
        <v>660</v>
      </c>
    </row>
    <row r="427" customFormat="false" ht="14.25" hidden="false" customHeight="false" outlineLevel="0" collapsed="false">
      <c r="A427" s="312" t="s">
        <v>663</v>
      </c>
      <c r="B427" s="335"/>
      <c r="C427" s="204" t="s">
        <v>660</v>
      </c>
      <c r="D427" s="204" t="s">
        <v>660</v>
      </c>
      <c r="E427" s="204" t="s">
        <v>660</v>
      </c>
      <c r="F427" s="204" t="s">
        <v>660</v>
      </c>
      <c r="G427" s="204" t="s">
        <v>660</v>
      </c>
      <c r="H427" s="204" t="s">
        <v>660</v>
      </c>
      <c r="I427" s="204" t="s">
        <v>660</v>
      </c>
      <c r="J427" s="204" t="s">
        <v>660</v>
      </c>
      <c r="K427" s="204" t="s">
        <v>660</v>
      </c>
      <c r="L427" s="204" t="s">
        <v>660</v>
      </c>
      <c r="M427" s="204" t="s">
        <v>660</v>
      </c>
      <c r="N427" s="204" t="s">
        <v>660</v>
      </c>
      <c r="O427" s="204" t="s">
        <v>660</v>
      </c>
      <c r="P427" s="204" t="s">
        <v>660</v>
      </c>
      <c r="Q427" s="204" t="s">
        <v>660</v>
      </c>
    </row>
    <row r="428" customFormat="false" ht="14.25" hidden="false" customHeight="false" outlineLevel="0" collapsed="false">
      <c r="A428" s="319" t="s">
        <v>664</v>
      </c>
      <c r="B428" s="335"/>
      <c r="C428" s="242" t="s">
        <v>660</v>
      </c>
      <c r="D428" s="242" t="s">
        <v>660</v>
      </c>
      <c r="E428" s="242" t="s">
        <v>660</v>
      </c>
      <c r="F428" s="242" t="s">
        <v>660</v>
      </c>
      <c r="G428" s="242" t="s">
        <v>660</v>
      </c>
      <c r="H428" s="242" t="s">
        <v>660</v>
      </c>
      <c r="I428" s="242" t="s">
        <v>660</v>
      </c>
      <c r="J428" s="242" t="s">
        <v>660</v>
      </c>
      <c r="K428" s="242" t="s">
        <v>660</v>
      </c>
      <c r="L428" s="242" t="s">
        <v>660</v>
      </c>
      <c r="M428" s="242" t="s">
        <v>660</v>
      </c>
      <c r="N428" s="242" t="s">
        <v>660</v>
      </c>
      <c r="O428" s="242" t="s">
        <v>660</v>
      </c>
      <c r="P428" s="242" t="s">
        <v>660</v>
      </c>
      <c r="Q428" s="242" t="s">
        <v>660</v>
      </c>
    </row>
  </sheetData>
  <mergeCells count="126">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5"/>
    <mergeCell ref="A126:A128"/>
    <mergeCell ref="B129:B131"/>
    <mergeCell ref="A133:I133"/>
    <mergeCell ref="A135:A138"/>
    <mergeCell ref="A139:A142"/>
    <mergeCell ref="A143:A146"/>
    <mergeCell ref="A147:I147"/>
    <mergeCell ref="A149:A152"/>
    <mergeCell ref="A153:A156"/>
    <mergeCell ref="A157:A160"/>
    <mergeCell ref="A161:A164"/>
    <mergeCell ref="A168:E168"/>
    <mergeCell ref="A169:E169"/>
    <mergeCell ref="A171:A173"/>
    <mergeCell ref="C171:C173"/>
    <mergeCell ref="A175:C175"/>
    <mergeCell ref="A178:B178"/>
    <mergeCell ref="A179:B179"/>
    <mergeCell ref="A180:B180"/>
    <mergeCell ref="A181:B181"/>
    <mergeCell ref="A182:B182"/>
    <mergeCell ref="A183:B183"/>
    <mergeCell ref="A184:Q184"/>
    <mergeCell ref="A185:B185"/>
    <mergeCell ref="A186:B186"/>
    <mergeCell ref="A187:B187"/>
    <mergeCell ref="A188:B188"/>
    <mergeCell ref="A189:B189"/>
    <mergeCell ref="A190:Q190"/>
    <mergeCell ref="A191:B191"/>
    <mergeCell ref="A192:B192"/>
    <mergeCell ref="A193:B193"/>
    <mergeCell ref="A194:B194"/>
    <mergeCell ref="A195:B195"/>
    <mergeCell ref="A196:Q196"/>
    <mergeCell ref="A197:B197"/>
    <mergeCell ref="A198:B198"/>
    <mergeCell ref="A199:B199"/>
    <mergeCell ref="A200:B200"/>
    <mergeCell ref="A201:B201"/>
    <mergeCell ref="A202:Q202"/>
    <mergeCell ref="A203:B203"/>
    <mergeCell ref="A204:B204"/>
    <mergeCell ref="A205:B205"/>
    <mergeCell ref="A206:B206"/>
    <mergeCell ref="A207:B207"/>
    <mergeCell ref="A209:C209"/>
    <mergeCell ref="A210:A211"/>
    <mergeCell ref="C210:C211"/>
    <mergeCell ref="A214:Q214"/>
    <mergeCell ref="A215:B215"/>
    <mergeCell ref="A216:B216"/>
    <mergeCell ref="A217:B217"/>
    <mergeCell ref="A218:B218"/>
    <mergeCell ref="A219:B219"/>
    <mergeCell ref="A220:B220"/>
    <mergeCell ref="A221:C221"/>
    <mergeCell ref="A225:C225"/>
    <mergeCell ref="A227:A229"/>
    <mergeCell ref="C227:C229"/>
    <mergeCell ref="A231:A233"/>
    <mergeCell ref="C231:C233"/>
    <mergeCell ref="A238:D238"/>
    <mergeCell ref="A239:D239"/>
    <mergeCell ref="A240:C240"/>
    <mergeCell ref="C242:E242"/>
    <mergeCell ref="A244:A262"/>
    <mergeCell ref="A263:C263"/>
    <mergeCell ref="A269:C269"/>
    <mergeCell ref="A270:C270"/>
    <mergeCell ref="A272:C272"/>
    <mergeCell ref="A273:A276"/>
    <mergeCell ref="C273:C276"/>
    <mergeCell ref="A281:I281"/>
    <mergeCell ref="A340:I340"/>
    <mergeCell ref="A364:H364"/>
    <mergeCell ref="A366:H366"/>
    <mergeCell ref="A368:H368"/>
    <mergeCell ref="A370:H370"/>
    <mergeCell ref="A373:I373"/>
    <mergeCell ref="A381:C381"/>
    <mergeCell ref="A390:C390"/>
    <mergeCell ref="A397:C397"/>
    <mergeCell ref="A403:B403"/>
    <mergeCell ref="B404:B408"/>
    <mergeCell ref="B409:B413"/>
    <mergeCell ref="B414:B418"/>
    <mergeCell ref="B419:B423"/>
    <mergeCell ref="B424:B428"/>
  </mergeCells>
  <conditionalFormatting sqref="C216:AD220">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375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2017-01-25T13:20:29Z</dcterms:created>
  <dc:creator>IdB</dc:creator>
  <dc:description/>
  <dc:language>en-US</dc:language>
  <cp:lastModifiedBy/>
  <dcterms:modified xsi:type="dcterms:W3CDTF">2025-11-19T16:11:55Z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