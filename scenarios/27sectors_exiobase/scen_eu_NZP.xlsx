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jsole/pymedeas2/scenarios/27sectors_exiobase/"/>
    </mc:Choice>
  </mc:AlternateContent>
  <xr:revisionPtr revIDLastSave="0" documentId="13_ncr:1_{E606D964-4BF0-A945-BF40-10E4D93FF641}" xr6:coauthVersionLast="47" xr6:coauthVersionMax="47" xr10:uidLastSave="{00000000-0000-0000-0000-000000000000}"/>
  <bookViews>
    <workbookView xWindow="14400" yWindow="2040" windowWidth="33760" windowHeight="19140" tabRatio="500" activeTab="3" xr2:uid="{00000000-000D-0000-FFFF-FFFF00000000}"/>
  </bookViews>
  <sheets>
    <sheet name="Readme" sheetId="1" r:id="rId1"/>
    <sheet name="Info input variables" sheetId="2" r:id="rId2"/>
    <sheet name="NZP" sheetId="4" r:id="rId3"/>
    <sheet name="NZP_SE" sheetId="5" r:id="rId4"/>
    <sheet name="NZP_CCS" sheetId="6" r:id="rId5"/>
    <sheet name="NZP_CCS_SE" sheetId="3" r:id="rId6"/>
  </sheets>
  <definedNames>
    <definedName name="activate_afforestation_program" localSheetId="2">NZP!$B$279</definedName>
    <definedName name="activate_afforestation_program" localSheetId="4">NZP_CCS!$B$279</definedName>
    <definedName name="activate_afforestation_program" localSheetId="5">NZP_CCS_SE!$B$279</definedName>
    <definedName name="activate_afforestation_program" localSheetId="3">NZP_SE!$B$279</definedName>
    <definedName name="activate_ELF" localSheetId="2">NZP!$C$271</definedName>
    <definedName name="activate_ELF" localSheetId="4">NZP_CCS!$C$271</definedName>
    <definedName name="activate_ELF" localSheetId="5">NZP_CCS_SE!$C$271</definedName>
    <definedName name="activate_ELF" localSheetId="3">NZP_SE!$C$271</definedName>
    <definedName name="activate_policy_leaving_underground" localSheetId="2">NZP!$C$83</definedName>
    <definedName name="activate_policy_leaving_underground" localSheetId="4">NZP_CCS!$C$83</definedName>
    <definedName name="activate_policy_leaving_underground" localSheetId="5">NZP_CCS_SE!$C$83</definedName>
    <definedName name="activate_policy_leaving_underground" localSheetId="3">NZP_SE!$C$83</definedName>
    <definedName name="afforestation" localSheetId="2">NZP!$C$353:$X$353</definedName>
    <definedName name="afforestation" localSheetId="4">NZP_CCS!$C$353:$X$353</definedName>
    <definedName name="afforestation" localSheetId="5">NZP_CCS_SE!$C$353:$X$353</definedName>
    <definedName name="afforestation" localSheetId="3">NZP_SE!$C$353:$X$353</definedName>
    <definedName name="average_solar_I" localSheetId="2">NZP!$C$391</definedName>
    <definedName name="average_solar_I" localSheetId="4">NZP_CCS!$C$391</definedName>
    <definedName name="average_solar_I" localSheetId="5">NZP_CCS_SE!$C$391</definedName>
    <definedName name="average_solar_I" localSheetId="3">NZP_SE!$C$391</definedName>
    <definedName name="cell_efficiency_target_year" localSheetId="2">NZP!$C$392</definedName>
    <definedName name="cell_efficiency_target_year" localSheetId="4">NZP_CCS!$C$392</definedName>
    <definedName name="cell_efficiency_target_year" localSheetId="5">NZP_CCS_SE!$C$392</definedName>
    <definedName name="cell_efficiency_target_year" localSheetId="3">NZP_SE!$C$392</definedName>
    <definedName name="choose_energy_intensity_target_method" localSheetId="2">NZP!$C$210</definedName>
    <definedName name="choose_energy_intensity_target_method" localSheetId="4">NZP_CCS!$C$210</definedName>
    <definedName name="choose_energy_intensity_target_method" localSheetId="5">NZP_CCS_SE!$C$210</definedName>
    <definedName name="choose_energy_intensity_target_method" localSheetId="3">NZP_SE!$C$210</definedName>
    <definedName name="choose_targets_mineral_recycling_rates" localSheetId="2">NZP!$D$240</definedName>
    <definedName name="choose_targets_mineral_recycling_rates" localSheetId="4">NZP_CCS!$D$240</definedName>
    <definedName name="choose_targets_mineral_recycling_rates" localSheetId="5">NZP_CCS_SE!$D$240</definedName>
    <definedName name="choose_targets_mineral_recycling_rates" localSheetId="3">NZP_SE!$D$240</definedName>
    <definedName name="co2_luc" localSheetId="2">NZP!$C$349:$I$349</definedName>
    <definedName name="co2_luc" localSheetId="4">NZP_CCS!$C$349:$I$349</definedName>
    <definedName name="co2_luc" localSheetId="5">NZP_CCS_SE!$C$349:$I$349</definedName>
    <definedName name="co2_luc" localSheetId="3">NZP_SE!$C$349:$I$349</definedName>
    <definedName name="coal_net_flux_timeseries" localSheetId="2">NZP!$B$371:$H$371</definedName>
    <definedName name="coal_net_flux_timeseries" localSheetId="4">NZP_CCS!$B$371:$H$371</definedName>
    <definedName name="coal_net_flux_timeseries" localSheetId="3">NZP_SE!$B$371:$H$371</definedName>
    <definedName name="coal_net_flux_timeseries">NZP_CCS_SE!$B$371:$H$371</definedName>
    <definedName name="crash_programme_CTL" localSheetId="2">NZP!$D$78</definedName>
    <definedName name="crash_programme_CTL" localSheetId="4">NZP_CCS!$D$78</definedName>
    <definedName name="crash_programme_CTL" localSheetId="5">NZP_CCS_SE!$D$78</definedName>
    <definedName name="crash_programme_CTL" localSheetId="3">NZP_SE!$D$78</definedName>
    <definedName name="crash_programme_GTL" localSheetId="2">NZP!$D$80</definedName>
    <definedName name="crash_programme_GTL" localSheetId="4">NZP_CCS!$D$80</definedName>
    <definedName name="crash_programme_GTL" localSheetId="5">NZP_CCS_SE!$D$80</definedName>
    <definedName name="crash_programme_GTL" localSheetId="3">NZP_SE!$D$80</definedName>
    <definedName name="efficiency_rate_of_substitution_electricity" localSheetId="2">NZP!$C$404:$Q$408</definedName>
    <definedName name="efficiency_rate_of_substitution_electricity" localSheetId="4">NZP_CCS!$C$404:$Q$408</definedName>
    <definedName name="efficiency_rate_of_substitution_electricity" localSheetId="5">NZP_CCS_SE!$C$404:$Q$408</definedName>
    <definedName name="efficiency_rate_of_substitution_electricity" localSheetId="3">NZP_SE!$C$404:$Q$408</definedName>
    <definedName name="efficiency_rate_of_substitution_gases" localSheetId="2">NZP!$C$419:$Q$423</definedName>
    <definedName name="efficiency_rate_of_substitution_gases" localSheetId="4">NZP_CCS!$C$419:$Q$423</definedName>
    <definedName name="efficiency_rate_of_substitution_gases" localSheetId="5">NZP_CCS_SE!$C$419:$Q$423</definedName>
    <definedName name="efficiency_rate_of_substitution_gases" localSheetId="3">NZP_SE!$C$419:$Q$423</definedName>
    <definedName name="efficiency_rate_of_substitution_heat" localSheetId="2">NZP!$C$409:$Q$413</definedName>
    <definedName name="efficiency_rate_of_substitution_heat" localSheetId="4">NZP_CCS!$C$409:$Q$413</definedName>
    <definedName name="efficiency_rate_of_substitution_heat" localSheetId="5">NZP_CCS_SE!$C$409:$Q$413</definedName>
    <definedName name="efficiency_rate_of_substitution_heat" localSheetId="3">NZP_SE!$C$409:$Q$413</definedName>
    <definedName name="efficiency_rate_of_substitution_liquids" localSheetId="2">NZP!$C$414:$Q$418</definedName>
    <definedName name="efficiency_rate_of_substitution_liquids" localSheetId="4">NZP_CCS!$C$414:$Q$418</definedName>
    <definedName name="efficiency_rate_of_substitution_liquids" localSheetId="5">NZP_CCS_SE!$C$414:$Q$418</definedName>
    <definedName name="efficiency_rate_of_substitution_liquids" localSheetId="3">NZP_SE!$C$414:$Q$418</definedName>
    <definedName name="efficiency_rate_of_substitution_solids" localSheetId="2">NZP!$C$424:$Q$428</definedName>
    <definedName name="efficiency_rate_of_substitution_solids" localSheetId="4">NZP_CCS!$C$424:$Q$428</definedName>
    <definedName name="efficiency_rate_of_substitution_solids" localSheetId="5">NZP_CCS_SE!$C$424:$Q$428</definedName>
    <definedName name="efficiency_rate_of_substitution_solids" localSheetId="3">NZP_SE!$C$424:$Q$428</definedName>
    <definedName name="energy_intensity_target" localSheetId="2">NZP!$C$216:$AD$220</definedName>
    <definedName name="energy_intensity_target" localSheetId="4">NZP_CCS!$C$216:$AD$220</definedName>
    <definedName name="energy_intensity_target" localSheetId="5">NZP_CCS_SE!$C$216:$AD$220</definedName>
    <definedName name="energy_intensity_target" localSheetId="3">NZP_SE!$C$216:$AD$220</definedName>
    <definedName name="energy_scarcity_forgetting_time" localSheetId="2">NZP!$C$230</definedName>
    <definedName name="energy_scarcity_forgetting_time" localSheetId="4">NZP_CCS!$C$230</definedName>
    <definedName name="energy_scarcity_forgetting_time" localSheetId="5">NZP_CCS_SE!$C$230</definedName>
    <definedName name="energy_scarcity_forgetting_time" localSheetId="3">NZP_SE!$C$230</definedName>
    <definedName name="energy_scarcity_forgetting_time_H" localSheetId="2">NZP!$C$234</definedName>
    <definedName name="energy_scarcity_forgetting_time_H" localSheetId="4">NZP_CCS!$C$234</definedName>
    <definedName name="energy_scarcity_forgetting_time_H" localSheetId="5">NZP_CCS_SE!$C$234</definedName>
    <definedName name="energy_scarcity_forgetting_time_H" localSheetId="3">NZP_SE!$C$234</definedName>
    <definedName name="EROI_feedback_flag" localSheetId="2">NZP!#REF!</definedName>
    <definedName name="EROI_feedback_flag" localSheetId="4">NZP!#REF!</definedName>
    <definedName name="EROI_feedback_flag" localSheetId="5">NZP!#REF!</definedName>
    <definedName name="EROI_feedback_flag" localSheetId="3">NZP_SE!#REF!</definedName>
    <definedName name="final_year_energy_intensity_target" localSheetId="2">NZP!$C$213</definedName>
    <definedName name="final_year_energy_intensity_target" localSheetId="4">NZP_CCS!$C$213</definedName>
    <definedName name="final_year_energy_intensity_target" localSheetId="5">NZP_CCS_SE!$C$213</definedName>
    <definedName name="final_year_energy_intensity_target" localSheetId="3">NZP_SE!$C$213</definedName>
    <definedName name="forest_overexplotation" localSheetId="2">NZP!$C$382</definedName>
    <definedName name="forest_overexplotation" localSheetId="4">NZP_CCS!$C$382</definedName>
    <definedName name="forest_overexplotation" localSheetId="5">NZP_CCS_SE!$C$382</definedName>
    <definedName name="forest_overexplotation" localSheetId="3">NZP_SE!$C$382</definedName>
    <definedName name="fuel_share_air_pkm" localSheetId="2">NZP!$C$157:$I$160</definedName>
    <definedName name="fuel_share_air_pkm" localSheetId="4">NZP_CCS!$C$157:$I$160</definedName>
    <definedName name="fuel_share_air_pkm" localSheetId="5">NZP_CCS_SE!$C$157:$I$160</definedName>
    <definedName name="fuel_share_air_pkm" localSheetId="3">NZP_SE!$C$157:$I$160</definedName>
    <definedName name="fuel_share_air_tkm" localSheetId="2">NZP!$C$143:$I$146</definedName>
    <definedName name="fuel_share_air_tkm" localSheetId="4">NZP_CCS!$C$143:$I$146</definedName>
    <definedName name="fuel_share_air_tkm" localSheetId="5">NZP_CCS_SE!$C$143:$I$146</definedName>
    <definedName name="fuel_share_air_tkm" localSheetId="3">NZP_SE!$C$143:$I$146</definedName>
    <definedName name="fuel_share_households_pkm" localSheetId="2">NZP!$C$161:$I$164</definedName>
    <definedName name="fuel_share_households_pkm" localSheetId="4">NZP_CCS!$C$161:$I$164</definedName>
    <definedName name="fuel_share_households_pkm" localSheetId="5">NZP_CCS_SE!$C$161:$I$164</definedName>
    <definedName name="fuel_share_households_pkm" localSheetId="3">NZP_SE!$C$161:$I$164</definedName>
    <definedName name="fuel_share_inland_pkm" localSheetId="2">NZP!$C$149:$I$152</definedName>
    <definedName name="fuel_share_inland_pkm" localSheetId="4">NZP_CCS!$C$149:$I$152</definedName>
    <definedName name="fuel_share_inland_pkm" localSheetId="5">NZP_CCS_SE!$C$149:$I$152</definedName>
    <definedName name="fuel_share_inland_pkm" localSheetId="3">NZP_SE!$C$149:$I$152</definedName>
    <definedName name="fuel_share_inland_tkm" localSheetId="2">NZP!$C$135:$I$138</definedName>
    <definedName name="fuel_share_inland_tkm" localSheetId="4">NZP_CCS!$C$135:$I$138</definedName>
    <definedName name="fuel_share_inland_tkm" localSheetId="5">NZP_CCS_SE!$C$135:$I$138</definedName>
    <definedName name="fuel_share_inland_tkm" localSheetId="3">NZP_SE!$C$135:$I$138</definedName>
    <definedName name="fuel_share_maritime_pkm" localSheetId="2">NZP!$C$153:$I$156</definedName>
    <definedName name="fuel_share_maritime_pkm" localSheetId="4">NZP_CCS!$C$153:$I$156</definedName>
    <definedName name="fuel_share_maritime_pkm" localSheetId="5">NZP_CCS_SE!$C$153:$I$156</definedName>
    <definedName name="fuel_share_maritime_pkm" localSheetId="3">NZP_SE!$C$153:$I$156</definedName>
    <definedName name="fuel_share_maritime_tkm" localSheetId="2">NZP!$C$139:$I$142</definedName>
    <definedName name="fuel_share_maritime_tkm" localSheetId="4">NZP_CCS!$C$139:$I$142</definedName>
    <definedName name="fuel_share_maritime_tkm" localSheetId="5">NZP_CCS_SE!$C$139:$I$142</definedName>
    <definedName name="fuel_share_maritime_tkm" localSheetId="3">NZP_SE!$C$139:$I$142</definedName>
    <definedName name="gas_net_flux_timeseries" localSheetId="2">NZP!$B$369:$H$369</definedName>
    <definedName name="gas_net_flux_timeseries" localSheetId="4">NZP_CCS!$B$369:$H$369</definedName>
    <definedName name="gas_net_flux_timeseries" localSheetId="3">NZP_SE!$B$369:$H$369</definedName>
    <definedName name="gas_net_flux_timeseries">NZP_CCS_SE!$B$369:$H$369</definedName>
    <definedName name="GWP_time_frame" localSheetId="2">NZP!#REF!</definedName>
    <definedName name="GWP_time_frame" localSheetId="4">NZP!#REF!</definedName>
    <definedName name="GWP_time_frame" localSheetId="5">NZP!#REF!</definedName>
    <definedName name="GWP_time_frame" localSheetId="3">NZP_SE!#REF!</definedName>
    <definedName name="limit_coal_imports_from_RoW" localSheetId="2">NZP!#REF!</definedName>
    <definedName name="limit_coal_imports_from_RoW" localSheetId="4">NZP!#REF!</definedName>
    <definedName name="limit_coal_imports_from_RoW" localSheetId="5">NZP!#REF!</definedName>
    <definedName name="limit_coal_imports_from_RoW" localSheetId="3">NZP_SE!#REF!</definedName>
    <definedName name="limit_nat_gas_imports_from_RoW" localSheetId="2">NZP!#REF!</definedName>
    <definedName name="limit_nat_gas_imports_from_RoW" localSheetId="4">NZP!#REF!</definedName>
    <definedName name="limit_nat_gas_imports_from_RoW" localSheetId="5">NZP!#REF!</definedName>
    <definedName name="limit_nat_gas_imports_from_RoW" localSheetId="3">NZP_SE!#REF!</definedName>
    <definedName name="limit_oil_imports_from_RoW" localSheetId="2">NZP!#REF!</definedName>
    <definedName name="limit_oil_imports_from_RoW" localSheetId="4">NZP!#REF!</definedName>
    <definedName name="limit_oil_imports_from_RoW" localSheetId="5">NZP!#REF!</definedName>
    <definedName name="limit_oil_imports_from_RoW" localSheetId="3">NZP_SE!#REF!</definedName>
    <definedName name="max_NPP_pot_bioe_residues" localSheetId="2">NZP!#REF!</definedName>
    <definedName name="max_NPP_pot_bioe_residues" localSheetId="4">NZP!#REF!</definedName>
    <definedName name="max_NPP_pot_bioe_residues" localSheetId="5">NZP!#REF!</definedName>
    <definedName name="max_NPP_pot_bioe_residues" localSheetId="3">NZP_SE!#REF!</definedName>
    <definedName name="max_PE_biogas" localSheetId="2">NZP!#REF!</definedName>
    <definedName name="max_PE_biogas" localSheetId="4">NZP!#REF!</definedName>
    <definedName name="max_PE_biogas" localSheetId="5">NZP!#REF!</definedName>
    <definedName name="max_PE_biogas" localSheetId="3">NZP_SE!#REF!</definedName>
    <definedName name="max_share_imports_coal" localSheetId="2">NZP!#REF!</definedName>
    <definedName name="max_share_imports_coal" localSheetId="4">NZP!#REF!</definedName>
    <definedName name="max_share_imports_coal" localSheetId="5">NZP!#REF!</definedName>
    <definedName name="max_share_imports_coal" localSheetId="3">NZP_SE!#REF!</definedName>
    <definedName name="max_share_imports_nat_gas" localSheetId="2">NZP!#REF!</definedName>
    <definedName name="max_share_imports_nat_gas" localSheetId="4">NZP!#REF!</definedName>
    <definedName name="max_share_imports_nat_gas" localSheetId="5">NZP!#REF!</definedName>
    <definedName name="max_share_imports_nat_gas" localSheetId="3">NZP_SE!#REF!</definedName>
    <definedName name="max_share_imports_oil" localSheetId="2">NZP!#REF!</definedName>
    <definedName name="max_share_imports_oil" localSheetId="4">NZP!#REF!</definedName>
    <definedName name="max_share_imports_oil" localSheetId="5">NZP!#REF!</definedName>
    <definedName name="max_share_imports_oil" localSheetId="3">NZP_SE!#REF!</definedName>
    <definedName name="min_FEI_vs_initial" localSheetId="2">NZP!$C$176</definedName>
    <definedName name="min_FEI_vs_initial" localSheetId="4">NZP_CCS!$C$176</definedName>
    <definedName name="min_FEI_vs_initial" localSheetId="5">NZP_CCS_SE!$C$176</definedName>
    <definedName name="min_FEI_vs_initial" localSheetId="3">NZP_SE!$C$176</definedName>
    <definedName name="minimum_forest" localSheetId="2">NZP!$C$383</definedName>
    <definedName name="minimum_forest" localSheetId="4">NZP_CCS!$C$383</definedName>
    <definedName name="minimum_forest" localSheetId="5">NZP_CCS_SE!$C$383</definedName>
    <definedName name="minimum_forest" localSheetId="3">NZP_SE!$C$383</definedName>
    <definedName name="oil_net_flux_timeseries" localSheetId="2">NZP!$B$367:$H$367</definedName>
    <definedName name="oil_net_flux_timeseries" localSheetId="4">NZP_CCS!$B$367:$H$367</definedName>
    <definedName name="oil_net_flux_timeseries" localSheetId="5">NZP_CCS_SE!$B$367:$H$367</definedName>
    <definedName name="oil_net_flux_timeseries" localSheetId="3">NZP_SE!$B$367:$H$367</definedName>
    <definedName name="p_bioe_power" localSheetId="2">NZP!$C$18:$I$18</definedName>
    <definedName name="p_bioe_power" localSheetId="4">NZP_CCS!$C$18:$I$18</definedName>
    <definedName name="p_bioe_power" localSheetId="5">NZP_CCS_SE!$C$18:$I$18</definedName>
    <definedName name="p_bioe_power" localSheetId="3">NZP_SE!$C$18:$I$18</definedName>
    <definedName name="p_bioe_residues_growth" localSheetId="2">NZP!$C$38</definedName>
    <definedName name="p_bioe_residues_growth" localSheetId="4">NZP_CCS!$C$38</definedName>
    <definedName name="p_bioe_residues_growth" localSheetId="5">NZP_CCS_SE!$C$38</definedName>
    <definedName name="p_bioe_residues_growth" localSheetId="3">NZP_SE!$C$38</definedName>
    <definedName name="p_biofuels_2gen_land_compet" localSheetId="2">NZP!$C$32</definedName>
    <definedName name="p_biofuels_2gen_land_compet" localSheetId="4">NZP_CCS!$C$32</definedName>
    <definedName name="p_biofuels_2gen_land_compet" localSheetId="5">NZP_CCS_SE!$C$32</definedName>
    <definedName name="p_biofuels_2gen_land_compet" localSheetId="3">NZP_SE!$C$32</definedName>
    <definedName name="p_biofuels_3gen_land_compet" localSheetId="2">NZP!$C$34</definedName>
    <definedName name="p_biofuels_3gen_land_compet" localSheetId="4">NZP_CCS!$C$34</definedName>
    <definedName name="p_biofuels_3gen_land_compet" localSheetId="5">NZP_CCS_SE!$C$34</definedName>
    <definedName name="p_biofuels_3gen_land_compet" localSheetId="3">NZP_SE!$C$34</definedName>
    <definedName name="p_biofuels_marg_land_growth" localSheetId="2">NZP!$C$40</definedName>
    <definedName name="p_biofuels_marg_land_growth" localSheetId="4">NZP_CCS!$C$40</definedName>
    <definedName name="p_biofuels_marg_land_growth" localSheetId="5">NZP_CCS_SE!$C$40</definedName>
    <definedName name="p_biofuels_marg_land_growth" localSheetId="3">NZP_SE!$C$40</definedName>
    <definedName name="p_biogas_growth" localSheetId="2">NZP!$C$42</definedName>
    <definedName name="p_biogas_growth" localSheetId="4">NZP_CCS!$C$42</definedName>
    <definedName name="p_biogas_growth" localSheetId="5">NZP_CCS_SE!$C$42</definedName>
    <definedName name="p_biogas_growth" localSheetId="3">NZP_SE!$C$42</definedName>
    <definedName name="p_capital_share" localSheetId="2">NZP!$F$8</definedName>
    <definedName name="p_capital_share" localSheetId="4">NZP_CCS!$F$8</definedName>
    <definedName name="p_capital_share" localSheetId="5">NZP_CCS_SE!$F$8</definedName>
    <definedName name="p_capital_share" localSheetId="3">NZP_SE!$F$8</definedName>
    <definedName name="p_CCS" localSheetId="2">NZP!$C$283:$I$310</definedName>
    <definedName name="p_CCS" localSheetId="4">NZP_CCS!$C$283:$I$310</definedName>
    <definedName name="p_CCS" localSheetId="5">NZP_CCS_SE!$C$283:$I$310</definedName>
    <definedName name="p_CCS" localSheetId="3">NZP_SE!$C$283:$I$310</definedName>
    <definedName name="p_change_over_hist_max_variation_FEI" localSheetId="2">NZP!$C$177</definedName>
    <definedName name="p_change_over_hist_max_variation_FEI" localSheetId="4">NZP_CCS!$C$177</definedName>
    <definedName name="p_change_over_hist_max_variation_FEI" localSheetId="5">NZP_CCS_SE!$C$177</definedName>
    <definedName name="p_change_over_hist_max_variation_FEI" localSheetId="3">NZP_SE!$C$177</definedName>
    <definedName name="P_common_rr_minerals_variation_alt_techn" localSheetId="2">NZP!$C$264</definedName>
    <definedName name="P_common_rr_minerals_variation_alt_techn" localSheetId="4">NZP_CCS!$C$264</definedName>
    <definedName name="P_common_rr_minerals_variation_alt_techn" localSheetId="5">NZP_CCS_SE!$C$264</definedName>
    <definedName name="P_common_rr_minerals_variation_alt_techn" localSheetId="3">NZP_SE!$C$264</definedName>
    <definedName name="P_common_rr_minerals_variation_Rest" localSheetId="2">NZP!$C$266</definedName>
    <definedName name="P_common_rr_minerals_variation_Rest" localSheetId="4">NZP_CCS!$C$266</definedName>
    <definedName name="P_common_rr_minerals_variation_Rest" localSheetId="5">NZP_CCS_SE!$C$266</definedName>
    <definedName name="P_common_rr_minerals_variation_Rest" localSheetId="3">NZP_SE!$C$266</definedName>
    <definedName name="p_constraint_growth_unconv_gas" localSheetId="2">NZP!$C$75</definedName>
    <definedName name="p_constraint_growth_unconv_gas" localSheetId="4">NZP_CCS!$C$75</definedName>
    <definedName name="p_constraint_growth_unconv_gas" localSheetId="5">NZP_CCS_SE!$C$75</definedName>
    <definedName name="p_constraint_growth_unconv_gas" localSheetId="3">NZP_SE!$C$75</definedName>
    <definedName name="p_constraint_growth_unconv_oil" localSheetId="2">NZP!$C$71</definedName>
    <definedName name="p_constraint_growth_unconv_oil" localSheetId="4">NZP_CCS!$C$71</definedName>
    <definedName name="p_constraint_growth_unconv_oil" localSheetId="5">NZP_CCS_SE!$C$71</definedName>
    <definedName name="p_constraint_growth_unconv_oil" localSheetId="3">NZP_SE!$C$71</definedName>
    <definedName name="p_CSP_power" localSheetId="2">NZP!$C$23:$I$23</definedName>
    <definedName name="p_CSP_power" localSheetId="4">NZP_CCS!$C$23:$I$23</definedName>
    <definedName name="p_CSP_power" localSheetId="5">NZP_CCS_SE!$C$23:$I$23</definedName>
    <definedName name="p_CSP_power" localSheetId="3">NZP_SE!$C$23:$I$23</definedName>
    <definedName name="p_CTL_growth" localSheetId="2">NZP!$C$78</definedName>
    <definedName name="p_CTL_growth" localSheetId="4">NZP_CCS!$C$78</definedName>
    <definedName name="p_CTL_growth" localSheetId="5">NZP_CCS_SE!$C$78</definedName>
    <definedName name="p_CTL_growth" localSheetId="3">NZP_SE!$C$78</definedName>
    <definedName name="p_DAC" localSheetId="2">NZP!$C$341:$I$341</definedName>
    <definedName name="p_DAC" localSheetId="4">NZP_CCS!$C$341:$I$341</definedName>
    <definedName name="p_DAC" localSheetId="5">NZP_CCS_SE!$C$341:$I$341</definedName>
    <definedName name="p_DAC" localSheetId="3">NZP_SE!$C$341:$I$341</definedName>
    <definedName name="p_ETS" localSheetId="2">NZP!$C$62:$I$65</definedName>
    <definedName name="p_ETS" localSheetId="4">NZP_CCS!$C$62:$I$65</definedName>
    <definedName name="p_ETS" localSheetId="5">NZP_CCS_SE!$C$62:$I$65</definedName>
    <definedName name="p_ETS" localSheetId="3">NZP_SE!$C$62:$I$65</definedName>
    <definedName name="p_geot_heat_growth" localSheetId="2">NZP!$C$51</definedName>
    <definedName name="p_geot_heat_growth" localSheetId="4">NZP_CCS!$C$51</definedName>
    <definedName name="p_geot_heat_growth" localSheetId="5">NZP_CCS_SE!$C$51</definedName>
    <definedName name="p_geot_heat_growth" localSheetId="3">NZP_SE!$C$51</definedName>
    <definedName name="p_geot_power" localSheetId="2">NZP!$C$17:$I$17</definedName>
    <definedName name="p_geot_power" localSheetId="4">NZP_CCS!$C$17:$I$17</definedName>
    <definedName name="p_geot_power" localSheetId="5">NZP_CCS_SE!$C$17:$I$17</definedName>
    <definedName name="p_geot_power" localSheetId="3">NZP_SE!$C$17:$I$17</definedName>
    <definedName name="p_GTL_growth" localSheetId="2">NZP!$C$80</definedName>
    <definedName name="p_GTL_growth" localSheetId="4">NZP_CCS!$C$80</definedName>
    <definedName name="p_GTL_growth" localSheetId="5">NZP_CCS_SE!$C$80</definedName>
    <definedName name="p_GTL_growth" localSheetId="3">NZP_SE!$C$80</definedName>
    <definedName name="p_hydro_power" localSheetId="2">NZP!$C$16:$I$16</definedName>
    <definedName name="p_hydro_power" localSheetId="4">NZP_CCS!$C$16:$I$16</definedName>
    <definedName name="p_hydro_power" localSheetId="5">NZP_CCS_SE!$C$16:$I$16</definedName>
    <definedName name="p_hydro_power" localSheetId="3">NZP_SE!$C$16:$I$16</definedName>
    <definedName name="p_labour_share" localSheetId="2">NZP!$C$8</definedName>
    <definedName name="p_labour_share" localSheetId="4">NZP_CCS!$C$8</definedName>
    <definedName name="p_labour_share" localSheetId="5">NZP_CCS_SE!$C$8</definedName>
    <definedName name="p_labour_share" localSheetId="3">NZP_SE!$C$8</definedName>
    <definedName name="p_nuclear_scen3_4_variation" localSheetId="2">NZP!$E$114</definedName>
    <definedName name="p_nuclear_scen3_4_variation" localSheetId="4">NZP_CCS!$E$114</definedName>
    <definedName name="p_nuclear_scen3_4_variation" localSheetId="5">NZP_CCS_SE!$E$114</definedName>
    <definedName name="p_nuclear_scen3_4_variation" localSheetId="3">NZP_SE!$E$114</definedName>
    <definedName name="p_oceanic_power" localSheetId="2">NZP!$C$19:$I$19</definedName>
    <definedName name="p_oceanic_power" localSheetId="4">NZP_CCS!$C$19:$I$19</definedName>
    <definedName name="p_oceanic_power" localSheetId="5">NZP_CCS_SE!$C$19:$I$19</definedName>
    <definedName name="p_oceanic_power" localSheetId="3">NZP_SE!$C$19:$I$19</definedName>
    <definedName name="p_offshore_wind_power" localSheetId="2">NZP!$C$21:$I$21</definedName>
    <definedName name="p_offshore_wind_power" localSheetId="4">NZP_CCS!$C$21:$I$21</definedName>
    <definedName name="p_offshore_wind_power" localSheetId="5">NZP_CCS_SE!$C$21:$I$21</definedName>
    <definedName name="p_offshore_wind_power" localSheetId="3">NZP_SE!$C$21:$I$21</definedName>
    <definedName name="p_onshore_wind_power" localSheetId="2">NZP!$C$20:$I$20</definedName>
    <definedName name="p_onshore_wind_power" localSheetId="4">NZP_CCS!$C$20:$I$20</definedName>
    <definedName name="p_onshore_wind_power" localSheetId="5">NZP_CCS_SE!$C$20:$I$20</definedName>
    <definedName name="p_onshore_wind_power" localSheetId="3">NZP_SE!$C$20:$I$20</definedName>
    <definedName name="p_PHS_power" localSheetId="2">NZP!$C$24:$I$24</definedName>
    <definedName name="p_PHS_power" localSheetId="4">NZP_CCS!$C$24:$I$24</definedName>
    <definedName name="p_PHS_power" localSheetId="5">NZP_CCS_SE!$C$24:$I$24</definedName>
    <definedName name="p_PHS_power" localSheetId="3">NZP_SE!$C$24:$I$24</definedName>
    <definedName name="p_pop_asymptote" localSheetId="2">NZP!#REF!</definedName>
    <definedName name="p_pop_asymptote" localSheetId="4">NZP!#REF!</definedName>
    <definedName name="p_pop_asymptote" localSheetId="5">NZP!#REF!</definedName>
    <definedName name="p_pop_asymptote" localSheetId="3">NZP_SE!#REF!</definedName>
    <definedName name="p_PV_power" localSheetId="2">NZP!$C$22:$I$22</definedName>
    <definedName name="p_PV_power" localSheetId="4">NZP_CCS!$C$22:$I$22</definedName>
    <definedName name="p_PV_power" localSheetId="5">NZP_CCS_SE!$C$22:$I$22</definedName>
    <definedName name="p_PV_power" localSheetId="3">NZP_SE!$C$22:$I$22</definedName>
    <definedName name="p_RES_power" localSheetId="2">NZP!$C$16:$I$23</definedName>
    <definedName name="p_RES_power" localSheetId="4">NZP_CCS!$C$16:$I$23</definedName>
    <definedName name="p_RES_power" localSheetId="5">NZP_CCS_SE!$C$16:$I$23</definedName>
    <definedName name="p_RES_power" localSheetId="3">NZP_SE!$C$16:$I$23</definedName>
    <definedName name="P_rr_minerals_alt_techn" localSheetId="2">NZP!$D$244:$D$262</definedName>
    <definedName name="P_rr_minerals_alt_techn" localSheetId="4">NZP_CCS!$D$244:$D$262</definedName>
    <definedName name="P_rr_minerals_alt_techn" localSheetId="5">NZP_CCS_SE!$D$244:$D$262</definedName>
    <definedName name="P_rr_minerals_alt_techn" localSheetId="3">NZP_SE!$D$244:$D$262</definedName>
    <definedName name="P_rr_minerals_Rest" localSheetId="2">NZP!$E$244:$E$262</definedName>
    <definedName name="P_rr_minerals_Rest" localSheetId="4">NZP_CCS!$E$244:$E$262</definedName>
    <definedName name="P_rr_minerals_Rest" localSheetId="5">NZP_CCS_SE!$E$244:$E$262</definedName>
    <definedName name="P_rr_minerals_Rest" localSheetId="3">NZP_SE!$E$244:$E$262</definedName>
    <definedName name="p_share_FEH_vs_FED" localSheetId="2">NZP!$C$55:$C$57</definedName>
    <definedName name="p_share_FEH_vs_FED" localSheetId="4">NZP_CCS!$C$55:$C$57</definedName>
    <definedName name="p_share_FEH_vs_FED" localSheetId="5">NZP_CCS_SE!$C$55:$C$57</definedName>
    <definedName name="p_share_FEH_vs_FED" localSheetId="3">NZP_SE!$C$55:$C$57</definedName>
    <definedName name="p_share_FEH_vs_FED_bioE" localSheetId="2">NZP!$C$58</definedName>
    <definedName name="p_share_FEH_vs_FED_bioE" localSheetId="4">NZP_CCS!$C$58</definedName>
    <definedName name="p_share_FEH_vs_FED_bioE" localSheetId="5">NZP_CCS_SE!$C$58</definedName>
    <definedName name="p_share_FEH_vs_FED_bioE" localSheetId="3">NZP_SE!$C$58</definedName>
    <definedName name="p_share_gas_elec" localSheetId="2">NZP!$C$111</definedName>
    <definedName name="p_share_gas_elec" localSheetId="4">NZP_CCS!$C$111</definedName>
    <definedName name="p_share_gas_elec" localSheetId="5">NZP_CCS_SE!$C$111</definedName>
    <definedName name="p_share_gas_elec" localSheetId="3">NZP_SE!$C$111</definedName>
    <definedName name="p_solar_heat" localSheetId="2">NZP!$C$50</definedName>
    <definedName name="p_solar_heat" localSheetId="4">NZP_CCS!$C$50</definedName>
    <definedName name="p_solar_heat" localSheetId="5">NZP_CCS_SE!$C$50</definedName>
    <definedName name="p_solar_heat" localSheetId="3">NZP_SE!$C$50</definedName>
    <definedName name="p_solid_bioe_heat" localSheetId="2">NZP!$C$52</definedName>
    <definedName name="p_solid_bioe_heat" localSheetId="4">NZP_CCS!$C$52</definedName>
    <definedName name="p_solid_bioe_heat" localSheetId="5">NZP_CCS_SE!$C$52</definedName>
    <definedName name="p_solid_bioe_heat" localSheetId="3">NZP_SE!$C$52</definedName>
    <definedName name="p_timeseries_gdp_growth" localSheetId="2">NZP!$C$10:$AL$10</definedName>
    <definedName name="p_timeseries_gdp_growth" localSheetId="4">NZP_CCS!$C$10:$AL$10</definedName>
    <definedName name="p_timeseries_gdp_growth" localSheetId="5">NZP_CCS_SE!$C$10:$AL$10</definedName>
    <definedName name="p_timeseries_gdp_growth" localSheetId="3">NZP_SE!$C$10:$AL$10</definedName>
    <definedName name="p_timeseries_pop_growth" localSheetId="2">NZP!$C$4:$AM$4</definedName>
    <definedName name="p_timeseries_pop_growth" localSheetId="4">NZP_CCS!$C$4:$AM$4</definedName>
    <definedName name="p_timeseries_pop_growth" localSheetId="5">NZP_CCS_SE!$C$4:$AM$4</definedName>
    <definedName name="p_timeseries_pop_growth" localSheetId="3">NZP_SE!$C$4:$AM$4</definedName>
    <definedName name="p_waste_growth" localSheetId="2">NZP!$C$45</definedName>
    <definedName name="p_waste_growth" localSheetId="4">NZP_CCS!$C$45</definedName>
    <definedName name="p_waste_growth" localSheetId="5">NZP_CCS_SE!$C$45</definedName>
    <definedName name="p_waste_growth" localSheetId="3">NZP_SE!$C$45</definedName>
    <definedName name="pct_change_energy_intensity_target" localSheetId="2">NZP!$C$223</definedName>
    <definedName name="pct_change_energy_intensity_target" localSheetId="4">NZP_CCS!$C$223</definedName>
    <definedName name="pct_change_energy_intensity_target" localSheetId="5">NZP_CCS_SE!$C$223</definedName>
    <definedName name="pct_change_energy_intensity_target" localSheetId="3">NZP_SE!$C$223</definedName>
    <definedName name="percent_2w_tfin_over_hh_veh" localSheetId="2">NZP!#REF!</definedName>
    <definedName name="percent_2w_tfin_over_hh_veh" localSheetId="4">NZP!#REF!</definedName>
    <definedName name="percent_2w_tfin_over_hh_veh" localSheetId="5">NZP!#REF!</definedName>
    <definedName name="percent_2w_tfin_over_hh_veh" localSheetId="3">NZP_SE!#REF!</definedName>
    <definedName name="percent_electr_bus_tfin" localSheetId="2">NZP!#REF!</definedName>
    <definedName name="percent_electr_bus_tfin" localSheetId="4">NZP!#REF!</definedName>
    <definedName name="percent_electr_bus_tfin" localSheetId="5">NZP!#REF!</definedName>
    <definedName name="percent_electr_bus_tfin" localSheetId="3">NZP_SE!#REF!</definedName>
    <definedName name="percent_electr_hh_4w_tfin" localSheetId="2">NZP!#REF!</definedName>
    <definedName name="percent_electr_hh_4w_tfin" localSheetId="4">NZP!#REF!</definedName>
    <definedName name="percent_electr_hh_4w_tfin" localSheetId="5">NZP!#REF!</definedName>
    <definedName name="percent_electr_hh_4w_tfin" localSheetId="3">NZP_SE!#REF!</definedName>
    <definedName name="percent_electric_2w_tfin" localSheetId="2">NZP!#REF!</definedName>
    <definedName name="percent_electric_2w_tfin" localSheetId="4">NZP!#REF!</definedName>
    <definedName name="percent_electric_2w_tfin" localSheetId="5">NZP!#REF!</definedName>
    <definedName name="percent_electric_2w_tfin" localSheetId="3">NZP_SE!#REF!</definedName>
    <definedName name="percent_electric_light_cargo_veh_tfin" localSheetId="2">NZP!#REF!</definedName>
    <definedName name="percent_electric_light_cargo_veh_tfin" localSheetId="4">NZP!#REF!</definedName>
    <definedName name="percent_electric_light_cargo_veh_tfin" localSheetId="5">NZP!#REF!</definedName>
    <definedName name="percent_electric_light_cargo_veh_tfin" localSheetId="3">NZP_SE!#REF!</definedName>
    <definedName name="percent_electric_train_tfin" localSheetId="2">NZP!#REF!</definedName>
    <definedName name="percent_electric_train_tfin" localSheetId="4">NZP!#REF!</definedName>
    <definedName name="percent_electric_train_tfin" localSheetId="5">NZP!#REF!</definedName>
    <definedName name="percent_electric_train_tfin" localSheetId="3">NZP_SE!#REF!</definedName>
    <definedName name="percent_gas_heavy_veh_tfin" localSheetId="2">NZP!#REF!</definedName>
    <definedName name="percent_gas_heavy_veh_tfin" localSheetId="4">NZP!#REF!</definedName>
    <definedName name="percent_gas_heavy_veh_tfin" localSheetId="5">NZP!#REF!</definedName>
    <definedName name="percent_gas_heavy_veh_tfin" localSheetId="3">NZP_SE!#REF!</definedName>
    <definedName name="percent_gas_hh_veh_4w_tfin" localSheetId="2">NZP!#REF!</definedName>
    <definedName name="percent_gas_hh_veh_4w_tfin" localSheetId="4">NZP!#REF!</definedName>
    <definedName name="percent_gas_hh_veh_4w_tfin" localSheetId="5">NZP!#REF!</definedName>
    <definedName name="percent_gas_hh_veh_4w_tfin" localSheetId="3">NZP_SE!#REF!</definedName>
    <definedName name="percent_hybrid_bus_tfin" localSheetId="2">NZP!#REF!</definedName>
    <definedName name="percent_hybrid_bus_tfin" localSheetId="4">NZP!#REF!</definedName>
    <definedName name="percent_hybrid_bus_tfin" localSheetId="5">NZP!#REF!</definedName>
    <definedName name="percent_hybrid_bus_tfin" localSheetId="3">NZP_SE!#REF!</definedName>
    <definedName name="percent_hybrid_heavy_veh_tfin" localSheetId="2">NZP!#REF!</definedName>
    <definedName name="percent_hybrid_heavy_veh_tfin" localSheetId="4">NZP!#REF!</definedName>
    <definedName name="percent_hybrid_heavy_veh_tfin" localSheetId="5">NZP!#REF!</definedName>
    <definedName name="percent_hybrid_heavy_veh_tfin" localSheetId="3">NZP_SE!#REF!</definedName>
    <definedName name="percent_hybrid_hh_4w_veh_tfin" localSheetId="2">NZP!#REF!</definedName>
    <definedName name="percent_hybrid_hh_4w_veh_tfin" localSheetId="4">NZP!#REF!</definedName>
    <definedName name="percent_hybrid_hh_4w_veh_tfin" localSheetId="5">NZP!#REF!</definedName>
    <definedName name="percent_hybrid_hh_4w_veh_tfin" localSheetId="3">NZP_SE!#REF!</definedName>
    <definedName name="percent_hybrid_light_cargo_veh_tfin" localSheetId="2">NZP!#REF!</definedName>
    <definedName name="percent_hybrid_light_cargo_veh_tfin" localSheetId="4">NZP!#REF!</definedName>
    <definedName name="percent_hybrid_light_cargo_veh_tfin" localSheetId="5">NZP!#REF!</definedName>
    <definedName name="percent_hybrid_light_cargo_veh_tfin" localSheetId="3">NZP_SE!#REF!</definedName>
    <definedName name="percent_natgas_bus_tfin" localSheetId="2">NZP!#REF!</definedName>
    <definedName name="percent_natgas_bus_tfin" localSheetId="4">NZP!#REF!</definedName>
    <definedName name="percent_natgas_bus_tfin" localSheetId="5">NZP!#REF!</definedName>
    <definedName name="percent_natgas_bus_tfin" localSheetId="3">NZP_SE!#REF!</definedName>
    <definedName name="percent_natgas_light_cargo_veh_tfin" localSheetId="2">NZP!#REF!</definedName>
    <definedName name="percent_natgas_light_cargo_veh_tfin" localSheetId="4">NZP!#REF!</definedName>
    <definedName name="percent_natgas_light_cargo_veh_tfin" localSheetId="5">NZP!#REF!</definedName>
    <definedName name="percent_natgas_light_cargo_veh_tfin" localSheetId="3">NZP_SE!#REF!</definedName>
    <definedName name="phase_out_oil_electr" localSheetId="2">NZP!$C$102</definedName>
    <definedName name="phase_out_oil_electr" localSheetId="4">NZP_CCS!$C$102</definedName>
    <definedName name="phase_out_oil_electr" localSheetId="5">NZP_CCS_SE!$C$102</definedName>
    <definedName name="phase_out_oil_electr" localSheetId="3">NZP_SE!$C$102</definedName>
    <definedName name="phase_out_oil_heat" localSheetId="2">NZP!$C$103</definedName>
    <definedName name="phase_out_oil_heat" localSheetId="4">NZP_CCS!$C$103</definedName>
    <definedName name="phase_out_oil_heat" localSheetId="5">NZP_CCS_SE!$C$103</definedName>
    <definedName name="phase_out_oil_heat" localSheetId="3">NZP_SE!$C$103</definedName>
    <definedName name="pkm_share" localSheetId="2">NZP!$D$126:$J$129</definedName>
    <definedName name="pkm_share" localSheetId="4">NZP_CCS!$D$126:$J$129</definedName>
    <definedName name="pkm_share" localSheetId="5">NZP_CCS_SE!$D$126:$J$129</definedName>
    <definedName name="pkm_share" localSheetId="3">NZP_SE!$D$126:$J$129</definedName>
    <definedName name="policy_change_energy_speed" localSheetId="2">NZP!$C$197:$AD$201</definedName>
    <definedName name="policy_change_energy_speed" localSheetId="4">NZP_CCS!$C$197:$AD$201</definedName>
    <definedName name="policy_change_energy_speed" localSheetId="5">NZP_CCS_SE!$C$197:$AD$201</definedName>
    <definedName name="policy_change_energy_speed" localSheetId="3">NZP_SE!$C$197:$AD$201</definedName>
    <definedName name="policy_improvement_process_emissions_efficiency" localSheetId="2">NZP!$C$345</definedName>
    <definedName name="policy_improvement_process_emissions_efficiency" localSheetId="4">NZP_CCS!$C$345</definedName>
    <definedName name="policy_improvement_process_emissions_efficiency" localSheetId="5">NZP_CCS_SE!$C$345</definedName>
    <definedName name="policy_improvement_process_emissions_efficiency" localSheetId="3">NZP_SE!$C$345</definedName>
    <definedName name="policy_to_improve_efficiency_speed" localSheetId="2">NZP!$C$185:$AD$189</definedName>
    <definedName name="policy_to_improve_efficiency_speed" localSheetId="4">NZP_CCS!$C$185:$AD$189</definedName>
    <definedName name="policy_to_improve_efficiency_speed" localSheetId="5">NZP_CCS_SE!$C$185:$AD$189</definedName>
    <definedName name="policy_to_improve_efficiency_speed" localSheetId="3">NZP_SE!$C$185:$AD$189</definedName>
    <definedName name="pop_growth_timeseries" localSheetId="2">NZP!$C$5:$AL$5</definedName>
    <definedName name="pop_growth_timeseries" localSheetId="4">NZP_CCS!$C$5:$AL$5</definedName>
    <definedName name="pop_growth_timeseries" localSheetId="3">NZP_SE!$C$5:$AL$5</definedName>
    <definedName name="pop_growth_timeseries">NZP_CCS_SE!$C$5:$AL$5</definedName>
    <definedName name="pot_marg_land_biofuels" localSheetId="2">NZP!#REF!</definedName>
    <definedName name="pot_marg_land_biofuels" localSheetId="4">NZP!#REF!</definedName>
    <definedName name="pot_marg_land_biofuels" localSheetId="5">NZP!#REF!</definedName>
    <definedName name="pot_marg_land_biofuels" localSheetId="3">NZP_SE!#REF!</definedName>
    <definedName name="RCP_GHG_emissions_select" localSheetId="2">NZP!$C$273</definedName>
    <definedName name="RCP_GHG_emissions_select" localSheetId="4">NZP_CCS!$C$273</definedName>
    <definedName name="RCP_GHG_emissions_select" localSheetId="5">NZP_CCS_SE!$C$273</definedName>
    <definedName name="RCP_GHG_emissions_select" localSheetId="3">NZP_SE!$C$273</definedName>
    <definedName name="scarcity_feedback_final_fuel_replacement_flag" localSheetId="2">NZP!$C$226</definedName>
    <definedName name="scarcity_feedback_final_fuel_replacement_flag" localSheetId="4">NZP_CCS!$C$226</definedName>
    <definedName name="scarcity_feedback_final_fuel_replacement_flag" localSheetId="5">NZP_CCS_SE!$C$226</definedName>
    <definedName name="scarcity_feedback_final_fuel_replacement_flag" localSheetId="3">NZP_SE!$C$226</definedName>
    <definedName name="sectoral_FEI_evolution_method" localSheetId="2">NZP!$C$171</definedName>
    <definedName name="sectoral_FEI_evolution_method" localSheetId="4">NZP_CCS!$C$171</definedName>
    <definedName name="sectoral_FEI_evolution_method" localSheetId="5">NZP_CCS_SE!$C$171</definedName>
    <definedName name="sectoral_FEI_evolution_method" localSheetId="3">NZP_SE!$C$171</definedName>
    <definedName name="select_gdp_evolution" localSheetId="2">NZP!#REF!</definedName>
    <definedName name="select_gdp_evolution" localSheetId="4">NZP!#REF!</definedName>
    <definedName name="select_gdp_evolution" localSheetId="5">NZP!#REF!</definedName>
    <definedName name="select_gdp_evolution" localSheetId="3">NZP_SE!#REF!</definedName>
    <definedName name="select_nuclear_scen" localSheetId="2">NZP!$B$114</definedName>
    <definedName name="select_nuclear_scen" localSheetId="4">NZP_CCS!$B$114</definedName>
    <definedName name="select_nuclear_scen" localSheetId="5">NZP_CCS_SE!$B$114</definedName>
    <definedName name="select_nuclear_scen" localSheetId="3">NZP_SE!$B$114</definedName>
    <definedName name="select_pop_evolution" localSheetId="2">NZP!#REF!</definedName>
    <definedName name="select_pop_evolution" localSheetId="4">NZP!#REF!</definedName>
    <definedName name="select_pop_evolution" localSheetId="5">NZP!#REF!</definedName>
    <definedName name="select_pop_evolution" localSheetId="3">NZP_SE!#REF!</definedName>
    <definedName name="sensitivity_to_scarcity_option" localSheetId="2">NZP!$C$227</definedName>
    <definedName name="sensitivity_to_scarcity_option" localSheetId="4">NZP_CCS!$C$227</definedName>
    <definedName name="sensitivity_to_scarcity_option" localSheetId="5">NZP_CCS_SE!$C$227</definedName>
    <definedName name="sensitivity_to_scarcity_option" localSheetId="3">NZP_SE!$C$227</definedName>
    <definedName name="sensitivity_to_scarcity_option_H" localSheetId="2">NZP!$C$231</definedName>
    <definedName name="sensitivity_to_scarcity_option_H" localSheetId="4">NZP_CCS!$C$231</definedName>
    <definedName name="sensitivity_to_scarcity_option_H" localSheetId="5">NZP_CCS_SE!$C$231</definedName>
    <definedName name="sensitivity_to_scarcity_option_H" localSheetId="3">NZP_SE!$C$231</definedName>
    <definedName name="separate_conv_and_unconv_gas" localSheetId="2">NZP!$C$74</definedName>
    <definedName name="separate_conv_and_unconv_gas" localSheetId="4">NZP_CCS!$C$74</definedName>
    <definedName name="separate_conv_and_unconv_gas" localSheetId="5">NZP_CCS_SE!$C$74</definedName>
    <definedName name="separate_conv_and_unconv_gas" localSheetId="3">NZP_SE!$C$74</definedName>
    <definedName name="separate_conv_and_unconv_oil" localSheetId="2">NZP!$C$70</definedName>
    <definedName name="separate_conv_and_unconv_oil" localSheetId="4">NZP_CCS!$C$70</definedName>
    <definedName name="separate_conv_and_unconv_oil" localSheetId="5">NZP_CCS_SE!$C$70</definedName>
    <definedName name="separate_conv_and_unconv_oil" localSheetId="3">NZP_SE!$C$70</definedName>
    <definedName name="share_available_roof" localSheetId="2">NZP!$C$398</definedName>
    <definedName name="share_available_roof" localSheetId="4">NZP_CCS!$C$398</definedName>
    <definedName name="share_available_roof" localSheetId="5">NZP_CCS_SE!$C$398</definedName>
    <definedName name="share_available_roof" localSheetId="3">NZP_SE!$C$398</definedName>
    <definedName name="share_available_roof_for_rooftop_PV" localSheetId="2">NZP!$C$399</definedName>
    <definedName name="share_available_roof_for_rooftop_PV" localSheetId="4">NZP_CCS!$C$399</definedName>
    <definedName name="share_available_roof_for_rooftop_PV" localSheetId="5">NZP_CCS_SE!$C$399</definedName>
    <definedName name="share_available_roof_for_rooftop_PV" localSheetId="3">NZP_SE!$C$399</definedName>
    <definedName name="share_ccs_energy" localSheetId="2">NZP!$C$312:$I$339</definedName>
    <definedName name="share_ccs_energy" localSheetId="4">NZP_CCS!$C$312:$I$339</definedName>
    <definedName name="share_ccs_energy" localSheetId="3">NZP_SE!$C$312:$I$339</definedName>
    <definedName name="share_ccs_energy">NZP_CCS_SE!$C$312:$I$339</definedName>
    <definedName name="share_cellulosic_biof_vs_bioe_res" localSheetId="2">NZP!$C$37</definedName>
    <definedName name="share_cellulosic_biof_vs_bioe_res" localSheetId="4">NZP_CCS!$C$37</definedName>
    <definedName name="share_cellulosic_biof_vs_bioe_res" localSheetId="5">NZP_CCS_SE!$C$37</definedName>
    <definedName name="share_cellulosic_biof_vs_bioe_res" localSheetId="3">NZP_SE!$C$37</definedName>
    <definedName name="share_curtailment" localSheetId="2">NZP!$C$25:$I$25</definedName>
    <definedName name="share_curtailment" localSheetId="4">NZP_CCS!$C$25:$I$25</definedName>
    <definedName name="share_curtailment" localSheetId="5">NZP_CCS_SE!$C$25:$I$25</definedName>
    <definedName name="share_curtailment" localSheetId="3">NZP_SE!$C$25:$I$25</definedName>
    <definedName name="share_exports_electricity" localSheetId="2">NZP!$C$376:$I$376</definedName>
    <definedName name="share_exports_electricity" localSheetId="4">NZP_CCS!$C$376:$I$376</definedName>
    <definedName name="share_exports_electricity" localSheetId="5">NZP_CCS_SE!$C$376:$I$376</definedName>
    <definedName name="share_exports_electricity" localSheetId="3">NZP_SE!$C$376:$I$376</definedName>
    <definedName name="share_PV_urban_tot_PV" localSheetId="2">NZP!$C$401</definedName>
    <definedName name="share_PV_urban_tot_PV" localSheetId="4">NZP_CCS!$C$401</definedName>
    <definedName name="share_PV_urban_tot_PV" localSheetId="5">NZP_CCS_SE!$C$401</definedName>
    <definedName name="share_PV_urban_tot_PV" localSheetId="3">NZP_SE!$C$401</definedName>
    <definedName name="share_roof_solar_thermal" localSheetId="2">NZP!$C$400</definedName>
    <definedName name="share_roof_solar_thermal" localSheetId="4">NZP_CCS!$C$400</definedName>
    <definedName name="share_roof_solar_thermal" localSheetId="5">NZP_CCS_SE!$C$400</definedName>
    <definedName name="share_roof_solar_thermal" localSheetId="3">NZP_SE!$C$400</definedName>
    <definedName name="share_RURR_agg_gas_underground" localSheetId="2">NZP!$C$98</definedName>
    <definedName name="share_RURR_agg_gas_underground" localSheetId="4">NZP_CCS!$C$98</definedName>
    <definedName name="share_RURR_agg_gas_underground" localSheetId="5">NZP_CCS_SE!$C$98</definedName>
    <definedName name="share_RURR_agg_gas_underground" localSheetId="3">NZP_SE!$C$98</definedName>
    <definedName name="share_RURR_agg_oil_underground" localSheetId="2">NZP!$C$96</definedName>
    <definedName name="share_RURR_agg_oil_underground" localSheetId="4">NZP_CCS!$C$96</definedName>
    <definedName name="share_RURR_agg_oil_underground" localSheetId="5">NZP_CCS_SE!$C$96</definedName>
    <definedName name="share_RURR_agg_oil_underground" localSheetId="3">NZP_SE!$C$96</definedName>
    <definedName name="share_RURR_coal_underground" localSheetId="2">NZP!$C$94</definedName>
    <definedName name="share_RURR_coal_underground" localSheetId="4">NZP_CCS!$C$94</definedName>
    <definedName name="share_RURR_coal_underground" localSheetId="5">NZP_CCS_SE!$C$94</definedName>
    <definedName name="share_RURR_coal_underground" localSheetId="3">NZP_SE!$C$94</definedName>
    <definedName name="share_RURR_conv_gas_underground" localSheetId="2">NZP!$C$90</definedName>
    <definedName name="share_RURR_conv_gas_underground" localSheetId="4">NZP_CCS!$C$90</definedName>
    <definedName name="share_RURR_conv_gas_underground" localSheetId="5">NZP_CCS_SE!$C$90</definedName>
    <definedName name="share_RURR_conv_gas_underground" localSheetId="3">NZP_SE!$C$90</definedName>
    <definedName name="share_RURR_conv_oil_underground" localSheetId="2">NZP!$C$86</definedName>
    <definedName name="share_RURR_conv_oil_underground" localSheetId="4">NZP_CCS!$C$86</definedName>
    <definedName name="share_RURR_conv_oil_underground" localSheetId="5">NZP_CCS_SE!$C$86</definedName>
    <definedName name="share_RURR_conv_oil_underground" localSheetId="3">NZP_SE!$C$86</definedName>
    <definedName name="share_RURR_unconv_gas_underground" localSheetId="2">NZP!$C$92</definedName>
    <definedName name="share_RURR_unconv_gas_underground" localSheetId="4">NZP_CCS!$C$92</definedName>
    <definedName name="share_RURR_unconv_gas_underground" localSheetId="5">NZP_CCS_SE!$C$92</definedName>
    <definedName name="share_RURR_unconv_gas_underground" localSheetId="3">NZP_SE!$C$92</definedName>
    <definedName name="share_RURR_unconv_oil_underground" localSheetId="2">NZP!$C$88</definedName>
    <definedName name="share_RURR_unconv_oil_underground" localSheetId="4">NZP_CCS!$C$88</definedName>
    <definedName name="share_RURR_unconv_oil_underground" localSheetId="5">NZP_CCS_SE!$C$88</definedName>
    <definedName name="share_RURR_unconv_oil_underground" localSheetId="3">NZP_SE!$C$88</definedName>
    <definedName name="share_target_year_oil_for_elec" localSheetId="2">NZP!$C$108</definedName>
    <definedName name="share_target_year_oil_for_elec" localSheetId="4">NZP_CCS!$C$108</definedName>
    <definedName name="share_target_year_oil_for_elec" localSheetId="5">NZP_CCS_SE!$C$108</definedName>
    <definedName name="share_target_year_oil_for_elec" localSheetId="3">NZP_SE!$C$108</definedName>
    <definedName name="share_target_year_oil_for_heat" localSheetId="2">NZP!$C$109</definedName>
    <definedName name="share_target_year_oil_for_heat" localSheetId="4">NZP_CCS!$C$109</definedName>
    <definedName name="share_target_year_oil_for_heat" localSheetId="5">NZP_CCS_SE!$C$109</definedName>
    <definedName name="share_target_year_oil_for_heat" localSheetId="3">NZP_SE!$C$109</definedName>
    <definedName name="share_trans_loss" localSheetId="2">NZP!$C$26:$I$26</definedName>
    <definedName name="share_trans_loss" localSheetId="4">NZP_CCS!$C$26:$I$26</definedName>
    <definedName name="share_trans_loss" localSheetId="5">NZP_CCS_SE!$C$26:$I$26</definedName>
    <definedName name="share_trans_loss" localSheetId="3">NZP_SE!$C$26:$I$26</definedName>
    <definedName name="start_policy_year_agg_gas_underground" localSheetId="2">NZP!$C$97</definedName>
    <definedName name="start_policy_year_agg_gas_underground" localSheetId="4">NZP_CCS!$C$97</definedName>
    <definedName name="start_policy_year_agg_gas_underground" localSheetId="5">NZP_CCS_SE!$C$97</definedName>
    <definedName name="start_policy_year_agg_gas_underground" localSheetId="3">NZP_SE!$C$97</definedName>
    <definedName name="start_policy_year_agg_oil_underground" localSheetId="2">NZP!$C$95</definedName>
    <definedName name="start_policy_year_agg_oil_underground" localSheetId="4">NZP_CCS!$C$95</definedName>
    <definedName name="start_policy_year_agg_oil_underground" localSheetId="5">NZP_CCS_SE!$C$95</definedName>
    <definedName name="start_policy_year_agg_oil_underground" localSheetId="3">NZP_SE!$C$95</definedName>
    <definedName name="start_policy_year_coal_underground" localSheetId="2">NZP!$C$93</definedName>
    <definedName name="start_policy_year_coal_underground" localSheetId="4">NZP_CCS!$C$93</definedName>
    <definedName name="start_policy_year_coal_underground" localSheetId="5">NZP_CCS_SE!$C$93</definedName>
    <definedName name="start_policy_year_coal_underground" localSheetId="3">NZP_SE!$C$93</definedName>
    <definedName name="start_policy_year_conv_gas_underground" localSheetId="2">NZP!$C$89</definedName>
    <definedName name="start_policy_year_conv_gas_underground" localSheetId="4">NZP_CCS!$C$89</definedName>
    <definedName name="start_policy_year_conv_gas_underground" localSheetId="5">NZP_CCS_SE!$C$89</definedName>
    <definedName name="start_policy_year_conv_gas_underground" localSheetId="3">NZP_SE!$C$89</definedName>
    <definedName name="start_policy_year_conv_oil_underground" localSheetId="2">NZP!$C$85</definedName>
    <definedName name="start_policy_year_conv_oil_underground" localSheetId="4">NZP_CCS!$C$85</definedName>
    <definedName name="start_policy_year_conv_oil_underground" localSheetId="5">NZP_CCS_SE!$C$85</definedName>
    <definedName name="start_policy_year_conv_oil_underground" localSheetId="3">NZP_SE!$C$85</definedName>
    <definedName name="start_policy_year_unconv_gas_underground" localSheetId="2">NZP!$C$91</definedName>
    <definedName name="start_policy_year_unconv_gas_underground" localSheetId="4">NZP_CCS!$C$91</definedName>
    <definedName name="start_policy_year_unconv_gas_underground" localSheetId="5">NZP_CCS_SE!$C$91</definedName>
    <definedName name="start_policy_year_unconv_gas_underground" localSheetId="3">NZP_SE!$C$91</definedName>
    <definedName name="start_policy_year_unconv_oil_underground" localSheetId="2">NZP!$C$87</definedName>
    <definedName name="start_policy_year_unconv_oil_underground" localSheetId="4">NZP_CCS!$C$87</definedName>
    <definedName name="start_policy_year_unconv_oil_underground" localSheetId="3">NZP_SE!$C$87</definedName>
    <definedName name="start_policy_year_unconv_oil_underground">NZP_CCS_SE!$C$87</definedName>
    <definedName name="start_policy_year_unconv_opil_underground" localSheetId="2">NZP!$C$87</definedName>
    <definedName name="start_policy_year_unconv_opil_underground" localSheetId="4">NZP_CCS!$C$87</definedName>
    <definedName name="start_policy_year_unconv_opil_underground" localSheetId="5">NZP_CCS_SE!$C$87</definedName>
    <definedName name="start_policy_year_unconv_opil_underground" localSheetId="3">NZP_SE!$C$87</definedName>
    <definedName name="start_year_3gen_cell_biofuels" localSheetId="2">NZP!$C$33</definedName>
    <definedName name="start_year_3gen_cell_biofuels" localSheetId="4">NZP_CCS!$C$33</definedName>
    <definedName name="start_year_3gen_cell_biofuels" localSheetId="5">NZP_CCS_SE!$C$33</definedName>
    <definedName name="start_year_3gen_cell_biofuels" localSheetId="3">NZP_SE!$C$33</definedName>
    <definedName name="start_year_bioe_residues_non_biofuels" localSheetId="2">NZP!$C$36</definedName>
    <definedName name="start_year_bioe_residues_non_biofuels" localSheetId="4">NZP_CCS!$C$36</definedName>
    <definedName name="start_year_bioe_residues_non_biofuels" localSheetId="5">NZP_CCS_SE!$C$36</definedName>
    <definedName name="start_year_bioe_residues_non_biofuels" localSheetId="3">NZP_SE!$C$36</definedName>
    <definedName name="start_year_biofuels_land_marg" localSheetId="2">NZP!$C$39</definedName>
    <definedName name="start_year_biofuels_land_marg" localSheetId="4">NZP_CCS!$C$39</definedName>
    <definedName name="start_year_biofuels_land_marg" localSheetId="5">NZP_CCS_SE!$C$39</definedName>
    <definedName name="start_year_biofuels_land_marg" localSheetId="3">NZP_SE!$C$39</definedName>
    <definedName name="start_year_cell_efficency_PV" localSheetId="2">NZP!$C$393</definedName>
    <definedName name="start_year_cell_efficency_PV" localSheetId="4">NZP_CCS!$C$393</definedName>
    <definedName name="start_year_cell_efficency_PV" localSheetId="5">NZP_CCS_SE!$C$393</definedName>
    <definedName name="start_year_cell_efficency_PV" localSheetId="3">NZP_SE!$C$393</definedName>
    <definedName name="start_year_modification_EI" localSheetId="2">NZP!$C$212</definedName>
    <definedName name="start_year_modification_EI" localSheetId="4">NZP_CCS!$C$212</definedName>
    <definedName name="start_year_modification_EI" localSheetId="5">NZP_CCS_SE!$C$212</definedName>
    <definedName name="start_year_modification_EI" localSheetId="3">NZP_SE!$C$212</definedName>
    <definedName name="start_year_nuclear_variation_scen3_4" localSheetId="2">NZP!$E$115</definedName>
    <definedName name="start_year_nuclear_variation_scen3_4" localSheetId="4">NZP_CCS!$E$115</definedName>
    <definedName name="start_year_nuclear_variation_scen3_4" localSheetId="5">NZP_CCS_SE!$E$115</definedName>
    <definedName name="start_year_nuclear_variation_scen3_4" localSheetId="3">NZP_SE!$E$115</definedName>
    <definedName name="start_year_P_common_rr_minerals_alt_techn" localSheetId="2">NZP!$C$265</definedName>
    <definedName name="start_year_P_common_rr_minerals_alt_techn" localSheetId="4">NZP_CCS!$C$265</definedName>
    <definedName name="start_year_P_common_rr_minerals_alt_techn" localSheetId="5">NZP_CCS_SE!$C$265</definedName>
    <definedName name="start_year_P_common_rr_minerals_alt_techn" localSheetId="3">NZP_SE!$C$265</definedName>
    <definedName name="start_year_P_common_rr_minerals_Rest" localSheetId="2">NZP!$C$267</definedName>
    <definedName name="start_year_P_common_rr_minerals_Rest" localSheetId="4">NZP_CCS!$C$267</definedName>
    <definedName name="start_year_P_common_rr_minerals_Rest" localSheetId="5">NZP_CCS_SE!$C$267</definedName>
    <definedName name="start_year_P_common_rr_minerals_Rest" localSheetId="3">NZP_SE!$C$267</definedName>
    <definedName name="start_year_p_growth_RES_elec" localSheetId="2">NZP!$C$15</definedName>
    <definedName name="start_year_p_growth_RES_elec" localSheetId="4">NZP_CCS!$C$15</definedName>
    <definedName name="start_year_p_growth_RES_elec" localSheetId="5">NZP_CCS_SE!$C$15</definedName>
    <definedName name="start_year_p_growth_RES_elec" localSheetId="3">NZP_SE!$C$15</definedName>
    <definedName name="start_year_p_growth_RES_heat" localSheetId="2">NZP!$C$48</definedName>
    <definedName name="start_year_p_growth_RES_heat" localSheetId="4">NZP_CCS!$C$48</definedName>
    <definedName name="start_year_p_growth_RES_heat" localSheetId="5">NZP_CCS_SE!$C$48</definedName>
    <definedName name="start_year_p_growth_RES_heat" localSheetId="3">NZP_SE!$C$48</definedName>
    <definedName name="start_year_P_rr_minerals" localSheetId="2">NZP!$B$243</definedName>
    <definedName name="start_year_P_rr_minerals" localSheetId="4">NZP_CCS!$B$243</definedName>
    <definedName name="start_year_P_rr_minerals" localSheetId="5">NZP_CCS_SE!$B$243</definedName>
    <definedName name="start_year_P_rr_minerals" localSheetId="3">NZP_SE!$B$243</definedName>
    <definedName name="start_year_P_urban_land_density" localSheetId="2">NZP!$C$387</definedName>
    <definedName name="start_year_P_urban_land_density" localSheetId="4">NZP_CCS!$C$387</definedName>
    <definedName name="start_year_P_urban_land_density" localSheetId="5">NZP_CCS_SE!$C$387</definedName>
    <definedName name="start_year_P_urban_land_density" localSheetId="3">NZP_SE!$C$387</definedName>
    <definedName name="start_year_policies_transport" localSheetId="2">NZP!$D$122</definedName>
    <definedName name="start_year_policies_transport" localSheetId="4">NZP_CCS!$D$122</definedName>
    <definedName name="start_year_policies_transport" localSheetId="5">NZP_CCS_SE!$D$122</definedName>
    <definedName name="start_year_policies_transport" localSheetId="3">NZP_SE!$D$122</definedName>
    <definedName name="start_year_policy_phase_out_oil_for_electricity" localSheetId="2">NZP!$C$104</definedName>
    <definedName name="start_year_policy_phase_out_oil_for_electricity" localSheetId="4">NZP_CCS!$C$104</definedName>
    <definedName name="start_year_policy_phase_out_oil_for_electricity" localSheetId="5">NZP_CCS_SE!$C$104</definedName>
    <definedName name="start_year_policy_phase_out_oil_for_electricity" localSheetId="3">NZP_SE!$C$104</definedName>
    <definedName name="start_year_policy_phase_out_oil_for_heat" localSheetId="2">NZP!$C$105</definedName>
    <definedName name="start_year_policy_phase_out_oil_for_heat" localSheetId="4">NZP_CCS!$C$105</definedName>
    <definedName name="start_year_policy_phase_out_oil_for_heat" localSheetId="5">NZP_CCS_SE!$C$105</definedName>
    <definedName name="start_year_policy_phase_out_oil_for_heat" localSheetId="3">NZP_SE!$C$105</definedName>
    <definedName name="start_year_variation_primary_forest" localSheetId="2">NZP!$C$385</definedName>
    <definedName name="start_year_variation_primary_forest" localSheetId="4">NZP_CCS!$C$385</definedName>
    <definedName name="start_year_variation_primary_forest" localSheetId="5">NZP_CCS_SE!$C$385</definedName>
    <definedName name="start_year_variation_primary_forest" localSheetId="3">NZP_SE!$C$385</definedName>
    <definedName name="targ_year_cell_efficiency_PV" localSheetId="2">NZP!$C$394</definedName>
    <definedName name="targ_year_cell_efficiency_PV" localSheetId="4">NZP_CCS!$C$394</definedName>
    <definedName name="targ_year_cell_efficiency_PV" localSheetId="5">NZP_CCS_SE!$C$394</definedName>
    <definedName name="targ_year_cell_efficiency_PV" localSheetId="3">NZP_SE!$C$394</definedName>
    <definedName name="target_year_asymptote_gdp" localSheetId="2">NZP!#REF!</definedName>
    <definedName name="target_year_asymptote_gdp" localSheetId="4">NZP!#REF!</definedName>
    <definedName name="target_year_asymptote_gdp" localSheetId="5">NZP!#REF!</definedName>
    <definedName name="target_year_asymptote_gdp" localSheetId="3">NZP_SE!#REF!</definedName>
    <definedName name="target_year_asymptote_pop" localSheetId="2">NZP!#REF!</definedName>
    <definedName name="target_year_asymptote_pop" localSheetId="4">NZP!#REF!</definedName>
    <definedName name="target_year_asymptote_pop" localSheetId="5">NZP!#REF!</definedName>
    <definedName name="target_year_asymptote_pop" localSheetId="3">NZP_SE!#REF!</definedName>
    <definedName name="target_year_p_growth_RES_elec" localSheetId="2">NZP!#REF!</definedName>
    <definedName name="target_year_p_growth_RES_elec" localSheetId="4">NZP!#REF!</definedName>
    <definedName name="target_year_p_growth_RES_elec" localSheetId="5">NZP!#REF!</definedName>
    <definedName name="target_year_p_growth_RES_elec" localSheetId="3">NZP_SE!#REF!</definedName>
    <definedName name="target_year_p_growth_RES_heat" localSheetId="2">NZP!$C$49</definedName>
    <definedName name="target_year_p_growth_RES_heat" localSheetId="4">NZP_CCS!$C$49</definedName>
    <definedName name="target_year_p_growth_RES_heat" localSheetId="5">NZP_CCS_SE!$C$49</definedName>
    <definedName name="target_year_p_growth_RES_heat" localSheetId="3">NZP_SE!$C$49</definedName>
    <definedName name="target_year_P_rr_minerals" localSheetId="2">NZP!$B$242</definedName>
    <definedName name="target_year_P_rr_minerals" localSheetId="4">NZP_CCS!$B$242</definedName>
    <definedName name="target_year_P_rr_minerals" localSheetId="5">NZP_CCS_SE!$B$242</definedName>
    <definedName name="target_year_P_rr_minerals" localSheetId="3">NZP_SE!$B$242</definedName>
    <definedName name="target_year_P_urban_land_density" localSheetId="2">NZP!$C$388</definedName>
    <definedName name="target_year_P_urban_land_density" localSheetId="4">NZP_CCS!$C$388</definedName>
    <definedName name="target_year_P_urban_land_density" localSheetId="5">NZP_CCS_SE!$C$388</definedName>
    <definedName name="target_year_P_urban_land_density" localSheetId="3">NZP_SE!$C$388</definedName>
    <definedName name="target_year_policy_gas_electricity" localSheetId="2">NZP!$C$110</definedName>
    <definedName name="target_year_policy_gas_electricity" localSheetId="4">NZP_CCS!$C$110</definedName>
    <definedName name="target_year_policy_gas_electricity" localSheetId="5">NZP_CCS_SE!$C$110</definedName>
    <definedName name="target_year_policy_gas_electricity" localSheetId="3">NZP_SE!$C$110</definedName>
    <definedName name="target_year_policy_phase_out_oil_electricity" localSheetId="2">NZP!$C$106</definedName>
    <definedName name="target_year_policy_phase_out_oil_electricity" localSheetId="4">NZP_CCS!$C$106</definedName>
    <definedName name="target_year_policy_phase_out_oil_electricity" localSheetId="5">NZP_CCS_SE!$C$106</definedName>
    <definedName name="target_year_policy_phase_out_oil_electricity" localSheetId="3">NZP_SE!$C$106</definedName>
    <definedName name="target_year_policy_phase_out_oil_heat" localSheetId="2">NZP!$C$107</definedName>
    <definedName name="target_year_policy_phase_out_oil_heat" localSheetId="4">NZP_CCS!$C$107</definedName>
    <definedName name="target_year_policy_phase_out_oil_heat" localSheetId="5">NZP_CCS_SE!$C$107</definedName>
    <definedName name="target_year_policy_phase_out_oil_heat" localSheetId="3">NZP_SE!$C$107</definedName>
    <definedName name="target_year_process_emissions" localSheetId="2">NZP!$C$344</definedName>
    <definedName name="target_year_process_emissions" localSheetId="4">NZP_CCS!$C$344</definedName>
    <definedName name="target_year_process_emissions" localSheetId="5">NZP_CCS_SE!$C$344</definedName>
    <definedName name="target_year_process_emissions" localSheetId="3">NZP_SE!$C$344</definedName>
    <definedName name="tfin_policy_hh_veh" localSheetId="2">NZP!#REF!</definedName>
    <definedName name="tfin_policy_hh_veh" localSheetId="4">NZP!#REF!</definedName>
    <definedName name="tfin_policy_hh_veh" localSheetId="5">NZP!#REF!</definedName>
    <definedName name="tfin_policy_hh_veh" localSheetId="3">NZP_SE!#REF!</definedName>
    <definedName name="tfin_policy_inland_transp_veh" localSheetId="2">NZP!#REF!</definedName>
    <definedName name="tfin_policy_inland_transp_veh" localSheetId="4">NZP!#REF!</definedName>
    <definedName name="tfin_policy_inland_transp_veh" localSheetId="5">NZP!#REF!</definedName>
    <definedName name="tfin_policy_inland_transp_veh" localSheetId="3">NZP_SE!#REF!</definedName>
    <definedName name="time_afforestation" localSheetId="2">NZP!$C$352:$X$352</definedName>
    <definedName name="time_afforestation" localSheetId="4">NZP_CCS!$C$352:$X$352</definedName>
    <definedName name="time_afforestation" localSheetId="5">NZP_CCS_SE!$C$352:$X$352</definedName>
    <definedName name="time_afforestation" localSheetId="3">NZP_SE!$C$352:$X$352</definedName>
    <definedName name="tini_policy_hh_veh" localSheetId="2">NZP!#REF!</definedName>
    <definedName name="tini_policy_hh_veh" localSheetId="4">NZP!#REF!</definedName>
    <definedName name="tini_policy_hh_veh" localSheetId="5">NZP!#REF!</definedName>
    <definedName name="tini_policy_hh_veh" localSheetId="3">NZP_SE!#REF!</definedName>
    <definedName name="tini_policy_inland_transp_veh" localSheetId="2">NZP!#REF!</definedName>
    <definedName name="tini_policy_inland_transp_veh" localSheetId="4">NZP!#REF!</definedName>
    <definedName name="tini_policy_inland_transp_veh" localSheetId="5">NZP!#REF!</definedName>
    <definedName name="tini_policy_inland_transp_veh" localSheetId="3">NZP_SE!#REF!</definedName>
    <definedName name="tkm_share" localSheetId="2">NZP!$D$123:$J$125</definedName>
    <definedName name="tkm_share" localSheetId="4">NZP_CCS!$D$123:$J$125</definedName>
    <definedName name="tkm_share" localSheetId="5">NZP_CCS_SE!$D$123:$J$125</definedName>
    <definedName name="tkm_share" localSheetId="3">NZP_SE!$D$123:$J$125</definedName>
    <definedName name="unlimited_coal" localSheetId="2">NZP!#REF!</definedName>
    <definedName name="unlimited_coal" localSheetId="4">NZP!#REF!</definedName>
    <definedName name="unlimited_coal" localSheetId="5">NZP!#REF!</definedName>
    <definedName name="unlimited_coal" localSheetId="3">NZP_SE!#REF!</definedName>
    <definedName name="unlimited_gas" localSheetId="2">NZP!#REF!</definedName>
    <definedName name="unlimited_gas" localSheetId="4">NZP!#REF!</definedName>
    <definedName name="unlimited_gas" localSheetId="5">NZP!#REF!</definedName>
    <definedName name="unlimited_gas" localSheetId="3">NZP_SE!#REF!</definedName>
    <definedName name="unlimited_NRE" localSheetId="2">NZP!#REF!</definedName>
    <definedName name="unlimited_NRE" localSheetId="4">NZP!#REF!</definedName>
    <definedName name="unlimited_NRE" localSheetId="5">NZP!#REF!</definedName>
    <definedName name="unlimited_NRE" localSheetId="3">NZP_SE!#REF!</definedName>
    <definedName name="unlimited_oil" localSheetId="2">NZP!#REF!</definedName>
    <definedName name="unlimited_oil" localSheetId="4">NZP!#REF!</definedName>
    <definedName name="unlimited_oil" localSheetId="5">NZP!#REF!</definedName>
    <definedName name="unlimited_oil" localSheetId="3">NZP_SE!#REF!</definedName>
    <definedName name="unlimited_uranium" localSheetId="2">NZP!#REF!</definedName>
    <definedName name="unlimited_uranium" localSheetId="4">NZP!#REF!</definedName>
    <definedName name="unlimited_uranium" localSheetId="5">NZP!#REF!</definedName>
    <definedName name="unlimited_uranium" localSheetId="3">NZP_SE!#REF!</definedName>
    <definedName name="urban_land_density" localSheetId="2">NZP!$C$386</definedName>
    <definedName name="urban_land_density" localSheetId="4">NZP_CCS!$C$386</definedName>
    <definedName name="urban_land_density" localSheetId="5">NZP_CCS_SE!$C$386</definedName>
    <definedName name="urban_land_density" localSheetId="3">NZP_SE!$C$386</definedName>
    <definedName name="variation_primary_forest" localSheetId="2">NZP!$C$384</definedName>
    <definedName name="variation_primary_forest" localSheetId="4">NZP_CCS!$C$384</definedName>
    <definedName name="variation_primary_forest" localSheetId="5">NZP_CCS_SE!$C$384</definedName>
    <definedName name="variation_primary_forest" localSheetId="3">NZP_SE!$C$384</definedName>
    <definedName name="year_change_pct_energy_intensity_target" localSheetId="2">NZP!$C$222</definedName>
    <definedName name="year_change_pct_energy_intensity_target" localSheetId="4">NZP_CCS!$C$222</definedName>
    <definedName name="year_change_pct_energy_intensity_target" localSheetId="5">NZP_CCS_SE!$C$222</definedName>
    <definedName name="year_change_pct_energy_intensity_target" localSheetId="3">NZP_SE!$C$222</definedName>
    <definedName name="year_customized_gdp_evol" localSheetId="2">NZP!#REF!</definedName>
    <definedName name="year_customized_gdp_evol" localSheetId="4">NZP!#REF!</definedName>
    <definedName name="year_customized_gdp_evol" localSheetId="5">NZP!#REF!</definedName>
    <definedName name="year_customized_gdp_evol" localSheetId="3">NZP_SE!#REF!</definedName>
    <definedName name="year_customized_pop_evol" localSheetId="2">NZP!#REF!</definedName>
    <definedName name="year_customized_pop_evol" localSheetId="4">NZP!#REF!</definedName>
    <definedName name="year_customized_pop_evol" localSheetId="5">NZP!#REF!</definedName>
    <definedName name="year_customized_pop_evol" localSheetId="3">NZP_SE!#REF!</definedName>
    <definedName name="year_gdp_timeseries" localSheetId="2">NZP!$C$9:$AL$9</definedName>
    <definedName name="year_gdp_timeseries" localSheetId="4">NZP_CCS!$C$9:$AL$9</definedName>
    <definedName name="year_gdp_timeseries" localSheetId="5">NZP_CCS_SE!$C$9:$AL$9</definedName>
    <definedName name="year_gdp_timeseries" localSheetId="3">NZP_SE!$C$9:$AL$9</definedName>
    <definedName name="year_net_energy_flux" localSheetId="2">NZP!$B$365:$H$365</definedName>
    <definedName name="year_net_energy_flux" localSheetId="4">NZP_CCS!$B$365:$H$365</definedName>
    <definedName name="year_net_energy_flux" localSheetId="5">NZP_CCS_SE!$B$365:$H$365</definedName>
    <definedName name="year_net_energy_flux" localSheetId="3">NZP_SE!$B$365:$H$365</definedName>
    <definedName name="year_policy_change_energy" localSheetId="2">NZP!$C$191:$AD$195</definedName>
    <definedName name="year_policy_change_energy" localSheetId="4">NZP_CCS!$C$191:$AD$195</definedName>
    <definedName name="year_policy_change_energy" localSheetId="5">NZP_CCS_SE!$C$191:$AD$195</definedName>
    <definedName name="year_policy_change_energy" localSheetId="3">NZP_SE!$C$191:$AD$195</definedName>
    <definedName name="Year_policy_share_res_heat" localSheetId="2">NZP!$C$54</definedName>
    <definedName name="Year_policy_share_res_heat" localSheetId="4">NZP_CCS!$C$54</definedName>
    <definedName name="Year_policy_share_res_heat" localSheetId="5">NZP_CCS_SE!$C$54</definedName>
    <definedName name="Year_policy_share_res_heat" localSheetId="3">NZP_SE!$C$54</definedName>
    <definedName name="year_policy_to_improve_efficiency" localSheetId="2">NZP!$C$179:$AD$183</definedName>
    <definedName name="year_policy_to_improve_efficiency" localSheetId="4">NZP_CCS!$C$179:$AD$183</definedName>
    <definedName name="year_policy_to_improve_efficiency" localSheetId="5">NZP_CCS_SE!$C$179:$AD$183</definedName>
    <definedName name="year_policy_to_improve_efficiency" localSheetId="3">NZP_SE!$C$179:$AD$183</definedName>
    <definedName name="year_pop_timeseries" localSheetId="2">NZP!$C$4:$AL$4</definedName>
    <definedName name="year_pop_timeseries" localSheetId="4">NZP_CCS!$C$4:$AL$4</definedName>
    <definedName name="year_pop_timeseries" localSheetId="5">NZP_CCS_SE!$C$4:$AL$4</definedName>
    <definedName name="year_pop_timeseries" localSheetId="3">NZP_SE!$C$4:$AL$4</definedName>
    <definedName name="year_ref_RURR" localSheetId="2">NZP!$C$84</definedName>
    <definedName name="year_ref_RURR" localSheetId="4">NZP_CCS!$C$84</definedName>
    <definedName name="year_ref_RURR" localSheetId="3">NZP_SE!$C$84</definedName>
    <definedName name="year_ref_RURR">NZP_CCS_SE!$C$84</definedName>
    <definedName name="year_RES_power" localSheetId="2">NZP!$C$15:$I$15</definedName>
    <definedName name="year_RES_power" localSheetId="4">NZP_CCS!$C$15:$I$15</definedName>
    <definedName name="year_RES_power" localSheetId="5">NZP_CCS_SE!$C$15:$I$15</definedName>
    <definedName name="year_RES_power" localSheetId="3">NZP_SE!$C$15:$I$15</definedName>
    <definedName name="year_RURR_coal" localSheetId="2">NZP!$C$84</definedName>
    <definedName name="year_RURR_coal" localSheetId="4">NZP_CCS!$C$84</definedName>
    <definedName name="year_RURR_coal" localSheetId="5">NZP_CCS_SE!$C$84</definedName>
    <definedName name="year_RURR_coal" localSheetId="3">NZP_SE!$C$84</definedName>
    <definedName name="year_synthetic" localSheetId="2">NZP!$C$61:$I$61</definedName>
    <definedName name="year_synthetic" localSheetId="4">NZP_CCS!$C$61:$I$61</definedName>
    <definedName name="year_synthetic" localSheetId="5">NZP_CCS_SE!$C$61:$I$61</definedName>
    <definedName name="year_synthetic" localSheetId="3">NZP_SE!$C$61:$I$61</definedName>
    <definedName name="year_to_finish_energy_intensity_policies" localSheetId="2">NZP!$C$203:$AD$207</definedName>
    <definedName name="year_to_finish_energy_intensity_policies" localSheetId="4">NZP_CCS!$C$203:$AD$207</definedName>
    <definedName name="year_to_finish_energy_intensity_policies" localSheetId="5">NZP_CCS_SE!$C$203:$AD$207</definedName>
    <definedName name="year_to_finish_energy_intensity_policies" localSheetId="3">NZP_SE!$C$203:$AD$207</definedName>
    <definedName name="year_transport_fuel_share_pkm" localSheetId="2">NZP!$C$148:$I$148</definedName>
    <definedName name="year_transport_fuel_share_pkm" localSheetId="4">NZP_CCS!$C$148:$I$148</definedName>
    <definedName name="year_transport_fuel_share_pkm" localSheetId="5">NZP_CCS_SE!$C$148:$I$148</definedName>
    <definedName name="year_transport_fuel_share_pkm" localSheetId="3">NZP_SE!$C$148:$I$148</definedName>
    <definedName name="year_transport_fuel_share_tkm" localSheetId="2">NZP!$C$134:$I$134</definedName>
    <definedName name="year_transport_fuel_share_tkm" localSheetId="4">NZP_CCS!$C$134:$I$134</definedName>
    <definedName name="year_transport_fuel_share_tkm" localSheetId="5">NZP_CCS_SE!$C$134:$I$134</definedName>
    <definedName name="year_transport_fuel_share_tkm" localSheetId="3">NZP_SE!$C$134:$I$134</definedName>
    <definedName name="Year_transport_share" localSheetId="2">NZP!$D$122:$J$122</definedName>
    <definedName name="Year_transport_share" localSheetId="4">NZP_CCS!$D$122:$J$122</definedName>
    <definedName name="Year_transport_share" localSheetId="5">NZP_CCS_SE!$D$122:$J$122</definedName>
    <definedName name="Year_transport_share" localSheetId="3">NZP_SE!$D$122:$J$122</definedName>
    <definedName name="years_co2_luc" localSheetId="2">NZP!$C$348:$I$348</definedName>
    <definedName name="years_co2_luc" localSheetId="4">NZP_CCS!$C$348:$I$348</definedName>
    <definedName name="years_co2_luc" localSheetId="5">NZP_CCS_SE!$C$348:$I$348</definedName>
    <definedName name="years_co2_luc" localSheetId="3">NZP_SE!$C$348:$I$348</definedName>
    <definedName name="years_pop_growth" localSheetId="2">NZP!$C$4:$AL$4</definedName>
    <definedName name="years_pop_growth" localSheetId="4">NZP_CCS!$C$4:$AL$4</definedName>
    <definedName name="years_pop_growth" localSheetId="5">NZP_CCS_SE!$C$4:$AL$4</definedName>
    <definedName name="years_pop_growth" localSheetId="3">NZP_SE!$C$4:$AL$4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352" i="6" l="1"/>
  <c r="F352" i="6" s="1"/>
  <c r="G352" i="6" s="1"/>
  <c r="H352" i="6" s="1"/>
  <c r="I352" i="6" s="1"/>
  <c r="J352" i="6" s="1"/>
  <c r="K352" i="6" s="1"/>
  <c r="L352" i="6" s="1"/>
  <c r="M352" i="6" s="1"/>
  <c r="N352" i="6" s="1"/>
  <c r="O352" i="6" s="1"/>
  <c r="P352" i="6" s="1"/>
  <c r="Q352" i="6" s="1"/>
  <c r="R352" i="6" s="1"/>
  <c r="S352" i="6" s="1"/>
  <c r="T352" i="6" s="1"/>
  <c r="U352" i="6" s="1"/>
  <c r="V352" i="6" s="1"/>
  <c r="W352" i="6" s="1"/>
  <c r="X352" i="6" s="1"/>
  <c r="D348" i="6"/>
  <c r="E348" i="6" s="1"/>
  <c r="F348" i="6" s="1"/>
  <c r="G348" i="6" s="1"/>
  <c r="H348" i="6" s="1"/>
  <c r="I348" i="6" s="1"/>
  <c r="H339" i="6"/>
  <c r="H338" i="6"/>
  <c r="H337" i="6"/>
  <c r="H336" i="6"/>
  <c r="H335" i="6"/>
  <c r="H334" i="6"/>
  <c r="H333" i="6"/>
  <c r="H332" i="6"/>
  <c r="H331" i="6"/>
  <c r="H330" i="6"/>
  <c r="H329" i="6"/>
  <c r="H328" i="6"/>
  <c r="H327" i="6"/>
  <c r="H326" i="6"/>
  <c r="H325" i="6"/>
  <c r="H324" i="6"/>
  <c r="H323" i="6"/>
  <c r="H322" i="6"/>
  <c r="H321" i="6"/>
  <c r="H320" i="6"/>
  <c r="H319" i="6"/>
  <c r="H318" i="6"/>
  <c r="H317" i="6"/>
  <c r="H316" i="6"/>
  <c r="H315" i="6"/>
  <c r="H314" i="6"/>
  <c r="H313" i="6"/>
  <c r="H312" i="6"/>
  <c r="F306" i="6"/>
  <c r="H300" i="6"/>
  <c r="F300" i="6"/>
  <c r="E300" i="6"/>
  <c r="D300" i="6"/>
  <c r="J131" i="6"/>
  <c r="I131" i="6"/>
  <c r="H131" i="6"/>
  <c r="G131" i="6"/>
  <c r="F131" i="6"/>
  <c r="E131" i="6"/>
  <c r="D131" i="6"/>
  <c r="J130" i="6"/>
  <c r="I130" i="6"/>
  <c r="H130" i="6"/>
  <c r="G130" i="6"/>
  <c r="F130" i="6"/>
  <c r="E130" i="6"/>
  <c r="D130" i="6"/>
  <c r="E352" i="5"/>
  <c r="F352" i="5" s="1"/>
  <c r="G352" i="5" s="1"/>
  <c r="H352" i="5" s="1"/>
  <c r="I352" i="5" s="1"/>
  <c r="J352" i="5" s="1"/>
  <c r="K352" i="5" s="1"/>
  <c r="L352" i="5" s="1"/>
  <c r="M352" i="5" s="1"/>
  <c r="N352" i="5" s="1"/>
  <c r="O352" i="5" s="1"/>
  <c r="P352" i="5" s="1"/>
  <c r="Q352" i="5" s="1"/>
  <c r="R352" i="5" s="1"/>
  <c r="S352" i="5" s="1"/>
  <c r="T352" i="5" s="1"/>
  <c r="U352" i="5" s="1"/>
  <c r="V352" i="5" s="1"/>
  <c r="W352" i="5" s="1"/>
  <c r="X352" i="5" s="1"/>
  <c r="D348" i="5"/>
  <c r="E348" i="5" s="1"/>
  <c r="F348" i="5" s="1"/>
  <c r="G348" i="5" s="1"/>
  <c r="H348" i="5" s="1"/>
  <c r="I348" i="5" s="1"/>
  <c r="H339" i="5"/>
  <c r="H338" i="5"/>
  <c r="H337" i="5"/>
  <c r="H336" i="5"/>
  <c r="H335" i="5"/>
  <c r="H334" i="5"/>
  <c r="H333" i="5"/>
  <c r="H332" i="5"/>
  <c r="H331" i="5"/>
  <c r="H330" i="5"/>
  <c r="H329" i="5"/>
  <c r="H328" i="5"/>
  <c r="H327" i="5"/>
  <c r="H326" i="5"/>
  <c r="H325" i="5"/>
  <c r="H324" i="5"/>
  <c r="H323" i="5"/>
  <c r="H322" i="5"/>
  <c r="H321" i="5"/>
  <c r="H320" i="5"/>
  <c r="H319" i="5"/>
  <c r="H318" i="5"/>
  <c r="H317" i="5"/>
  <c r="H316" i="5"/>
  <c r="H315" i="5"/>
  <c r="H314" i="5"/>
  <c r="H313" i="5"/>
  <c r="H312" i="5"/>
  <c r="F298" i="5"/>
  <c r="J131" i="5"/>
  <c r="I131" i="5"/>
  <c r="H131" i="5"/>
  <c r="G131" i="5"/>
  <c r="F131" i="5"/>
  <c r="E131" i="5"/>
  <c r="D131" i="5"/>
  <c r="J130" i="5"/>
  <c r="I130" i="5"/>
  <c r="H130" i="5"/>
  <c r="G130" i="5"/>
  <c r="F130" i="5"/>
  <c r="E130" i="5"/>
  <c r="D130" i="5"/>
  <c r="E352" i="4" l="1"/>
  <c r="F352" i="4" s="1"/>
  <c r="G352" i="4" s="1"/>
  <c r="H352" i="4" s="1"/>
  <c r="I352" i="4" s="1"/>
  <c r="J352" i="4" s="1"/>
  <c r="K352" i="4" s="1"/>
  <c r="L352" i="4" s="1"/>
  <c r="M352" i="4" s="1"/>
  <c r="N352" i="4" s="1"/>
  <c r="O352" i="4" s="1"/>
  <c r="P352" i="4" s="1"/>
  <c r="Q352" i="4" s="1"/>
  <c r="R352" i="4" s="1"/>
  <c r="S352" i="4" s="1"/>
  <c r="T352" i="4" s="1"/>
  <c r="U352" i="4" s="1"/>
  <c r="V352" i="4" s="1"/>
  <c r="W352" i="4" s="1"/>
  <c r="X352" i="4" s="1"/>
  <c r="D348" i="4"/>
  <c r="E348" i="4" s="1"/>
  <c r="F348" i="4" s="1"/>
  <c r="G348" i="4" s="1"/>
  <c r="H348" i="4" s="1"/>
  <c r="I348" i="4" s="1"/>
  <c r="H339" i="4"/>
  <c r="H338" i="4"/>
  <c r="H337" i="4"/>
  <c r="H336" i="4"/>
  <c r="H335" i="4"/>
  <c r="H334" i="4"/>
  <c r="H333" i="4"/>
  <c r="H332" i="4"/>
  <c r="H331" i="4"/>
  <c r="H330" i="4"/>
  <c r="H329" i="4"/>
  <c r="H328" i="4"/>
  <c r="H327" i="4"/>
  <c r="H326" i="4"/>
  <c r="H325" i="4"/>
  <c r="H324" i="4"/>
  <c r="H323" i="4"/>
  <c r="H322" i="4"/>
  <c r="H321" i="4"/>
  <c r="H320" i="4"/>
  <c r="H319" i="4"/>
  <c r="H318" i="4"/>
  <c r="H317" i="4"/>
  <c r="H316" i="4"/>
  <c r="H315" i="4"/>
  <c r="H314" i="4"/>
  <c r="H313" i="4"/>
  <c r="H312" i="4"/>
  <c r="F298" i="4"/>
  <c r="J131" i="4"/>
  <c r="I131" i="4"/>
  <c r="H131" i="4"/>
  <c r="G131" i="4"/>
  <c r="F131" i="4"/>
  <c r="E131" i="4"/>
  <c r="D131" i="4"/>
  <c r="J130" i="4"/>
  <c r="I130" i="4"/>
  <c r="H130" i="4"/>
  <c r="G130" i="4"/>
  <c r="F130" i="4"/>
  <c r="E130" i="4"/>
  <c r="D130" i="4"/>
  <c r="G352" i="3"/>
  <c r="H352" i="3" s="1"/>
  <c r="I352" i="3" s="1"/>
  <c r="J352" i="3" s="1"/>
  <c r="K352" i="3" s="1"/>
  <c r="L352" i="3" s="1"/>
  <c r="M352" i="3" s="1"/>
  <c r="N352" i="3" s="1"/>
  <c r="O352" i="3" s="1"/>
  <c r="P352" i="3" s="1"/>
  <c r="Q352" i="3" s="1"/>
  <c r="R352" i="3" s="1"/>
  <c r="S352" i="3" s="1"/>
  <c r="T352" i="3" s="1"/>
  <c r="U352" i="3" s="1"/>
  <c r="V352" i="3" s="1"/>
  <c r="W352" i="3" s="1"/>
  <c r="X352" i="3" s="1"/>
  <c r="F352" i="3"/>
  <c r="E352" i="3"/>
  <c r="D348" i="3"/>
  <c r="E348" i="3" s="1"/>
  <c r="F348" i="3" s="1"/>
  <c r="G348" i="3" s="1"/>
  <c r="H348" i="3" s="1"/>
  <c r="I348" i="3" s="1"/>
  <c r="H339" i="3"/>
  <c r="H338" i="3"/>
  <c r="H337" i="3"/>
  <c r="H336" i="3"/>
  <c r="H335" i="3"/>
  <c r="H334" i="3"/>
  <c r="H333" i="3"/>
  <c r="H332" i="3"/>
  <c r="H331" i="3"/>
  <c r="H330" i="3"/>
  <c r="H329" i="3"/>
  <c r="H328" i="3"/>
  <c r="H327" i="3"/>
  <c r="H326" i="3"/>
  <c r="H325" i="3"/>
  <c r="H324" i="3"/>
  <c r="H323" i="3"/>
  <c r="H322" i="3"/>
  <c r="H321" i="3"/>
  <c r="H320" i="3"/>
  <c r="H319" i="3"/>
  <c r="H318" i="3"/>
  <c r="H317" i="3"/>
  <c r="H316" i="3"/>
  <c r="H315" i="3"/>
  <c r="H314" i="3"/>
  <c r="H313" i="3"/>
  <c r="H312" i="3"/>
  <c r="F306" i="3"/>
  <c r="H300" i="3"/>
  <c r="F300" i="3"/>
  <c r="E300" i="3"/>
  <c r="D300" i="3"/>
  <c r="J131" i="3"/>
  <c r="I131" i="3"/>
  <c r="H131" i="3"/>
  <c r="G131" i="3"/>
  <c r="F131" i="3"/>
  <c r="E131" i="3"/>
  <c r="D131" i="3"/>
  <c r="J130" i="3"/>
  <c r="I130" i="3"/>
  <c r="H130" i="3"/>
  <c r="G130" i="3"/>
  <c r="F130" i="3"/>
  <c r="E130" i="3"/>
  <c r="D13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Autoria desconeguda</author>
  </authors>
  <commentList>
    <comment ref="A135" authorId="0" shapeId="0" xr:uid="{00000000-0006-0000-0100-000001000000}">
      <text>
        <r>
          <rPr>
            <sz val="10"/>
            <rFont val="Arial"/>
            <family val="2"/>
          </rPr>
          <t xml:space="preserve">Iñigo:
</t>
        </r>
        <r>
          <rPr>
            <sz val="9"/>
            <color rgb="FF000000"/>
            <rFont val="Tahoma"/>
            <family val="2"/>
            <charset val="1"/>
          </rPr>
          <t>Policies to reduce oil contribution in electricity linearly following linear decreasing trend</t>
        </r>
      </text>
    </comment>
    <comment ref="A136" authorId="0" shapeId="0" xr:uid="{00000000-0006-0000-0100-000002000000}">
      <text>
        <r>
          <rPr>
            <sz val="10"/>
            <rFont val="Arial"/>
            <family val="2"/>
          </rPr>
          <t xml:space="preserve">Iñigo:
</t>
        </r>
        <r>
          <rPr>
            <sz val="9"/>
            <color rgb="FF000000"/>
            <rFont val="Tahoma"/>
            <family val="2"/>
            <charset val="1"/>
          </rPr>
          <t>Policies to reduce oil contribution in heat linearly following linear decreasing trend</t>
        </r>
      </text>
    </comment>
    <comment ref="FP207" authorId="0" shapeId="0" xr:uid="{00000000-0006-0000-0100-000005000000}">
      <text>
        <r>
          <rPr>
            <sz val="10"/>
            <rFont val="Arial"/>
            <family val="2"/>
          </rPr>
          <t xml:space="preserve">Iñigo:
</t>
        </r>
        <r>
          <rPr>
            <sz val="9"/>
            <color rgb="FF000000"/>
            <rFont val="Tahoma"/>
            <family val="2"/>
            <charset val="1"/>
          </rPr>
          <t>For the initial intensity, WIOD reports 0; however we have included the arbitrary low value "0.001" so this sector also reacts to potential energy scarcities.</t>
        </r>
      </text>
    </comment>
    <comment ref="A247" authorId="0" shapeId="0" xr:uid="{00000000-0006-0000-0100-000003000000}">
      <text>
        <r>
          <rPr>
            <sz val="10"/>
            <rFont val="Arial"/>
            <family val="2"/>
          </rPr>
          <t>By default energy instensities of the year 2009</t>
        </r>
      </text>
    </comment>
    <comment ref="A256" authorId="0" shapeId="0" xr:uid="{00000000-0006-0000-0100-000004000000}">
      <text>
        <r>
          <rPr>
            <sz val="10"/>
            <rFont val="Arial"/>
            <family val="2"/>
          </rPr>
          <t xml:space="preserve">Iñigo:
</t>
        </r>
        <r>
          <rPr>
            <sz val="9"/>
            <color rgb="FF000000"/>
            <rFont val="Tahoma"/>
            <family val="2"/>
            <charset val="1"/>
          </rPr>
          <t>To activate scarcity feedback PRMIARY fuel replacement: "switch scarcity-PS substit"To activate scarcity feedback PRMIARY fuel replacement: "switch scarcity-PS substit"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Autoria desconeguda</author>
  </authors>
  <commentList>
    <comment ref="A27" authorId="0" shapeId="0" xr:uid="{00000000-0006-0000-0300-000001000000}">
      <text>
        <r>
          <rPr>
            <sz val="10"/>
            <rFont val="Arial"/>
            <family val="2"/>
            <charset val="1"/>
          </rPr>
          <t>[Comentario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60" authorId="0" shapeId="0" xr:uid="{00000000-0006-0000-0300-000002000000}">
      <text>
        <r>
          <rPr>
            <sz val="10"/>
            <rFont val="Arial"/>
            <family val="2"/>
            <charset val="1"/>
          </rPr>
          <t>[Comentario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226" authorId="0" shapeId="0" xr:uid="{00000000-0006-0000-0300-000003000000}">
      <text>
        <r>
          <rPr>
            <sz val="10"/>
            <rFont val="Arial"/>
            <family val="2"/>
            <charset val="1"/>
          </rPr>
          <t xml:space="preserve">Iñigo:
</t>
        </r>
        <r>
          <rPr>
            <sz val="9"/>
            <color rgb="FF000000"/>
            <rFont val="Tahoma"/>
            <family val="2"/>
            <charset val="1"/>
          </rPr>
          <t>To activate scarcity feedback PRMIARY fuel replacement: "switch scarcity-PS substit"To activate scarcity feedback PRMIARY fuel replacement: "switch scarcity-PS substit"</t>
        </r>
      </text>
    </comment>
    <comment ref="A349" authorId="0" shapeId="0" xr:uid="{00000000-0006-0000-0300-000004000000}">
      <text>
        <r>
          <rPr>
            <sz val="10"/>
            <rFont val="Arial"/>
            <family val="2"/>
            <charset val="1"/>
          </rPr>
          <t xml:space="preserve">Iñigo:
</t>
        </r>
        <r>
          <rPr>
            <sz val="9"/>
            <color rgb="FF000000"/>
            <rFont val="Tahoma"/>
            <family val="2"/>
            <charset val="1"/>
          </rPr>
          <t>Approximation: cte at 2010 level from 1990 to 2100.</t>
        </r>
      </text>
    </comment>
    <comment ref="A353" authorId="0" shapeId="0" xr:uid="{00000000-0006-0000-0300-000005000000}">
      <text>
        <r>
          <rPr>
            <sz val="10"/>
            <rFont val="Arial"/>
            <family val="2"/>
            <charset val="1"/>
          </rPr>
          <t xml:space="preserve">Iñigo:
</t>
        </r>
        <r>
          <rPr>
            <sz val="9"/>
            <color rgb="FF000000"/>
            <rFont val="Tahoma"/>
            <family val="2"/>
            <charset val="1"/>
          </rPr>
          <t>Nilsson &amp; Schopfhauser (1995)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Autoria desconeguda</author>
  </authors>
  <commentList>
    <comment ref="A27" authorId="0" shapeId="0" xr:uid="{946D8878-880B-7140-892C-44EB0FA9200A}">
      <text>
        <r>
          <rPr>
            <sz val="10"/>
            <rFont val="Arial"/>
            <family val="2"/>
            <charset val="1"/>
          </rPr>
          <t>[Comentario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60" authorId="0" shapeId="0" xr:uid="{F9139117-825D-5B42-8A66-9E6C212B4C13}">
      <text>
        <r>
          <rPr>
            <sz val="10"/>
            <rFont val="Arial"/>
            <family val="2"/>
            <charset val="1"/>
          </rPr>
          <t>[Comentario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226" authorId="0" shapeId="0" xr:uid="{E8D324C5-A099-0644-A1BE-B28B5462843C}">
      <text>
        <r>
          <rPr>
            <sz val="10"/>
            <rFont val="Arial"/>
            <family val="2"/>
            <charset val="1"/>
          </rPr>
          <t xml:space="preserve">Iñigo:
</t>
        </r>
        <r>
          <rPr>
            <sz val="9"/>
            <color rgb="FF000000"/>
            <rFont val="Tahoma"/>
            <family val="2"/>
            <charset val="1"/>
          </rPr>
          <t>To activate scarcity feedback PRMIARY fuel replacement: "switch scarcity-PS substit"To activate scarcity feedback PRMIARY fuel replacement: "switch scarcity-PS substit"</t>
        </r>
      </text>
    </comment>
    <comment ref="A349" authorId="0" shapeId="0" xr:uid="{042FA096-88F0-D744-8B78-17756F8C1C02}">
      <text>
        <r>
          <rPr>
            <sz val="10"/>
            <rFont val="Arial"/>
            <family val="2"/>
            <charset val="1"/>
          </rPr>
          <t xml:space="preserve">Iñigo:
</t>
        </r>
        <r>
          <rPr>
            <sz val="9"/>
            <color rgb="FF000000"/>
            <rFont val="Tahoma"/>
            <family val="2"/>
            <charset val="1"/>
          </rPr>
          <t>Approximation: cte at 2010 level from 1990 to 2100.</t>
        </r>
      </text>
    </comment>
    <comment ref="A353" authorId="0" shapeId="0" xr:uid="{47C9F6A3-DE08-E64D-A6B9-D9C36496B09C}">
      <text>
        <r>
          <rPr>
            <sz val="10"/>
            <rFont val="Arial"/>
            <family val="2"/>
            <charset val="1"/>
          </rPr>
          <t xml:space="preserve">Iñigo:
</t>
        </r>
        <r>
          <rPr>
            <sz val="9"/>
            <color rgb="FF000000"/>
            <rFont val="Tahoma"/>
            <family val="2"/>
            <charset val="1"/>
          </rPr>
          <t>Nilsson &amp; Schopfhauser (1995)</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Autoria desconeguda</author>
  </authors>
  <commentList>
    <comment ref="A27" authorId="0" shapeId="0" xr:uid="{FB4D162C-F8CD-1644-8996-8D9695E43DAF}">
      <text>
        <r>
          <rPr>
            <sz val="10"/>
            <rFont val="Arial"/>
            <family val="2"/>
          </rPr>
          <t>[Comentario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60" authorId="0" shapeId="0" xr:uid="{1B331E03-1075-AD40-B1B8-4B3C03EF1D04}">
      <text>
        <r>
          <rPr>
            <sz val="10"/>
            <rFont val="Arial"/>
            <family val="2"/>
          </rPr>
          <t>[Comentario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226" authorId="0" shapeId="0" xr:uid="{E12AAA53-A84D-3143-B0A1-9249043B3FFF}">
      <text>
        <r>
          <rPr>
            <sz val="10"/>
            <rFont val="Arial"/>
            <family val="2"/>
          </rPr>
          <t xml:space="preserve">Iñigo:
</t>
        </r>
        <r>
          <rPr>
            <sz val="9"/>
            <color rgb="FF000000"/>
            <rFont val="Tahoma"/>
            <family val="2"/>
            <charset val="1"/>
          </rPr>
          <t>To activate scarcity feedback PRMIARY fuel replacement: "switch scarcity-PS substit"To activate scarcity feedback PRMIARY fuel replacement: "switch scarcity-PS substit"</t>
        </r>
      </text>
    </comment>
    <comment ref="A349" authorId="0" shapeId="0" xr:uid="{52E2DD07-2FD2-6B47-8E18-621DBD7C79AB}">
      <text>
        <r>
          <rPr>
            <sz val="10"/>
            <rFont val="Arial"/>
            <family val="2"/>
          </rPr>
          <t xml:space="preserve">Iñigo:
</t>
        </r>
        <r>
          <rPr>
            <sz val="9"/>
            <color rgb="FF000000"/>
            <rFont val="Tahoma"/>
            <family val="2"/>
            <charset val="1"/>
          </rPr>
          <t>Approximation: cte at 2010 level from 1990 to 2100.</t>
        </r>
      </text>
    </comment>
    <comment ref="A353" authorId="0" shapeId="0" xr:uid="{D9BD1ACE-A1F5-A947-8E4A-1CB577150C12}">
      <text>
        <r>
          <rPr>
            <sz val="10"/>
            <rFont val="Arial"/>
            <family val="2"/>
          </rPr>
          <t xml:space="preserve">Iñigo:
</t>
        </r>
        <r>
          <rPr>
            <sz val="9"/>
            <color rgb="FF000000"/>
            <rFont val="Tahoma"/>
            <family val="2"/>
            <charset val="1"/>
          </rPr>
          <t>Nilsson &amp; Schopfhauser (1995)</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Autoria desconeguda</author>
  </authors>
  <commentList>
    <comment ref="A27" authorId="0" shapeId="0" xr:uid="{00000000-0006-0000-0200-000001000000}">
      <text>
        <r>
          <rPr>
            <sz val="10"/>
            <rFont val="Arial"/>
            <family val="2"/>
          </rPr>
          <t>[Comentario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60" authorId="0" shapeId="0" xr:uid="{00000000-0006-0000-0200-000002000000}">
      <text>
        <r>
          <rPr>
            <sz val="10"/>
            <rFont val="Arial"/>
            <family val="2"/>
          </rPr>
          <t>[Comentario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226" authorId="0" shapeId="0" xr:uid="{00000000-0006-0000-0200-000003000000}">
      <text>
        <r>
          <rPr>
            <sz val="10"/>
            <rFont val="Arial"/>
            <family val="2"/>
          </rPr>
          <t xml:space="preserve">Iñigo:
</t>
        </r>
        <r>
          <rPr>
            <sz val="9"/>
            <color rgb="FF000000"/>
            <rFont val="Tahoma"/>
            <family val="2"/>
            <charset val="1"/>
          </rPr>
          <t>To activate scarcity feedback PRMIARY fuel replacement: "switch scarcity-PS substit"To activate scarcity feedback PRMIARY fuel replacement: "switch scarcity-PS substit"</t>
        </r>
      </text>
    </comment>
    <comment ref="A349" authorId="0" shapeId="0" xr:uid="{00000000-0006-0000-0200-000004000000}">
      <text>
        <r>
          <rPr>
            <sz val="10"/>
            <rFont val="Arial"/>
            <family val="2"/>
          </rPr>
          <t xml:space="preserve">Iñigo:
</t>
        </r>
        <r>
          <rPr>
            <sz val="9"/>
            <color rgb="FF000000"/>
            <rFont val="Tahoma"/>
            <family val="2"/>
            <charset val="1"/>
          </rPr>
          <t>Approximation: cte at 2010 level from 1990 to 2100.</t>
        </r>
      </text>
    </comment>
    <comment ref="A353" authorId="0" shapeId="0" xr:uid="{00000000-0006-0000-0200-000005000000}">
      <text>
        <r>
          <rPr>
            <sz val="10"/>
            <rFont val="Arial"/>
            <family val="2"/>
          </rPr>
          <t xml:space="preserve">Iñigo:
</t>
        </r>
        <r>
          <rPr>
            <sz val="9"/>
            <color rgb="FF000000"/>
            <rFont val="Tahoma"/>
            <family val="2"/>
            <charset val="1"/>
          </rPr>
          <t>Nilsson &amp; Schopfhauser (1995)</t>
        </r>
      </text>
    </comment>
  </commentList>
</comments>
</file>

<file path=xl/sharedStrings.xml><?xml version="1.0" encoding="utf-8"?>
<sst xmlns="http://schemas.openxmlformats.org/spreadsheetml/2006/main" count="5314" uniqueCount="666">
  <si>
    <t>File overview</t>
  </si>
  <si>
    <t xml:space="preserve">        Scenario </t>
  </si>
  <si>
    <t>Net Zero Pathway (NZP)</t>
  </si>
  <si>
    <t xml:space="preserve">        Brief description </t>
  </si>
  <si>
    <t>Scenario that reaches net zero emissions by 2050</t>
  </si>
  <si>
    <t xml:space="preserve">        Geograpical coverage</t>
  </si>
  <si>
    <t>European Union (EU) - 27</t>
  </si>
  <si>
    <t xml:space="preserve">        Status</t>
  </si>
  <si>
    <t>First draft</t>
  </si>
  <si>
    <t xml:space="preserve">        Dissemination level</t>
  </si>
  <si>
    <t>Internal</t>
  </si>
  <si>
    <t xml:space="preserve">        Released</t>
  </si>
  <si>
    <t xml:space="preserve">        Authors</t>
  </si>
  <si>
    <t>File structure</t>
  </si>
  <si>
    <t xml:space="preserve">        Readme</t>
  </si>
  <si>
    <t xml:space="preserve">        Info input variables  &lt;-- needs to be edited (to be discussed)</t>
  </si>
  <si>
    <t xml:space="preserve">        Net Zero Pathway</t>
  </si>
  <si>
    <t xml:space="preserve">        User defined scenario &lt;-- needs to be edited (to be discussed)</t>
  </si>
  <si>
    <t>Additional information</t>
  </si>
  <si>
    <t xml:space="preserve">        About the scenario</t>
  </si>
  <si>
    <t>"Net zero pathway (NZP) technical overview"</t>
  </si>
  <si>
    <t xml:space="preserve">        About the model</t>
  </si>
  <si>
    <t>Model documentation</t>
  </si>
  <si>
    <t xml:space="preserve">        Other</t>
  </si>
  <si>
    <t>Please, contact ...</t>
  </si>
  <si>
    <t>Name of simulated scenario</t>
  </si>
  <si>
    <t>Trend demand (all sectors)</t>
  </si>
  <si>
    <t>P labor share 2050</t>
  </si>
  <si>
    <t>Dmnl</t>
  </si>
  <si>
    <t>Labour share in 2050</t>
  </si>
  <si>
    <t>P GDP</t>
  </si>
  <si>
    <t>P desired annual GDPpc growth rate select option</t>
  </si>
  <si>
    <t>Selection of GDPpc growth option</t>
  </si>
  <si>
    <t>0. SSP2</t>
  </si>
  <si>
    <t>Always 2 in this cell</t>
  </si>
  <si>
    <t>1. Timeseries</t>
  </si>
  <si>
    <t>Year</t>
  </si>
  <si>
    <t>1/Year</t>
  </si>
  <si>
    <t>GDPpc growth annual timeseries option</t>
  </si>
  <si>
    <t>2. From customized year, set annual constant variation</t>
  </si>
  <si>
    <t>From year:</t>
  </si>
  <si>
    <t>Year start custimized GDPpc growth</t>
  </si>
  <si>
    <t>Constant annual variation (1/Year):</t>
  </si>
  <si>
    <t>GDPpc growth</t>
  </si>
  <si>
    <t>3. From customized year, set asymptote target</t>
  </si>
  <si>
    <t>asymptote (GDPpc)</t>
  </si>
  <si>
    <t>GDPpc desired in target year</t>
  </si>
  <si>
    <t>Target year asymptote</t>
  </si>
  <si>
    <t>Population</t>
  </si>
  <si>
    <t>P annual population growth rate select option</t>
  </si>
  <si>
    <t>Selection of population frowth option</t>
  </si>
  <si>
    <t>0. Select SSP projection [write "SSPi", i:1...5]</t>
  </si>
  <si>
    <t>SSP option (i=1…5)</t>
  </si>
  <si>
    <t>Population growth annual timseries option</t>
  </si>
  <si>
    <t>Year start custimized population</t>
  </si>
  <si>
    <t>Population growth</t>
  </si>
  <si>
    <t>asymptote (million people)</t>
  </si>
  <si>
    <t>Population desired in target year</t>
  </si>
  <si>
    <t>Nuclear</t>
  </si>
  <si>
    <t>Selection of nuclear scenario</t>
  </si>
  <si>
    <t>1. Constant power capacity at current levels</t>
  </si>
  <si>
    <t>Selection of the nuclear scenario in "inputs.xlsx"</t>
  </si>
  <si>
    <t>2. No more nuclear installed, current capacity depreciates</t>
  </si>
  <si>
    <t>3. Growth of nuclear power</t>
  </si>
  <si>
    <t>4. Phase-out of nuclear power</t>
  </si>
  <si>
    <t>P nuclear scen3-4 (%annual variation)</t>
  </si>
  <si>
    <t>Annual variation of new nuclear power plants (scenarios 3 and 4 of nuclear evolution) from the year "start year nuclear growth scen3-4".</t>
  </si>
  <si>
    <t>start year nuclear variation scen3-4</t>
  </si>
  <si>
    <t>Start year of variation of nuclear power plants (Nuclear scenarios 3 and 4).</t>
  </si>
  <si>
    <t>Techno-ecological potential electric RES</t>
  </si>
  <si>
    <t>Solar PV efficiency</t>
  </si>
  <si>
    <t xml:space="preserve">max hydro </t>
  </si>
  <si>
    <t>TWe</t>
  </si>
  <si>
    <t xml:space="preserve">Techno-ecological potential of hydro </t>
  </si>
  <si>
    <t>Cell efficiency solar PV in target year</t>
  </si>
  <si>
    <t>Average solar irradiance</t>
  </si>
  <si>
    <t>We/m2</t>
  </si>
  <si>
    <t>max PE geot-elec</t>
  </si>
  <si>
    <t>TWth</t>
  </si>
  <si>
    <t>Share of geothermal for electricity in relation to the total potential of geothermal (including thermal uses).</t>
  </si>
  <si>
    <t>Start year cell efficiency solar PV</t>
  </si>
  <si>
    <t>max potential PHS</t>
  </si>
  <si>
    <t>Techno-ecological potential of PHS</t>
  </si>
  <si>
    <t>Target year cell efficiency solar PV</t>
  </si>
  <si>
    <t xml:space="preserve">max oceanic </t>
  </si>
  <si>
    <t>Techno-ecological potential of oceanic</t>
  </si>
  <si>
    <t>Solar PV and heat potential in urban areas</t>
  </si>
  <si>
    <t xml:space="preserve">max onshore wind </t>
  </si>
  <si>
    <t>Techno-ecological potential of onshore wind</t>
  </si>
  <si>
    <t>share available roof over total urban land</t>
  </si>
  <si>
    <t xml:space="preserve">max offshore wind </t>
  </si>
  <si>
    <t>Techno-ecological potential of offshore wind</t>
  </si>
  <si>
    <t>share of available roof for rooftop PV</t>
  </si>
  <si>
    <t>share of available roof for solar thermal</t>
  </si>
  <si>
    <t>Projection electric RES</t>
  </si>
  <si>
    <t>Efficiency improvement RES elec</t>
  </si>
  <si>
    <t>P hydro growth</t>
  </si>
  <si>
    <t>annual growth%</t>
  </si>
  <si>
    <t>Annual growth in energy output demand depending on the policy of the scenario.</t>
  </si>
  <si>
    <t>Start year P growth RES elec</t>
  </si>
  <si>
    <t>Start year of growth in renewable electric sources</t>
  </si>
  <si>
    <t>Cell efficiency of solar PV in the target year marked below</t>
  </si>
  <si>
    <t>P geot-elec growth</t>
  </si>
  <si>
    <t>Target year P growth RES elec</t>
  </si>
  <si>
    <t>Targe year in RES electric growth defined by scenario</t>
  </si>
  <si>
    <t>Start year variation cell efficiency solar PV</t>
  </si>
  <si>
    <t>P solid bioE-elec growth</t>
  </si>
  <si>
    <t>Target year variation cell efficiency solar PV</t>
  </si>
  <si>
    <t>P oceanic</t>
  </si>
  <si>
    <t>P share installed PV urban vs tot PV</t>
  </si>
  <si>
    <t>P onshore wind</t>
  </si>
  <si>
    <t>Share of available roof over total urban area</t>
  </si>
  <si>
    <t>P wind offshore</t>
  </si>
  <si>
    <t>P PHS</t>
  </si>
  <si>
    <t>share of available roof for rooftops for PV</t>
  </si>
  <si>
    <t>Share of avaiable roof for PV panels over total available roof</t>
  </si>
  <si>
    <t>P solar PV</t>
  </si>
  <si>
    <t>P CSP</t>
  </si>
  <si>
    <t>share installed PV urban vs tot PV</t>
  </si>
  <si>
    <t>Share of installed PV in urban areas in relation to the total PV installled</t>
  </si>
  <si>
    <t>Techno-ecological potential BioEnergy</t>
  </si>
  <si>
    <t>Max NPP potential BioE residues</t>
  </si>
  <si>
    <t>EJ/Year</t>
  </si>
  <si>
    <t>Sustainable potential NPP residues of bioenergy for other uses than biofuels.</t>
  </si>
  <si>
    <t>Additional land compet available for biofuels</t>
  </si>
  <si>
    <t>Mha</t>
  </si>
  <si>
    <t>Available land for biofuels in competition with other uses depending on the scenario.</t>
  </si>
  <si>
    <t>Potential marginal land available for biofuels</t>
  </si>
  <si>
    <t>Marginal land available forbiofuels without competing with other uses depending on the scenario.</t>
  </si>
  <si>
    <t>Projection BioEnergy</t>
  </si>
  <si>
    <t>P biofuels 2gen land compet</t>
  </si>
  <si>
    <t>Annual growth in energy hectares occupied depending on the policy of the scenario.</t>
  </si>
  <si>
    <t xml:space="preserve">start year biofuels land marg </t>
  </si>
  <si>
    <t>First year when the technology "P biofuels land marg" is available.</t>
  </si>
  <si>
    <t>start year 3gen cellulosic biofuels</t>
  </si>
  <si>
    <t>First year when 3rd generation biofuels are available.</t>
  </si>
  <si>
    <t>P biofuels land marg</t>
  </si>
  <si>
    <t>P biofuels 3gen land compet</t>
  </si>
  <si>
    <t>start year BioE residues for non-biofuels</t>
  </si>
  <si>
    <t>First year when the technology is available.</t>
  </si>
  <si>
    <t>share residues for cellulosic biofuels vs non-biofuels</t>
  </si>
  <si>
    <t>Share bioenergy residues potential allocated to cellulosic biofuels production.</t>
  </si>
  <si>
    <t>P bioE residues</t>
  </si>
  <si>
    <t>Biogas</t>
  </si>
  <si>
    <t>Waste</t>
  </si>
  <si>
    <t>Max PE biogas</t>
  </si>
  <si>
    <t>EJ</t>
  </si>
  <si>
    <t>Techno-ecological potential of biogas</t>
  </si>
  <si>
    <t>max PE waste</t>
  </si>
  <si>
    <t>Techno-ecological potential of waste</t>
  </si>
  <si>
    <t>P biogas</t>
  </si>
  <si>
    <t>P waste change</t>
  </si>
  <si>
    <t>Techno-ecological potential RES for heat</t>
  </si>
  <si>
    <t>FE solar thermal potential</t>
  </si>
  <si>
    <t>Techno-ecological potential of solar thermal</t>
  </si>
  <si>
    <t>Geot PE potential for heat TWth</t>
  </si>
  <si>
    <t>Techno-ecological potential of geot heat thermal</t>
  </si>
  <si>
    <t>Projection RES for heat</t>
  </si>
  <si>
    <t>Start year P growth RES heat</t>
  </si>
  <si>
    <t>Start year of growth in renewable heat sources</t>
  </si>
  <si>
    <t>Target year P growth RES heat</t>
  </si>
  <si>
    <t>P solar for heat</t>
  </si>
  <si>
    <t>P geothermal for heat</t>
  </si>
  <si>
    <t>P solid bioE for heat</t>
  </si>
  <si>
    <t>Afforestation</t>
  </si>
  <si>
    <t>Activate afforestation program (1=Y;0=N)</t>
  </si>
  <si>
    <t>1. Activated; 2. Not activated.</t>
  </si>
  <si>
    <t>Resources</t>
  </si>
  <si>
    <t>Oil</t>
  </si>
  <si>
    <t>Separate conv and unconv oil? (1=Y;0=N)</t>
  </si>
  <si>
    <t>Switch to disaggregate between conventional and unconventional fuel: "1" = disaggregation, "0" = conv+unconv aggregated (all the oil flows then through the right side of this view, i.e. the "conventional oil" modelling side).</t>
  </si>
  <si>
    <t>Unlimited oil? (1=Y;0=N)</t>
  </si>
  <si>
    <t>Switch to consider if oil is unlimited (1), or if it is limited (0). If limited then the available depletion curves are considered.</t>
  </si>
  <si>
    <t xml:space="preserve">Selection of conv oil curve
</t>
  </si>
  <si>
    <t>1. Maggio12 middle</t>
  </si>
  <si>
    <t>Select from the left</t>
  </si>
  <si>
    <t>2. Maggio12 High</t>
  </si>
  <si>
    <t>3. Maggio12 Low</t>
  </si>
  <si>
    <t>4. User defined in '139A'</t>
  </si>
  <si>
    <t>Selection of unconv oil curve</t>
  </si>
  <si>
    <t>1. Mohr15 BG</t>
  </si>
  <si>
    <t>2. Mohr15 Low</t>
  </si>
  <si>
    <t>3. Mohr15 High</t>
  </si>
  <si>
    <t>4. User defined in '141A'</t>
  </si>
  <si>
    <t>Selection of total oil curve</t>
  </si>
  <si>
    <t>1.Laherrère 2006</t>
  </si>
  <si>
    <t>2.User defined in '143A'</t>
  </si>
  <si>
    <t>Selection constraint extraction unconv oil</t>
  </si>
  <si>
    <t>1. User constant (annual growth%)</t>
  </si>
  <si>
    <t>User-defined annual extraction growth constraint path as a function of time for unconventional oil.</t>
  </si>
  <si>
    <t>Write "1" or "2"</t>
  </si>
  <si>
    <t>2. User defined as function of time '161A'</t>
  </si>
  <si>
    <t>Gas</t>
  </si>
  <si>
    <t>Separate conv and unconv gas? (1=Y;0=N)</t>
  </si>
  <si>
    <t>Switch to disaggregate between conventional and unconventional fuel: "1" = disaggregation, "0" = conv+unconv aggregated (all the gas flows then through the right side of this view, i.e. the "conventional gas" modelling side).</t>
  </si>
  <si>
    <t>Unlimited gas? (1=Y;0=N)</t>
  </si>
  <si>
    <t>Switch to consider if gas is unlimited (1), or if it is limited (0). If limited then the available depletion curves are considered.</t>
  </si>
  <si>
    <t xml:space="preserve">Selection of conv gas curve
</t>
  </si>
  <si>
    <t>1. BG Mohr15</t>
  </si>
  <si>
    <t>2. Low Mohr15</t>
  </si>
  <si>
    <t>3. High Mohr15</t>
  </si>
  <si>
    <t>4. User defined in '146A'</t>
  </si>
  <si>
    <t>Selection of unconv gas curve</t>
  </si>
  <si>
    <t>4. User defined in '148A'</t>
  </si>
  <si>
    <t>Selection of total gas curve</t>
  </si>
  <si>
    <t>1.Laherrére10</t>
  </si>
  <si>
    <t>2.Mohr12 BG</t>
  </si>
  <si>
    <t>3.User defined in '150A'</t>
  </si>
  <si>
    <t>Selection constraint extraction unconv gas</t>
  </si>
  <si>
    <t>User-defined annual extraction growth constraint path as a function of time for unconventional gas.</t>
  </si>
  <si>
    <t>2. User defined as function of time '163A'</t>
  </si>
  <si>
    <t>Coal</t>
  </si>
  <si>
    <t>Unlimited coal? (1=Y;0=N)</t>
  </si>
  <si>
    <t>Switch to consider if coal is unlimited (1), or if it is limited (0). If limited then the available depletion curves are considered.</t>
  </si>
  <si>
    <t>Selection of coal curve</t>
  </si>
  <si>
    <t>1. Mohr12 high</t>
  </si>
  <si>
    <t>5. User defined in '153A'</t>
  </si>
  <si>
    <t>Select from the right</t>
  </si>
  <si>
    <t>2. Mohr15 low</t>
  </si>
  <si>
    <t>3. Mohr15 BG</t>
  </si>
  <si>
    <t>4. Mohr15 high</t>
  </si>
  <si>
    <t>Uranium</t>
  </si>
  <si>
    <t>Unlimited uranium? (1=Y;0=N)</t>
  </si>
  <si>
    <t>Switch to consider if uranium is unlimited (1), or if it is limited (0). If limited then the available depletion curves are considered.</t>
  </si>
  <si>
    <t>Selection of uranium curve</t>
  </si>
  <si>
    <t>1.EWG13</t>
  </si>
  <si>
    <t>2.Zittel12</t>
  </si>
  <si>
    <t>3.User defined in '156A'</t>
  </si>
  <si>
    <t>CTL</t>
  </si>
  <si>
    <t>P CTL (annual growth%)</t>
  </si>
  <si>
    <t>GTL</t>
  </si>
  <si>
    <t>P GTL (annual growth%)</t>
  </si>
  <si>
    <t>Climate</t>
  </si>
  <si>
    <t>CC impacts</t>
  </si>
  <si>
    <t>Activate ELF?  (1=Y;0=N)</t>
  </si>
  <si>
    <t>Active/deactivate the energy loss function: (1) activate; (0) not active</t>
  </si>
  <si>
    <t>Warning: leaving fossil fuels in the ground*</t>
  </si>
  <si>
    <t>Conventional oil</t>
  </si>
  <si>
    <t>Start policy (Year)</t>
  </si>
  <si>
    <t>Year start policy of leaving fossil fuels in the ground</t>
  </si>
  <si>
    <t>Total aggregated oil</t>
  </si>
  <si>
    <t>RURR to leave underground (as a share of RURR in 2015)</t>
  </si>
  <si>
    <t>Share of RURR to leave underground vs RURR in 2015</t>
  </si>
  <si>
    <t>Unconventional oil</t>
  </si>
  <si>
    <t>Conventional gas</t>
  </si>
  <si>
    <t>Total aggregated gas</t>
  </si>
  <si>
    <t>Unconventional gas</t>
  </si>
  <si>
    <t>*If oil is modeled at aggregated level (conventional + unconventional), then the restriction should be placed only for conventional oil. The same applies for gas.</t>
  </si>
  <si>
    <t>Policies to reduce oil contribution in heat and electricity linearly</t>
  </si>
  <si>
    <t>Phase-out oil for electricity? (1: YES; 0: constant current share)</t>
  </si>
  <si>
    <t>Select yes or no policies to reduce oil contribution in heat and electricity linearly following linear decreasing trend</t>
  </si>
  <si>
    <t>start year policy phase-out oil for electricity</t>
  </si>
  <si>
    <t>Year start policy phase-out for electricity</t>
  </si>
  <si>
    <t>target year policy phase-out oil for electricity</t>
  </si>
  <si>
    <t>Year target policy phase-out for electricity</t>
  </si>
  <si>
    <t>Share in target year oil for elec</t>
  </si>
  <si>
    <t>Phase-out oil for heat? (1: YES; 0: constant current share)</t>
  </si>
  <si>
    <t>start year policy phase-out oil for heat</t>
  </si>
  <si>
    <t>Year start policy phase-out for heat</t>
  </si>
  <si>
    <t>target year policy phase-out oil for heat</t>
  </si>
  <si>
    <t>Year target policy phase-out for heat</t>
  </si>
  <si>
    <t>Share in target year oil for heat</t>
  </si>
  <si>
    <t>Transportation</t>
  </si>
  <si>
    <t xml:space="preserve">Activate policy HOUSEHOLDS transport </t>
  </si>
  <si>
    <t>Activate policy of alternative transport in households starting in T ini ending in T fin (1=YES /0= NO)</t>
  </si>
  <si>
    <t xml:space="preserve">Activate policy INLAND transport </t>
  </si>
  <si>
    <t>Activate policy of alternative transport in inland transportation starting in T ini ending in T fin (1=YES /0= NO)</t>
  </si>
  <si>
    <t>T ini policy HOUSEHOLDS vehcicles</t>
  </si>
  <si>
    <t>Year when policy of alternative households transport starts</t>
  </si>
  <si>
    <t xml:space="preserve">T fin policy HOUSEHOLD vehicles </t>
  </si>
  <si>
    <t>Year when policy of alternative househods transport finishes and policy is reached</t>
  </si>
  <si>
    <t>T ini policy INLAND transp vehicles</t>
  </si>
  <si>
    <t>Year when policy of alternative inland transport starts</t>
  </si>
  <si>
    <t>T fin policy INLAND transp vehicles</t>
  </si>
  <si>
    <t>Year when policy of alternative inland transport finishes and policy is reached</t>
  </si>
  <si>
    <t>Households transport policies, desired share of each vehicle  in T fin relative to its type (2w or 4w)  (alternative 4wheelers policies must add &lt;=1, 2wheeler electric policy must be&lt;=1)</t>
  </si>
  <si>
    <t>Policy electric household 4wheeler vehicle Tfin</t>
  </si>
  <si>
    <t>desired share of electric 4wheeler vehicles in Tfin relative to its type</t>
  </si>
  <si>
    <t>TYPES OF HOUSEHOLD VEHICLES</t>
  </si>
  <si>
    <t>Policy hybrid household 4w vehicle Tfin</t>
  </si>
  <si>
    <t>desired share of hybrid 4wheeler vehicles in Tfin relative to its type</t>
  </si>
  <si>
    <t>4wheeler electric= batery electric vehicles+plug in hybrids</t>
  </si>
  <si>
    <t>Policy gas household vehicle 4w Tfin</t>
  </si>
  <si>
    <t>desired share of gas 4wheeler vehicles in Tfin relative to its type</t>
  </si>
  <si>
    <t>4wheeler hybrid= non plug in hybrids</t>
  </si>
  <si>
    <t>Policy electric 2wheeler h. Tfin</t>
  </si>
  <si>
    <t>desired share of electric 2wheeler vehicles in Tfin relative to its type</t>
  </si>
  <si>
    <t>4wheeler gas= natural gas and LPG vehicles</t>
  </si>
  <si>
    <t>Policy change to 2wheeler h. Tfin</t>
  </si>
  <si>
    <t xml:space="preserve">desired share of 2wheels household vehicles in Tfin </t>
  </si>
  <si>
    <t>2wheeler elec= electric 2 and 2 wheelers</t>
  </si>
  <si>
    <t>Inland transport sector policies, desired share of each alternative vehicle  in T fin  relative to its type (HV, LV, bus, train)</t>
  </si>
  <si>
    <t>Every type maximun share =1</t>
  </si>
  <si>
    <t>Policy hybrid HV Tfin</t>
  </si>
  <si>
    <t>desired share of hibrid HV vehicles in Tfin relative to its type</t>
  </si>
  <si>
    <t>TYPES OF INLAND TRANSPORT SECTOR VEHICLES</t>
  </si>
  <si>
    <t>Policy gas HV Tfin</t>
  </si>
  <si>
    <t>desired share of gas HV vehicles in Tfin  relative to its type</t>
  </si>
  <si>
    <t>HV= heavy vehicles</t>
  </si>
  <si>
    <t>Policy electric LV Tfin</t>
  </si>
  <si>
    <t>desired share of electric LV vehicles in Tfin relative to its type</t>
  </si>
  <si>
    <t>LV= light cargo vehicles</t>
  </si>
  <si>
    <t>Policy hybrid LV Tfin</t>
  </si>
  <si>
    <t>desired share of hibrid LV vehicles in Tfin relative to its type</t>
  </si>
  <si>
    <t>bus= buses and coaches (urban and non urban)</t>
  </si>
  <si>
    <t>Policy gas LV Tfin</t>
  </si>
  <si>
    <t>desired share of gas LV vehicles in Tfin relative to its type</t>
  </si>
  <si>
    <t>trains= all railway vehicles</t>
  </si>
  <si>
    <t>Policy electric bus Tfin</t>
  </si>
  <si>
    <t>desired share of electric bus vehicles in Tfin  relative to its type</t>
  </si>
  <si>
    <t>Policy hybrid bus Tfin</t>
  </si>
  <si>
    <t>desired share of hibrid bus vehicles in Tfin relative to its type</t>
  </si>
  <si>
    <t>Clasitfications based on 'International Energy Agency (2016), Energy Technology Perspectives 2016, OECD/IEA, Paris'</t>
  </si>
  <si>
    <t>Policy gas bus Tfin</t>
  </si>
  <si>
    <t>desired share of gas bus vehicles in Tfin relative to its type</t>
  </si>
  <si>
    <t>Policy electric train Tfin</t>
  </si>
  <si>
    <t>desired share of electric train vehicles in Tfin relative to its type</t>
  </si>
  <si>
    <t>Sectoral final energy intensities by final fuel</t>
  </si>
  <si>
    <t xml:space="preserve">3 methods are available to set the future evolution of sectoral final energy intensities. By default, the "Dynamic evolution &amp; policies" (option 2) is selected. In this option, on top of the dynamic evolution, the user can select different policies. These policies can be projected individually for each sector or uniformly (same policies for all sectors); switch "'per sector (1) / sector-uniform (0)". Households are always considered separately. "Start year policy" refers to the year when the policy starts and "Speed policy" refers to the speed of the implementation of the policies (1-rapid/2-medium/3-slow) which is attained at 100% in "Target year energy intensity changes". In the case of the substitution of final energy sources by other final sources, the relative "efficiency rate of substitution" for each combination of final fuels must be specified. For example, if an internal combustion car is replaced by an electric car, the efficiency rate is 1/3 (i.e. for every EJ of diesel/gasoline saved, 0.33 EJ of electricity are consumed). 
The bottom-up approach is activated with "1" on the right of the name of the sector (currently only available in Inland transport). By default the top-down (TD) approach is used.  </t>
  </si>
  <si>
    <t>Final sectoral energy intensities evolution method</t>
  </si>
  <si>
    <t>1- Constant at 2009 levels</t>
  </si>
  <si>
    <t>2- Dynamic evolution &amp; policies</t>
  </si>
  <si>
    <t>3- Sectoral final energy intensity targets in target year defined by user</t>
  </si>
  <si>
    <t>2- DYNAMIC EVOLUTION &amp; POLICIES</t>
  </si>
  <si>
    <t>Min final energy intensity vs initial</t>
  </si>
  <si>
    <t>Minimin of energy intensity vs initial</t>
  </si>
  <si>
    <t>% of change over the historic maximun variation of final energy intensities</t>
  </si>
  <si>
    <t>%</t>
  </si>
  <si>
    <t>POLICIES</t>
  </si>
  <si>
    <t>per sector (1) / sector-uniform (0)</t>
  </si>
  <si>
    <t>Select evolution of the intensities between global or by sectors</t>
  </si>
  <si>
    <t>Target year energy intensity changes sectors</t>
  </si>
  <si>
    <t>Year target for the energy intensity policies for sectors</t>
  </si>
  <si>
    <t>Target year energy intensity changes households</t>
  </si>
  <si>
    <t>Year target for the energy intensity policies for hosueholds</t>
  </si>
  <si>
    <t>PER SECTOR</t>
  </si>
  <si>
    <t>FINAL ENERGY INTENSITIES</t>
  </si>
  <si>
    <t>Agriculture, Hunting, Forestry and Fishing</t>
  </si>
  <si>
    <t>Mining and Quarrying</t>
  </si>
  <si>
    <t>Food, Beverages and Tobacco</t>
  </si>
  <si>
    <t>Textiles and Textile Products</t>
  </si>
  <si>
    <t>Leather, Leather and Footwear</t>
  </si>
  <si>
    <t>Wood and Products of Wood and Cork</t>
  </si>
  <si>
    <t>Pulp, Paper, Paper , Printing and Publishing</t>
  </si>
  <si>
    <t>Coke, Refined Petroleum and Nuclear Fuel</t>
  </si>
  <si>
    <t>Chemicals and Chemical Products</t>
  </si>
  <si>
    <t>Rubber and Plastics</t>
  </si>
  <si>
    <t>Other Non-Metallic Mineral</t>
  </si>
  <si>
    <t>Basic Metals and Fabricated Metal</t>
  </si>
  <si>
    <t>Machinery, Nec</t>
  </si>
  <si>
    <t>Electrical and Optical Equipment</t>
  </si>
  <si>
    <t>Transport Equipment</t>
  </si>
  <si>
    <t>Manufacturing, Nec; Recycling</t>
  </si>
  <si>
    <t>Electricity, Gas and Water Supply</t>
  </si>
  <si>
    <t>Construction</t>
  </si>
  <si>
    <t>Sale, Maintenance and Repair of Motor Vehicles and Motorcycles; Retail Sale of Fuel</t>
  </si>
  <si>
    <t>Wholesale Trade and Commission Trade, Except of Motor Vehicles and Motorcycles</t>
  </si>
  <si>
    <t>Retail Trade, Except of Motor Vehicles and Motorcycles; Repair of Household Goods</t>
  </si>
  <si>
    <t>Hotels and Restaurants</t>
  </si>
  <si>
    <t>Inland Transport</t>
  </si>
  <si>
    <t>Activate bottom-up approach (Y=1;N=0)</t>
  </si>
  <si>
    <t>Water Transport</t>
  </si>
  <si>
    <t>Air Transport</t>
  </si>
  <si>
    <t>Other Supporting and Auxiliary Transport Activities; Activities of Travel Agencies</t>
  </si>
  <si>
    <t>Post and Telecommunications</t>
  </si>
  <si>
    <t>Financial Intermediation</t>
  </si>
  <si>
    <t>Real Estate Activities</t>
  </si>
  <si>
    <t>Renting of M&amp;Eq and Other Business Activities</t>
  </si>
  <si>
    <t>Public Admin and Defence; Compulsory Social Security</t>
  </si>
  <si>
    <t>Education</t>
  </si>
  <si>
    <t>Health and Social Work</t>
  </si>
  <si>
    <t>Other Community, Social and Personal Services</t>
  </si>
  <si>
    <t>Private Households with Employed Persons</t>
  </si>
  <si>
    <t>Final consumption expenditure by households</t>
  </si>
  <si>
    <t>Electricity</t>
  </si>
  <si>
    <t>Heat</t>
  </si>
  <si>
    <t>Liquids</t>
  </si>
  <si>
    <t>Gases</t>
  </si>
  <si>
    <t>Solids</t>
  </si>
  <si>
    <t>Improvement of efficiency policies</t>
  </si>
  <si>
    <t>Start year policy (Year)</t>
  </si>
  <si>
    <t>Speed policy (1-rapid/2-medium/3-slow)</t>
  </si>
  <si>
    <t>Technological change in final sources</t>
  </si>
  <si>
    <t>Efficiency rate of substitution</t>
  </si>
  <si>
    <t>SECTOR-UNIFORM</t>
  </si>
  <si>
    <t>All sectors</t>
  </si>
  <si>
    <t xml:space="preserve">3- SECTORAL FINAL ENERGY INTENSITY TARGET IN TARGET YEAR </t>
  </si>
  <si>
    <t>Choose final energy intensity target method</t>
  </si>
  <si>
    <t>1- Energy intensity target defined by user</t>
  </si>
  <si>
    <t>2- Variation in energy intensity over the intensity in defined year</t>
  </si>
  <si>
    <t>Final year energy intensity target</t>
  </si>
  <si>
    <t xml:space="preserve">Year target for the energy intensity </t>
  </si>
  <si>
    <t>start year modification EI</t>
  </si>
  <si>
    <t>Year in which the energy intensity modification starts</t>
  </si>
  <si>
    <t>1- Final energy intensity target defined by user</t>
  </si>
  <si>
    <t>FINAL ENERGY INTENSITY TARGET</t>
  </si>
  <si>
    <t>Target (EJ/T$ US1995)</t>
  </si>
  <si>
    <t>2- Variation in final energy intensity over the intensity in defined year</t>
  </si>
  <si>
    <t>Year over which the final energy intensities target is calculated</t>
  </si>
  <si>
    <t>Pct of change in final energy intensities over the given year</t>
  </si>
  <si>
    <t>Final fuel replacement driven by biophysical scarcity</t>
  </si>
  <si>
    <t>Activate scarcity feedback final fuel replacement? (1=Y;0=N)</t>
  </si>
  <si>
    <t>Select activate fuel replacement feedback or no</t>
  </si>
  <si>
    <t>Sensitivity to scarcity economic sectors</t>
  </si>
  <si>
    <t>1-Low</t>
  </si>
  <si>
    <t>Select the sentivity of scarcity for sectors (1,2 or 3)</t>
  </si>
  <si>
    <t>Sensitivity to scarcity Households</t>
  </si>
  <si>
    <t>Select the sentivity of scarcity for househols (1,2 or 3)</t>
  </si>
  <si>
    <t>2-Medium</t>
  </si>
  <si>
    <t>3-High</t>
  </si>
  <si>
    <t>Energy scarcity forgetting factor sectors</t>
  </si>
  <si>
    <t>years</t>
  </si>
  <si>
    <t>Time that society takes to forget the percepticon of scarcity for economic sectors.</t>
  </si>
  <si>
    <t>Energy scarcity forgetting factor Households</t>
  </si>
  <si>
    <t>Time that society takes to forget the percepticon of scarcity for households.</t>
  </si>
  <si>
    <t>Land</t>
  </si>
  <si>
    <t>P forest overxplotation</t>
  </si>
  <si>
    <t>Percent of unsustainable forest extraction allowed (0= only sustainable extraction allowed, 1=100% more than sustainable allowed)</t>
  </si>
  <si>
    <t>P minimum forest</t>
  </si>
  <si>
    <t>Policy target to avoid reducing forest area below this value</t>
  </si>
  <si>
    <t>P variation primary forest</t>
  </si>
  <si>
    <t>annual variation (%)</t>
  </si>
  <si>
    <t>Annual variation (%) of surface occupied by primary forest</t>
  </si>
  <si>
    <t>From the year:</t>
  </si>
  <si>
    <t>P urban land density</t>
  </si>
  <si>
    <t>m2/person</t>
  </si>
  <si>
    <t>Urban land vs total population</t>
  </si>
  <si>
    <t>Initial year urban land density</t>
  </si>
  <si>
    <t>Target year urban land density</t>
  </si>
  <si>
    <t>Minerals</t>
  </si>
  <si>
    <t>Minerals recycling rates</t>
  </si>
  <si>
    <t>Disaggregated by mineral (1) or common annual variation for all minerals (2)?</t>
  </si>
  <si>
    <t>Disaggregated by mineral (1):</t>
  </si>
  <si>
    <t>In the target year:</t>
  </si>
  <si>
    <t>Target year</t>
  </si>
  <si>
    <t>Starting in the year:</t>
  </si>
  <si>
    <t>Star year</t>
  </si>
  <si>
    <t>Alternative technologies (RES elec &amp; elec storage)</t>
  </si>
  <si>
    <t>Rest of the economy</t>
  </si>
  <si>
    <t>List of minerals</t>
  </si>
  <si>
    <t>Aluminium (Al)</t>
  </si>
  <si>
    <t xml:space="preserve">share </t>
  </si>
  <si>
    <t>share in target year</t>
  </si>
  <si>
    <t>Cadmium (Cd)</t>
  </si>
  <si>
    <t>Chromium (Cr)</t>
  </si>
  <si>
    <t>Copper (Cu)</t>
  </si>
  <si>
    <t>Galium (Ga)</t>
  </si>
  <si>
    <t>Indium (In)</t>
  </si>
  <si>
    <t>Iron (Fe)</t>
  </si>
  <si>
    <t>Lithium (Li)</t>
  </si>
  <si>
    <t>Magnesium (Mg)</t>
  </si>
  <si>
    <t>Manganese (Mn)</t>
  </si>
  <si>
    <t>Molybdenum (Mo)</t>
  </si>
  <si>
    <t>Nickel (Ni)</t>
  </si>
  <si>
    <t>Lead (Pb)</t>
  </si>
  <si>
    <t>Silver (Ag)</t>
  </si>
  <si>
    <t>Tin (Sn)</t>
  </si>
  <si>
    <t>Tellurium (Te)</t>
  </si>
  <si>
    <t>Titanium (Ti)</t>
  </si>
  <si>
    <t>Vanadium (V)</t>
  </si>
  <si>
    <t>Zinc (Zn)</t>
  </si>
  <si>
    <t>Common annual variation for all minerals (2):</t>
  </si>
  <si>
    <t>P recycling minerals Rest</t>
  </si>
  <si>
    <t>annual recycling rate variation (%)</t>
  </si>
  <si>
    <t>annual recycling rate for the rest of economy</t>
  </si>
  <si>
    <t>start year P recycling minerals Rest</t>
  </si>
  <si>
    <t>start year recycling mineralsfor the rest of economy</t>
  </si>
  <si>
    <t>P recycling minerals alternative technologies (RES elec &amp; EV batteries)</t>
  </si>
  <si>
    <t>annual recycling rate alternative technologies</t>
  </si>
  <si>
    <t>start year P recycling minerals alt technologies</t>
  </si>
  <si>
    <t>start year recycling minerals alternative technologies</t>
  </si>
  <si>
    <t>Energy Imports</t>
  </si>
  <si>
    <t>OIL</t>
  </si>
  <si>
    <t>Selection of the method to limit oil imports</t>
  </si>
  <si>
    <t>1. No limit in oil imports</t>
  </si>
  <si>
    <t>2. Oil imports limited by the share of oil imports in 2016</t>
  </si>
  <si>
    <t>3. Oil imports limited by the user</t>
  </si>
  <si>
    <t>Share vs world total extraction oil import by EU</t>
  </si>
  <si>
    <t>Share vs world total extraction</t>
  </si>
  <si>
    <t>NATURAL GAS</t>
  </si>
  <si>
    <t>Selection of the method to limit nat. gas imports</t>
  </si>
  <si>
    <t>1. No limit in nat. gas imports</t>
  </si>
  <si>
    <t>2. Nat. gas imports limited by the share of nat. gas imports in 2016</t>
  </si>
  <si>
    <t>3. Nat. gas imports limited by the user</t>
  </si>
  <si>
    <t>Share vs world total extraction nat. gas import by EU</t>
  </si>
  <si>
    <t>COAL</t>
  </si>
  <si>
    <t>Selection of the method to limit coal imports</t>
  </si>
  <si>
    <t>2. Coal imports limited by the share of coal imports in 2016</t>
  </si>
  <si>
    <t>3. Coal imports limited by the user</t>
  </si>
  <si>
    <t>Share vs world total extraction coal import by EU</t>
  </si>
  <si>
    <t>Net Zero Pathway</t>
  </si>
  <si>
    <t>1. SOCIOECONOMIC INDICATORS</t>
  </si>
  <si>
    <t>Population annual growth</t>
  </si>
  <si>
    <t>Policy labor share 2050</t>
  </si>
  <si>
    <t>Policy capital share 2050</t>
  </si>
  <si>
    <t>GDPpc annual growth</t>
  </si>
  <si>
    <t>2. RENEWABLE ENERGY SOURCES</t>
  </si>
  <si>
    <t>Year intalled power RES elec</t>
  </si>
  <si>
    <t>Policy hydro installed power</t>
  </si>
  <si>
    <t>TW</t>
  </si>
  <si>
    <t>Policy geot-elec installed power</t>
  </si>
  <si>
    <t>Policy solid bioE-elec installed power</t>
  </si>
  <si>
    <t>Policy oceanic installed power</t>
  </si>
  <si>
    <t>Policy onshore wind installed power</t>
  </si>
  <si>
    <t>Policy wind offshore installed power</t>
  </si>
  <si>
    <t>Policy solar PV installed power</t>
  </si>
  <si>
    <t>Policy CSP installed power</t>
  </si>
  <si>
    <t>Policy PHS installed power</t>
  </si>
  <si>
    <t>Policy curtailment and storage share variable RES</t>
  </si>
  <si>
    <t>Share elect transmission losses</t>
  </si>
  <si>
    <t>ç</t>
  </si>
  <si>
    <t>modern solid bioE</t>
  </si>
  <si>
    <t>2nd and 3rd generation biofuels</t>
  </si>
  <si>
    <t>Policy biofuels 2gen land compet</t>
  </si>
  <si>
    <t>Annual growth (%)</t>
  </si>
  <si>
    <t>Start year 3gen cellulosic biofuels</t>
  </si>
  <si>
    <t>Policy biofuels 3gen land compet</t>
  </si>
  <si>
    <t xml:space="preserve">Cellulosic biofuels and BioE residues </t>
  </si>
  <si>
    <t>Start year BioE residues for non-biofuels</t>
  </si>
  <si>
    <t>Share residues for cellulosic biofuels vs non-biofuels</t>
  </si>
  <si>
    <t>Policy bioE residues</t>
  </si>
  <si>
    <t xml:space="preserve">Start year biofuels land marg </t>
  </si>
  <si>
    <t>Policy biofuels land marg</t>
  </si>
  <si>
    <t>Policy biogas growth</t>
  </si>
  <si>
    <t>Policy waste change</t>
  </si>
  <si>
    <t>Start year policy growth RES heat</t>
  </si>
  <si>
    <t>Target year policy growth RES heat</t>
  </si>
  <si>
    <t>Policy solar for heat growth</t>
  </si>
  <si>
    <t>Policy geothermal for heat growth</t>
  </si>
  <si>
    <t>Policy solid bioenergy for heat growth</t>
  </si>
  <si>
    <t>Policy share RES heat share FF</t>
  </si>
  <si>
    <t>End year P share RES heat</t>
  </si>
  <si>
    <t>share liquids for heat</t>
  </si>
  <si>
    <t>share</t>
  </si>
  <si>
    <t>share gases for heat</t>
  </si>
  <si>
    <t>share coal for heat</t>
  </si>
  <si>
    <t>share solid bioE for heat</t>
  </si>
  <si>
    <t>Projection Electricity to syntehtic fuels</t>
  </si>
  <si>
    <t>Policy amonia</t>
  </si>
  <si>
    <t>Policy synthetic liquids</t>
  </si>
  <si>
    <t>Policy hydrogen</t>
  </si>
  <si>
    <t>Policy synthetic methane</t>
  </si>
  <si>
    <t>3. NON RENEWABLE RESOURCES</t>
  </si>
  <si>
    <t>Constraint to annual growth in extraction (%)</t>
  </si>
  <si>
    <t>Constraint to annual growth in extraction (annual growth%)</t>
  </si>
  <si>
    <t>Crash programme CTL? (1=Y;0=N)</t>
  </si>
  <si>
    <t>Policy CTL growth</t>
  </si>
  <si>
    <t>Annual growth%</t>
  </si>
  <si>
    <t>Crash programme GTL? (1=Y;0=N)</t>
  </si>
  <si>
    <t>Policy GTL growth</t>
  </si>
  <si>
    <t>Force leaving underground? (1=Y,0=N)</t>
  </si>
  <si>
    <t>Activate (1=si/0=no)</t>
  </si>
  <si>
    <t>Reference year RURR</t>
  </si>
  <si>
    <t>Start year policy phase-out oil for electricity</t>
  </si>
  <si>
    <t>Start year policy phase-out oil for heat</t>
  </si>
  <si>
    <t>Target year policy phase-out oil for electricity</t>
  </si>
  <si>
    <t>Target year policy phase-out oil for heat</t>
  </si>
  <si>
    <t>Target year policygas for electricity</t>
  </si>
  <si>
    <t>share gas/(coal+gas) in target year for electricity</t>
  </si>
  <si>
    <t>Start year nuclear variation scen3-4</t>
  </si>
  <si>
    <t>4. TRANSPORT POLICIES</t>
  </si>
  <si>
    <t>Transport mode shares</t>
  </si>
  <si>
    <t>tkm mode shares</t>
  </si>
  <si>
    <t>Inland</t>
  </si>
  <si>
    <t>Maritime</t>
  </si>
  <si>
    <t>Air</t>
  </si>
  <si>
    <t>pkm mode shares</t>
  </si>
  <si>
    <t xml:space="preserve">pkm households share  (share of inland transport) </t>
  </si>
  <si>
    <t>Sum pkm</t>
  </si>
  <si>
    <t>Dmnl (must be 1)</t>
  </si>
  <si>
    <t>Sum tkm</t>
  </si>
  <si>
    <t>Fuel shares shares tkm</t>
  </si>
  <si>
    <t xml:space="preserve">Inland </t>
  </si>
  <si>
    <t>Liquid</t>
  </si>
  <si>
    <t>Hybrid</t>
  </si>
  <si>
    <t>Fuel shares shares pkm</t>
  </si>
  <si>
    <t>Households</t>
  </si>
  <si>
    <t xml:space="preserve">5. ENERGY INTENSITIES </t>
  </si>
  <si>
    <t>Year policy to improve efficiency (year)</t>
  </si>
  <si>
    <t>Agriculture</t>
  </si>
  <si>
    <t>Chemical and Petrochemical</t>
  </si>
  <si>
    <t>Coal and Peat Mining</t>
  </si>
  <si>
    <t>Coke Oven Products</t>
  </si>
  <si>
    <t>Commercial and Public Services</t>
  </si>
  <si>
    <t>Electricity and Heat Generation</t>
  </si>
  <si>
    <t>Fishing</t>
  </si>
  <si>
    <t>Food and Tobacco</t>
  </si>
  <si>
    <t>Iron and Steel</t>
  </si>
  <si>
    <t>Land Transport</t>
  </si>
  <si>
    <t>Liquefaction (LNG) and Regasification Plants</t>
  </si>
  <si>
    <t>Machinery</t>
  </si>
  <si>
    <t>Non-Ferrous Metals</t>
  </si>
  <si>
    <t>Non-Metallic Minerals</t>
  </si>
  <si>
    <t>Nuclear Industry</t>
  </si>
  <si>
    <t>Oil Refineries</t>
  </si>
  <si>
    <t>Oil and Gas Extraction</t>
  </si>
  <si>
    <t>Other Industry</t>
  </si>
  <si>
    <t>Paper, Pulp and Print</t>
  </si>
  <si>
    <t>Pipeline Transport</t>
  </si>
  <si>
    <t>Textile and Leather</t>
  </si>
  <si>
    <t>Wood and Wood Products</t>
  </si>
  <si>
    <t>Policy to improve efficiency  speed (1-rapid/2-medium/3-slow)</t>
  </si>
  <si>
    <t>Year policy to change energy (year)</t>
  </si>
  <si>
    <t>Policy to change energy  speed (1-rapid/2-medium/3-slow)</t>
  </si>
  <si>
    <t>Year to finish energy intensity policies (year)</t>
  </si>
  <si>
    <t>Start year modification EI</t>
  </si>
  <si>
    <t>Energy intensity target (EJ/M$ US1995)</t>
  </si>
  <si>
    <t>Energy scarcity forgetting factor economic sectors</t>
  </si>
  <si>
    <t>Years</t>
  </si>
  <si>
    <t>6. CLIMATE AND ENVIRONMENT</t>
  </si>
  <si>
    <t>Percentage share in target year (%)</t>
  </si>
  <si>
    <t>Policy recycling minerals alternative technologies (RES elec &amp; EV batteries)</t>
  </si>
  <si>
    <t>Annual recycling rate variation (%)</t>
  </si>
  <si>
    <t>Start year P recycling minerals alt technologies</t>
  </si>
  <si>
    <t>Policy recycling minerals Rest</t>
  </si>
  <si>
    <t>Start year P recycling minerals Rest</t>
  </si>
  <si>
    <t>Other GHG emissions than CO2 emissions:</t>
  </si>
  <si>
    <t xml:space="preserve">Exogenous other GHG emissions: selection of RCP </t>
  </si>
  <si>
    <t>1.  RCP 2.6</t>
  </si>
  <si>
    <t>2. RCP 4.5</t>
  </si>
  <si>
    <t>3. RCP 6.0</t>
  </si>
  <si>
    <t>4. RCP 8.5</t>
  </si>
  <si>
    <t>CCS</t>
  </si>
  <si>
    <t>Year carbon capture capacity</t>
  </si>
  <si>
    <t>Share energy emissions related CCS</t>
  </si>
  <si>
    <t>DACC</t>
  </si>
  <si>
    <t>Installed capacity</t>
  </si>
  <si>
    <t>Policy Improvement process intensity</t>
  </si>
  <si>
    <t>Improvement</t>
  </si>
  <si>
    <t>Other GHG emissions</t>
  </si>
  <si>
    <t>Time</t>
  </si>
  <si>
    <t>Land use change emissions GtCO2</t>
  </si>
  <si>
    <t>GtCO2</t>
  </si>
  <si>
    <t>Afforestation program</t>
  </si>
  <si>
    <t>MtC/yr</t>
  </si>
  <si>
    <t>7. NET ENERGY FLUX (IMPORTS)</t>
  </si>
  <si>
    <t>Net energy flux</t>
  </si>
  <si>
    <t>EJ imported from Rest of the World</t>
  </si>
  <si>
    <t>Imports-exports</t>
  </si>
  <si>
    <t>Net flux biofuels (exports?)</t>
  </si>
  <si>
    <t>Exports share of electricity</t>
  </si>
  <si>
    <t>8. LAND USE</t>
  </si>
  <si>
    <t>Land-use</t>
  </si>
  <si>
    <t>Annual variation (%)</t>
  </si>
  <si>
    <t>Start year variation primary forest</t>
  </si>
  <si>
    <t>m2/people</t>
  </si>
  <si>
    <t>Efficiency rate of substitution (Dmnl)</t>
  </si>
  <si>
    <t>Mining_quarrying_and_energy_supply</t>
  </si>
  <si>
    <t>Food_beverages_and_tobacco</t>
  </si>
  <si>
    <t>Textiles_and_leather_etc</t>
  </si>
  <si>
    <t>Coke_refined_petroleum_nuclear_fuel_and_chemicals_etc</t>
  </si>
  <si>
    <t>Electrical_and_optical_equipment_and_Transport_equipment</t>
  </si>
  <si>
    <t>Other_manufacturing</t>
  </si>
  <si>
    <t>Distribution</t>
  </si>
  <si>
    <t>Hotels_and_restaurant</t>
  </si>
  <si>
    <t>Transport_storage_and_communication</t>
  </si>
  <si>
    <t>Financial_intermediation</t>
  </si>
  <si>
    <t>Real_estate_renting_and_busine_activitie</t>
  </si>
  <si>
    <t>Non_Market_Service</t>
  </si>
  <si>
    <t>Electricity by</t>
  </si>
  <si>
    <t>0.5</t>
  </si>
  <si>
    <t>Heat by</t>
  </si>
  <si>
    <t>Liquids by</t>
  </si>
  <si>
    <t>Gases by</t>
  </si>
  <si>
    <t>Solids by</t>
  </si>
  <si>
    <t xml:space="preserve">Electricity by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</si>
</sst>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 _€_-;\-* #,##0.00\ _€_-;_-* \-??\ _€_-;_-@_-"/>
    <numFmt numFmtId="165" formatCode="0.0%"/>
    <numFmt numFmtId="166" formatCode="#,##0.000"/>
    <numFmt numFmtId="167" formatCode="#,##0.0000"/>
    <numFmt numFmtId="168" formatCode="0.000"/>
    <numFmt numFmtId="169" formatCode="0.000%"/>
  </numFmts>
  <fonts count="19" x14ac:knownFonts="1">
    <font>
      <sz val="11"/>
      <color rgb="FF000000"/>
      <name val="Calibri"/>
      <family val="2"/>
      <charset val="1"/>
    </font>
    <font>
      <sz val="11"/>
      <color rgb="FF3F3F76"/>
      <name val="Calibri"/>
      <family val="2"/>
      <charset val="1"/>
    </font>
    <font>
      <sz val="10"/>
      <name val="Arial"/>
      <family val="2"/>
      <charset val="1"/>
    </font>
    <font>
      <b/>
      <sz val="24"/>
      <color rgb="FF000000"/>
      <name val="Calibri"/>
      <family val="2"/>
      <charset val="1"/>
    </font>
    <font>
      <b/>
      <sz val="20"/>
      <color rgb="FF000000"/>
      <name val="Calibri"/>
      <family val="2"/>
      <charset val="1"/>
    </font>
    <font>
      <b/>
      <i/>
      <sz val="12"/>
      <color rgb="FF000000"/>
      <name val="Calibri"/>
      <family val="2"/>
      <charset val="1"/>
    </font>
    <font>
      <sz val="11"/>
      <color rgb="FFDDEBF7"/>
      <name val="Calibri"/>
      <family val="2"/>
      <charset val="1"/>
    </font>
    <font>
      <sz val="11"/>
      <color rgb="FFFF0000"/>
      <name val="Calibri"/>
      <family val="2"/>
      <charset val="1"/>
    </font>
    <font>
      <sz val="24"/>
      <color rgb="FF000000"/>
      <name val="Calibri"/>
      <family val="2"/>
      <charset val="1"/>
    </font>
    <font>
      <b/>
      <sz val="11"/>
      <color rgb="FF000000"/>
      <name val="Calibri"/>
      <family val="2"/>
      <charset val="1"/>
    </font>
    <font>
      <sz val="11"/>
      <name val="Calibri"/>
      <family val="2"/>
      <charset val="1"/>
    </font>
    <font>
      <b/>
      <sz val="11"/>
      <name val="Calibri"/>
      <family val="2"/>
      <charset val="1"/>
    </font>
    <font>
      <i/>
      <sz val="11"/>
      <color rgb="FF000000"/>
      <name val="Calibri"/>
      <family val="2"/>
      <charset val="1"/>
    </font>
    <font>
      <sz val="10"/>
      <name val="Arial"/>
      <family val="2"/>
    </font>
    <font>
      <sz val="9"/>
      <color rgb="FF000000"/>
      <name val="Tahoma"/>
      <family val="2"/>
      <charset val="1"/>
    </font>
    <font>
      <b/>
      <sz val="14"/>
      <color rgb="FF000000"/>
      <name val="Calibri"/>
      <family val="2"/>
      <charset val="1"/>
    </font>
    <font>
      <b/>
      <sz val="10"/>
      <name val="Arial"/>
      <family val="2"/>
      <charset val="1"/>
    </font>
    <font>
      <sz val="10"/>
      <name val="Calibri"/>
      <family val="2"/>
      <charset val="1"/>
    </font>
    <font>
      <sz val="11"/>
      <color rgb="FF000000"/>
      <name val="Calibri"/>
      <family val="2"/>
      <charset val="1"/>
    </font>
  </fonts>
  <fills count="24">
    <fill>
      <patternFill patternType="none"/>
    </fill>
    <fill>
      <patternFill patternType="gray125"/>
    </fill>
    <fill>
      <patternFill patternType="solid">
        <fgColor rgb="FFFFCC99"/>
        <bgColor rgb="FFFFC7CE"/>
      </patternFill>
    </fill>
    <fill>
      <patternFill patternType="solid">
        <fgColor rgb="FF39C6DB"/>
        <bgColor rgb="FF00CCFF"/>
      </patternFill>
    </fill>
    <fill>
      <patternFill patternType="solid">
        <fgColor rgb="FFA2E8BD"/>
        <bgColor rgb="FFB7DEE8"/>
      </patternFill>
    </fill>
    <fill>
      <patternFill patternType="solid">
        <fgColor rgb="FFFFFF00"/>
        <bgColor rgb="FFF8F200"/>
      </patternFill>
    </fill>
    <fill>
      <patternFill patternType="solid">
        <fgColor rgb="FFFF0000"/>
        <bgColor rgb="FF9C0006"/>
      </patternFill>
    </fill>
    <fill>
      <patternFill patternType="solid">
        <fgColor rgb="FF00B050"/>
        <bgColor rgb="FF008080"/>
      </patternFill>
    </fill>
    <fill>
      <patternFill patternType="solid">
        <fgColor rgb="FF66FF33"/>
        <bgColor rgb="FF00FF00"/>
      </patternFill>
    </fill>
    <fill>
      <patternFill patternType="solid">
        <fgColor rgb="FFBFBFBF"/>
        <bgColor rgb="FFC9C9C9"/>
      </patternFill>
    </fill>
    <fill>
      <patternFill patternType="solid">
        <fgColor rgb="FFC9C9C9"/>
        <bgColor rgb="FFBFBFBF"/>
      </patternFill>
    </fill>
    <fill>
      <patternFill patternType="solid">
        <fgColor rgb="FF00FF00"/>
        <bgColor rgb="FF66FF33"/>
      </patternFill>
    </fill>
    <fill>
      <patternFill patternType="solid">
        <fgColor rgb="FFF8F200"/>
        <bgColor rgb="FFFFFF00"/>
      </patternFill>
    </fill>
    <fill>
      <patternFill patternType="solid">
        <fgColor rgb="FFD9D9D9"/>
        <bgColor rgb="FFC9C9C9"/>
      </patternFill>
    </fill>
    <fill>
      <patternFill patternType="solid">
        <fgColor rgb="FF9DC3E6"/>
        <bgColor rgb="FFBFBFBF"/>
      </patternFill>
    </fill>
    <fill>
      <patternFill patternType="solid">
        <fgColor rgb="FFA9D18E"/>
        <bgColor rgb="FFC3D69B"/>
      </patternFill>
    </fill>
    <fill>
      <patternFill patternType="solid">
        <fgColor rgb="FF000000"/>
        <bgColor rgb="FF003300"/>
      </patternFill>
    </fill>
    <fill>
      <patternFill patternType="solid">
        <fgColor rgb="FFC3D69B"/>
        <bgColor rgb="FFA9D18E"/>
      </patternFill>
    </fill>
    <fill>
      <patternFill patternType="solid">
        <fgColor rgb="FFB7DEE8"/>
        <bgColor rgb="FFD9D9D9"/>
      </patternFill>
    </fill>
    <fill>
      <patternFill patternType="solid">
        <fgColor theme="6" tint="0.79979857783745845"/>
        <bgColor rgb="FFE2EFDA"/>
      </patternFill>
    </fill>
    <fill>
      <patternFill patternType="solid">
        <fgColor theme="2" tint="-0.249977111117893"/>
        <bgColor rgb="FFBFBFBF"/>
      </patternFill>
    </fill>
    <fill>
      <patternFill patternType="solid">
        <fgColor rgb="FFE2EFDA"/>
        <bgColor rgb="FFEBF1DE"/>
      </patternFill>
    </fill>
    <fill>
      <patternFill patternType="solid">
        <fgColor rgb="FFFFFFFF"/>
        <bgColor rgb="FFEBF1DE"/>
      </patternFill>
    </fill>
    <fill>
      <patternFill patternType="solid">
        <fgColor theme="9" tint="0.79979857783745845"/>
        <bgColor rgb="FFEBF1DE"/>
      </patternFill>
    </fill>
  </fills>
  <borders count="47">
    <border>
      <left/>
      <right/>
      <top/>
      <bottom/>
      <diagonal/>
    </border>
    <border>
      <left style="thin">
        <color rgb="FF7F7F7F"/>
      </left>
      <right style="thin">
        <color rgb="FF7F7F7F"/>
      </right>
      <top style="thin">
        <color rgb="FF7F7F7F"/>
      </top>
      <bottom style="thin">
        <color rgb="FF7F7F7F"/>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medium">
        <color auto="1"/>
      </left>
      <right/>
      <top/>
      <bottom style="thin">
        <color auto="1"/>
      </bottom>
      <diagonal/>
    </border>
    <border>
      <left/>
      <right/>
      <top style="thin">
        <color auto="1"/>
      </top>
      <bottom/>
      <diagonal/>
    </border>
    <border>
      <left/>
      <right/>
      <top style="thin">
        <color auto="1"/>
      </top>
      <bottom style="thin">
        <color auto="1"/>
      </bottom>
      <diagonal/>
    </border>
    <border>
      <left/>
      <right style="medium">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bottom/>
      <diagonal/>
    </border>
    <border>
      <left style="thin">
        <color auto="1"/>
      </left>
      <right/>
      <top style="thin">
        <color auto="1"/>
      </top>
      <bottom/>
      <diagonal/>
    </border>
    <border>
      <left style="medium">
        <color auto="1"/>
      </left>
      <right/>
      <top style="thin">
        <color auto="1"/>
      </top>
      <bottom style="thin">
        <color auto="1"/>
      </bottom>
      <diagonal/>
    </border>
    <border>
      <left/>
      <right/>
      <top/>
      <bottom style="thin">
        <color auto="1"/>
      </bottom>
      <diagonal/>
    </border>
    <border>
      <left style="medium">
        <color auto="1"/>
      </left>
      <right style="thin">
        <color auto="1"/>
      </right>
      <top style="thin">
        <color auto="1"/>
      </top>
      <bottom/>
      <diagonal/>
    </border>
    <border>
      <left/>
      <right style="medium">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style="thin">
        <color auto="1"/>
      </top>
      <bottom style="thin">
        <color auto="1"/>
      </bottom>
      <diagonal/>
    </border>
    <border>
      <left/>
      <right style="medium">
        <color auto="1"/>
      </right>
      <top style="thin">
        <color auto="1"/>
      </top>
      <bottom/>
      <diagonal/>
    </border>
    <border>
      <left/>
      <right style="medium">
        <color auto="1"/>
      </right>
      <top/>
      <bottom style="thin">
        <color auto="1"/>
      </bottom>
      <diagonal/>
    </border>
    <border>
      <left/>
      <right style="thin">
        <color auto="1"/>
      </right>
      <top/>
      <bottom style="thin">
        <color auto="1"/>
      </bottom>
      <diagonal/>
    </border>
    <border>
      <left/>
      <right/>
      <top/>
      <bottom style="medium">
        <color auto="1"/>
      </bottom>
      <diagonal/>
    </border>
    <border>
      <left/>
      <right style="medium">
        <color auto="1"/>
      </right>
      <top/>
      <bottom style="medium">
        <color auto="1"/>
      </bottom>
      <diagonal/>
    </border>
    <border>
      <left/>
      <right style="thin">
        <color auto="1"/>
      </right>
      <top/>
      <bottom/>
      <diagonal/>
    </border>
    <border>
      <left style="medium">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thin">
        <color auto="1"/>
      </top>
      <bottom/>
      <diagonal/>
    </border>
    <border>
      <left style="medium">
        <color auto="1"/>
      </left>
      <right style="medium">
        <color auto="1"/>
      </right>
      <top style="medium">
        <color auto="1"/>
      </top>
      <bottom/>
      <diagonal/>
    </border>
  </borders>
  <cellStyleXfs count="10">
    <xf numFmtId="0" fontId="0" fillId="0" borderId="0"/>
    <xf numFmtId="164" fontId="18" fillId="0" borderId="0" applyBorder="0" applyProtection="0"/>
    <xf numFmtId="9" fontId="18" fillId="0" borderId="0" applyBorder="0" applyProtection="0"/>
    <xf numFmtId="0" fontId="1" fillId="2" borderId="1"/>
    <xf numFmtId="0" fontId="1" fillId="2" borderId="1"/>
    <xf numFmtId="164" fontId="18" fillId="0" borderId="0" applyBorder="0" applyProtection="0"/>
    <xf numFmtId="0" fontId="2" fillId="0" borderId="0"/>
    <xf numFmtId="0" fontId="2" fillId="0" borderId="0"/>
    <xf numFmtId="0" fontId="2" fillId="0" borderId="0"/>
    <xf numFmtId="0" fontId="2" fillId="0" borderId="0"/>
  </cellStyleXfs>
  <cellXfs count="338">
    <xf numFmtId="0" fontId="0" fillId="0" borderId="0" xfId="0"/>
    <xf numFmtId="0" fontId="0" fillId="5" borderId="22" xfId="0" applyFill="1" applyBorder="1" applyAlignment="1">
      <alignment horizontal="center" vertical="center"/>
    </xf>
    <xf numFmtId="0" fontId="0" fillId="8" borderId="5" xfId="0" applyFill="1" applyBorder="1" applyAlignment="1">
      <alignment horizontal="center" vertical="center" wrapText="1"/>
    </xf>
    <xf numFmtId="9" fontId="0" fillId="5" borderId="5" xfId="0" applyNumberFormat="1" applyFill="1" applyBorder="1"/>
    <xf numFmtId="0" fontId="0" fillId="5" borderId="5" xfId="0" applyFill="1" applyBorder="1" applyAlignment="1">
      <alignment horizontal="center" vertical="center" wrapText="1"/>
    </xf>
    <xf numFmtId="0" fontId="0" fillId="10" borderId="5" xfId="0" applyFill="1" applyBorder="1"/>
    <xf numFmtId="0" fontId="0" fillId="8" borderId="18" xfId="0" applyFill="1" applyBorder="1" applyAlignment="1">
      <alignment horizontal="center" vertical="center" wrapText="1"/>
    </xf>
    <xf numFmtId="0" fontId="10" fillId="8" borderId="15" xfId="0" applyFont="1" applyFill="1" applyBorder="1" applyAlignment="1">
      <alignment horizontal="left" vertical="center"/>
    </xf>
    <xf numFmtId="0" fontId="10" fillId="5" borderId="11" xfId="0" applyFont="1" applyFill="1" applyBorder="1" applyAlignment="1">
      <alignment horizontal="center" vertical="center"/>
    </xf>
    <xf numFmtId="0" fontId="10" fillId="8" borderId="7" xfId="0" applyFont="1" applyFill="1" applyBorder="1" applyAlignment="1">
      <alignment horizontal="center" vertical="center"/>
    </xf>
    <xf numFmtId="0" fontId="0" fillId="5" borderId="11" xfId="0" applyFill="1" applyBorder="1" applyAlignment="1">
      <alignment horizontal="right" vertical="center"/>
    </xf>
    <xf numFmtId="0" fontId="10" fillId="8" borderId="7" xfId="0" applyFont="1" applyFill="1" applyBorder="1" applyAlignment="1">
      <alignment horizontal="left" vertical="center"/>
    </xf>
    <xf numFmtId="0" fontId="0" fillId="9" borderId="5" xfId="0" applyFill="1" applyBorder="1" applyAlignment="1">
      <alignment horizontal="center" vertical="center"/>
    </xf>
    <xf numFmtId="0" fontId="10" fillId="5" borderId="7" xfId="0" applyFont="1" applyFill="1" applyBorder="1" applyAlignment="1">
      <alignment horizontal="center" vertical="center"/>
    </xf>
    <xf numFmtId="0" fontId="10" fillId="8" borderId="8" xfId="0" applyFont="1" applyFill="1" applyBorder="1" applyAlignment="1">
      <alignment horizontal="center" vertical="center"/>
    </xf>
    <xf numFmtId="0" fontId="3" fillId="3" borderId="0" xfId="0" applyFont="1" applyFill="1"/>
    <xf numFmtId="0" fontId="0" fillId="3" borderId="0" xfId="0" applyFill="1"/>
    <xf numFmtId="0" fontId="4" fillId="4" borderId="0" xfId="0" applyFont="1" applyFill="1"/>
    <xf numFmtId="0" fontId="0" fillId="4" borderId="0" xfId="0" applyFill="1"/>
    <xf numFmtId="0" fontId="5" fillId="4" borderId="0" xfId="0" applyFont="1" applyFill="1"/>
    <xf numFmtId="0" fontId="6" fillId="4" borderId="0" xfId="0" applyFont="1" applyFill="1"/>
    <xf numFmtId="0" fontId="0" fillId="4" borderId="0" xfId="0" applyFill="1" applyAlignment="1">
      <alignment horizontal="left"/>
    </xf>
    <xf numFmtId="17" fontId="0" fillId="4" borderId="0" xfId="0" applyNumberFormat="1" applyFill="1" applyAlignment="1">
      <alignment horizontal="left"/>
    </xf>
    <xf numFmtId="0" fontId="7" fillId="4" borderId="0" xfId="0" applyFont="1" applyFill="1"/>
    <xf numFmtId="0" fontId="0" fillId="5" borderId="0" xfId="0" applyFill="1"/>
    <xf numFmtId="0" fontId="8" fillId="6" borderId="2" xfId="0" applyFont="1" applyFill="1" applyBorder="1"/>
    <xf numFmtId="0" fontId="0" fillId="6" borderId="0" xfId="0" applyFill="1"/>
    <xf numFmtId="0" fontId="0" fillId="0" borderId="2" xfId="0" applyBorder="1"/>
    <xf numFmtId="0" fontId="9" fillId="7" borderId="3" xfId="0" applyFont="1" applyFill="1" applyBorder="1"/>
    <xf numFmtId="0" fontId="0" fillId="7" borderId="2" xfId="0" applyFill="1" applyBorder="1"/>
    <xf numFmtId="0" fontId="0" fillId="7" borderId="4" xfId="0" applyFill="1" applyBorder="1"/>
    <xf numFmtId="0" fontId="10" fillId="8" borderId="5" xfId="0" applyFont="1" applyFill="1" applyBorder="1"/>
    <xf numFmtId="0" fontId="10" fillId="5" borderId="5" xfId="0" applyFont="1" applyFill="1" applyBorder="1"/>
    <xf numFmtId="0" fontId="10" fillId="8" borderId="6" xfId="0" applyFont="1" applyFill="1" applyBorder="1"/>
    <xf numFmtId="0" fontId="0" fillId="0" borderId="7" xfId="0" applyBorder="1"/>
    <xf numFmtId="0" fontId="0" fillId="0" borderId="8" xfId="0" applyBorder="1"/>
    <xf numFmtId="0" fontId="0" fillId="0" borderId="9" xfId="0" applyBorder="1"/>
    <xf numFmtId="0" fontId="0" fillId="9" borderId="0" xfId="0" applyFill="1" applyAlignment="1">
      <alignment horizontal="center"/>
    </xf>
    <xf numFmtId="0" fontId="0" fillId="5" borderId="10" xfId="0" applyFill="1" applyBorder="1"/>
    <xf numFmtId="0" fontId="0" fillId="9" borderId="5" xfId="0" applyFill="1" applyBorder="1" applyAlignment="1">
      <alignment horizontal="center" vertical="center"/>
    </xf>
    <xf numFmtId="0" fontId="0" fillId="8" borderId="8" xfId="0" applyFill="1" applyBorder="1"/>
    <xf numFmtId="0" fontId="0" fillId="0" borderId="5" xfId="0" applyBorder="1"/>
    <xf numFmtId="0" fontId="0" fillId="5" borderId="5" xfId="0" applyFill="1" applyBorder="1"/>
    <xf numFmtId="0" fontId="0" fillId="9" borderId="0" xfId="0" applyFill="1" applyAlignment="1">
      <alignment horizontal="center" vertical="center"/>
    </xf>
    <xf numFmtId="0" fontId="9" fillId="7" borderId="12" xfId="0" applyFont="1" applyFill="1" applyBorder="1"/>
    <xf numFmtId="0" fontId="10" fillId="9" borderId="5" xfId="0" applyFont="1" applyFill="1" applyBorder="1" applyAlignment="1">
      <alignment horizontal="center"/>
    </xf>
    <xf numFmtId="0" fontId="0" fillId="0" borderId="4" xfId="0" applyBorder="1"/>
    <xf numFmtId="0" fontId="0" fillId="0" borderId="13" xfId="0" applyBorder="1"/>
    <xf numFmtId="0" fontId="0" fillId="0" borderId="14" xfId="0" applyBorder="1"/>
    <xf numFmtId="0" fontId="0" fillId="5" borderId="13" xfId="0" applyFill="1" applyBorder="1"/>
    <xf numFmtId="0" fontId="0" fillId="5" borderId="14" xfId="0" applyFill="1" applyBorder="1"/>
    <xf numFmtId="0" fontId="10" fillId="0" borderId="0" xfId="0" applyFont="1"/>
    <xf numFmtId="9" fontId="10" fillId="0" borderId="0" xfId="0" applyNumberFormat="1" applyFont="1"/>
    <xf numFmtId="0" fontId="9" fillId="7" borderId="16" xfId="0" applyFont="1" applyFill="1" applyBorder="1"/>
    <xf numFmtId="0" fontId="0" fillId="7" borderId="8" xfId="0" applyFill="1" applyBorder="1"/>
    <xf numFmtId="0" fontId="0" fillId="7" borderId="17" xfId="0" applyFill="1" applyBorder="1"/>
    <xf numFmtId="0" fontId="0" fillId="7" borderId="9" xfId="0" applyFill="1" applyBorder="1"/>
    <xf numFmtId="0" fontId="0" fillId="10" borderId="5" xfId="0" applyFill="1" applyBorder="1"/>
    <xf numFmtId="0" fontId="10" fillId="0" borderId="0" xfId="0" applyFont="1" applyAlignment="1">
      <alignment horizontal="center" vertical="center"/>
    </xf>
    <xf numFmtId="0" fontId="0" fillId="0" borderId="7" xfId="0" applyBorder="1" applyAlignment="1">
      <alignment horizontal="center" vertical="center"/>
    </xf>
    <xf numFmtId="0" fontId="0" fillId="0" borderId="19" xfId="0" applyBorder="1"/>
    <xf numFmtId="0" fontId="0" fillId="0" borderId="0" xfId="0" applyAlignment="1">
      <alignment horizontal="center" vertical="center"/>
    </xf>
    <xf numFmtId="0" fontId="10" fillId="8" borderId="10" xfId="0" applyFont="1" applyFill="1" applyBorder="1"/>
    <xf numFmtId="165" fontId="10" fillId="5" borderId="8" xfId="2" applyNumberFormat="1" applyFont="1" applyFill="1" applyBorder="1" applyProtection="1"/>
    <xf numFmtId="0" fontId="0" fillId="11" borderId="5" xfId="0" applyFill="1" applyBorder="1"/>
    <xf numFmtId="0" fontId="0" fillId="0" borderId="17" xfId="0" applyBorder="1" applyAlignment="1">
      <alignment horizontal="center" vertical="center"/>
    </xf>
    <xf numFmtId="165" fontId="10" fillId="0" borderId="0" xfId="2" applyNumberFormat="1" applyFont="1" applyBorder="1" applyProtection="1"/>
    <xf numFmtId="0" fontId="10" fillId="5" borderId="20" xfId="0" applyFont="1" applyFill="1" applyBorder="1"/>
    <xf numFmtId="0" fontId="10" fillId="0" borderId="5" xfId="0" applyFont="1" applyBorder="1"/>
    <xf numFmtId="0" fontId="10" fillId="12" borderId="5" xfId="0" applyFont="1" applyFill="1" applyBorder="1"/>
    <xf numFmtId="0" fontId="10" fillId="12" borderId="8" xfId="0" applyFont="1" applyFill="1" applyBorder="1"/>
    <xf numFmtId="0" fontId="10" fillId="5" borderId="21" xfId="0" applyFont="1" applyFill="1" applyBorder="1"/>
    <xf numFmtId="10" fontId="0" fillId="5" borderId="5" xfId="0" applyNumberFormat="1" applyFill="1" applyBorder="1"/>
    <xf numFmtId="9" fontId="10" fillId="5" borderId="5" xfId="0" applyNumberFormat="1" applyFont="1" applyFill="1" applyBorder="1"/>
    <xf numFmtId="0" fontId="10" fillId="0" borderId="22" xfId="0" applyFont="1" applyBorder="1"/>
    <xf numFmtId="9" fontId="10" fillId="5" borderId="20" xfId="0" applyNumberFormat="1" applyFont="1" applyFill="1" applyBorder="1"/>
    <xf numFmtId="0" fontId="0" fillId="7" borderId="0" xfId="0" applyFill="1"/>
    <xf numFmtId="0" fontId="0" fillId="7" borderId="7" xfId="0" applyFill="1" applyBorder="1"/>
    <xf numFmtId="9" fontId="10" fillId="12" borderId="5" xfId="2" applyFont="1" applyFill="1" applyBorder="1" applyProtection="1"/>
    <xf numFmtId="0" fontId="7" fillId="0" borderId="0" xfId="0" applyFont="1"/>
    <xf numFmtId="9" fontId="0" fillId="5" borderId="5" xfId="0" applyNumberFormat="1" applyFill="1" applyBorder="1"/>
    <xf numFmtId="0" fontId="0" fillId="0" borderId="0" xfId="0" applyAlignment="1">
      <alignment wrapText="1"/>
    </xf>
    <xf numFmtId="10" fontId="0" fillId="0" borderId="0" xfId="0" applyNumberFormat="1"/>
    <xf numFmtId="0" fontId="9" fillId="7" borderId="8" xfId="0" applyFont="1" applyFill="1" applyBorder="1"/>
    <xf numFmtId="9" fontId="10" fillId="0" borderId="0" xfId="2" applyFont="1" applyBorder="1" applyProtection="1"/>
    <xf numFmtId="0" fontId="0" fillId="0" borderId="12" xfId="0" applyBorder="1"/>
    <xf numFmtId="0" fontId="10" fillId="8" borderId="22" xfId="0" applyFont="1" applyFill="1" applyBorder="1"/>
    <xf numFmtId="0" fontId="0" fillId="0" borderId="23" xfId="0" applyBorder="1"/>
    <xf numFmtId="9" fontId="10" fillId="12" borderId="20" xfId="2" applyFont="1" applyFill="1" applyBorder="1" applyProtection="1"/>
    <xf numFmtId="0" fontId="0" fillId="12" borderId="5" xfId="0" applyFill="1" applyBorder="1"/>
    <xf numFmtId="0" fontId="0" fillId="5" borderId="20" xfId="0" applyFill="1" applyBorder="1"/>
    <xf numFmtId="9" fontId="0" fillId="0" borderId="0" xfId="0" applyNumberFormat="1"/>
    <xf numFmtId="0" fontId="9" fillId="7" borderId="24" xfId="0" applyFont="1" applyFill="1" applyBorder="1"/>
    <xf numFmtId="0" fontId="0" fillId="7" borderId="25" xfId="0" applyFill="1" applyBorder="1"/>
    <xf numFmtId="0" fontId="10" fillId="5" borderId="12" xfId="0" applyFont="1" applyFill="1" applyBorder="1"/>
    <xf numFmtId="0" fontId="0" fillId="5" borderId="12" xfId="0" applyFill="1" applyBorder="1"/>
    <xf numFmtId="9" fontId="10" fillId="12" borderId="12" xfId="2" applyFont="1" applyFill="1" applyBorder="1" applyProtection="1"/>
    <xf numFmtId="9" fontId="10" fillId="5" borderId="12" xfId="2" applyFont="1" applyFill="1" applyBorder="1" applyProtection="1"/>
    <xf numFmtId="0" fontId="0" fillId="7" borderId="26" xfId="0" applyFill="1" applyBorder="1"/>
    <xf numFmtId="0" fontId="0" fillId="0" borderId="17" xfId="0" applyBorder="1"/>
    <xf numFmtId="0" fontId="11" fillId="7" borderId="18" xfId="0" applyFont="1" applyFill="1" applyBorder="1"/>
    <xf numFmtId="0" fontId="10" fillId="7" borderId="16" xfId="0" applyFont="1" applyFill="1" applyBorder="1"/>
    <xf numFmtId="0" fontId="0" fillId="7" borderId="12" xfId="0" applyFill="1" applyBorder="1"/>
    <xf numFmtId="0" fontId="0" fillId="12" borderId="8" xfId="0" applyFill="1" applyBorder="1"/>
    <xf numFmtId="0" fontId="0" fillId="12" borderId="10" xfId="0" applyFill="1" applyBorder="1"/>
    <xf numFmtId="0" fontId="0" fillId="7" borderId="19" xfId="0" applyFill="1" applyBorder="1"/>
    <xf numFmtId="0" fontId="0" fillId="5" borderId="22" xfId="0" applyFill="1" applyBorder="1" applyAlignment="1">
      <alignment horizontal="center" vertical="center"/>
    </xf>
    <xf numFmtId="0" fontId="0" fillId="10" borderId="20" xfId="0" applyFill="1" applyBorder="1"/>
    <xf numFmtId="9" fontId="18" fillId="5" borderId="20" xfId="2" applyFill="1" applyBorder="1" applyAlignment="1" applyProtection="1">
      <alignment horizontal="left" vertical="center"/>
    </xf>
    <xf numFmtId="0" fontId="0" fillId="10" borderId="12" xfId="0" applyFill="1" applyBorder="1" applyAlignment="1">
      <alignment vertical="center"/>
    </xf>
    <xf numFmtId="0" fontId="0" fillId="10" borderId="10" xfId="0" applyFill="1" applyBorder="1"/>
    <xf numFmtId="0" fontId="0" fillId="10" borderId="23" xfId="0" applyFill="1" applyBorder="1"/>
    <xf numFmtId="0" fontId="0" fillId="10" borderId="27" xfId="0" applyFill="1" applyBorder="1"/>
    <xf numFmtId="0" fontId="0" fillId="7" borderId="16" xfId="0" applyFill="1" applyBorder="1"/>
    <xf numFmtId="0" fontId="0" fillId="10" borderId="12" xfId="0" applyFill="1" applyBorder="1"/>
    <xf numFmtId="0" fontId="0" fillId="5" borderId="8" xfId="0" applyFill="1" applyBorder="1"/>
    <xf numFmtId="0" fontId="0" fillId="10" borderId="22" xfId="0" applyFill="1" applyBorder="1"/>
    <xf numFmtId="0" fontId="0" fillId="0" borderId="28" xfId="0" applyBorder="1"/>
    <xf numFmtId="0" fontId="0" fillId="0" borderId="29" xfId="0" applyBorder="1"/>
    <xf numFmtId="0" fontId="0" fillId="0" borderId="0" xfId="0" applyAlignment="1">
      <alignment horizontal="center"/>
    </xf>
    <xf numFmtId="0" fontId="0" fillId="7" borderId="10" xfId="0" applyFill="1" applyBorder="1"/>
    <xf numFmtId="0" fontId="0" fillId="0" borderId="22" xfId="0" applyBorder="1"/>
    <xf numFmtId="0" fontId="0" fillId="5" borderId="22" xfId="0" applyFill="1" applyBorder="1"/>
    <xf numFmtId="0" fontId="0" fillId="7" borderId="11" xfId="0" applyFill="1" applyBorder="1"/>
    <xf numFmtId="165" fontId="18" fillId="5" borderId="10" xfId="2" applyNumberFormat="1" applyFill="1" applyBorder="1" applyAlignment="1" applyProtection="1">
      <alignment horizontal="center"/>
    </xf>
    <xf numFmtId="166" fontId="0" fillId="0" borderId="0" xfId="0" applyNumberFormat="1" applyAlignment="1">
      <alignment horizontal="center"/>
    </xf>
    <xf numFmtId="9" fontId="18" fillId="0" borderId="0" xfId="2" applyBorder="1" applyAlignment="1" applyProtection="1">
      <alignment horizontal="center"/>
    </xf>
    <xf numFmtId="167" fontId="0" fillId="0" borderId="0" xfId="0" applyNumberFormat="1" applyAlignment="1">
      <alignment horizontal="center"/>
    </xf>
    <xf numFmtId="0" fontId="0" fillId="0" borderId="5" xfId="0" applyBorder="1" applyAlignment="1">
      <alignment horizontal="center"/>
    </xf>
    <xf numFmtId="0" fontId="0" fillId="5" borderId="5" xfId="0" applyFill="1" applyBorder="1" applyAlignment="1">
      <alignment horizontal="left"/>
    </xf>
    <xf numFmtId="0" fontId="0" fillId="0" borderId="5" xfId="0" applyBorder="1" applyAlignment="1">
      <alignment horizontal="center" wrapText="1"/>
    </xf>
    <xf numFmtId="9" fontId="0" fillId="5" borderId="5" xfId="0" applyNumberFormat="1" applyFill="1" applyBorder="1" applyAlignment="1">
      <alignment horizontal="left"/>
    </xf>
    <xf numFmtId="0" fontId="0" fillId="0" borderId="0" xfId="0" applyAlignment="1">
      <alignment vertical="center"/>
    </xf>
    <xf numFmtId="0" fontId="12" fillId="0" borderId="0" xfId="0" applyFont="1"/>
    <xf numFmtId="0" fontId="0" fillId="8" borderId="22" xfId="0" applyFill="1" applyBorder="1"/>
    <xf numFmtId="0" fontId="0" fillId="8" borderId="5" xfId="0" applyFill="1" applyBorder="1" applyAlignment="1">
      <alignment horizontal="center"/>
    </xf>
    <xf numFmtId="0" fontId="0" fillId="8" borderId="5" xfId="0" applyFill="1" applyBorder="1"/>
    <xf numFmtId="0" fontId="0" fillId="7" borderId="5" xfId="0" applyFill="1" applyBorder="1"/>
    <xf numFmtId="0" fontId="9" fillId="7" borderId="0" xfId="0" applyFont="1" applyFill="1" applyAlignment="1">
      <alignment wrapText="1"/>
    </xf>
    <xf numFmtId="10" fontId="0" fillId="0" borderId="0" xfId="0" applyNumberFormat="1" applyAlignment="1">
      <alignment wrapText="1"/>
    </xf>
    <xf numFmtId="0" fontId="0" fillId="10" borderId="5" xfId="0" applyFill="1" applyBorder="1" applyAlignment="1">
      <alignment wrapText="1"/>
    </xf>
    <xf numFmtId="0" fontId="0" fillId="0" borderId="0" xfId="0" applyAlignment="1">
      <alignment vertical="top" wrapText="1"/>
    </xf>
    <xf numFmtId="0" fontId="0" fillId="10" borderId="20" xfId="0" applyFill="1" applyBorder="1" applyAlignment="1">
      <alignment wrapText="1"/>
    </xf>
    <xf numFmtId="0" fontId="0" fillId="7" borderId="0" xfId="0" applyFill="1" applyAlignment="1">
      <alignment wrapText="1"/>
    </xf>
    <xf numFmtId="0" fontId="10" fillId="8" borderId="5" xfId="0" applyFont="1" applyFill="1" applyBorder="1" applyAlignment="1">
      <alignment wrapText="1"/>
    </xf>
    <xf numFmtId="0" fontId="0" fillId="8" borderId="5" xfId="0" applyFill="1" applyBorder="1" applyAlignment="1">
      <alignment vertical="center" wrapText="1"/>
    </xf>
    <xf numFmtId="9" fontId="10" fillId="5" borderId="5" xfId="2" applyFont="1" applyFill="1" applyBorder="1" applyProtection="1"/>
    <xf numFmtId="9" fontId="0" fillId="5" borderId="10" xfId="0" applyNumberFormat="1" applyFill="1" applyBorder="1" applyAlignment="1">
      <alignment horizontal="left" wrapText="1"/>
    </xf>
    <xf numFmtId="0" fontId="0" fillId="0" borderId="0" xfId="0" applyAlignment="1">
      <alignment horizontal="left" wrapText="1"/>
    </xf>
    <xf numFmtId="164" fontId="18" fillId="0" borderId="0" xfId="1" applyBorder="1" applyProtection="1"/>
    <xf numFmtId="0" fontId="0" fillId="7" borderId="20" xfId="0" applyFill="1" applyBorder="1" applyAlignment="1">
      <alignment wrapText="1"/>
    </xf>
    <xf numFmtId="0" fontId="10" fillId="8" borderId="22" xfId="0" applyFont="1" applyFill="1" applyBorder="1" applyAlignment="1">
      <alignment wrapText="1"/>
    </xf>
    <xf numFmtId="0" fontId="0" fillId="6" borderId="0" xfId="0" applyFill="1" applyAlignment="1">
      <alignment wrapText="1"/>
    </xf>
    <xf numFmtId="0" fontId="0" fillId="7" borderId="5" xfId="0" applyFill="1" applyBorder="1" applyAlignment="1">
      <alignment wrapText="1"/>
    </xf>
    <xf numFmtId="0" fontId="2" fillId="14" borderId="10" xfId="9" applyFill="1" applyBorder="1" applyAlignment="1">
      <alignment horizontal="center" vertical="center" wrapText="1"/>
    </xf>
    <xf numFmtId="0" fontId="0" fillId="8" borderId="5" xfId="0" applyFill="1" applyBorder="1" applyAlignment="1">
      <alignment wrapText="1"/>
    </xf>
    <xf numFmtId="0" fontId="0" fillId="15" borderId="5" xfId="0" applyFill="1" applyBorder="1" applyAlignment="1">
      <alignment wrapText="1"/>
    </xf>
    <xf numFmtId="0" fontId="0" fillId="16" borderId="5" xfId="0" applyFill="1" applyBorder="1"/>
    <xf numFmtId="0" fontId="0" fillId="15" borderId="5" xfId="0" applyFill="1" applyBorder="1"/>
    <xf numFmtId="0" fontId="0" fillId="11" borderId="5" xfId="0" applyFill="1" applyBorder="1" applyAlignment="1">
      <alignment wrapText="1"/>
    </xf>
    <xf numFmtId="0" fontId="0" fillId="9" borderId="5" xfId="0" applyFill="1" applyBorder="1"/>
    <xf numFmtId="0" fontId="0" fillId="15" borderId="0" xfId="0" applyFill="1" applyAlignment="1">
      <alignment wrapText="1"/>
    </xf>
    <xf numFmtId="9" fontId="18" fillId="5" borderId="5" xfId="2" applyFill="1" applyBorder="1" applyProtection="1"/>
    <xf numFmtId="0" fontId="0" fillId="11" borderId="22" xfId="0" applyFill="1" applyBorder="1" applyAlignment="1">
      <alignment wrapText="1"/>
    </xf>
    <xf numFmtId="0" fontId="0" fillId="0" borderId="0" xfId="0" applyAlignment="1">
      <alignment horizontal="center" vertical="center" wrapText="1"/>
    </xf>
    <xf numFmtId="0" fontId="0" fillId="0" borderId="0" xfId="0" applyAlignment="1">
      <alignment horizontal="left" vertical="center" wrapText="1"/>
    </xf>
    <xf numFmtId="0" fontId="0" fillId="5" borderId="5" xfId="0" applyFill="1" applyBorder="1" applyAlignment="1">
      <alignment wrapText="1"/>
    </xf>
    <xf numFmtId="0" fontId="9" fillId="7" borderId="0" xfId="0" applyFont="1" applyFill="1"/>
    <xf numFmtId="1" fontId="10" fillId="5" borderId="5" xfId="0" applyNumberFormat="1" applyFont="1" applyFill="1" applyBorder="1"/>
    <xf numFmtId="1" fontId="10" fillId="7" borderId="0" xfId="0" applyNumberFormat="1" applyFont="1" applyFill="1"/>
    <xf numFmtId="0" fontId="0" fillId="8" borderId="20" xfId="0" applyFill="1" applyBorder="1"/>
    <xf numFmtId="1" fontId="10" fillId="5" borderId="20" xfId="0" applyNumberFormat="1" applyFont="1" applyFill="1" applyBorder="1"/>
    <xf numFmtId="0" fontId="9" fillId="0" borderId="0" xfId="0" applyFont="1"/>
    <xf numFmtId="0" fontId="4" fillId="0" borderId="0" xfId="0" applyFont="1"/>
    <xf numFmtId="0" fontId="0" fillId="18" borderId="5" xfId="0" applyFill="1" applyBorder="1"/>
    <xf numFmtId="0" fontId="0" fillId="19" borderId="5" xfId="0" applyFill="1" applyBorder="1"/>
    <xf numFmtId="0" fontId="0" fillId="19" borderId="13" xfId="0" applyFill="1" applyBorder="1"/>
    <xf numFmtId="0" fontId="0" fillId="18" borderId="33" xfId="0" applyFill="1" applyBorder="1"/>
    <xf numFmtId="10" fontId="0" fillId="19" borderId="33" xfId="0" applyNumberFormat="1" applyFill="1" applyBorder="1"/>
    <xf numFmtId="10" fontId="0" fillId="19" borderId="34" xfId="0" applyNumberFormat="1" applyFill="1" applyBorder="1"/>
    <xf numFmtId="0" fontId="0" fillId="13" borderId="24" xfId="0" applyFill="1" applyBorder="1" applyAlignment="1">
      <alignment horizontal="center"/>
    </xf>
    <xf numFmtId="0" fontId="0" fillId="13" borderId="5" xfId="0" applyFill="1" applyBorder="1" applyAlignment="1">
      <alignment horizontal="center"/>
    </xf>
    <xf numFmtId="0" fontId="0" fillId="13" borderId="24" xfId="0" applyFill="1" applyBorder="1" applyAlignment="1">
      <alignment horizontal="left"/>
    </xf>
    <xf numFmtId="168" fontId="0" fillId="19" borderId="5" xfId="0" applyNumberFormat="1" applyFill="1" applyBorder="1"/>
    <xf numFmtId="168" fontId="10" fillId="19" borderId="13" xfId="0" applyNumberFormat="1" applyFont="1" applyFill="1" applyBorder="1"/>
    <xf numFmtId="168" fontId="10" fillId="19" borderId="5" xfId="0" applyNumberFormat="1" applyFont="1" applyFill="1" applyBorder="1"/>
    <xf numFmtId="168" fontId="0" fillId="19" borderId="13" xfId="0" applyNumberFormat="1" applyFill="1" applyBorder="1"/>
    <xf numFmtId="0" fontId="0" fillId="13" borderId="32" xfId="0" applyFill="1" applyBorder="1" applyAlignment="1">
      <alignment horizontal="left"/>
    </xf>
    <xf numFmtId="169" fontId="0" fillId="21" borderId="34" xfId="0" applyNumberFormat="1" applyFill="1" applyBorder="1"/>
    <xf numFmtId="0" fontId="0" fillId="13" borderId="0" xfId="0" applyFill="1" applyAlignment="1">
      <alignment horizontal="left"/>
    </xf>
    <xf numFmtId="0" fontId="0" fillId="18" borderId="0" xfId="0" applyFill="1"/>
    <xf numFmtId="168" fontId="0" fillId="21" borderId="5" xfId="0" applyNumberFormat="1" applyFill="1" applyBorder="1"/>
    <xf numFmtId="168" fontId="0" fillId="0" borderId="0" xfId="0" applyNumberFormat="1"/>
    <xf numFmtId="10" fontId="0" fillId="19" borderId="13" xfId="0" applyNumberFormat="1" applyFill="1" applyBorder="1"/>
    <xf numFmtId="10" fontId="10" fillId="19" borderId="13" xfId="2" applyNumberFormat="1" applyFont="1" applyFill="1" applyBorder="1" applyProtection="1"/>
    <xf numFmtId="10" fontId="10" fillId="19" borderId="34" xfId="0" applyNumberFormat="1" applyFont="1" applyFill="1" applyBorder="1"/>
    <xf numFmtId="10" fontId="10" fillId="19" borderId="34" xfId="2" applyNumberFormat="1" applyFont="1" applyFill="1" applyBorder="1" applyProtection="1"/>
    <xf numFmtId="0" fontId="0" fillId="13" borderId="5" xfId="0" applyFill="1" applyBorder="1" applyAlignment="1">
      <alignment horizontal="left"/>
    </xf>
    <xf numFmtId="10" fontId="10" fillId="19" borderId="5" xfId="2" applyNumberFormat="1" applyFont="1" applyFill="1" applyBorder="1" applyProtection="1"/>
    <xf numFmtId="0" fontId="0" fillId="21" borderId="5" xfId="0" applyFill="1" applyBorder="1"/>
    <xf numFmtId="0" fontId="0" fillId="21" borderId="13" xfId="0" applyFill="1" applyBorder="1"/>
    <xf numFmtId="11" fontId="0" fillId="21" borderId="5" xfId="0" applyNumberFormat="1" applyFill="1" applyBorder="1"/>
    <xf numFmtId="0" fontId="15" fillId="17" borderId="36" xfId="0" applyFont="1" applyFill="1" applyBorder="1"/>
    <xf numFmtId="0" fontId="15" fillId="17" borderId="37" xfId="0" applyFont="1" applyFill="1" applyBorder="1"/>
    <xf numFmtId="0" fontId="15" fillId="17" borderId="38" xfId="0" applyFont="1" applyFill="1" applyBorder="1"/>
    <xf numFmtId="0" fontId="0" fillId="20" borderId="40" xfId="0" applyFill="1" applyBorder="1"/>
    <xf numFmtId="0" fontId="0" fillId="20" borderId="13" xfId="0" applyFill="1" applyBorder="1"/>
    <xf numFmtId="10" fontId="10" fillId="19" borderId="33" xfId="2" applyNumberFormat="1" applyFont="1" applyFill="1" applyBorder="1" applyProtection="1"/>
    <xf numFmtId="0" fontId="0" fillId="19" borderId="34" xfId="0" applyFill="1" applyBorder="1"/>
    <xf numFmtId="0" fontId="0" fillId="19" borderId="13" xfId="0" applyFill="1" applyBorder="1" applyAlignment="1">
      <alignment horizontal="right"/>
    </xf>
    <xf numFmtId="9" fontId="10" fillId="19" borderId="13" xfId="2" applyFont="1" applyFill="1" applyBorder="1" applyProtection="1"/>
    <xf numFmtId="9" fontId="10" fillId="19" borderId="34" xfId="2" applyFont="1" applyFill="1" applyBorder="1" applyProtection="1"/>
    <xf numFmtId="0" fontId="0" fillId="13" borderId="33" xfId="0" applyFill="1" applyBorder="1" applyAlignment="1">
      <alignment horizontal="left"/>
    </xf>
    <xf numFmtId="10" fontId="0" fillId="19" borderId="5" xfId="0" applyNumberFormat="1" applyFill="1" applyBorder="1"/>
    <xf numFmtId="0" fontId="0" fillId="20" borderId="33" xfId="0" applyFill="1" applyBorder="1" applyAlignment="1">
      <alignment horizontal="center"/>
    </xf>
    <xf numFmtId="0" fontId="0" fillId="13" borderId="32" xfId="0" applyFill="1" applyBorder="1" applyAlignment="1">
      <alignment horizontal="center"/>
    </xf>
    <xf numFmtId="0" fontId="0" fillId="22" borderId="0" xfId="0" applyFill="1"/>
    <xf numFmtId="0" fontId="0" fillId="18" borderId="43" xfId="0" applyFill="1" applyBorder="1"/>
    <xf numFmtId="0" fontId="0" fillId="13" borderId="32" xfId="0" applyFill="1" applyBorder="1" applyAlignment="1">
      <alignment horizontal="center" wrapText="1"/>
    </xf>
    <xf numFmtId="0" fontId="0" fillId="13" borderId="5" xfId="0" applyFill="1" applyBorder="1" applyAlignment="1">
      <alignment horizontal="left" vertical="center"/>
    </xf>
    <xf numFmtId="0" fontId="0" fillId="13" borderId="13" xfId="0" applyFill="1" applyBorder="1" applyAlignment="1">
      <alignment horizontal="left" vertical="center"/>
    </xf>
    <xf numFmtId="0" fontId="2" fillId="19" borderId="5" xfId="0" applyFont="1" applyFill="1" applyBorder="1"/>
    <xf numFmtId="0" fontId="2" fillId="19" borderId="13" xfId="0" applyFont="1" applyFill="1" applyBorder="1"/>
    <xf numFmtId="0" fontId="2" fillId="19" borderId="33" xfId="0" applyFont="1" applyFill="1" applyBorder="1"/>
    <xf numFmtId="0" fontId="2" fillId="19" borderId="34" xfId="0" applyFont="1" applyFill="1" applyBorder="1"/>
    <xf numFmtId="0" fontId="0" fillId="18" borderId="5" xfId="0" applyFill="1" applyBorder="1" applyAlignment="1">
      <alignment horizontal="left"/>
    </xf>
    <xf numFmtId="0" fontId="0" fillId="19" borderId="13" xfId="0" applyFill="1" applyBorder="1" applyAlignment="1">
      <alignment horizontal="right" vertical="center"/>
    </xf>
    <xf numFmtId="0" fontId="0" fillId="13" borderId="18" xfId="0" applyFill="1" applyBorder="1" applyAlignment="1">
      <alignment horizontal="center"/>
    </xf>
    <xf numFmtId="0" fontId="0" fillId="18" borderId="20" xfId="0" applyFill="1" applyBorder="1" applyAlignment="1">
      <alignment horizontal="left"/>
    </xf>
    <xf numFmtId="0" fontId="0" fillId="19" borderId="45" xfId="0" applyFill="1" applyBorder="1"/>
    <xf numFmtId="0" fontId="1" fillId="19" borderId="5" xfId="3" applyFill="1" applyBorder="1" applyAlignment="1">
      <alignment vertical="center"/>
    </xf>
    <xf numFmtId="0" fontId="1" fillId="19" borderId="13" xfId="3" applyFill="1" applyBorder="1" applyAlignment="1">
      <alignment vertical="center"/>
    </xf>
    <xf numFmtId="0" fontId="1" fillId="19" borderId="20" xfId="3" applyFill="1" applyBorder="1" applyAlignment="1">
      <alignment vertical="center"/>
    </xf>
    <xf numFmtId="0" fontId="1" fillId="19" borderId="33" xfId="3" applyFill="1" applyBorder="1" applyAlignment="1">
      <alignment vertical="center"/>
    </xf>
    <xf numFmtId="0" fontId="1" fillId="19" borderId="34" xfId="3" applyFill="1" applyBorder="1" applyAlignment="1">
      <alignment vertical="center"/>
    </xf>
    <xf numFmtId="0" fontId="0" fillId="13" borderId="24" xfId="0" applyFill="1" applyBorder="1" applyAlignment="1">
      <alignment horizontal="center" wrapText="1"/>
    </xf>
    <xf numFmtId="0" fontId="0" fillId="18" borderId="33" xfId="0" applyFill="1" applyBorder="1" applyAlignment="1">
      <alignment horizontal="left"/>
    </xf>
    <xf numFmtId="0" fontId="0" fillId="13" borderId="24" xfId="0" applyFill="1" applyBorder="1" applyAlignment="1">
      <alignment horizontal="left" wrapText="1"/>
    </xf>
    <xf numFmtId="0" fontId="0" fillId="13" borderId="32" xfId="0" applyFill="1" applyBorder="1" applyAlignment="1">
      <alignment horizontal="left" wrapText="1"/>
    </xf>
    <xf numFmtId="1" fontId="10" fillId="19" borderId="13" xfId="0" applyNumberFormat="1" applyFont="1" applyFill="1" applyBorder="1"/>
    <xf numFmtId="0" fontId="0" fillId="13" borderId="32" xfId="0" applyFill="1" applyBorder="1" applyAlignment="1">
      <alignment wrapText="1"/>
    </xf>
    <xf numFmtId="0" fontId="0" fillId="13" borderId="33" xfId="0" applyFill="1" applyBorder="1" applyAlignment="1">
      <alignment wrapText="1"/>
    </xf>
    <xf numFmtId="0" fontId="0" fillId="13" borderId="34" xfId="0" applyFill="1" applyBorder="1" applyAlignment="1">
      <alignment wrapText="1"/>
    </xf>
    <xf numFmtId="0" fontId="0" fillId="18" borderId="39" xfId="0" applyFill="1" applyBorder="1" applyAlignment="1">
      <alignment horizontal="left"/>
    </xf>
    <xf numFmtId="1" fontId="10" fillId="19" borderId="43" xfId="0" applyNumberFormat="1" applyFont="1" applyFill="1" applyBorder="1"/>
    <xf numFmtId="0" fontId="0" fillId="18" borderId="24" xfId="0" applyFill="1" applyBorder="1" applyAlignment="1">
      <alignment horizontal="left"/>
    </xf>
    <xf numFmtId="1" fontId="10" fillId="19" borderId="5" xfId="0" applyNumberFormat="1" applyFont="1" applyFill="1" applyBorder="1"/>
    <xf numFmtId="0" fontId="0" fillId="13" borderId="5" xfId="0" applyFill="1" applyBorder="1" applyAlignment="1">
      <alignment horizontal="left" wrapText="1"/>
    </xf>
    <xf numFmtId="0" fontId="0" fillId="13" borderId="13" xfId="0" applyFill="1" applyBorder="1" applyAlignment="1">
      <alignment horizontal="left" wrapText="1"/>
    </xf>
    <xf numFmtId="0" fontId="0" fillId="20" borderId="5" xfId="0" applyFill="1" applyBorder="1" applyAlignment="1">
      <alignment horizontal="center"/>
    </xf>
    <xf numFmtId="9" fontId="10" fillId="19" borderId="13" xfId="0" applyNumberFormat="1" applyFont="1" applyFill="1" applyBorder="1"/>
    <xf numFmtId="0" fontId="0" fillId="19" borderId="13" xfId="0" applyFill="1" applyBorder="1" applyAlignment="1">
      <alignment horizontal="center"/>
    </xf>
    <xf numFmtId="0" fontId="9" fillId="19" borderId="39" xfId="0" applyFont="1" applyFill="1" applyBorder="1"/>
    <xf numFmtId="0" fontId="0" fillId="19" borderId="38" xfId="0" applyFill="1" applyBorder="1"/>
    <xf numFmtId="0" fontId="10" fillId="19" borderId="32" xfId="0" applyFont="1" applyFill="1" applyBorder="1"/>
    <xf numFmtId="0" fontId="0" fillId="23" borderId="34" xfId="0" applyFill="1" applyBorder="1"/>
    <xf numFmtId="0" fontId="10" fillId="13" borderId="24" xfId="0" applyFont="1" applyFill="1" applyBorder="1"/>
    <xf numFmtId="0" fontId="9" fillId="20" borderId="0" xfId="0" applyFont="1" applyFill="1"/>
    <xf numFmtId="0" fontId="0" fillId="20" borderId="0" xfId="0" applyFill="1"/>
    <xf numFmtId="0" fontId="10" fillId="20" borderId="0" xfId="0" applyFont="1" applyFill="1" applyAlignment="1">
      <alignment horizontal="center" vertical="center"/>
    </xf>
    <xf numFmtId="0" fontId="15" fillId="17" borderId="39" xfId="0" applyFont="1" applyFill="1" applyBorder="1"/>
    <xf numFmtId="0" fontId="15" fillId="17" borderId="43" xfId="0" applyFont="1" applyFill="1" applyBorder="1"/>
    <xf numFmtId="0" fontId="15" fillId="17" borderId="40" xfId="0" applyFont="1" applyFill="1" applyBorder="1"/>
    <xf numFmtId="0" fontId="10" fillId="13" borderId="32" xfId="0" applyFont="1" applyFill="1" applyBorder="1"/>
    <xf numFmtId="165" fontId="0" fillId="19" borderId="34" xfId="0" applyNumberFormat="1" applyFill="1" applyBorder="1"/>
    <xf numFmtId="0" fontId="2" fillId="0" borderId="0" xfId="0" applyFont="1"/>
    <xf numFmtId="0" fontId="0" fillId="18" borderId="24" xfId="0" applyFill="1" applyBorder="1"/>
    <xf numFmtId="0" fontId="0" fillId="19" borderId="24" xfId="0" applyFill="1" applyBorder="1" applyAlignment="1">
      <alignment horizontal="left"/>
    </xf>
    <xf numFmtId="0" fontId="0" fillId="19" borderId="32" xfId="0" applyFill="1" applyBorder="1" applyAlignment="1">
      <alignment horizontal="left"/>
    </xf>
    <xf numFmtId="0" fontId="0" fillId="19" borderId="33" xfId="0" applyFill="1" applyBorder="1"/>
    <xf numFmtId="0" fontId="9" fillId="20" borderId="24" xfId="0" applyFont="1" applyFill="1" applyBorder="1" applyAlignment="1">
      <alignment horizontal="left"/>
    </xf>
    <xf numFmtId="10" fontId="10" fillId="19" borderId="13" xfId="0" applyNumberFormat="1" applyFont="1" applyFill="1" applyBorder="1"/>
    <xf numFmtId="0" fontId="10" fillId="13" borderId="39" xfId="0" applyFont="1" applyFill="1" applyBorder="1"/>
    <xf numFmtId="0" fontId="0" fillId="19" borderId="40" xfId="0" applyFill="1" applyBorder="1"/>
    <xf numFmtId="9" fontId="10" fillId="19" borderId="34" xfId="0" applyNumberFormat="1" applyFont="1" applyFill="1" applyBorder="1"/>
    <xf numFmtId="0" fontId="10" fillId="20" borderId="43" xfId="0" applyFont="1" applyFill="1" applyBorder="1" applyAlignment="1">
      <alignment horizontal="left"/>
    </xf>
    <xf numFmtId="0" fontId="17" fillId="20" borderId="43" xfId="0" applyFont="1" applyFill="1" applyBorder="1" applyAlignment="1">
      <alignment horizontal="left" vertical="center"/>
    </xf>
    <xf numFmtId="0" fontId="17" fillId="20" borderId="40" xfId="0" applyFont="1" applyFill="1" applyBorder="1" applyAlignment="1">
      <alignment horizontal="left" vertical="center"/>
    </xf>
    <xf numFmtId="0" fontId="0" fillId="5" borderId="5" xfId="0" applyFill="1" applyBorder="1" applyAlignment="1">
      <alignment horizontal="center" vertical="center"/>
    </xf>
    <xf numFmtId="0" fontId="0" fillId="7" borderId="22" xfId="0" applyFill="1" applyBorder="1"/>
    <xf numFmtId="0" fontId="0" fillId="5" borderId="22" xfId="0" applyFill="1" applyBorder="1"/>
    <xf numFmtId="0" fontId="0" fillId="5" borderId="12" xfId="0" applyFill="1" applyBorder="1"/>
    <xf numFmtId="0" fontId="0" fillId="8" borderId="5" xfId="0" applyFill="1" applyBorder="1" applyAlignment="1">
      <alignment horizontal="center" vertical="center"/>
    </xf>
    <xf numFmtId="0" fontId="0" fillId="8" borderId="22" xfId="0" applyFill="1" applyBorder="1" applyAlignment="1">
      <alignment horizontal="center" vertical="center"/>
    </xf>
    <xf numFmtId="9" fontId="18" fillId="0" borderId="22" xfId="2" applyBorder="1" applyAlignment="1" applyProtection="1">
      <alignment horizontal="center" vertical="center"/>
    </xf>
    <xf numFmtId="9" fontId="18" fillId="0" borderId="5" xfId="2" applyBorder="1" applyAlignment="1" applyProtection="1">
      <alignment horizontal="center" vertical="center"/>
    </xf>
    <xf numFmtId="9" fontId="0" fillId="5" borderId="5" xfId="0" applyNumberFormat="1" applyFill="1" applyBorder="1" applyAlignment="1">
      <alignment horizontal="center" vertical="center"/>
    </xf>
    <xf numFmtId="9" fontId="0" fillId="5" borderId="22" xfId="0" applyNumberFormat="1" applyFill="1" applyBorder="1" applyAlignment="1">
      <alignment horizontal="center" vertical="center"/>
    </xf>
    <xf numFmtId="0" fontId="0" fillId="13" borderId="0" xfId="0" applyFill="1" applyAlignment="1">
      <alignment horizontal="left" wrapText="1"/>
    </xf>
    <xf numFmtId="0" fontId="0" fillId="8" borderId="20" xfId="0" applyFill="1" applyBorder="1" applyAlignment="1">
      <alignment horizontal="center" vertical="center" wrapText="1"/>
    </xf>
    <xf numFmtId="0" fontId="0" fillId="5" borderId="20" xfId="0" applyFill="1" applyBorder="1" applyAlignment="1">
      <alignment horizontal="center" vertical="center" wrapText="1"/>
    </xf>
    <xf numFmtId="0" fontId="0" fillId="7" borderId="0" xfId="0" applyFill="1" applyAlignment="1">
      <alignment wrapText="1"/>
    </xf>
    <xf numFmtId="0" fontId="2" fillId="14" borderId="5" xfId="9" applyFill="1" applyBorder="1" applyAlignment="1">
      <alignment horizontal="center" vertical="center" wrapText="1"/>
    </xf>
    <xf numFmtId="0" fontId="2" fillId="14" borderId="12" xfId="9" applyFill="1" applyBorder="1" applyAlignment="1">
      <alignment horizontal="center" vertical="center" wrapText="1"/>
    </xf>
    <xf numFmtId="0" fontId="0" fillId="11" borderId="7" xfId="0" applyFill="1" applyBorder="1" applyAlignment="1">
      <alignment horizontal="left" vertical="center" wrapText="1"/>
    </xf>
    <xf numFmtId="0" fontId="9" fillId="7" borderId="12" xfId="0" applyFont="1" applyFill="1" applyBorder="1" applyAlignment="1">
      <alignment wrapText="1"/>
    </xf>
    <xf numFmtId="0" fontId="0" fillId="7" borderId="10" xfId="0" applyFill="1" applyBorder="1" applyAlignment="1">
      <alignment wrapText="1"/>
    </xf>
    <xf numFmtId="0" fontId="0" fillId="11" borderId="22" xfId="0" applyFill="1" applyBorder="1" applyAlignment="1">
      <alignment horizontal="left" vertical="center" wrapText="1"/>
    </xf>
    <xf numFmtId="0" fontId="0" fillId="11" borderId="5" xfId="0" applyFill="1" applyBorder="1" applyAlignment="1">
      <alignment horizontal="left" vertical="center" wrapText="1"/>
    </xf>
    <xf numFmtId="0" fontId="0" fillId="8" borderId="30" xfId="0" applyFill="1" applyBorder="1"/>
    <xf numFmtId="0" fontId="0" fillId="8" borderId="11" xfId="0" applyFill="1" applyBorder="1" applyAlignment="1">
      <alignment horizontal="center" vertical="center" wrapText="1"/>
    </xf>
    <xf numFmtId="0" fontId="0" fillId="8" borderId="5" xfId="0" applyFill="1" applyBorder="1" applyAlignment="1">
      <alignment horizontal="left" vertical="center" wrapText="1"/>
    </xf>
    <xf numFmtId="0" fontId="0" fillId="10" borderId="5" xfId="0" applyFill="1" applyBorder="1" applyAlignment="1">
      <alignment horizontal="left"/>
    </xf>
    <xf numFmtId="0" fontId="0" fillId="5" borderId="10" xfId="0" applyFill="1" applyBorder="1" applyAlignment="1">
      <alignment horizontal="center" vertical="center"/>
    </xf>
    <xf numFmtId="0" fontId="0" fillId="10" borderId="5" xfId="0" applyFill="1" applyBorder="1" applyAlignment="1">
      <alignment horizontal="left" vertical="center"/>
    </xf>
    <xf numFmtId="0" fontId="3" fillId="3" borderId="0" xfId="0" applyFont="1" applyFill="1" applyAlignment="1">
      <alignment horizontal="left"/>
    </xf>
    <xf numFmtId="0" fontId="15" fillId="17" borderId="31" xfId="0" applyFont="1" applyFill="1" applyBorder="1" applyAlignment="1">
      <alignment horizontal="left"/>
    </xf>
    <xf numFmtId="0" fontId="10" fillId="13" borderId="32" xfId="0" applyFont="1" applyFill="1" applyBorder="1" applyAlignment="1">
      <alignment horizontal="center" vertical="center"/>
    </xf>
    <xf numFmtId="0" fontId="0" fillId="20" borderId="13" xfId="0" applyFill="1" applyBorder="1" applyAlignment="1">
      <alignment horizontal="center"/>
    </xf>
    <xf numFmtId="0" fontId="5" fillId="20" borderId="35" xfId="0" applyFont="1" applyFill="1" applyBorder="1" applyAlignment="1">
      <alignment horizontal="left"/>
    </xf>
    <xf numFmtId="0" fontId="0" fillId="13" borderId="32" xfId="0" applyFill="1" applyBorder="1" applyAlignment="1">
      <alignment horizontal="center" vertical="center"/>
    </xf>
    <xf numFmtId="0" fontId="15" fillId="17" borderId="39" xfId="0" applyFont="1" applyFill="1" applyBorder="1" applyAlignment="1">
      <alignment horizontal="left"/>
    </xf>
    <xf numFmtId="0" fontId="15" fillId="17" borderId="24" xfId="0" applyFont="1" applyFill="1" applyBorder="1" applyAlignment="1">
      <alignment horizontal="left"/>
    </xf>
    <xf numFmtId="0" fontId="0" fillId="13" borderId="24" xfId="0" applyFill="1" applyBorder="1" applyAlignment="1">
      <alignment horizontal="center" vertical="center"/>
    </xf>
    <xf numFmtId="0" fontId="0" fillId="19" borderId="33" xfId="0" applyFill="1" applyBorder="1" applyAlignment="1">
      <alignment horizontal="center" vertical="center"/>
    </xf>
    <xf numFmtId="0" fontId="0" fillId="20" borderId="34" xfId="0" applyFill="1" applyBorder="1" applyAlignment="1">
      <alignment horizontal="center"/>
    </xf>
    <xf numFmtId="0" fontId="10" fillId="13" borderId="24" xfId="0" applyFont="1" applyFill="1" applyBorder="1" applyAlignment="1">
      <alignment horizontal="center" vertical="center"/>
    </xf>
    <xf numFmtId="0" fontId="0" fillId="20" borderId="33" xfId="0" applyFill="1" applyBorder="1" applyAlignment="1">
      <alignment horizontal="center"/>
    </xf>
    <xf numFmtId="0" fontId="15" fillId="17" borderId="35" xfId="0" applyFont="1" applyFill="1" applyBorder="1" applyAlignment="1">
      <alignment horizontal="left"/>
    </xf>
    <xf numFmtId="0" fontId="0" fillId="13" borderId="41" xfId="0" applyFill="1" applyBorder="1" applyAlignment="1">
      <alignment horizontal="left" wrapText="1"/>
    </xf>
    <xf numFmtId="0" fontId="10" fillId="13" borderId="42" xfId="0" applyFont="1" applyFill="1" applyBorder="1" applyAlignment="1">
      <alignment horizontal="center" vertical="center"/>
    </xf>
    <xf numFmtId="0" fontId="0" fillId="19" borderId="44" xfId="0" applyFill="1" applyBorder="1" applyAlignment="1">
      <alignment horizontal="center" vertical="center" wrapText="1"/>
    </xf>
    <xf numFmtId="0" fontId="0" fillId="18" borderId="5" xfId="0" applyFill="1" applyBorder="1" applyAlignment="1">
      <alignment horizontal="center"/>
    </xf>
    <xf numFmtId="0" fontId="0" fillId="19" borderId="13" xfId="0" applyFill="1" applyBorder="1" applyAlignment="1">
      <alignment horizontal="right" vertical="center"/>
    </xf>
    <xf numFmtId="0" fontId="16" fillId="20" borderId="24" xfId="0" applyFont="1" applyFill="1" applyBorder="1" applyAlignment="1">
      <alignment horizontal="center" vertical="center"/>
    </xf>
    <xf numFmtId="0" fontId="0" fillId="18" borderId="24" xfId="0" applyFill="1" applyBorder="1" applyAlignment="1">
      <alignment horizontal="center"/>
    </xf>
    <xf numFmtId="0" fontId="0" fillId="18" borderId="18" xfId="0" applyFill="1" applyBorder="1" applyAlignment="1">
      <alignment horizontal="center"/>
    </xf>
    <xf numFmtId="0" fontId="0" fillId="13" borderId="24" xfId="0" applyFill="1" applyBorder="1" applyAlignment="1">
      <alignment horizontal="left" vertical="center" wrapText="1"/>
    </xf>
    <xf numFmtId="0" fontId="0" fillId="19" borderId="13" xfId="0" applyFill="1" applyBorder="1" applyAlignment="1">
      <alignment horizontal="right" vertical="center" wrapText="1"/>
    </xf>
    <xf numFmtId="0" fontId="0" fillId="13" borderId="35" xfId="0" applyFill="1" applyBorder="1" applyAlignment="1">
      <alignment horizontal="left" wrapText="1"/>
    </xf>
    <xf numFmtId="0" fontId="0" fillId="13" borderId="24" xfId="0" applyFill="1" applyBorder="1" applyAlignment="1">
      <alignment horizontal="left" wrapText="1"/>
    </xf>
    <xf numFmtId="0" fontId="0" fillId="20" borderId="40" xfId="0" applyFill="1" applyBorder="1" applyAlignment="1">
      <alignment horizontal="center"/>
    </xf>
    <xf numFmtId="0" fontId="0" fillId="13" borderId="32" xfId="0" applyFill="1" applyBorder="1" applyAlignment="1">
      <alignment horizontal="center" vertical="center" wrapText="1"/>
    </xf>
    <xf numFmtId="0" fontId="0" fillId="20" borderId="31" xfId="0" applyFill="1" applyBorder="1" applyAlignment="1">
      <alignment horizontal="left" wrapText="1"/>
    </xf>
    <xf numFmtId="0" fontId="0" fillId="20" borderId="35" xfId="0" applyFill="1" applyBorder="1" applyAlignment="1">
      <alignment horizontal="left"/>
    </xf>
    <xf numFmtId="0" fontId="0" fillId="19" borderId="34" xfId="0" applyFill="1" applyBorder="1" applyAlignment="1">
      <alignment horizontal="center" vertical="center"/>
    </xf>
    <xf numFmtId="0" fontId="15" fillId="17" borderId="46" xfId="0" applyFont="1" applyFill="1" applyBorder="1" applyAlignment="1">
      <alignment horizontal="left"/>
    </xf>
    <xf numFmtId="0" fontId="0" fillId="18" borderId="33" xfId="0" applyFill="1" applyBorder="1" applyAlignment="1">
      <alignment horizontal="center" vertical="center"/>
    </xf>
  </cellXfs>
  <cellStyles count="10">
    <cellStyle name="Comma" xfId="1" builtinId="3"/>
    <cellStyle name="Input 2" xfId="3" xr:uid="{00000000-0005-0000-0000-000006000000}"/>
    <cellStyle name="Input 2 2" xfId="4" xr:uid="{00000000-0005-0000-0000-000007000000}"/>
    <cellStyle name="Millares 2" xfId="5" xr:uid="{00000000-0005-0000-0000-000008000000}"/>
    <cellStyle name="Normal" xfId="0" builtinId="0"/>
    <cellStyle name="Normal 2" xfId="6" xr:uid="{00000000-0005-0000-0000-000009000000}"/>
    <cellStyle name="Normal 2 2" xfId="7" xr:uid="{00000000-0005-0000-0000-00000A000000}"/>
    <cellStyle name="Normal 2 2 2" xfId="8" xr:uid="{00000000-0005-0000-0000-00000B000000}"/>
    <cellStyle name="Normal 4" xfId="9" xr:uid="{00000000-0005-0000-0000-00000C000000}"/>
    <cellStyle name="Per cent" xfId="2" builtinId="5"/>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66FF33"/>
      <rgbColor rgb="FF9C0006"/>
      <rgbColor rgb="FF008000"/>
      <rgbColor rgb="FF000080"/>
      <rgbColor rgb="FF808000"/>
      <rgbColor rgb="FF800080"/>
      <rgbColor rgb="FF008080"/>
      <rgbColor rgb="FFBFBFBF"/>
      <rgbColor rgb="FF7F7F7F"/>
      <rgbColor rgb="FFC3D69B"/>
      <rgbColor rgb="FF993366"/>
      <rgbColor rgb="FFEBF1DE"/>
      <rgbColor rgb="FFDDEBF7"/>
      <rgbColor rgb="FF660066"/>
      <rgbColor rgb="FFFDEADA"/>
      <rgbColor rgb="FF0066CC"/>
      <rgbColor rgb="FFD9D9D9"/>
      <rgbColor rgb="FF000080"/>
      <rgbColor rgb="FFFF00FF"/>
      <rgbColor rgb="FFF8F200"/>
      <rgbColor rgb="FFA2E8BD"/>
      <rgbColor rgb="FF800080"/>
      <rgbColor rgb="FF800000"/>
      <rgbColor rgb="FF008080"/>
      <rgbColor rgb="FF0000FF"/>
      <rgbColor rgb="FF00CCFF"/>
      <rgbColor rgb="FFB7DEE8"/>
      <rgbColor rgb="FFE2EFDA"/>
      <rgbColor rgb="FFFFE699"/>
      <rgbColor rgb="FF9DC3E6"/>
      <rgbColor rgb="FFFFC7CE"/>
      <rgbColor rgb="FFC9C9C9"/>
      <rgbColor rgb="FFFFCC99"/>
      <rgbColor rgb="FF3366FF"/>
      <rgbColor rgb="FF39C6DB"/>
      <rgbColor rgb="FFA9D18E"/>
      <rgbColor rgb="FFFFC000"/>
      <rgbColor rgb="FFFF9900"/>
      <rgbColor rgb="FFFF6600"/>
      <rgbColor rgb="FF666699"/>
      <rgbColor rgb="FFC4BD97"/>
      <rgbColor rgb="FF003366"/>
      <rgbColor rgb="FF00B050"/>
      <rgbColor rgb="FF003300"/>
      <rgbColor rgb="FF333300"/>
      <rgbColor rgb="FF993300"/>
      <rgbColor rgb="FF993366"/>
      <rgbColor rgb="FF3F3F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14040</xdr:colOff>
      <xdr:row>1</xdr:row>
      <xdr:rowOff>77400</xdr:rowOff>
    </xdr:to>
    <xdr:pic>
      <xdr:nvPicPr>
        <xdr:cNvPr id="2" name="Picture 2">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0"/>
          <a:ext cx="10858680" cy="829800"/>
        </a:xfrm>
        <a:prstGeom prst="rect">
          <a:avLst/>
        </a:prstGeom>
        <a:ln w="0">
          <a:noFill/>
        </a:ln>
      </xdr:spPr>
    </xdr:pic>
    <xdr:clientData/>
  </xdr:twoCellAnchor>
  <xdr:twoCellAnchor>
    <xdr:from>
      <xdr:col>0</xdr:col>
      <xdr:colOff>0</xdr:colOff>
      <xdr:row>0</xdr:row>
      <xdr:rowOff>47520</xdr:rowOff>
    </xdr:from>
    <xdr:to>
      <xdr:col>4</xdr:col>
      <xdr:colOff>93240</xdr:colOff>
      <xdr:row>0</xdr:row>
      <xdr:rowOff>531000</xdr:rowOff>
    </xdr:to>
    <xdr:sp macro="" textlink="">
      <xdr:nvSpPr>
        <xdr:cNvPr id="3" name="TextBox 3">
          <a:extLst>
            <a:ext uri="{FF2B5EF4-FFF2-40B4-BE49-F238E27FC236}">
              <a16:creationId xmlns:a16="http://schemas.microsoft.com/office/drawing/2014/main" id="{00000000-0008-0000-0000-000003000000}"/>
            </a:ext>
          </a:extLst>
        </xdr:cNvPr>
        <xdr:cNvSpPr/>
      </xdr:nvSpPr>
      <xdr:spPr>
        <a:xfrm>
          <a:off x="0" y="47520"/>
          <a:ext cx="4486320" cy="483480"/>
        </a:xfrm>
        <a:prstGeom prst="rect">
          <a:avLst/>
        </a:prstGeom>
        <a:noFill/>
        <a:ln w="9525">
          <a:noFill/>
        </a:ln>
      </xdr:spPr>
      <xdr:style>
        <a:lnRef idx="0">
          <a:scrgbClr r="0" g="0" b="0"/>
        </a:lnRef>
        <a:fillRef idx="0">
          <a:scrgbClr r="0" g="0" b="0"/>
        </a:fillRef>
        <a:effectRef idx="0">
          <a:scrgbClr r="0" g="0" b="0"/>
        </a:effectRef>
        <a:fontRef idx="minor"/>
      </xdr:style>
      <xdr:txBody>
        <a:bodyPr vertOverflow="clip" horzOverflow="clip" lIns="90000" tIns="45000" rIns="90000" bIns="45000" anchor="t">
          <a:noAutofit/>
        </a:bodyPr>
        <a:lstStyle/>
        <a:p>
          <a:pPr>
            <a:lnSpc>
              <a:spcPct val="100000"/>
            </a:lnSpc>
            <a:tabLst>
              <a:tab pos="0" algn="l"/>
            </a:tabLst>
          </a:pPr>
          <a:r>
            <a:rPr lang="en-US" sz="2600" b="1" strike="noStrike" spc="-1">
              <a:solidFill>
                <a:srgbClr val="000000"/>
              </a:solidFill>
              <a:latin typeface="Calibri"/>
              <a:ea typeface="Calibri"/>
            </a:rPr>
            <a:t>PYMEDEASCAT</a:t>
          </a:r>
          <a:endParaRPr lang="ca-ES" sz="2600" b="0" strike="noStrike" spc="-1">
            <a:latin typeface="Times New Roman"/>
          </a:endParaRPr>
        </a:p>
      </xdr:txBody>
    </xdr:sp>
    <xdr:clientData/>
  </xdr:twoCellAnchor>
</xdr:wsDr>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FF"/>
  </sheetPr>
  <dimension ref="A1:L24"/>
  <sheetViews>
    <sheetView zoomScale="85" zoomScaleNormal="85" workbookViewId="0">
      <selection activeCell="K26" sqref="K26"/>
    </sheetView>
  </sheetViews>
  <sheetFormatPr baseColWidth="10" defaultColWidth="11.5" defaultRowHeight="15" x14ac:dyDescent="0.2"/>
  <cols>
    <col min="1" max="1" width="18.33203125" customWidth="1"/>
    <col min="2" max="2" width="21.1640625" customWidth="1"/>
  </cols>
  <sheetData>
    <row r="1" spans="1:12" ht="59.25" customHeight="1" x14ac:dyDescent="0.35">
      <c r="A1" s="15"/>
      <c r="B1" s="16"/>
      <c r="C1" s="16"/>
      <c r="D1" s="16"/>
      <c r="E1" s="16"/>
      <c r="F1" s="16"/>
      <c r="G1" s="16"/>
      <c r="H1" s="16"/>
      <c r="I1" s="16"/>
      <c r="J1" s="16"/>
      <c r="K1" s="16"/>
      <c r="L1" s="16"/>
    </row>
    <row r="2" spans="1:12" ht="14.25" customHeight="1" x14ac:dyDescent="0.3">
      <c r="A2" s="17"/>
      <c r="B2" s="18"/>
      <c r="C2" s="18"/>
      <c r="D2" s="18"/>
      <c r="E2" s="18"/>
      <c r="F2" s="18"/>
      <c r="G2" s="18"/>
      <c r="H2" s="18"/>
      <c r="I2" s="18"/>
      <c r="J2" s="18"/>
      <c r="K2" s="18"/>
      <c r="L2" s="18"/>
    </row>
    <row r="3" spans="1:12" ht="18" customHeight="1" x14ac:dyDescent="0.2">
      <c r="A3" s="19" t="s">
        <v>0</v>
      </c>
      <c r="B3" s="18"/>
      <c r="C3" s="20"/>
      <c r="D3" s="18"/>
      <c r="E3" s="18"/>
      <c r="F3" s="18"/>
      <c r="G3" s="18"/>
      <c r="H3" s="18"/>
      <c r="I3" s="18"/>
      <c r="J3" s="18"/>
      <c r="K3" s="18"/>
      <c r="L3" s="18"/>
    </row>
    <row r="4" spans="1:12" x14ac:dyDescent="0.2">
      <c r="A4" s="21" t="s">
        <v>1</v>
      </c>
      <c r="B4" s="18" t="s">
        <v>2</v>
      </c>
      <c r="C4" s="20"/>
      <c r="D4" s="18"/>
      <c r="E4" s="18"/>
      <c r="F4" s="18"/>
      <c r="G4" s="18"/>
      <c r="H4" s="18"/>
      <c r="I4" s="18"/>
      <c r="J4" s="18"/>
      <c r="K4" s="18"/>
      <c r="L4" s="18"/>
    </row>
    <row r="5" spans="1:12" x14ac:dyDescent="0.2">
      <c r="A5" s="21" t="s">
        <v>3</v>
      </c>
      <c r="B5" s="18" t="s">
        <v>4</v>
      </c>
      <c r="C5" s="20"/>
      <c r="D5" s="18"/>
      <c r="E5" s="18"/>
      <c r="F5" s="18"/>
      <c r="G5" s="18"/>
      <c r="H5" s="18"/>
      <c r="I5" s="18"/>
      <c r="J5" s="18"/>
      <c r="K5" s="18"/>
      <c r="L5" s="18"/>
    </row>
    <row r="6" spans="1:12" x14ac:dyDescent="0.2">
      <c r="A6" s="18" t="s">
        <v>5</v>
      </c>
      <c r="B6" s="18" t="s">
        <v>6</v>
      </c>
      <c r="C6" s="20"/>
      <c r="D6" s="18"/>
      <c r="E6" s="18"/>
      <c r="F6" s="18"/>
      <c r="G6" s="18"/>
      <c r="H6" s="18"/>
      <c r="I6" s="18"/>
      <c r="J6" s="18"/>
      <c r="K6" s="18"/>
      <c r="L6" s="18"/>
    </row>
    <row r="7" spans="1:12" x14ac:dyDescent="0.2">
      <c r="A7" s="18"/>
      <c r="B7" s="18"/>
      <c r="C7" s="20"/>
      <c r="D7" s="18"/>
      <c r="E7" s="18"/>
      <c r="F7" s="18"/>
      <c r="G7" s="18"/>
      <c r="H7" s="18"/>
      <c r="I7" s="18"/>
      <c r="J7" s="18"/>
      <c r="K7" s="18"/>
      <c r="L7" s="18"/>
    </row>
    <row r="8" spans="1:12" x14ac:dyDescent="0.2">
      <c r="A8" s="18" t="s">
        <v>7</v>
      </c>
      <c r="B8" s="18" t="s">
        <v>8</v>
      </c>
      <c r="C8" s="20"/>
      <c r="D8" s="18"/>
      <c r="E8" s="18"/>
      <c r="F8" s="18"/>
      <c r="G8" s="18"/>
      <c r="H8" s="18"/>
      <c r="I8" s="18"/>
      <c r="J8" s="18"/>
      <c r="K8" s="18"/>
      <c r="L8" s="18"/>
    </row>
    <row r="9" spans="1:12" x14ac:dyDescent="0.2">
      <c r="A9" s="18" t="s">
        <v>9</v>
      </c>
      <c r="B9" s="18" t="s">
        <v>10</v>
      </c>
      <c r="C9" s="20"/>
      <c r="D9" s="18"/>
      <c r="E9" s="18"/>
      <c r="F9" s="18"/>
      <c r="G9" s="18"/>
      <c r="H9" s="18"/>
      <c r="I9" s="18"/>
      <c r="J9" s="18"/>
      <c r="K9" s="18"/>
      <c r="L9" s="18"/>
    </row>
    <row r="10" spans="1:12" x14ac:dyDescent="0.2">
      <c r="A10" s="18" t="s">
        <v>11</v>
      </c>
      <c r="B10" s="22">
        <v>44805</v>
      </c>
      <c r="C10" s="18"/>
      <c r="D10" s="18"/>
      <c r="E10" s="18"/>
      <c r="F10" s="18"/>
      <c r="G10" s="18"/>
      <c r="H10" s="18"/>
      <c r="I10" s="18"/>
      <c r="J10" s="18"/>
      <c r="K10" s="18"/>
      <c r="L10" s="18"/>
    </row>
    <row r="11" spans="1:12" x14ac:dyDescent="0.2">
      <c r="A11" s="18" t="s">
        <v>12</v>
      </c>
      <c r="B11" s="18"/>
      <c r="C11" s="18"/>
      <c r="D11" s="18"/>
      <c r="E11" s="18"/>
      <c r="F11" s="18"/>
      <c r="G11" s="18"/>
      <c r="H11" s="18"/>
      <c r="I11" s="18"/>
      <c r="J11" s="18"/>
      <c r="K11" s="18"/>
      <c r="L11" s="18"/>
    </row>
    <row r="12" spans="1:12" x14ac:dyDescent="0.2">
      <c r="A12" s="18"/>
      <c r="B12" s="18"/>
      <c r="C12" s="18"/>
      <c r="D12" s="18"/>
      <c r="E12" s="18"/>
      <c r="F12" s="18"/>
      <c r="G12" s="18"/>
      <c r="H12" s="18"/>
      <c r="I12" s="18"/>
      <c r="J12" s="18"/>
      <c r="K12" s="18"/>
      <c r="L12" s="18"/>
    </row>
    <row r="13" spans="1:12" ht="16" x14ac:dyDescent="0.2">
      <c r="A13" s="19" t="s">
        <v>13</v>
      </c>
      <c r="B13" s="18"/>
      <c r="C13" s="18"/>
      <c r="D13" s="18"/>
      <c r="E13" s="18"/>
      <c r="F13" s="18"/>
      <c r="G13" s="18"/>
      <c r="H13" s="18"/>
      <c r="I13" s="18"/>
      <c r="J13" s="18"/>
      <c r="K13" s="18"/>
      <c r="L13" s="18"/>
    </row>
    <row r="14" spans="1:12" x14ac:dyDescent="0.2">
      <c r="A14" s="18" t="s">
        <v>14</v>
      </c>
      <c r="B14" s="18"/>
      <c r="C14" s="18"/>
      <c r="D14" s="18"/>
      <c r="E14" s="18"/>
      <c r="F14" s="18"/>
      <c r="G14" s="18"/>
      <c r="H14" s="18"/>
      <c r="I14" s="18"/>
      <c r="J14" s="18"/>
      <c r="K14" s="18"/>
      <c r="L14" s="18"/>
    </row>
    <row r="15" spans="1:12" x14ac:dyDescent="0.2">
      <c r="A15" s="18" t="s">
        <v>15</v>
      </c>
      <c r="B15" s="18"/>
      <c r="C15" s="18"/>
      <c r="D15" s="18"/>
      <c r="E15" s="18"/>
      <c r="F15" s="18"/>
      <c r="G15" s="18"/>
      <c r="H15" s="18"/>
      <c r="I15" s="18"/>
      <c r="J15" s="18"/>
      <c r="K15" s="18"/>
      <c r="L15" s="18"/>
    </row>
    <row r="16" spans="1:12" x14ac:dyDescent="0.2">
      <c r="A16" s="18" t="s">
        <v>16</v>
      </c>
      <c r="B16" s="18"/>
      <c r="C16" s="18"/>
      <c r="D16" s="18"/>
      <c r="E16" s="18"/>
      <c r="F16" s="18"/>
      <c r="G16" s="18"/>
      <c r="H16" s="18"/>
      <c r="I16" s="18"/>
      <c r="J16" s="18"/>
      <c r="K16" s="18"/>
      <c r="L16" s="18"/>
    </row>
    <row r="17" spans="1:12" x14ac:dyDescent="0.2">
      <c r="A17" s="18" t="s">
        <v>17</v>
      </c>
      <c r="B17" s="18"/>
      <c r="C17" s="18"/>
      <c r="D17" s="18"/>
      <c r="E17" s="18"/>
      <c r="F17" s="18"/>
      <c r="G17" s="18"/>
      <c r="H17" s="18"/>
      <c r="I17" s="18"/>
      <c r="J17" s="18"/>
      <c r="K17" s="18"/>
      <c r="L17" s="18"/>
    </row>
    <row r="18" spans="1:12" x14ac:dyDescent="0.2">
      <c r="A18" s="18"/>
      <c r="B18" s="18"/>
      <c r="C18" s="18"/>
      <c r="D18" s="18"/>
      <c r="E18" s="18"/>
      <c r="F18" s="18"/>
      <c r="G18" s="18"/>
      <c r="H18" s="18"/>
      <c r="I18" s="18"/>
      <c r="J18" s="18"/>
      <c r="K18" s="18"/>
      <c r="L18" s="23"/>
    </row>
    <row r="19" spans="1:12" ht="16" x14ac:dyDescent="0.2">
      <c r="A19" s="19" t="s">
        <v>18</v>
      </c>
      <c r="B19" s="18"/>
      <c r="C19" s="18"/>
      <c r="D19" s="18"/>
      <c r="E19" s="18"/>
      <c r="F19" s="18"/>
      <c r="G19" s="18"/>
      <c r="H19" s="18"/>
      <c r="I19" s="18"/>
      <c r="J19" s="18"/>
      <c r="K19" s="18"/>
      <c r="L19" s="18"/>
    </row>
    <row r="20" spans="1:12" x14ac:dyDescent="0.2">
      <c r="A20" s="18" t="s">
        <v>19</v>
      </c>
      <c r="B20" s="18" t="s">
        <v>20</v>
      </c>
      <c r="C20" s="18"/>
      <c r="D20" s="18"/>
      <c r="E20" s="18"/>
      <c r="F20" s="18"/>
      <c r="G20" s="18"/>
      <c r="H20" s="18"/>
      <c r="I20" s="18"/>
      <c r="J20" s="18"/>
      <c r="K20" s="18"/>
      <c r="L20" s="18"/>
    </row>
    <row r="21" spans="1:12" x14ac:dyDescent="0.2">
      <c r="A21" s="18" t="s">
        <v>21</v>
      </c>
      <c r="B21" s="18" t="s">
        <v>22</v>
      </c>
      <c r="C21" s="18"/>
      <c r="D21" s="18"/>
      <c r="E21" s="18"/>
      <c r="F21" s="18"/>
      <c r="G21" s="18"/>
      <c r="H21" s="18"/>
      <c r="I21" s="18"/>
      <c r="J21" s="18"/>
      <c r="K21" s="18"/>
      <c r="L21" s="18"/>
    </row>
    <row r="22" spans="1:12" x14ac:dyDescent="0.2">
      <c r="A22" s="18" t="s">
        <v>23</v>
      </c>
      <c r="B22" s="18" t="s">
        <v>24</v>
      </c>
      <c r="C22" s="18"/>
      <c r="D22" s="18"/>
      <c r="E22" s="18"/>
      <c r="F22" s="18"/>
      <c r="G22" s="18"/>
      <c r="H22" s="18"/>
      <c r="I22" s="18"/>
      <c r="J22" s="18"/>
      <c r="K22" s="18"/>
      <c r="L22" s="18"/>
    </row>
    <row r="23" spans="1:12" x14ac:dyDescent="0.2">
      <c r="A23" s="18"/>
      <c r="B23" s="18"/>
      <c r="C23" s="18"/>
      <c r="D23" s="18"/>
      <c r="E23" s="18"/>
      <c r="F23" s="18"/>
      <c r="G23" s="18"/>
      <c r="H23" s="18"/>
      <c r="I23" s="18"/>
      <c r="J23" s="18"/>
      <c r="K23" s="18"/>
      <c r="L23" s="18"/>
    </row>
    <row r="24" spans="1:12" x14ac:dyDescent="0.2">
      <c r="A24" s="24"/>
      <c r="B24" s="24"/>
      <c r="C24" s="24"/>
      <c r="D24" s="24"/>
      <c r="E24" s="24"/>
      <c r="F24" s="24"/>
      <c r="G24" s="24"/>
      <c r="H24" s="24"/>
      <c r="I24" s="24"/>
      <c r="J24" s="24"/>
      <c r="K24" s="24"/>
      <c r="L24" s="24"/>
    </row>
  </sheetData>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E699"/>
  </sheetPr>
  <dimension ref="A1:FY327"/>
  <sheetViews>
    <sheetView topLeftCell="A273" zoomScale="70" zoomScaleNormal="70" workbookViewId="0">
      <selection activeCell="C287" sqref="C287"/>
    </sheetView>
  </sheetViews>
  <sheetFormatPr baseColWidth="10" defaultColWidth="11.5" defaultRowHeight="15" x14ac:dyDescent="0.2"/>
  <cols>
    <col min="1" max="1" width="44.83203125" customWidth="1"/>
    <col min="2" max="2" width="35.33203125" customWidth="1"/>
    <col min="3" max="3" width="80" customWidth="1"/>
    <col min="4" max="4" width="56.6640625" customWidth="1"/>
    <col min="5" max="5" width="39.5" customWidth="1"/>
    <col min="6" max="6" width="68.5" customWidth="1"/>
    <col min="7" max="7" width="34.33203125" customWidth="1"/>
    <col min="8" max="8" width="32.5" customWidth="1"/>
    <col min="9" max="9" width="20.33203125" customWidth="1"/>
    <col min="17" max="17" width="35.5" customWidth="1"/>
  </cols>
  <sheetData>
    <row r="1" spans="1:91" ht="31" x14ac:dyDescent="0.35">
      <c r="A1" s="25" t="s">
        <v>25</v>
      </c>
      <c r="B1" s="26"/>
      <c r="C1" s="27"/>
      <c r="D1" s="27"/>
    </row>
    <row r="2" spans="1:91" x14ac:dyDescent="0.2">
      <c r="A2" s="28" t="s">
        <v>26</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30"/>
    </row>
    <row r="3" spans="1:91" x14ac:dyDescent="0.2">
      <c r="A3" s="31" t="s">
        <v>27</v>
      </c>
      <c r="B3" t="s">
        <v>28</v>
      </c>
      <c r="C3" s="32" t="s">
        <v>29</v>
      </c>
      <c r="D3" s="33" t="s">
        <v>30</v>
      </c>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4"/>
      <c r="AW3" s="34"/>
      <c r="AX3" s="34"/>
      <c r="AY3" s="34"/>
      <c r="AZ3" s="34"/>
      <c r="BA3" s="34"/>
      <c r="BB3" s="34"/>
      <c r="BC3" s="34"/>
      <c r="BD3" s="34"/>
      <c r="BE3" s="34"/>
      <c r="BF3" s="34"/>
      <c r="BG3" s="34"/>
      <c r="BH3" s="34"/>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5"/>
      <c r="CJ3" s="35"/>
      <c r="CK3" s="35"/>
      <c r="CL3" s="36"/>
    </row>
    <row r="4" spans="1:91" x14ac:dyDescent="0.2">
      <c r="A4" s="14" t="s">
        <v>31</v>
      </c>
      <c r="B4" s="13" t="s">
        <v>32</v>
      </c>
      <c r="C4" s="37" t="s">
        <v>33</v>
      </c>
      <c r="D4" s="38" t="s">
        <v>34</v>
      </c>
    </row>
    <row r="5" spans="1:91" x14ac:dyDescent="0.2">
      <c r="A5" s="14"/>
      <c r="B5" s="13"/>
      <c r="C5" s="12" t="s">
        <v>35</v>
      </c>
      <c r="D5" s="40" t="s">
        <v>36</v>
      </c>
      <c r="E5" s="41">
        <v>2015</v>
      </c>
      <c r="F5" s="41">
        <v>2016</v>
      </c>
      <c r="G5" s="41">
        <v>2017</v>
      </c>
      <c r="H5" s="41">
        <v>2018</v>
      </c>
      <c r="I5" s="41">
        <v>2019</v>
      </c>
      <c r="J5" s="41">
        <v>2020</v>
      </c>
      <c r="K5" s="41">
        <v>2021</v>
      </c>
      <c r="L5" s="41">
        <v>2022</v>
      </c>
      <c r="M5" s="41">
        <v>2023</v>
      </c>
      <c r="N5" s="41">
        <v>2024</v>
      </c>
      <c r="O5" s="41">
        <v>2025</v>
      </c>
      <c r="P5" s="41">
        <v>2026</v>
      </c>
      <c r="Q5" s="41">
        <v>2027</v>
      </c>
      <c r="R5" s="41">
        <v>2028</v>
      </c>
      <c r="S5" s="41">
        <v>2029</v>
      </c>
      <c r="T5" s="41">
        <v>2030</v>
      </c>
      <c r="U5" s="41">
        <v>2031</v>
      </c>
      <c r="V5" s="41">
        <v>2032</v>
      </c>
      <c r="W5" s="41">
        <v>2033</v>
      </c>
      <c r="X5" s="41">
        <v>2034</v>
      </c>
      <c r="Y5" s="41">
        <v>2035</v>
      </c>
      <c r="Z5" s="41">
        <v>2036</v>
      </c>
      <c r="AA5" s="41">
        <v>2037</v>
      </c>
      <c r="AB5" s="41">
        <v>2038</v>
      </c>
      <c r="AC5" s="41">
        <v>2039</v>
      </c>
      <c r="AD5" s="41">
        <v>2040</v>
      </c>
      <c r="AE5" s="41">
        <v>2041</v>
      </c>
      <c r="AF5" s="41">
        <v>2042</v>
      </c>
      <c r="AG5" s="41">
        <v>2043</v>
      </c>
      <c r="AH5" s="41">
        <v>2044</v>
      </c>
      <c r="AI5" s="41">
        <v>2045</v>
      </c>
      <c r="AJ5" s="41">
        <v>2046</v>
      </c>
      <c r="AK5" s="41">
        <v>2047</v>
      </c>
      <c r="AL5" s="41">
        <v>2048</v>
      </c>
      <c r="AM5" s="41">
        <v>2049</v>
      </c>
      <c r="AN5" s="41">
        <v>2050</v>
      </c>
      <c r="AO5" s="41">
        <v>2051</v>
      </c>
      <c r="AP5" s="41">
        <v>2052</v>
      </c>
      <c r="AQ5" s="41">
        <v>2053</v>
      </c>
      <c r="AR5" s="41">
        <v>2054</v>
      </c>
      <c r="AS5" s="41">
        <v>2055</v>
      </c>
      <c r="AT5" s="41">
        <v>2056</v>
      </c>
      <c r="AU5" s="41">
        <v>2057</v>
      </c>
      <c r="AV5" s="41">
        <v>2058</v>
      </c>
      <c r="AW5" s="41">
        <v>2059</v>
      </c>
      <c r="AX5" s="41">
        <v>2060</v>
      </c>
      <c r="AY5" s="41">
        <v>2061</v>
      </c>
      <c r="AZ5" s="41">
        <v>2062</v>
      </c>
      <c r="BA5" s="41">
        <v>2063</v>
      </c>
      <c r="BB5" s="41">
        <v>2064</v>
      </c>
      <c r="BC5" s="41">
        <v>2065</v>
      </c>
      <c r="BD5" s="41">
        <v>2066</v>
      </c>
      <c r="BE5" s="41">
        <v>2067</v>
      </c>
      <c r="BF5" s="41">
        <v>2068</v>
      </c>
      <c r="BG5" s="41">
        <v>2069</v>
      </c>
      <c r="BH5" s="41">
        <v>2070</v>
      </c>
      <c r="BI5" s="41">
        <v>2071</v>
      </c>
      <c r="BJ5" s="41">
        <v>2072</v>
      </c>
      <c r="BK5" s="41">
        <v>2073</v>
      </c>
      <c r="BL5" s="41">
        <v>2074</v>
      </c>
      <c r="BM5" s="41">
        <v>2075</v>
      </c>
      <c r="BN5" s="41">
        <v>2076</v>
      </c>
      <c r="BO5" s="41">
        <v>2077</v>
      </c>
      <c r="BP5" s="41">
        <v>2078</v>
      </c>
      <c r="BQ5" s="41">
        <v>2079</v>
      </c>
      <c r="BR5" s="41">
        <v>2080</v>
      </c>
      <c r="BS5" s="41">
        <v>2081</v>
      </c>
      <c r="BT5" s="41">
        <v>2082</v>
      </c>
      <c r="BU5" s="41">
        <v>2083</v>
      </c>
      <c r="BV5" s="41">
        <v>2084</v>
      </c>
      <c r="BW5" s="41">
        <v>2085</v>
      </c>
      <c r="BX5" s="41">
        <v>2086</v>
      </c>
      <c r="BY5" s="41">
        <v>2087</v>
      </c>
      <c r="BZ5" s="41">
        <v>2088</v>
      </c>
      <c r="CA5" s="41">
        <v>2089</v>
      </c>
      <c r="CB5" s="41">
        <v>2090</v>
      </c>
      <c r="CC5" s="41">
        <v>2091</v>
      </c>
      <c r="CD5" s="41">
        <v>2092</v>
      </c>
      <c r="CE5" s="41">
        <v>2093</v>
      </c>
      <c r="CF5" s="41">
        <v>2094</v>
      </c>
      <c r="CG5" s="41">
        <v>2095</v>
      </c>
      <c r="CH5" s="41">
        <v>2096</v>
      </c>
      <c r="CI5" s="41">
        <v>2097</v>
      </c>
      <c r="CJ5" s="41">
        <v>2098</v>
      </c>
      <c r="CK5" s="41">
        <v>2099</v>
      </c>
      <c r="CL5" s="41">
        <v>2100</v>
      </c>
    </row>
    <row r="6" spans="1:91" x14ac:dyDescent="0.2">
      <c r="A6" s="14"/>
      <c r="B6" s="13"/>
      <c r="C6" s="12"/>
      <c r="D6" s="40" t="s">
        <v>37</v>
      </c>
      <c r="E6" s="42" t="s">
        <v>38</v>
      </c>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c r="BR6" s="42"/>
      <c r="BS6" s="42"/>
      <c r="BT6" s="42"/>
      <c r="BU6" s="42"/>
      <c r="BV6" s="42"/>
      <c r="BW6" s="42"/>
      <c r="BX6" s="42"/>
      <c r="BY6" s="42"/>
      <c r="BZ6" s="42"/>
      <c r="CA6" s="42"/>
      <c r="CB6" s="42"/>
      <c r="CC6" s="42"/>
      <c r="CD6" s="42"/>
      <c r="CE6" s="42"/>
      <c r="CF6" s="42"/>
      <c r="CG6" s="42"/>
      <c r="CH6" s="42"/>
      <c r="CI6" s="42"/>
      <c r="CJ6" s="42"/>
      <c r="CK6" s="42"/>
      <c r="CL6" s="42"/>
    </row>
    <row r="7" spans="1:91" x14ac:dyDescent="0.2">
      <c r="A7" s="14"/>
      <c r="B7" s="13"/>
      <c r="C7" s="39" t="s">
        <v>39</v>
      </c>
      <c r="D7" s="11" t="s">
        <v>40</v>
      </c>
      <c r="E7" s="10" t="s">
        <v>41</v>
      </c>
      <c r="F7" s="31" t="s">
        <v>42</v>
      </c>
      <c r="G7" s="38" t="s">
        <v>43</v>
      </c>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row>
    <row r="8" spans="1:91" x14ac:dyDescent="0.2">
      <c r="A8" s="14"/>
      <c r="B8" s="13"/>
      <c r="C8" s="43" t="s">
        <v>44</v>
      </c>
      <c r="D8" s="11"/>
      <c r="E8" s="10"/>
      <c r="F8" s="31" t="s">
        <v>45</v>
      </c>
      <c r="G8" s="38" t="s">
        <v>46</v>
      </c>
      <c r="H8" s="31" t="s">
        <v>47</v>
      </c>
      <c r="I8" s="32" t="s">
        <v>47</v>
      </c>
    </row>
    <row r="10" spans="1:91" x14ac:dyDescent="0.2">
      <c r="A10" s="44" t="s">
        <v>48</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c r="CE10" s="29"/>
      <c r="CF10" s="29"/>
      <c r="CG10" s="29"/>
      <c r="CH10" s="29"/>
      <c r="CI10" s="29"/>
      <c r="CJ10" s="29"/>
      <c r="CK10" s="29"/>
      <c r="CL10" s="30"/>
    </row>
    <row r="11" spans="1:91" x14ac:dyDescent="0.2">
      <c r="A11" s="9" t="s">
        <v>49</v>
      </c>
      <c r="B11" s="8" t="s">
        <v>50</v>
      </c>
      <c r="C11" s="45" t="s">
        <v>51</v>
      </c>
      <c r="D11" s="38" t="s">
        <v>52</v>
      </c>
      <c r="E11" s="27"/>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c r="BU11" s="27"/>
      <c r="BV11" s="27"/>
      <c r="BW11" s="27"/>
      <c r="BX11" s="27"/>
      <c r="BY11" s="27"/>
      <c r="BZ11" s="27"/>
      <c r="CA11" s="27"/>
      <c r="CB11" s="27"/>
      <c r="CC11" s="27"/>
      <c r="CD11" s="27"/>
      <c r="CE11" s="27"/>
      <c r="CF11" s="27"/>
      <c r="CG11" s="27"/>
      <c r="CH11" s="27"/>
      <c r="CI11" s="27"/>
      <c r="CJ11" s="27"/>
      <c r="CK11" s="27"/>
      <c r="CL11" s="46"/>
    </row>
    <row r="12" spans="1:91" x14ac:dyDescent="0.2">
      <c r="A12" s="9"/>
      <c r="B12" s="8"/>
      <c r="C12" s="12" t="s">
        <v>35</v>
      </c>
      <c r="D12" s="40" t="s">
        <v>36</v>
      </c>
      <c r="E12" s="41">
        <v>2015</v>
      </c>
      <c r="F12" s="41">
        <v>2016</v>
      </c>
      <c r="G12" s="41">
        <v>2017</v>
      </c>
      <c r="H12" s="41">
        <v>2018</v>
      </c>
      <c r="I12" s="41">
        <v>2019</v>
      </c>
      <c r="J12" s="41">
        <v>2020</v>
      </c>
      <c r="K12" s="41">
        <v>2021</v>
      </c>
      <c r="L12" s="41">
        <v>2022</v>
      </c>
      <c r="M12" s="41">
        <v>2023</v>
      </c>
      <c r="N12" s="41">
        <v>2024</v>
      </c>
      <c r="O12" s="41">
        <v>2025</v>
      </c>
      <c r="P12" s="41">
        <v>2026</v>
      </c>
      <c r="Q12" s="41">
        <v>2027</v>
      </c>
      <c r="R12" s="41">
        <v>2028</v>
      </c>
      <c r="S12" s="41">
        <v>2029</v>
      </c>
      <c r="T12" s="41">
        <v>2030</v>
      </c>
      <c r="U12" s="41">
        <v>2031</v>
      </c>
      <c r="V12" s="41">
        <v>2032</v>
      </c>
      <c r="W12" s="41">
        <v>2033</v>
      </c>
      <c r="X12" s="41">
        <v>2034</v>
      </c>
      <c r="Y12" s="41">
        <v>2035</v>
      </c>
      <c r="Z12" s="41">
        <v>2036</v>
      </c>
      <c r="AA12" s="41">
        <v>2037</v>
      </c>
      <c r="AB12" s="41">
        <v>2038</v>
      </c>
      <c r="AC12" s="41">
        <v>2039</v>
      </c>
      <c r="AD12" s="41">
        <v>2040</v>
      </c>
      <c r="AE12" s="41">
        <v>2041</v>
      </c>
      <c r="AF12" s="41">
        <v>2042</v>
      </c>
      <c r="AG12" s="41">
        <v>2043</v>
      </c>
      <c r="AH12" s="41">
        <v>2044</v>
      </c>
      <c r="AI12" s="41">
        <v>2045</v>
      </c>
      <c r="AJ12" s="41">
        <v>2046</v>
      </c>
      <c r="AK12" s="41">
        <v>2047</v>
      </c>
      <c r="AL12" s="41">
        <v>2048</v>
      </c>
      <c r="AM12" s="41">
        <v>2049</v>
      </c>
      <c r="AN12" s="41">
        <v>2050</v>
      </c>
      <c r="AO12" s="41">
        <v>2051</v>
      </c>
      <c r="AP12" s="41">
        <v>2052</v>
      </c>
      <c r="AQ12" s="41">
        <v>2053</v>
      </c>
      <c r="AR12" s="41">
        <v>2054</v>
      </c>
      <c r="AS12" s="41">
        <v>2055</v>
      </c>
      <c r="AT12" s="41">
        <v>2056</v>
      </c>
      <c r="AU12" s="41">
        <v>2057</v>
      </c>
      <c r="AV12" s="41">
        <v>2058</v>
      </c>
      <c r="AW12" s="41">
        <v>2059</v>
      </c>
      <c r="AX12" s="41">
        <v>2060</v>
      </c>
      <c r="AY12" s="41">
        <v>2061</v>
      </c>
      <c r="AZ12" s="41">
        <v>2062</v>
      </c>
      <c r="BA12" s="41">
        <v>2063</v>
      </c>
      <c r="BB12" s="41">
        <v>2064</v>
      </c>
      <c r="BC12" s="41">
        <v>2065</v>
      </c>
      <c r="BD12" s="41">
        <v>2066</v>
      </c>
      <c r="BE12" s="41">
        <v>2067</v>
      </c>
      <c r="BF12" s="41">
        <v>2068</v>
      </c>
      <c r="BG12" s="41">
        <v>2069</v>
      </c>
      <c r="BH12" s="41">
        <v>2070</v>
      </c>
      <c r="BI12" s="41">
        <v>2071</v>
      </c>
      <c r="BJ12" s="41">
        <v>2072</v>
      </c>
      <c r="BK12" s="41">
        <v>2073</v>
      </c>
      <c r="BL12" s="41">
        <v>2074</v>
      </c>
      <c r="BM12" s="41">
        <v>2075</v>
      </c>
      <c r="BN12" s="41">
        <v>2076</v>
      </c>
      <c r="BO12" s="41">
        <v>2077</v>
      </c>
      <c r="BP12" s="41">
        <v>2078</v>
      </c>
      <c r="BQ12" s="41">
        <v>2079</v>
      </c>
      <c r="BR12" s="41">
        <v>2080</v>
      </c>
      <c r="BS12" s="41">
        <v>2081</v>
      </c>
      <c r="BT12" s="41">
        <v>2082</v>
      </c>
      <c r="BU12" s="41">
        <v>2083</v>
      </c>
      <c r="BV12" s="41">
        <v>2084</v>
      </c>
      <c r="BW12" s="41">
        <v>2085</v>
      </c>
      <c r="BX12" s="41">
        <v>2086</v>
      </c>
      <c r="BY12" s="41">
        <v>2087</v>
      </c>
      <c r="BZ12" s="41">
        <v>2088</v>
      </c>
      <c r="CA12" s="41">
        <v>2089</v>
      </c>
      <c r="CB12" s="41">
        <v>2090</v>
      </c>
      <c r="CC12" s="41">
        <v>2091</v>
      </c>
      <c r="CD12" s="41">
        <v>2092</v>
      </c>
      <c r="CE12" s="41">
        <v>2093</v>
      </c>
      <c r="CF12" s="41">
        <v>2094</v>
      </c>
      <c r="CG12" s="41">
        <v>2095</v>
      </c>
      <c r="CH12" s="41">
        <v>2096</v>
      </c>
      <c r="CI12" s="41">
        <v>2097</v>
      </c>
      <c r="CJ12" s="41">
        <v>2098</v>
      </c>
      <c r="CK12" s="41">
        <v>2099</v>
      </c>
      <c r="CL12" s="47">
        <v>2100</v>
      </c>
      <c r="CM12" s="48">
        <v>2101</v>
      </c>
    </row>
    <row r="13" spans="1:91" x14ac:dyDescent="0.2">
      <c r="A13" s="9"/>
      <c r="B13" s="8"/>
      <c r="C13" s="12"/>
      <c r="D13" s="40" t="s">
        <v>37</v>
      </c>
      <c r="E13" s="42" t="s">
        <v>53</v>
      </c>
      <c r="F13" s="42"/>
      <c r="G13" s="42"/>
      <c r="H13" s="42"/>
      <c r="I13" s="42"/>
      <c r="J13" s="42"/>
      <c r="K13" s="42"/>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42"/>
      <c r="BL13" s="42"/>
      <c r="BM13" s="42"/>
      <c r="BN13" s="42"/>
      <c r="BO13" s="42"/>
      <c r="BP13" s="42"/>
      <c r="BQ13" s="42"/>
      <c r="BR13" s="42"/>
      <c r="BS13" s="42"/>
      <c r="BT13" s="42"/>
      <c r="BU13" s="42"/>
      <c r="BV13" s="42"/>
      <c r="BW13" s="42"/>
      <c r="BX13" s="42"/>
      <c r="BY13" s="42"/>
      <c r="BZ13" s="42"/>
      <c r="CA13" s="42"/>
      <c r="CB13" s="42"/>
      <c r="CC13" s="42"/>
      <c r="CD13" s="42"/>
      <c r="CE13" s="42"/>
      <c r="CF13" s="42"/>
      <c r="CG13" s="42"/>
      <c r="CH13" s="42"/>
      <c r="CI13" s="42"/>
      <c r="CJ13" s="42"/>
      <c r="CK13" s="42"/>
      <c r="CL13" s="49"/>
      <c r="CM13" s="50"/>
    </row>
    <row r="14" spans="1:91" x14ac:dyDescent="0.2">
      <c r="A14" s="9"/>
      <c r="B14" s="8"/>
      <c r="C14" s="39" t="s">
        <v>39</v>
      </c>
      <c r="D14" s="7" t="s">
        <v>40</v>
      </c>
      <c r="E14" s="10" t="s">
        <v>54</v>
      </c>
      <c r="F14" s="31" t="s">
        <v>42</v>
      </c>
      <c r="G14" s="38" t="s">
        <v>55</v>
      </c>
    </row>
    <row r="15" spans="1:91" x14ac:dyDescent="0.2">
      <c r="A15" s="9"/>
      <c r="B15" s="8"/>
      <c r="C15" s="39" t="s">
        <v>44</v>
      </c>
      <c r="D15" s="7"/>
      <c r="E15" s="10"/>
      <c r="F15" s="31" t="s">
        <v>56</v>
      </c>
      <c r="G15" s="38" t="s">
        <v>57</v>
      </c>
      <c r="H15" s="31" t="s">
        <v>47</v>
      </c>
      <c r="I15" s="32" t="s">
        <v>47</v>
      </c>
    </row>
    <row r="16" spans="1:91" x14ac:dyDescent="0.2">
      <c r="A16" s="51"/>
      <c r="C16" s="52"/>
      <c r="D16" s="51"/>
    </row>
    <row r="17" spans="1:90" x14ac:dyDescent="0.2">
      <c r="A17" s="51"/>
      <c r="C17" s="52"/>
      <c r="D17" s="51"/>
    </row>
    <row r="18" spans="1:90" x14ac:dyDescent="0.2">
      <c r="A18" s="53" t="s">
        <v>58</v>
      </c>
      <c r="B18" s="54"/>
      <c r="C18" s="55"/>
      <c r="D18" s="55"/>
      <c r="E18" s="55"/>
      <c r="F18" s="55"/>
      <c r="G18" s="55"/>
      <c r="H18" s="54"/>
      <c r="I18" s="54"/>
      <c r="J18" s="54"/>
      <c r="K18" s="54"/>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54"/>
      <c r="AN18" s="54"/>
      <c r="AO18" s="54"/>
      <c r="AP18" s="54"/>
      <c r="AQ18" s="54"/>
      <c r="AR18" s="54"/>
      <c r="AS18" s="54"/>
      <c r="AT18" s="54"/>
      <c r="AU18" s="54"/>
      <c r="AV18" s="54"/>
      <c r="AW18" s="54"/>
      <c r="AX18" s="54"/>
      <c r="AY18" s="54"/>
      <c r="AZ18" s="54"/>
      <c r="BA18" s="54"/>
      <c r="BB18" s="54"/>
      <c r="BC18" s="54"/>
      <c r="BD18" s="54"/>
      <c r="BE18" s="54"/>
      <c r="BF18" s="54"/>
      <c r="BG18" s="54"/>
      <c r="BH18" s="54"/>
      <c r="BI18" s="54"/>
      <c r="BJ18" s="54"/>
      <c r="BK18" s="54"/>
      <c r="BL18" s="54"/>
      <c r="BM18" s="54"/>
      <c r="BN18" s="54"/>
      <c r="BO18" s="54"/>
      <c r="BP18" s="54"/>
      <c r="BQ18" s="54"/>
      <c r="BR18" s="54"/>
      <c r="BS18" s="54"/>
      <c r="BT18" s="54"/>
      <c r="BU18" s="54"/>
      <c r="BV18" s="54"/>
      <c r="BW18" s="54"/>
      <c r="BX18" s="54"/>
      <c r="BY18" s="54"/>
      <c r="BZ18" s="54"/>
      <c r="CA18" s="54"/>
      <c r="CB18" s="54"/>
      <c r="CC18" s="54"/>
      <c r="CD18" s="54"/>
      <c r="CE18" s="54"/>
      <c r="CF18" s="54"/>
      <c r="CG18" s="54"/>
      <c r="CH18" s="54"/>
      <c r="CI18" s="54"/>
      <c r="CJ18" s="54"/>
      <c r="CK18" s="54"/>
      <c r="CL18" s="56"/>
    </row>
    <row r="19" spans="1:90" ht="14.25" customHeight="1" x14ac:dyDescent="0.2">
      <c r="A19" s="6" t="s">
        <v>59</v>
      </c>
      <c r="B19" s="5" t="s">
        <v>60</v>
      </c>
      <c r="C19" s="5"/>
      <c r="D19" s="4" t="s">
        <v>61</v>
      </c>
      <c r="G19" s="58"/>
      <c r="L19" s="59"/>
      <c r="CL19" s="60"/>
    </row>
    <row r="20" spans="1:90" x14ac:dyDescent="0.2">
      <c r="A20" s="6"/>
      <c r="B20" s="5" t="s">
        <v>62</v>
      </c>
      <c r="C20" s="5"/>
      <c r="D20" s="4"/>
      <c r="G20" s="58"/>
      <c r="L20" s="61"/>
      <c r="CL20" s="60"/>
    </row>
    <row r="21" spans="1:90" x14ac:dyDescent="0.2">
      <c r="A21" s="6"/>
      <c r="B21" s="5" t="s">
        <v>63</v>
      </c>
      <c r="C21" s="5"/>
      <c r="D21" s="4"/>
      <c r="G21" s="58"/>
      <c r="L21" s="61"/>
      <c r="CL21" s="60"/>
    </row>
    <row r="22" spans="1:90" x14ac:dyDescent="0.2">
      <c r="A22" s="6"/>
      <c r="B22" s="5" t="s">
        <v>64</v>
      </c>
      <c r="C22" s="5"/>
      <c r="D22" s="4"/>
      <c r="E22" s="62" t="s">
        <v>65</v>
      </c>
      <c r="F22" s="63" t="s">
        <v>66</v>
      </c>
      <c r="G22" s="64" t="s">
        <v>67</v>
      </c>
      <c r="H22" s="42" t="s">
        <v>68</v>
      </c>
      <c r="I22" s="24"/>
      <c r="L22" s="65"/>
      <c r="M22" s="51"/>
      <c r="N22" s="66"/>
      <c r="CL22" s="60"/>
    </row>
    <row r="23" spans="1:90" x14ac:dyDescent="0.2">
      <c r="A23" s="53" t="s">
        <v>69</v>
      </c>
      <c r="B23" s="54"/>
      <c r="C23" s="54"/>
      <c r="D23" s="54"/>
      <c r="E23" s="53" t="s">
        <v>70</v>
      </c>
      <c r="F23" s="54"/>
      <c r="G23" s="54"/>
      <c r="H23" s="54"/>
      <c r="I23" s="54"/>
      <c r="J23" s="54"/>
      <c r="K23" s="54"/>
      <c r="L23" s="54"/>
      <c r="M23" s="54"/>
      <c r="N23" s="54"/>
      <c r="O23" s="54"/>
      <c r="P23" s="54"/>
      <c r="Q23" s="54"/>
      <c r="R23" s="54"/>
      <c r="S23" s="54"/>
      <c r="T23" s="54"/>
      <c r="U23" s="54"/>
      <c r="V23" s="54"/>
      <c r="W23" s="54"/>
      <c r="X23" s="54"/>
      <c r="Y23" s="54"/>
      <c r="Z23" s="54"/>
      <c r="AA23" s="54"/>
      <c r="AB23" s="54"/>
      <c r="AC23" s="54"/>
      <c r="AD23" s="54"/>
      <c r="AE23" s="54"/>
      <c r="AF23" s="54"/>
      <c r="AG23" s="54"/>
      <c r="AH23" s="54"/>
      <c r="AI23" s="54"/>
      <c r="AJ23" s="54"/>
      <c r="AK23" s="54"/>
      <c r="AL23" s="54"/>
      <c r="AM23" s="54"/>
      <c r="AN23" s="54"/>
      <c r="AO23" s="54"/>
      <c r="AP23" s="54"/>
      <c r="AQ23" s="54"/>
      <c r="AR23" s="54"/>
      <c r="AS23" s="54"/>
      <c r="AT23" s="54"/>
      <c r="AU23" s="54"/>
      <c r="AV23" s="54"/>
      <c r="AW23" s="54"/>
      <c r="AX23" s="54"/>
      <c r="AY23" s="54"/>
      <c r="AZ23" s="54"/>
      <c r="BA23" s="54"/>
      <c r="BB23" s="54"/>
      <c r="BC23" s="54"/>
      <c r="BD23" s="54"/>
      <c r="BE23" s="54"/>
      <c r="BF23" s="54"/>
      <c r="BG23" s="54"/>
      <c r="BH23" s="54"/>
      <c r="BI23" s="54"/>
      <c r="BJ23" s="54"/>
      <c r="BK23" s="54"/>
      <c r="BL23" s="54"/>
      <c r="BM23" s="54"/>
      <c r="BN23" s="54"/>
      <c r="BO23" s="54"/>
      <c r="BP23" s="54"/>
      <c r="BQ23" s="54"/>
      <c r="BR23" s="54"/>
      <c r="BS23" s="54"/>
      <c r="BT23" s="54"/>
      <c r="BU23" s="54"/>
      <c r="BV23" s="54"/>
      <c r="BW23" s="54"/>
      <c r="BX23" s="54"/>
      <c r="BY23" s="54"/>
      <c r="BZ23" s="54"/>
      <c r="CA23" s="54"/>
      <c r="CB23" s="54"/>
      <c r="CC23" s="54"/>
      <c r="CD23" s="54"/>
      <c r="CE23" s="54"/>
      <c r="CF23" s="54"/>
      <c r="CG23" s="54"/>
      <c r="CH23" s="54"/>
      <c r="CI23" s="54"/>
      <c r="CJ23" s="54"/>
      <c r="CK23" s="54"/>
      <c r="CL23" s="56"/>
    </row>
    <row r="24" spans="1:90" ht="15" customHeight="1" x14ac:dyDescent="0.2">
      <c r="A24" s="31" t="s">
        <v>71</v>
      </c>
      <c r="B24" s="41" t="s">
        <v>72</v>
      </c>
      <c r="C24" s="67" t="s">
        <v>73</v>
      </c>
      <c r="D24" s="51"/>
      <c r="E24" s="31" t="s">
        <v>74</v>
      </c>
      <c r="F24" s="68" t="s">
        <v>28</v>
      </c>
      <c r="G24" s="32"/>
      <c r="I24" s="31" t="s">
        <v>75</v>
      </c>
      <c r="J24" s="41" t="s">
        <v>76</v>
      </c>
      <c r="K24" s="32"/>
      <c r="CL24" s="60"/>
    </row>
    <row r="25" spans="1:90" x14ac:dyDescent="0.2">
      <c r="A25" s="31" t="s">
        <v>77</v>
      </c>
      <c r="B25" s="41" t="s">
        <v>78</v>
      </c>
      <c r="C25" s="69" t="s">
        <v>79</v>
      </c>
      <c r="D25" s="70"/>
      <c r="E25" s="31" t="s">
        <v>80</v>
      </c>
      <c r="F25" s="68" t="s">
        <v>28</v>
      </c>
      <c r="G25" s="32"/>
      <c r="CL25" s="60"/>
    </row>
    <row r="26" spans="1:90" ht="14.25" customHeight="1" x14ac:dyDescent="0.2">
      <c r="A26" s="31" t="s">
        <v>81</v>
      </c>
      <c r="B26" s="41" t="s">
        <v>72</v>
      </c>
      <c r="C26" s="71" t="s">
        <v>82</v>
      </c>
      <c r="D26" s="51"/>
      <c r="E26" s="31" t="s">
        <v>83</v>
      </c>
      <c r="F26" s="68" t="s">
        <v>28</v>
      </c>
      <c r="G26" s="32"/>
      <c r="CL26" s="60"/>
    </row>
    <row r="27" spans="1:90" x14ac:dyDescent="0.2">
      <c r="A27" s="31" t="s">
        <v>84</v>
      </c>
      <c r="B27" s="41" t="s">
        <v>72</v>
      </c>
      <c r="C27" s="71" t="s">
        <v>85</v>
      </c>
      <c r="D27" s="51"/>
      <c r="E27" s="53" t="s">
        <v>86</v>
      </c>
      <c r="CL27" s="60"/>
    </row>
    <row r="28" spans="1:90" x14ac:dyDescent="0.2">
      <c r="A28" s="31" t="s">
        <v>87</v>
      </c>
      <c r="B28" s="41" t="s">
        <v>72</v>
      </c>
      <c r="C28" s="69" t="s">
        <v>88</v>
      </c>
      <c r="D28" s="51"/>
      <c r="E28" s="31" t="s">
        <v>89</v>
      </c>
      <c r="F28" s="68" t="s">
        <v>28</v>
      </c>
      <c r="G28" s="72"/>
      <c r="CL28" s="60"/>
    </row>
    <row r="29" spans="1:90" x14ac:dyDescent="0.2">
      <c r="A29" s="31" t="s">
        <v>90</v>
      </c>
      <c r="B29" s="41" t="s">
        <v>72</v>
      </c>
      <c r="C29" s="69" t="s">
        <v>91</v>
      </c>
      <c r="D29" s="51"/>
      <c r="E29" s="31" t="s">
        <v>92</v>
      </c>
      <c r="F29" s="68" t="s">
        <v>28</v>
      </c>
      <c r="G29" s="73"/>
      <c r="CL29" s="60"/>
    </row>
    <row r="30" spans="1:90" x14ac:dyDescent="0.2">
      <c r="A30" s="68"/>
      <c r="B30" s="41"/>
      <c r="C30" s="74"/>
      <c r="D30" s="51"/>
      <c r="E30" s="31" t="s">
        <v>93</v>
      </c>
      <c r="F30" s="68" t="s">
        <v>28</v>
      </c>
      <c r="G30" s="75"/>
      <c r="CL30" s="60"/>
    </row>
    <row r="31" spans="1:90" x14ac:dyDescent="0.2">
      <c r="A31" s="53" t="s">
        <v>94</v>
      </c>
      <c r="B31" s="54"/>
      <c r="C31" s="54"/>
      <c r="D31" s="55"/>
      <c r="E31" s="76"/>
      <c r="F31" s="77"/>
      <c r="G31" s="77"/>
      <c r="H31" s="53" t="s">
        <v>95</v>
      </c>
      <c r="I31" s="54"/>
      <c r="J31" s="54"/>
      <c r="K31" s="54"/>
      <c r="L31" s="54"/>
      <c r="M31" s="54"/>
      <c r="N31" s="54"/>
      <c r="O31" s="54"/>
      <c r="P31" s="77"/>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54"/>
      <c r="BK31" s="54"/>
      <c r="BL31" s="54"/>
      <c r="BM31" s="54"/>
      <c r="BN31" s="54"/>
      <c r="BO31" s="54"/>
      <c r="BP31" s="54"/>
      <c r="BQ31" s="54"/>
      <c r="BR31" s="54"/>
      <c r="BS31" s="54"/>
      <c r="BT31" s="54"/>
      <c r="BU31" s="54"/>
      <c r="BV31" s="54"/>
      <c r="BW31" s="54"/>
      <c r="BX31" s="54"/>
      <c r="BY31" s="54"/>
      <c r="BZ31" s="54"/>
      <c r="CA31" s="54"/>
      <c r="CB31" s="54"/>
      <c r="CC31" s="54"/>
      <c r="CD31" s="54"/>
      <c r="CE31" s="54"/>
      <c r="CF31" s="54"/>
      <c r="CG31" s="54"/>
      <c r="CH31" s="54"/>
      <c r="CI31" s="54"/>
      <c r="CJ31" s="54"/>
      <c r="CK31" s="54"/>
      <c r="CL31" s="56"/>
    </row>
    <row r="32" spans="1:90" x14ac:dyDescent="0.2">
      <c r="A32" s="31" t="s">
        <v>96</v>
      </c>
      <c r="B32" s="41" t="s">
        <v>97</v>
      </c>
      <c r="C32" s="78" t="s">
        <v>98</v>
      </c>
      <c r="D32" s="31" t="s">
        <v>99</v>
      </c>
      <c r="E32" s="41" t="s">
        <v>36</v>
      </c>
      <c r="F32" s="42" t="s">
        <v>100</v>
      </c>
      <c r="G32" s="79"/>
      <c r="H32" s="31" t="s">
        <v>74</v>
      </c>
      <c r="I32" s="68" t="s">
        <v>28</v>
      </c>
      <c r="J32" s="3" t="s">
        <v>101</v>
      </c>
      <c r="K32" s="3"/>
      <c r="L32" s="3"/>
      <c r="M32" s="3"/>
      <c r="N32" s="3"/>
      <c r="O32" s="3"/>
      <c r="P32" s="51"/>
      <c r="Q32" s="79"/>
      <c r="R32" s="79"/>
      <c r="S32" s="79"/>
      <c r="CK32" s="60"/>
    </row>
    <row r="33" spans="1:90" x14ac:dyDescent="0.2">
      <c r="A33" s="31" t="s">
        <v>102</v>
      </c>
      <c r="B33" s="41" t="s">
        <v>97</v>
      </c>
      <c r="C33" s="78" t="s">
        <v>98</v>
      </c>
      <c r="D33" s="31" t="s">
        <v>103</v>
      </c>
      <c r="E33" s="41" t="s">
        <v>36</v>
      </c>
      <c r="F33" s="78" t="s">
        <v>104</v>
      </c>
      <c r="G33" s="79"/>
      <c r="H33" s="31" t="s">
        <v>80</v>
      </c>
      <c r="I33" s="68" t="s">
        <v>28</v>
      </c>
      <c r="J33" s="3" t="s">
        <v>105</v>
      </c>
      <c r="K33" s="3"/>
      <c r="L33" s="3"/>
      <c r="M33" s="3"/>
      <c r="N33" s="3"/>
      <c r="O33" s="3"/>
      <c r="P33" s="51"/>
      <c r="Q33" s="79"/>
      <c r="R33" s="79"/>
      <c r="S33" s="79"/>
      <c r="CK33" s="60"/>
    </row>
    <row r="34" spans="1:90" x14ac:dyDescent="0.2">
      <c r="A34" s="31" t="s">
        <v>106</v>
      </c>
      <c r="B34" s="41" t="s">
        <v>97</v>
      </c>
      <c r="C34" s="78" t="s">
        <v>98</v>
      </c>
      <c r="D34" s="79"/>
      <c r="E34" s="79"/>
      <c r="F34" s="79"/>
      <c r="G34" s="79"/>
      <c r="H34" s="31" t="s">
        <v>83</v>
      </c>
      <c r="I34" s="68" t="s">
        <v>28</v>
      </c>
      <c r="J34" s="3" t="s">
        <v>107</v>
      </c>
      <c r="K34" s="3"/>
      <c r="L34" s="3"/>
      <c r="M34" s="3"/>
      <c r="N34" s="3"/>
      <c r="O34" s="3"/>
      <c r="P34" s="51"/>
      <c r="Q34" s="79"/>
      <c r="R34" s="79"/>
      <c r="S34" s="79"/>
      <c r="CK34" s="60"/>
    </row>
    <row r="35" spans="1:90" x14ac:dyDescent="0.2">
      <c r="A35" s="31" t="s">
        <v>108</v>
      </c>
      <c r="B35" s="41" t="s">
        <v>97</v>
      </c>
      <c r="C35" s="78" t="s">
        <v>98</v>
      </c>
      <c r="D35" s="31" t="s">
        <v>109</v>
      </c>
      <c r="E35" s="68" t="s">
        <v>28</v>
      </c>
      <c r="F35" s="80">
        <v>0.5</v>
      </c>
      <c r="J35" s="3"/>
      <c r="K35" s="3"/>
      <c r="L35" s="3"/>
      <c r="M35" s="3"/>
      <c r="N35" s="3"/>
      <c r="O35" s="3"/>
      <c r="CK35" s="60"/>
    </row>
    <row r="36" spans="1:90" x14ac:dyDescent="0.2">
      <c r="A36" s="31" t="s">
        <v>110</v>
      </c>
      <c r="B36" s="41" t="s">
        <v>97</v>
      </c>
      <c r="C36" s="78" t="s">
        <v>98</v>
      </c>
      <c r="D36" s="79"/>
      <c r="E36" s="79"/>
      <c r="F36" s="81"/>
      <c r="H36" s="31" t="s">
        <v>89</v>
      </c>
      <c r="I36" s="68" t="s">
        <v>28</v>
      </c>
      <c r="J36" s="3" t="s">
        <v>111</v>
      </c>
      <c r="K36" s="3"/>
      <c r="L36" s="3"/>
      <c r="M36" s="3"/>
      <c r="N36" s="3"/>
      <c r="O36" s="3"/>
      <c r="P36" s="82"/>
      <c r="CK36" s="60"/>
    </row>
    <row r="37" spans="1:90" x14ac:dyDescent="0.2">
      <c r="A37" s="31" t="s">
        <v>112</v>
      </c>
      <c r="B37" s="41" t="s">
        <v>97</v>
      </c>
      <c r="C37" s="78" t="s">
        <v>98</v>
      </c>
      <c r="D37" s="31" t="s">
        <v>113</v>
      </c>
      <c r="E37" s="41" t="s">
        <v>97</v>
      </c>
      <c r="F37" s="78" t="s">
        <v>98</v>
      </c>
      <c r="H37" s="31" t="s">
        <v>114</v>
      </c>
      <c r="I37" s="68" t="s">
        <v>28</v>
      </c>
      <c r="J37" s="3" t="s">
        <v>115</v>
      </c>
      <c r="K37" s="3"/>
      <c r="L37" s="3"/>
      <c r="M37" s="3"/>
      <c r="N37" s="3"/>
      <c r="O37" s="3"/>
      <c r="P37" s="52"/>
      <c r="Q37" s="31" t="s">
        <v>93</v>
      </c>
      <c r="R37" s="68" t="s">
        <v>28</v>
      </c>
      <c r="S37" s="73">
        <v>0.5</v>
      </c>
      <c r="CK37" s="60"/>
    </row>
    <row r="38" spans="1:90" x14ac:dyDescent="0.2">
      <c r="A38" s="31" t="s">
        <v>116</v>
      </c>
      <c r="B38" s="41" t="s">
        <v>97</v>
      </c>
      <c r="C38" s="78" t="s">
        <v>98</v>
      </c>
      <c r="D38" s="31" t="s">
        <v>117</v>
      </c>
      <c r="E38" s="41" t="s">
        <v>97</v>
      </c>
      <c r="F38" s="78" t="s">
        <v>98</v>
      </c>
      <c r="H38" s="31" t="s">
        <v>118</v>
      </c>
      <c r="I38" s="68" t="s">
        <v>28</v>
      </c>
      <c r="J38" s="3" t="s">
        <v>119</v>
      </c>
      <c r="K38" s="3"/>
      <c r="L38" s="3"/>
      <c r="M38" s="3"/>
      <c r="N38" s="3"/>
      <c r="O38" s="3"/>
      <c r="CK38" s="60"/>
    </row>
    <row r="39" spans="1:90" x14ac:dyDescent="0.2">
      <c r="A39" s="83" t="s">
        <v>120</v>
      </c>
      <c r="B39" s="54"/>
      <c r="C39" s="54"/>
      <c r="D39" s="77"/>
      <c r="E39" s="77"/>
      <c r="F39" s="77"/>
      <c r="G39" s="54"/>
      <c r="H39" s="77"/>
      <c r="I39" s="77"/>
      <c r="J39" s="77"/>
      <c r="K39" s="77"/>
      <c r="L39" s="77"/>
      <c r="M39" s="77"/>
      <c r="N39" s="77"/>
      <c r="O39" s="54"/>
      <c r="P39" s="54"/>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c r="BJ39" s="54"/>
      <c r="BK39" s="54"/>
      <c r="BL39" s="54"/>
      <c r="BM39" s="54"/>
      <c r="BN39" s="54"/>
      <c r="BO39" s="54"/>
      <c r="BP39" s="54"/>
      <c r="BQ39" s="54"/>
      <c r="BR39" s="54"/>
      <c r="BS39" s="54"/>
      <c r="BT39" s="54"/>
      <c r="BU39" s="54"/>
      <c r="BV39" s="54"/>
      <c r="BW39" s="54"/>
      <c r="BX39" s="54"/>
      <c r="BY39" s="54"/>
      <c r="BZ39" s="54"/>
      <c r="CA39" s="54"/>
      <c r="CB39" s="54"/>
      <c r="CC39" s="54"/>
      <c r="CD39" s="54"/>
      <c r="CE39" s="54"/>
      <c r="CF39" s="54"/>
      <c r="CG39" s="54"/>
      <c r="CH39" s="54"/>
      <c r="CI39" s="54"/>
      <c r="CJ39" s="54"/>
      <c r="CK39" s="54"/>
      <c r="CL39" s="56"/>
    </row>
    <row r="40" spans="1:90" x14ac:dyDescent="0.2">
      <c r="A40" s="74"/>
      <c r="B40" s="74"/>
      <c r="C40" s="68"/>
      <c r="H40" s="51"/>
      <c r="J40" s="84"/>
      <c r="K40" s="51"/>
      <c r="M40" s="51"/>
      <c r="CL40" s="60"/>
    </row>
    <row r="41" spans="1:90" x14ac:dyDescent="0.2">
      <c r="A41" s="31" t="s">
        <v>121</v>
      </c>
      <c r="B41" s="68" t="s">
        <v>122</v>
      </c>
      <c r="C41" s="69" t="s">
        <v>123</v>
      </c>
      <c r="D41" s="51"/>
      <c r="F41" s="51"/>
      <c r="H41" s="51"/>
      <c r="K41" s="51"/>
      <c r="M41" s="51"/>
      <c r="CL41" s="60"/>
    </row>
    <row r="42" spans="1:90" x14ac:dyDescent="0.2">
      <c r="A42" s="31" t="s">
        <v>124</v>
      </c>
      <c r="B42" s="85" t="s">
        <v>125</v>
      </c>
      <c r="C42" s="69" t="s">
        <v>126</v>
      </c>
      <c r="D42" s="51"/>
      <c r="E42" s="51"/>
      <c r="F42" s="51"/>
      <c r="H42" s="51"/>
      <c r="J42" s="84"/>
      <c r="K42" s="51"/>
      <c r="CL42" s="60"/>
    </row>
    <row r="43" spans="1:90" x14ac:dyDescent="0.2">
      <c r="A43" s="31" t="s">
        <v>127</v>
      </c>
      <c r="B43" s="85" t="s">
        <v>125</v>
      </c>
      <c r="C43" s="32" t="s">
        <v>128</v>
      </c>
      <c r="H43" s="51"/>
      <c r="K43" s="51"/>
      <c r="CL43" s="60"/>
    </row>
    <row r="44" spans="1:90" x14ac:dyDescent="0.2">
      <c r="A44" s="83" t="s">
        <v>129</v>
      </c>
      <c r="B44" s="54"/>
      <c r="C44" s="54"/>
      <c r="D44" s="76"/>
      <c r="E44" s="76"/>
      <c r="F44" s="76"/>
      <c r="H44" s="51"/>
      <c r="CL44" s="60"/>
    </row>
    <row r="45" spans="1:90" x14ac:dyDescent="0.2">
      <c r="A45" s="86" t="s">
        <v>130</v>
      </c>
      <c r="B45" s="87" t="s">
        <v>97</v>
      </c>
      <c r="C45" s="88" t="s">
        <v>131</v>
      </c>
      <c r="D45" s="31" t="s">
        <v>132</v>
      </c>
      <c r="E45" s="85" t="s">
        <v>36</v>
      </c>
      <c r="F45" s="89" t="s">
        <v>133</v>
      </c>
      <c r="H45" s="51"/>
      <c r="K45" s="51"/>
      <c r="M45" s="84"/>
      <c r="CL45" s="60"/>
    </row>
    <row r="46" spans="1:90" x14ac:dyDescent="0.2">
      <c r="A46" s="31" t="s">
        <v>134</v>
      </c>
      <c r="B46" s="85" t="s">
        <v>36</v>
      </c>
      <c r="C46" s="67" t="s">
        <v>135</v>
      </c>
      <c r="D46" s="31" t="s">
        <v>136</v>
      </c>
      <c r="E46" s="41" t="s">
        <v>97</v>
      </c>
      <c r="F46" s="88" t="s">
        <v>98</v>
      </c>
      <c r="H46" s="51"/>
      <c r="CL46" s="60"/>
    </row>
    <row r="47" spans="1:90" x14ac:dyDescent="0.2">
      <c r="A47" s="31" t="s">
        <v>137</v>
      </c>
      <c r="B47" s="85" t="s">
        <v>97</v>
      </c>
      <c r="C47" s="88" t="s">
        <v>131</v>
      </c>
      <c r="H47" s="51"/>
      <c r="CL47" s="60"/>
    </row>
    <row r="48" spans="1:90" x14ac:dyDescent="0.2">
      <c r="A48" s="31" t="s">
        <v>138</v>
      </c>
      <c r="B48" s="85" t="s">
        <v>36</v>
      </c>
      <c r="C48" s="90" t="s">
        <v>139</v>
      </c>
      <c r="H48" s="51"/>
      <c r="J48" s="91"/>
      <c r="CL48" s="60"/>
    </row>
    <row r="49" spans="1:90" x14ac:dyDescent="0.2">
      <c r="A49" s="31" t="s">
        <v>140</v>
      </c>
      <c r="B49" s="85" t="s">
        <v>28</v>
      </c>
      <c r="C49" s="42" t="s">
        <v>141</v>
      </c>
      <c r="H49" s="51"/>
      <c r="J49" s="51"/>
      <c r="CL49" s="60"/>
    </row>
    <row r="50" spans="1:90" x14ac:dyDescent="0.2">
      <c r="A50" s="31" t="s">
        <v>142</v>
      </c>
      <c r="B50" s="85" t="s">
        <v>97</v>
      </c>
      <c r="C50" s="78" t="s">
        <v>98</v>
      </c>
      <c r="D50" s="51"/>
      <c r="F50" s="51"/>
      <c r="H50" s="51"/>
      <c r="CL50" s="60"/>
    </row>
    <row r="51" spans="1:90" x14ac:dyDescent="0.2">
      <c r="A51" s="53" t="s">
        <v>143</v>
      </c>
      <c r="B51" s="54"/>
      <c r="C51" s="54"/>
      <c r="D51" s="92" t="s">
        <v>144</v>
      </c>
      <c r="E51" s="54"/>
      <c r="F51" s="54"/>
      <c r="G51" s="54"/>
      <c r="H51" s="55"/>
      <c r="I51" s="55"/>
      <c r="J51" s="55"/>
      <c r="K51" s="55"/>
      <c r="L51" s="55"/>
      <c r="M51" s="55"/>
      <c r="N51" s="55"/>
      <c r="O51" s="54"/>
      <c r="P51" s="54"/>
      <c r="Q51" s="54"/>
      <c r="R51" s="54"/>
      <c r="S51" s="54"/>
      <c r="T51" s="54"/>
      <c r="U51" s="54"/>
      <c r="V51" s="54"/>
      <c r="W51" s="54"/>
      <c r="X51" s="54"/>
      <c r="Y51" s="54"/>
      <c r="Z51" s="54"/>
      <c r="AA51" s="54"/>
      <c r="AB51" s="54"/>
      <c r="AC51" s="54"/>
      <c r="AD51" s="54"/>
      <c r="AE51" s="54"/>
      <c r="AF51" s="54"/>
      <c r="AG51" s="54"/>
      <c r="AH51" s="54"/>
      <c r="AI51" s="54"/>
      <c r="AJ51" s="54"/>
      <c r="AK51" s="54"/>
      <c r="AL51" s="54"/>
      <c r="AM51" s="54"/>
      <c r="AN51" s="54"/>
      <c r="AO51" s="54"/>
      <c r="AP51" s="54"/>
      <c r="AQ51" s="54"/>
      <c r="AR51" s="54"/>
      <c r="AS51" s="54"/>
      <c r="AT51" s="54"/>
      <c r="AU51" s="54"/>
      <c r="AV51" s="54"/>
      <c r="AW51" s="54"/>
      <c r="AX51" s="54"/>
      <c r="AY51" s="54"/>
      <c r="AZ51" s="54"/>
      <c r="BA51" s="54"/>
      <c r="BB51" s="54"/>
      <c r="BC51" s="54"/>
      <c r="BD51" s="54"/>
      <c r="BE51" s="54"/>
      <c r="BF51" s="54"/>
      <c r="BG51" s="54"/>
      <c r="BH51" s="54"/>
      <c r="BI51" s="54"/>
      <c r="BJ51" s="54"/>
      <c r="BK51" s="54"/>
      <c r="BL51" s="54"/>
      <c r="BM51" s="54"/>
      <c r="BN51" s="54"/>
      <c r="BO51" s="54"/>
      <c r="BP51" s="54"/>
      <c r="BQ51" s="54"/>
      <c r="BR51" s="54"/>
      <c r="BS51" s="54"/>
      <c r="BT51" s="54"/>
      <c r="BU51" s="54"/>
      <c r="BV51" s="54"/>
      <c r="BW51" s="54"/>
      <c r="BX51" s="54"/>
      <c r="BY51" s="54"/>
      <c r="BZ51" s="54"/>
      <c r="CA51" s="54"/>
      <c r="CB51" s="54"/>
      <c r="CC51" s="54"/>
      <c r="CD51" s="54"/>
      <c r="CE51" s="54"/>
      <c r="CF51" s="54"/>
      <c r="CG51" s="54"/>
      <c r="CH51" s="54"/>
      <c r="CI51" s="54"/>
      <c r="CJ51" s="54"/>
      <c r="CK51" s="54"/>
      <c r="CL51" s="56"/>
    </row>
    <row r="52" spans="1:90" x14ac:dyDescent="0.2">
      <c r="A52" s="31" t="s">
        <v>145</v>
      </c>
      <c r="B52" s="41" t="s">
        <v>146</v>
      </c>
      <c r="C52" s="32" t="s">
        <v>147</v>
      </c>
      <c r="D52" s="31" t="s">
        <v>148</v>
      </c>
      <c r="E52" s="41" t="s">
        <v>146</v>
      </c>
      <c r="F52" s="32" t="s">
        <v>149</v>
      </c>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c r="AV52" s="51"/>
      <c r="AW52" s="51"/>
      <c r="AX52" s="51"/>
      <c r="AY52" s="51"/>
      <c r="AZ52" s="51"/>
      <c r="BA52" s="51"/>
      <c r="BB52" s="54"/>
      <c r="BC52" s="54"/>
      <c r="BD52" s="54"/>
      <c r="BE52" s="54"/>
      <c r="BF52" s="54"/>
      <c r="BG52" s="54"/>
      <c r="BH52" s="54"/>
      <c r="BI52" s="54"/>
      <c r="BJ52" s="54"/>
      <c r="BK52" s="54"/>
      <c r="BL52" s="54"/>
      <c r="BM52" s="54"/>
      <c r="BN52" s="54"/>
      <c r="BO52" s="54"/>
      <c r="BP52" s="54"/>
      <c r="BQ52" s="54"/>
      <c r="BR52" s="54"/>
      <c r="BS52" s="54"/>
      <c r="BT52" s="54"/>
      <c r="BU52" s="54"/>
      <c r="BV52" s="54"/>
      <c r="BW52" s="54"/>
      <c r="BX52" s="54"/>
      <c r="BY52" s="54"/>
      <c r="BZ52" s="54"/>
      <c r="CA52" s="54"/>
      <c r="CB52" s="54"/>
      <c r="CC52" s="54"/>
      <c r="CD52" s="54"/>
      <c r="CE52" s="54"/>
      <c r="CF52" s="54"/>
      <c r="CG52" s="54"/>
      <c r="CH52" s="54"/>
      <c r="CI52" s="54"/>
      <c r="CJ52" s="54"/>
      <c r="CK52" s="54"/>
      <c r="CL52" s="56"/>
    </row>
    <row r="53" spans="1:90" x14ac:dyDescent="0.2">
      <c r="A53" s="31" t="s">
        <v>150</v>
      </c>
      <c r="B53" s="41" t="s">
        <v>97</v>
      </c>
      <c r="C53" s="78" t="s">
        <v>98</v>
      </c>
      <c r="D53" s="31" t="s">
        <v>151</v>
      </c>
      <c r="E53" s="41" t="s">
        <v>97</v>
      </c>
      <c r="F53" s="78" t="s">
        <v>98</v>
      </c>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c r="AV53" s="51"/>
      <c r="AW53" s="51"/>
      <c r="AX53" s="51"/>
      <c r="AY53" s="51"/>
      <c r="AZ53" s="51"/>
      <c r="BA53" s="51"/>
      <c r="CL53" s="60"/>
    </row>
    <row r="54" spans="1:90" x14ac:dyDescent="0.2">
      <c r="A54" s="92" t="s">
        <v>152</v>
      </c>
      <c r="B54" s="54"/>
      <c r="C54" s="54"/>
      <c r="D54" s="77"/>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c r="AK54" s="77"/>
      <c r="AL54" s="77"/>
      <c r="AM54" s="77"/>
      <c r="AN54" s="77"/>
      <c r="AO54" s="77"/>
      <c r="AP54" s="77"/>
      <c r="AQ54" s="77"/>
      <c r="AR54" s="77"/>
      <c r="AS54" s="77"/>
      <c r="AT54" s="77"/>
      <c r="AU54" s="77"/>
      <c r="AV54" s="77"/>
      <c r="AW54" s="77"/>
      <c r="AX54" s="77"/>
      <c r="AY54" s="77"/>
      <c r="AZ54" s="77"/>
      <c r="BA54" s="77"/>
      <c r="BB54" s="77"/>
      <c r="BC54" s="77"/>
      <c r="BD54" s="77"/>
      <c r="BE54" s="77"/>
      <c r="BF54" s="77"/>
      <c r="BG54" s="77"/>
      <c r="BH54" s="77"/>
      <c r="BI54" s="77"/>
      <c r="BJ54" s="77"/>
      <c r="BK54" s="77"/>
      <c r="BL54" s="77"/>
      <c r="BM54" s="77"/>
      <c r="BN54" s="77"/>
      <c r="BO54" s="77"/>
      <c r="BP54" s="77"/>
      <c r="BQ54" s="77"/>
      <c r="BR54" s="77"/>
      <c r="BS54" s="77"/>
      <c r="BT54" s="77"/>
      <c r="BU54" s="77"/>
      <c r="BV54" s="77"/>
      <c r="BW54" s="77"/>
      <c r="BX54" s="77"/>
      <c r="BY54" s="77"/>
      <c r="BZ54" s="77"/>
      <c r="CA54" s="77"/>
      <c r="CB54" s="77"/>
      <c r="CC54" s="77"/>
      <c r="CD54" s="77"/>
      <c r="CE54" s="77"/>
      <c r="CF54" s="77"/>
      <c r="CG54" s="77"/>
      <c r="CH54" s="77"/>
      <c r="CI54" s="77"/>
      <c r="CJ54" s="77"/>
      <c r="CK54" s="77"/>
      <c r="CL54" s="93"/>
    </row>
    <row r="55" spans="1:90" x14ac:dyDescent="0.2">
      <c r="A55" s="31" t="s">
        <v>153</v>
      </c>
      <c r="B55" s="41" t="s">
        <v>122</v>
      </c>
      <c r="C55" s="94" t="s">
        <v>154</v>
      </c>
      <c r="D55" s="51"/>
      <c r="E55" s="51"/>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c r="AV55" s="51"/>
      <c r="AW55" s="51"/>
      <c r="AX55" s="51"/>
      <c r="AY55" s="51"/>
      <c r="AZ55" s="51"/>
      <c r="BA55" s="51"/>
    </row>
    <row r="56" spans="1:90" x14ac:dyDescent="0.2">
      <c r="A56" s="31" t="s">
        <v>155</v>
      </c>
      <c r="B56" s="41" t="s">
        <v>78</v>
      </c>
      <c r="C56" s="94" t="s">
        <v>156</v>
      </c>
      <c r="D56" s="51"/>
      <c r="E56" s="51"/>
      <c r="F56" s="51"/>
    </row>
    <row r="57" spans="1:90" x14ac:dyDescent="0.2">
      <c r="A57" s="92" t="s">
        <v>157</v>
      </c>
      <c r="B57" s="54"/>
      <c r="C57" s="54"/>
    </row>
    <row r="58" spans="1:90" x14ac:dyDescent="0.2">
      <c r="A58" s="31" t="s">
        <v>158</v>
      </c>
      <c r="B58" t="s">
        <v>36</v>
      </c>
      <c r="C58" s="95" t="s">
        <v>159</v>
      </c>
      <c r="G58" s="84"/>
    </row>
    <row r="59" spans="1:90" x14ac:dyDescent="0.2">
      <c r="A59" s="31" t="s">
        <v>160</v>
      </c>
      <c r="B59" s="41" t="s">
        <v>36</v>
      </c>
      <c r="C59" s="96" t="s">
        <v>104</v>
      </c>
      <c r="G59" s="84"/>
    </row>
    <row r="60" spans="1:90" x14ac:dyDescent="0.2">
      <c r="A60" s="31" t="s">
        <v>161</v>
      </c>
      <c r="B60" s="41" t="s">
        <v>97</v>
      </c>
      <c r="C60" s="97" t="s">
        <v>98</v>
      </c>
      <c r="D60" s="51"/>
    </row>
    <row r="61" spans="1:90" x14ac:dyDescent="0.2">
      <c r="A61" s="31" t="s">
        <v>162</v>
      </c>
      <c r="B61" s="41" t="s">
        <v>97</v>
      </c>
      <c r="C61" s="97" t="s">
        <v>98</v>
      </c>
      <c r="D61" s="84"/>
    </row>
    <row r="62" spans="1:90" x14ac:dyDescent="0.2">
      <c r="A62" s="31" t="s">
        <v>163</v>
      </c>
      <c r="B62" s="41" t="s">
        <v>97</v>
      </c>
      <c r="C62" s="97" t="s">
        <v>98</v>
      </c>
      <c r="D62" s="84"/>
    </row>
    <row r="63" spans="1:90" x14ac:dyDescent="0.2">
      <c r="A63" s="31"/>
      <c r="B63" s="41"/>
      <c r="C63" s="97"/>
      <c r="D63" s="84"/>
    </row>
    <row r="64" spans="1:90" x14ac:dyDescent="0.2">
      <c r="A64" s="92" t="s">
        <v>164</v>
      </c>
      <c r="B64" s="54"/>
      <c r="C64" s="54"/>
      <c r="D64" s="55"/>
      <c r="E64" s="55"/>
      <c r="F64" s="55"/>
      <c r="G64" s="55"/>
      <c r="H64" s="55"/>
      <c r="I64" s="55"/>
      <c r="J64" s="55"/>
      <c r="K64" s="55"/>
      <c r="L64" s="55"/>
      <c r="M64" s="55"/>
      <c r="N64" s="55"/>
      <c r="O64" s="55"/>
      <c r="P64" s="55"/>
      <c r="Q64" s="55"/>
      <c r="R64" s="55"/>
      <c r="S64" s="55"/>
      <c r="T64" s="55"/>
      <c r="U64" s="55"/>
      <c r="V64" s="55"/>
      <c r="W64" s="55"/>
      <c r="X64" s="55"/>
      <c r="Y64" s="55"/>
      <c r="Z64" s="55"/>
      <c r="AA64" s="55"/>
      <c r="AB64" s="55"/>
      <c r="AC64" s="55"/>
      <c r="AD64" s="55"/>
      <c r="AE64" s="55"/>
      <c r="AF64" s="55"/>
      <c r="AG64" s="55"/>
      <c r="AH64" s="55"/>
      <c r="AI64" s="55"/>
      <c r="AJ64" s="55"/>
      <c r="AK64" s="55"/>
      <c r="AL64" s="55"/>
      <c r="AM64" s="55"/>
      <c r="AN64" s="55"/>
      <c r="AO64" s="55"/>
      <c r="AP64" s="55"/>
      <c r="AQ64" s="55"/>
      <c r="AR64" s="55"/>
      <c r="AS64" s="55"/>
      <c r="AT64" s="55"/>
      <c r="AU64" s="55"/>
      <c r="AV64" s="55"/>
      <c r="AW64" s="55"/>
      <c r="AX64" s="55"/>
      <c r="AY64" s="55"/>
      <c r="AZ64" s="55"/>
      <c r="BA64" s="55"/>
      <c r="BB64" s="55"/>
      <c r="BC64" s="55"/>
      <c r="BD64" s="55"/>
      <c r="BE64" s="55"/>
      <c r="BF64" s="55"/>
      <c r="BG64" s="55"/>
      <c r="BH64" s="55"/>
      <c r="BI64" s="55"/>
      <c r="BJ64" s="55"/>
      <c r="BK64" s="55"/>
      <c r="BL64" s="55"/>
      <c r="BM64" s="55"/>
      <c r="BN64" s="55"/>
      <c r="BO64" s="55"/>
      <c r="BP64" s="55"/>
      <c r="BQ64" s="55"/>
      <c r="BR64" s="55"/>
      <c r="BS64" s="55"/>
      <c r="BT64" s="55"/>
      <c r="BU64" s="55"/>
      <c r="BV64" s="55"/>
      <c r="BW64" s="55"/>
      <c r="BX64" s="55"/>
      <c r="BY64" s="55"/>
      <c r="BZ64" s="55"/>
      <c r="CA64" s="55"/>
      <c r="CB64" s="55"/>
      <c r="CC64" s="55"/>
      <c r="CD64" s="55"/>
      <c r="CE64" s="55"/>
      <c r="CF64" s="55"/>
      <c r="CG64" s="55"/>
      <c r="CH64" s="55"/>
      <c r="CI64" s="55"/>
      <c r="CJ64" s="55"/>
      <c r="CK64" s="55"/>
      <c r="CL64" s="98"/>
    </row>
    <row r="65" spans="1:90" x14ac:dyDescent="0.2">
      <c r="A65" s="31" t="s">
        <v>165</v>
      </c>
      <c r="B65" s="42" t="s">
        <v>166</v>
      </c>
      <c r="C65" s="87"/>
      <c r="D65" s="99"/>
      <c r="E65" s="99"/>
      <c r="F65" s="99"/>
      <c r="G65" s="99"/>
      <c r="CL65" s="60"/>
    </row>
    <row r="66" spans="1:90" x14ac:dyDescent="0.2">
      <c r="A66" s="100" t="s">
        <v>167</v>
      </c>
      <c r="B66" s="77"/>
      <c r="C66" s="76"/>
      <c r="D66" s="55"/>
      <c r="E66" s="55"/>
      <c r="F66" s="55"/>
      <c r="G66" s="55"/>
      <c r="H66" s="54"/>
      <c r="I66" s="54"/>
      <c r="J66" s="54"/>
      <c r="K66" s="54"/>
      <c r="L66" s="54"/>
      <c r="M66" s="54"/>
      <c r="N66" s="54"/>
      <c r="O66" s="54"/>
      <c r="P66" s="54"/>
      <c r="Q66" s="54"/>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c r="AY66" s="54"/>
      <c r="AZ66" s="54"/>
      <c r="BA66" s="54"/>
      <c r="BB66" s="54"/>
      <c r="BC66" s="54"/>
      <c r="BD66" s="54"/>
      <c r="BE66" s="54"/>
      <c r="BF66" s="54"/>
      <c r="BG66" s="54"/>
      <c r="BH66" s="54"/>
      <c r="BI66" s="54"/>
      <c r="BJ66" s="54"/>
      <c r="BK66" s="54"/>
      <c r="BL66" s="54"/>
      <c r="BM66" s="54"/>
      <c r="BN66" s="54"/>
      <c r="BO66" s="54"/>
      <c r="BP66" s="54"/>
      <c r="BQ66" s="54"/>
      <c r="BR66" s="54"/>
      <c r="BS66" s="54"/>
      <c r="BT66" s="54"/>
      <c r="BU66" s="54"/>
      <c r="BV66" s="54"/>
      <c r="BW66" s="54"/>
      <c r="BX66" s="54"/>
      <c r="BY66" s="54"/>
      <c r="BZ66" s="54"/>
      <c r="CA66" s="54"/>
      <c r="CB66" s="54"/>
      <c r="CC66" s="54"/>
      <c r="CD66" s="54"/>
      <c r="CE66" s="54"/>
      <c r="CF66" s="54"/>
      <c r="CG66" s="54"/>
      <c r="CH66" s="54"/>
      <c r="CI66" s="54"/>
      <c r="CJ66" s="54"/>
      <c r="CK66" s="54"/>
      <c r="CL66" s="56"/>
    </row>
    <row r="67" spans="1:90" x14ac:dyDescent="0.2">
      <c r="A67" s="101" t="s">
        <v>168</v>
      </c>
      <c r="B67" s="102" t="s">
        <v>169</v>
      </c>
      <c r="C67" s="89" t="s">
        <v>170</v>
      </c>
      <c r="D67" s="31" t="s">
        <v>171</v>
      </c>
      <c r="E67" s="38" t="s">
        <v>172</v>
      </c>
      <c r="F67" s="103"/>
      <c r="G67" s="103"/>
      <c r="H67" s="104"/>
      <c r="I67" s="76"/>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76"/>
      <c r="AI67" s="76"/>
      <c r="AJ67" s="76"/>
      <c r="AK67" s="76"/>
      <c r="AL67" s="76"/>
      <c r="AM67" s="76"/>
      <c r="AN67" s="76"/>
      <c r="AO67" s="76"/>
      <c r="AP67" s="76"/>
      <c r="AQ67" s="76"/>
      <c r="AR67" s="76"/>
      <c r="AS67" s="76"/>
      <c r="AT67" s="76"/>
      <c r="AU67" s="76"/>
      <c r="AV67" s="76"/>
      <c r="AW67" s="76"/>
      <c r="AX67" s="76"/>
      <c r="AY67" s="76"/>
      <c r="AZ67" s="76"/>
      <c r="BA67" s="76"/>
      <c r="BB67" s="76"/>
      <c r="BC67" s="76"/>
      <c r="BD67" s="76"/>
      <c r="BE67" s="76"/>
      <c r="BF67" s="76"/>
      <c r="BG67" s="76"/>
      <c r="BH67" s="76"/>
      <c r="BI67" s="76"/>
      <c r="BJ67" s="76"/>
      <c r="BK67" s="76"/>
      <c r="BL67" s="76"/>
      <c r="BM67" s="76"/>
      <c r="BN67" s="76"/>
      <c r="BO67" s="76"/>
      <c r="BP67" s="76"/>
      <c r="BQ67" s="76"/>
      <c r="BR67" s="76"/>
      <c r="BS67" s="76"/>
      <c r="BT67" s="76"/>
      <c r="BU67" s="76"/>
      <c r="BV67" s="76"/>
      <c r="BW67" s="76"/>
      <c r="BX67" s="76"/>
      <c r="BY67" s="76"/>
      <c r="BZ67" s="76"/>
      <c r="CA67" s="76"/>
      <c r="CB67" s="76"/>
      <c r="CC67" s="76"/>
      <c r="CD67" s="76"/>
      <c r="CE67" s="76"/>
      <c r="CF67" s="76"/>
      <c r="CG67" s="76"/>
      <c r="CH67" s="76"/>
      <c r="CI67" s="76"/>
      <c r="CJ67" s="76"/>
      <c r="CK67" s="76"/>
      <c r="CL67" s="105"/>
    </row>
    <row r="68" spans="1:90" ht="14.25" customHeight="1" x14ac:dyDescent="0.2">
      <c r="A68" s="2" t="s">
        <v>173</v>
      </c>
      <c r="B68" s="57" t="s">
        <v>174</v>
      </c>
      <c r="C68" s="57"/>
      <c r="D68" s="1" t="s">
        <v>175</v>
      </c>
      <c r="CL68" s="60"/>
    </row>
    <row r="69" spans="1:90" x14ac:dyDescent="0.2">
      <c r="A69" s="2"/>
      <c r="B69" s="57" t="s">
        <v>176</v>
      </c>
      <c r="C69" s="57"/>
      <c r="D69" s="1"/>
      <c r="CL69" s="60"/>
    </row>
    <row r="70" spans="1:90" x14ac:dyDescent="0.2">
      <c r="A70" s="2"/>
      <c r="B70" s="57" t="s">
        <v>177</v>
      </c>
      <c r="C70" s="57"/>
      <c r="D70" s="1"/>
      <c r="CL70" s="60"/>
    </row>
    <row r="71" spans="1:90" x14ac:dyDescent="0.2">
      <c r="A71" s="2"/>
      <c r="B71" s="57" t="s">
        <v>178</v>
      </c>
      <c r="C71" s="57"/>
      <c r="D71" s="1"/>
      <c r="CL71" s="60"/>
    </row>
    <row r="72" spans="1:90" ht="14.25" customHeight="1" x14ac:dyDescent="0.2">
      <c r="A72" s="2" t="s">
        <v>179</v>
      </c>
      <c r="B72" s="57" t="s">
        <v>180</v>
      </c>
      <c r="C72" s="57"/>
      <c r="D72" s="278" t="s">
        <v>175</v>
      </c>
      <c r="CL72" s="60"/>
    </row>
    <row r="73" spans="1:90" x14ac:dyDescent="0.2">
      <c r="A73" s="2"/>
      <c r="B73" s="57" t="s">
        <v>181</v>
      </c>
      <c r="C73" s="57"/>
      <c r="D73" s="278"/>
      <c r="CL73" s="60"/>
    </row>
    <row r="74" spans="1:90" x14ac:dyDescent="0.2">
      <c r="A74" s="2"/>
      <c r="B74" s="57" t="s">
        <v>182</v>
      </c>
      <c r="C74" s="57"/>
      <c r="D74" s="278"/>
      <c r="CL74" s="60"/>
    </row>
    <row r="75" spans="1:90" x14ac:dyDescent="0.2">
      <c r="A75" s="2"/>
      <c r="B75" s="57" t="s">
        <v>183</v>
      </c>
      <c r="C75" s="57"/>
      <c r="D75" s="278"/>
      <c r="CL75" s="60"/>
    </row>
    <row r="76" spans="1:90" ht="14.25" customHeight="1" x14ac:dyDescent="0.2">
      <c r="A76" s="2" t="s">
        <v>184</v>
      </c>
      <c r="B76" s="57" t="s">
        <v>185</v>
      </c>
      <c r="C76" s="57"/>
      <c r="D76" s="278" t="s">
        <v>175</v>
      </c>
      <c r="CL76" s="60"/>
    </row>
    <row r="77" spans="1:90" x14ac:dyDescent="0.2">
      <c r="A77" s="2"/>
      <c r="B77" s="57" t="s">
        <v>186</v>
      </c>
      <c r="C77" s="57"/>
      <c r="D77" s="278"/>
      <c r="CL77" s="60"/>
    </row>
    <row r="78" spans="1:90" x14ac:dyDescent="0.2">
      <c r="A78" s="2"/>
      <c r="B78" s="57"/>
      <c r="C78" s="57"/>
      <c r="D78" s="278"/>
      <c r="CL78" s="60"/>
    </row>
    <row r="79" spans="1:90" x14ac:dyDescent="0.2">
      <c r="A79" s="2"/>
      <c r="B79" s="57"/>
      <c r="C79" s="57"/>
      <c r="D79" s="278"/>
      <c r="CL79" s="60"/>
    </row>
    <row r="80" spans="1:90" ht="14.25" customHeight="1" x14ac:dyDescent="0.2">
      <c r="A80" s="2" t="s">
        <v>187</v>
      </c>
      <c r="B80" s="107" t="s">
        <v>188</v>
      </c>
      <c r="C80" s="108" t="s">
        <v>189</v>
      </c>
      <c r="D80" s="278" t="s">
        <v>190</v>
      </c>
      <c r="CL80" s="60"/>
    </row>
    <row r="81" spans="1:90" x14ac:dyDescent="0.2">
      <c r="A81" s="2"/>
      <c r="B81" s="109" t="s">
        <v>191</v>
      </c>
      <c r="C81" s="110"/>
      <c r="D81" s="278"/>
      <c r="CL81" s="60"/>
    </row>
    <row r="82" spans="1:90" x14ac:dyDescent="0.2">
      <c r="A82" s="2"/>
      <c r="B82" s="111"/>
      <c r="C82" s="112"/>
      <c r="D82" s="278"/>
      <c r="CL82" s="60"/>
    </row>
    <row r="83" spans="1:90" x14ac:dyDescent="0.2">
      <c r="A83" s="113" t="s">
        <v>192</v>
      </c>
      <c r="B83" s="102" t="s">
        <v>193</v>
      </c>
      <c r="C83" s="89" t="s">
        <v>194</v>
      </c>
      <c r="D83" s="31" t="s">
        <v>195</v>
      </c>
      <c r="E83" s="38" t="s">
        <v>196</v>
      </c>
      <c r="F83" s="103"/>
      <c r="G83" s="103"/>
      <c r="H83" s="104"/>
      <c r="I83" s="54"/>
      <c r="J83" s="54"/>
      <c r="K83" s="54"/>
      <c r="L83" s="54"/>
      <c r="M83" s="54"/>
      <c r="N83" s="54"/>
      <c r="O83" s="54"/>
      <c r="P83" s="54"/>
      <c r="Q83" s="54"/>
      <c r="R83" s="54"/>
      <c r="S83" s="54"/>
      <c r="T83" s="54"/>
      <c r="U83" s="54"/>
      <c r="V83" s="54"/>
      <c r="W83" s="54"/>
      <c r="X83" s="54"/>
      <c r="Y83" s="54"/>
      <c r="Z83" s="54"/>
      <c r="AA83" s="54"/>
      <c r="AB83" s="54"/>
      <c r="AC83" s="54"/>
      <c r="AD83" s="54"/>
      <c r="AE83" s="54"/>
      <c r="AF83" s="54"/>
      <c r="AG83" s="54"/>
      <c r="AH83" s="54"/>
      <c r="AI83" s="54"/>
      <c r="AJ83" s="54"/>
      <c r="AK83" s="54"/>
      <c r="AL83" s="54"/>
      <c r="AM83" s="54"/>
      <c r="AN83" s="54"/>
      <c r="AO83" s="54"/>
      <c r="AP83" s="54"/>
      <c r="AQ83" s="54"/>
      <c r="AR83" s="54"/>
      <c r="AS83" s="54"/>
      <c r="AT83" s="54"/>
      <c r="AU83" s="54"/>
      <c r="AV83" s="54"/>
      <c r="AW83" s="54"/>
      <c r="AX83" s="54"/>
      <c r="AY83" s="54"/>
      <c r="AZ83" s="54"/>
      <c r="BA83" s="54"/>
      <c r="BB83" s="54"/>
      <c r="BC83" s="54"/>
      <c r="BD83" s="54"/>
      <c r="BE83" s="54"/>
      <c r="BF83" s="54"/>
      <c r="BG83" s="54"/>
      <c r="BH83" s="54"/>
      <c r="BI83" s="54"/>
      <c r="BJ83" s="54"/>
      <c r="BK83" s="54"/>
      <c r="BL83" s="54"/>
      <c r="BM83" s="54"/>
      <c r="BN83" s="54"/>
      <c r="BO83" s="54"/>
      <c r="BP83" s="54"/>
      <c r="BQ83" s="54"/>
      <c r="BR83" s="54"/>
      <c r="BS83" s="54"/>
      <c r="BT83" s="54"/>
      <c r="BU83" s="54"/>
      <c r="BV83" s="54"/>
      <c r="BW83" s="54"/>
      <c r="BX83" s="54"/>
      <c r="BY83" s="54"/>
      <c r="BZ83" s="54"/>
      <c r="CA83" s="54"/>
      <c r="CB83" s="54"/>
      <c r="CC83" s="54"/>
      <c r="CD83" s="54"/>
      <c r="CE83" s="54"/>
      <c r="CF83" s="54"/>
      <c r="CG83" s="54"/>
      <c r="CH83" s="54"/>
      <c r="CI83" s="54"/>
      <c r="CJ83" s="54"/>
      <c r="CK83" s="54"/>
      <c r="CL83" s="56"/>
    </row>
    <row r="84" spans="1:90" ht="14.25" customHeight="1" x14ac:dyDescent="0.2">
      <c r="A84" s="2" t="s">
        <v>197</v>
      </c>
      <c r="B84" s="57" t="s">
        <v>198</v>
      </c>
      <c r="C84" s="57"/>
      <c r="D84" s="278" t="s">
        <v>175</v>
      </c>
      <c r="CL84" s="60"/>
    </row>
    <row r="85" spans="1:90" x14ac:dyDescent="0.2">
      <c r="A85" s="2"/>
      <c r="B85" s="57" t="s">
        <v>199</v>
      </c>
      <c r="C85" s="57"/>
      <c r="D85" s="278"/>
      <c r="CL85" s="60"/>
    </row>
    <row r="86" spans="1:90" x14ac:dyDescent="0.2">
      <c r="A86" s="2"/>
      <c r="B86" s="57" t="s">
        <v>200</v>
      </c>
      <c r="C86" s="57"/>
      <c r="D86" s="278"/>
      <c r="CL86" s="60"/>
    </row>
    <row r="87" spans="1:90" x14ac:dyDescent="0.2">
      <c r="A87" s="2"/>
      <c r="B87" s="57" t="s">
        <v>201</v>
      </c>
      <c r="C87" s="57"/>
      <c r="D87" s="278"/>
      <c r="CL87" s="60"/>
    </row>
    <row r="88" spans="1:90" ht="14.25" customHeight="1" x14ac:dyDescent="0.2">
      <c r="A88" s="2" t="s">
        <v>202</v>
      </c>
      <c r="B88" s="57" t="s">
        <v>180</v>
      </c>
      <c r="C88" s="57"/>
      <c r="D88" s="278" t="s">
        <v>175</v>
      </c>
      <c r="CL88" s="60"/>
    </row>
    <row r="89" spans="1:90" x14ac:dyDescent="0.2">
      <c r="A89" s="2"/>
      <c r="B89" s="57" t="s">
        <v>181</v>
      </c>
      <c r="C89" s="57"/>
      <c r="D89" s="278"/>
      <c r="CL89" s="60"/>
    </row>
    <row r="90" spans="1:90" x14ac:dyDescent="0.2">
      <c r="A90" s="2"/>
      <c r="B90" s="57" t="s">
        <v>182</v>
      </c>
      <c r="C90" s="57"/>
      <c r="D90" s="278"/>
      <c r="CL90" s="60"/>
    </row>
    <row r="91" spans="1:90" x14ac:dyDescent="0.2">
      <c r="A91" s="2"/>
      <c r="B91" s="57" t="s">
        <v>203</v>
      </c>
      <c r="C91" s="57"/>
      <c r="D91" s="278"/>
      <c r="CL91" s="60"/>
    </row>
    <row r="92" spans="1:90" ht="14.25" customHeight="1" x14ac:dyDescent="0.2">
      <c r="A92" s="2" t="s">
        <v>204</v>
      </c>
      <c r="B92" s="57" t="s">
        <v>205</v>
      </c>
      <c r="C92" s="57"/>
      <c r="D92" s="278" t="s">
        <v>175</v>
      </c>
      <c r="CL92" s="60"/>
    </row>
    <row r="93" spans="1:90" x14ac:dyDescent="0.2">
      <c r="A93" s="2"/>
      <c r="B93" s="57" t="s">
        <v>206</v>
      </c>
      <c r="C93" s="57"/>
      <c r="D93" s="278"/>
      <c r="CL93" s="60"/>
    </row>
    <row r="94" spans="1:90" x14ac:dyDescent="0.2">
      <c r="A94" s="2"/>
      <c r="B94" s="57" t="s">
        <v>207</v>
      </c>
      <c r="C94" s="57"/>
      <c r="D94" s="278"/>
      <c r="CL94" s="60"/>
    </row>
    <row r="95" spans="1:90" x14ac:dyDescent="0.2">
      <c r="A95" s="2"/>
      <c r="B95" s="57"/>
      <c r="C95" s="57"/>
      <c r="D95" s="278"/>
      <c r="CL95" s="60"/>
    </row>
    <row r="96" spans="1:90" ht="14.25" customHeight="1" x14ac:dyDescent="0.2">
      <c r="A96" s="2" t="s">
        <v>208</v>
      </c>
      <c r="B96" s="107" t="s">
        <v>188</v>
      </c>
      <c r="C96" s="108" t="s">
        <v>209</v>
      </c>
      <c r="D96" s="278" t="s">
        <v>190</v>
      </c>
      <c r="CL96" s="60"/>
    </row>
    <row r="97" spans="1:90" x14ac:dyDescent="0.2">
      <c r="A97" s="2"/>
      <c r="B97" s="109" t="s">
        <v>210</v>
      </c>
      <c r="C97" s="110"/>
      <c r="D97" s="278"/>
      <c r="CL97" s="60"/>
    </row>
    <row r="98" spans="1:90" x14ac:dyDescent="0.2">
      <c r="A98" s="2"/>
      <c r="B98" s="114"/>
      <c r="C98" s="110"/>
      <c r="D98" s="278"/>
      <c r="CL98" s="60"/>
    </row>
    <row r="99" spans="1:90" x14ac:dyDescent="0.2">
      <c r="A99" s="113" t="s">
        <v>211</v>
      </c>
      <c r="B99" s="55"/>
      <c r="C99" s="55"/>
      <c r="D99" s="31" t="s">
        <v>212</v>
      </c>
      <c r="E99" s="38" t="s">
        <v>213</v>
      </c>
      <c r="F99" s="115"/>
      <c r="G99" s="115"/>
      <c r="H99" s="115"/>
      <c r="I99" s="54"/>
      <c r="J99" s="54"/>
      <c r="K99" s="54"/>
      <c r="L99" s="54"/>
      <c r="M99" s="54"/>
      <c r="N99" s="54"/>
      <c r="O99" s="54"/>
      <c r="P99" s="54"/>
      <c r="Q99" s="54"/>
      <c r="R99" s="54"/>
      <c r="S99" s="54"/>
      <c r="T99" s="54"/>
      <c r="U99" s="54"/>
      <c r="V99" s="54"/>
      <c r="W99" s="54"/>
      <c r="X99" s="54"/>
      <c r="Y99" s="54"/>
      <c r="Z99" s="54"/>
      <c r="AA99" s="54"/>
      <c r="AB99" s="54"/>
      <c r="AC99" s="54"/>
      <c r="AD99" s="54"/>
      <c r="AE99" s="54"/>
      <c r="AF99" s="54"/>
      <c r="AG99" s="54"/>
      <c r="AH99" s="54"/>
      <c r="AI99" s="54"/>
      <c r="AJ99" s="54"/>
      <c r="AK99" s="54"/>
      <c r="AL99" s="54"/>
      <c r="AM99" s="54"/>
      <c r="AN99" s="54"/>
      <c r="AO99" s="54"/>
      <c r="AP99" s="54"/>
      <c r="AQ99" s="54"/>
      <c r="AR99" s="54"/>
      <c r="AS99" s="54"/>
      <c r="AT99" s="54"/>
      <c r="AU99" s="54"/>
      <c r="AV99" s="54"/>
      <c r="AW99" s="54"/>
      <c r="AX99" s="54"/>
      <c r="AY99" s="54"/>
      <c r="AZ99" s="54"/>
      <c r="BA99" s="54"/>
      <c r="BB99" s="54"/>
      <c r="BC99" s="54"/>
      <c r="BD99" s="54"/>
      <c r="BE99" s="54"/>
      <c r="BF99" s="54"/>
      <c r="BG99" s="54"/>
      <c r="BH99" s="54"/>
      <c r="BI99" s="54"/>
      <c r="BJ99" s="54"/>
      <c r="BK99" s="54"/>
      <c r="BL99" s="54"/>
      <c r="BM99" s="54"/>
      <c r="BN99" s="54"/>
      <c r="BO99" s="54"/>
      <c r="BP99" s="54"/>
      <c r="BQ99" s="54"/>
      <c r="BR99" s="54"/>
      <c r="BS99" s="54"/>
      <c r="BT99" s="54"/>
      <c r="BU99" s="54"/>
      <c r="BV99" s="54"/>
      <c r="BW99" s="54"/>
      <c r="BX99" s="54"/>
      <c r="BY99" s="54"/>
      <c r="BZ99" s="54"/>
      <c r="CA99" s="54"/>
      <c r="CB99" s="54"/>
      <c r="CC99" s="54"/>
      <c r="CD99" s="54"/>
      <c r="CE99" s="54"/>
      <c r="CF99" s="54"/>
      <c r="CG99" s="54"/>
      <c r="CH99" s="54"/>
      <c r="CI99" s="54"/>
      <c r="CJ99" s="54"/>
      <c r="CK99" s="54"/>
      <c r="CL99" s="56"/>
    </row>
    <row r="100" spans="1:90" ht="14.25" customHeight="1" x14ac:dyDescent="0.2">
      <c r="A100" s="2" t="s">
        <v>214</v>
      </c>
      <c r="B100" s="57" t="s">
        <v>215</v>
      </c>
      <c r="C100" s="57" t="s">
        <v>216</v>
      </c>
      <c r="D100" s="278" t="s">
        <v>217</v>
      </c>
      <c r="CL100" s="60"/>
    </row>
    <row r="101" spans="1:90" x14ac:dyDescent="0.2">
      <c r="A101" s="2"/>
      <c r="B101" s="57" t="s">
        <v>218</v>
      </c>
      <c r="C101" s="57"/>
      <c r="D101" s="278"/>
      <c r="CL101" s="60"/>
    </row>
    <row r="102" spans="1:90" x14ac:dyDescent="0.2">
      <c r="A102" s="2"/>
      <c r="B102" s="57" t="s">
        <v>219</v>
      </c>
      <c r="C102" s="57"/>
      <c r="D102" s="278"/>
      <c r="CL102" s="60"/>
    </row>
    <row r="103" spans="1:90" x14ac:dyDescent="0.2">
      <c r="A103" s="2"/>
      <c r="B103" s="57" t="s">
        <v>220</v>
      </c>
      <c r="C103" s="57"/>
      <c r="D103" s="278"/>
      <c r="CL103" s="60"/>
    </row>
    <row r="104" spans="1:90" x14ac:dyDescent="0.2">
      <c r="A104" s="113" t="s">
        <v>221</v>
      </c>
      <c r="B104" s="54"/>
      <c r="C104" s="54"/>
      <c r="D104" s="31" t="s">
        <v>222</v>
      </c>
      <c r="E104" s="38" t="s">
        <v>223</v>
      </c>
      <c r="F104" s="115"/>
      <c r="G104" s="115"/>
      <c r="H104" s="115"/>
      <c r="I104" s="54"/>
      <c r="J104" s="54"/>
      <c r="K104" s="54"/>
      <c r="L104" s="54"/>
      <c r="M104" s="54"/>
      <c r="N104" s="54"/>
      <c r="O104" s="54"/>
      <c r="P104" s="54"/>
      <c r="Q104" s="54"/>
      <c r="R104" s="54"/>
      <c r="S104" s="54"/>
      <c r="T104" s="54"/>
      <c r="U104" s="54"/>
      <c r="V104" s="54"/>
      <c r="W104" s="54"/>
      <c r="X104" s="54"/>
      <c r="Y104" s="54"/>
      <c r="Z104" s="54"/>
      <c r="AA104" s="54"/>
      <c r="AB104" s="54"/>
      <c r="AC104" s="54"/>
      <c r="AD104" s="54"/>
      <c r="AE104" s="54"/>
      <c r="AF104" s="54"/>
      <c r="AG104" s="54"/>
      <c r="AH104" s="54"/>
      <c r="AI104" s="54"/>
      <c r="AJ104" s="54"/>
      <c r="AK104" s="54"/>
      <c r="AL104" s="54"/>
      <c r="AM104" s="54"/>
      <c r="AN104" s="54"/>
      <c r="AO104" s="54"/>
      <c r="AP104" s="54"/>
      <c r="AQ104" s="54"/>
      <c r="AR104" s="54"/>
      <c r="AS104" s="54"/>
      <c r="AT104" s="54"/>
      <c r="AU104" s="54"/>
      <c r="AV104" s="54"/>
      <c r="AW104" s="54"/>
      <c r="AX104" s="54"/>
      <c r="AY104" s="54"/>
      <c r="AZ104" s="54"/>
      <c r="BA104" s="54"/>
      <c r="BB104" s="54"/>
      <c r="BC104" s="54"/>
      <c r="BD104" s="54"/>
      <c r="BE104" s="54"/>
      <c r="BF104" s="54"/>
      <c r="BG104" s="54"/>
      <c r="BH104" s="54"/>
      <c r="BI104" s="54"/>
      <c r="BJ104" s="54"/>
      <c r="BK104" s="54"/>
      <c r="BL104" s="54"/>
      <c r="BM104" s="54"/>
      <c r="BN104" s="54"/>
      <c r="BO104" s="54"/>
      <c r="BP104" s="54"/>
      <c r="BQ104" s="54"/>
      <c r="BR104" s="54"/>
      <c r="BS104" s="54"/>
      <c r="BT104" s="54"/>
      <c r="BU104" s="54"/>
      <c r="BV104" s="54"/>
      <c r="BW104" s="54"/>
      <c r="BX104" s="54"/>
      <c r="BY104" s="54"/>
      <c r="BZ104" s="54"/>
      <c r="CA104" s="54"/>
      <c r="CB104" s="54"/>
      <c r="CC104" s="54"/>
      <c r="CD104" s="54"/>
      <c r="CE104" s="54"/>
      <c r="CF104" s="54"/>
      <c r="CG104" s="54"/>
      <c r="CH104" s="54"/>
      <c r="CI104" s="54"/>
      <c r="CJ104" s="54"/>
      <c r="CK104" s="54"/>
      <c r="CL104" s="56"/>
    </row>
    <row r="105" spans="1:90" ht="14.25" customHeight="1" x14ac:dyDescent="0.2">
      <c r="A105" s="2" t="s">
        <v>224</v>
      </c>
      <c r="B105" s="57" t="s">
        <v>225</v>
      </c>
      <c r="C105" s="57"/>
      <c r="D105" s="278" t="s">
        <v>217</v>
      </c>
      <c r="CL105" s="60"/>
    </row>
    <row r="106" spans="1:90" x14ac:dyDescent="0.2">
      <c r="A106" s="2"/>
      <c r="B106" s="116" t="s">
        <v>226</v>
      </c>
      <c r="C106" s="57"/>
      <c r="D106" s="278"/>
      <c r="CL106" s="60"/>
    </row>
    <row r="107" spans="1:90" x14ac:dyDescent="0.2">
      <c r="A107" s="2"/>
      <c r="B107" s="57" t="s">
        <v>227</v>
      </c>
      <c r="C107" s="57"/>
      <c r="D107" s="278"/>
      <c r="CL107" s="60"/>
    </row>
    <row r="108" spans="1:90" x14ac:dyDescent="0.2">
      <c r="A108" s="2"/>
      <c r="B108" s="41"/>
      <c r="C108" s="57"/>
      <c r="D108" s="278"/>
      <c r="H108" s="117"/>
      <c r="I108" s="117"/>
      <c r="J108" s="117"/>
      <c r="K108" s="117"/>
      <c r="L108" s="117"/>
      <c r="M108" s="117"/>
      <c r="N108" s="117"/>
      <c r="O108" s="117"/>
      <c r="P108" s="117"/>
      <c r="Q108" s="117"/>
      <c r="R108" s="117"/>
      <c r="S108" s="117"/>
      <c r="T108" s="117"/>
      <c r="U108" s="117"/>
      <c r="V108" s="117"/>
      <c r="W108" s="117"/>
      <c r="X108" s="117"/>
      <c r="Y108" s="117"/>
      <c r="Z108" s="117"/>
      <c r="AA108" s="117"/>
      <c r="AB108" s="117"/>
      <c r="AC108" s="117"/>
      <c r="AD108" s="117"/>
      <c r="AE108" s="117"/>
      <c r="AF108" s="117"/>
      <c r="AG108" s="117"/>
      <c r="AH108" s="117"/>
      <c r="AI108" s="117"/>
      <c r="AJ108" s="117"/>
      <c r="AK108" s="117"/>
      <c r="AL108" s="117"/>
      <c r="AM108" s="117"/>
      <c r="AN108" s="117"/>
      <c r="AO108" s="117"/>
      <c r="AP108" s="117"/>
      <c r="AQ108" s="117"/>
      <c r="AR108" s="117"/>
      <c r="AS108" s="117"/>
      <c r="AT108" s="117"/>
      <c r="AU108" s="117"/>
      <c r="AV108" s="117"/>
      <c r="AW108" s="117"/>
      <c r="AX108" s="117"/>
      <c r="AY108" s="117"/>
      <c r="AZ108" s="117"/>
      <c r="BA108" s="117"/>
      <c r="BB108" s="117"/>
      <c r="BC108" s="117"/>
      <c r="BD108" s="117"/>
      <c r="BE108" s="117"/>
      <c r="BF108" s="117"/>
      <c r="BG108" s="117"/>
      <c r="BH108" s="117"/>
      <c r="BI108" s="117"/>
      <c r="BJ108" s="117"/>
      <c r="BK108" s="117"/>
      <c r="BL108" s="117"/>
      <c r="BM108" s="117"/>
      <c r="BN108" s="117"/>
      <c r="BO108" s="117"/>
      <c r="BP108" s="117"/>
      <c r="BQ108" s="117"/>
      <c r="BR108" s="117"/>
      <c r="BS108" s="117"/>
      <c r="BT108" s="117"/>
      <c r="BU108" s="117"/>
      <c r="BV108" s="117"/>
      <c r="BW108" s="117"/>
      <c r="BX108" s="117"/>
      <c r="BY108" s="117"/>
      <c r="BZ108" s="117"/>
      <c r="CA108" s="117"/>
      <c r="CB108" s="117"/>
      <c r="CC108" s="117"/>
      <c r="CD108" s="117"/>
      <c r="CE108" s="117"/>
      <c r="CF108" s="117"/>
      <c r="CG108" s="117"/>
      <c r="CH108" s="117"/>
      <c r="CI108" s="117"/>
      <c r="CJ108" s="117"/>
      <c r="CK108" s="117"/>
      <c r="CL108" s="118"/>
    </row>
    <row r="109" spans="1:90" x14ac:dyDescent="0.2">
      <c r="A109" s="113" t="s">
        <v>228</v>
      </c>
      <c r="B109" s="55"/>
      <c r="C109" s="55"/>
      <c r="D109" s="54"/>
      <c r="E109" s="54"/>
      <c r="F109" s="54"/>
      <c r="G109" s="54"/>
      <c r="H109" s="54"/>
      <c r="I109" s="54"/>
      <c r="J109" s="54"/>
      <c r="K109" s="54"/>
      <c r="L109" s="54"/>
      <c r="M109" s="54"/>
      <c r="N109" s="54"/>
      <c r="O109" s="54"/>
      <c r="P109" s="54"/>
      <c r="Q109" s="54"/>
      <c r="R109" s="54"/>
      <c r="S109" s="54"/>
      <c r="T109" s="54"/>
      <c r="U109" s="54"/>
      <c r="V109" s="54"/>
      <c r="W109" s="54"/>
      <c r="X109" s="54"/>
      <c r="Y109" s="54"/>
      <c r="Z109" s="54"/>
      <c r="AA109" s="54"/>
      <c r="AB109" s="54"/>
      <c r="AC109" s="54"/>
      <c r="AD109" s="54"/>
      <c r="AE109" s="54"/>
      <c r="AF109" s="54"/>
      <c r="AG109" s="54"/>
      <c r="AH109" s="54"/>
      <c r="AI109" s="54"/>
      <c r="AJ109" s="54"/>
      <c r="AK109" s="54"/>
      <c r="AL109" s="54"/>
      <c r="AM109" s="54"/>
      <c r="AN109" s="54"/>
      <c r="AO109" s="54"/>
      <c r="AP109" s="54"/>
      <c r="AQ109" s="54"/>
      <c r="AR109" s="54"/>
      <c r="AS109" s="54"/>
      <c r="AT109" s="54"/>
      <c r="AU109" s="54"/>
      <c r="AV109" s="54"/>
      <c r="AW109" s="54"/>
      <c r="AX109" s="54"/>
      <c r="AY109" s="54"/>
      <c r="AZ109" s="54"/>
      <c r="BA109" s="54"/>
      <c r="BB109" s="54"/>
      <c r="BC109" s="54"/>
      <c r="BD109" s="54"/>
      <c r="BE109" s="54"/>
      <c r="BF109" s="54"/>
      <c r="BG109" s="54"/>
      <c r="BH109" s="54"/>
      <c r="BI109" s="54"/>
      <c r="BJ109" s="54"/>
      <c r="BK109" s="54"/>
      <c r="BL109" s="54"/>
      <c r="BM109" s="54"/>
      <c r="BN109" s="54"/>
      <c r="BO109" s="54"/>
      <c r="BP109" s="54"/>
      <c r="BQ109" s="54"/>
      <c r="BR109" s="54"/>
      <c r="BS109" s="54"/>
      <c r="BT109" s="54"/>
      <c r="BU109" s="54"/>
      <c r="BV109" s="54"/>
      <c r="BW109" s="54"/>
      <c r="BX109" s="54"/>
      <c r="BY109" s="54"/>
      <c r="BZ109" s="54"/>
      <c r="CA109" s="54"/>
      <c r="CB109" s="54"/>
      <c r="CC109" s="54"/>
      <c r="CD109" s="54"/>
      <c r="CE109" s="54"/>
      <c r="CF109" s="54"/>
      <c r="CG109" s="54"/>
      <c r="CH109" s="54"/>
      <c r="CI109" s="54"/>
      <c r="CJ109" s="54"/>
      <c r="CK109" s="54"/>
      <c r="CL109" s="56"/>
    </row>
    <row r="110" spans="1:90" x14ac:dyDescent="0.2">
      <c r="A110" s="31" t="s">
        <v>229</v>
      </c>
      <c r="B110" s="41" t="s">
        <v>97</v>
      </c>
      <c r="C110" s="78" t="s">
        <v>98</v>
      </c>
      <c r="D110" s="104"/>
      <c r="K110" s="119"/>
      <c r="L110" s="119"/>
      <c r="M110" s="119"/>
      <c r="N110" s="119"/>
      <c r="O110" s="119"/>
      <c r="P110" s="119"/>
      <c r="Q110" s="119"/>
      <c r="R110" s="119"/>
      <c r="S110" s="119"/>
      <c r="T110" s="119"/>
    </row>
    <row r="111" spans="1:90" x14ac:dyDescent="0.2">
      <c r="A111" s="113" t="s">
        <v>230</v>
      </c>
      <c r="B111" s="55"/>
      <c r="C111" s="55"/>
      <c r="D111" s="54"/>
      <c r="E111" s="54"/>
      <c r="F111" s="54"/>
      <c r="G111" s="54"/>
      <c r="H111" s="54"/>
      <c r="I111" s="54"/>
      <c r="J111" s="54"/>
      <c r="K111" s="54"/>
      <c r="L111" s="54"/>
      <c r="M111" s="54"/>
      <c r="N111" s="54"/>
      <c r="O111" s="54"/>
      <c r="P111" s="54"/>
      <c r="Q111" s="54"/>
      <c r="R111" s="54"/>
      <c r="S111" s="54"/>
      <c r="T111" s="54"/>
      <c r="U111" s="54"/>
      <c r="V111" s="54"/>
      <c r="W111" s="54"/>
      <c r="X111" s="54"/>
      <c r="Y111" s="54"/>
      <c r="Z111" s="54"/>
      <c r="AA111" s="54"/>
      <c r="AB111" s="54"/>
      <c r="AC111" s="54"/>
      <c r="AD111" s="54"/>
      <c r="AE111" s="54"/>
      <c r="AF111" s="54"/>
      <c r="AG111" s="54"/>
      <c r="AH111" s="54"/>
      <c r="AI111" s="54"/>
      <c r="AJ111" s="54"/>
      <c r="AK111" s="54"/>
      <c r="AL111" s="54"/>
      <c r="AM111" s="54"/>
      <c r="AN111" s="54"/>
      <c r="AO111" s="54"/>
      <c r="AP111" s="54"/>
      <c r="AQ111" s="54"/>
      <c r="AR111" s="54"/>
      <c r="AS111" s="54"/>
      <c r="AT111" s="54"/>
      <c r="AU111" s="54"/>
      <c r="AV111" s="54"/>
      <c r="AW111" s="54"/>
      <c r="AX111" s="54"/>
      <c r="AY111" s="54"/>
      <c r="AZ111" s="54"/>
      <c r="BA111" s="54"/>
      <c r="BB111" s="54"/>
      <c r="BC111" s="54"/>
      <c r="BD111" s="54"/>
      <c r="BE111" s="54"/>
      <c r="BF111" s="54"/>
      <c r="BG111" s="54"/>
      <c r="BH111" s="54"/>
      <c r="BI111" s="54"/>
      <c r="BJ111" s="54"/>
      <c r="BK111" s="54"/>
      <c r="BL111" s="54"/>
      <c r="BM111" s="54"/>
      <c r="BN111" s="54"/>
      <c r="BO111" s="54"/>
      <c r="BP111" s="54"/>
      <c r="BQ111" s="54"/>
      <c r="BR111" s="54"/>
      <c r="BS111" s="54"/>
      <c r="BT111" s="54"/>
      <c r="BU111" s="54"/>
      <c r="BV111" s="54"/>
      <c r="BW111" s="54"/>
      <c r="BX111" s="54"/>
      <c r="BY111" s="54"/>
      <c r="BZ111" s="54"/>
      <c r="CA111" s="54"/>
      <c r="CB111" s="54"/>
      <c r="CC111" s="54"/>
      <c r="CD111" s="54"/>
      <c r="CE111" s="54"/>
      <c r="CF111" s="54"/>
      <c r="CG111" s="54"/>
      <c r="CH111" s="54"/>
      <c r="CI111" s="54"/>
      <c r="CJ111" s="54"/>
      <c r="CK111" s="54"/>
      <c r="CL111" s="56"/>
    </row>
    <row r="112" spans="1:90" x14ac:dyDescent="0.2">
      <c r="A112" s="31" t="s">
        <v>231</v>
      </c>
      <c r="B112" s="41" t="s">
        <v>97</v>
      </c>
      <c r="C112" s="78" t="s">
        <v>98</v>
      </c>
      <c r="D112" s="104"/>
      <c r="K112" s="119"/>
      <c r="L112" s="119"/>
      <c r="M112" s="119"/>
      <c r="N112" s="119"/>
      <c r="O112" s="119"/>
      <c r="P112" s="119"/>
      <c r="Q112" s="119"/>
      <c r="R112" s="119"/>
      <c r="S112" s="119"/>
      <c r="T112" s="119"/>
    </row>
    <row r="113" spans="1:20" x14ac:dyDescent="0.2">
      <c r="K113" s="119"/>
      <c r="L113" s="119"/>
      <c r="M113" s="119"/>
      <c r="N113" s="119"/>
      <c r="O113" s="119"/>
      <c r="P113" s="119"/>
      <c r="Q113" s="119"/>
      <c r="R113" s="119"/>
      <c r="S113" s="119"/>
      <c r="T113" s="119"/>
    </row>
    <row r="114" spans="1:20" x14ac:dyDescent="0.2">
      <c r="A114" s="102" t="s">
        <v>232</v>
      </c>
      <c r="B114" s="54"/>
      <c r="C114" s="54"/>
      <c r="D114" s="54"/>
      <c r="E114" s="120"/>
      <c r="K114" s="119"/>
      <c r="L114" s="119"/>
      <c r="M114" s="119"/>
      <c r="N114" s="119"/>
      <c r="O114" s="119"/>
      <c r="P114" s="119"/>
      <c r="Q114" s="119"/>
      <c r="R114" s="119"/>
      <c r="S114" s="119"/>
      <c r="T114" s="119"/>
    </row>
    <row r="115" spans="1:20" x14ac:dyDescent="0.2">
      <c r="A115" s="279"/>
      <c r="B115" s="279"/>
      <c r="C115" s="279"/>
      <c r="D115" s="279"/>
      <c r="E115" s="279"/>
    </row>
    <row r="116" spans="1:20" x14ac:dyDescent="0.2">
      <c r="A116" s="86"/>
      <c r="B116" s="121"/>
      <c r="C116" s="280"/>
      <c r="D116" s="280"/>
      <c r="E116" s="280"/>
    </row>
    <row r="117" spans="1:20" x14ac:dyDescent="0.2">
      <c r="C117" s="119"/>
      <c r="D117" s="119"/>
      <c r="E117" s="119"/>
      <c r="F117" s="119"/>
      <c r="G117" s="119"/>
      <c r="H117" s="119"/>
    </row>
    <row r="118" spans="1:20" x14ac:dyDescent="0.2">
      <c r="A118" s="102" t="s">
        <v>233</v>
      </c>
      <c r="B118" s="54"/>
      <c r="C118" s="77"/>
      <c r="D118" s="77"/>
      <c r="E118" s="123"/>
      <c r="F118" s="119"/>
      <c r="G118" s="119"/>
      <c r="H118" s="119"/>
      <c r="I118" s="119"/>
      <c r="J118" s="119"/>
      <c r="K118" s="119"/>
      <c r="L118" s="119"/>
      <c r="M118" s="119"/>
      <c r="N118" s="119"/>
      <c r="O118" s="119"/>
      <c r="P118" s="119"/>
      <c r="Q118" s="119"/>
      <c r="R118" s="119"/>
      <c r="S118" s="119"/>
      <c r="T118" s="119"/>
    </row>
    <row r="119" spans="1:20" x14ac:dyDescent="0.2">
      <c r="A119" s="86" t="s">
        <v>234</v>
      </c>
      <c r="B119" s="87" t="s">
        <v>28</v>
      </c>
      <c r="C119" s="281" t="s">
        <v>235</v>
      </c>
      <c r="D119" s="281"/>
      <c r="E119" s="124"/>
      <c r="F119" s="119"/>
      <c r="G119" s="119"/>
      <c r="H119" s="119"/>
      <c r="I119" s="125"/>
      <c r="J119" s="125"/>
      <c r="K119" s="125"/>
      <c r="L119" s="125"/>
      <c r="M119" s="125"/>
      <c r="N119" s="125"/>
      <c r="O119" s="125"/>
      <c r="P119" s="125"/>
      <c r="Q119" s="125"/>
      <c r="R119" s="125"/>
      <c r="S119" s="125"/>
      <c r="T119" s="125"/>
    </row>
    <row r="120" spans="1:20" x14ac:dyDescent="0.2">
      <c r="B120" s="119"/>
      <c r="C120" s="119"/>
      <c r="D120" s="119"/>
      <c r="E120" s="126"/>
      <c r="F120" s="119"/>
      <c r="G120" s="119"/>
      <c r="H120" s="119"/>
      <c r="I120" s="127"/>
      <c r="J120" s="127"/>
      <c r="K120" s="127"/>
      <c r="L120" s="127"/>
      <c r="M120" s="127"/>
      <c r="N120" s="127"/>
      <c r="O120" s="127"/>
      <c r="P120" s="127"/>
      <c r="Q120" s="127"/>
      <c r="R120" s="127"/>
      <c r="S120" s="127"/>
      <c r="T120" s="127"/>
    </row>
    <row r="121" spans="1:20" x14ac:dyDescent="0.2">
      <c r="A121" s="102" t="s">
        <v>236</v>
      </c>
      <c r="B121" s="54"/>
      <c r="C121" s="54"/>
      <c r="D121" s="54"/>
      <c r="E121" s="54"/>
      <c r="F121" s="123"/>
      <c r="G121" s="119"/>
      <c r="H121" s="119"/>
      <c r="I121" s="127"/>
      <c r="J121" s="127"/>
      <c r="K121" s="127"/>
      <c r="L121" s="127"/>
      <c r="M121" s="127"/>
      <c r="N121" s="127"/>
      <c r="O121" s="127"/>
      <c r="P121" s="127"/>
      <c r="Q121" s="127"/>
      <c r="R121" s="127"/>
      <c r="S121" s="127"/>
      <c r="T121" s="127"/>
    </row>
    <row r="122" spans="1:20" x14ac:dyDescent="0.2">
      <c r="A122" s="282" t="s">
        <v>237</v>
      </c>
      <c r="B122" s="128" t="s">
        <v>238</v>
      </c>
      <c r="C122" s="129" t="s">
        <v>239</v>
      </c>
      <c r="D122" s="283" t="s">
        <v>240</v>
      </c>
      <c r="E122" s="284" t="s">
        <v>238</v>
      </c>
      <c r="F122" s="278" t="s">
        <v>239</v>
      </c>
      <c r="G122" s="278"/>
    </row>
    <row r="123" spans="1:20" ht="32" x14ac:dyDescent="0.2">
      <c r="A123" s="282"/>
      <c r="B123" s="130" t="s">
        <v>241</v>
      </c>
      <c r="C123" s="131" t="s">
        <v>242</v>
      </c>
      <c r="D123" s="283"/>
      <c r="E123" s="284"/>
      <c r="F123" s="278"/>
      <c r="G123" s="278"/>
    </row>
    <row r="124" spans="1:20" x14ac:dyDescent="0.2">
      <c r="A124" s="282" t="s">
        <v>243</v>
      </c>
      <c r="B124" s="128" t="s">
        <v>238</v>
      </c>
      <c r="C124" s="129" t="s">
        <v>239</v>
      </c>
      <c r="D124" s="283"/>
      <c r="E124" s="285" t="s">
        <v>241</v>
      </c>
      <c r="F124" s="286" t="s">
        <v>242</v>
      </c>
      <c r="G124" s="286"/>
    </row>
    <row r="125" spans="1:20" ht="32" x14ac:dyDescent="0.2">
      <c r="A125" s="282"/>
      <c r="B125" s="130" t="s">
        <v>241</v>
      </c>
      <c r="C125" s="131" t="s">
        <v>242</v>
      </c>
      <c r="D125" s="283"/>
      <c r="E125" s="285"/>
      <c r="F125" s="286"/>
      <c r="G125" s="286"/>
    </row>
    <row r="126" spans="1:20" x14ac:dyDescent="0.2">
      <c r="A126" s="282" t="s">
        <v>244</v>
      </c>
      <c r="B126" s="128" t="s">
        <v>238</v>
      </c>
      <c r="C126" s="129" t="s">
        <v>239</v>
      </c>
      <c r="D126" s="282" t="s">
        <v>245</v>
      </c>
      <c r="E126" s="285" t="s">
        <v>238</v>
      </c>
      <c r="F126" s="278" t="s">
        <v>239</v>
      </c>
      <c r="G126" s="278"/>
      <c r="I126" s="125"/>
      <c r="J126" s="125"/>
      <c r="K126" s="125"/>
      <c r="L126" s="125"/>
      <c r="M126" s="125"/>
      <c r="N126" s="125"/>
      <c r="O126" s="125"/>
      <c r="P126" s="125"/>
      <c r="Q126" s="125"/>
      <c r="R126" s="125"/>
      <c r="S126" s="125"/>
      <c r="T126" s="125"/>
    </row>
    <row r="127" spans="1:20" ht="32" x14ac:dyDescent="0.2">
      <c r="A127" s="282"/>
      <c r="B127" s="130" t="s">
        <v>241</v>
      </c>
      <c r="C127" s="131" t="s">
        <v>242</v>
      </c>
      <c r="D127" s="282"/>
      <c r="E127" s="285"/>
      <c r="F127" s="278"/>
      <c r="G127" s="278"/>
      <c r="I127" s="125"/>
      <c r="J127" s="125"/>
      <c r="K127" s="125"/>
      <c r="L127" s="125"/>
      <c r="M127" s="125"/>
      <c r="N127" s="125"/>
      <c r="O127" s="125"/>
      <c r="P127" s="125"/>
      <c r="Q127" s="125"/>
      <c r="R127" s="125"/>
      <c r="S127" s="125"/>
      <c r="T127" s="125"/>
    </row>
    <row r="128" spans="1:20" x14ac:dyDescent="0.2">
      <c r="A128" s="282" t="s">
        <v>246</v>
      </c>
      <c r="B128" s="128" t="s">
        <v>238</v>
      </c>
      <c r="C128" s="129" t="s">
        <v>239</v>
      </c>
      <c r="D128" s="282"/>
      <c r="E128" s="285" t="s">
        <v>241</v>
      </c>
      <c r="F128" s="287" t="s">
        <v>242</v>
      </c>
      <c r="G128" s="287"/>
      <c r="I128" s="125"/>
      <c r="J128" s="125"/>
      <c r="K128" s="125"/>
      <c r="L128" s="125"/>
      <c r="M128" s="125"/>
      <c r="N128" s="125"/>
      <c r="O128" s="125"/>
      <c r="P128" s="125"/>
      <c r="Q128" s="125"/>
      <c r="R128" s="125"/>
      <c r="S128" s="125"/>
      <c r="T128" s="125"/>
    </row>
    <row r="129" spans="1:20" ht="32" x14ac:dyDescent="0.2">
      <c r="A129" s="282"/>
      <c r="B129" s="130" t="s">
        <v>241</v>
      </c>
      <c r="C129" s="131" t="s">
        <v>242</v>
      </c>
      <c r="D129" s="282"/>
      <c r="E129" s="285"/>
      <c r="F129" s="287"/>
      <c r="G129" s="287"/>
      <c r="I129" s="125"/>
      <c r="J129" s="125"/>
      <c r="K129" s="125"/>
      <c r="L129" s="125"/>
      <c r="M129" s="125"/>
      <c r="N129" s="125"/>
      <c r="O129" s="125"/>
      <c r="P129" s="125"/>
      <c r="Q129" s="125"/>
      <c r="R129" s="125"/>
      <c r="S129" s="125"/>
      <c r="T129" s="125"/>
    </row>
    <row r="130" spans="1:20" x14ac:dyDescent="0.2">
      <c r="A130" s="282" t="s">
        <v>211</v>
      </c>
      <c r="B130" s="128" t="s">
        <v>238</v>
      </c>
      <c r="C130" s="42" t="s">
        <v>239</v>
      </c>
      <c r="D130" s="38"/>
      <c r="G130" s="132"/>
      <c r="I130" s="125"/>
      <c r="J130" s="125"/>
      <c r="K130" s="125"/>
      <c r="L130" s="125"/>
      <c r="M130" s="125"/>
      <c r="N130" s="125"/>
      <c r="O130" s="125"/>
      <c r="P130" s="125"/>
      <c r="Q130" s="125"/>
      <c r="R130" s="125"/>
      <c r="S130" s="125"/>
      <c r="T130" s="125"/>
    </row>
    <row r="131" spans="1:20" ht="32" x14ac:dyDescent="0.2">
      <c r="A131" s="282"/>
      <c r="B131" s="130" t="s">
        <v>241</v>
      </c>
      <c r="C131" s="42" t="s">
        <v>242</v>
      </c>
      <c r="D131" s="38"/>
    </row>
    <row r="132" spans="1:20" x14ac:dyDescent="0.2">
      <c r="A132" s="133" t="s">
        <v>247</v>
      </c>
    </row>
    <row r="134" spans="1:20" hidden="1" x14ac:dyDescent="0.2"/>
    <row r="135" spans="1:20" hidden="1" x14ac:dyDescent="0.2"/>
    <row r="136" spans="1:20" hidden="1" x14ac:dyDescent="0.2"/>
    <row r="137" spans="1:20" hidden="1" x14ac:dyDescent="0.2"/>
    <row r="138" spans="1:20" hidden="1" x14ac:dyDescent="0.2"/>
    <row r="139" spans="1:20" hidden="1" x14ac:dyDescent="0.2"/>
    <row r="140" spans="1:20" hidden="1" x14ac:dyDescent="0.2"/>
    <row r="141" spans="1:20" hidden="1" x14ac:dyDescent="0.2"/>
    <row r="142" spans="1:20" hidden="1" x14ac:dyDescent="0.2"/>
    <row r="143" spans="1:20" hidden="1" x14ac:dyDescent="0.2"/>
    <row r="144" spans="1:20" hidden="1" x14ac:dyDescent="0.2"/>
    <row r="145" hidden="1" x14ac:dyDescent="0.2"/>
    <row r="146" hidden="1" x14ac:dyDescent="0.2"/>
    <row r="147" hidden="1" x14ac:dyDescent="0.2"/>
    <row r="148" hidden="1" x14ac:dyDescent="0.2"/>
    <row r="149" hidden="1" x14ac:dyDescent="0.2"/>
    <row r="150" hidden="1" x14ac:dyDescent="0.2"/>
    <row r="151" hidden="1" x14ac:dyDescent="0.2"/>
    <row r="152" hidden="1" x14ac:dyDescent="0.2"/>
    <row r="153" hidden="1" x14ac:dyDescent="0.2"/>
    <row r="154" hidden="1" x14ac:dyDescent="0.2"/>
    <row r="155" hidden="1" x14ac:dyDescent="0.2"/>
    <row r="156" hidden="1" x14ac:dyDescent="0.2"/>
    <row r="157" hidden="1" x14ac:dyDescent="0.2"/>
    <row r="158" hidden="1" x14ac:dyDescent="0.2"/>
    <row r="159" hidden="1" x14ac:dyDescent="0.2"/>
    <row r="160" hidden="1" x14ac:dyDescent="0.2"/>
    <row r="161" spans="1:10" hidden="1" x14ac:dyDescent="0.2"/>
    <row r="162" spans="1:10" hidden="1" x14ac:dyDescent="0.2"/>
    <row r="163" spans="1:10" hidden="1" x14ac:dyDescent="0.2"/>
    <row r="164" spans="1:10" hidden="1" x14ac:dyDescent="0.2"/>
    <row r="166" spans="1:10" s="54" customFormat="1" x14ac:dyDescent="0.2">
      <c r="A166" s="102" t="s">
        <v>248</v>
      </c>
      <c r="E166" s="120"/>
    </row>
    <row r="167" spans="1:10" x14ac:dyDescent="0.2">
      <c r="A167" s="86" t="s">
        <v>249</v>
      </c>
      <c r="B167" s="87" t="s">
        <v>28</v>
      </c>
      <c r="C167" s="122" t="s">
        <v>250</v>
      </c>
      <c r="D167" s="134" t="s">
        <v>251</v>
      </c>
      <c r="E167" s="38" t="s">
        <v>252</v>
      </c>
      <c r="F167" s="134" t="s">
        <v>253</v>
      </c>
      <c r="G167" s="38" t="s">
        <v>254</v>
      </c>
      <c r="H167" s="135" t="s">
        <v>255</v>
      </c>
      <c r="I167" s="38" t="s">
        <v>255</v>
      </c>
      <c r="J167" s="24"/>
    </row>
    <row r="168" spans="1:10" x14ac:dyDescent="0.2">
      <c r="A168" s="86" t="s">
        <v>256</v>
      </c>
      <c r="B168" s="87" t="s">
        <v>28</v>
      </c>
      <c r="C168" s="122" t="s">
        <v>250</v>
      </c>
      <c r="D168" s="136" t="s">
        <v>257</v>
      </c>
      <c r="E168" s="38" t="s">
        <v>258</v>
      </c>
      <c r="F168" s="136" t="s">
        <v>259</v>
      </c>
      <c r="G168" s="38" t="s">
        <v>260</v>
      </c>
      <c r="H168" s="135" t="s">
        <v>261</v>
      </c>
      <c r="I168" s="38" t="s">
        <v>261</v>
      </c>
      <c r="J168" s="24"/>
    </row>
    <row r="169" spans="1:10" ht="16.5" customHeight="1" x14ac:dyDescent="0.2">
      <c r="A169" s="137" t="s">
        <v>262</v>
      </c>
      <c r="B169" s="137"/>
      <c r="C169" s="137"/>
      <c r="D169" s="76"/>
    </row>
    <row r="170" spans="1:10" x14ac:dyDescent="0.2">
      <c r="A170" s="136" t="s">
        <v>263</v>
      </c>
      <c r="B170" s="41" t="s">
        <v>28</v>
      </c>
      <c r="C170" s="42" t="s">
        <v>264</v>
      </c>
      <c r="D170" s="38"/>
    </row>
    <row r="171" spans="1:10" x14ac:dyDescent="0.2">
      <c r="A171" s="136" t="s">
        <v>265</v>
      </c>
      <c r="B171" s="41" t="s">
        <v>28</v>
      </c>
      <c r="C171" s="42" t="s">
        <v>266</v>
      </c>
      <c r="D171" s="38"/>
    </row>
    <row r="172" spans="1:10" x14ac:dyDescent="0.2">
      <c r="A172" s="136" t="s">
        <v>267</v>
      </c>
      <c r="B172" s="41" t="s">
        <v>36</v>
      </c>
      <c r="C172" s="42" t="s">
        <v>268</v>
      </c>
      <c r="D172" s="38"/>
    </row>
    <row r="173" spans="1:10" x14ac:dyDescent="0.2">
      <c r="A173" s="136" t="s">
        <v>269</v>
      </c>
      <c r="B173" s="41" t="s">
        <v>36</v>
      </c>
      <c r="C173" s="42" t="s">
        <v>270</v>
      </c>
      <c r="D173" s="38"/>
    </row>
    <row r="174" spans="1:10" x14ac:dyDescent="0.2">
      <c r="A174" s="136" t="s">
        <v>271</v>
      </c>
      <c r="B174" s="41" t="s">
        <v>36</v>
      </c>
      <c r="C174" s="42" t="s">
        <v>272</v>
      </c>
      <c r="D174" s="38"/>
    </row>
    <row r="175" spans="1:10" x14ac:dyDescent="0.2">
      <c r="A175" s="136" t="s">
        <v>273</v>
      </c>
      <c r="B175" s="41" t="s">
        <v>36</v>
      </c>
      <c r="C175" s="42" t="s">
        <v>274</v>
      </c>
      <c r="D175" s="38"/>
    </row>
    <row r="176" spans="1:10" x14ac:dyDescent="0.2">
      <c r="A176" s="137" t="s">
        <v>275</v>
      </c>
      <c r="B176" s="137"/>
      <c r="C176" s="76"/>
      <c r="D176" s="76"/>
    </row>
    <row r="177" spans="1:5" x14ac:dyDescent="0.2">
      <c r="A177" s="136" t="s">
        <v>276</v>
      </c>
      <c r="B177" s="41" t="s">
        <v>28</v>
      </c>
      <c r="C177" s="42" t="s">
        <v>277</v>
      </c>
      <c r="D177" s="38"/>
      <c r="E177" t="s">
        <v>278</v>
      </c>
    </row>
    <row r="178" spans="1:5" x14ac:dyDescent="0.2">
      <c r="A178" s="136" t="s">
        <v>279</v>
      </c>
      <c r="B178" s="41" t="s">
        <v>28</v>
      </c>
      <c r="C178" s="42" t="s">
        <v>280</v>
      </c>
      <c r="D178" s="38"/>
      <c r="E178" t="s">
        <v>281</v>
      </c>
    </row>
    <row r="179" spans="1:5" x14ac:dyDescent="0.2">
      <c r="A179" s="136" t="s">
        <v>282</v>
      </c>
      <c r="B179" s="41" t="s">
        <v>28</v>
      </c>
      <c r="C179" s="42" t="s">
        <v>283</v>
      </c>
      <c r="D179" s="38"/>
      <c r="E179" t="s">
        <v>284</v>
      </c>
    </row>
    <row r="180" spans="1:5" x14ac:dyDescent="0.2">
      <c r="A180" s="136" t="s">
        <v>285</v>
      </c>
      <c r="B180" s="41" t="s">
        <v>28</v>
      </c>
      <c r="C180" s="42" t="s">
        <v>286</v>
      </c>
      <c r="D180" s="38"/>
      <c r="E180" t="s">
        <v>287</v>
      </c>
    </row>
    <row r="181" spans="1:5" x14ac:dyDescent="0.2">
      <c r="A181" s="136" t="s">
        <v>288</v>
      </c>
      <c r="B181" s="41" t="s">
        <v>28</v>
      </c>
      <c r="C181" s="42" t="s">
        <v>289</v>
      </c>
      <c r="D181" s="38"/>
      <c r="E181" t="s">
        <v>290</v>
      </c>
    </row>
    <row r="182" spans="1:5" x14ac:dyDescent="0.2">
      <c r="A182" s="137" t="s">
        <v>291</v>
      </c>
      <c r="B182" s="137"/>
      <c r="C182" s="137" t="s">
        <v>292</v>
      </c>
      <c r="D182" s="76"/>
    </row>
    <row r="183" spans="1:5" x14ac:dyDescent="0.2">
      <c r="A183" s="136" t="s">
        <v>293</v>
      </c>
      <c r="B183" s="41" t="s">
        <v>28</v>
      </c>
      <c r="C183" s="42" t="s">
        <v>294</v>
      </c>
      <c r="D183" s="38"/>
      <c r="E183" t="s">
        <v>295</v>
      </c>
    </row>
    <row r="184" spans="1:5" x14ac:dyDescent="0.2">
      <c r="A184" s="136" t="s">
        <v>296</v>
      </c>
      <c r="B184" s="41" t="s">
        <v>28</v>
      </c>
      <c r="C184" s="42" t="s">
        <v>297</v>
      </c>
      <c r="D184" s="38"/>
      <c r="E184" t="s">
        <v>298</v>
      </c>
    </row>
    <row r="185" spans="1:5" x14ac:dyDescent="0.2">
      <c r="A185" s="136" t="s">
        <v>299</v>
      </c>
      <c r="B185" s="41" t="s">
        <v>28</v>
      </c>
      <c r="C185" s="42" t="s">
        <v>300</v>
      </c>
      <c r="D185" s="38"/>
      <c r="E185" t="s">
        <v>301</v>
      </c>
    </row>
    <row r="186" spans="1:5" x14ac:dyDescent="0.2">
      <c r="A186" s="136" t="s">
        <v>302</v>
      </c>
      <c r="B186" s="41" t="s">
        <v>28</v>
      </c>
      <c r="C186" s="42" t="s">
        <v>303</v>
      </c>
      <c r="D186" s="38"/>
      <c r="E186" t="s">
        <v>304</v>
      </c>
    </row>
    <row r="187" spans="1:5" x14ac:dyDescent="0.2">
      <c r="A187" s="136" t="s">
        <v>305</v>
      </c>
      <c r="B187" s="41" t="s">
        <v>28</v>
      </c>
      <c r="C187" s="42" t="s">
        <v>306</v>
      </c>
      <c r="D187" s="38"/>
      <c r="E187" t="s">
        <v>307</v>
      </c>
    </row>
    <row r="188" spans="1:5" x14ac:dyDescent="0.2">
      <c r="A188" s="136" t="s">
        <v>308</v>
      </c>
      <c r="B188" s="41" t="s">
        <v>28</v>
      </c>
      <c r="C188" s="42" t="s">
        <v>309</v>
      </c>
      <c r="D188" s="38"/>
    </row>
    <row r="189" spans="1:5" x14ac:dyDescent="0.2">
      <c r="A189" s="136" t="s">
        <v>310</v>
      </c>
      <c r="B189" s="41" t="s">
        <v>28</v>
      </c>
      <c r="C189" s="42" t="s">
        <v>311</v>
      </c>
      <c r="D189" s="38"/>
      <c r="E189" t="s">
        <v>312</v>
      </c>
    </row>
    <row r="190" spans="1:5" x14ac:dyDescent="0.2">
      <c r="A190" s="136" t="s">
        <v>313</v>
      </c>
      <c r="B190" s="41" t="s">
        <v>28</v>
      </c>
      <c r="C190" s="42" t="s">
        <v>314</v>
      </c>
      <c r="D190" s="38"/>
    </row>
    <row r="191" spans="1:5" x14ac:dyDescent="0.2">
      <c r="A191" s="136" t="s">
        <v>315</v>
      </c>
      <c r="B191" s="121" t="s">
        <v>28</v>
      </c>
      <c r="C191" s="42" t="s">
        <v>316</v>
      </c>
      <c r="D191" s="38"/>
    </row>
    <row r="193" spans="1:181" ht="16" x14ac:dyDescent="0.2">
      <c r="A193" s="138" t="s">
        <v>317</v>
      </c>
      <c r="B193" s="76"/>
      <c r="C193" s="76"/>
      <c r="D193" s="76"/>
      <c r="E193" s="76"/>
    </row>
    <row r="194" spans="1:181" ht="71.25" customHeight="1" x14ac:dyDescent="0.2">
      <c r="A194" s="288" t="s">
        <v>318</v>
      </c>
      <c r="B194" s="288"/>
      <c r="C194" s="288"/>
      <c r="D194" s="288"/>
      <c r="E194" s="288"/>
    </row>
    <row r="195" spans="1:181" ht="13.5" customHeight="1" x14ac:dyDescent="0.2">
      <c r="A195" s="289" t="s">
        <v>319</v>
      </c>
      <c r="B195" s="57" t="s">
        <v>320</v>
      </c>
      <c r="C195" s="290" t="s">
        <v>175</v>
      </c>
      <c r="D195" s="81"/>
      <c r="F195" s="81"/>
      <c r="G195" s="81"/>
      <c r="H195" s="81"/>
      <c r="I195" s="81"/>
      <c r="J195" s="81"/>
      <c r="K195" s="139"/>
      <c r="L195" s="139"/>
      <c r="M195" s="81"/>
      <c r="N195" s="81"/>
    </row>
    <row r="196" spans="1:181" ht="16" x14ac:dyDescent="0.2">
      <c r="A196" s="289"/>
      <c r="B196" s="140" t="s">
        <v>321</v>
      </c>
      <c r="C196" s="290"/>
      <c r="D196" s="141"/>
      <c r="E196" s="141"/>
      <c r="F196" s="141"/>
      <c r="G196" s="141"/>
      <c r="H196" s="141"/>
      <c r="I196" s="141"/>
      <c r="J196" s="141"/>
      <c r="K196" s="141"/>
      <c r="L196" s="141"/>
      <c r="M196" s="141"/>
      <c r="N196" s="141"/>
    </row>
    <row r="197" spans="1:181" ht="28.5" customHeight="1" x14ac:dyDescent="0.2">
      <c r="A197" s="289"/>
      <c r="B197" s="142" t="s">
        <v>322</v>
      </c>
      <c r="C197" s="290"/>
      <c r="D197" s="81"/>
      <c r="E197" s="81"/>
      <c r="F197" s="81"/>
      <c r="G197" s="81"/>
      <c r="H197" s="81"/>
      <c r="I197" s="81"/>
      <c r="J197" s="81"/>
      <c r="K197" s="81"/>
      <c r="L197" s="81"/>
      <c r="M197" s="81"/>
      <c r="N197" s="81"/>
    </row>
    <row r="198" spans="1:181" ht="13.5" customHeight="1" x14ac:dyDescent="0.2">
      <c r="A198" s="291" t="s">
        <v>323</v>
      </c>
      <c r="B198" s="291"/>
      <c r="C198" s="291"/>
      <c r="D198" s="143"/>
      <c r="E198" s="143"/>
      <c r="F198" s="143"/>
      <c r="G198" s="143"/>
      <c r="H198" s="143"/>
      <c r="I198" s="143"/>
      <c r="J198" s="143"/>
      <c r="K198" s="143"/>
      <c r="L198" s="143"/>
      <c r="M198" s="143"/>
      <c r="N198" s="143"/>
      <c r="O198" s="143"/>
      <c r="P198" s="143"/>
      <c r="Q198" s="143"/>
      <c r="R198" s="143"/>
      <c r="S198" s="143"/>
      <c r="T198" s="143"/>
      <c r="U198" s="143"/>
      <c r="V198" s="143"/>
      <c r="W198" s="143"/>
      <c r="X198" s="143"/>
      <c r="Y198" s="143"/>
      <c r="Z198" s="143"/>
      <c r="AA198" s="143"/>
      <c r="AB198" s="143"/>
      <c r="AC198" s="143"/>
      <c r="AD198" s="143"/>
      <c r="AE198" s="143"/>
      <c r="AF198" s="143"/>
      <c r="AG198" s="143"/>
      <c r="AH198" s="143"/>
      <c r="AI198" s="143"/>
      <c r="AJ198" s="143"/>
      <c r="AK198" s="143"/>
      <c r="AL198" s="143"/>
      <c r="AM198" s="143"/>
      <c r="AN198" s="143"/>
      <c r="AO198" s="143"/>
      <c r="AP198" s="143"/>
      <c r="AQ198" s="143"/>
      <c r="AR198" s="143"/>
      <c r="AS198" s="143"/>
      <c r="AT198" s="143"/>
      <c r="AU198" s="143"/>
      <c r="AV198" s="143"/>
      <c r="AW198" s="143"/>
      <c r="AX198" s="143"/>
      <c r="AY198" s="143"/>
      <c r="AZ198" s="143"/>
      <c r="BA198" s="143"/>
      <c r="BB198" s="143"/>
      <c r="BC198" s="143"/>
      <c r="BD198" s="143"/>
      <c r="BE198" s="143"/>
      <c r="BF198" s="143"/>
      <c r="BG198" s="143"/>
      <c r="BH198" s="143"/>
      <c r="BI198" s="143"/>
      <c r="BJ198" s="143"/>
      <c r="BK198" s="143"/>
      <c r="BL198" s="143"/>
      <c r="BM198" s="143"/>
      <c r="BN198" s="143"/>
      <c r="BO198" s="143"/>
      <c r="BP198" s="143"/>
      <c r="BQ198" s="143"/>
      <c r="BR198" s="143"/>
      <c r="BS198" s="143"/>
      <c r="BT198" s="143"/>
      <c r="BU198" s="143"/>
      <c r="BV198" s="143"/>
      <c r="BW198" s="143"/>
      <c r="BX198" s="143"/>
      <c r="BY198" s="143"/>
      <c r="BZ198" s="143"/>
      <c r="CA198" s="143"/>
      <c r="CB198" s="143"/>
      <c r="CC198" s="143"/>
      <c r="CD198" s="143"/>
      <c r="CE198" s="143"/>
      <c r="CF198" s="143"/>
      <c r="CG198" s="143"/>
      <c r="CH198" s="143"/>
      <c r="CI198" s="143"/>
      <c r="CJ198" s="143"/>
      <c r="CK198" s="143"/>
      <c r="CL198" s="143"/>
      <c r="CM198" s="143"/>
      <c r="CN198" s="143"/>
      <c r="CO198" s="143"/>
      <c r="CP198" s="143"/>
      <c r="CQ198" s="143"/>
      <c r="CR198" s="143"/>
      <c r="CS198" s="143"/>
      <c r="CT198" s="143"/>
      <c r="CU198" s="143"/>
      <c r="CV198" s="143"/>
      <c r="CW198" s="143"/>
      <c r="CX198" s="143"/>
      <c r="CY198" s="143"/>
      <c r="CZ198" s="143"/>
      <c r="DA198" s="143"/>
      <c r="DB198" s="143"/>
      <c r="DC198" s="143"/>
      <c r="DD198" s="143"/>
      <c r="DE198" s="143"/>
      <c r="DF198" s="143"/>
      <c r="DG198" s="143"/>
      <c r="DH198" s="143"/>
      <c r="DI198" s="143"/>
      <c r="DJ198" s="143"/>
      <c r="DK198" s="143"/>
      <c r="DL198" s="143"/>
      <c r="DM198" s="143"/>
      <c r="DN198" s="143"/>
      <c r="DO198" s="143"/>
      <c r="DP198" s="143"/>
      <c r="DQ198" s="143"/>
      <c r="DR198" s="143"/>
      <c r="DS198" s="143"/>
      <c r="DT198" s="143"/>
      <c r="DU198" s="143"/>
      <c r="DV198" s="143"/>
      <c r="DW198" s="143"/>
      <c r="DX198" s="143"/>
      <c r="DY198" s="143"/>
      <c r="DZ198" s="143"/>
      <c r="EA198" s="143"/>
      <c r="EB198" s="143"/>
      <c r="EC198" s="143"/>
      <c r="ED198" s="143"/>
      <c r="EE198" s="143"/>
      <c r="EF198" s="143"/>
      <c r="EG198" s="143"/>
      <c r="EH198" s="143"/>
      <c r="EI198" s="143"/>
      <c r="EJ198" s="143"/>
      <c r="EK198" s="143"/>
      <c r="EL198" s="143"/>
      <c r="EM198" s="143"/>
      <c r="EN198" s="143"/>
      <c r="EO198" s="143"/>
      <c r="EP198" s="143"/>
      <c r="EQ198" s="143"/>
      <c r="ER198" s="143"/>
      <c r="ES198" s="143"/>
      <c r="ET198" s="143"/>
      <c r="EU198" s="143"/>
      <c r="EV198" s="143"/>
      <c r="EW198" s="143"/>
      <c r="EX198" s="143"/>
      <c r="EY198" s="143"/>
      <c r="EZ198" s="143"/>
      <c r="FA198" s="143"/>
      <c r="FB198" s="143"/>
      <c r="FC198" s="143"/>
      <c r="FD198" s="143"/>
      <c r="FE198" s="143"/>
      <c r="FF198" s="143"/>
      <c r="FG198" s="143"/>
      <c r="FH198" s="143"/>
      <c r="FI198" s="143"/>
      <c r="FJ198" s="143"/>
      <c r="FK198" s="143"/>
      <c r="FL198" s="143"/>
      <c r="FM198" s="143"/>
      <c r="FN198" s="143"/>
      <c r="FO198" s="143"/>
      <c r="FP198" s="143"/>
      <c r="FQ198" s="143"/>
      <c r="FR198" s="143"/>
      <c r="FS198" s="143"/>
      <c r="FT198" s="143"/>
      <c r="FU198" s="143"/>
      <c r="FV198" s="143"/>
      <c r="FW198" s="143"/>
      <c r="FX198" s="143"/>
      <c r="FY198" s="143"/>
    </row>
    <row r="199" spans="1:181" ht="16" x14ac:dyDescent="0.2">
      <c r="A199" s="144" t="s">
        <v>324</v>
      </c>
      <c r="B199" s="41" t="s">
        <v>28</v>
      </c>
      <c r="C199" s="67" t="s">
        <v>325</v>
      </c>
    </row>
    <row r="200" spans="1:181" ht="32" x14ac:dyDescent="0.2">
      <c r="A200" s="145" t="s">
        <v>326</v>
      </c>
      <c r="B200" s="41" t="s">
        <v>327</v>
      </c>
      <c r="C200" s="146" t="s">
        <v>326</v>
      </c>
      <c r="D200" s="147"/>
      <c r="E200" s="148"/>
      <c r="F200" s="148"/>
      <c r="G200" s="148"/>
      <c r="H200" s="148"/>
      <c r="I200" s="148"/>
      <c r="J200" s="148"/>
      <c r="K200" s="148"/>
      <c r="L200" s="148"/>
      <c r="M200" s="148"/>
      <c r="N200" s="148"/>
    </row>
    <row r="201" spans="1:181" x14ac:dyDescent="0.2">
      <c r="A201" s="81"/>
      <c r="B201" s="41"/>
      <c r="C201" s="149"/>
    </row>
    <row r="202" spans="1:181" ht="16" x14ac:dyDescent="0.2">
      <c r="A202" s="150" t="s">
        <v>328</v>
      </c>
    </row>
    <row r="203" spans="1:181" ht="16" x14ac:dyDescent="0.2">
      <c r="A203" s="144" t="s">
        <v>329</v>
      </c>
      <c r="B203" s="42" t="s">
        <v>330</v>
      </c>
      <c r="C203" s="38"/>
    </row>
    <row r="204" spans="1:181" ht="16" x14ac:dyDescent="0.2">
      <c r="A204" s="151" t="s">
        <v>331</v>
      </c>
      <c r="B204" s="41" t="s">
        <v>36</v>
      </c>
      <c r="C204" s="42" t="s">
        <v>332</v>
      </c>
      <c r="D204" s="38"/>
    </row>
    <row r="205" spans="1:181" x14ac:dyDescent="0.2">
      <c r="A205" s="86" t="s">
        <v>333</v>
      </c>
      <c r="B205" s="41" t="s">
        <v>36</v>
      </c>
      <c r="C205" s="42" t="s">
        <v>334</v>
      </c>
      <c r="D205" s="38"/>
    </row>
    <row r="206" spans="1:181" ht="16" x14ac:dyDescent="0.2">
      <c r="A206" s="152" t="s">
        <v>335</v>
      </c>
    </row>
    <row r="207" spans="1:181" ht="52.5" customHeight="1" x14ac:dyDescent="0.2">
      <c r="A207" s="153" t="s">
        <v>336</v>
      </c>
      <c r="B207" s="292" t="s">
        <v>337</v>
      </c>
      <c r="C207" s="292"/>
      <c r="D207" s="292"/>
      <c r="E207" s="292"/>
      <c r="F207" s="292"/>
      <c r="G207" s="292" t="s">
        <v>338</v>
      </c>
      <c r="H207" s="292"/>
      <c r="I207" s="292"/>
      <c r="J207" s="292"/>
      <c r="K207" s="292"/>
      <c r="L207" s="292" t="s">
        <v>339</v>
      </c>
      <c r="M207" s="292"/>
      <c r="N207" s="292"/>
      <c r="O207" s="292"/>
      <c r="P207" s="292"/>
      <c r="Q207" s="292" t="s">
        <v>340</v>
      </c>
      <c r="R207" s="292"/>
      <c r="S207" s="292"/>
      <c r="T207" s="292"/>
      <c r="U207" s="292"/>
      <c r="V207" s="292" t="s">
        <v>341</v>
      </c>
      <c r="W207" s="292"/>
      <c r="X207" s="292"/>
      <c r="Y207" s="292"/>
      <c r="Z207" s="292"/>
      <c r="AA207" s="292" t="s">
        <v>342</v>
      </c>
      <c r="AB207" s="292"/>
      <c r="AC207" s="292"/>
      <c r="AD207" s="292"/>
      <c r="AE207" s="292"/>
      <c r="AF207" s="292" t="s">
        <v>343</v>
      </c>
      <c r="AG207" s="292"/>
      <c r="AH207" s="292"/>
      <c r="AI207" s="292"/>
      <c r="AJ207" s="292"/>
      <c r="AK207" s="292" t="s">
        <v>344</v>
      </c>
      <c r="AL207" s="292"/>
      <c r="AM207" s="292"/>
      <c r="AN207" s="292"/>
      <c r="AO207" s="292"/>
      <c r="AP207" s="292" t="s">
        <v>345</v>
      </c>
      <c r="AQ207" s="292"/>
      <c r="AR207" s="292"/>
      <c r="AS207" s="292"/>
      <c r="AT207" s="292"/>
      <c r="AU207" s="292" t="s">
        <v>346</v>
      </c>
      <c r="AV207" s="292"/>
      <c r="AW207" s="292"/>
      <c r="AX207" s="292"/>
      <c r="AY207" s="292"/>
      <c r="AZ207" s="292" t="s">
        <v>347</v>
      </c>
      <c r="BA207" s="292"/>
      <c r="BB207" s="292"/>
      <c r="BC207" s="292"/>
      <c r="BD207" s="292"/>
      <c r="BE207" s="292" t="s">
        <v>348</v>
      </c>
      <c r="BF207" s="292"/>
      <c r="BG207" s="292"/>
      <c r="BH207" s="292"/>
      <c r="BI207" s="292"/>
      <c r="BJ207" s="292" t="s">
        <v>349</v>
      </c>
      <c r="BK207" s="292"/>
      <c r="BL207" s="292"/>
      <c r="BM207" s="292"/>
      <c r="BN207" s="292"/>
      <c r="BO207" s="292" t="s">
        <v>350</v>
      </c>
      <c r="BP207" s="292"/>
      <c r="BQ207" s="292"/>
      <c r="BR207" s="292"/>
      <c r="BS207" s="292"/>
      <c r="BT207" s="292" t="s">
        <v>351</v>
      </c>
      <c r="BU207" s="292"/>
      <c r="BV207" s="292"/>
      <c r="BW207" s="292"/>
      <c r="BX207" s="292"/>
      <c r="BY207" s="292" t="s">
        <v>352</v>
      </c>
      <c r="BZ207" s="292"/>
      <c r="CA207" s="292"/>
      <c r="CB207" s="292"/>
      <c r="CC207" s="292"/>
      <c r="CD207" s="292" t="s">
        <v>353</v>
      </c>
      <c r="CE207" s="292"/>
      <c r="CF207" s="292"/>
      <c r="CG207" s="292"/>
      <c r="CH207" s="292"/>
      <c r="CI207" s="292" t="s">
        <v>354</v>
      </c>
      <c r="CJ207" s="292"/>
      <c r="CK207" s="292"/>
      <c r="CL207" s="292"/>
      <c r="CM207" s="292"/>
      <c r="CN207" s="292" t="s">
        <v>355</v>
      </c>
      <c r="CO207" s="292"/>
      <c r="CP207" s="292"/>
      <c r="CQ207" s="292"/>
      <c r="CR207" s="292"/>
      <c r="CS207" s="292" t="s">
        <v>356</v>
      </c>
      <c r="CT207" s="292"/>
      <c r="CU207" s="292"/>
      <c r="CV207" s="292"/>
      <c r="CW207" s="292"/>
      <c r="CX207" s="292" t="s">
        <v>357</v>
      </c>
      <c r="CY207" s="292"/>
      <c r="CZ207" s="292"/>
      <c r="DA207" s="292"/>
      <c r="DB207" s="292"/>
      <c r="DC207" s="292" t="s">
        <v>358</v>
      </c>
      <c r="DD207" s="292"/>
      <c r="DE207" s="292"/>
      <c r="DF207" s="292"/>
      <c r="DG207" s="292"/>
      <c r="DH207" s="293" t="s">
        <v>359</v>
      </c>
      <c r="DI207" s="293"/>
      <c r="DJ207" s="293"/>
      <c r="DK207" s="154" t="s">
        <v>360</v>
      </c>
      <c r="DL207" s="154">
        <v>1</v>
      </c>
      <c r="DM207" s="292" t="s">
        <v>361</v>
      </c>
      <c r="DN207" s="292"/>
      <c r="DO207" s="292"/>
      <c r="DP207" s="292"/>
      <c r="DQ207" s="292"/>
      <c r="DR207" s="292" t="s">
        <v>362</v>
      </c>
      <c r="DS207" s="292"/>
      <c r="DT207" s="292"/>
      <c r="DU207" s="292"/>
      <c r="DV207" s="292"/>
      <c r="DW207" s="292" t="s">
        <v>363</v>
      </c>
      <c r="DX207" s="292"/>
      <c r="DY207" s="292"/>
      <c r="DZ207" s="292"/>
      <c r="EA207" s="292"/>
      <c r="EB207" s="292" t="s">
        <v>364</v>
      </c>
      <c r="EC207" s="292"/>
      <c r="ED207" s="292"/>
      <c r="EE207" s="292"/>
      <c r="EF207" s="292"/>
      <c r="EG207" s="292" t="s">
        <v>365</v>
      </c>
      <c r="EH207" s="292"/>
      <c r="EI207" s="292"/>
      <c r="EJ207" s="292"/>
      <c r="EK207" s="292"/>
      <c r="EL207" s="292" t="s">
        <v>366</v>
      </c>
      <c r="EM207" s="292"/>
      <c r="EN207" s="292"/>
      <c r="EO207" s="292"/>
      <c r="EP207" s="292"/>
      <c r="EQ207" s="292" t="s">
        <v>367</v>
      </c>
      <c r="ER207" s="292"/>
      <c r="ES207" s="292"/>
      <c r="ET207" s="292"/>
      <c r="EU207" s="292"/>
      <c r="EV207" s="292" t="s">
        <v>368</v>
      </c>
      <c r="EW207" s="292"/>
      <c r="EX207" s="292"/>
      <c r="EY207" s="292"/>
      <c r="EZ207" s="292"/>
      <c r="FA207" s="292" t="s">
        <v>369</v>
      </c>
      <c r="FB207" s="292"/>
      <c r="FC207" s="292"/>
      <c r="FD207" s="292"/>
      <c r="FE207" s="292"/>
      <c r="FF207" s="292" t="s">
        <v>370</v>
      </c>
      <c r="FG207" s="292"/>
      <c r="FH207" s="292"/>
      <c r="FI207" s="292"/>
      <c r="FJ207" s="292"/>
      <c r="FK207" s="292" t="s">
        <v>371</v>
      </c>
      <c r="FL207" s="292"/>
      <c r="FM207" s="292"/>
      <c r="FN207" s="292"/>
      <c r="FO207" s="292"/>
      <c r="FP207" s="292" t="s">
        <v>372</v>
      </c>
      <c r="FQ207" s="292"/>
      <c r="FR207" s="292"/>
      <c r="FS207" s="292"/>
      <c r="FT207" s="292"/>
      <c r="FU207" s="293" t="s">
        <v>373</v>
      </c>
      <c r="FV207" s="293"/>
      <c r="FW207" s="293"/>
      <c r="FX207" s="154" t="s">
        <v>360</v>
      </c>
      <c r="FY207" s="154">
        <v>1</v>
      </c>
    </row>
    <row r="208" spans="1:181" x14ac:dyDescent="0.2">
      <c r="A208" s="81"/>
      <c r="B208" s="42" t="s">
        <v>374</v>
      </c>
      <c r="C208" s="42" t="s">
        <v>375</v>
      </c>
      <c r="D208" s="42" t="s">
        <v>376</v>
      </c>
      <c r="E208" s="42" t="s">
        <v>377</v>
      </c>
      <c r="F208" s="42" t="s">
        <v>378</v>
      </c>
      <c r="G208" s="42" t="s">
        <v>374</v>
      </c>
      <c r="H208" s="42" t="s">
        <v>375</v>
      </c>
      <c r="I208" s="42" t="s">
        <v>376</v>
      </c>
      <c r="J208" s="42" t="s">
        <v>377</v>
      </c>
      <c r="K208" s="42" t="s">
        <v>378</v>
      </c>
      <c r="L208" s="42" t="s">
        <v>374</v>
      </c>
      <c r="M208" s="42" t="s">
        <v>375</v>
      </c>
      <c r="N208" s="42" t="s">
        <v>376</v>
      </c>
      <c r="O208" s="42" t="s">
        <v>377</v>
      </c>
      <c r="P208" s="42" t="s">
        <v>378</v>
      </c>
      <c r="Q208" s="42" t="s">
        <v>374</v>
      </c>
      <c r="R208" s="42" t="s">
        <v>375</v>
      </c>
      <c r="S208" s="42" t="s">
        <v>376</v>
      </c>
      <c r="T208" s="42" t="s">
        <v>377</v>
      </c>
      <c r="U208" s="42" t="s">
        <v>378</v>
      </c>
      <c r="V208" s="42" t="s">
        <v>374</v>
      </c>
      <c r="W208" s="42" t="s">
        <v>375</v>
      </c>
      <c r="X208" s="42" t="s">
        <v>376</v>
      </c>
      <c r="Y208" s="42" t="s">
        <v>377</v>
      </c>
      <c r="Z208" s="42" t="s">
        <v>378</v>
      </c>
      <c r="AA208" s="42" t="s">
        <v>374</v>
      </c>
      <c r="AB208" s="42" t="s">
        <v>375</v>
      </c>
      <c r="AC208" s="42" t="s">
        <v>376</v>
      </c>
      <c r="AD208" s="42" t="s">
        <v>377</v>
      </c>
      <c r="AE208" s="42" t="s">
        <v>378</v>
      </c>
      <c r="AF208" s="42" t="s">
        <v>374</v>
      </c>
      <c r="AG208" s="42" t="s">
        <v>375</v>
      </c>
      <c r="AH208" s="42" t="s">
        <v>376</v>
      </c>
      <c r="AI208" s="42" t="s">
        <v>377</v>
      </c>
      <c r="AJ208" s="42" t="s">
        <v>378</v>
      </c>
      <c r="AK208" s="42" t="s">
        <v>374</v>
      </c>
      <c r="AL208" s="42" t="s">
        <v>375</v>
      </c>
      <c r="AM208" s="42" t="s">
        <v>376</v>
      </c>
      <c r="AN208" s="42" t="s">
        <v>377</v>
      </c>
      <c r="AO208" s="42" t="s">
        <v>378</v>
      </c>
      <c r="AP208" s="42" t="s">
        <v>374</v>
      </c>
      <c r="AQ208" s="42" t="s">
        <v>375</v>
      </c>
      <c r="AR208" s="42" t="s">
        <v>376</v>
      </c>
      <c r="AS208" s="42" t="s">
        <v>377</v>
      </c>
      <c r="AT208" s="42" t="s">
        <v>378</v>
      </c>
      <c r="AU208" s="42" t="s">
        <v>374</v>
      </c>
      <c r="AV208" s="42" t="s">
        <v>375</v>
      </c>
      <c r="AW208" s="42" t="s">
        <v>376</v>
      </c>
      <c r="AX208" s="42" t="s">
        <v>377</v>
      </c>
      <c r="AY208" s="42" t="s">
        <v>378</v>
      </c>
      <c r="AZ208" s="42" t="s">
        <v>374</v>
      </c>
      <c r="BA208" s="42" t="s">
        <v>375</v>
      </c>
      <c r="BB208" s="42" t="s">
        <v>376</v>
      </c>
      <c r="BC208" s="42" t="s">
        <v>377</v>
      </c>
      <c r="BD208" s="42" t="s">
        <v>378</v>
      </c>
      <c r="BE208" s="42" t="s">
        <v>374</v>
      </c>
      <c r="BF208" s="42" t="s">
        <v>375</v>
      </c>
      <c r="BG208" s="42" t="s">
        <v>376</v>
      </c>
      <c r="BH208" s="42" t="s">
        <v>377</v>
      </c>
      <c r="BI208" s="42" t="s">
        <v>378</v>
      </c>
      <c r="BJ208" s="42" t="s">
        <v>374</v>
      </c>
      <c r="BK208" s="42" t="s">
        <v>375</v>
      </c>
      <c r="BL208" s="42" t="s">
        <v>376</v>
      </c>
      <c r="BM208" s="42" t="s">
        <v>377</v>
      </c>
      <c r="BN208" s="42" t="s">
        <v>378</v>
      </c>
      <c r="BO208" s="42" t="s">
        <v>374</v>
      </c>
      <c r="BP208" s="42" t="s">
        <v>375</v>
      </c>
      <c r="BQ208" s="42" t="s">
        <v>376</v>
      </c>
      <c r="BR208" s="42" t="s">
        <v>377</v>
      </c>
      <c r="BS208" s="42" t="s">
        <v>378</v>
      </c>
      <c r="BT208" s="42" t="s">
        <v>374</v>
      </c>
      <c r="BU208" s="42" t="s">
        <v>375</v>
      </c>
      <c r="BV208" s="42" t="s">
        <v>376</v>
      </c>
      <c r="BW208" s="42" t="s">
        <v>377</v>
      </c>
      <c r="BX208" s="42" t="s">
        <v>378</v>
      </c>
      <c r="BY208" s="42" t="s">
        <v>374</v>
      </c>
      <c r="BZ208" s="42" t="s">
        <v>375</v>
      </c>
      <c r="CA208" s="42" t="s">
        <v>376</v>
      </c>
      <c r="CB208" s="42" t="s">
        <v>377</v>
      </c>
      <c r="CC208" s="42" t="s">
        <v>378</v>
      </c>
      <c r="CD208" s="42" t="s">
        <v>374</v>
      </c>
      <c r="CE208" s="42" t="s">
        <v>375</v>
      </c>
      <c r="CF208" s="42" t="s">
        <v>376</v>
      </c>
      <c r="CG208" s="42" t="s">
        <v>377</v>
      </c>
      <c r="CH208" s="42" t="s">
        <v>378</v>
      </c>
      <c r="CI208" s="42" t="s">
        <v>374</v>
      </c>
      <c r="CJ208" s="42" t="s">
        <v>375</v>
      </c>
      <c r="CK208" s="42" t="s">
        <v>376</v>
      </c>
      <c r="CL208" s="42" t="s">
        <v>377</v>
      </c>
      <c r="CM208" s="42" t="s">
        <v>378</v>
      </c>
      <c r="CN208" s="42" t="s">
        <v>374</v>
      </c>
      <c r="CO208" s="42" t="s">
        <v>375</v>
      </c>
      <c r="CP208" s="42" t="s">
        <v>376</v>
      </c>
      <c r="CQ208" s="42" t="s">
        <v>377</v>
      </c>
      <c r="CR208" s="42" t="s">
        <v>378</v>
      </c>
      <c r="CS208" s="42" t="s">
        <v>374</v>
      </c>
      <c r="CT208" s="42" t="s">
        <v>375</v>
      </c>
      <c r="CU208" s="42" t="s">
        <v>376</v>
      </c>
      <c r="CV208" s="42" t="s">
        <v>377</v>
      </c>
      <c r="CW208" s="42" t="s">
        <v>378</v>
      </c>
      <c r="CX208" s="42" t="s">
        <v>374</v>
      </c>
      <c r="CY208" s="42" t="s">
        <v>375</v>
      </c>
      <c r="CZ208" s="42" t="s">
        <v>376</v>
      </c>
      <c r="DA208" s="42" t="s">
        <v>377</v>
      </c>
      <c r="DB208" s="42" t="s">
        <v>378</v>
      </c>
      <c r="DC208" s="42" t="s">
        <v>374</v>
      </c>
      <c r="DD208" s="42" t="s">
        <v>375</v>
      </c>
      <c r="DE208" s="42" t="s">
        <v>376</v>
      </c>
      <c r="DF208" s="42" t="s">
        <v>377</v>
      </c>
      <c r="DG208" s="42" t="s">
        <v>378</v>
      </c>
      <c r="DH208" s="122" t="s">
        <v>374</v>
      </c>
      <c r="DI208" s="122" t="s">
        <v>375</v>
      </c>
      <c r="DJ208" s="122" t="s">
        <v>376</v>
      </c>
      <c r="DK208" s="122" t="s">
        <v>377</v>
      </c>
      <c r="DL208" s="42" t="s">
        <v>378</v>
      </c>
      <c r="DM208" s="42" t="s">
        <v>374</v>
      </c>
      <c r="DN208" s="42" t="s">
        <v>375</v>
      </c>
      <c r="DO208" s="42" t="s">
        <v>376</v>
      </c>
      <c r="DP208" s="42" t="s">
        <v>377</v>
      </c>
      <c r="DQ208" s="42" t="s">
        <v>378</v>
      </c>
      <c r="DR208" s="42" t="s">
        <v>374</v>
      </c>
      <c r="DS208" s="42" t="s">
        <v>375</v>
      </c>
      <c r="DT208" s="42" t="s">
        <v>376</v>
      </c>
      <c r="DU208" s="42" t="s">
        <v>377</v>
      </c>
      <c r="DV208" s="42" t="s">
        <v>378</v>
      </c>
      <c r="DW208" s="42" t="s">
        <v>374</v>
      </c>
      <c r="DX208" s="42" t="s">
        <v>375</v>
      </c>
      <c r="DY208" s="42" t="s">
        <v>376</v>
      </c>
      <c r="DZ208" s="42" t="s">
        <v>377</v>
      </c>
      <c r="EA208" s="42" t="s">
        <v>378</v>
      </c>
      <c r="EB208" s="42" t="s">
        <v>374</v>
      </c>
      <c r="EC208" s="42" t="s">
        <v>375</v>
      </c>
      <c r="ED208" s="42" t="s">
        <v>376</v>
      </c>
      <c r="EE208" s="42" t="s">
        <v>377</v>
      </c>
      <c r="EF208" s="42" t="s">
        <v>378</v>
      </c>
      <c r="EG208" s="42" t="s">
        <v>374</v>
      </c>
      <c r="EH208" s="42" t="s">
        <v>375</v>
      </c>
      <c r="EI208" s="42" t="s">
        <v>376</v>
      </c>
      <c r="EJ208" s="42" t="s">
        <v>377</v>
      </c>
      <c r="EK208" s="42" t="s">
        <v>378</v>
      </c>
      <c r="EL208" s="42" t="s">
        <v>374</v>
      </c>
      <c r="EM208" s="42" t="s">
        <v>375</v>
      </c>
      <c r="EN208" s="42" t="s">
        <v>376</v>
      </c>
      <c r="EO208" s="42" t="s">
        <v>377</v>
      </c>
      <c r="EP208" s="42" t="s">
        <v>378</v>
      </c>
      <c r="EQ208" s="42" t="s">
        <v>374</v>
      </c>
      <c r="ER208" s="42" t="s">
        <v>375</v>
      </c>
      <c r="ES208" s="42" t="s">
        <v>376</v>
      </c>
      <c r="ET208" s="42" t="s">
        <v>377</v>
      </c>
      <c r="EU208" s="42" t="s">
        <v>378</v>
      </c>
      <c r="EV208" s="42" t="s">
        <v>374</v>
      </c>
      <c r="EW208" s="42" t="s">
        <v>375</v>
      </c>
      <c r="EX208" s="42" t="s">
        <v>376</v>
      </c>
      <c r="EY208" s="42" t="s">
        <v>377</v>
      </c>
      <c r="EZ208" s="42" t="s">
        <v>378</v>
      </c>
      <c r="FA208" s="42" t="s">
        <v>374</v>
      </c>
      <c r="FB208" s="42" t="s">
        <v>375</v>
      </c>
      <c r="FC208" s="42" t="s">
        <v>376</v>
      </c>
      <c r="FD208" s="42" t="s">
        <v>377</v>
      </c>
      <c r="FE208" s="42" t="s">
        <v>378</v>
      </c>
      <c r="FF208" s="42" t="s">
        <v>374</v>
      </c>
      <c r="FG208" s="42" t="s">
        <v>375</v>
      </c>
      <c r="FH208" s="42" t="s">
        <v>376</v>
      </c>
      <c r="FI208" s="42" t="s">
        <v>377</v>
      </c>
      <c r="FJ208" s="42" t="s">
        <v>378</v>
      </c>
      <c r="FK208" s="42" t="s">
        <v>374</v>
      </c>
      <c r="FL208" s="42" t="s">
        <v>375</v>
      </c>
      <c r="FM208" s="42" t="s">
        <v>376</v>
      </c>
      <c r="FN208" s="42" t="s">
        <v>377</v>
      </c>
      <c r="FO208" s="42" t="s">
        <v>378</v>
      </c>
      <c r="FP208" s="42" t="s">
        <v>374</v>
      </c>
      <c r="FQ208" s="42" t="s">
        <v>375</v>
      </c>
      <c r="FR208" s="42" t="s">
        <v>376</v>
      </c>
      <c r="FS208" s="42" t="s">
        <v>377</v>
      </c>
      <c r="FT208" s="42" t="s">
        <v>378</v>
      </c>
      <c r="FU208" s="42" t="s">
        <v>374</v>
      </c>
      <c r="FV208" s="42" t="s">
        <v>375</v>
      </c>
      <c r="FW208" s="42" t="s">
        <v>376</v>
      </c>
      <c r="FX208" s="42" t="s">
        <v>377</v>
      </c>
      <c r="FY208" s="42" t="s">
        <v>378</v>
      </c>
    </row>
    <row r="209" spans="1:181" ht="16" x14ac:dyDescent="0.2">
      <c r="A209" s="153" t="s">
        <v>379</v>
      </c>
      <c r="B209" s="137"/>
      <c r="C209" s="137"/>
      <c r="D209" s="137"/>
      <c r="E209" s="137"/>
      <c r="F209" s="137"/>
      <c r="G209" s="137"/>
      <c r="H209" s="137"/>
      <c r="I209" s="137"/>
      <c r="J209" s="137"/>
      <c r="K209" s="137"/>
      <c r="L209" s="137"/>
      <c r="M209" s="137"/>
      <c r="N209" s="137"/>
      <c r="O209" s="137"/>
      <c r="P209" s="137"/>
      <c r="Q209" s="137"/>
      <c r="R209" s="137"/>
      <c r="S209" s="137"/>
      <c r="T209" s="137"/>
      <c r="U209" s="137"/>
      <c r="V209" s="137"/>
      <c r="W209" s="137"/>
      <c r="X209" s="137"/>
      <c r="Y209" s="137"/>
      <c r="Z209" s="137"/>
      <c r="AA209" s="137"/>
      <c r="AB209" s="137"/>
      <c r="AC209" s="137"/>
      <c r="AD209" s="137"/>
      <c r="AE209" s="137"/>
      <c r="AF209" s="137"/>
      <c r="AG209" s="137"/>
      <c r="AH209" s="137"/>
      <c r="AI209" s="137"/>
      <c r="AJ209" s="137"/>
      <c r="AK209" s="137"/>
      <c r="AL209" s="137"/>
      <c r="AM209" s="137"/>
      <c r="AN209" s="137"/>
      <c r="AO209" s="137"/>
      <c r="AP209" s="137"/>
      <c r="AQ209" s="137"/>
      <c r="AR209" s="137"/>
      <c r="AS209" s="137"/>
      <c r="AT209" s="137"/>
      <c r="AU209" s="137"/>
      <c r="AV209" s="137"/>
      <c r="AW209" s="137"/>
      <c r="AX209" s="137"/>
      <c r="AY209" s="137"/>
      <c r="AZ209" s="137"/>
      <c r="BA209" s="137"/>
      <c r="BB209" s="137"/>
      <c r="BC209" s="137"/>
      <c r="BD209" s="137"/>
      <c r="BE209" s="137"/>
      <c r="BF209" s="137"/>
      <c r="BG209" s="137"/>
      <c r="BH209" s="137"/>
      <c r="BI209" s="137"/>
      <c r="BJ209" s="137"/>
      <c r="BK209" s="137"/>
      <c r="BL209" s="137"/>
      <c r="BM209" s="137"/>
      <c r="BN209" s="137"/>
      <c r="BO209" s="137"/>
      <c r="BP209" s="137"/>
      <c r="BQ209" s="137"/>
      <c r="BR209" s="137"/>
      <c r="BS209" s="137"/>
      <c r="BT209" s="137"/>
      <c r="BU209" s="137"/>
      <c r="BV209" s="137"/>
      <c r="BW209" s="137"/>
      <c r="BX209" s="137"/>
      <c r="BY209" s="137"/>
      <c r="BZ209" s="137"/>
      <c r="CA209" s="137"/>
      <c r="CB209" s="137"/>
      <c r="CC209" s="137"/>
      <c r="CD209" s="137"/>
      <c r="CE209" s="137"/>
      <c r="CF209" s="137"/>
      <c r="CG209" s="137"/>
      <c r="CH209" s="137"/>
      <c r="CI209" s="137"/>
      <c r="CJ209" s="137"/>
      <c r="CK209" s="137"/>
      <c r="CL209" s="137"/>
      <c r="CM209" s="137"/>
      <c r="CN209" s="137"/>
      <c r="CO209" s="137"/>
      <c r="CP209" s="137"/>
      <c r="CQ209" s="137"/>
      <c r="CR209" s="137"/>
      <c r="CS209" s="137"/>
      <c r="CT209" s="137"/>
      <c r="CU209" s="137"/>
      <c r="CV209" s="137"/>
      <c r="CW209" s="137"/>
      <c r="CX209" s="137"/>
      <c r="CY209" s="137"/>
      <c r="CZ209" s="137"/>
      <c r="DA209" s="137"/>
      <c r="DB209" s="137"/>
      <c r="DC209" s="137"/>
      <c r="DD209" s="137"/>
      <c r="DE209" s="137"/>
      <c r="DF209" s="137"/>
      <c r="DG209" s="137"/>
      <c r="DH209" s="137"/>
      <c r="DI209" s="137"/>
      <c r="DJ209" s="137"/>
      <c r="DK209" s="137"/>
      <c r="DL209" s="137"/>
      <c r="DM209" s="137"/>
      <c r="DN209" s="137"/>
      <c r="DO209" s="137"/>
      <c r="DP209" s="137"/>
      <c r="DQ209" s="137"/>
      <c r="DR209" s="137"/>
      <c r="DS209" s="137"/>
      <c r="DT209" s="137"/>
      <c r="DU209" s="137"/>
      <c r="DV209" s="137"/>
      <c r="DW209" s="137"/>
      <c r="DX209" s="137"/>
      <c r="DY209" s="137"/>
      <c r="DZ209" s="137"/>
      <c r="EA209" s="137"/>
      <c r="EB209" s="137"/>
      <c r="EC209" s="137"/>
      <c r="ED209" s="137"/>
      <c r="EE209" s="137"/>
      <c r="EF209" s="137"/>
      <c r="EG209" s="137"/>
      <c r="EH209" s="137"/>
      <c r="EI209" s="137"/>
      <c r="EJ209" s="137"/>
      <c r="EK209" s="137"/>
      <c r="EL209" s="137"/>
      <c r="EM209" s="137"/>
      <c r="EN209" s="137"/>
      <c r="EO209" s="137"/>
      <c r="EP209" s="137"/>
      <c r="EQ209" s="137"/>
      <c r="ER209" s="137"/>
      <c r="ES209" s="137"/>
      <c r="ET209" s="137"/>
      <c r="EU209" s="137"/>
      <c r="EV209" s="137"/>
      <c r="EW209" s="137"/>
      <c r="EX209" s="137"/>
      <c r="EY209" s="137"/>
      <c r="EZ209" s="137"/>
      <c r="FA209" s="137"/>
      <c r="FB209" s="137"/>
      <c r="FC209" s="137"/>
      <c r="FD209" s="137"/>
      <c r="FE209" s="137"/>
      <c r="FF209" s="137"/>
      <c r="FG209" s="137"/>
      <c r="FH209" s="137"/>
      <c r="FI209" s="137"/>
      <c r="FJ209" s="137"/>
      <c r="FK209" s="137"/>
      <c r="FL209" s="137"/>
      <c r="FM209" s="137"/>
      <c r="FN209" s="137"/>
      <c r="FO209" s="137"/>
      <c r="FP209" s="137"/>
      <c r="FQ209" s="137"/>
      <c r="FR209" s="137"/>
      <c r="FS209" s="137"/>
      <c r="FT209" s="137"/>
      <c r="FU209" s="137"/>
      <c r="FV209" s="137"/>
      <c r="FW209" s="137"/>
      <c r="FX209" s="137"/>
      <c r="FY209" s="137"/>
    </row>
    <row r="210" spans="1:181" ht="16" x14ac:dyDescent="0.2">
      <c r="A210" s="155" t="s">
        <v>380</v>
      </c>
      <c r="B210" s="41">
        <v>0</v>
      </c>
      <c r="C210" s="41">
        <v>0</v>
      </c>
      <c r="D210" s="41">
        <v>0</v>
      </c>
      <c r="E210" s="41">
        <v>0</v>
      </c>
      <c r="F210" s="41">
        <v>0</v>
      </c>
      <c r="G210" s="41">
        <v>0</v>
      </c>
      <c r="H210" s="41">
        <v>0</v>
      </c>
      <c r="I210" s="41">
        <v>0</v>
      </c>
      <c r="J210" s="41">
        <v>0</v>
      </c>
      <c r="K210" s="41">
        <v>0</v>
      </c>
      <c r="L210" s="41">
        <v>0</v>
      </c>
      <c r="M210" s="41">
        <v>0</v>
      </c>
      <c r="N210" s="41">
        <v>0</v>
      </c>
      <c r="O210" s="41">
        <v>0</v>
      </c>
      <c r="P210" s="41">
        <v>0</v>
      </c>
      <c r="Q210" s="41">
        <v>0</v>
      </c>
      <c r="R210" s="41">
        <v>0</v>
      </c>
      <c r="S210" s="41">
        <v>0</v>
      </c>
      <c r="T210" s="41">
        <v>0</v>
      </c>
      <c r="U210" s="41">
        <v>0</v>
      </c>
      <c r="V210" s="41">
        <v>0</v>
      </c>
      <c r="W210" s="41">
        <v>0</v>
      </c>
      <c r="X210" s="41">
        <v>0</v>
      </c>
      <c r="Y210" s="41">
        <v>0</v>
      </c>
      <c r="Z210" s="41">
        <v>0</v>
      </c>
      <c r="AA210" s="41">
        <v>0</v>
      </c>
      <c r="AB210" s="41">
        <v>0</v>
      </c>
      <c r="AC210" s="41">
        <v>0</v>
      </c>
      <c r="AD210" s="41">
        <v>0</v>
      </c>
      <c r="AE210" s="41">
        <v>0</v>
      </c>
      <c r="AF210" s="41">
        <v>0</v>
      </c>
      <c r="AG210" s="41">
        <v>0</v>
      </c>
      <c r="AH210" s="41">
        <v>0</v>
      </c>
      <c r="AI210" s="41">
        <v>0</v>
      </c>
      <c r="AJ210" s="41">
        <v>0</v>
      </c>
      <c r="AK210" s="41">
        <v>0</v>
      </c>
      <c r="AL210" s="41">
        <v>0</v>
      </c>
      <c r="AM210" s="41">
        <v>0</v>
      </c>
      <c r="AN210" s="41">
        <v>0</v>
      </c>
      <c r="AO210" s="41">
        <v>0</v>
      </c>
      <c r="AP210" s="41">
        <v>0</v>
      </c>
      <c r="AQ210" s="41">
        <v>0</v>
      </c>
      <c r="AR210" s="41">
        <v>0</v>
      </c>
      <c r="AS210" s="41">
        <v>0</v>
      </c>
      <c r="AT210" s="41">
        <v>0</v>
      </c>
      <c r="AU210" s="41">
        <v>0</v>
      </c>
      <c r="AV210" s="41">
        <v>0</v>
      </c>
      <c r="AW210" s="41">
        <v>0</v>
      </c>
      <c r="AX210" s="41">
        <v>0</v>
      </c>
      <c r="AY210" s="41">
        <v>0</v>
      </c>
      <c r="AZ210" s="41">
        <v>0</v>
      </c>
      <c r="BA210" s="41">
        <v>0</v>
      </c>
      <c r="BB210" s="41">
        <v>0</v>
      </c>
      <c r="BC210" s="41">
        <v>0</v>
      </c>
      <c r="BD210" s="41">
        <v>0</v>
      </c>
      <c r="BE210" s="41">
        <v>0</v>
      </c>
      <c r="BF210" s="41">
        <v>0</v>
      </c>
      <c r="BG210" s="41">
        <v>0</v>
      </c>
      <c r="BH210" s="41">
        <v>0</v>
      </c>
      <c r="BI210" s="41">
        <v>0</v>
      </c>
      <c r="BJ210" s="41">
        <v>0</v>
      </c>
      <c r="BK210" s="41">
        <v>0</v>
      </c>
      <c r="BL210" s="41">
        <v>0</v>
      </c>
      <c r="BM210" s="41">
        <v>0</v>
      </c>
      <c r="BN210" s="41">
        <v>0</v>
      </c>
      <c r="BO210" s="41">
        <v>0</v>
      </c>
      <c r="BP210" s="41">
        <v>0</v>
      </c>
      <c r="BQ210" s="41">
        <v>0</v>
      </c>
      <c r="BR210" s="41">
        <v>0</v>
      </c>
      <c r="BS210" s="41">
        <v>0</v>
      </c>
      <c r="BT210" s="41">
        <v>0</v>
      </c>
      <c r="BU210" s="41">
        <v>0</v>
      </c>
      <c r="BV210" s="41">
        <v>0</v>
      </c>
      <c r="BW210" s="41">
        <v>0</v>
      </c>
      <c r="BX210" s="41">
        <v>0</v>
      </c>
      <c r="BY210" s="41">
        <v>0</v>
      </c>
      <c r="BZ210" s="41">
        <v>0</v>
      </c>
      <c r="CA210" s="41">
        <v>0</v>
      </c>
      <c r="CB210" s="41">
        <v>0</v>
      </c>
      <c r="CC210" s="41">
        <v>0</v>
      </c>
      <c r="CD210" s="41">
        <v>0</v>
      </c>
      <c r="CE210" s="41">
        <v>0</v>
      </c>
      <c r="CF210" s="41">
        <v>0</v>
      </c>
      <c r="CG210" s="41">
        <v>0</v>
      </c>
      <c r="CH210" s="41">
        <v>0</v>
      </c>
      <c r="CI210" s="41">
        <v>0</v>
      </c>
      <c r="CJ210" s="41">
        <v>0</v>
      </c>
      <c r="CK210" s="41">
        <v>0</v>
      </c>
      <c r="CL210" s="41">
        <v>0</v>
      </c>
      <c r="CM210" s="41">
        <v>0</v>
      </c>
      <c r="CN210" s="41">
        <v>0</v>
      </c>
      <c r="CO210" s="41">
        <v>0</v>
      </c>
      <c r="CP210" s="41">
        <v>0</v>
      </c>
      <c r="CQ210" s="41">
        <v>0</v>
      </c>
      <c r="CR210" s="41">
        <v>0</v>
      </c>
      <c r="CS210" s="41">
        <v>0</v>
      </c>
      <c r="CT210" s="41">
        <v>0</v>
      </c>
      <c r="CU210" s="41">
        <v>0</v>
      </c>
      <c r="CV210" s="41">
        <v>0</v>
      </c>
      <c r="CW210" s="41">
        <v>0</v>
      </c>
      <c r="CX210" s="41">
        <v>0</v>
      </c>
      <c r="CY210" s="41">
        <v>0</v>
      </c>
      <c r="CZ210" s="41">
        <v>0</v>
      </c>
      <c r="DA210" s="41">
        <v>0</v>
      </c>
      <c r="DB210" s="41">
        <v>0</v>
      </c>
      <c r="DC210" s="41">
        <v>0</v>
      </c>
      <c r="DD210" s="41">
        <v>0</v>
      </c>
      <c r="DE210" s="41">
        <v>0</v>
      </c>
      <c r="DF210" s="41">
        <v>0</v>
      </c>
      <c r="DG210" s="41">
        <v>0</v>
      </c>
      <c r="DH210" s="41">
        <v>0</v>
      </c>
      <c r="DI210" s="41">
        <v>0</v>
      </c>
      <c r="DJ210" s="41">
        <v>0</v>
      </c>
      <c r="DK210" s="41">
        <v>0</v>
      </c>
      <c r="DL210" s="41">
        <v>0</v>
      </c>
      <c r="DM210" s="41">
        <v>0</v>
      </c>
      <c r="DN210" s="41">
        <v>0</v>
      </c>
      <c r="DO210" s="41">
        <v>0</v>
      </c>
      <c r="DP210" s="41">
        <v>0</v>
      </c>
      <c r="DQ210" s="41">
        <v>0</v>
      </c>
      <c r="DR210" s="41">
        <v>0</v>
      </c>
      <c r="DS210" s="41">
        <v>0</v>
      </c>
      <c r="DT210" s="41">
        <v>0</v>
      </c>
      <c r="DU210" s="41">
        <v>0</v>
      </c>
      <c r="DV210" s="41">
        <v>0</v>
      </c>
      <c r="DW210" s="41">
        <v>0</v>
      </c>
      <c r="DX210" s="41">
        <v>0</v>
      </c>
      <c r="DY210" s="41">
        <v>0</v>
      </c>
      <c r="DZ210" s="41">
        <v>0</v>
      </c>
      <c r="EA210" s="41">
        <v>0</v>
      </c>
      <c r="EB210" s="41">
        <v>0</v>
      </c>
      <c r="EC210" s="41">
        <v>0</v>
      </c>
      <c r="ED210" s="41">
        <v>0</v>
      </c>
      <c r="EE210" s="41">
        <v>0</v>
      </c>
      <c r="EF210" s="41">
        <v>0</v>
      </c>
      <c r="EG210" s="41">
        <v>0</v>
      </c>
      <c r="EH210" s="41">
        <v>0</v>
      </c>
      <c r="EI210" s="41">
        <v>0</v>
      </c>
      <c r="EJ210" s="41">
        <v>0</v>
      </c>
      <c r="EK210" s="41">
        <v>0</v>
      </c>
      <c r="EL210" s="41">
        <v>0</v>
      </c>
      <c r="EM210" s="41">
        <v>0</v>
      </c>
      <c r="EN210" s="41">
        <v>0</v>
      </c>
      <c r="EO210" s="41">
        <v>0</v>
      </c>
      <c r="EP210" s="41">
        <v>0</v>
      </c>
      <c r="EQ210" s="41">
        <v>0</v>
      </c>
      <c r="ER210" s="41">
        <v>0</v>
      </c>
      <c r="ES210" s="41">
        <v>0</v>
      </c>
      <c r="ET210" s="41">
        <v>0</v>
      </c>
      <c r="EU210" s="41">
        <v>0</v>
      </c>
      <c r="EV210" s="41">
        <v>0</v>
      </c>
      <c r="EW210" s="41">
        <v>0</v>
      </c>
      <c r="EX210" s="41">
        <v>0</v>
      </c>
      <c r="EY210" s="41">
        <v>0</v>
      </c>
      <c r="EZ210" s="41">
        <v>0</v>
      </c>
      <c r="FA210" s="41">
        <v>0</v>
      </c>
      <c r="FB210" s="41">
        <v>0</v>
      </c>
      <c r="FC210" s="41">
        <v>0</v>
      </c>
      <c r="FD210" s="41">
        <v>0</v>
      </c>
      <c r="FE210" s="41">
        <v>0</v>
      </c>
      <c r="FF210" s="41">
        <v>0</v>
      </c>
      <c r="FG210" s="41">
        <v>0</v>
      </c>
      <c r="FH210" s="41">
        <v>0</v>
      </c>
      <c r="FI210" s="41">
        <v>0</v>
      </c>
      <c r="FJ210" s="41">
        <v>0</v>
      </c>
      <c r="FK210" s="41">
        <v>0</v>
      </c>
      <c r="FL210" s="41">
        <v>0</v>
      </c>
      <c r="FM210" s="41">
        <v>0</v>
      </c>
      <c r="FN210" s="41">
        <v>0</v>
      </c>
      <c r="FO210" s="41">
        <v>0</v>
      </c>
      <c r="FP210" s="41">
        <v>0</v>
      </c>
      <c r="FQ210" s="41">
        <v>0</v>
      </c>
      <c r="FR210" s="41">
        <v>0</v>
      </c>
      <c r="FS210" s="41">
        <v>0</v>
      </c>
      <c r="FT210" s="41">
        <v>0</v>
      </c>
      <c r="FU210" s="41">
        <v>0</v>
      </c>
      <c r="FV210" s="41">
        <v>0</v>
      </c>
      <c r="FW210" s="41">
        <v>0</v>
      </c>
      <c r="FX210" s="41">
        <v>0</v>
      </c>
      <c r="FY210" s="41">
        <v>0</v>
      </c>
    </row>
    <row r="211" spans="1:181" ht="16" x14ac:dyDescent="0.2">
      <c r="A211" s="155" t="s">
        <v>381</v>
      </c>
      <c r="B211" s="41">
        <v>0</v>
      </c>
      <c r="C211" s="41">
        <v>0</v>
      </c>
      <c r="D211" s="41">
        <v>0</v>
      </c>
      <c r="E211" s="41">
        <v>0</v>
      </c>
      <c r="F211" s="41">
        <v>0</v>
      </c>
      <c r="G211" s="41">
        <v>0</v>
      </c>
      <c r="H211" s="41">
        <v>0</v>
      </c>
      <c r="I211" s="41">
        <v>0</v>
      </c>
      <c r="J211" s="41">
        <v>0</v>
      </c>
      <c r="K211" s="41">
        <v>0</v>
      </c>
      <c r="L211" s="41">
        <v>0</v>
      </c>
      <c r="M211" s="41">
        <v>0</v>
      </c>
      <c r="N211" s="41">
        <v>0</v>
      </c>
      <c r="O211" s="41">
        <v>0</v>
      </c>
      <c r="P211" s="41">
        <v>0</v>
      </c>
      <c r="Q211" s="41">
        <v>0</v>
      </c>
      <c r="R211" s="41">
        <v>0</v>
      </c>
      <c r="S211" s="41">
        <v>0</v>
      </c>
      <c r="T211" s="41">
        <v>0</v>
      </c>
      <c r="U211" s="41">
        <v>0</v>
      </c>
      <c r="V211" s="41">
        <v>0</v>
      </c>
      <c r="W211" s="41">
        <v>0</v>
      </c>
      <c r="X211" s="41">
        <v>0</v>
      </c>
      <c r="Y211" s="41">
        <v>0</v>
      </c>
      <c r="Z211" s="41">
        <v>0</v>
      </c>
      <c r="AA211" s="41">
        <v>0</v>
      </c>
      <c r="AB211" s="41">
        <v>0</v>
      </c>
      <c r="AC211" s="41">
        <v>0</v>
      </c>
      <c r="AD211" s="41">
        <v>0</v>
      </c>
      <c r="AE211" s="41">
        <v>0</v>
      </c>
      <c r="AF211" s="41">
        <v>0</v>
      </c>
      <c r="AG211" s="41">
        <v>0</v>
      </c>
      <c r="AH211" s="41">
        <v>0</v>
      </c>
      <c r="AI211" s="41">
        <v>0</v>
      </c>
      <c r="AJ211" s="41">
        <v>0</v>
      </c>
      <c r="AK211" s="41">
        <v>0</v>
      </c>
      <c r="AL211" s="41">
        <v>0</v>
      </c>
      <c r="AM211" s="41">
        <v>0</v>
      </c>
      <c r="AN211" s="41">
        <v>0</v>
      </c>
      <c r="AO211" s="41">
        <v>0</v>
      </c>
      <c r="AP211" s="41">
        <v>0</v>
      </c>
      <c r="AQ211" s="41">
        <v>0</v>
      </c>
      <c r="AR211" s="41">
        <v>0</v>
      </c>
      <c r="AS211" s="41">
        <v>0</v>
      </c>
      <c r="AT211" s="41">
        <v>0</v>
      </c>
      <c r="AU211" s="41">
        <v>0</v>
      </c>
      <c r="AV211" s="41">
        <v>0</v>
      </c>
      <c r="AW211" s="41">
        <v>0</v>
      </c>
      <c r="AX211" s="41">
        <v>0</v>
      </c>
      <c r="AY211" s="41">
        <v>0</v>
      </c>
      <c r="AZ211" s="41">
        <v>0</v>
      </c>
      <c r="BA211" s="41">
        <v>0</v>
      </c>
      <c r="BB211" s="41">
        <v>0</v>
      </c>
      <c r="BC211" s="41">
        <v>0</v>
      </c>
      <c r="BD211" s="41">
        <v>0</v>
      </c>
      <c r="BE211" s="41">
        <v>0</v>
      </c>
      <c r="BF211" s="41">
        <v>0</v>
      </c>
      <c r="BG211" s="41">
        <v>0</v>
      </c>
      <c r="BH211" s="41">
        <v>0</v>
      </c>
      <c r="BI211" s="41">
        <v>0</v>
      </c>
      <c r="BJ211" s="41">
        <v>0</v>
      </c>
      <c r="BK211" s="41">
        <v>0</v>
      </c>
      <c r="BL211" s="41">
        <v>0</v>
      </c>
      <c r="BM211" s="41">
        <v>0</v>
      </c>
      <c r="BN211" s="41">
        <v>0</v>
      </c>
      <c r="BO211" s="41">
        <v>0</v>
      </c>
      <c r="BP211" s="41">
        <v>0</v>
      </c>
      <c r="BQ211" s="41">
        <v>0</v>
      </c>
      <c r="BR211" s="41">
        <v>0</v>
      </c>
      <c r="BS211" s="41">
        <v>0</v>
      </c>
      <c r="BT211" s="41">
        <v>0</v>
      </c>
      <c r="BU211" s="41">
        <v>0</v>
      </c>
      <c r="BV211" s="41">
        <v>0</v>
      </c>
      <c r="BW211" s="41">
        <v>0</v>
      </c>
      <c r="BX211" s="41">
        <v>0</v>
      </c>
      <c r="BY211" s="41">
        <v>0</v>
      </c>
      <c r="BZ211" s="41">
        <v>0</v>
      </c>
      <c r="CA211" s="41">
        <v>0</v>
      </c>
      <c r="CB211" s="41">
        <v>0</v>
      </c>
      <c r="CC211" s="41">
        <v>0</v>
      </c>
      <c r="CD211" s="41">
        <v>0</v>
      </c>
      <c r="CE211" s="41">
        <v>0</v>
      </c>
      <c r="CF211" s="41">
        <v>0</v>
      </c>
      <c r="CG211" s="41">
        <v>0</v>
      </c>
      <c r="CH211" s="41">
        <v>0</v>
      </c>
      <c r="CI211" s="41">
        <v>0</v>
      </c>
      <c r="CJ211" s="41">
        <v>0</v>
      </c>
      <c r="CK211" s="41">
        <v>0</v>
      </c>
      <c r="CL211" s="41">
        <v>0</v>
      </c>
      <c r="CM211" s="41">
        <v>0</v>
      </c>
      <c r="CN211" s="41">
        <v>0</v>
      </c>
      <c r="CO211" s="41">
        <v>0</v>
      </c>
      <c r="CP211" s="41">
        <v>0</v>
      </c>
      <c r="CQ211" s="41">
        <v>0</v>
      </c>
      <c r="CR211" s="41">
        <v>0</v>
      </c>
      <c r="CS211" s="41">
        <v>0</v>
      </c>
      <c r="CT211" s="41">
        <v>0</v>
      </c>
      <c r="CU211" s="41">
        <v>0</v>
      </c>
      <c r="CV211" s="41">
        <v>0</v>
      </c>
      <c r="CW211" s="41">
        <v>0</v>
      </c>
      <c r="CX211" s="41">
        <v>0</v>
      </c>
      <c r="CY211" s="41">
        <v>0</v>
      </c>
      <c r="CZ211" s="41">
        <v>0</v>
      </c>
      <c r="DA211" s="41">
        <v>0</v>
      </c>
      <c r="DB211" s="41">
        <v>0</v>
      </c>
      <c r="DC211" s="41">
        <v>0</v>
      </c>
      <c r="DD211" s="41">
        <v>0</v>
      </c>
      <c r="DE211" s="41">
        <v>0</v>
      </c>
      <c r="DF211" s="41">
        <v>0</v>
      </c>
      <c r="DG211" s="41">
        <v>0</v>
      </c>
      <c r="DH211" s="41">
        <v>0</v>
      </c>
      <c r="DI211" s="41">
        <v>0</v>
      </c>
      <c r="DJ211" s="41">
        <v>0</v>
      </c>
      <c r="DK211" s="41">
        <v>0</v>
      </c>
      <c r="DL211" s="41">
        <v>0</v>
      </c>
      <c r="DM211" s="41">
        <v>0</v>
      </c>
      <c r="DN211" s="41">
        <v>0</v>
      </c>
      <c r="DO211" s="41">
        <v>0</v>
      </c>
      <c r="DP211" s="41">
        <v>0</v>
      </c>
      <c r="DQ211" s="41">
        <v>0</v>
      </c>
      <c r="DR211" s="41">
        <v>0</v>
      </c>
      <c r="DS211" s="41">
        <v>0</v>
      </c>
      <c r="DT211" s="41">
        <v>0</v>
      </c>
      <c r="DU211" s="41">
        <v>0</v>
      </c>
      <c r="DV211" s="41">
        <v>0</v>
      </c>
      <c r="DW211" s="41">
        <v>0</v>
      </c>
      <c r="DX211" s="41">
        <v>0</v>
      </c>
      <c r="DY211" s="41">
        <v>0</v>
      </c>
      <c r="DZ211" s="41">
        <v>0</v>
      </c>
      <c r="EA211" s="41">
        <v>0</v>
      </c>
      <c r="EB211" s="41">
        <v>0</v>
      </c>
      <c r="EC211" s="41">
        <v>0</v>
      </c>
      <c r="ED211" s="41">
        <v>0</v>
      </c>
      <c r="EE211" s="41">
        <v>0</v>
      </c>
      <c r="EF211" s="41">
        <v>0</v>
      </c>
      <c r="EG211" s="41">
        <v>0</v>
      </c>
      <c r="EH211" s="41">
        <v>0</v>
      </c>
      <c r="EI211" s="41">
        <v>0</v>
      </c>
      <c r="EJ211" s="41">
        <v>0</v>
      </c>
      <c r="EK211" s="41">
        <v>0</v>
      </c>
      <c r="EL211" s="41">
        <v>0</v>
      </c>
      <c r="EM211" s="41">
        <v>0</v>
      </c>
      <c r="EN211" s="41">
        <v>0</v>
      </c>
      <c r="EO211" s="41">
        <v>0</v>
      </c>
      <c r="EP211" s="41">
        <v>0</v>
      </c>
      <c r="EQ211" s="41">
        <v>0</v>
      </c>
      <c r="ER211" s="41">
        <v>0</v>
      </c>
      <c r="ES211" s="41">
        <v>0</v>
      </c>
      <c r="ET211" s="41">
        <v>0</v>
      </c>
      <c r="EU211" s="41">
        <v>0</v>
      </c>
      <c r="EV211" s="41">
        <v>0</v>
      </c>
      <c r="EW211" s="41">
        <v>0</v>
      </c>
      <c r="EX211" s="41">
        <v>0</v>
      </c>
      <c r="EY211" s="41">
        <v>0</v>
      </c>
      <c r="EZ211" s="41">
        <v>0</v>
      </c>
      <c r="FA211" s="41">
        <v>0</v>
      </c>
      <c r="FB211" s="41">
        <v>0</v>
      </c>
      <c r="FC211" s="41">
        <v>0</v>
      </c>
      <c r="FD211" s="41">
        <v>0</v>
      </c>
      <c r="FE211" s="41">
        <v>0</v>
      </c>
      <c r="FF211" s="41">
        <v>0</v>
      </c>
      <c r="FG211" s="41">
        <v>0</v>
      </c>
      <c r="FH211" s="41">
        <v>0</v>
      </c>
      <c r="FI211" s="41">
        <v>0</v>
      </c>
      <c r="FJ211" s="41">
        <v>0</v>
      </c>
      <c r="FK211" s="41">
        <v>0</v>
      </c>
      <c r="FL211" s="41">
        <v>0</v>
      </c>
      <c r="FM211" s="41">
        <v>0</v>
      </c>
      <c r="FN211" s="41">
        <v>0</v>
      </c>
      <c r="FO211" s="41">
        <v>0</v>
      </c>
      <c r="FP211" s="41">
        <v>0</v>
      </c>
      <c r="FQ211" s="41">
        <v>0</v>
      </c>
      <c r="FR211" s="41">
        <v>0</v>
      </c>
      <c r="FS211" s="41">
        <v>0</v>
      </c>
      <c r="FT211" s="41">
        <v>0</v>
      </c>
      <c r="FU211" s="41">
        <v>0</v>
      </c>
      <c r="FV211" s="41">
        <v>0</v>
      </c>
      <c r="FW211" s="41">
        <v>0</v>
      </c>
      <c r="FX211" s="41">
        <v>0</v>
      </c>
      <c r="FY211" s="41">
        <v>0</v>
      </c>
    </row>
    <row r="212" spans="1:181" ht="16" x14ac:dyDescent="0.2">
      <c r="A212" s="153" t="s">
        <v>382</v>
      </c>
      <c r="B212" s="137"/>
      <c r="C212" s="137"/>
      <c r="D212" s="137"/>
      <c r="E212" s="137"/>
      <c r="F212" s="137"/>
      <c r="G212" s="137"/>
      <c r="H212" s="137"/>
      <c r="I212" s="137"/>
      <c r="J212" s="137"/>
      <c r="K212" s="137"/>
      <c r="L212" s="137"/>
      <c r="M212" s="137"/>
      <c r="N212" s="137"/>
      <c r="O212" s="137"/>
      <c r="P212" s="137"/>
      <c r="Q212" s="137"/>
      <c r="R212" s="137"/>
      <c r="S212" s="137"/>
      <c r="T212" s="137"/>
      <c r="U212" s="137"/>
      <c r="V212" s="137"/>
      <c r="W212" s="137"/>
      <c r="X212" s="137"/>
      <c r="Y212" s="137"/>
      <c r="Z212" s="137"/>
      <c r="AA212" s="137"/>
      <c r="AB212" s="137"/>
      <c r="AC212" s="137"/>
      <c r="AD212" s="137"/>
      <c r="AE212" s="137"/>
      <c r="AF212" s="137"/>
      <c r="AG212" s="137"/>
      <c r="AH212" s="137"/>
      <c r="AI212" s="137"/>
      <c r="AJ212" s="137"/>
      <c r="AK212" s="137"/>
      <c r="AL212" s="137"/>
      <c r="AM212" s="137"/>
      <c r="AN212" s="137"/>
      <c r="AO212" s="137"/>
      <c r="AP212" s="137"/>
      <c r="AQ212" s="137"/>
      <c r="AR212" s="137"/>
      <c r="AS212" s="137"/>
      <c r="AT212" s="137"/>
      <c r="AU212" s="137"/>
      <c r="AV212" s="137"/>
      <c r="AW212" s="137"/>
      <c r="AX212" s="137"/>
      <c r="AY212" s="137"/>
      <c r="AZ212" s="137"/>
      <c r="BA212" s="137"/>
      <c r="BB212" s="137"/>
      <c r="BC212" s="137"/>
      <c r="BD212" s="137"/>
      <c r="BE212" s="137"/>
      <c r="BF212" s="137"/>
      <c r="BG212" s="137"/>
      <c r="BH212" s="137"/>
      <c r="BI212" s="137"/>
      <c r="BJ212" s="137"/>
      <c r="BK212" s="137"/>
      <c r="BL212" s="137"/>
      <c r="BM212" s="137"/>
      <c r="BN212" s="137"/>
      <c r="BO212" s="137"/>
      <c r="BP212" s="137"/>
      <c r="BQ212" s="137"/>
      <c r="BR212" s="137"/>
      <c r="BS212" s="137"/>
      <c r="BT212" s="137"/>
      <c r="BU212" s="137"/>
      <c r="BV212" s="137"/>
      <c r="BW212" s="137"/>
      <c r="BX212" s="137"/>
      <c r="BY212" s="137"/>
      <c r="BZ212" s="137"/>
      <c r="CA212" s="137"/>
      <c r="CB212" s="137"/>
      <c r="CC212" s="137"/>
      <c r="CD212" s="137"/>
      <c r="CE212" s="137"/>
      <c r="CF212" s="137"/>
      <c r="CG212" s="137"/>
      <c r="CH212" s="137"/>
      <c r="CI212" s="137"/>
      <c r="CJ212" s="137"/>
      <c r="CK212" s="137"/>
      <c r="CL212" s="137"/>
      <c r="CM212" s="137"/>
      <c r="CN212" s="137"/>
      <c r="CO212" s="137"/>
      <c r="CP212" s="137"/>
      <c r="CQ212" s="137"/>
      <c r="CR212" s="137"/>
      <c r="CS212" s="137"/>
      <c r="CT212" s="137"/>
      <c r="CU212" s="137"/>
      <c r="CV212" s="137"/>
      <c r="CW212" s="137"/>
      <c r="CX212" s="137"/>
      <c r="CY212" s="137"/>
      <c r="CZ212" s="137"/>
      <c r="DA212" s="137"/>
      <c r="DB212" s="137"/>
      <c r="DC212" s="137"/>
      <c r="DD212" s="137"/>
      <c r="DE212" s="137"/>
      <c r="DF212" s="137"/>
      <c r="DG212" s="137"/>
      <c r="DH212" s="137"/>
      <c r="DI212" s="137"/>
      <c r="DJ212" s="137"/>
      <c r="DK212" s="137"/>
      <c r="DL212" s="137"/>
      <c r="DM212" s="137"/>
      <c r="DN212" s="137"/>
      <c r="DO212" s="137"/>
      <c r="DP212" s="137"/>
      <c r="DQ212" s="137"/>
      <c r="DR212" s="137"/>
      <c r="DS212" s="137"/>
      <c r="DT212" s="137"/>
      <c r="DU212" s="137"/>
      <c r="DV212" s="137"/>
      <c r="DW212" s="137"/>
      <c r="DX212" s="137"/>
      <c r="DY212" s="137"/>
      <c r="DZ212" s="137"/>
      <c r="EA212" s="137"/>
      <c r="EB212" s="137"/>
      <c r="EC212" s="137"/>
      <c r="ED212" s="137"/>
      <c r="EE212" s="137"/>
      <c r="EF212" s="137"/>
      <c r="EG212" s="137"/>
      <c r="EH212" s="137"/>
      <c r="EI212" s="137"/>
      <c r="EJ212" s="137"/>
      <c r="EK212" s="137"/>
      <c r="EL212" s="137"/>
      <c r="EM212" s="137"/>
      <c r="EN212" s="137"/>
      <c r="EO212" s="137"/>
      <c r="EP212" s="137"/>
      <c r="EQ212" s="137"/>
      <c r="ER212" s="137"/>
      <c r="ES212" s="137"/>
      <c r="ET212" s="137"/>
      <c r="EU212" s="137"/>
      <c r="EV212" s="137"/>
      <c r="EW212" s="137"/>
      <c r="EX212" s="137"/>
      <c r="EY212" s="137"/>
      <c r="EZ212" s="137"/>
      <c r="FA212" s="137"/>
      <c r="FB212" s="137"/>
      <c r="FC212" s="137"/>
      <c r="FD212" s="137"/>
      <c r="FE212" s="137"/>
      <c r="FF212" s="137"/>
      <c r="FG212" s="137"/>
      <c r="FH212" s="137"/>
      <c r="FI212" s="137"/>
      <c r="FJ212" s="137"/>
      <c r="FK212" s="137"/>
      <c r="FL212" s="137"/>
      <c r="FM212" s="137"/>
      <c r="FN212" s="137"/>
      <c r="FO212" s="137"/>
      <c r="FP212" s="137"/>
      <c r="FQ212" s="137"/>
      <c r="FR212" s="137"/>
      <c r="FS212" s="137"/>
      <c r="FT212" s="137"/>
      <c r="FU212" s="137"/>
      <c r="FV212" s="137"/>
      <c r="FW212" s="137"/>
      <c r="FX212" s="137"/>
      <c r="FY212" s="137"/>
    </row>
    <row r="213" spans="1:181" ht="16" x14ac:dyDescent="0.2">
      <c r="A213" s="155" t="s">
        <v>380</v>
      </c>
      <c r="B213" s="41">
        <v>0</v>
      </c>
      <c r="C213" s="41">
        <v>0</v>
      </c>
      <c r="D213" s="41">
        <v>0</v>
      </c>
      <c r="E213" s="41">
        <v>0</v>
      </c>
      <c r="F213" s="41">
        <v>0</v>
      </c>
      <c r="G213" s="41">
        <v>0</v>
      </c>
      <c r="H213" s="41">
        <v>0</v>
      </c>
      <c r="I213" s="41">
        <v>0</v>
      </c>
      <c r="J213" s="41">
        <v>0</v>
      </c>
      <c r="K213" s="41">
        <v>0</v>
      </c>
      <c r="L213" s="41">
        <v>0</v>
      </c>
      <c r="M213" s="41">
        <v>0</v>
      </c>
      <c r="N213" s="41">
        <v>0</v>
      </c>
      <c r="O213" s="41">
        <v>0</v>
      </c>
      <c r="P213" s="41">
        <v>0</v>
      </c>
      <c r="Q213" s="41">
        <v>0</v>
      </c>
      <c r="R213" s="41">
        <v>0</v>
      </c>
      <c r="S213" s="41">
        <v>0</v>
      </c>
      <c r="T213" s="41">
        <v>0</v>
      </c>
      <c r="U213" s="41">
        <v>0</v>
      </c>
      <c r="V213" s="41">
        <v>0</v>
      </c>
      <c r="W213" s="41">
        <v>0</v>
      </c>
      <c r="X213" s="41">
        <v>0</v>
      </c>
      <c r="Y213" s="41">
        <v>0</v>
      </c>
      <c r="Z213" s="41">
        <v>0</v>
      </c>
      <c r="AA213" s="41">
        <v>0</v>
      </c>
      <c r="AB213" s="41">
        <v>0</v>
      </c>
      <c r="AC213" s="41">
        <v>0</v>
      </c>
      <c r="AD213" s="41">
        <v>0</v>
      </c>
      <c r="AE213" s="41">
        <v>0</v>
      </c>
      <c r="AF213" s="41">
        <v>0</v>
      </c>
      <c r="AG213" s="41">
        <v>0</v>
      </c>
      <c r="AH213" s="41">
        <v>0</v>
      </c>
      <c r="AI213" s="41">
        <v>0</v>
      </c>
      <c r="AJ213" s="41">
        <v>0</v>
      </c>
      <c r="AK213" s="41">
        <v>0</v>
      </c>
      <c r="AL213" s="41">
        <v>0</v>
      </c>
      <c r="AM213" s="41">
        <v>0</v>
      </c>
      <c r="AN213" s="41">
        <v>0</v>
      </c>
      <c r="AO213" s="41">
        <v>0</v>
      </c>
      <c r="AP213" s="41">
        <v>0</v>
      </c>
      <c r="AQ213" s="41">
        <v>0</v>
      </c>
      <c r="AR213" s="41">
        <v>0</v>
      </c>
      <c r="AS213" s="41">
        <v>0</v>
      </c>
      <c r="AT213" s="41">
        <v>0</v>
      </c>
      <c r="AU213" s="41">
        <v>0</v>
      </c>
      <c r="AV213" s="41">
        <v>0</v>
      </c>
      <c r="AW213" s="41">
        <v>0</v>
      </c>
      <c r="AX213" s="41">
        <v>0</v>
      </c>
      <c r="AY213" s="41">
        <v>0</v>
      </c>
      <c r="AZ213" s="41">
        <v>0</v>
      </c>
      <c r="BA213" s="41">
        <v>0</v>
      </c>
      <c r="BB213" s="41">
        <v>0</v>
      </c>
      <c r="BC213" s="41">
        <v>0</v>
      </c>
      <c r="BD213" s="41">
        <v>0</v>
      </c>
      <c r="BE213" s="41">
        <v>0</v>
      </c>
      <c r="BF213" s="41">
        <v>0</v>
      </c>
      <c r="BG213" s="41">
        <v>0</v>
      </c>
      <c r="BH213" s="41">
        <v>0</v>
      </c>
      <c r="BI213" s="41">
        <v>0</v>
      </c>
      <c r="BJ213" s="41">
        <v>0</v>
      </c>
      <c r="BK213" s="41">
        <v>0</v>
      </c>
      <c r="BL213" s="41">
        <v>0</v>
      </c>
      <c r="BM213" s="41">
        <v>0</v>
      </c>
      <c r="BN213" s="41">
        <v>0</v>
      </c>
      <c r="BO213" s="41">
        <v>0</v>
      </c>
      <c r="BP213" s="41">
        <v>0</v>
      </c>
      <c r="BQ213" s="41">
        <v>0</v>
      </c>
      <c r="BR213" s="41">
        <v>0</v>
      </c>
      <c r="BS213" s="41">
        <v>0</v>
      </c>
      <c r="BT213" s="41">
        <v>0</v>
      </c>
      <c r="BU213" s="41">
        <v>0</v>
      </c>
      <c r="BV213" s="41">
        <v>0</v>
      </c>
      <c r="BW213" s="41">
        <v>0</v>
      </c>
      <c r="BX213" s="41">
        <v>0</v>
      </c>
      <c r="BY213" s="41">
        <v>0</v>
      </c>
      <c r="BZ213" s="41">
        <v>0</v>
      </c>
      <c r="CA213" s="41">
        <v>0</v>
      </c>
      <c r="CB213" s="41">
        <v>0</v>
      </c>
      <c r="CC213" s="41">
        <v>0</v>
      </c>
      <c r="CD213" s="41">
        <v>0</v>
      </c>
      <c r="CE213" s="41">
        <v>0</v>
      </c>
      <c r="CF213" s="41">
        <v>0</v>
      </c>
      <c r="CG213" s="41">
        <v>0</v>
      </c>
      <c r="CH213" s="41">
        <v>0</v>
      </c>
      <c r="CI213" s="41">
        <v>0</v>
      </c>
      <c r="CJ213" s="41">
        <v>0</v>
      </c>
      <c r="CK213" s="41">
        <v>0</v>
      </c>
      <c r="CL213" s="41">
        <v>0</v>
      </c>
      <c r="CM213" s="41">
        <v>0</v>
      </c>
      <c r="CN213" s="41">
        <v>0</v>
      </c>
      <c r="CO213" s="41">
        <v>0</v>
      </c>
      <c r="CP213" s="41">
        <v>0</v>
      </c>
      <c r="CQ213" s="41">
        <v>0</v>
      </c>
      <c r="CR213" s="41">
        <v>0</v>
      </c>
      <c r="CS213" s="41">
        <v>0</v>
      </c>
      <c r="CT213" s="41">
        <v>0</v>
      </c>
      <c r="CU213" s="41">
        <v>0</v>
      </c>
      <c r="CV213" s="41">
        <v>0</v>
      </c>
      <c r="CW213" s="41">
        <v>0</v>
      </c>
      <c r="CX213" s="41">
        <v>0</v>
      </c>
      <c r="CY213" s="41">
        <v>0</v>
      </c>
      <c r="CZ213" s="41">
        <v>0</v>
      </c>
      <c r="DA213" s="41">
        <v>0</v>
      </c>
      <c r="DB213" s="41">
        <v>0</v>
      </c>
      <c r="DC213" s="41">
        <v>0</v>
      </c>
      <c r="DD213" s="41">
        <v>0</v>
      </c>
      <c r="DE213" s="41">
        <v>0</v>
      </c>
      <c r="DF213" s="41">
        <v>0</v>
      </c>
      <c r="DG213" s="41">
        <v>0</v>
      </c>
      <c r="DH213" s="41">
        <v>0</v>
      </c>
      <c r="DI213" s="41">
        <v>0</v>
      </c>
      <c r="DJ213" s="41">
        <v>0</v>
      </c>
      <c r="DK213" s="41">
        <v>0</v>
      </c>
      <c r="DL213" s="41">
        <v>0</v>
      </c>
      <c r="DM213" s="41">
        <v>0</v>
      </c>
      <c r="DN213" s="41">
        <v>0</v>
      </c>
      <c r="DO213" s="41">
        <v>0</v>
      </c>
      <c r="DP213" s="41">
        <v>0</v>
      </c>
      <c r="DQ213" s="41">
        <v>0</v>
      </c>
      <c r="DR213" s="41">
        <v>0</v>
      </c>
      <c r="DS213" s="41">
        <v>0</v>
      </c>
      <c r="DT213" s="41">
        <v>0</v>
      </c>
      <c r="DU213" s="41">
        <v>0</v>
      </c>
      <c r="DV213" s="41">
        <v>0</v>
      </c>
      <c r="DW213" s="41">
        <v>0</v>
      </c>
      <c r="DX213" s="41">
        <v>0</v>
      </c>
      <c r="DY213" s="41">
        <v>0</v>
      </c>
      <c r="DZ213" s="41">
        <v>0</v>
      </c>
      <c r="EA213" s="41">
        <v>0</v>
      </c>
      <c r="EB213" s="41">
        <v>0</v>
      </c>
      <c r="EC213" s="41">
        <v>0</v>
      </c>
      <c r="ED213" s="41">
        <v>0</v>
      </c>
      <c r="EE213" s="41">
        <v>0</v>
      </c>
      <c r="EF213" s="41">
        <v>0</v>
      </c>
      <c r="EG213" s="41">
        <v>0</v>
      </c>
      <c r="EH213" s="41">
        <v>0</v>
      </c>
      <c r="EI213" s="41">
        <v>0</v>
      </c>
      <c r="EJ213" s="41">
        <v>0</v>
      </c>
      <c r="EK213" s="41">
        <v>0</v>
      </c>
      <c r="EL213" s="41">
        <v>0</v>
      </c>
      <c r="EM213" s="41">
        <v>0</v>
      </c>
      <c r="EN213" s="41">
        <v>0</v>
      </c>
      <c r="EO213" s="41">
        <v>0</v>
      </c>
      <c r="EP213" s="41">
        <v>0</v>
      </c>
      <c r="EQ213" s="41">
        <v>0</v>
      </c>
      <c r="ER213" s="41">
        <v>0</v>
      </c>
      <c r="ES213" s="41">
        <v>0</v>
      </c>
      <c r="ET213" s="41">
        <v>0</v>
      </c>
      <c r="EU213" s="41">
        <v>0</v>
      </c>
      <c r="EV213" s="41">
        <v>0</v>
      </c>
      <c r="EW213" s="41">
        <v>0</v>
      </c>
      <c r="EX213" s="41">
        <v>0</v>
      </c>
      <c r="EY213" s="41">
        <v>0</v>
      </c>
      <c r="EZ213" s="41">
        <v>0</v>
      </c>
      <c r="FA213" s="41">
        <v>0</v>
      </c>
      <c r="FB213" s="41">
        <v>0</v>
      </c>
      <c r="FC213" s="41">
        <v>0</v>
      </c>
      <c r="FD213" s="41">
        <v>0</v>
      </c>
      <c r="FE213" s="41">
        <v>0</v>
      </c>
      <c r="FF213" s="41">
        <v>0</v>
      </c>
      <c r="FG213" s="41">
        <v>0</v>
      </c>
      <c r="FH213" s="41">
        <v>0</v>
      </c>
      <c r="FI213" s="41">
        <v>0</v>
      </c>
      <c r="FJ213" s="41">
        <v>0</v>
      </c>
      <c r="FK213" s="41">
        <v>0</v>
      </c>
      <c r="FL213" s="41">
        <v>0</v>
      </c>
      <c r="FM213" s="41">
        <v>0</v>
      </c>
      <c r="FN213" s="41">
        <v>0</v>
      </c>
      <c r="FO213" s="41">
        <v>0</v>
      </c>
      <c r="FP213" s="41">
        <v>0</v>
      </c>
      <c r="FQ213" s="41">
        <v>0</v>
      </c>
      <c r="FR213" s="41">
        <v>0</v>
      </c>
      <c r="FS213" s="41">
        <v>0</v>
      </c>
      <c r="FT213" s="41">
        <v>0</v>
      </c>
      <c r="FU213" s="41">
        <v>0</v>
      </c>
      <c r="FV213" s="41">
        <v>0</v>
      </c>
      <c r="FW213" s="41">
        <v>0</v>
      </c>
      <c r="FX213" s="41">
        <v>0</v>
      </c>
      <c r="FY213" s="41">
        <v>0</v>
      </c>
    </row>
    <row r="214" spans="1:181" ht="16" x14ac:dyDescent="0.2">
      <c r="A214" s="155" t="s">
        <v>381</v>
      </c>
      <c r="B214" s="41">
        <v>0</v>
      </c>
      <c r="C214" s="41">
        <v>0</v>
      </c>
      <c r="D214" s="41">
        <v>0</v>
      </c>
      <c r="E214" s="41">
        <v>0</v>
      </c>
      <c r="F214" s="41">
        <v>0</v>
      </c>
      <c r="G214" s="41">
        <v>0</v>
      </c>
      <c r="H214" s="41">
        <v>0</v>
      </c>
      <c r="I214" s="41">
        <v>0</v>
      </c>
      <c r="J214" s="41">
        <v>0</v>
      </c>
      <c r="K214" s="41">
        <v>0</v>
      </c>
      <c r="L214" s="41">
        <v>0</v>
      </c>
      <c r="M214" s="41">
        <v>0</v>
      </c>
      <c r="N214" s="41">
        <v>0</v>
      </c>
      <c r="O214" s="41">
        <v>0</v>
      </c>
      <c r="P214" s="41">
        <v>0</v>
      </c>
      <c r="Q214" s="41">
        <v>0</v>
      </c>
      <c r="R214" s="41">
        <v>0</v>
      </c>
      <c r="S214" s="41">
        <v>0</v>
      </c>
      <c r="T214" s="41">
        <v>0</v>
      </c>
      <c r="U214" s="41">
        <v>0</v>
      </c>
      <c r="V214" s="41">
        <v>0</v>
      </c>
      <c r="W214" s="41">
        <v>0</v>
      </c>
      <c r="X214" s="41">
        <v>0</v>
      </c>
      <c r="Y214" s="41">
        <v>0</v>
      </c>
      <c r="Z214" s="41">
        <v>0</v>
      </c>
      <c r="AA214" s="41">
        <v>0</v>
      </c>
      <c r="AB214" s="41">
        <v>0</v>
      </c>
      <c r="AC214" s="41">
        <v>0</v>
      </c>
      <c r="AD214" s="41">
        <v>0</v>
      </c>
      <c r="AE214" s="41">
        <v>0</v>
      </c>
      <c r="AF214" s="41">
        <v>0</v>
      </c>
      <c r="AG214" s="41">
        <v>0</v>
      </c>
      <c r="AH214" s="41">
        <v>0</v>
      </c>
      <c r="AI214" s="41">
        <v>0</v>
      </c>
      <c r="AJ214" s="41">
        <v>0</v>
      </c>
      <c r="AK214" s="41">
        <v>0</v>
      </c>
      <c r="AL214" s="41">
        <v>0</v>
      </c>
      <c r="AM214" s="41">
        <v>0</v>
      </c>
      <c r="AN214" s="41">
        <v>0</v>
      </c>
      <c r="AO214" s="41">
        <v>0</v>
      </c>
      <c r="AP214" s="41">
        <v>0</v>
      </c>
      <c r="AQ214" s="41">
        <v>0</v>
      </c>
      <c r="AR214" s="41">
        <v>0</v>
      </c>
      <c r="AS214" s="41">
        <v>0</v>
      </c>
      <c r="AT214" s="41">
        <v>0</v>
      </c>
      <c r="AU214" s="41">
        <v>0</v>
      </c>
      <c r="AV214" s="41">
        <v>0</v>
      </c>
      <c r="AW214" s="41">
        <v>0</v>
      </c>
      <c r="AX214" s="41">
        <v>0</v>
      </c>
      <c r="AY214" s="41">
        <v>0</v>
      </c>
      <c r="AZ214" s="41">
        <v>0</v>
      </c>
      <c r="BA214" s="41">
        <v>0</v>
      </c>
      <c r="BB214" s="41">
        <v>0</v>
      </c>
      <c r="BC214" s="41">
        <v>0</v>
      </c>
      <c r="BD214" s="41">
        <v>0</v>
      </c>
      <c r="BE214" s="41">
        <v>0</v>
      </c>
      <c r="BF214" s="41">
        <v>0</v>
      </c>
      <c r="BG214" s="41">
        <v>0</v>
      </c>
      <c r="BH214" s="41">
        <v>0</v>
      </c>
      <c r="BI214" s="41">
        <v>0</v>
      </c>
      <c r="BJ214" s="41">
        <v>0</v>
      </c>
      <c r="BK214" s="41">
        <v>0</v>
      </c>
      <c r="BL214" s="41">
        <v>0</v>
      </c>
      <c r="BM214" s="41">
        <v>0</v>
      </c>
      <c r="BN214" s="41">
        <v>0</v>
      </c>
      <c r="BO214" s="41">
        <v>0</v>
      </c>
      <c r="BP214" s="41">
        <v>0</v>
      </c>
      <c r="BQ214" s="41">
        <v>0</v>
      </c>
      <c r="BR214" s="41">
        <v>0</v>
      </c>
      <c r="BS214" s="41">
        <v>0</v>
      </c>
      <c r="BT214" s="41">
        <v>0</v>
      </c>
      <c r="BU214" s="41">
        <v>0</v>
      </c>
      <c r="BV214" s="41">
        <v>0</v>
      </c>
      <c r="BW214" s="41">
        <v>0</v>
      </c>
      <c r="BX214" s="41">
        <v>0</v>
      </c>
      <c r="BY214" s="41">
        <v>0</v>
      </c>
      <c r="BZ214" s="41">
        <v>0</v>
      </c>
      <c r="CA214" s="41">
        <v>0</v>
      </c>
      <c r="CB214" s="41">
        <v>0</v>
      </c>
      <c r="CC214" s="41">
        <v>0</v>
      </c>
      <c r="CD214" s="41">
        <v>0</v>
      </c>
      <c r="CE214" s="41">
        <v>0</v>
      </c>
      <c r="CF214" s="41">
        <v>0</v>
      </c>
      <c r="CG214" s="41">
        <v>0</v>
      </c>
      <c r="CH214" s="41">
        <v>0</v>
      </c>
      <c r="CI214" s="41">
        <v>0</v>
      </c>
      <c r="CJ214" s="41">
        <v>0</v>
      </c>
      <c r="CK214" s="41">
        <v>0</v>
      </c>
      <c r="CL214" s="41">
        <v>0</v>
      </c>
      <c r="CM214" s="41">
        <v>0</v>
      </c>
      <c r="CN214" s="41">
        <v>0</v>
      </c>
      <c r="CO214" s="41">
        <v>0</v>
      </c>
      <c r="CP214" s="41">
        <v>0</v>
      </c>
      <c r="CQ214" s="41">
        <v>0</v>
      </c>
      <c r="CR214" s="41">
        <v>0</v>
      </c>
      <c r="CS214" s="41">
        <v>0</v>
      </c>
      <c r="CT214" s="41">
        <v>0</v>
      </c>
      <c r="CU214" s="41">
        <v>0</v>
      </c>
      <c r="CV214" s="41">
        <v>0</v>
      </c>
      <c r="CW214" s="41">
        <v>0</v>
      </c>
      <c r="CX214" s="41">
        <v>0</v>
      </c>
      <c r="CY214" s="41">
        <v>0</v>
      </c>
      <c r="CZ214" s="41">
        <v>0</v>
      </c>
      <c r="DA214" s="41">
        <v>0</v>
      </c>
      <c r="DB214" s="41">
        <v>0</v>
      </c>
      <c r="DC214" s="41">
        <v>0</v>
      </c>
      <c r="DD214" s="41">
        <v>0</v>
      </c>
      <c r="DE214" s="41">
        <v>0</v>
      </c>
      <c r="DF214" s="41">
        <v>0</v>
      </c>
      <c r="DG214" s="41">
        <v>0</v>
      </c>
      <c r="DH214" s="41">
        <v>0</v>
      </c>
      <c r="DI214" s="41">
        <v>0</v>
      </c>
      <c r="DJ214" s="41">
        <v>0</v>
      </c>
      <c r="DK214" s="41">
        <v>0</v>
      </c>
      <c r="DL214" s="41">
        <v>0</v>
      </c>
      <c r="DM214" s="41">
        <v>0</v>
      </c>
      <c r="DN214" s="41">
        <v>0</v>
      </c>
      <c r="DO214" s="41">
        <v>0</v>
      </c>
      <c r="DP214" s="41">
        <v>0</v>
      </c>
      <c r="DQ214" s="41">
        <v>0</v>
      </c>
      <c r="DR214" s="41">
        <v>0</v>
      </c>
      <c r="DS214" s="41">
        <v>0</v>
      </c>
      <c r="DT214" s="41">
        <v>0</v>
      </c>
      <c r="DU214" s="41">
        <v>0</v>
      </c>
      <c r="DV214" s="41">
        <v>0</v>
      </c>
      <c r="DW214" s="41">
        <v>0</v>
      </c>
      <c r="DX214" s="41">
        <v>0</v>
      </c>
      <c r="DY214" s="41">
        <v>0</v>
      </c>
      <c r="DZ214" s="41">
        <v>0</v>
      </c>
      <c r="EA214" s="41">
        <v>0</v>
      </c>
      <c r="EB214" s="41">
        <v>0</v>
      </c>
      <c r="EC214" s="41">
        <v>0</v>
      </c>
      <c r="ED214" s="41">
        <v>0</v>
      </c>
      <c r="EE214" s="41">
        <v>0</v>
      </c>
      <c r="EF214" s="41">
        <v>0</v>
      </c>
      <c r="EG214" s="41">
        <v>0</v>
      </c>
      <c r="EH214" s="41">
        <v>0</v>
      </c>
      <c r="EI214" s="41">
        <v>0</v>
      </c>
      <c r="EJ214" s="41">
        <v>0</v>
      </c>
      <c r="EK214" s="41">
        <v>0</v>
      </c>
      <c r="EL214" s="41">
        <v>0</v>
      </c>
      <c r="EM214" s="41">
        <v>0</v>
      </c>
      <c r="EN214" s="41">
        <v>0</v>
      </c>
      <c r="EO214" s="41">
        <v>0</v>
      </c>
      <c r="EP214" s="41">
        <v>0</v>
      </c>
      <c r="EQ214" s="41">
        <v>0</v>
      </c>
      <c r="ER214" s="41">
        <v>0</v>
      </c>
      <c r="ES214" s="41">
        <v>0</v>
      </c>
      <c r="ET214" s="41">
        <v>0</v>
      </c>
      <c r="EU214" s="41">
        <v>0</v>
      </c>
      <c r="EV214" s="41">
        <v>0</v>
      </c>
      <c r="EW214" s="41">
        <v>0</v>
      </c>
      <c r="EX214" s="41">
        <v>0</v>
      </c>
      <c r="EY214" s="41">
        <v>0</v>
      </c>
      <c r="EZ214" s="41">
        <v>0</v>
      </c>
      <c r="FA214" s="41">
        <v>0</v>
      </c>
      <c r="FB214" s="41">
        <v>0</v>
      </c>
      <c r="FC214" s="41">
        <v>0</v>
      </c>
      <c r="FD214" s="41">
        <v>0</v>
      </c>
      <c r="FE214" s="41">
        <v>0</v>
      </c>
      <c r="FF214" s="41">
        <v>0</v>
      </c>
      <c r="FG214" s="41">
        <v>0</v>
      </c>
      <c r="FH214" s="41">
        <v>0</v>
      </c>
      <c r="FI214" s="41">
        <v>0</v>
      </c>
      <c r="FJ214" s="41">
        <v>0</v>
      </c>
      <c r="FK214" s="41">
        <v>0</v>
      </c>
      <c r="FL214" s="41">
        <v>0</v>
      </c>
      <c r="FM214" s="41">
        <v>0</v>
      </c>
      <c r="FN214" s="41">
        <v>0</v>
      </c>
      <c r="FO214" s="41">
        <v>0</v>
      </c>
      <c r="FP214" s="41">
        <v>0</v>
      </c>
      <c r="FQ214" s="41">
        <v>0</v>
      </c>
      <c r="FR214" s="41">
        <v>0</v>
      </c>
      <c r="FS214" s="41">
        <v>0</v>
      </c>
      <c r="FT214" s="41">
        <v>0</v>
      </c>
      <c r="FU214" s="41">
        <v>0</v>
      </c>
      <c r="FV214" s="41">
        <v>0</v>
      </c>
      <c r="FW214" s="41">
        <v>0</v>
      </c>
      <c r="FX214" s="41">
        <v>0</v>
      </c>
      <c r="FY214" s="41">
        <v>0</v>
      </c>
    </row>
    <row r="215" spans="1:181" ht="16" x14ac:dyDescent="0.2">
      <c r="A215" s="153" t="s">
        <v>383</v>
      </c>
      <c r="B215" s="137"/>
      <c r="C215" s="137"/>
      <c r="D215" s="137"/>
      <c r="E215" s="137"/>
      <c r="F215" s="137"/>
      <c r="G215" s="137"/>
      <c r="H215" s="137"/>
      <c r="I215" s="137"/>
      <c r="J215" s="137"/>
      <c r="K215" s="137"/>
      <c r="L215" s="137"/>
      <c r="M215" s="137"/>
      <c r="N215" s="137"/>
      <c r="O215" s="137"/>
      <c r="P215" s="137"/>
      <c r="Q215" s="137"/>
      <c r="R215" s="137"/>
      <c r="S215" s="137"/>
      <c r="T215" s="137"/>
      <c r="U215" s="137"/>
      <c r="V215" s="137"/>
      <c r="W215" s="137"/>
      <c r="X215" s="137"/>
      <c r="Y215" s="137"/>
      <c r="Z215" s="137"/>
      <c r="AA215" s="137"/>
      <c r="AB215" s="137"/>
      <c r="AC215" s="137"/>
      <c r="AD215" s="137"/>
      <c r="AE215" s="137"/>
      <c r="AF215" s="137"/>
      <c r="AG215" s="137"/>
      <c r="AH215" s="137"/>
      <c r="AI215" s="137"/>
      <c r="AJ215" s="137"/>
      <c r="AK215" s="137"/>
      <c r="AL215" s="137"/>
      <c r="AM215" s="137"/>
      <c r="AN215" s="137"/>
      <c r="AO215" s="137"/>
      <c r="AP215" s="137"/>
      <c r="AQ215" s="137"/>
      <c r="AR215" s="137"/>
      <c r="AS215" s="137"/>
      <c r="AT215" s="137"/>
      <c r="AU215" s="137"/>
      <c r="AV215" s="137"/>
      <c r="AW215" s="137"/>
      <c r="AX215" s="137"/>
      <c r="AY215" s="137"/>
      <c r="AZ215" s="137"/>
      <c r="BA215" s="137"/>
      <c r="BB215" s="137"/>
      <c r="BC215" s="137"/>
      <c r="BD215" s="137"/>
      <c r="BE215" s="137"/>
      <c r="BF215" s="137"/>
      <c r="BG215" s="137"/>
      <c r="BH215" s="137"/>
      <c r="BI215" s="137"/>
      <c r="BJ215" s="137"/>
      <c r="BK215" s="137"/>
      <c r="BL215" s="137"/>
      <c r="BM215" s="137"/>
      <c r="BN215" s="137"/>
      <c r="BO215" s="137"/>
      <c r="BP215" s="137"/>
      <c r="BQ215" s="137"/>
      <c r="BR215" s="137"/>
      <c r="BS215" s="137"/>
      <c r="BT215" s="137"/>
      <c r="BU215" s="137"/>
      <c r="BV215" s="137"/>
      <c r="BW215" s="137"/>
      <c r="BX215" s="137"/>
      <c r="BY215" s="137"/>
      <c r="BZ215" s="137"/>
      <c r="CA215" s="137"/>
      <c r="CB215" s="137"/>
      <c r="CC215" s="137"/>
      <c r="CD215" s="137"/>
      <c r="CE215" s="137"/>
      <c r="CF215" s="137"/>
      <c r="CG215" s="137"/>
      <c r="CH215" s="137"/>
      <c r="CI215" s="137"/>
      <c r="CJ215" s="137"/>
      <c r="CK215" s="137"/>
      <c r="CL215" s="137"/>
      <c r="CM215" s="137"/>
      <c r="CN215" s="137"/>
      <c r="CO215" s="137"/>
      <c r="CP215" s="137"/>
      <c r="CQ215" s="137"/>
      <c r="CR215" s="137"/>
      <c r="CS215" s="137"/>
      <c r="CT215" s="137"/>
      <c r="CU215" s="137"/>
      <c r="CV215" s="137"/>
      <c r="CW215" s="137"/>
      <c r="CX215" s="137"/>
      <c r="CY215" s="137"/>
      <c r="CZ215" s="137"/>
      <c r="DA215" s="137"/>
      <c r="DB215" s="137"/>
      <c r="DC215" s="137"/>
      <c r="DD215" s="137"/>
      <c r="DE215" s="137"/>
      <c r="DF215" s="137"/>
      <c r="DG215" s="137"/>
      <c r="DH215" s="137"/>
      <c r="DI215" s="137"/>
      <c r="DJ215" s="137"/>
      <c r="DK215" s="137"/>
      <c r="DL215" s="137"/>
      <c r="DM215" s="137"/>
      <c r="DN215" s="137"/>
      <c r="DO215" s="137"/>
      <c r="DP215" s="137"/>
      <c r="DQ215" s="137"/>
      <c r="DR215" s="137"/>
      <c r="DS215" s="137"/>
      <c r="DT215" s="137"/>
      <c r="DU215" s="137"/>
      <c r="DV215" s="137"/>
      <c r="DW215" s="137"/>
      <c r="DX215" s="137"/>
      <c r="DY215" s="137"/>
      <c r="DZ215" s="137"/>
      <c r="EA215" s="137"/>
      <c r="EB215" s="137"/>
      <c r="EC215" s="137"/>
      <c r="ED215" s="137"/>
      <c r="EE215" s="137"/>
      <c r="EF215" s="137"/>
      <c r="EG215" s="137"/>
      <c r="EH215" s="137"/>
      <c r="EI215" s="137"/>
      <c r="EJ215" s="137"/>
      <c r="EK215" s="137"/>
      <c r="EL215" s="137"/>
      <c r="EM215" s="137"/>
      <c r="EN215" s="137"/>
      <c r="EO215" s="137"/>
      <c r="EP215" s="137"/>
      <c r="EQ215" s="137"/>
      <c r="ER215" s="137"/>
      <c r="ES215" s="137"/>
      <c r="ET215" s="137"/>
      <c r="EU215" s="137"/>
      <c r="EV215" s="137"/>
      <c r="EW215" s="137"/>
      <c r="EX215" s="137"/>
      <c r="EY215" s="137"/>
      <c r="EZ215" s="137"/>
      <c r="FA215" s="137"/>
      <c r="FB215" s="137"/>
      <c r="FC215" s="137"/>
      <c r="FD215" s="137"/>
      <c r="FE215" s="137"/>
      <c r="FF215" s="137"/>
      <c r="FG215" s="137"/>
      <c r="FH215" s="137"/>
      <c r="FI215" s="137"/>
      <c r="FJ215" s="137"/>
      <c r="FK215" s="137"/>
      <c r="FL215" s="137"/>
      <c r="FM215" s="137"/>
      <c r="FN215" s="137"/>
      <c r="FO215" s="137"/>
      <c r="FP215" s="137"/>
      <c r="FQ215" s="137"/>
      <c r="FR215" s="137"/>
      <c r="FS215" s="137"/>
      <c r="FT215" s="137"/>
      <c r="FU215" s="137"/>
      <c r="FV215" s="137"/>
      <c r="FW215" s="137"/>
      <c r="FX215" s="137"/>
      <c r="FY215" s="137"/>
    </row>
    <row r="216" spans="1:181" ht="16" x14ac:dyDescent="0.2">
      <c r="A216" s="156" t="s">
        <v>374</v>
      </c>
      <c r="B216" s="157">
        <v>0</v>
      </c>
      <c r="C216" s="158">
        <v>0</v>
      </c>
      <c r="D216" s="158">
        <v>0</v>
      </c>
      <c r="E216" s="158">
        <v>0</v>
      </c>
      <c r="F216" s="158">
        <v>0</v>
      </c>
      <c r="G216" s="157">
        <v>0</v>
      </c>
      <c r="H216" s="158">
        <v>0</v>
      </c>
      <c r="I216" s="158">
        <v>0</v>
      </c>
      <c r="J216" s="158">
        <v>0</v>
      </c>
      <c r="K216" s="158">
        <v>0</v>
      </c>
      <c r="L216" s="157">
        <v>0</v>
      </c>
      <c r="M216" s="158">
        <v>0</v>
      </c>
      <c r="N216" s="158">
        <v>0</v>
      </c>
      <c r="O216" s="158">
        <v>0</v>
      </c>
      <c r="P216" s="158">
        <v>0</v>
      </c>
      <c r="Q216" s="157">
        <v>0</v>
      </c>
      <c r="R216" s="158">
        <v>0</v>
      </c>
      <c r="S216" s="158">
        <v>0</v>
      </c>
      <c r="T216" s="158">
        <v>0</v>
      </c>
      <c r="U216" s="158">
        <v>0</v>
      </c>
      <c r="V216" s="157">
        <v>0</v>
      </c>
      <c r="W216" s="158">
        <v>0</v>
      </c>
      <c r="X216" s="158">
        <v>0</v>
      </c>
      <c r="Y216" s="158">
        <v>0</v>
      </c>
      <c r="Z216" s="158">
        <v>0</v>
      </c>
      <c r="AA216" s="157">
        <v>0</v>
      </c>
      <c r="AB216" s="158">
        <v>0</v>
      </c>
      <c r="AC216" s="158">
        <v>0</v>
      </c>
      <c r="AD216" s="158">
        <v>0</v>
      </c>
      <c r="AE216" s="158">
        <v>0</v>
      </c>
      <c r="AF216" s="157">
        <v>0</v>
      </c>
      <c r="AG216" s="158">
        <v>0</v>
      </c>
      <c r="AH216" s="158">
        <v>0</v>
      </c>
      <c r="AI216" s="158">
        <v>0</v>
      </c>
      <c r="AJ216" s="158">
        <v>0</v>
      </c>
      <c r="AK216" s="157">
        <v>0</v>
      </c>
      <c r="AL216" s="158">
        <v>0</v>
      </c>
      <c r="AM216" s="158">
        <v>0</v>
      </c>
      <c r="AN216" s="158">
        <v>0</v>
      </c>
      <c r="AO216" s="158">
        <v>0</v>
      </c>
      <c r="AP216" s="157">
        <v>0</v>
      </c>
      <c r="AQ216" s="158">
        <v>0</v>
      </c>
      <c r="AR216" s="158">
        <v>0</v>
      </c>
      <c r="AS216" s="158">
        <v>0</v>
      </c>
      <c r="AT216" s="158">
        <v>0</v>
      </c>
      <c r="AU216" s="157">
        <v>0</v>
      </c>
      <c r="AV216" s="158">
        <v>0</v>
      </c>
      <c r="AW216" s="158">
        <v>0</v>
      </c>
      <c r="AX216" s="158">
        <v>0</v>
      </c>
      <c r="AY216" s="158">
        <v>0</v>
      </c>
      <c r="AZ216" s="157">
        <v>0</v>
      </c>
      <c r="BA216" s="158">
        <v>0</v>
      </c>
      <c r="BB216" s="158">
        <v>0</v>
      </c>
      <c r="BC216" s="158">
        <v>0</v>
      </c>
      <c r="BD216" s="158">
        <v>0</v>
      </c>
      <c r="BE216" s="157">
        <v>0</v>
      </c>
      <c r="BF216" s="158">
        <v>0</v>
      </c>
      <c r="BG216" s="158">
        <v>0</v>
      </c>
      <c r="BH216" s="158">
        <v>0</v>
      </c>
      <c r="BI216" s="158">
        <v>0</v>
      </c>
      <c r="BJ216" s="157">
        <v>0</v>
      </c>
      <c r="BK216" s="158">
        <v>0</v>
      </c>
      <c r="BL216" s="158">
        <v>0</v>
      </c>
      <c r="BM216" s="158">
        <v>0</v>
      </c>
      <c r="BN216" s="158">
        <v>0</v>
      </c>
      <c r="BO216" s="157">
        <v>0</v>
      </c>
      <c r="BP216" s="158">
        <v>0</v>
      </c>
      <c r="BQ216" s="158">
        <v>0</v>
      </c>
      <c r="BR216" s="158">
        <v>0</v>
      </c>
      <c r="BS216" s="158">
        <v>0</v>
      </c>
      <c r="BT216" s="157">
        <v>0</v>
      </c>
      <c r="BU216" s="158">
        <v>0</v>
      </c>
      <c r="BV216" s="158">
        <v>0</v>
      </c>
      <c r="BW216" s="158">
        <v>0</v>
      </c>
      <c r="BX216" s="158">
        <v>0</v>
      </c>
      <c r="BY216" s="157">
        <v>0</v>
      </c>
      <c r="BZ216" s="158">
        <v>0</v>
      </c>
      <c r="CA216" s="158">
        <v>0</v>
      </c>
      <c r="CB216" s="158">
        <v>0</v>
      </c>
      <c r="CC216" s="158">
        <v>0</v>
      </c>
      <c r="CD216" s="157">
        <v>0</v>
      </c>
      <c r="CE216" s="158">
        <v>0</v>
      </c>
      <c r="CF216" s="158">
        <v>0</v>
      </c>
      <c r="CG216" s="158">
        <v>0</v>
      </c>
      <c r="CH216" s="158">
        <v>0</v>
      </c>
      <c r="CI216" s="157">
        <v>0</v>
      </c>
      <c r="CJ216" s="158">
        <v>0</v>
      </c>
      <c r="CK216" s="158">
        <v>0</v>
      </c>
      <c r="CL216" s="158">
        <v>0</v>
      </c>
      <c r="CM216" s="158">
        <v>0</v>
      </c>
      <c r="CN216" s="157">
        <v>0</v>
      </c>
      <c r="CO216" s="158">
        <v>0</v>
      </c>
      <c r="CP216" s="158">
        <v>0</v>
      </c>
      <c r="CQ216" s="158">
        <v>0</v>
      </c>
      <c r="CR216" s="158">
        <v>0</v>
      </c>
      <c r="CS216" s="157">
        <v>0</v>
      </c>
      <c r="CT216" s="158">
        <v>0</v>
      </c>
      <c r="CU216" s="158">
        <v>0</v>
      </c>
      <c r="CV216" s="158">
        <v>0</v>
      </c>
      <c r="CW216" s="158">
        <v>0</v>
      </c>
      <c r="CX216" s="157">
        <v>0</v>
      </c>
      <c r="CY216" s="158">
        <v>0</v>
      </c>
      <c r="CZ216" s="158">
        <v>0</v>
      </c>
      <c r="DA216" s="158">
        <v>0</v>
      </c>
      <c r="DB216" s="158">
        <v>0</v>
      </c>
      <c r="DC216" s="157">
        <v>0</v>
      </c>
      <c r="DD216" s="158">
        <v>0</v>
      </c>
      <c r="DE216" s="158">
        <v>0</v>
      </c>
      <c r="DF216" s="158">
        <v>0</v>
      </c>
      <c r="DG216" s="158">
        <v>0</v>
      </c>
      <c r="DH216" s="157">
        <v>0</v>
      </c>
      <c r="DI216" s="158">
        <v>0</v>
      </c>
      <c r="DJ216" s="158">
        <v>0</v>
      </c>
      <c r="DK216" s="158">
        <v>0</v>
      </c>
      <c r="DL216" s="158">
        <v>0</v>
      </c>
      <c r="DM216" s="157">
        <v>0</v>
      </c>
      <c r="DN216" s="158">
        <v>0</v>
      </c>
      <c r="DO216" s="158">
        <v>0</v>
      </c>
      <c r="DP216" s="158">
        <v>0</v>
      </c>
      <c r="DQ216" s="158">
        <v>0</v>
      </c>
      <c r="DR216" s="157">
        <v>0</v>
      </c>
      <c r="DS216" s="158">
        <v>0</v>
      </c>
      <c r="DT216" s="158">
        <v>0</v>
      </c>
      <c r="DU216" s="158">
        <v>0</v>
      </c>
      <c r="DV216" s="158">
        <v>0</v>
      </c>
      <c r="DW216" s="157">
        <v>0</v>
      </c>
      <c r="DX216" s="158">
        <v>0</v>
      </c>
      <c r="DY216" s="158">
        <v>0</v>
      </c>
      <c r="DZ216" s="158">
        <v>0</v>
      </c>
      <c r="EA216" s="158">
        <v>0</v>
      </c>
      <c r="EB216" s="157">
        <v>0</v>
      </c>
      <c r="EC216" s="158">
        <v>0</v>
      </c>
      <c r="ED216" s="158">
        <v>0</v>
      </c>
      <c r="EE216" s="158">
        <v>0</v>
      </c>
      <c r="EF216" s="158">
        <v>0</v>
      </c>
      <c r="EG216" s="157">
        <v>0</v>
      </c>
      <c r="EH216" s="158">
        <v>0</v>
      </c>
      <c r="EI216" s="158">
        <v>0</v>
      </c>
      <c r="EJ216" s="158">
        <v>0</v>
      </c>
      <c r="EK216" s="158">
        <v>0</v>
      </c>
      <c r="EL216" s="157">
        <v>0</v>
      </c>
      <c r="EM216" s="158">
        <v>0</v>
      </c>
      <c r="EN216" s="158">
        <v>0</v>
      </c>
      <c r="EO216" s="158">
        <v>0</v>
      </c>
      <c r="EP216" s="158">
        <v>0</v>
      </c>
      <c r="EQ216" s="157">
        <v>0</v>
      </c>
      <c r="ER216" s="158">
        <v>0</v>
      </c>
      <c r="ES216" s="158">
        <v>0</v>
      </c>
      <c r="ET216" s="158">
        <v>0</v>
      </c>
      <c r="EU216" s="158">
        <v>0</v>
      </c>
      <c r="EV216" s="157">
        <v>0</v>
      </c>
      <c r="EW216" s="158">
        <v>0</v>
      </c>
      <c r="EX216" s="158">
        <v>0</v>
      </c>
      <c r="EY216" s="158">
        <v>0</v>
      </c>
      <c r="EZ216" s="158">
        <v>0</v>
      </c>
      <c r="FA216" s="157">
        <v>0</v>
      </c>
      <c r="FB216" s="158">
        <v>0</v>
      </c>
      <c r="FC216" s="158">
        <v>0</v>
      </c>
      <c r="FD216" s="158">
        <v>0</v>
      </c>
      <c r="FE216" s="158">
        <v>0</v>
      </c>
      <c r="FF216" s="157">
        <v>0</v>
      </c>
      <c r="FG216" s="158">
        <v>0</v>
      </c>
      <c r="FH216" s="158">
        <v>0</v>
      </c>
      <c r="FI216" s="158">
        <v>0</v>
      </c>
      <c r="FJ216" s="158">
        <v>0</v>
      </c>
      <c r="FK216" s="157">
        <v>0</v>
      </c>
      <c r="FL216" s="158">
        <v>0</v>
      </c>
      <c r="FM216" s="158">
        <v>0</v>
      </c>
      <c r="FN216" s="158">
        <v>0</v>
      </c>
      <c r="FO216" s="158">
        <v>0</v>
      </c>
      <c r="FP216" s="157">
        <v>0</v>
      </c>
      <c r="FQ216" s="158">
        <v>0</v>
      </c>
      <c r="FR216" s="158">
        <v>0</v>
      </c>
      <c r="FS216" s="158">
        <v>0</v>
      </c>
      <c r="FT216" s="158">
        <v>0</v>
      </c>
      <c r="FU216" s="157">
        <v>0</v>
      </c>
      <c r="FV216" s="158">
        <v>0</v>
      </c>
      <c r="FW216" s="158">
        <v>0</v>
      </c>
      <c r="FX216" s="158">
        <v>0</v>
      </c>
      <c r="FY216" s="158">
        <v>0</v>
      </c>
    </row>
    <row r="217" spans="1:181" ht="16" x14ac:dyDescent="0.2">
      <c r="A217" s="156" t="s">
        <v>375</v>
      </c>
      <c r="B217" s="158">
        <v>0</v>
      </c>
      <c r="C217" s="157">
        <v>0</v>
      </c>
      <c r="D217" s="158">
        <v>0</v>
      </c>
      <c r="E217" s="158">
        <v>0</v>
      </c>
      <c r="F217" s="158">
        <v>0</v>
      </c>
      <c r="G217" s="158">
        <v>0</v>
      </c>
      <c r="H217" s="157">
        <v>0</v>
      </c>
      <c r="I217" s="158">
        <v>0</v>
      </c>
      <c r="J217" s="158">
        <v>0</v>
      </c>
      <c r="K217" s="158">
        <v>0</v>
      </c>
      <c r="L217" s="158">
        <v>0</v>
      </c>
      <c r="M217" s="157">
        <v>0</v>
      </c>
      <c r="N217" s="158">
        <v>0</v>
      </c>
      <c r="O217" s="158">
        <v>0</v>
      </c>
      <c r="P217" s="158">
        <v>0</v>
      </c>
      <c r="Q217" s="158">
        <v>0</v>
      </c>
      <c r="R217" s="157">
        <v>0</v>
      </c>
      <c r="S217" s="158">
        <v>0</v>
      </c>
      <c r="T217" s="158">
        <v>0</v>
      </c>
      <c r="U217" s="158">
        <v>0</v>
      </c>
      <c r="V217" s="158">
        <v>0</v>
      </c>
      <c r="W217" s="157">
        <v>0</v>
      </c>
      <c r="X217" s="158">
        <v>0</v>
      </c>
      <c r="Y217" s="158">
        <v>0</v>
      </c>
      <c r="Z217" s="158">
        <v>0</v>
      </c>
      <c r="AA217" s="158">
        <v>0</v>
      </c>
      <c r="AB217" s="157">
        <v>0</v>
      </c>
      <c r="AC217" s="158">
        <v>0</v>
      </c>
      <c r="AD217" s="158">
        <v>0</v>
      </c>
      <c r="AE217" s="158">
        <v>0</v>
      </c>
      <c r="AF217" s="158">
        <v>0</v>
      </c>
      <c r="AG217" s="157">
        <v>0</v>
      </c>
      <c r="AH217" s="158">
        <v>0</v>
      </c>
      <c r="AI217" s="158">
        <v>0</v>
      </c>
      <c r="AJ217" s="158">
        <v>0</v>
      </c>
      <c r="AK217" s="158">
        <v>0</v>
      </c>
      <c r="AL217" s="157">
        <v>0</v>
      </c>
      <c r="AM217" s="158">
        <v>0</v>
      </c>
      <c r="AN217" s="158">
        <v>0</v>
      </c>
      <c r="AO217" s="158">
        <v>0</v>
      </c>
      <c r="AP217" s="158">
        <v>0</v>
      </c>
      <c r="AQ217" s="157">
        <v>0</v>
      </c>
      <c r="AR217" s="158">
        <v>0</v>
      </c>
      <c r="AS217" s="158">
        <v>0</v>
      </c>
      <c r="AT217" s="158">
        <v>0</v>
      </c>
      <c r="AU217" s="158">
        <v>0</v>
      </c>
      <c r="AV217" s="157">
        <v>0</v>
      </c>
      <c r="AW217" s="158">
        <v>0</v>
      </c>
      <c r="AX217" s="158">
        <v>0</v>
      </c>
      <c r="AY217" s="158">
        <v>0</v>
      </c>
      <c r="AZ217" s="158">
        <v>0</v>
      </c>
      <c r="BA217" s="157">
        <v>0</v>
      </c>
      <c r="BB217" s="158">
        <v>0</v>
      </c>
      <c r="BC217" s="158">
        <v>0</v>
      </c>
      <c r="BD217" s="158">
        <v>0</v>
      </c>
      <c r="BE217" s="158">
        <v>0</v>
      </c>
      <c r="BF217" s="157">
        <v>0</v>
      </c>
      <c r="BG217" s="158">
        <v>0</v>
      </c>
      <c r="BH217" s="158">
        <v>0</v>
      </c>
      <c r="BI217" s="158">
        <v>0</v>
      </c>
      <c r="BJ217" s="158">
        <v>0</v>
      </c>
      <c r="BK217" s="157">
        <v>0</v>
      </c>
      <c r="BL217" s="158">
        <v>0</v>
      </c>
      <c r="BM217" s="158">
        <v>0</v>
      </c>
      <c r="BN217" s="158">
        <v>0</v>
      </c>
      <c r="BO217" s="158">
        <v>0</v>
      </c>
      <c r="BP217" s="157">
        <v>0</v>
      </c>
      <c r="BQ217" s="158">
        <v>0</v>
      </c>
      <c r="BR217" s="158">
        <v>0</v>
      </c>
      <c r="BS217" s="158">
        <v>0</v>
      </c>
      <c r="BT217" s="158">
        <v>0</v>
      </c>
      <c r="BU217" s="157">
        <v>0</v>
      </c>
      <c r="BV217" s="158">
        <v>0</v>
      </c>
      <c r="BW217" s="158">
        <v>0</v>
      </c>
      <c r="BX217" s="158">
        <v>0</v>
      </c>
      <c r="BY217" s="158">
        <v>0</v>
      </c>
      <c r="BZ217" s="157">
        <v>0</v>
      </c>
      <c r="CA217" s="158">
        <v>0</v>
      </c>
      <c r="CB217" s="158">
        <v>0</v>
      </c>
      <c r="CC217" s="158">
        <v>0</v>
      </c>
      <c r="CD217" s="158">
        <v>0</v>
      </c>
      <c r="CE217" s="157">
        <v>0</v>
      </c>
      <c r="CF217" s="158">
        <v>0</v>
      </c>
      <c r="CG217" s="158">
        <v>0</v>
      </c>
      <c r="CH217" s="158">
        <v>0</v>
      </c>
      <c r="CI217" s="158">
        <v>0</v>
      </c>
      <c r="CJ217" s="157">
        <v>0</v>
      </c>
      <c r="CK217" s="158">
        <v>0</v>
      </c>
      <c r="CL217" s="158">
        <v>0</v>
      </c>
      <c r="CM217" s="158">
        <v>0</v>
      </c>
      <c r="CN217" s="158">
        <v>0</v>
      </c>
      <c r="CO217" s="157">
        <v>0</v>
      </c>
      <c r="CP217" s="158">
        <v>0</v>
      </c>
      <c r="CQ217" s="158">
        <v>0</v>
      </c>
      <c r="CR217" s="158">
        <v>0</v>
      </c>
      <c r="CS217" s="158">
        <v>0</v>
      </c>
      <c r="CT217" s="157">
        <v>0</v>
      </c>
      <c r="CU217" s="158">
        <v>0</v>
      </c>
      <c r="CV217" s="158">
        <v>0</v>
      </c>
      <c r="CW217" s="158">
        <v>0</v>
      </c>
      <c r="CX217" s="158">
        <v>0</v>
      </c>
      <c r="CY217" s="157">
        <v>0</v>
      </c>
      <c r="CZ217" s="158">
        <v>0</v>
      </c>
      <c r="DA217" s="158">
        <v>0</v>
      </c>
      <c r="DB217" s="158">
        <v>0</v>
      </c>
      <c r="DC217" s="158">
        <v>0</v>
      </c>
      <c r="DD217" s="157">
        <v>0</v>
      </c>
      <c r="DE217" s="158">
        <v>0</v>
      </c>
      <c r="DF217" s="158">
        <v>0</v>
      </c>
      <c r="DG217" s="158">
        <v>0</v>
      </c>
      <c r="DH217" s="158">
        <v>0</v>
      </c>
      <c r="DI217" s="157">
        <v>0</v>
      </c>
      <c r="DJ217" s="158">
        <v>0</v>
      </c>
      <c r="DK217" s="158">
        <v>0</v>
      </c>
      <c r="DL217" s="158">
        <v>0</v>
      </c>
      <c r="DM217" s="158">
        <v>0</v>
      </c>
      <c r="DN217" s="157">
        <v>0</v>
      </c>
      <c r="DO217" s="158">
        <v>0</v>
      </c>
      <c r="DP217" s="158">
        <v>0</v>
      </c>
      <c r="DQ217" s="158">
        <v>0</v>
      </c>
      <c r="DR217" s="158">
        <v>0</v>
      </c>
      <c r="DS217" s="157">
        <v>0</v>
      </c>
      <c r="DT217" s="158">
        <v>0</v>
      </c>
      <c r="DU217" s="158">
        <v>0</v>
      </c>
      <c r="DV217" s="158">
        <v>0</v>
      </c>
      <c r="DW217" s="158">
        <v>0</v>
      </c>
      <c r="DX217" s="157">
        <v>0</v>
      </c>
      <c r="DY217" s="158">
        <v>0</v>
      </c>
      <c r="DZ217" s="158">
        <v>0</v>
      </c>
      <c r="EA217" s="158">
        <v>0</v>
      </c>
      <c r="EB217" s="158">
        <v>0</v>
      </c>
      <c r="EC217" s="157">
        <v>0</v>
      </c>
      <c r="ED217" s="158">
        <v>0</v>
      </c>
      <c r="EE217" s="158">
        <v>0</v>
      </c>
      <c r="EF217" s="158">
        <v>0</v>
      </c>
      <c r="EG217" s="158">
        <v>0</v>
      </c>
      <c r="EH217" s="157">
        <v>0</v>
      </c>
      <c r="EI217" s="158">
        <v>0</v>
      </c>
      <c r="EJ217" s="158">
        <v>0</v>
      </c>
      <c r="EK217" s="158">
        <v>0</v>
      </c>
      <c r="EL217" s="158">
        <v>0</v>
      </c>
      <c r="EM217" s="157">
        <v>0</v>
      </c>
      <c r="EN217" s="158">
        <v>0</v>
      </c>
      <c r="EO217" s="158">
        <v>0</v>
      </c>
      <c r="EP217" s="158">
        <v>0</v>
      </c>
      <c r="EQ217" s="158">
        <v>0</v>
      </c>
      <c r="ER217" s="157">
        <v>0</v>
      </c>
      <c r="ES217" s="158">
        <v>0</v>
      </c>
      <c r="ET217" s="158">
        <v>0</v>
      </c>
      <c r="EU217" s="158">
        <v>0</v>
      </c>
      <c r="EV217" s="158">
        <v>0</v>
      </c>
      <c r="EW217" s="157">
        <v>0</v>
      </c>
      <c r="EX217" s="158">
        <v>0</v>
      </c>
      <c r="EY217" s="158">
        <v>0</v>
      </c>
      <c r="EZ217" s="158">
        <v>0</v>
      </c>
      <c r="FA217" s="158">
        <v>0</v>
      </c>
      <c r="FB217" s="157">
        <v>0</v>
      </c>
      <c r="FC217" s="158">
        <v>0</v>
      </c>
      <c r="FD217" s="158">
        <v>0</v>
      </c>
      <c r="FE217" s="158">
        <v>0</v>
      </c>
      <c r="FF217" s="158">
        <v>0</v>
      </c>
      <c r="FG217" s="157">
        <v>0</v>
      </c>
      <c r="FH217" s="158">
        <v>0</v>
      </c>
      <c r="FI217" s="158">
        <v>0</v>
      </c>
      <c r="FJ217" s="158">
        <v>0</v>
      </c>
      <c r="FK217" s="158">
        <v>0</v>
      </c>
      <c r="FL217" s="157">
        <v>0</v>
      </c>
      <c r="FM217" s="158">
        <v>0</v>
      </c>
      <c r="FN217" s="158">
        <v>0</v>
      </c>
      <c r="FO217" s="158">
        <v>0</v>
      </c>
      <c r="FP217" s="158">
        <v>0</v>
      </c>
      <c r="FQ217" s="157">
        <v>0</v>
      </c>
      <c r="FR217" s="158">
        <v>0</v>
      </c>
      <c r="FS217" s="158">
        <v>0</v>
      </c>
      <c r="FT217" s="158">
        <v>0</v>
      </c>
      <c r="FU217" s="158">
        <v>0</v>
      </c>
      <c r="FV217" s="157">
        <v>0</v>
      </c>
      <c r="FW217" s="158">
        <v>0</v>
      </c>
      <c r="FX217" s="158">
        <v>0</v>
      </c>
      <c r="FY217" s="158">
        <v>0</v>
      </c>
    </row>
    <row r="218" spans="1:181" ht="16" x14ac:dyDescent="0.2">
      <c r="A218" s="156" t="s">
        <v>376</v>
      </c>
      <c r="B218" s="158">
        <v>0</v>
      </c>
      <c r="C218" s="158">
        <v>0</v>
      </c>
      <c r="D218" s="157">
        <v>0</v>
      </c>
      <c r="E218" s="158">
        <v>0</v>
      </c>
      <c r="F218" s="158">
        <v>0</v>
      </c>
      <c r="G218" s="158">
        <v>0</v>
      </c>
      <c r="H218" s="158">
        <v>0</v>
      </c>
      <c r="I218" s="157">
        <v>0</v>
      </c>
      <c r="J218" s="158">
        <v>0</v>
      </c>
      <c r="K218" s="158">
        <v>0</v>
      </c>
      <c r="L218" s="158">
        <v>0</v>
      </c>
      <c r="M218" s="158">
        <v>0</v>
      </c>
      <c r="N218" s="157">
        <v>0</v>
      </c>
      <c r="O218" s="158">
        <v>0</v>
      </c>
      <c r="P218" s="158">
        <v>0</v>
      </c>
      <c r="Q218" s="158">
        <v>0</v>
      </c>
      <c r="R218" s="158">
        <v>0</v>
      </c>
      <c r="S218" s="157">
        <v>0</v>
      </c>
      <c r="T218" s="158">
        <v>0</v>
      </c>
      <c r="U218" s="158">
        <v>0</v>
      </c>
      <c r="V218" s="158">
        <v>0</v>
      </c>
      <c r="W218" s="158">
        <v>0</v>
      </c>
      <c r="X218" s="157">
        <v>0</v>
      </c>
      <c r="Y218" s="158">
        <v>0</v>
      </c>
      <c r="Z218" s="158">
        <v>0</v>
      </c>
      <c r="AA218" s="158">
        <v>0</v>
      </c>
      <c r="AB218" s="158">
        <v>0</v>
      </c>
      <c r="AC218" s="157">
        <v>0</v>
      </c>
      <c r="AD218" s="158">
        <v>0</v>
      </c>
      <c r="AE218" s="158">
        <v>0</v>
      </c>
      <c r="AF218" s="158">
        <v>0</v>
      </c>
      <c r="AG218" s="158">
        <v>0</v>
      </c>
      <c r="AH218" s="157">
        <v>0</v>
      </c>
      <c r="AI218" s="158">
        <v>0</v>
      </c>
      <c r="AJ218" s="158">
        <v>0</v>
      </c>
      <c r="AK218" s="158">
        <v>0</v>
      </c>
      <c r="AL218" s="158">
        <v>0</v>
      </c>
      <c r="AM218" s="157">
        <v>0</v>
      </c>
      <c r="AN218" s="158">
        <v>0</v>
      </c>
      <c r="AO218" s="158">
        <v>0</v>
      </c>
      <c r="AP218" s="158">
        <v>0</v>
      </c>
      <c r="AQ218" s="158">
        <v>0</v>
      </c>
      <c r="AR218" s="157">
        <v>0</v>
      </c>
      <c r="AS218" s="158">
        <v>0</v>
      </c>
      <c r="AT218" s="158">
        <v>0</v>
      </c>
      <c r="AU218" s="158">
        <v>0</v>
      </c>
      <c r="AV218" s="158">
        <v>0</v>
      </c>
      <c r="AW218" s="157">
        <v>0</v>
      </c>
      <c r="AX218" s="158">
        <v>0</v>
      </c>
      <c r="AY218" s="158">
        <v>0</v>
      </c>
      <c r="AZ218" s="158">
        <v>0</v>
      </c>
      <c r="BA218" s="158">
        <v>0</v>
      </c>
      <c r="BB218" s="157">
        <v>0</v>
      </c>
      <c r="BC218" s="158">
        <v>0</v>
      </c>
      <c r="BD218" s="158">
        <v>0</v>
      </c>
      <c r="BE218" s="158">
        <v>0</v>
      </c>
      <c r="BF218" s="158">
        <v>0</v>
      </c>
      <c r="BG218" s="157">
        <v>0</v>
      </c>
      <c r="BH218" s="158">
        <v>0</v>
      </c>
      <c r="BI218" s="158">
        <v>0</v>
      </c>
      <c r="BJ218" s="158">
        <v>0</v>
      </c>
      <c r="BK218" s="158">
        <v>0</v>
      </c>
      <c r="BL218" s="157">
        <v>0</v>
      </c>
      <c r="BM218" s="158">
        <v>0</v>
      </c>
      <c r="BN218" s="158">
        <v>0</v>
      </c>
      <c r="BO218" s="158">
        <v>0</v>
      </c>
      <c r="BP218" s="158">
        <v>0</v>
      </c>
      <c r="BQ218" s="157">
        <v>0</v>
      </c>
      <c r="BR218" s="158">
        <v>0</v>
      </c>
      <c r="BS218" s="158">
        <v>0</v>
      </c>
      <c r="BT218" s="158">
        <v>0</v>
      </c>
      <c r="BU218" s="158">
        <v>0</v>
      </c>
      <c r="BV218" s="157">
        <v>0</v>
      </c>
      <c r="BW218" s="158">
        <v>0</v>
      </c>
      <c r="BX218" s="158">
        <v>0</v>
      </c>
      <c r="BY218" s="158">
        <v>0</v>
      </c>
      <c r="BZ218" s="158">
        <v>0</v>
      </c>
      <c r="CA218" s="157">
        <v>0</v>
      </c>
      <c r="CB218" s="158">
        <v>0</v>
      </c>
      <c r="CC218" s="158">
        <v>0</v>
      </c>
      <c r="CD218" s="158">
        <v>0</v>
      </c>
      <c r="CE218" s="158">
        <v>0</v>
      </c>
      <c r="CF218" s="157">
        <v>0</v>
      </c>
      <c r="CG218" s="158">
        <v>0</v>
      </c>
      <c r="CH218" s="158">
        <v>0</v>
      </c>
      <c r="CI218" s="158">
        <v>0</v>
      </c>
      <c r="CJ218" s="158">
        <v>0</v>
      </c>
      <c r="CK218" s="157">
        <v>0</v>
      </c>
      <c r="CL218" s="158">
        <v>0</v>
      </c>
      <c r="CM218" s="158">
        <v>0</v>
      </c>
      <c r="CN218" s="158">
        <v>0</v>
      </c>
      <c r="CO218" s="158">
        <v>0</v>
      </c>
      <c r="CP218" s="157">
        <v>0</v>
      </c>
      <c r="CQ218" s="158">
        <v>0</v>
      </c>
      <c r="CR218" s="158">
        <v>0</v>
      </c>
      <c r="CS218" s="158">
        <v>0</v>
      </c>
      <c r="CT218" s="158">
        <v>0</v>
      </c>
      <c r="CU218" s="157">
        <v>0</v>
      </c>
      <c r="CV218" s="158">
        <v>0</v>
      </c>
      <c r="CW218" s="158">
        <v>0</v>
      </c>
      <c r="CX218" s="158">
        <v>0</v>
      </c>
      <c r="CY218" s="158">
        <v>0</v>
      </c>
      <c r="CZ218" s="157">
        <v>0</v>
      </c>
      <c r="DA218" s="158">
        <v>0</v>
      </c>
      <c r="DB218" s="158">
        <v>0</v>
      </c>
      <c r="DC218" s="158">
        <v>0</v>
      </c>
      <c r="DD218" s="158">
        <v>0</v>
      </c>
      <c r="DE218" s="157">
        <v>0</v>
      </c>
      <c r="DF218" s="158">
        <v>0</v>
      </c>
      <c r="DG218" s="158">
        <v>0</v>
      </c>
      <c r="DH218" s="158">
        <v>0</v>
      </c>
      <c r="DI218" s="158">
        <v>0</v>
      </c>
      <c r="DJ218" s="157">
        <v>0</v>
      </c>
      <c r="DK218" s="158">
        <v>0</v>
      </c>
      <c r="DL218" s="158">
        <v>0</v>
      </c>
      <c r="DM218" s="158">
        <v>0</v>
      </c>
      <c r="DN218" s="158">
        <v>0</v>
      </c>
      <c r="DO218" s="157">
        <v>0</v>
      </c>
      <c r="DP218" s="158">
        <v>0</v>
      </c>
      <c r="DQ218" s="158">
        <v>0</v>
      </c>
      <c r="DR218" s="158">
        <v>0</v>
      </c>
      <c r="DS218" s="158">
        <v>0</v>
      </c>
      <c r="DT218" s="157">
        <v>0</v>
      </c>
      <c r="DU218" s="158">
        <v>0</v>
      </c>
      <c r="DV218" s="158">
        <v>0</v>
      </c>
      <c r="DW218" s="158">
        <v>0</v>
      </c>
      <c r="DX218" s="158">
        <v>0</v>
      </c>
      <c r="DY218" s="157">
        <v>0</v>
      </c>
      <c r="DZ218" s="158">
        <v>0</v>
      </c>
      <c r="EA218" s="158">
        <v>0</v>
      </c>
      <c r="EB218" s="158">
        <v>0</v>
      </c>
      <c r="EC218" s="158">
        <v>0</v>
      </c>
      <c r="ED218" s="157">
        <v>0</v>
      </c>
      <c r="EE218" s="158">
        <v>0</v>
      </c>
      <c r="EF218" s="158">
        <v>0</v>
      </c>
      <c r="EG218" s="158">
        <v>0</v>
      </c>
      <c r="EH218" s="158">
        <v>0</v>
      </c>
      <c r="EI218" s="157">
        <v>0</v>
      </c>
      <c r="EJ218" s="158">
        <v>0</v>
      </c>
      <c r="EK218" s="158">
        <v>0</v>
      </c>
      <c r="EL218" s="158">
        <v>0</v>
      </c>
      <c r="EM218" s="158">
        <v>0</v>
      </c>
      <c r="EN218" s="157">
        <v>0</v>
      </c>
      <c r="EO218" s="158">
        <v>0</v>
      </c>
      <c r="EP218" s="158">
        <v>0</v>
      </c>
      <c r="EQ218" s="158">
        <v>0</v>
      </c>
      <c r="ER218" s="158">
        <v>0</v>
      </c>
      <c r="ES218" s="157">
        <v>0</v>
      </c>
      <c r="ET218" s="158">
        <v>0</v>
      </c>
      <c r="EU218" s="158">
        <v>0</v>
      </c>
      <c r="EV218" s="158">
        <v>0</v>
      </c>
      <c r="EW218" s="158">
        <v>0</v>
      </c>
      <c r="EX218" s="157">
        <v>0</v>
      </c>
      <c r="EY218" s="158">
        <v>0</v>
      </c>
      <c r="EZ218" s="158">
        <v>0</v>
      </c>
      <c r="FA218" s="158">
        <v>0</v>
      </c>
      <c r="FB218" s="158">
        <v>0</v>
      </c>
      <c r="FC218" s="157">
        <v>0</v>
      </c>
      <c r="FD218" s="158">
        <v>0</v>
      </c>
      <c r="FE218" s="158">
        <v>0</v>
      </c>
      <c r="FF218" s="158">
        <v>0</v>
      </c>
      <c r="FG218" s="158">
        <v>0</v>
      </c>
      <c r="FH218" s="157">
        <v>0</v>
      </c>
      <c r="FI218" s="158">
        <v>0</v>
      </c>
      <c r="FJ218" s="158">
        <v>0</v>
      </c>
      <c r="FK218" s="158">
        <v>0</v>
      </c>
      <c r="FL218" s="158">
        <v>0</v>
      </c>
      <c r="FM218" s="157">
        <v>0</v>
      </c>
      <c r="FN218" s="158">
        <v>0</v>
      </c>
      <c r="FO218" s="158">
        <v>0</v>
      </c>
      <c r="FP218" s="158">
        <v>0</v>
      </c>
      <c r="FQ218" s="158">
        <v>0</v>
      </c>
      <c r="FR218" s="157">
        <v>0</v>
      </c>
      <c r="FS218" s="158">
        <v>0</v>
      </c>
      <c r="FT218" s="158">
        <v>0</v>
      </c>
      <c r="FU218" s="158">
        <v>0</v>
      </c>
      <c r="FV218" s="158">
        <v>0</v>
      </c>
      <c r="FW218" s="157">
        <v>0</v>
      </c>
      <c r="FX218" s="158">
        <v>0</v>
      </c>
      <c r="FY218" s="158">
        <v>0</v>
      </c>
    </row>
    <row r="219" spans="1:181" ht="16" x14ac:dyDescent="0.2">
      <c r="A219" s="156" t="s">
        <v>377</v>
      </c>
      <c r="B219" s="158">
        <v>0</v>
      </c>
      <c r="C219" s="158">
        <v>0</v>
      </c>
      <c r="D219" s="158">
        <v>0</v>
      </c>
      <c r="E219" s="157">
        <v>0</v>
      </c>
      <c r="F219" s="158">
        <v>0</v>
      </c>
      <c r="G219" s="158">
        <v>0</v>
      </c>
      <c r="H219" s="158">
        <v>0</v>
      </c>
      <c r="I219" s="158">
        <v>0</v>
      </c>
      <c r="J219" s="157">
        <v>0</v>
      </c>
      <c r="K219" s="158">
        <v>0</v>
      </c>
      <c r="L219" s="158">
        <v>0</v>
      </c>
      <c r="M219" s="158">
        <v>0</v>
      </c>
      <c r="N219" s="158">
        <v>0</v>
      </c>
      <c r="O219" s="157">
        <v>0</v>
      </c>
      <c r="P219" s="158">
        <v>0</v>
      </c>
      <c r="Q219" s="158">
        <v>0</v>
      </c>
      <c r="R219" s="158">
        <v>0</v>
      </c>
      <c r="S219" s="158">
        <v>0</v>
      </c>
      <c r="T219" s="157">
        <v>0</v>
      </c>
      <c r="U219" s="158">
        <v>0</v>
      </c>
      <c r="V219" s="158">
        <v>0</v>
      </c>
      <c r="W219" s="158">
        <v>0</v>
      </c>
      <c r="X219" s="158">
        <v>0</v>
      </c>
      <c r="Y219" s="157">
        <v>0</v>
      </c>
      <c r="Z219" s="158">
        <v>0</v>
      </c>
      <c r="AA219" s="158">
        <v>0</v>
      </c>
      <c r="AB219" s="158">
        <v>0</v>
      </c>
      <c r="AC219" s="158">
        <v>0</v>
      </c>
      <c r="AD219" s="157">
        <v>0</v>
      </c>
      <c r="AE219" s="158">
        <v>0</v>
      </c>
      <c r="AF219" s="158">
        <v>0</v>
      </c>
      <c r="AG219" s="158">
        <v>0</v>
      </c>
      <c r="AH219" s="158">
        <v>0</v>
      </c>
      <c r="AI219" s="157">
        <v>0</v>
      </c>
      <c r="AJ219" s="158">
        <v>0</v>
      </c>
      <c r="AK219" s="158">
        <v>0</v>
      </c>
      <c r="AL219" s="158">
        <v>0</v>
      </c>
      <c r="AM219" s="158">
        <v>0</v>
      </c>
      <c r="AN219" s="157">
        <v>0</v>
      </c>
      <c r="AO219" s="158">
        <v>0</v>
      </c>
      <c r="AP219" s="158">
        <v>0</v>
      </c>
      <c r="AQ219" s="158">
        <v>0</v>
      </c>
      <c r="AR219" s="158">
        <v>0</v>
      </c>
      <c r="AS219" s="157">
        <v>0</v>
      </c>
      <c r="AT219" s="158">
        <v>0</v>
      </c>
      <c r="AU219" s="158">
        <v>0</v>
      </c>
      <c r="AV219" s="158">
        <v>0</v>
      </c>
      <c r="AW219" s="158">
        <v>0</v>
      </c>
      <c r="AX219" s="157">
        <v>0</v>
      </c>
      <c r="AY219" s="158">
        <v>0</v>
      </c>
      <c r="AZ219" s="158">
        <v>0</v>
      </c>
      <c r="BA219" s="158">
        <v>0</v>
      </c>
      <c r="BB219" s="158">
        <v>0</v>
      </c>
      <c r="BC219" s="157">
        <v>0</v>
      </c>
      <c r="BD219" s="158">
        <v>0</v>
      </c>
      <c r="BE219" s="158">
        <v>0</v>
      </c>
      <c r="BF219" s="158">
        <v>0</v>
      </c>
      <c r="BG219" s="158">
        <v>0</v>
      </c>
      <c r="BH219" s="157">
        <v>0</v>
      </c>
      <c r="BI219" s="158">
        <v>0</v>
      </c>
      <c r="BJ219" s="158">
        <v>0</v>
      </c>
      <c r="BK219" s="158">
        <v>0</v>
      </c>
      <c r="BL219" s="158">
        <v>0</v>
      </c>
      <c r="BM219" s="157">
        <v>0</v>
      </c>
      <c r="BN219" s="158">
        <v>0</v>
      </c>
      <c r="BO219" s="158">
        <v>0</v>
      </c>
      <c r="BP219" s="158">
        <v>0</v>
      </c>
      <c r="BQ219" s="158">
        <v>0</v>
      </c>
      <c r="BR219" s="157">
        <v>0</v>
      </c>
      <c r="BS219" s="158">
        <v>0</v>
      </c>
      <c r="BT219" s="158">
        <v>0</v>
      </c>
      <c r="BU219" s="158">
        <v>0</v>
      </c>
      <c r="BV219" s="158">
        <v>0</v>
      </c>
      <c r="BW219" s="157">
        <v>0</v>
      </c>
      <c r="BX219" s="158">
        <v>0</v>
      </c>
      <c r="BY219" s="158">
        <v>0</v>
      </c>
      <c r="BZ219" s="158">
        <v>0</v>
      </c>
      <c r="CA219" s="158">
        <v>0</v>
      </c>
      <c r="CB219" s="157">
        <v>0</v>
      </c>
      <c r="CC219" s="158">
        <v>0</v>
      </c>
      <c r="CD219" s="158">
        <v>0</v>
      </c>
      <c r="CE219" s="158">
        <v>0</v>
      </c>
      <c r="CF219" s="158">
        <v>0</v>
      </c>
      <c r="CG219" s="157">
        <v>0</v>
      </c>
      <c r="CH219" s="158">
        <v>0</v>
      </c>
      <c r="CI219" s="158">
        <v>0</v>
      </c>
      <c r="CJ219" s="158">
        <v>0</v>
      </c>
      <c r="CK219" s="158">
        <v>0</v>
      </c>
      <c r="CL219" s="157">
        <v>0</v>
      </c>
      <c r="CM219" s="158">
        <v>0</v>
      </c>
      <c r="CN219" s="158">
        <v>0</v>
      </c>
      <c r="CO219" s="158">
        <v>0</v>
      </c>
      <c r="CP219" s="158">
        <v>0</v>
      </c>
      <c r="CQ219" s="157">
        <v>0</v>
      </c>
      <c r="CR219" s="158">
        <v>0</v>
      </c>
      <c r="CS219" s="158">
        <v>0</v>
      </c>
      <c r="CT219" s="158">
        <v>0</v>
      </c>
      <c r="CU219" s="158">
        <v>0</v>
      </c>
      <c r="CV219" s="157">
        <v>0</v>
      </c>
      <c r="CW219" s="158">
        <v>0</v>
      </c>
      <c r="CX219" s="158">
        <v>0</v>
      </c>
      <c r="CY219" s="158">
        <v>0</v>
      </c>
      <c r="CZ219" s="158">
        <v>0</v>
      </c>
      <c r="DA219" s="157">
        <v>0</v>
      </c>
      <c r="DB219" s="158">
        <v>0</v>
      </c>
      <c r="DC219" s="158">
        <v>0</v>
      </c>
      <c r="DD219" s="158">
        <v>0</v>
      </c>
      <c r="DE219" s="158">
        <v>0</v>
      </c>
      <c r="DF219" s="157">
        <v>0</v>
      </c>
      <c r="DG219" s="158">
        <v>0</v>
      </c>
      <c r="DH219" s="158">
        <v>0</v>
      </c>
      <c r="DI219" s="158">
        <v>0</v>
      </c>
      <c r="DJ219" s="158">
        <v>0</v>
      </c>
      <c r="DK219" s="157">
        <v>0</v>
      </c>
      <c r="DL219" s="158">
        <v>0</v>
      </c>
      <c r="DM219" s="158">
        <v>0</v>
      </c>
      <c r="DN219" s="158">
        <v>0</v>
      </c>
      <c r="DO219" s="158">
        <v>0</v>
      </c>
      <c r="DP219" s="157">
        <v>0</v>
      </c>
      <c r="DQ219" s="158">
        <v>0</v>
      </c>
      <c r="DR219" s="158">
        <v>0</v>
      </c>
      <c r="DS219" s="158">
        <v>0</v>
      </c>
      <c r="DT219" s="158">
        <v>0</v>
      </c>
      <c r="DU219" s="157">
        <v>0</v>
      </c>
      <c r="DV219" s="158">
        <v>0</v>
      </c>
      <c r="DW219" s="158">
        <v>0</v>
      </c>
      <c r="DX219" s="158">
        <v>0</v>
      </c>
      <c r="DY219" s="158">
        <v>0</v>
      </c>
      <c r="DZ219" s="157">
        <v>0</v>
      </c>
      <c r="EA219" s="158">
        <v>0</v>
      </c>
      <c r="EB219" s="158">
        <v>0</v>
      </c>
      <c r="EC219" s="158">
        <v>0</v>
      </c>
      <c r="ED219" s="158">
        <v>0</v>
      </c>
      <c r="EE219" s="157">
        <v>0</v>
      </c>
      <c r="EF219" s="158">
        <v>0</v>
      </c>
      <c r="EG219" s="158">
        <v>0</v>
      </c>
      <c r="EH219" s="158">
        <v>0</v>
      </c>
      <c r="EI219" s="158">
        <v>0</v>
      </c>
      <c r="EJ219" s="157">
        <v>0</v>
      </c>
      <c r="EK219" s="158">
        <v>0</v>
      </c>
      <c r="EL219" s="158">
        <v>0</v>
      </c>
      <c r="EM219" s="158">
        <v>0</v>
      </c>
      <c r="EN219" s="158">
        <v>0</v>
      </c>
      <c r="EO219" s="157">
        <v>0</v>
      </c>
      <c r="EP219" s="158">
        <v>0</v>
      </c>
      <c r="EQ219" s="158">
        <v>0</v>
      </c>
      <c r="ER219" s="158">
        <v>0</v>
      </c>
      <c r="ES219" s="158">
        <v>0</v>
      </c>
      <c r="ET219" s="157">
        <v>0</v>
      </c>
      <c r="EU219" s="158">
        <v>0</v>
      </c>
      <c r="EV219" s="158">
        <v>0</v>
      </c>
      <c r="EW219" s="158">
        <v>0</v>
      </c>
      <c r="EX219" s="158">
        <v>0</v>
      </c>
      <c r="EY219" s="157">
        <v>0</v>
      </c>
      <c r="EZ219" s="158">
        <v>0</v>
      </c>
      <c r="FA219" s="158">
        <v>0</v>
      </c>
      <c r="FB219" s="158">
        <v>0</v>
      </c>
      <c r="FC219" s="158">
        <v>0</v>
      </c>
      <c r="FD219" s="157">
        <v>0</v>
      </c>
      <c r="FE219" s="158">
        <v>0</v>
      </c>
      <c r="FF219" s="158">
        <v>0</v>
      </c>
      <c r="FG219" s="158">
        <v>0</v>
      </c>
      <c r="FH219" s="158">
        <v>0</v>
      </c>
      <c r="FI219" s="157">
        <v>0</v>
      </c>
      <c r="FJ219" s="158">
        <v>0</v>
      </c>
      <c r="FK219" s="158">
        <v>0</v>
      </c>
      <c r="FL219" s="158">
        <v>0</v>
      </c>
      <c r="FM219" s="158">
        <v>0</v>
      </c>
      <c r="FN219" s="157">
        <v>0</v>
      </c>
      <c r="FO219" s="158">
        <v>0</v>
      </c>
      <c r="FP219" s="158">
        <v>0</v>
      </c>
      <c r="FQ219" s="158">
        <v>0</v>
      </c>
      <c r="FR219" s="158">
        <v>0</v>
      </c>
      <c r="FS219" s="157">
        <v>0</v>
      </c>
      <c r="FT219" s="158">
        <v>0</v>
      </c>
      <c r="FU219" s="158">
        <v>0</v>
      </c>
      <c r="FV219" s="158">
        <v>0</v>
      </c>
      <c r="FW219" s="158">
        <v>0</v>
      </c>
      <c r="FX219" s="157">
        <v>0</v>
      </c>
      <c r="FY219" s="158">
        <v>0</v>
      </c>
    </row>
    <row r="220" spans="1:181" ht="16" x14ac:dyDescent="0.2">
      <c r="A220" s="156" t="s">
        <v>378</v>
      </c>
      <c r="B220" s="158">
        <v>0</v>
      </c>
      <c r="C220" s="158">
        <v>0</v>
      </c>
      <c r="D220" s="158">
        <v>0</v>
      </c>
      <c r="E220" s="158">
        <v>0</v>
      </c>
      <c r="F220" s="157">
        <v>0</v>
      </c>
      <c r="G220" s="158">
        <v>0</v>
      </c>
      <c r="H220" s="158">
        <v>0</v>
      </c>
      <c r="I220" s="158">
        <v>0</v>
      </c>
      <c r="J220" s="158">
        <v>0</v>
      </c>
      <c r="K220" s="157">
        <v>0</v>
      </c>
      <c r="L220" s="158">
        <v>0</v>
      </c>
      <c r="M220" s="158">
        <v>0</v>
      </c>
      <c r="N220" s="158">
        <v>0</v>
      </c>
      <c r="O220" s="158">
        <v>0</v>
      </c>
      <c r="P220" s="157">
        <v>0</v>
      </c>
      <c r="Q220" s="158">
        <v>0</v>
      </c>
      <c r="R220" s="158">
        <v>0</v>
      </c>
      <c r="S220" s="158">
        <v>0</v>
      </c>
      <c r="T220" s="158">
        <v>0</v>
      </c>
      <c r="U220" s="157">
        <v>0</v>
      </c>
      <c r="V220" s="158">
        <v>0</v>
      </c>
      <c r="W220" s="158">
        <v>0</v>
      </c>
      <c r="X220" s="158">
        <v>0</v>
      </c>
      <c r="Y220" s="158">
        <v>0</v>
      </c>
      <c r="Z220" s="157">
        <v>0</v>
      </c>
      <c r="AA220" s="158">
        <v>0</v>
      </c>
      <c r="AB220" s="158">
        <v>0</v>
      </c>
      <c r="AC220" s="158">
        <v>0</v>
      </c>
      <c r="AD220" s="158">
        <v>0</v>
      </c>
      <c r="AE220" s="157">
        <v>0</v>
      </c>
      <c r="AF220" s="158">
        <v>0</v>
      </c>
      <c r="AG220" s="158">
        <v>0</v>
      </c>
      <c r="AH220" s="158">
        <v>0</v>
      </c>
      <c r="AI220" s="158">
        <v>0</v>
      </c>
      <c r="AJ220" s="157">
        <v>0</v>
      </c>
      <c r="AK220" s="158">
        <v>0</v>
      </c>
      <c r="AL220" s="158">
        <v>0</v>
      </c>
      <c r="AM220" s="158">
        <v>0</v>
      </c>
      <c r="AN220" s="158">
        <v>0</v>
      </c>
      <c r="AO220" s="157">
        <v>0</v>
      </c>
      <c r="AP220" s="158">
        <v>0</v>
      </c>
      <c r="AQ220" s="158">
        <v>0</v>
      </c>
      <c r="AR220" s="158">
        <v>0</v>
      </c>
      <c r="AS220" s="158">
        <v>0</v>
      </c>
      <c r="AT220" s="157">
        <v>0</v>
      </c>
      <c r="AU220" s="158">
        <v>0</v>
      </c>
      <c r="AV220" s="158">
        <v>0</v>
      </c>
      <c r="AW220" s="158">
        <v>0</v>
      </c>
      <c r="AX220" s="158">
        <v>0</v>
      </c>
      <c r="AY220" s="157">
        <v>0</v>
      </c>
      <c r="AZ220" s="158">
        <v>0</v>
      </c>
      <c r="BA220" s="158">
        <v>0</v>
      </c>
      <c r="BB220" s="158">
        <v>0</v>
      </c>
      <c r="BC220" s="158">
        <v>0</v>
      </c>
      <c r="BD220" s="157">
        <v>0</v>
      </c>
      <c r="BE220" s="158">
        <v>0</v>
      </c>
      <c r="BF220" s="158">
        <v>0</v>
      </c>
      <c r="BG220" s="158">
        <v>0</v>
      </c>
      <c r="BH220" s="158">
        <v>0</v>
      </c>
      <c r="BI220" s="157">
        <v>0</v>
      </c>
      <c r="BJ220" s="158">
        <v>0</v>
      </c>
      <c r="BK220" s="158">
        <v>0</v>
      </c>
      <c r="BL220" s="158">
        <v>0</v>
      </c>
      <c r="BM220" s="158">
        <v>0</v>
      </c>
      <c r="BN220" s="157">
        <v>0</v>
      </c>
      <c r="BO220" s="158">
        <v>0</v>
      </c>
      <c r="BP220" s="158">
        <v>0</v>
      </c>
      <c r="BQ220" s="158">
        <v>0</v>
      </c>
      <c r="BR220" s="158">
        <v>0</v>
      </c>
      <c r="BS220" s="157">
        <v>0</v>
      </c>
      <c r="BT220" s="158">
        <v>0</v>
      </c>
      <c r="BU220" s="158">
        <v>0</v>
      </c>
      <c r="BV220" s="158">
        <v>0</v>
      </c>
      <c r="BW220" s="158">
        <v>0</v>
      </c>
      <c r="BX220" s="157">
        <v>0</v>
      </c>
      <c r="BY220" s="158">
        <v>0</v>
      </c>
      <c r="BZ220" s="158">
        <v>0</v>
      </c>
      <c r="CA220" s="158">
        <v>0</v>
      </c>
      <c r="CB220" s="158">
        <v>0</v>
      </c>
      <c r="CC220" s="157">
        <v>0</v>
      </c>
      <c r="CD220" s="158">
        <v>0</v>
      </c>
      <c r="CE220" s="158">
        <v>0</v>
      </c>
      <c r="CF220" s="158">
        <v>0</v>
      </c>
      <c r="CG220" s="158">
        <v>0</v>
      </c>
      <c r="CH220" s="157">
        <v>0</v>
      </c>
      <c r="CI220" s="158">
        <v>0</v>
      </c>
      <c r="CJ220" s="158">
        <v>0</v>
      </c>
      <c r="CK220" s="158">
        <v>0</v>
      </c>
      <c r="CL220" s="158">
        <v>0</v>
      </c>
      <c r="CM220" s="157">
        <v>0</v>
      </c>
      <c r="CN220" s="158">
        <v>0</v>
      </c>
      <c r="CO220" s="158">
        <v>0</v>
      </c>
      <c r="CP220" s="158">
        <v>0</v>
      </c>
      <c r="CQ220" s="158">
        <v>0</v>
      </c>
      <c r="CR220" s="157">
        <v>0</v>
      </c>
      <c r="CS220" s="158">
        <v>0</v>
      </c>
      <c r="CT220" s="158">
        <v>0</v>
      </c>
      <c r="CU220" s="158">
        <v>0</v>
      </c>
      <c r="CV220" s="158">
        <v>0</v>
      </c>
      <c r="CW220" s="157">
        <v>0</v>
      </c>
      <c r="CX220" s="158">
        <v>0</v>
      </c>
      <c r="CY220" s="158">
        <v>0</v>
      </c>
      <c r="CZ220" s="158">
        <v>0</v>
      </c>
      <c r="DA220" s="158">
        <v>0</v>
      </c>
      <c r="DB220" s="157">
        <v>0</v>
      </c>
      <c r="DC220" s="158">
        <v>0</v>
      </c>
      <c r="DD220" s="158">
        <v>0</v>
      </c>
      <c r="DE220" s="158">
        <v>0</v>
      </c>
      <c r="DF220" s="158">
        <v>0</v>
      </c>
      <c r="DG220" s="157">
        <v>0</v>
      </c>
      <c r="DH220" s="158">
        <v>0</v>
      </c>
      <c r="DI220" s="158">
        <v>0</v>
      </c>
      <c r="DJ220" s="158">
        <v>0</v>
      </c>
      <c r="DK220" s="158">
        <v>0</v>
      </c>
      <c r="DL220" s="157">
        <v>0</v>
      </c>
      <c r="DM220" s="158">
        <v>0</v>
      </c>
      <c r="DN220" s="158">
        <v>0</v>
      </c>
      <c r="DO220" s="158">
        <v>0</v>
      </c>
      <c r="DP220" s="158">
        <v>0</v>
      </c>
      <c r="DQ220" s="157">
        <v>0</v>
      </c>
      <c r="DR220" s="158">
        <v>0</v>
      </c>
      <c r="DS220" s="158">
        <v>0</v>
      </c>
      <c r="DT220" s="158">
        <v>0</v>
      </c>
      <c r="DU220" s="158">
        <v>0</v>
      </c>
      <c r="DV220" s="157">
        <v>0</v>
      </c>
      <c r="DW220" s="158">
        <v>0</v>
      </c>
      <c r="DX220" s="158">
        <v>0</v>
      </c>
      <c r="DY220" s="158">
        <v>0</v>
      </c>
      <c r="DZ220" s="158">
        <v>0</v>
      </c>
      <c r="EA220" s="157">
        <v>0</v>
      </c>
      <c r="EB220" s="158">
        <v>0</v>
      </c>
      <c r="EC220" s="158">
        <v>0</v>
      </c>
      <c r="ED220" s="158">
        <v>0</v>
      </c>
      <c r="EE220" s="158">
        <v>0</v>
      </c>
      <c r="EF220" s="157">
        <v>0</v>
      </c>
      <c r="EG220" s="158">
        <v>0</v>
      </c>
      <c r="EH220" s="158">
        <v>0</v>
      </c>
      <c r="EI220" s="158">
        <v>0</v>
      </c>
      <c r="EJ220" s="158">
        <v>0</v>
      </c>
      <c r="EK220" s="157">
        <v>0</v>
      </c>
      <c r="EL220" s="158">
        <v>0</v>
      </c>
      <c r="EM220" s="158">
        <v>0</v>
      </c>
      <c r="EN220" s="158">
        <v>0</v>
      </c>
      <c r="EO220" s="158">
        <v>0</v>
      </c>
      <c r="EP220" s="157">
        <v>0</v>
      </c>
      <c r="EQ220" s="158">
        <v>0</v>
      </c>
      <c r="ER220" s="158">
        <v>0</v>
      </c>
      <c r="ES220" s="158">
        <v>0</v>
      </c>
      <c r="ET220" s="158">
        <v>0</v>
      </c>
      <c r="EU220" s="157">
        <v>0</v>
      </c>
      <c r="EV220" s="158">
        <v>0</v>
      </c>
      <c r="EW220" s="158">
        <v>0</v>
      </c>
      <c r="EX220" s="158">
        <v>0</v>
      </c>
      <c r="EY220" s="158">
        <v>0</v>
      </c>
      <c r="EZ220" s="157">
        <v>0</v>
      </c>
      <c r="FA220" s="158">
        <v>0</v>
      </c>
      <c r="FB220" s="158">
        <v>0</v>
      </c>
      <c r="FC220" s="158">
        <v>0</v>
      </c>
      <c r="FD220" s="158">
        <v>0</v>
      </c>
      <c r="FE220" s="157">
        <v>0</v>
      </c>
      <c r="FF220" s="158">
        <v>0</v>
      </c>
      <c r="FG220" s="158">
        <v>0</v>
      </c>
      <c r="FH220" s="158">
        <v>0</v>
      </c>
      <c r="FI220" s="158">
        <v>0</v>
      </c>
      <c r="FJ220" s="157">
        <v>0</v>
      </c>
      <c r="FK220" s="158">
        <v>0</v>
      </c>
      <c r="FL220" s="158">
        <v>0</v>
      </c>
      <c r="FM220" s="158">
        <v>0</v>
      </c>
      <c r="FN220" s="158">
        <v>0</v>
      </c>
      <c r="FO220" s="157">
        <v>0</v>
      </c>
      <c r="FP220" s="158">
        <v>0</v>
      </c>
      <c r="FQ220" s="158">
        <v>0</v>
      </c>
      <c r="FR220" s="158">
        <v>0</v>
      </c>
      <c r="FS220" s="158">
        <v>0</v>
      </c>
      <c r="FT220" s="157">
        <v>0</v>
      </c>
      <c r="FU220" s="158">
        <v>0</v>
      </c>
      <c r="FV220" s="158">
        <v>0</v>
      </c>
      <c r="FW220" s="158">
        <v>0</v>
      </c>
      <c r="FX220" s="158">
        <v>0</v>
      </c>
      <c r="FY220" s="157">
        <v>0</v>
      </c>
    </row>
    <row r="221" spans="1:181" x14ac:dyDescent="0.2">
      <c r="A221" s="81"/>
    </row>
    <row r="222" spans="1:181" x14ac:dyDescent="0.2">
      <c r="A222" s="81"/>
    </row>
    <row r="223" spans="1:181" ht="16" x14ac:dyDescent="0.2">
      <c r="A223" s="152" t="s">
        <v>384</v>
      </c>
    </row>
    <row r="224" spans="1:181" ht="14.25" customHeight="1" x14ac:dyDescent="0.2">
      <c r="A224" s="153" t="s">
        <v>336</v>
      </c>
      <c r="B224" s="292" t="s">
        <v>385</v>
      </c>
      <c r="C224" s="292"/>
      <c r="D224" s="292"/>
      <c r="E224" s="292"/>
      <c r="F224" s="292"/>
      <c r="G224" s="292" t="s">
        <v>373</v>
      </c>
      <c r="H224" s="292"/>
      <c r="I224" s="292"/>
      <c r="J224" s="292"/>
      <c r="K224" s="292"/>
    </row>
    <row r="225" spans="1:11" x14ac:dyDescent="0.2">
      <c r="A225" s="81"/>
      <c r="B225" s="42" t="s">
        <v>374</v>
      </c>
      <c r="C225" s="42" t="s">
        <v>375</v>
      </c>
      <c r="D225" s="42" t="s">
        <v>376</v>
      </c>
      <c r="E225" s="42" t="s">
        <v>377</v>
      </c>
      <c r="F225" s="42" t="s">
        <v>378</v>
      </c>
      <c r="G225" s="42" t="s">
        <v>374</v>
      </c>
      <c r="H225" s="42" t="s">
        <v>375</v>
      </c>
      <c r="I225" s="42" t="s">
        <v>376</v>
      </c>
      <c r="J225" s="42" t="s">
        <v>377</v>
      </c>
      <c r="K225" s="42" t="s">
        <v>378</v>
      </c>
    </row>
    <row r="226" spans="1:11" ht="16" x14ac:dyDescent="0.2">
      <c r="A226" s="153" t="s">
        <v>379</v>
      </c>
      <c r="B226" s="137"/>
      <c r="C226" s="137"/>
      <c r="D226" s="137"/>
      <c r="E226" s="137"/>
      <c r="F226" s="137"/>
      <c r="G226" s="137"/>
      <c r="H226" s="137"/>
      <c r="I226" s="137"/>
      <c r="J226" s="137"/>
      <c r="K226" s="137"/>
    </row>
    <row r="227" spans="1:11" ht="16" x14ac:dyDescent="0.2">
      <c r="A227" s="155" t="s">
        <v>380</v>
      </c>
      <c r="B227" s="41">
        <v>0</v>
      </c>
      <c r="C227" s="41">
        <v>0</v>
      </c>
      <c r="D227" s="41">
        <v>0</v>
      </c>
      <c r="E227" s="41">
        <v>0</v>
      </c>
      <c r="F227" s="41">
        <v>0</v>
      </c>
      <c r="G227" s="41">
        <v>0</v>
      </c>
      <c r="H227" s="41">
        <v>0</v>
      </c>
      <c r="I227" s="41">
        <v>0</v>
      </c>
      <c r="J227" s="41">
        <v>0</v>
      </c>
      <c r="K227" s="41">
        <v>0</v>
      </c>
    </row>
    <row r="228" spans="1:11" ht="16" x14ac:dyDescent="0.2">
      <c r="A228" s="155" t="s">
        <v>381</v>
      </c>
      <c r="B228" s="41">
        <v>0</v>
      </c>
      <c r="C228" s="41">
        <v>0</v>
      </c>
      <c r="D228" s="41">
        <v>0</v>
      </c>
      <c r="E228" s="41">
        <v>0</v>
      </c>
      <c r="F228" s="41">
        <v>0</v>
      </c>
      <c r="G228" s="41">
        <v>0</v>
      </c>
      <c r="H228" s="41">
        <v>0</v>
      </c>
      <c r="I228" s="41">
        <v>0</v>
      </c>
      <c r="J228" s="41">
        <v>0</v>
      </c>
      <c r="K228" s="41">
        <v>0</v>
      </c>
    </row>
    <row r="229" spans="1:11" ht="16" x14ac:dyDescent="0.2">
      <c r="A229" s="153" t="s">
        <v>382</v>
      </c>
      <c r="B229" s="137"/>
      <c r="C229" s="137"/>
      <c r="D229" s="137"/>
      <c r="E229" s="137"/>
      <c r="F229" s="137"/>
      <c r="G229" s="137"/>
      <c r="H229" s="137"/>
      <c r="I229" s="137"/>
      <c r="J229" s="137"/>
      <c r="K229" s="137"/>
    </row>
    <row r="230" spans="1:11" ht="16" x14ac:dyDescent="0.2">
      <c r="A230" s="155" t="s">
        <v>380</v>
      </c>
      <c r="B230" s="41">
        <v>0</v>
      </c>
      <c r="C230" s="41">
        <v>0</v>
      </c>
      <c r="D230" s="41">
        <v>0</v>
      </c>
      <c r="E230" s="41">
        <v>0</v>
      </c>
      <c r="F230" s="41">
        <v>0</v>
      </c>
      <c r="G230" s="41">
        <v>0</v>
      </c>
      <c r="H230" s="41">
        <v>0</v>
      </c>
      <c r="I230" s="41">
        <v>0</v>
      </c>
      <c r="J230" s="41">
        <v>0</v>
      </c>
      <c r="K230" s="41">
        <v>0</v>
      </c>
    </row>
    <row r="231" spans="1:11" ht="16" x14ac:dyDescent="0.2">
      <c r="A231" s="155" t="s">
        <v>381</v>
      </c>
      <c r="B231" s="41">
        <v>0</v>
      </c>
      <c r="C231" s="41">
        <v>0</v>
      </c>
      <c r="D231" s="41">
        <v>0</v>
      </c>
      <c r="E231" s="41">
        <v>0</v>
      </c>
      <c r="F231" s="41">
        <v>0</v>
      </c>
      <c r="G231" s="41">
        <v>0</v>
      </c>
      <c r="H231" s="41">
        <v>0</v>
      </c>
      <c r="I231" s="41">
        <v>0</v>
      </c>
      <c r="J231" s="41">
        <v>0</v>
      </c>
      <c r="K231" s="41">
        <v>0</v>
      </c>
    </row>
    <row r="232" spans="1:11" ht="16" x14ac:dyDescent="0.2">
      <c r="A232" s="153" t="s">
        <v>383</v>
      </c>
      <c r="B232" s="137"/>
      <c r="C232" s="137"/>
      <c r="D232" s="137"/>
      <c r="E232" s="137"/>
      <c r="F232" s="137"/>
      <c r="G232" s="137"/>
      <c r="H232" s="137"/>
      <c r="I232" s="137"/>
      <c r="J232" s="137"/>
      <c r="K232" s="137"/>
    </row>
    <row r="233" spans="1:11" ht="16" x14ac:dyDescent="0.2">
      <c r="A233" s="156" t="s">
        <v>374</v>
      </c>
      <c r="B233" s="157">
        <v>0</v>
      </c>
      <c r="C233" s="158">
        <v>0</v>
      </c>
      <c r="D233" s="158">
        <v>0</v>
      </c>
      <c r="E233" s="158">
        <v>0</v>
      </c>
      <c r="F233" s="158">
        <v>0</v>
      </c>
      <c r="G233" s="157">
        <v>0</v>
      </c>
      <c r="H233" s="158">
        <v>0</v>
      </c>
      <c r="I233" s="158">
        <v>0</v>
      </c>
      <c r="J233" s="158">
        <v>0</v>
      </c>
      <c r="K233" s="158">
        <v>0</v>
      </c>
    </row>
    <row r="234" spans="1:11" ht="16" x14ac:dyDescent="0.2">
      <c r="A234" s="156" t="s">
        <v>375</v>
      </c>
      <c r="B234" s="158">
        <v>0</v>
      </c>
      <c r="C234" s="157">
        <v>0</v>
      </c>
      <c r="D234" s="158">
        <v>0</v>
      </c>
      <c r="E234" s="158">
        <v>0</v>
      </c>
      <c r="F234" s="158">
        <v>0</v>
      </c>
      <c r="G234" s="158">
        <v>0</v>
      </c>
      <c r="H234" s="157">
        <v>0</v>
      </c>
      <c r="I234" s="158">
        <v>0</v>
      </c>
      <c r="J234" s="158">
        <v>0</v>
      </c>
      <c r="K234" s="158">
        <v>0</v>
      </c>
    </row>
    <row r="235" spans="1:11" ht="16" x14ac:dyDescent="0.2">
      <c r="A235" s="156" t="s">
        <v>376</v>
      </c>
      <c r="B235" s="158">
        <v>0</v>
      </c>
      <c r="C235" s="158">
        <v>0</v>
      </c>
      <c r="D235" s="157">
        <v>0</v>
      </c>
      <c r="E235" s="158">
        <v>0</v>
      </c>
      <c r="F235" s="158">
        <v>0</v>
      </c>
      <c r="G235" s="158">
        <v>0</v>
      </c>
      <c r="H235" s="158">
        <v>0</v>
      </c>
      <c r="I235" s="157">
        <v>0</v>
      </c>
      <c r="J235" s="158">
        <v>0</v>
      </c>
      <c r="K235" s="158">
        <v>0</v>
      </c>
    </row>
    <row r="236" spans="1:11" ht="16" x14ac:dyDescent="0.2">
      <c r="A236" s="156" t="s">
        <v>377</v>
      </c>
      <c r="B236" s="158">
        <v>0</v>
      </c>
      <c r="C236" s="158">
        <v>0</v>
      </c>
      <c r="D236" s="158">
        <v>0</v>
      </c>
      <c r="E236" s="157">
        <v>0</v>
      </c>
      <c r="F236" s="158">
        <v>0</v>
      </c>
      <c r="G236" s="158">
        <v>0</v>
      </c>
      <c r="H236" s="158">
        <v>0</v>
      </c>
      <c r="I236" s="158">
        <v>0</v>
      </c>
      <c r="J236" s="157">
        <v>0</v>
      </c>
      <c r="K236" s="158">
        <v>0</v>
      </c>
    </row>
    <row r="237" spans="1:11" ht="16" x14ac:dyDescent="0.2">
      <c r="A237" s="156" t="s">
        <v>378</v>
      </c>
      <c r="B237" s="158">
        <v>0</v>
      </c>
      <c r="C237" s="158">
        <v>0</v>
      </c>
      <c r="D237" s="158">
        <v>0</v>
      </c>
      <c r="E237" s="158">
        <v>0</v>
      </c>
      <c r="F237" s="157">
        <v>0</v>
      </c>
      <c r="G237" s="158">
        <v>0</v>
      </c>
      <c r="H237" s="158">
        <v>0</v>
      </c>
      <c r="I237" s="158">
        <v>0</v>
      </c>
      <c r="J237" s="158">
        <v>0</v>
      </c>
      <c r="K237" s="157">
        <v>0</v>
      </c>
    </row>
    <row r="238" spans="1:11" x14ac:dyDescent="0.2">
      <c r="A238" s="81"/>
    </row>
    <row r="239" spans="1:11" x14ac:dyDescent="0.2">
      <c r="A239" s="81"/>
    </row>
    <row r="240" spans="1:11" ht="32" x14ac:dyDescent="0.2">
      <c r="A240" s="153" t="s">
        <v>386</v>
      </c>
    </row>
    <row r="241" spans="1:181" ht="14.25" customHeight="1" x14ac:dyDescent="0.2">
      <c r="A241" s="294" t="s">
        <v>387</v>
      </c>
      <c r="B241" s="57" t="s">
        <v>388</v>
      </c>
      <c r="C241" s="278" t="s">
        <v>175</v>
      </c>
    </row>
    <row r="242" spans="1:181" x14ac:dyDescent="0.2">
      <c r="A242" s="294"/>
      <c r="B242" s="57" t="s">
        <v>389</v>
      </c>
      <c r="C242" s="278"/>
    </row>
    <row r="243" spans="1:181" ht="16" x14ac:dyDescent="0.2">
      <c r="A243" s="159" t="s">
        <v>390</v>
      </c>
      <c r="B243" s="42" t="s">
        <v>391</v>
      </c>
      <c r="D243" s="159" t="s">
        <v>392</v>
      </c>
      <c r="E243" s="42" t="s">
        <v>393</v>
      </c>
    </row>
    <row r="244" spans="1:181" x14ac:dyDescent="0.2">
      <c r="A244" s="160" t="s">
        <v>394</v>
      </c>
    </row>
    <row r="245" spans="1:181" ht="52.5" customHeight="1" x14ac:dyDescent="0.2">
      <c r="A245" s="161" t="s">
        <v>395</v>
      </c>
      <c r="B245" s="292" t="s">
        <v>337</v>
      </c>
      <c r="C245" s="292"/>
      <c r="D245" s="292"/>
      <c r="E245" s="292"/>
      <c r="F245" s="292"/>
      <c r="G245" s="292" t="s">
        <v>338</v>
      </c>
      <c r="H245" s="292"/>
      <c r="I245" s="292"/>
      <c r="J245" s="292"/>
      <c r="K245" s="292"/>
      <c r="L245" s="292" t="s">
        <v>339</v>
      </c>
      <c r="M245" s="292"/>
      <c r="N245" s="292"/>
      <c r="O245" s="292"/>
      <c r="P245" s="292"/>
      <c r="Q245" s="292" t="s">
        <v>340</v>
      </c>
      <c r="R245" s="292"/>
      <c r="S245" s="292"/>
      <c r="T245" s="292"/>
      <c r="U245" s="292"/>
      <c r="V245" s="292" t="s">
        <v>341</v>
      </c>
      <c r="W245" s="292"/>
      <c r="X245" s="292"/>
      <c r="Y245" s="292"/>
      <c r="Z245" s="292"/>
      <c r="AA245" s="292" t="s">
        <v>342</v>
      </c>
      <c r="AB245" s="292"/>
      <c r="AC245" s="292"/>
      <c r="AD245" s="292"/>
      <c r="AE245" s="292"/>
      <c r="AF245" s="292" t="s">
        <v>343</v>
      </c>
      <c r="AG245" s="292"/>
      <c r="AH245" s="292"/>
      <c r="AI245" s="292"/>
      <c r="AJ245" s="292"/>
      <c r="AK245" s="292" t="s">
        <v>344</v>
      </c>
      <c r="AL245" s="292"/>
      <c r="AM245" s="292"/>
      <c r="AN245" s="292"/>
      <c r="AO245" s="292"/>
      <c r="AP245" s="292" t="s">
        <v>345</v>
      </c>
      <c r="AQ245" s="292"/>
      <c r="AR245" s="292"/>
      <c r="AS245" s="292"/>
      <c r="AT245" s="292"/>
      <c r="AU245" s="292" t="s">
        <v>346</v>
      </c>
      <c r="AV245" s="292"/>
      <c r="AW245" s="292"/>
      <c r="AX245" s="292"/>
      <c r="AY245" s="292"/>
      <c r="AZ245" s="292" t="s">
        <v>347</v>
      </c>
      <c r="BA245" s="292"/>
      <c r="BB245" s="292"/>
      <c r="BC245" s="292"/>
      <c r="BD245" s="292"/>
      <c r="BE245" s="292" t="s">
        <v>348</v>
      </c>
      <c r="BF245" s="292"/>
      <c r="BG245" s="292"/>
      <c r="BH245" s="292"/>
      <c r="BI245" s="292"/>
      <c r="BJ245" s="292" t="s">
        <v>349</v>
      </c>
      <c r="BK245" s="292"/>
      <c r="BL245" s="292"/>
      <c r="BM245" s="292"/>
      <c r="BN245" s="292"/>
      <c r="BO245" s="292" t="s">
        <v>350</v>
      </c>
      <c r="BP245" s="292"/>
      <c r="BQ245" s="292"/>
      <c r="BR245" s="292"/>
      <c r="BS245" s="292"/>
      <c r="BT245" s="292" t="s">
        <v>351</v>
      </c>
      <c r="BU245" s="292"/>
      <c r="BV245" s="292"/>
      <c r="BW245" s="292"/>
      <c r="BX245" s="292"/>
      <c r="BY245" s="292" t="s">
        <v>352</v>
      </c>
      <c r="BZ245" s="292"/>
      <c r="CA245" s="292"/>
      <c r="CB245" s="292"/>
      <c r="CC245" s="292"/>
      <c r="CD245" s="292" t="s">
        <v>353</v>
      </c>
      <c r="CE245" s="292"/>
      <c r="CF245" s="292"/>
      <c r="CG245" s="292"/>
      <c r="CH245" s="292"/>
      <c r="CI245" s="292" t="s">
        <v>354</v>
      </c>
      <c r="CJ245" s="292"/>
      <c r="CK245" s="292"/>
      <c r="CL245" s="292"/>
      <c r="CM245" s="292"/>
      <c r="CN245" s="292" t="s">
        <v>355</v>
      </c>
      <c r="CO245" s="292"/>
      <c r="CP245" s="292"/>
      <c r="CQ245" s="292"/>
      <c r="CR245" s="292"/>
      <c r="CS245" s="292" t="s">
        <v>356</v>
      </c>
      <c r="CT245" s="292"/>
      <c r="CU245" s="292"/>
      <c r="CV245" s="292"/>
      <c r="CW245" s="292"/>
      <c r="CX245" s="292" t="s">
        <v>357</v>
      </c>
      <c r="CY245" s="292"/>
      <c r="CZ245" s="292"/>
      <c r="DA245" s="292"/>
      <c r="DB245" s="292"/>
      <c r="DC245" s="292" t="s">
        <v>358</v>
      </c>
      <c r="DD245" s="292"/>
      <c r="DE245" s="292"/>
      <c r="DF245" s="292"/>
      <c r="DG245" s="292"/>
      <c r="DH245" s="293" t="s">
        <v>359</v>
      </c>
      <c r="DI245" s="293"/>
      <c r="DJ245" s="293"/>
      <c r="DK245" s="154" t="s">
        <v>360</v>
      </c>
      <c r="DL245" s="154">
        <v>0</v>
      </c>
      <c r="DM245" s="292" t="s">
        <v>361</v>
      </c>
      <c r="DN245" s="292"/>
      <c r="DO245" s="292"/>
      <c r="DP245" s="292"/>
      <c r="DQ245" s="292"/>
      <c r="DR245" s="292" t="s">
        <v>362</v>
      </c>
      <c r="DS245" s="292"/>
      <c r="DT245" s="292"/>
      <c r="DU245" s="292"/>
      <c r="DV245" s="292"/>
      <c r="DW245" s="292" t="s">
        <v>363</v>
      </c>
      <c r="DX245" s="292"/>
      <c r="DY245" s="292"/>
      <c r="DZ245" s="292"/>
      <c r="EA245" s="292"/>
      <c r="EB245" s="292" t="s">
        <v>364</v>
      </c>
      <c r="EC245" s="292"/>
      <c r="ED245" s="292"/>
      <c r="EE245" s="292"/>
      <c r="EF245" s="292"/>
      <c r="EG245" s="292" t="s">
        <v>365</v>
      </c>
      <c r="EH245" s="292"/>
      <c r="EI245" s="292"/>
      <c r="EJ245" s="292"/>
      <c r="EK245" s="292"/>
      <c r="EL245" s="292" t="s">
        <v>366</v>
      </c>
      <c r="EM245" s="292"/>
      <c r="EN245" s="292"/>
      <c r="EO245" s="292"/>
      <c r="EP245" s="292"/>
      <c r="EQ245" s="292" t="s">
        <v>367</v>
      </c>
      <c r="ER245" s="292"/>
      <c r="ES245" s="292"/>
      <c r="ET245" s="292"/>
      <c r="EU245" s="292"/>
      <c r="EV245" s="292" t="s">
        <v>368</v>
      </c>
      <c r="EW245" s="292"/>
      <c r="EX245" s="292"/>
      <c r="EY245" s="292"/>
      <c r="EZ245" s="292"/>
      <c r="FA245" s="292" t="s">
        <v>369</v>
      </c>
      <c r="FB245" s="292"/>
      <c r="FC245" s="292"/>
      <c r="FD245" s="292"/>
      <c r="FE245" s="292"/>
      <c r="FF245" s="292" t="s">
        <v>370</v>
      </c>
      <c r="FG245" s="292"/>
      <c r="FH245" s="292"/>
      <c r="FI245" s="292"/>
      <c r="FJ245" s="292"/>
      <c r="FK245" s="292" t="s">
        <v>371</v>
      </c>
      <c r="FL245" s="292"/>
      <c r="FM245" s="292"/>
      <c r="FN245" s="292"/>
      <c r="FO245" s="292"/>
      <c r="FP245" s="292" t="s">
        <v>372</v>
      </c>
      <c r="FQ245" s="292"/>
      <c r="FR245" s="292"/>
      <c r="FS245" s="292"/>
      <c r="FT245" s="292"/>
      <c r="FU245" s="292" t="s">
        <v>373</v>
      </c>
      <c r="FV245" s="292"/>
      <c r="FW245" s="292"/>
      <c r="FX245" s="292"/>
      <c r="FY245" s="292"/>
    </row>
    <row r="246" spans="1:181" x14ac:dyDescent="0.2">
      <c r="A246" s="81"/>
      <c r="B246" s="42" t="s">
        <v>374</v>
      </c>
      <c r="C246" s="42" t="s">
        <v>375</v>
      </c>
      <c r="D246" s="42" t="s">
        <v>376</v>
      </c>
      <c r="E246" s="42" t="s">
        <v>377</v>
      </c>
      <c r="F246" s="42" t="s">
        <v>378</v>
      </c>
      <c r="G246" s="42" t="s">
        <v>374</v>
      </c>
      <c r="H246" s="42" t="s">
        <v>375</v>
      </c>
      <c r="I246" s="42" t="s">
        <v>376</v>
      </c>
      <c r="J246" s="42" t="s">
        <v>377</v>
      </c>
      <c r="K246" s="42" t="s">
        <v>378</v>
      </c>
      <c r="L246" s="42" t="s">
        <v>374</v>
      </c>
      <c r="M246" s="42" t="s">
        <v>375</v>
      </c>
      <c r="N246" s="42" t="s">
        <v>376</v>
      </c>
      <c r="O246" s="42" t="s">
        <v>377</v>
      </c>
      <c r="P246" s="42" t="s">
        <v>378</v>
      </c>
      <c r="Q246" s="42" t="s">
        <v>374</v>
      </c>
      <c r="R246" s="42" t="s">
        <v>375</v>
      </c>
      <c r="S246" s="42" t="s">
        <v>376</v>
      </c>
      <c r="T246" s="42" t="s">
        <v>377</v>
      </c>
      <c r="U246" s="42" t="s">
        <v>378</v>
      </c>
      <c r="V246" s="42" t="s">
        <v>374</v>
      </c>
      <c r="W246" s="42" t="s">
        <v>375</v>
      </c>
      <c r="X246" s="42" t="s">
        <v>376</v>
      </c>
      <c r="Y246" s="42" t="s">
        <v>377</v>
      </c>
      <c r="Z246" s="42" t="s">
        <v>378</v>
      </c>
      <c r="AA246" s="42" t="s">
        <v>374</v>
      </c>
      <c r="AB246" s="42" t="s">
        <v>375</v>
      </c>
      <c r="AC246" s="42" t="s">
        <v>376</v>
      </c>
      <c r="AD246" s="42" t="s">
        <v>377</v>
      </c>
      <c r="AE246" s="42" t="s">
        <v>378</v>
      </c>
      <c r="AF246" s="42" t="s">
        <v>374</v>
      </c>
      <c r="AG246" s="42" t="s">
        <v>375</v>
      </c>
      <c r="AH246" s="42" t="s">
        <v>376</v>
      </c>
      <c r="AI246" s="42" t="s">
        <v>377</v>
      </c>
      <c r="AJ246" s="42" t="s">
        <v>378</v>
      </c>
      <c r="AK246" s="42" t="s">
        <v>374</v>
      </c>
      <c r="AL246" s="42" t="s">
        <v>375</v>
      </c>
      <c r="AM246" s="42" t="s">
        <v>376</v>
      </c>
      <c r="AN246" s="42" t="s">
        <v>377</v>
      </c>
      <c r="AO246" s="42" t="s">
        <v>378</v>
      </c>
      <c r="AP246" s="42" t="s">
        <v>374</v>
      </c>
      <c r="AQ246" s="42" t="s">
        <v>375</v>
      </c>
      <c r="AR246" s="42" t="s">
        <v>376</v>
      </c>
      <c r="AS246" s="42" t="s">
        <v>377</v>
      </c>
      <c r="AT246" s="42" t="s">
        <v>378</v>
      </c>
      <c r="AU246" s="42" t="s">
        <v>374</v>
      </c>
      <c r="AV246" s="42" t="s">
        <v>375</v>
      </c>
      <c r="AW246" s="42" t="s">
        <v>376</v>
      </c>
      <c r="AX246" s="42" t="s">
        <v>377</v>
      </c>
      <c r="AY246" s="42" t="s">
        <v>378</v>
      </c>
      <c r="AZ246" s="42" t="s">
        <v>374</v>
      </c>
      <c r="BA246" s="42" t="s">
        <v>375</v>
      </c>
      <c r="BB246" s="42" t="s">
        <v>376</v>
      </c>
      <c r="BC246" s="42" t="s">
        <v>377</v>
      </c>
      <c r="BD246" s="42" t="s">
        <v>378</v>
      </c>
      <c r="BE246" s="42" t="s">
        <v>374</v>
      </c>
      <c r="BF246" s="42" t="s">
        <v>375</v>
      </c>
      <c r="BG246" s="42" t="s">
        <v>376</v>
      </c>
      <c r="BH246" s="42" t="s">
        <v>377</v>
      </c>
      <c r="BI246" s="42" t="s">
        <v>378</v>
      </c>
      <c r="BJ246" s="42" t="s">
        <v>374</v>
      </c>
      <c r="BK246" s="42" t="s">
        <v>375</v>
      </c>
      <c r="BL246" s="42" t="s">
        <v>376</v>
      </c>
      <c r="BM246" s="42" t="s">
        <v>377</v>
      </c>
      <c r="BN246" s="42" t="s">
        <v>378</v>
      </c>
      <c r="BO246" s="42" t="s">
        <v>374</v>
      </c>
      <c r="BP246" s="42" t="s">
        <v>375</v>
      </c>
      <c r="BQ246" s="42" t="s">
        <v>376</v>
      </c>
      <c r="BR246" s="42" t="s">
        <v>377</v>
      </c>
      <c r="BS246" s="42" t="s">
        <v>378</v>
      </c>
      <c r="BT246" s="42" t="s">
        <v>374</v>
      </c>
      <c r="BU246" s="42" t="s">
        <v>375</v>
      </c>
      <c r="BV246" s="42" t="s">
        <v>376</v>
      </c>
      <c r="BW246" s="42" t="s">
        <v>377</v>
      </c>
      <c r="BX246" s="42" t="s">
        <v>378</v>
      </c>
      <c r="BY246" s="42" t="s">
        <v>374</v>
      </c>
      <c r="BZ246" s="42" t="s">
        <v>375</v>
      </c>
      <c r="CA246" s="42" t="s">
        <v>376</v>
      </c>
      <c r="CB246" s="42" t="s">
        <v>377</v>
      </c>
      <c r="CC246" s="42" t="s">
        <v>378</v>
      </c>
      <c r="CD246" s="42" t="s">
        <v>374</v>
      </c>
      <c r="CE246" s="42" t="s">
        <v>375</v>
      </c>
      <c r="CF246" s="42" t="s">
        <v>376</v>
      </c>
      <c r="CG246" s="42" t="s">
        <v>377</v>
      </c>
      <c r="CH246" s="42" t="s">
        <v>378</v>
      </c>
      <c r="CI246" s="42" t="s">
        <v>374</v>
      </c>
      <c r="CJ246" s="42" t="s">
        <v>375</v>
      </c>
      <c r="CK246" s="42" t="s">
        <v>376</v>
      </c>
      <c r="CL246" s="42" t="s">
        <v>377</v>
      </c>
      <c r="CM246" s="42" t="s">
        <v>378</v>
      </c>
      <c r="CN246" s="42" t="s">
        <v>374</v>
      </c>
      <c r="CO246" s="42" t="s">
        <v>375</v>
      </c>
      <c r="CP246" s="42" t="s">
        <v>376</v>
      </c>
      <c r="CQ246" s="42" t="s">
        <v>377</v>
      </c>
      <c r="CR246" s="42" t="s">
        <v>378</v>
      </c>
      <c r="CS246" s="42" t="s">
        <v>374</v>
      </c>
      <c r="CT246" s="42" t="s">
        <v>375</v>
      </c>
      <c r="CU246" s="42" t="s">
        <v>376</v>
      </c>
      <c r="CV246" s="42" t="s">
        <v>377</v>
      </c>
      <c r="CW246" s="42" t="s">
        <v>378</v>
      </c>
      <c r="CX246" s="42" t="s">
        <v>374</v>
      </c>
      <c r="CY246" s="42" t="s">
        <v>375</v>
      </c>
      <c r="CZ246" s="42" t="s">
        <v>376</v>
      </c>
      <c r="DA246" s="42" t="s">
        <v>377</v>
      </c>
      <c r="DB246" s="42" t="s">
        <v>378</v>
      </c>
      <c r="DC246" s="42" t="s">
        <v>374</v>
      </c>
      <c r="DD246" s="42" t="s">
        <v>375</v>
      </c>
      <c r="DE246" s="42" t="s">
        <v>376</v>
      </c>
      <c r="DF246" s="42" t="s">
        <v>377</v>
      </c>
      <c r="DG246" s="42" t="s">
        <v>378</v>
      </c>
      <c r="DH246" s="122" t="s">
        <v>374</v>
      </c>
      <c r="DI246" s="122" t="s">
        <v>375</v>
      </c>
      <c r="DJ246" s="122" t="s">
        <v>376</v>
      </c>
      <c r="DK246" s="122" t="s">
        <v>377</v>
      </c>
      <c r="DL246" s="42" t="s">
        <v>378</v>
      </c>
      <c r="DM246" s="42" t="s">
        <v>374</v>
      </c>
      <c r="DN246" s="42" t="s">
        <v>375</v>
      </c>
      <c r="DO246" s="42" t="s">
        <v>376</v>
      </c>
      <c r="DP246" s="42" t="s">
        <v>377</v>
      </c>
      <c r="DQ246" s="42" t="s">
        <v>378</v>
      </c>
      <c r="DR246" s="42" t="s">
        <v>374</v>
      </c>
      <c r="DS246" s="42" t="s">
        <v>375</v>
      </c>
      <c r="DT246" s="42" t="s">
        <v>376</v>
      </c>
      <c r="DU246" s="42" t="s">
        <v>377</v>
      </c>
      <c r="DV246" s="42" t="s">
        <v>378</v>
      </c>
      <c r="DW246" s="42" t="s">
        <v>374</v>
      </c>
      <c r="DX246" s="42" t="s">
        <v>375</v>
      </c>
      <c r="DY246" s="42" t="s">
        <v>376</v>
      </c>
      <c r="DZ246" s="42" t="s">
        <v>377</v>
      </c>
      <c r="EA246" s="42" t="s">
        <v>378</v>
      </c>
      <c r="EB246" s="42" t="s">
        <v>374</v>
      </c>
      <c r="EC246" s="42" t="s">
        <v>375</v>
      </c>
      <c r="ED246" s="42" t="s">
        <v>376</v>
      </c>
      <c r="EE246" s="42" t="s">
        <v>377</v>
      </c>
      <c r="EF246" s="42" t="s">
        <v>378</v>
      </c>
      <c r="EG246" s="42" t="s">
        <v>374</v>
      </c>
      <c r="EH246" s="42" t="s">
        <v>375</v>
      </c>
      <c r="EI246" s="42" t="s">
        <v>376</v>
      </c>
      <c r="EJ246" s="42" t="s">
        <v>377</v>
      </c>
      <c r="EK246" s="42" t="s">
        <v>378</v>
      </c>
      <c r="EL246" s="42" t="s">
        <v>374</v>
      </c>
      <c r="EM246" s="42" t="s">
        <v>375</v>
      </c>
      <c r="EN246" s="42" t="s">
        <v>376</v>
      </c>
      <c r="EO246" s="42" t="s">
        <v>377</v>
      </c>
      <c r="EP246" s="42" t="s">
        <v>378</v>
      </c>
      <c r="EQ246" s="42" t="s">
        <v>374</v>
      </c>
      <c r="ER246" s="42" t="s">
        <v>375</v>
      </c>
      <c r="ES246" s="42" t="s">
        <v>376</v>
      </c>
      <c r="ET246" s="42" t="s">
        <v>377</v>
      </c>
      <c r="EU246" s="42" t="s">
        <v>378</v>
      </c>
      <c r="EV246" s="42" t="s">
        <v>374</v>
      </c>
      <c r="EW246" s="42" t="s">
        <v>375</v>
      </c>
      <c r="EX246" s="42" t="s">
        <v>376</v>
      </c>
      <c r="EY246" s="42" t="s">
        <v>377</v>
      </c>
      <c r="EZ246" s="42" t="s">
        <v>378</v>
      </c>
      <c r="FA246" s="42" t="s">
        <v>374</v>
      </c>
      <c r="FB246" s="42" t="s">
        <v>375</v>
      </c>
      <c r="FC246" s="42" t="s">
        <v>376</v>
      </c>
      <c r="FD246" s="42" t="s">
        <v>377</v>
      </c>
      <c r="FE246" s="42" t="s">
        <v>378</v>
      </c>
      <c r="FF246" s="42" t="s">
        <v>374</v>
      </c>
      <c r="FG246" s="42" t="s">
        <v>375</v>
      </c>
      <c r="FH246" s="42" t="s">
        <v>376</v>
      </c>
      <c r="FI246" s="42" t="s">
        <v>377</v>
      </c>
      <c r="FJ246" s="42" t="s">
        <v>378</v>
      </c>
      <c r="FK246" s="42" t="s">
        <v>374</v>
      </c>
      <c r="FL246" s="42" t="s">
        <v>375</v>
      </c>
      <c r="FM246" s="42" t="s">
        <v>376</v>
      </c>
      <c r="FN246" s="42" t="s">
        <v>377</v>
      </c>
      <c r="FO246" s="42" t="s">
        <v>378</v>
      </c>
      <c r="FP246" s="42" t="s">
        <v>374</v>
      </c>
      <c r="FQ246" s="42" t="s">
        <v>375</v>
      </c>
      <c r="FR246" s="42" t="s">
        <v>376</v>
      </c>
      <c r="FS246" s="42" t="s">
        <v>377</v>
      </c>
      <c r="FT246" s="42" t="s">
        <v>378</v>
      </c>
      <c r="FU246" s="42" t="s">
        <v>374</v>
      </c>
      <c r="FV246" s="42" t="s">
        <v>375</v>
      </c>
      <c r="FW246" s="42" t="s">
        <v>376</v>
      </c>
      <c r="FX246" s="42" t="s">
        <v>377</v>
      </c>
      <c r="FY246" s="42" t="s">
        <v>378</v>
      </c>
    </row>
    <row r="247" spans="1:181" ht="16" x14ac:dyDescent="0.2">
      <c r="A247" s="159" t="s">
        <v>396</v>
      </c>
      <c r="B247" s="41">
        <v>0.67505168902629997</v>
      </c>
      <c r="C247" s="41">
        <v>5.1094287867918801E-2</v>
      </c>
      <c r="D247" s="41">
        <v>2.6291186340338699</v>
      </c>
      <c r="E247" s="41">
        <v>0.26023408117519098</v>
      </c>
      <c r="F247" s="41">
        <v>0.25445363024913897</v>
      </c>
      <c r="G247" s="41">
        <v>1.3283417503967001</v>
      </c>
      <c r="H247" s="41">
        <v>0.21661982425221701</v>
      </c>
      <c r="I247" s="41">
        <v>1.19570220906588</v>
      </c>
      <c r="J247" s="41">
        <v>4.6627757079169498</v>
      </c>
      <c r="K247" s="41">
        <v>1.18704845165241</v>
      </c>
      <c r="L247" s="41">
        <v>0.411626216911533</v>
      </c>
      <c r="M247" s="41">
        <v>0.120106306553901</v>
      </c>
      <c r="N247" s="41">
        <v>0.43695490528792402</v>
      </c>
      <c r="O247" s="41">
        <v>0.333934656077224</v>
      </c>
      <c r="P247" s="41">
        <v>0.97044761844443195</v>
      </c>
      <c r="Q247" s="41">
        <v>0.70240789735129805</v>
      </c>
      <c r="R247" s="41">
        <v>0.187575496682129</v>
      </c>
      <c r="S247" s="41">
        <v>0.39044188652557799</v>
      </c>
      <c r="T247" s="41">
        <v>0.23320030953411799</v>
      </c>
      <c r="U247" s="41">
        <v>0.49724291289232397</v>
      </c>
      <c r="V247" s="41">
        <v>0.257570487271157</v>
      </c>
      <c r="W247" s="41">
        <v>7.2209697732040404E-2</v>
      </c>
      <c r="X247" s="41">
        <v>0.32373966589948899</v>
      </c>
      <c r="Y247" s="41">
        <v>8.2396020530615594E-2</v>
      </c>
      <c r="Z247" s="41">
        <v>0.202486877090432</v>
      </c>
      <c r="AA247" s="41">
        <v>0.67778379323133697</v>
      </c>
      <c r="AB247" s="41">
        <v>0.178755051947868</v>
      </c>
      <c r="AC247" s="41">
        <v>0.57342542058613699</v>
      </c>
      <c r="AD247" s="41">
        <v>0.246573794513261</v>
      </c>
      <c r="AE247" s="41">
        <v>1.4033225078919001</v>
      </c>
      <c r="AF247" s="41">
        <v>1.0676209273986501</v>
      </c>
      <c r="AG247" s="41">
        <v>0.27018420717455499</v>
      </c>
      <c r="AH247" s="41">
        <v>0.41270602490992597</v>
      </c>
      <c r="AI247" s="41">
        <v>0.46051132438150699</v>
      </c>
      <c r="AJ247" s="41">
        <v>1.6711461492308299</v>
      </c>
      <c r="AK247" s="41">
        <v>0.70691238700271797</v>
      </c>
      <c r="AL247" s="41">
        <v>0.72196412104983099</v>
      </c>
      <c r="AM247" s="41">
        <v>7.1925140018616096</v>
      </c>
      <c r="AN247" s="41">
        <v>2.0365279736233002</v>
      </c>
      <c r="AO247" s="41">
        <v>0.58130286670484499</v>
      </c>
      <c r="AP247" s="41">
        <v>1.51459974828503</v>
      </c>
      <c r="AQ247" s="41">
        <v>0.66974306858597499</v>
      </c>
      <c r="AR247" s="41">
        <v>1.1478778986126099</v>
      </c>
      <c r="AS247" s="41">
        <v>1.4393643503734901</v>
      </c>
      <c r="AT247" s="41">
        <v>1.0175599074126001</v>
      </c>
      <c r="AU247" s="41">
        <v>1.73611014300962</v>
      </c>
      <c r="AV247" s="41">
        <v>0.24392179773689701</v>
      </c>
      <c r="AW247" s="41">
        <v>1.59707255186028</v>
      </c>
      <c r="AX247" s="41">
        <v>0.98850677153556199</v>
      </c>
      <c r="AY247" s="41">
        <v>2.3399554549826398</v>
      </c>
      <c r="AZ247" s="41">
        <v>1.9519753682288401</v>
      </c>
      <c r="BA247" s="41">
        <v>0.128754834699087</v>
      </c>
      <c r="BB247" s="41">
        <v>1.78498551045562</v>
      </c>
      <c r="BC247" s="41">
        <v>1.64611432649006</v>
      </c>
      <c r="BD247" s="41">
        <v>8.3121494982128201</v>
      </c>
      <c r="BE247" s="41">
        <v>2.1948024460231101</v>
      </c>
      <c r="BF247" s="41">
        <v>0.223249463396342</v>
      </c>
      <c r="BG247" s="41">
        <v>0.38925971053157898</v>
      </c>
      <c r="BH247" s="41">
        <v>1.1200065077483701</v>
      </c>
      <c r="BI247" s="41">
        <v>2.74096286220382</v>
      </c>
      <c r="BJ247" s="41">
        <v>0.324095429192924</v>
      </c>
      <c r="BK247" s="41">
        <v>4.9490995932290102E-2</v>
      </c>
      <c r="BL247" s="41">
        <v>0.19970663635058</v>
      </c>
      <c r="BM247" s="41">
        <v>0.12287157033151699</v>
      </c>
      <c r="BN247" s="41">
        <v>0.16728426817746</v>
      </c>
      <c r="BO247" s="41">
        <v>0.216582423833204</v>
      </c>
      <c r="BP247" s="41">
        <v>1.9164866737161002E-2</v>
      </c>
      <c r="BQ247" s="41">
        <v>0.161117872047018</v>
      </c>
      <c r="BR247" s="41">
        <v>6.9688079198573394E-2</v>
      </c>
      <c r="BS247" s="41">
        <v>2.6689358813394001E-2</v>
      </c>
      <c r="BT247" s="41">
        <v>0.261991508082564</v>
      </c>
      <c r="BU247" s="41">
        <v>4.9945510007376001E-2</v>
      </c>
      <c r="BV247" s="41">
        <v>0.14861014064157799</v>
      </c>
      <c r="BW247" s="41">
        <v>0.110171715083225</v>
      </c>
      <c r="BX247" s="41">
        <v>9.6399109517462694E-2</v>
      </c>
      <c r="BY247" s="41">
        <v>0.817073910627103</v>
      </c>
      <c r="BZ247" s="41">
        <v>0.19532635509562399</v>
      </c>
      <c r="CA247" s="41">
        <v>1.53687059086135</v>
      </c>
      <c r="CB247" s="41">
        <v>0.69220340679919401</v>
      </c>
      <c r="CC247" s="41">
        <v>1.04995255922894</v>
      </c>
      <c r="CD247" s="41">
        <v>2.8574728837212602</v>
      </c>
      <c r="CE247" s="41">
        <v>0.23420824672911</v>
      </c>
      <c r="CF247" s="41">
        <v>0.47998290859530102</v>
      </c>
      <c r="CG247" s="41">
        <v>2.73119171262086</v>
      </c>
      <c r="CH247" s="41">
        <v>2.4736628829479201</v>
      </c>
      <c r="CI247" s="41">
        <v>0.104738268920659</v>
      </c>
      <c r="CJ247" s="41">
        <v>9.9520566615255296E-3</v>
      </c>
      <c r="CK247" s="41">
        <v>0.66736922599697501</v>
      </c>
      <c r="CL247" s="41">
        <v>6.3798261366724701E-2</v>
      </c>
      <c r="CM247" s="41">
        <v>9.3382869888606501E-2</v>
      </c>
      <c r="CN247" s="41">
        <v>0.31807253183617501</v>
      </c>
      <c r="CO247" s="41">
        <v>3.1737355504994902E-2</v>
      </c>
      <c r="CP247" s="41">
        <v>0.48022100606538398</v>
      </c>
      <c r="CQ247" s="41">
        <v>0.113555332303892</v>
      </c>
      <c r="CR247" s="41">
        <v>1.46886167669856E-2</v>
      </c>
      <c r="CS247" s="41">
        <v>0.199851830456028</v>
      </c>
      <c r="CT247" s="41">
        <v>3.97430930281387E-2</v>
      </c>
      <c r="CU247" s="41">
        <v>0.410682033252801</v>
      </c>
      <c r="CV247" s="41">
        <v>5.9109336003401798E-2</v>
      </c>
      <c r="CW247" s="41">
        <v>2.3266987117771702E-2</v>
      </c>
      <c r="CX247" s="41">
        <v>0.47628496738666698</v>
      </c>
      <c r="CY247" s="41">
        <v>3.58369539506182E-2</v>
      </c>
      <c r="CZ247" s="41">
        <v>0.93014667180500699</v>
      </c>
      <c r="DA247" s="41">
        <v>0.17702047126196399</v>
      </c>
      <c r="DB247" s="41">
        <v>1.9494781005226801E-2</v>
      </c>
      <c r="DC247" s="41">
        <v>0.81623406851246705</v>
      </c>
      <c r="DD247" s="41">
        <v>5.1199497709253097E-2</v>
      </c>
      <c r="DE247" s="41">
        <v>0.94101911196563004</v>
      </c>
      <c r="DF247" s="41">
        <v>0.405675491520472</v>
      </c>
      <c r="DG247" s="41">
        <v>0.40393581762507902</v>
      </c>
      <c r="DH247" s="41">
        <v>0.42698523818255202</v>
      </c>
      <c r="DI247" s="41">
        <v>0</v>
      </c>
      <c r="DJ247" s="41">
        <v>6.0399768247247803</v>
      </c>
      <c r="DK247" s="41">
        <v>1.58529839300859</v>
      </c>
      <c r="DL247" s="41">
        <v>6.9137658812526301E-2</v>
      </c>
      <c r="DM247" s="41">
        <v>1.7964357772268401E-5</v>
      </c>
      <c r="DN247" s="41">
        <v>0</v>
      </c>
      <c r="DO247" s="41">
        <v>23.628451979670501</v>
      </c>
      <c r="DP247" s="41">
        <v>2.6750270062826601E-6</v>
      </c>
      <c r="DQ247" s="41">
        <v>9.7923505328753706E-3</v>
      </c>
      <c r="DR247" s="41">
        <v>0</v>
      </c>
      <c r="DS247" s="41">
        <v>0</v>
      </c>
      <c r="DT247" s="41">
        <v>25.085688402244202</v>
      </c>
      <c r="DU247" s="41">
        <v>1.8955822151764E-5</v>
      </c>
      <c r="DV247" s="41">
        <v>1.4927273666771199E-6</v>
      </c>
      <c r="DW247" s="41">
        <v>0.38538781727246102</v>
      </c>
      <c r="DX247" s="41">
        <v>8.9416722928342907E-2</v>
      </c>
      <c r="DY247" s="41">
        <v>2.499832934789</v>
      </c>
      <c r="DZ247" s="41">
        <v>0.104646096355553</v>
      </c>
      <c r="EA247" s="41">
        <v>3.5833224049942401E-2</v>
      </c>
      <c r="EB247" s="41">
        <v>0.26002566357274598</v>
      </c>
      <c r="EC247" s="41">
        <v>2.46470801131046E-2</v>
      </c>
      <c r="ED247" s="41">
        <v>0.42985268631370499</v>
      </c>
      <c r="EE247" s="41">
        <v>0.19572299833922099</v>
      </c>
      <c r="EF247" s="41">
        <v>6.3216713926129899E-3</v>
      </c>
      <c r="EG247" s="41">
        <v>0.13140905607447601</v>
      </c>
      <c r="EH247" s="41">
        <v>1.30423164071394E-2</v>
      </c>
      <c r="EI247" s="41">
        <v>0.18964237442788101</v>
      </c>
      <c r="EJ247" s="41">
        <v>4.12757712053878E-2</v>
      </c>
      <c r="EK247" s="41">
        <v>3.52348572153754E-3</v>
      </c>
      <c r="EL247" s="41">
        <v>0.27833046224886798</v>
      </c>
      <c r="EM247" s="41">
        <v>4.8944077422303799E-2</v>
      </c>
      <c r="EN247" s="41">
        <v>9.7973538052665704E-2</v>
      </c>
      <c r="EO247" s="41">
        <v>7.2965463252409504E-2</v>
      </c>
      <c r="EP247" s="41">
        <v>1.49440203014114E-2</v>
      </c>
      <c r="EQ247" s="41">
        <v>0.19378581229435099</v>
      </c>
      <c r="ER247" s="41">
        <v>1.8232748381631799E-2</v>
      </c>
      <c r="ES247" s="41">
        <v>0.512903730388795</v>
      </c>
      <c r="ET247" s="41">
        <v>0.10356363499920899</v>
      </c>
      <c r="EU247" s="41">
        <v>2.9755588523413701E-2</v>
      </c>
      <c r="EV247" s="41">
        <v>0.52611138233488297</v>
      </c>
      <c r="EW247" s="41">
        <v>4.2066680726921303E-2</v>
      </c>
      <c r="EX247" s="41">
        <v>0.839994674858347</v>
      </c>
      <c r="EY247" s="41">
        <v>0.79425898788070803</v>
      </c>
      <c r="EZ247" s="41">
        <v>8.2128427517318997E-2</v>
      </c>
      <c r="FA247" s="41">
        <v>0.74137834914394796</v>
      </c>
      <c r="FB247" s="41">
        <v>6.9146247723087695E-2</v>
      </c>
      <c r="FC247" s="41">
        <v>0.85008308479357197</v>
      </c>
      <c r="FD247" s="41">
        <v>0.21082169303149201</v>
      </c>
      <c r="FE247" s="41">
        <v>0.114546005930678</v>
      </c>
      <c r="FF247" s="41">
        <v>0.39270181573097401</v>
      </c>
      <c r="FG247" s="41">
        <v>3.9243414545020797E-2</v>
      </c>
      <c r="FH247" s="41">
        <v>0.75385614181159899</v>
      </c>
      <c r="FI247" s="41">
        <v>0.15304708986971699</v>
      </c>
      <c r="FJ247" s="41">
        <v>7.8974117210741102E-2</v>
      </c>
      <c r="FK247" s="41">
        <v>0.45223716980724699</v>
      </c>
      <c r="FL247" s="41">
        <v>7.4991985028164607E-2</v>
      </c>
      <c r="FM247" s="41">
        <v>0.92788804456364105</v>
      </c>
      <c r="FN247" s="41">
        <v>0.19740651264119199</v>
      </c>
      <c r="FO247" s="41">
        <v>8.1376429900637703E-2</v>
      </c>
      <c r="FP247" s="41">
        <v>0</v>
      </c>
      <c r="FQ247" s="41">
        <v>0</v>
      </c>
      <c r="FR247" s="41">
        <v>0</v>
      </c>
      <c r="FS247" s="41">
        <v>0</v>
      </c>
      <c r="FT247" s="41">
        <v>0</v>
      </c>
      <c r="FU247" s="41">
        <v>0.66827597255836901</v>
      </c>
      <c r="FV247" s="41">
        <v>0.158901439155964</v>
      </c>
      <c r="FW247" s="41">
        <v>1.5787787066541199</v>
      </c>
      <c r="FX247" s="41">
        <v>0.69008067538728901</v>
      </c>
      <c r="FY247" s="41">
        <v>1.4525695196166699</v>
      </c>
    </row>
    <row r="248" spans="1:181" x14ac:dyDescent="0.2">
      <c r="A248" s="160" t="s">
        <v>397</v>
      </c>
      <c r="B248" s="160"/>
    </row>
    <row r="249" spans="1:181" ht="32" x14ac:dyDescent="0.2">
      <c r="A249" s="159" t="s">
        <v>398</v>
      </c>
      <c r="B249" s="41" t="s">
        <v>36</v>
      </c>
      <c r="C249" s="42" t="s">
        <v>398</v>
      </c>
      <c r="D249" s="38"/>
    </row>
    <row r="250" spans="1:181" ht="32" x14ac:dyDescent="0.2">
      <c r="A250" s="159" t="s">
        <v>399</v>
      </c>
      <c r="B250" s="41" t="s">
        <v>327</v>
      </c>
      <c r="C250" s="162" t="s">
        <v>399</v>
      </c>
      <c r="D250" s="38"/>
    </row>
    <row r="251" spans="1:181" x14ac:dyDescent="0.2">
      <c r="A251" s="81"/>
    </row>
    <row r="252" spans="1:181" x14ac:dyDescent="0.2">
      <c r="A252" s="81"/>
    </row>
    <row r="253" spans="1:181" x14ac:dyDescent="0.2">
      <c r="A253" s="81"/>
    </row>
    <row r="254" spans="1:181" x14ac:dyDescent="0.2">
      <c r="A254" s="81"/>
    </row>
    <row r="255" spans="1:181" ht="14.25" customHeight="1" x14ac:dyDescent="0.2">
      <c r="A255" s="295" t="s">
        <v>400</v>
      </c>
      <c r="B255" s="295"/>
      <c r="C255" s="295"/>
      <c r="D255" s="295"/>
      <c r="E255" s="296"/>
      <c r="F255" s="296"/>
    </row>
    <row r="256" spans="1:181" ht="28.5" customHeight="1" x14ac:dyDescent="0.2">
      <c r="A256" s="163" t="s">
        <v>401</v>
      </c>
      <c r="B256" s="106" t="s">
        <v>402</v>
      </c>
      <c r="C256" s="164"/>
      <c r="D256" s="165"/>
      <c r="F256" s="164"/>
    </row>
    <row r="257" spans="1:6" ht="14.25" customHeight="1" x14ac:dyDescent="0.2">
      <c r="A257" s="297" t="s">
        <v>403</v>
      </c>
      <c r="B257" s="116" t="s">
        <v>404</v>
      </c>
      <c r="C257" s="4" t="s">
        <v>405</v>
      </c>
      <c r="D257" s="298" t="s">
        <v>406</v>
      </c>
      <c r="E257" s="57" t="s">
        <v>404</v>
      </c>
      <c r="F257" s="4" t="s">
        <v>407</v>
      </c>
    </row>
    <row r="258" spans="1:6" x14ac:dyDescent="0.2">
      <c r="A258" s="297"/>
      <c r="B258" s="57" t="s">
        <v>408</v>
      </c>
      <c r="C258" s="4"/>
      <c r="D258" s="4"/>
      <c r="E258" s="57" t="s">
        <v>408</v>
      </c>
      <c r="F258" s="4"/>
    </row>
    <row r="259" spans="1:6" x14ac:dyDescent="0.2">
      <c r="A259" s="297"/>
      <c r="B259" s="57" t="s">
        <v>409</v>
      </c>
      <c r="C259" s="4"/>
      <c r="D259" s="4"/>
      <c r="E259" s="57" t="s">
        <v>409</v>
      </c>
      <c r="F259" s="4"/>
    </row>
    <row r="260" spans="1:6" ht="47.25" customHeight="1" x14ac:dyDescent="0.2">
      <c r="A260" s="159" t="s">
        <v>410</v>
      </c>
      <c r="B260" s="41" t="s">
        <v>411</v>
      </c>
      <c r="C260" s="166" t="s">
        <v>412</v>
      </c>
      <c r="D260" s="64" t="s">
        <v>413</v>
      </c>
      <c r="E260" s="41" t="s">
        <v>411</v>
      </c>
      <c r="F260" s="166" t="s">
        <v>414</v>
      </c>
    </row>
    <row r="267" spans="1:6" x14ac:dyDescent="0.2">
      <c r="A267" s="137" t="s">
        <v>415</v>
      </c>
      <c r="B267" s="137"/>
      <c r="C267" s="137"/>
    </row>
    <row r="268" spans="1:6" x14ac:dyDescent="0.2">
      <c r="A268" s="136" t="s">
        <v>416</v>
      </c>
      <c r="B268" s="41" t="s">
        <v>28</v>
      </c>
      <c r="C268" s="42" t="s">
        <v>417</v>
      </c>
    </row>
    <row r="269" spans="1:6" x14ac:dyDescent="0.2">
      <c r="A269" s="86"/>
      <c r="B269" s="41"/>
      <c r="C269" s="42"/>
    </row>
    <row r="270" spans="1:6" x14ac:dyDescent="0.2">
      <c r="A270" s="86" t="s">
        <v>418</v>
      </c>
      <c r="B270" s="41" t="s">
        <v>125</v>
      </c>
      <c r="C270" s="42" t="s">
        <v>419</v>
      </c>
    </row>
    <row r="271" spans="1:6" x14ac:dyDescent="0.2">
      <c r="A271" s="86" t="s">
        <v>420</v>
      </c>
      <c r="B271" s="41" t="s">
        <v>421</v>
      </c>
      <c r="C271" s="42" t="s">
        <v>422</v>
      </c>
      <c r="D271" s="86" t="s">
        <v>423</v>
      </c>
      <c r="E271">
        <v>2020</v>
      </c>
    </row>
    <row r="272" spans="1:6" x14ac:dyDescent="0.2">
      <c r="A272" s="136"/>
      <c r="B272" s="41"/>
      <c r="C272" s="42"/>
    </row>
    <row r="273" spans="1:6" x14ac:dyDescent="0.2">
      <c r="A273" s="136"/>
      <c r="B273" s="41"/>
      <c r="C273" s="42"/>
    </row>
    <row r="274" spans="1:6" x14ac:dyDescent="0.2">
      <c r="A274" s="86" t="s">
        <v>424</v>
      </c>
      <c r="B274" s="41" t="s">
        <v>425</v>
      </c>
      <c r="C274" s="42" t="s">
        <v>426</v>
      </c>
    </row>
    <row r="275" spans="1:6" x14ac:dyDescent="0.2">
      <c r="A275" s="31" t="s">
        <v>427</v>
      </c>
      <c r="B275" s="41" t="s">
        <v>36</v>
      </c>
      <c r="C275" s="42"/>
    </row>
    <row r="276" spans="1:6" x14ac:dyDescent="0.2">
      <c r="A276" s="31" t="s">
        <v>428</v>
      </c>
      <c r="B276" s="41" t="s">
        <v>36</v>
      </c>
      <c r="C276" s="42"/>
    </row>
    <row r="281" spans="1:6" x14ac:dyDescent="0.2">
      <c r="A281" s="167" t="s">
        <v>429</v>
      </c>
      <c r="B281" s="76"/>
      <c r="C281" s="76"/>
      <c r="D281" s="76"/>
      <c r="E281" s="76"/>
      <c r="F281" s="76"/>
    </row>
    <row r="282" spans="1:6" x14ac:dyDescent="0.2">
      <c r="A282" s="76" t="s">
        <v>430</v>
      </c>
      <c r="B282" s="76"/>
      <c r="C282" s="76"/>
      <c r="D282" s="76"/>
    </row>
    <row r="283" spans="1:6" x14ac:dyDescent="0.2">
      <c r="A283" s="299" t="s">
        <v>431</v>
      </c>
      <c r="B283" s="299"/>
      <c r="C283" s="299"/>
      <c r="D283" s="168">
        <v>2</v>
      </c>
    </row>
    <row r="284" spans="1:6" x14ac:dyDescent="0.2">
      <c r="A284" s="55" t="s">
        <v>432</v>
      </c>
      <c r="B284" s="55"/>
      <c r="C284" s="169"/>
      <c r="D284" s="76"/>
    </row>
    <row r="285" spans="1:6" x14ac:dyDescent="0.2">
      <c r="A285" s="136" t="s">
        <v>433</v>
      </c>
      <c r="B285" s="168" t="s">
        <v>434</v>
      </c>
    </row>
    <row r="286" spans="1:6" x14ac:dyDescent="0.2">
      <c r="A286" s="170" t="s">
        <v>435</v>
      </c>
      <c r="B286" s="171" t="s">
        <v>436</v>
      </c>
      <c r="D286" s="135" t="s">
        <v>437</v>
      </c>
      <c r="E286" s="135" t="s">
        <v>438</v>
      </c>
    </row>
    <row r="287" spans="1:6" ht="14.25" customHeight="1" x14ac:dyDescent="0.2">
      <c r="A287" s="300" t="s">
        <v>439</v>
      </c>
      <c r="B287" s="41" t="s">
        <v>440</v>
      </c>
      <c r="C287" s="41" t="s">
        <v>441</v>
      </c>
      <c r="D287" s="42" t="s">
        <v>442</v>
      </c>
      <c r="E287" s="42" t="s">
        <v>442</v>
      </c>
    </row>
    <row r="288" spans="1:6" x14ac:dyDescent="0.2">
      <c r="A288" s="300"/>
      <c r="B288" s="41" t="s">
        <v>443</v>
      </c>
      <c r="C288" s="41" t="s">
        <v>441</v>
      </c>
      <c r="D288" s="42" t="s">
        <v>442</v>
      </c>
      <c r="E288" s="42" t="s">
        <v>442</v>
      </c>
    </row>
    <row r="289" spans="1:5" x14ac:dyDescent="0.2">
      <c r="A289" s="300"/>
      <c r="B289" s="41" t="s">
        <v>444</v>
      </c>
      <c r="C289" s="41" t="s">
        <v>441</v>
      </c>
      <c r="D289" s="42" t="s">
        <v>442</v>
      </c>
      <c r="E289" s="42" t="s">
        <v>442</v>
      </c>
    </row>
    <row r="290" spans="1:5" x14ac:dyDescent="0.2">
      <c r="A290" s="300"/>
      <c r="B290" s="41" t="s">
        <v>445</v>
      </c>
      <c r="C290" s="41" t="s">
        <v>441</v>
      </c>
      <c r="D290" s="42" t="s">
        <v>442</v>
      </c>
      <c r="E290" s="42" t="s">
        <v>442</v>
      </c>
    </row>
    <row r="291" spans="1:5" x14ac:dyDescent="0.2">
      <c r="A291" s="300"/>
      <c r="B291" s="41" t="s">
        <v>446</v>
      </c>
      <c r="C291" s="41" t="s">
        <v>441</v>
      </c>
      <c r="D291" s="42" t="s">
        <v>442</v>
      </c>
      <c r="E291" s="42" t="s">
        <v>442</v>
      </c>
    </row>
    <row r="292" spans="1:5" x14ac:dyDescent="0.2">
      <c r="A292" s="300"/>
      <c r="B292" s="41" t="s">
        <v>447</v>
      </c>
      <c r="C292" s="41" t="s">
        <v>441</v>
      </c>
      <c r="D292" s="42" t="s">
        <v>442</v>
      </c>
      <c r="E292" s="42" t="s">
        <v>442</v>
      </c>
    </row>
    <row r="293" spans="1:5" x14ac:dyDescent="0.2">
      <c r="A293" s="300"/>
      <c r="B293" s="41" t="s">
        <v>448</v>
      </c>
      <c r="C293" s="41" t="s">
        <v>441</v>
      </c>
      <c r="D293" s="42" t="s">
        <v>442</v>
      </c>
      <c r="E293" s="42" t="s">
        <v>442</v>
      </c>
    </row>
    <row r="294" spans="1:5" x14ac:dyDescent="0.2">
      <c r="A294" s="300"/>
      <c r="B294" s="41" t="s">
        <v>449</v>
      </c>
      <c r="C294" s="41" t="s">
        <v>441</v>
      </c>
      <c r="D294" s="42" t="s">
        <v>442</v>
      </c>
      <c r="E294" s="42" t="s">
        <v>442</v>
      </c>
    </row>
    <row r="295" spans="1:5" x14ac:dyDescent="0.2">
      <c r="A295" s="300"/>
      <c r="B295" s="41" t="s">
        <v>450</v>
      </c>
      <c r="C295" s="41" t="s">
        <v>441</v>
      </c>
      <c r="D295" s="42" t="s">
        <v>442</v>
      </c>
      <c r="E295" s="42" t="s">
        <v>442</v>
      </c>
    </row>
    <row r="296" spans="1:5" x14ac:dyDescent="0.2">
      <c r="A296" s="300"/>
      <c r="B296" s="41" t="s">
        <v>451</v>
      </c>
      <c r="C296" s="41" t="s">
        <v>441</v>
      </c>
      <c r="D296" s="42" t="s">
        <v>442</v>
      </c>
      <c r="E296" s="42" t="s">
        <v>442</v>
      </c>
    </row>
    <row r="297" spans="1:5" x14ac:dyDescent="0.2">
      <c r="A297" s="300"/>
      <c r="B297" s="41" t="s">
        <v>452</v>
      </c>
      <c r="C297" s="41" t="s">
        <v>441</v>
      </c>
      <c r="D297" s="42" t="s">
        <v>442</v>
      </c>
      <c r="E297" s="42" t="s">
        <v>442</v>
      </c>
    </row>
    <row r="298" spans="1:5" x14ac:dyDescent="0.2">
      <c r="A298" s="300"/>
      <c r="B298" s="41" t="s">
        <v>453</v>
      </c>
      <c r="C298" s="41" t="s">
        <v>441</v>
      </c>
      <c r="D298" s="42" t="s">
        <v>442</v>
      </c>
      <c r="E298" s="42" t="s">
        <v>442</v>
      </c>
    </row>
    <row r="299" spans="1:5" x14ac:dyDescent="0.2">
      <c r="A299" s="300"/>
      <c r="B299" s="41" t="s">
        <v>454</v>
      </c>
      <c r="C299" s="41" t="s">
        <v>441</v>
      </c>
      <c r="D299" s="42" t="s">
        <v>442</v>
      </c>
      <c r="E299" s="42" t="s">
        <v>442</v>
      </c>
    </row>
    <row r="300" spans="1:5" x14ac:dyDescent="0.2">
      <c r="A300" s="300"/>
      <c r="B300" s="41" t="s">
        <v>455</v>
      </c>
      <c r="C300" s="41" t="s">
        <v>441</v>
      </c>
      <c r="D300" s="42" t="s">
        <v>442</v>
      </c>
      <c r="E300" s="42" t="s">
        <v>442</v>
      </c>
    </row>
    <row r="301" spans="1:5" x14ac:dyDescent="0.2">
      <c r="A301" s="300"/>
      <c r="B301" s="41" t="s">
        <v>456</v>
      </c>
      <c r="C301" s="41" t="s">
        <v>441</v>
      </c>
      <c r="D301" s="42" t="s">
        <v>442</v>
      </c>
      <c r="E301" s="42" t="s">
        <v>442</v>
      </c>
    </row>
    <row r="302" spans="1:5" x14ac:dyDescent="0.2">
      <c r="A302" s="300"/>
      <c r="B302" s="41" t="s">
        <v>457</v>
      </c>
      <c r="C302" s="41" t="s">
        <v>441</v>
      </c>
      <c r="D302" s="42" t="s">
        <v>442</v>
      </c>
      <c r="E302" s="42" t="s">
        <v>442</v>
      </c>
    </row>
    <row r="303" spans="1:5" x14ac:dyDescent="0.2">
      <c r="A303" s="300"/>
      <c r="B303" s="41" t="s">
        <v>458</v>
      </c>
      <c r="C303" s="41" t="s">
        <v>441</v>
      </c>
      <c r="D303" s="42" t="s">
        <v>442</v>
      </c>
      <c r="E303" s="42" t="s">
        <v>442</v>
      </c>
    </row>
    <row r="304" spans="1:5" x14ac:dyDescent="0.2">
      <c r="A304" s="300"/>
      <c r="B304" s="41" t="s">
        <v>459</v>
      </c>
      <c r="C304" s="41" t="s">
        <v>441</v>
      </c>
      <c r="D304" s="42" t="s">
        <v>442</v>
      </c>
      <c r="E304" s="42" t="s">
        <v>442</v>
      </c>
    </row>
    <row r="305" spans="1:6" x14ac:dyDescent="0.2">
      <c r="A305" s="300"/>
      <c r="B305" s="41" t="s">
        <v>460</v>
      </c>
      <c r="C305" s="41" t="s">
        <v>441</v>
      </c>
      <c r="D305" s="42" t="s">
        <v>442</v>
      </c>
      <c r="E305" s="42" t="s">
        <v>442</v>
      </c>
    </row>
    <row r="306" spans="1:6" x14ac:dyDescent="0.2">
      <c r="A306" s="55" t="s">
        <v>461</v>
      </c>
      <c r="B306" s="55"/>
      <c r="C306" s="41" t="s">
        <v>441</v>
      </c>
      <c r="D306" s="76"/>
    </row>
    <row r="307" spans="1:6" x14ac:dyDescent="0.2">
      <c r="A307" s="31" t="s">
        <v>462</v>
      </c>
      <c r="B307" s="35" t="s">
        <v>463</v>
      </c>
      <c r="C307" s="38" t="s">
        <v>464</v>
      </c>
      <c r="D307" s="31" t="s">
        <v>465</v>
      </c>
      <c r="E307" s="41" t="s">
        <v>423</v>
      </c>
      <c r="F307" s="38" t="s">
        <v>466</v>
      </c>
    </row>
    <row r="308" spans="1:6" x14ac:dyDescent="0.2">
      <c r="A308" s="31" t="s">
        <v>467</v>
      </c>
      <c r="B308" s="35" t="s">
        <v>463</v>
      </c>
      <c r="C308" s="38" t="s">
        <v>468</v>
      </c>
      <c r="D308" s="31" t="s">
        <v>469</v>
      </c>
      <c r="E308" s="41" t="s">
        <v>423</v>
      </c>
      <c r="F308" s="38" t="s">
        <v>470</v>
      </c>
    </row>
    <row r="315" spans="1:6" s="76" customFormat="1" x14ac:dyDescent="0.2">
      <c r="A315" s="167" t="s">
        <v>471</v>
      </c>
    </row>
    <row r="316" spans="1:6" s="76" customFormat="1" x14ac:dyDescent="0.2">
      <c r="A316" s="76" t="s">
        <v>472</v>
      </c>
    </row>
    <row r="317" spans="1:6" ht="14.25" customHeight="1" x14ac:dyDescent="0.2">
      <c r="A317" s="301" t="s">
        <v>473</v>
      </c>
      <c r="B317" s="302" t="s">
        <v>474</v>
      </c>
      <c r="C317" s="302"/>
      <c r="D317" s="303" t="s">
        <v>175</v>
      </c>
    </row>
    <row r="318" spans="1:6" x14ac:dyDescent="0.2">
      <c r="A318" s="301"/>
      <c r="B318" s="304" t="s">
        <v>475</v>
      </c>
      <c r="C318" s="304"/>
      <c r="D318" s="303"/>
    </row>
    <row r="319" spans="1:6" x14ac:dyDescent="0.2">
      <c r="A319" s="301"/>
      <c r="B319" s="302" t="s">
        <v>476</v>
      </c>
      <c r="C319" s="302"/>
      <c r="D319" s="303"/>
      <c r="E319" s="31" t="s">
        <v>477</v>
      </c>
      <c r="F319" s="38" t="s">
        <v>478</v>
      </c>
    </row>
    <row r="320" spans="1:6" s="76" customFormat="1" x14ac:dyDescent="0.2">
      <c r="A320" s="76" t="s">
        <v>479</v>
      </c>
    </row>
    <row r="321" spans="1:6" ht="14.25" customHeight="1" x14ac:dyDescent="0.2">
      <c r="A321" s="301" t="s">
        <v>480</v>
      </c>
      <c r="B321" s="302" t="s">
        <v>481</v>
      </c>
      <c r="C321" s="302"/>
      <c r="D321" s="303" t="s">
        <v>175</v>
      </c>
    </row>
    <row r="322" spans="1:6" x14ac:dyDescent="0.2">
      <c r="A322" s="301"/>
      <c r="B322" s="304" t="s">
        <v>482</v>
      </c>
      <c r="C322" s="304"/>
      <c r="D322" s="303"/>
    </row>
    <row r="323" spans="1:6" x14ac:dyDescent="0.2">
      <c r="A323" s="301"/>
      <c r="B323" s="302" t="s">
        <v>483</v>
      </c>
      <c r="C323" s="302"/>
      <c r="D323" s="303"/>
      <c r="E323" s="31" t="s">
        <v>484</v>
      </c>
      <c r="F323" s="38" t="s">
        <v>478</v>
      </c>
    </row>
    <row r="324" spans="1:6" s="76" customFormat="1" x14ac:dyDescent="0.2">
      <c r="A324" s="76" t="s">
        <v>485</v>
      </c>
    </row>
    <row r="325" spans="1:6" ht="14.25" customHeight="1" x14ac:dyDescent="0.2">
      <c r="A325" s="301" t="s">
        <v>486</v>
      </c>
      <c r="B325" s="302" t="s">
        <v>474</v>
      </c>
      <c r="C325" s="302"/>
      <c r="D325" s="303" t="s">
        <v>175</v>
      </c>
    </row>
    <row r="326" spans="1:6" x14ac:dyDescent="0.2">
      <c r="A326" s="301"/>
      <c r="B326" s="304" t="s">
        <v>487</v>
      </c>
      <c r="C326" s="304"/>
      <c r="D326" s="303"/>
    </row>
    <row r="327" spans="1:6" x14ac:dyDescent="0.2">
      <c r="A327" s="301"/>
      <c r="B327" s="302" t="s">
        <v>488</v>
      </c>
      <c r="C327" s="302"/>
      <c r="D327" s="303"/>
      <c r="E327" s="31" t="s">
        <v>489</v>
      </c>
      <c r="F327" s="38" t="s">
        <v>478</v>
      </c>
    </row>
  </sheetData>
  <mergeCells count="164">
    <mergeCell ref="A321:A323"/>
    <mergeCell ref="B321:C321"/>
    <mergeCell ref="D321:D323"/>
    <mergeCell ref="B322:C322"/>
    <mergeCell ref="B323:C323"/>
    <mergeCell ref="A325:A327"/>
    <mergeCell ref="B325:C325"/>
    <mergeCell ref="D325:D327"/>
    <mergeCell ref="B326:C326"/>
    <mergeCell ref="B327:C327"/>
    <mergeCell ref="A255:D255"/>
    <mergeCell ref="E255:F255"/>
    <mergeCell ref="A257:A259"/>
    <mergeCell ref="C257:C259"/>
    <mergeCell ref="D257:D259"/>
    <mergeCell ref="F257:F259"/>
    <mergeCell ref="A283:C283"/>
    <mergeCell ref="A287:A305"/>
    <mergeCell ref="A317:A319"/>
    <mergeCell ref="B317:C317"/>
    <mergeCell ref="D317:D319"/>
    <mergeCell ref="B318:C318"/>
    <mergeCell ref="B319:C319"/>
    <mergeCell ref="EG245:EK245"/>
    <mergeCell ref="EL245:EP245"/>
    <mergeCell ref="EQ245:EU245"/>
    <mergeCell ref="EV245:EZ245"/>
    <mergeCell ref="FA245:FE245"/>
    <mergeCell ref="FF245:FJ245"/>
    <mergeCell ref="FK245:FO245"/>
    <mergeCell ref="FP245:FT245"/>
    <mergeCell ref="FU245:FY245"/>
    <mergeCell ref="CN245:CR245"/>
    <mergeCell ref="CS245:CW245"/>
    <mergeCell ref="CX245:DB245"/>
    <mergeCell ref="DC245:DG245"/>
    <mergeCell ref="DH245:DJ245"/>
    <mergeCell ref="DM245:DQ245"/>
    <mergeCell ref="DR245:DV245"/>
    <mergeCell ref="DW245:EA245"/>
    <mergeCell ref="EB245:EF245"/>
    <mergeCell ref="AU245:AY245"/>
    <mergeCell ref="AZ245:BD245"/>
    <mergeCell ref="BE245:BI245"/>
    <mergeCell ref="BJ245:BN245"/>
    <mergeCell ref="BO245:BS245"/>
    <mergeCell ref="BT245:BX245"/>
    <mergeCell ref="BY245:CC245"/>
    <mergeCell ref="CD245:CH245"/>
    <mergeCell ref="CI245:CM245"/>
    <mergeCell ref="B245:F245"/>
    <mergeCell ref="G245:K245"/>
    <mergeCell ref="L245:P245"/>
    <mergeCell ref="Q245:U245"/>
    <mergeCell ref="V245:Z245"/>
    <mergeCell ref="AA245:AE245"/>
    <mergeCell ref="AF245:AJ245"/>
    <mergeCell ref="AK245:AO245"/>
    <mergeCell ref="AP245:AT245"/>
    <mergeCell ref="FA207:FE207"/>
    <mergeCell ref="FF207:FJ207"/>
    <mergeCell ref="FK207:FO207"/>
    <mergeCell ref="FP207:FT207"/>
    <mergeCell ref="FU207:FW207"/>
    <mergeCell ref="B224:F224"/>
    <mergeCell ref="G224:K224"/>
    <mergeCell ref="A241:A242"/>
    <mergeCell ref="C241:C242"/>
    <mergeCell ref="DH207:DJ207"/>
    <mergeCell ref="DM207:DQ207"/>
    <mergeCell ref="DR207:DV207"/>
    <mergeCell ref="DW207:EA207"/>
    <mergeCell ref="EB207:EF207"/>
    <mergeCell ref="EG207:EK207"/>
    <mergeCell ref="EL207:EP207"/>
    <mergeCell ref="EQ207:EU207"/>
    <mergeCell ref="EV207:EZ207"/>
    <mergeCell ref="BO207:BS207"/>
    <mergeCell ref="BT207:BX207"/>
    <mergeCell ref="BY207:CC207"/>
    <mergeCell ref="CD207:CH207"/>
    <mergeCell ref="CI207:CM207"/>
    <mergeCell ref="CN207:CR207"/>
    <mergeCell ref="CS207:CW207"/>
    <mergeCell ref="CX207:DB207"/>
    <mergeCell ref="DC207:DG207"/>
    <mergeCell ref="V207:Z207"/>
    <mergeCell ref="AA207:AE207"/>
    <mergeCell ref="AF207:AJ207"/>
    <mergeCell ref="AK207:AO207"/>
    <mergeCell ref="AP207:AT207"/>
    <mergeCell ref="AU207:AY207"/>
    <mergeCell ref="AZ207:BD207"/>
    <mergeCell ref="BE207:BI207"/>
    <mergeCell ref="BJ207:BN207"/>
    <mergeCell ref="A130:A131"/>
    <mergeCell ref="A194:E194"/>
    <mergeCell ref="A195:A197"/>
    <mergeCell ref="C195:C197"/>
    <mergeCell ref="A198:C198"/>
    <mergeCell ref="B207:F207"/>
    <mergeCell ref="G207:K207"/>
    <mergeCell ref="L207:P207"/>
    <mergeCell ref="Q207:U207"/>
    <mergeCell ref="F122:G123"/>
    <mergeCell ref="A124:A125"/>
    <mergeCell ref="E124:E125"/>
    <mergeCell ref="F124:G125"/>
    <mergeCell ref="A126:A127"/>
    <mergeCell ref="D126:D129"/>
    <mergeCell ref="E126:E127"/>
    <mergeCell ref="F126:G127"/>
    <mergeCell ref="A128:A129"/>
    <mergeCell ref="E128:E129"/>
    <mergeCell ref="F128:G129"/>
    <mergeCell ref="A100:A103"/>
    <mergeCell ref="D100:D103"/>
    <mergeCell ref="A105:A108"/>
    <mergeCell ref="D105:D108"/>
    <mergeCell ref="A115:E115"/>
    <mergeCell ref="C116:E116"/>
    <mergeCell ref="C119:D119"/>
    <mergeCell ref="A122:A123"/>
    <mergeCell ref="D122:D125"/>
    <mergeCell ref="E122:E123"/>
    <mergeCell ref="A80:A82"/>
    <mergeCell ref="D80:D82"/>
    <mergeCell ref="A84:A87"/>
    <mergeCell ref="D84:D87"/>
    <mergeCell ref="A88:A91"/>
    <mergeCell ref="D88:D91"/>
    <mergeCell ref="A92:A95"/>
    <mergeCell ref="D92:D95"/>
    <mergeCell ref="A96:A98"/>
    <mergeCell ref="D96:D98"/>
    <mergeCell ref="J35:O35"/>
    <mergeCell ref="J36:O36"/>
    <mergeCell ref="J37:O37"/>
    <mergeCell ref="J38:O38"/>
    <mergeCell ref="A68:A71"/>
    <mergeCell ref="D68:D71"/>
    <mergeCell ref="A72:A75"/>
    <mergeCell ref="D72:D75"/>
    <mergeCell ref="A76:A79"/>
    <mergeCell ref="D76:D79"/>
    <mergeCell ref="A19:A22"/>
    <mergeCell ref="B19:C19"/>
    <mergeCell ref="D19:D22"/>
    <mergeCell ref="B20:C20"/>
    <mergeCell ref="B21:C21"/>
    <mergeCell ref="B22:C22"/>
    <mergeCell ref="J32:O32"/>
    <mergeCell ref="J33:O33"/>
    <mergeCell ref="J34:O34"/>
    <mergeCell ref="A4:A8"/>
    <mergeCell ref="B4:B8"/>
    <mergeCell ref="C5:C6"/>
    <mergeCell ref="D7:D8"/>
    <mergeCell ref="E7:E8"/>
    <mergeCell ref="A11:A15"/>
    <mergeCell ref="B11:B15"/>
    <mergeCell ref="C12:C13"/>
    <mergeCell ref="D14:D15"/>
    <mergeCell ref="E14:E15"/>
  </mergeCells>
  <dataValidations count="1">
    <dataValidation type="custom" allowBlank="1" showInputMessage="1" showErrorMessage="1" errorTitle="Error" error="Energy intensity per sector is selected" sqref="B227:K238" xr:uid="{00000000-0002-0000-0100-000000000000}">
      <formula1>#REF!=0</formula1>
      <formula2>0</formula2>
    </dataValidation>
  </dataValidations>
  <pageMargins left="0.7" right="0.7" top="0.75" bottom="0.75"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AY428"/>
  <sheetViews>
    <sheetView topLeftCell="I1" zoomScale="120" zoomScaleNormal="120" workbookViewId="0">
      <selection activeCell="I10" sqref="I10"/>
    </sheetView>
  </sheetViews>
  <sheetFormatPr baseColWidth="10" defaultColWidth="11.5" defaultRowHeight="15" x14ac:dyDescent="0.2"/>
  <cols>
    <col min="1" max="1" width="48.6640625" customWidth="1"/>
    <col min="2" max="2" width="50" customWidth="1"/>
    <col min="3" max="3" width="59.83203125" customWidth="1"/>
    <col min="4" max="4" width="55.83203125" customWidth="1"/>
    <col min="5" max="5" width="49.33203125" customWidth="1"/>
    <col min="6" max="6" width="30.83203125" customWidth="1"/>
    <col min="7" max="7" width="34.33203125" customWidth="1"/>
    <col min="8" max="8" width="32.5" customWidth="1"/>
    <col min="9" max="9" width="21.83203125" customWidth="1"/>
    <col min="10" max="10" width="29" customWidth="1"/>
    <col min="12" max="12" width="35.5" customWidth="1"/>
    <col min="18" max="18" width="12.5" customWidth="1"/>
  </cols>
  <sheetData>
    <row r="1" spans="1:38" ht="31" x14ac:dyDescent="0.35">
      <c r="A1" s="305" t="s">
        <v>490</v>
      </c>
      <c r="B1" s="305"/>
      <c r="C1" s="305"/>
      <c r="E1" s="172"/>
    </row>
    <row r="2" spans="1:38" ht="26" x14ac:dyDescent="0.3">
      <c r="A2" s="173" t="s">
        <v>491</v>
      </c>
    </row>
    <row r="3" spans="1:38" ht="19" x14ac:dyDescent="0.25">
      <c r="A3" s="306" t="s">
        <v>48</v>
      </c>
      <c r="B3" s="306"/>
      <c r="C3" s="306"/>
      <c r="D3" s="306"/>
      <c r="E3" s="306"/>
      <c r="F3" s="306"/>
      <c r="G3" s="306"/>
      <c r="H3" s="306"/>
      <c r="I3" s="306"/>
      <c r="J3" s="306"/>
      <c r="K3" s="306"/>
      <c r="L3" s="306"/>
      <c r="M3" s="306"/>
      <c r="N3" s="306"/>
      <c r="O3" s="306"/>
      <c r="P3" s="306"/>
      <c r="Q3" s="306"/>
      <c r="R3" s="306"/>
      <c r="S3" s="306"/>
      <c r="T3" s="306"/>
      <c r="U3" s="306"/>
      <c r="V3" s="306"/>
      <c r="W3" s="306"/>
      <c r="X3" s="306"/>
      <c r="Y3" s="306"/>
      <c r="Z3" s="306"/>
      <c r="AA3" s="306"/>
      <c r="AB3" s="306"/>
      <c r="AC3" s="306"/>
      <c r="AD3" s="306"/>
      <c r="AE3" s="306"/>
      <c r="AF3" s="306"/>
      <c r="AG3" s="306"/>
      <c r="AH3" s="306"/>
      <c r="AI3" s="306"/>
      <c r="AJ3" s="306"/>
      <c r="AK3" s="306"/>
      <c r="AL3" s="306"/>
    </row>
    <row r="4" spans="1:38" x14ac:dyDescent="0.2">
      <c r="A4" s="307" t="s">
        <v>492</v>
      </c>
      <c r="B4" s="174" t="s">
        <v>36</v>
      </c>
      <c r="C4" s="175">
        <v>2015</v>
      </c>
      <c r="D4" s="175">
        <v>2016</v>
      </c>
      <c r="E4" s="175">
        <v>2017</v>
      </c>
      <c r="F4" s="175">
        <v>2018</v>
      </c>
      <c r="G4" s="175">
        <v>2019</v>
      </c>
      <c r="H4" s="175">
        <v>2020</v>
      </c>
      <c r="I4" s="175">
        <v>2021</v>
      </c>
      <c r="J4" s="175">
        <v>2022</v>
      </c>
      <c r="K4" s="175">
        <v>2023</v>
      </c>
      <c r="L4" s="175">
        <v>2024</v>
      </c>
      <c r="M4" s="175">
        <v>2025</v>
      </c>
      <c r="N4" s="175">
        <v>2026</v>
      </c>
      <c r="O4" s="175">
        <v>2027</v>
      </c>
      <c r="P4" s="175">
        <v>2028</v>
      </c>
      <c r="Q4" s="175">
        <v>2029</v>
      </c>
      <c r="R4" s="175">
        <v>2030</v>
      </c>
      <c r="S4" s="175">
        <v>2031</v>
      </c>
      <c r="T4" s="175">
        <v>2032</v>
      </c>
      <c r="U4" s="175">
        <v>2033</v>
      </c>
      <c r="V4" s="175">
        <v>2034</v>
      </c>
      <c r="W4" s="175">
        <v>2035</v>
      </c>
      <c r="X4" s="175">
        <v>2036</v>
      </c>
      <c r="Y4" s="175">
        <v>2037</v>
      </c>
      <c r="Z4" s="175">
        <v>2038</v>
      </c>
      <c r="AA4" s="175">
        <v>2039</v>
      </c>
      <c r="AB4" s="175">
        <v>2040</v>
      </c>
      <c r="AC4" s="175">
        <v>2041</v>
      </c>
      <c r="AD4" s="175">
        <v>2042</v>
      </c>
      <c r="AE4" s="175">
        <v>2043</v>
      </c>
      <c r="AF4" s="175">
        <v>2044</v>
      </c>
      <c r="AG4" s="175">
        <v>2045</v>
      </c>
      <c r="AH4" s="175">
        <v>2046</v>
      </c>
      <c r="AI4" s="175">
        <v>2047</v>
      </c>
      <c r="AJ4" s="175">
        <v>2048</v>
      </c>
      <c r="AK4" s="175">
        <v>2049</v>
      </c>
      <c r="AL4" s="176">
        <v>2050</v>
      </c>
    </row>
    <row r="5" spans="1:38" x14ac:dyDescent="0.2">
      <c r="A5" s="307"/>
      <c r="B5" s="177" t="s">
        <v>327</v>
      </c>
      <c r="C5" s="178">
        <v>2.5605205737137698E-3</v>
      </c>
      <c r="D5" s="178">
        <v>1.6447737079370701E-3</v>
      </c>
      <c r="E5" s="178">
        <v>1.51307498277967E-3</v>
      </c>
      <c r="F5" s="178">
        <v>7.8600464849444801E-4</v>
      </c>
      <c r="G5" s="178">
        <v>2.0735253829536901E-3</v>
      </c>
      <c r="H5" s="178">
        <v>1.1197581933498301E-3</v>
      </c>
      <c r="I5" s="178">
        <v>1.0102343246814901E-3</v>
      </c>
      <c r="J5" s="178">
        <v>7.23278764901663E-4</v>
      </c>
      <c r="K5" s="178">
        <v>4.3814907632701798E-4</v>
      </c>
      <c r="L5" s="178">
        <v>1.5694308012419601E-4</v>
      </c>
      <c r="M5" s="178">
        <v>8.0812903065836396E-5</v>
      </c>
      <c r="N5" s="178">
        <v>-4.96513310373826E-6</v>
      </c>
      <c r="O5" s="178">
        <v>-8.4116137412432594E-5</v>
      </c>
      <c r="P5" s="178">
        <v>-1.5725806043268001E-4</v>
      </c>
      <c r="Q5" s="178">
        <v>-2.2503538278523399E-4</v>
      </c>
      <c r="R5" s="178">
        <v>-2.8725628045343798E-4</v>
      </c>
      <c r="S5" s="178">
        <v>-3.4470279649563503E-4</v>
      </c>
      <c r="T5" s="178">
        <v>-3.9849583351838101E-4</v>
      </c>
      <c r="U5" s="178">
        <v>-4.4944828773349499E-4</v>
      </c>
      <c r="V5" s="178">
        <v>-4.9870075927057798E-4</v>
      </c>
      <c r="W5" s="178">
        <v>-5.4787942276427002E-4</v>
      </c>
      <c r="X5" s="178">
        <v>-5.9934629868387999E-4</v>
      </c>
      <c r="Y5" s="178">
        <v>-6.5506180761588798E-4</v>
      </c>
      <c r="Z5" s="178">
        <v>-7.1663422556957003E-4</v>
      </c>
      <c r="AA5" s="178">
        <v>-7.8456175389188905E-4</v>
      </c>
      <c r="AB5" s="178">
        <v>-8.5834541432437E-4</v>
      </c>
      <c r="AC5" s="178">
        <v>-9.3719936680439404E-4</v>
      </c>
      <c r="AD5" s="178">
        <v>-1.02080696975936E-3</v>
      </c>
      <c r="AE5" s="178">
        <v>-1.1079290629821101E-3</v>
      </c>
      <c r="AF5" s="178">
        <v>-1.1969211368621101E-3</v>
      </c>
      <c r="AG5" s="178">
        <v>-1.2867750672432301E-3</v>
      </c>
      <c r="AH5" s="178">
        <v>-1.37815371196277E-3</v>
      </c>
      <c r="AI5" s="178">
        <v>-1.4683932603586801E-3</v>
      </c>
      <c r="AJ5" s="178">
        <v>-1.5571676008297201E-3</v>
      </c>
      <c r="AK5" s="178">
        <v>-1.64449759391597E-3</v>
      </c>
      <c r="AL5" s="179">
        <v>-1.4775836907711399E-3</v>
      </c>
    </row>
    <row r="7" spans="1:38" ht="19" x14ac:dyDescent="0.25">
      <c r="A7" s="306" t="s">
        <v>26</v>
      </c>
      <c r="B7" s="306"/>
      <c r="C7" s="306"/>
      <c r="D7" s="306"/>
      <c r="E7" s="306"/>
      <c r="F7" s="306"/>
      <c r="G7" s="306"/>
      <c r="H7" s="306"/>
      <c r="I7" s="306"/>
      <c r="J7" s="306"/>
      <c r="K7" s="306"/>
      <c r="L7" s="306"/>
      <c r="M7" s="306"/>
      <c r="N7" s="306"/>
      <c r="O7" s="306"/>
      <c r="P7" s="306"/>
      <c r="Q7" s="306"/>
      <c r="R7" s="306"/>
      <c r="S7" s="306"/>
      <c r="T7" s="306"/>
      <c r="U7" s="306"/>
      <c r="V7" s="306"/>
      <c r="W7" s="306"/>
      <c r="X7" s="306"/>
      <c r="Y7" s="306"/>
      <c r="Z7" s="306"/>
      <c r="AA7" s="306"/>
      <c r="AB7" s="306"/>
      <c r="AC7" s="306"/>
      <c r="AD7" s="306"/>
      <c r="AE7" s="306"/>
      <c r="AF7" s="306"/>
      <c r="AG7" s="306"/>
      <c r="AH7" s="306"/>
      <c r="AI7" s="306"/>
      <c r="AJ7" s="306"/>
      <c r="AK7" s="306"/>
      <c r="AL7" s="306"/>
    </row>
    <row r="8" spans="1:38" x14ac:dyDescent="0.2">
      <c r="A8" s="180" t="s">
        <v>493</v>
      </c>
      <c r="B8" s="174" t="s">
        <v>28</v>
      </c>
      <c r="C8" s="175">
        <v>0.47359219000000002</v>
      </c>
      <c r="D8" s="181" t="s">
        <v>494</v>
      </c>
      <c r="E8" s="174" t="s">
        <v>28</v>
      </c>
      <c r="F8" s="175">
        <v>0.40700950000000002</v>
      </c>
      <c r="G8" s="308"/>
      <c r="H8" s="308"/>
      <c r="I8" s="308"/>
      <c r="J8" s="308"/>
      <c r="K8" s="308"/>
      <c r="L8" s="308"/>
      <c r="M8" s="308"/>
      <c r="N8" s="308"/>
      <c r="O8" s="308"/>
      <c r="P8" s="308"/>
      <c r="Q8" s="308"/>
      <c r="R8" s="308"/>
      <c r="S8" s="308"/>
      <c r="T8" s="308"/>
      <c r="U8" s="308"/>
      <c r="V8" s="308"/>
      <c r="W8" s="308"/>
      <c r="X8" s="308"/>
      <c r="Y8" s="308"/>
      <c r="Z8" s="308"/>
      <c r="AA8" s="308"/>
      <c r="AB8" s="308"/>
      <c r="AC8" s="308"/>
      <c r="AD8" s="308"/>
      <c r="AE8" s="308"/>
      <c r="AF8" s="308"/>
      <c r="AG8" s="308"/>
      <c r="AH8" s="308"/>
      <c r="AI8" s="308"/>
      <c r="AJ8" s="308"/>
      <c r="AK8" s="308"/>
      <c r="AL8" s="308"/>
    </row>
    <row r="9" spans="1:38" x14ac:dyDescent="0.2">
      <c r="A9" s="307" t="s">
        <v>495</v>
      </c>
      <c r="B9" s="174" t="s">
        <v>36</v>
      </c>
      <c r="C9" s="175">
        <v>2015</v>
      </c>
      <c r="D9" s="175">
        <v>2016</v>
      </c>
      <c r="E9" s="175">
        <v>2017</v>
      </c>
      <c r="F9" s="175">
        <v>2018</v>
      </c>
      <c r="G9" s="175">
        <v>2019</v>
      </c>
      <c r="H9" s="175">
        <v>2020</v>
      </c>
      <c r="I9" s="175">
        <v>2021</v>
      </c>
      <c r="J9" s="175">
        <v>2022</v>
      </c>
      <c r="K9" s="175">
        <v>2023</v>
      </c>
      <c r="L9" s="175">
        <v>2024</v>
      </c>
      <c r="M9" s="175">
        <v>2025</v>
      </c>
      <c r="N9" s="175">
        <v>2026</v>
      </c>
      <c r="O9" s="175">
        <v>2027</v>
      </c>
      <c r="P9" s="175">
        <v>2028</v>
      </c>
      <c r="Q9" s="175">
        <v>2029</v>
      </c>
      <c r="R9" s="175">
        <v>2030</v>
      </c>
      <c r="S9" s="175">
        <v>2031</v>
      </c>
      <c r="T9" s="175">
        <v>2032</v>
      </c>
      <c r="U9" s="175">
        <v>2033</v>
      </c>
      <c r="V9" s="175">
        <v>2034</v>
      </c>
      <c r="W9" s="175">
        <v>2035</v>
      </c>
      <c r="X9" s="175">
        <v>2036</v>
      </c>
      <c r="Y9" s="175">
        <v>2037</v>
      </c>
      <c r="Z9" s="175">
        <v>2038</v>
      </c>
      <c r="AA9" s="175">
        <v>2039</v>
      </c>
      <c r="AB9" s="175">
        <v>2040</v>
      </c>
      <c r="AC9" s="175">
        <v>2041</v>
      </c>
      <c r="AD9" s="175">
        <v>2042</v>
      </c>
      <c r="AE9" s="175">
        <v>2043</v>
      </c>
      <c r="AF9" s="175">
        <v>2044</v>
      </c>
      <c r="AG9" s="175">
        <v>2045</v>
      </c>
      <c r="AH9" s="175">
        <v>2046</v>
      </c>
      <c r="AI9" s="175">
        <v>2047</v>
      </c>
      <c r="AJ9" s="175">
        <v>2048</v>
      </c>
      <c r="AK9" s="175">
        <v>2049</v>
      </c>
      <c r="AL9" s="176">
        <v>2050</v>
      </c>
    </row>
    <row r="10" spans="1:38" x14ac:dyDescent="0.2">
      <c r="A10" s="307"/>
      <c r="B10" s="177" t="s">
        <v>327</v>
      </c>
      <c r="C10" s="178">
        <v>3.4236267870579401E-2</v>
      </c>
      <c r="D10" s="178">
        <v>2.54638050200073E-2</v>
      </c>
      <c r="E10" s="178">
        <v>4.0085136573252897E-2</v>
      </c>
      <c r="F10" s="178">
        <v>3.2742155525238702E-2</v>
      </c>
      <c r="G10" s="178">
        <v>3.3685601056803197E-2</v>
      </c>
      <c r="H10" s="178">
        <v>-4.1533546325878599E-2</v>
      </c>
      <c r="I10" s="178">
        <v>7.9333333333333297E-2</v>
      </c>
      <c r="J10" s="178">
        <v>3.5000000000000003E-2</v>
      </c>
      <c r="K10" s="178">
        <v>2.8118447301916299E-2</v>
      </c>
      <c r="L10" s="178">
        <v>2.7349423965407099E-2</v>
      </c>
      <c r="M10" s="178">
        <v>1.14814377510482E-2</v>
      </c>
      <c r="N10" s="178"/>
      <c r="O10" s="178"/>
      <c r="P10" s="178"/>
      <c r="Q10" s="178"/>
      <c r="R10" s="178">
        <v>1.1217229240813E-2</v>
      </c>
      <c r="S10" s="178"/>
      <c r="T10" s="178"/>
      <c r="U10" s="178"/>
      <c r="V10" s="178"/>
      <c r="W10" s="178">
        <v>1.37073065541908E-2</v>
      </c>
      <c r="X10" s="178"/>
      <c r="Y10" s="178"/>
      <c r="Z10" s="178"/>
      <c r="AA10" s="178"/>
      <c r="AB10" s="178">
        <v>1.5308588053106101E-2</v>
      </c>
      <c r="AC10" s="178"/>
      <c r="AD10" s="178"/>
      <c r="AE10" s="178"/>
      <c r="AF10" s="178"/>
      <c r="AG10" s="178">
        <v>1.5501328315761001E-2</v>
      </c>
      <c r="AH10" s="178"/>
      <c r="AI10" s="178"/>
      <c r="AJ10" s="178"/>
      <c r="AK10" s="178"/>
      <c r="AL10" s="178">
        <v>1.5709293153870901E-2</v>
      </c>
    </row>
    <row r="13" spans="1:38" ht="26" x14ac:dyDescent="0.3">
      <c r="A13" s="173" t="s">
        <v>496</v>
      </c>
    </row>
    <row r="14" spans="1:38" ht="19" x14ac:dyDescent="0.25">
      <c r="A14" s="306" t="s">
        <v>94</v>
      </c>
      <c r="B14" s="306"/>
      <c r="C14" s="306"/>
      <c r="D14" s="306"/>
      <c r="E14" s="306"/>
      <c r="F14" s="306"/>
      <c r="G14" s="306"/>
      <c r="H14" s="306"/>
      <c r="I14" s="306"/>
    </row>
    <row r="15" spans="1:38" x14ac:dyDescent="0.2">
      <c r="A15" s="182" t="s">
        <v>497</v>
      </c>
      <c r="B15" s="174" t="s">
        <v>36</v>
      </c>
      <c r="C15" s="175">
        <v>2020</v>
      </c>
      <c r="D15" s="175">
        <v>2025</v>
      </c>
      <c r="E15" s="175">
        <v>2030</v>
      </c>
      <c r="F15" s="175">
        <v>2035</v>
      </c>
      <c r="G15" s="175">
        <v>2040</v>
      </c>
      <c r="H15" s="175">
        <v>2045</v>
      </c>
      <c r="I15" s="176">
        <v>2050</v>
      </c>
      <c r="J15" s="84"/>
      <c r="K15" s="84"/>
      <c r="L15" s="84"/>
    </row>
    <row r="16" spans="1:38" x14ac:dyDescent="0.2">
      <c r="A16" s="182" t="s">
        <v>498</v>
      </c>
      <c r="B16" s="174" t="s">
        <v>499</v>
      </c>
      <c r="C16" s="183">
        <v>0.117609721833719</v>
      </c>
      <c r="D16" s="183">
        <v>0.12666478100790801</v>
      </c>
      <c r="E16" s="183">
        <v>0.12680502831330001</v>
      </c>
      <c r="F16" s="183">
        <v>0.135126859489025</v>
      </c>
      <c r="G16" s="183">
        <v>0.140282729162163</v>
      </c>
      <c r="H16" s="183">
        <v>0.14691683230125099</v>
      </c>
      <c r="I16" s="184">
        <v>0.148630915135189</v>
      </c>
      <c r="J16" s="84"/>
      <c r="K16" s="149"/>
      <c r="L16" s="84"/>
    </row>
    <row r="17" spans="1:17" x14ac:dyDescent="0.2">
      <c r="A17" s="182" t="s">
        <v>500</v>
      </c>
      <c r="B17" s="174" t="s">
        <v>499</v>
      </c>
      <c r="C17" s="183">
        <v>8.7847399999999996E-4</v>
      </c>
      <c r="D17" s="183">
        <v>1.1023999999999999E-3</v>
      </c>
      <c r="E17" s="183">
        <v>1.1333999999999999E-3</v>
      </c>
      <c r="F17" s="183">
        <v>2.0084823873528601E-3</v>
      </c>
      <c r="G17" s="183">
        <v>2.5763285102633998E-3</v>
      </c>
      <c r="H17" s="183">
        <v>2.9849759175701899E-3</v>
      </c>
      <c r="I17" s="184">
        <v>3.39362332487698E-3</v>
      </c>
      <c r="J17" s="84"/>
      <c r="K17" s="84"/>
      <c r="L17" s="84"/>
    </row>
    <row r="18" spans="1:17" x14ac:dyDescent="0.2">
      <c r="A18" s="182" t="s">
        <v>501</v>
      </c>
      <c r="B18" s="174" t="s">
        <v>499</v>
      </c>
      <c r="C18" s="183">
        <v>3.7452199999999998E-2</v>
      </c>
      <c r="D18" s="183">
        <v>4.3388000000000003E-2</v>
      </c>
      <c r="E18" s="183">
        <v>6.0691149999999999E-2</v>
      </c>
      <c r="F18" s="185">
        <v>8.9751650000000002E-2</v>
      </c>
      <c r="G18" s="185">
        <v>0.12725</v>
      </c>
      <c r="H18" s="185">
        <v>0.17690649999999999</v>
      </c>
      <c r="I18" s="184">
        <v>0.21185850000000001</v>
      </c>
      <c r="J18" s="84"/>
      <c r="K18" s="84"/>
      <c r="L18" s="84"/>
    </row>
    <row r="19" spans="1:17" x14ac:dyDescent="0.2">
      <c r="A19" s="182" t="s">
        <v>502</v>
      </c>
      <c r="B19" s="174" t="s">
        <v>499</v>
      </c>
      <c r="C19" s="183">
        <v>8.2990850000000003E-4</v>
      </c>
      <c r="D19" s="183">
        <v>4.4472499999999998E-3</v>
      </c>
      <c r="E19" s="183">
        <v>1.4096475000000001E-2</v>
      </c>
      <c r="F19" s="185">
        <v>2.5329250000000001E-2</v>
      </c>
      <c r="G19" s="185">
        <v>3.5816050000000002E-2</v>
      </c>
      <c r="H19" s="185">
        <v>4.635715E-2</v>
      </c>
      <c r="I19" s="184">
        <v>5.6209750000000003E-2</v>
      </c>
      <c r="J19" s="149"/>
      <c r="K19" s="84"/>
      <c r="L19" s="84"/>
    </row>
    <row r="20" spans="1:17" x14ac:dyDescent="0.2">
      <c r="A20" s="182" t="s">
        <v>503</v>
      </c>
      <c r="B20" s="174" t="s">
        <v>499</v>
      </c>
      <c r="C20" s="183">
        <v>0.14691412512684399</v>
      </c>
      <c r="D20" s="183">
        <v>0.25239406339701898</v>
      </c>
      <c r="E20" s="183">
        <v>0.35916242643610102</v>
      </c>
      <c r="F20" s="185">
        <v>0.52601522271031897</v>
      </c>
      <c r="G20" s="185">
        <v>0.67074123778229999</v>
      </c>
      <c r="H20" s="185">
        <v>0.89500098846317699</v>
      </c>
      <c r="I20" s="184">
        <v>1.0136221032222199</v>
      </c>
    </row>
    <row r="21" spans="1:17" x14ac:dyDescent="0.2">
      <c r="A21" s="182" t="s">
        <v>504</v>
      </c>
      <c r="B21" s="174" t="s">
        <v>499</v>
      </c>
      <c r="C21" s="183">
        <v>1.2102977262566801E-2</v>
      </c>
      <c r="D21" s="183">
        <v>2.9492097265481399E-2</v>
      </c>
      <c r="E21" s="183">
        <v>6.3893727199409098E-2</v>
      </c>
      <c r="F21" s="185">
        <v>0.105000218961605</v>
      </c>
      <c r="G21" s="185">
        <v>0.18685102234491399</v>
      </c>
      <c r="H21" s="185">
        <v>0.32496515717598701</v>
      </c>
      <c r="I21" s="184">
        <v>0.36298720878899499</v>
      </c>
      <c r="K21" s="84"/>
      <c r="L21" s="84"/>
    </row>
    <row r="22" spans="1:17" x14ac:dyDescent="0.2">
      <c r="A22" s="182" t="s">
        <v>505</v>
      </c>
      <c r="B22" s="174" t="s">
        <v>499</v>
      </c>
      <c r="C22" s="183">
        <v>0.125671151626567</v>
      </c>
      <c r="D22" s="183">
        <v>0.243542844662369</v>
      </c>
      <c r="E22" s="183">
        <v>0.38928583668669298</v>
      </c>
      <c r="F22" s="185">
        <v>0.54521201343152703</v>
      </c>
      <c r="G22" s="185">
        <v>0.75535138476672403</v>
      </c>
      <c r="H22" s="185">
        <v>0.97004701873674004</v>
      </c>
      <c r="I22" s="184">
        <v>1.1508685975069199</v>
      </c>
      <c r="K22" s="84"/>
      <c r="L22" s="84"/>
    </row>
    <row r="23" spans="1:17" x14ac:dyDescent="0.2">
      <c r="A23" s="182" t="s">
        <v>506</v>
      </c>
      <c r="B23" s="174" t="s">
        <v>499</v>
      </c>
      <c r="C23" s="183">
        <v>2.3287999999999998E-3</v>
      </c>
      <c r="D23" s="183">
        <v>4.9788000000000002E-3</v>
      </c>
      <c r="E23" s="183">
        <v>7.6287999999999998E-3</v>
      </c>
      <c r="F23" s="183">
        <v>9.2215999999999999E-3</v>
      </c>
      <c r="G23" s="183">
        <v>1.08144E-2</v>
      </c>
      <c r="H23" s="183">
        <v>1.24072E-2</v>
      </c>
      <c r="I23" s="186">
        <v>1.4E-2</v>
      </c>
    </row>
    <row r="24" spans="1:17" ht="15" customHeight="1" x14ac:dyDescent="0.2">
      <c r="A24" s="182" t="s">
        <v>507</v>
      </c>
      <c r="B24" s="174" t="s">
        <v>499</v>
      </c>
      <c r="C24" s="183">
        <v>4.4999999999999998E-2</v>
      </c>
      <c r="D24" s="183">
        <v>5.5E-2</v>
      </c>
      <c r="E24" s="183">
        <v>6.5000000000000002E-2</v>
      </c>
      <c r="F24" s="183">
        <v>6.5000000000000002E-2</v>
      </c>
      <c r="G24" s="183">
        <v>6.5000000000000002E-2</v>
      </c>
      <c r="H24" s="183">
        <v>6.5000000000000002E-2</v>
      </c>
      <c r="I24" s="184">
        <v>6.5000000000000002E-2</v>
      </c>
      <c r="J24" s="84"/>
      <c r="K24" s="84"/>
      <c r="L24" s="84"/>
    </row>
    <row r="25" spans="1:17" ht="15" customHeight="1" x14ac:dyDescent="0.2">
      <c r="A25" s="187" t="s">
        <v>508</v>
      </c>
      <c r="B25" s="177" t="s">
        <v>327</v>
      </c>
      <c r="C25" s="178">
        <v>0.1</v>
      </c>
      <c r="D25" s="178">
        <v>0.1</v>
      </c>
      <c r="E25" s="178">
        <v>0.09</v>
      </c>
      <c r="F25" s="178">
        <v>0.08</v>
      </c>
      <c r="G25" s="178">
        <v>7.0000000000000007E-2</v>
      </c>
      <c r="H25" s="178">
        <v>0.06</v>
      </c>
      <c r="I25" s="179">
        <v>0.05</v>
      </c>
      <c r="J25" s="84"/>
      <c r="K25" s="84"/>
      <c r="L25" s="84"/>
    </row>
    <row r="26" spans="1:17" ht="15" customHeight="1" x14ac:dyDescent="0.2">
      <c r="A26" s="187" t="s">
        <v>509</v>
      </c>
      <c r="B26" s="177" t="s">
        <v>327</v>
      </c>
      <c r="C26" s="188">
        <v>0.05</v>
      </c>
      <c r="D26" s="188">
        <v>0.05</v>
      </c>
      <c r="E26" s="188">
        <v>0.05</v>
      </c>
      <c r="F26" s="188">
        <v>0.05</v>
      </c>
      <c r="G26" s="188">
        <v>0.05</v>
      </c>
      <c r="H26" s="188">
        <v>4.4999999999999998E-2</v>
      </c>
      <c r="I26" s="188">
        <v>0.04</v>
      </c>
      <c r="J26" s="84"/>
      <c r="K26" s="84"/>
      <c r="L26" s="84"/>
    </row>
    <row r="27" spans="1:17" ht="19" x14ac:dyDescent="0.25">
      <c r="A27" s="306" t="s">
        <v>510</v>
      </c>
      <c r="B27" s="306"/>
      <c r="C27" s="306"/>
      <c r="D27" s="306"/>
      <c r="E27" s="306"/>
      <c r="F27" s="306"/>
      <c r="G27" s="306"/>
      <c r="H27" s="306"/>
      <c r="I27" s="306"/>
    </row>
    <row r="28" spans="1:17" x14ac:dyDescent="0.2">
      <c r="A28" s="189" t="s">
        <v>511</v>
      </c>
      <c r="B28" s="190" t="s">
        <v>146</v>
      </c>
      <c r="C28" s="191">
        <v>0</v>
      </c>
      <c r="D28" s="191">
        <v>0</v>
      </c>
      <c r="E28" s="191">
        <v>0</v>
      </c>
      <c r="F28" s="191">
        <v>0</v>
      </c>
      <c r="G28" s="191">
        <v>0</v>
      </c>
      <c r="H28" s="191">
        <v>0</v>
      </c>
      <c r="I28" s="191">
        <v>0</v>
      </c>
    </row>
    <row r="29" spans="1:17" x14ac:dyDescent="0.2">
      <c r="G29" s="192"/>
      <c r="I29" s="192"/>
      <c r="J29" s="84"/>
      <c r="K29" s="84"/>
      <c r="L29" s="84"/>
    </row>
    <row r="30" spans="1:17" ht="19" x14ac:dyDescent="0.25">
      <c r="A30" s="306" t="s">
        <v>129</v>
      </c>
      <c r="B30" s="306"/>
      <c r="C30" s="306"/>
      <c r="D30" s="84"/>
      <c r="E30" s="84"/>
      <c r="F30" s="84"/>
      <c r="G30" s="84"/>
      <c r="H30" s="84"/>
      <c r="I30" s="149"/>
      <c r="J30" s="84"/>
      <c r="K30" s="84"/>
      <c r="L30" s="84"/>
      <c r="M30" s="84"/>
      <c r="N30" s="84"/>
      <c r="O30" s="84"/>
      <c r="P30" s="84"/>
      <c r="Q30" s="84"/>
    </row>
    <row r="31" spans="1:17" ht="16" x14ac:dyDescent="0.2">
      <c r="A31" s="309" t="s">
        <v>512</v>
      </c>
      <c r="B31" s="309"/>
      <c r="C31" s="309"/>
      <c r="E31" s="84"/>
      <c r="F31" s="84"/>
      <c r="G31" s="84"/>
      <c r="H31" s="149"/>
      <c r="I31" s="84"/>
      <c r="L31" s="79"/>
    </row>
    <row r="32" spans="1:17" x14ac:dyDescent="0.2">
      <c r="A32" s="182" t="s">
        <v>513</v>
      </c>
      <c r="B32" s="174" t="s">
        <v>514</v>
      </c>
      <c r="C32" s="193">
        <v>0.1</v>
      </c>
      <c r="H32" s="149"/>
      <c r="K32" s="51"/>
      <c r="M32" s="84"/>
    </row>
    <row r="33" spans="1:51" x14ac:dyDescent="0.2">
      <c r="A33" s="182" t="s">
        <v>515</v>
      </c>
      <c r="B33" s="174" t="s">
        <v>36</v>
      </c>
      <c r="C33" s="176">
        <v>2035</v>
      </c>
      <c r="E33" s="84"/>
      <c r="F33" s="84"/>
      <c r="G33" s="84"/>
      <c r="H33" s="149"/>
      <c r="I33" s="84"/>
      <c r="J33" s="66"/>
    </row>
    <row r="34" spans="1:51" x14ac:dyDescent="0.2">
      <c r="A34" s="182" t="s">
        <v>516</v>
      </c>
      <c r="B34" s="174" t="s">
        <v>514</v>
      </c>
      <c r="C34" s="194">
        <v>0.25</v>
      </c>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c r="AO34" s="84"/>
      <c r="AP34" s="84"/>
      <c r="AQ34" s="84"/>
      <c r="AR34" s="84"/>
      <c r="AS34" s="84"/>
      <c r="AT34" s="84"/>
      <c r="AU34" s="84"/>
      <c r="AV34" s="84"/>
      <c r="AW34" s="84"/>
      <c r="AX34" s="84"/>
    </row>
    <row r="35" spans="1:51" ht="16" x14ac:dyDescent="0.2">
      <c r="A35" s="309" t="s">
        <v>517</v>
      </c>
      <c r="B35" s="309"/>
      <c r="C35" s="309"/>
      <c r="E35" s="84"/>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c r="AW35" s="84"/>
      <c r="AX35" s="84"/>
    </row>
    <row r="36" spans="1:51" x14ac:dyDescent="0.2">
      <c r="A36" s="182" t="s">
        <v>518</v>
      </c>
      <c r="B36" s="174" t="s">
        <v>36</v>
      </c>
      <c r="C36" s="176">
        <v>2020</v>
      </c>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84"/>
      <c r="AU36" s="84"/>
      <c r="AV36" s="84"/>
      <c r="AW36" s="84"/>
      <c r="AX36" s="84"/>
    </row>
    <row r="37" spans="1:51" x14ac:dyDescent="0.2">
      <c r="A37" s="182" t="s">
        <v>519</v>
      </c>
      <c r="B37" s="174" t="s">
        <v>28</v>
      </c>
      <c r="C37" s="176">
        <v>0.25</v>
      </c>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row>
    <row r="38" spans="1:51" x14ac:dyDescent="0.2">
      <c r="A38" s="182" t="s">
        <v>520</v>
      </c>
      <c r="B38" s="174" t="s">
        <v>514</v>
      </c>
      <c r="C38" s="194">
        <v>-6.4505437730296702E-3</v>
      </c>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84"/>
      <c r="AW38" s="84"/>
      <c r="AX38" s="84"/>
    </row>
    <row r="39" spans="1:51" x14ac:dyDescent="0.2">
      <c r="A39" s="182" t="s">
        <v>521</v>
      </c>
      <c r="B39" s="174" t="s">
        <v>36</v>
      </c>
      <c r="C39" s="176">
        <v>2020</v>
      </c>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4"/>
      <c r="AM39" s="84"/>
      <c r="AN39" s="84"/>
      <c r="AO39" s="84"/>
      <c r="AP39" s="84"/>
      <c r="AQ39" s="84"/>
      <c r="AR39" s="84"/>
      <c r="AS39" s="84"/>
      <c r="AT39" s="84"/>
      <c r="AU39" s="84"/>
      <c r="AV39" s="84"/>
      <c r="AW39" s="84"/>
      <c r="AX39" s="84"/>
    </row>
    <row r="40" spans="1:51" x14ac:dyDescent="0.2">
      <c r="A40" s="182" t="s">
        <v>522</v>
      </c>
      <c r="B40" s="174" t="s">
        <v>514</v>
      </c>
      <c r="C40" s="194">
        <v>3.4950074489999997E-2</v>
      </c>
      <c r="D40" s="84"/>
      <c r="E40" s="84"/>
      <c r="F40" s="84"/>
      <c r="G40" s="84"/>
      <c r="H40" s="84"/>
      <c r="I40" s="84"/>
      <c r="J40" s="84"/>
      <c r="K40" s="84"/>
      <c r="L40" s="84"/>
      <c r="M40" s="84"/>
      <c r="N40" s="84"/>
      <c r="O40" s="84"/>
      <c r="P40" s="84"/>
      <c r="Q40" s="84"/>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row>
    <row r="41" spans="1:51" ht="16" x14ac:dyDescent="0.2">
      <c r="A41" s="309" t="s">
        <v>143</v>
      </c>
      <c r="B41" s="309"/>
      <c r="C41" s="309"/>
      <c r="D41" s="84"/>
      <c r="E41" s="84"/>
      <c r="F41" s="84"/>
      <c r="G41" s="84"/>
      <c r="H41" s="84"/>
      <c r="I41" s="84"/>
      <c r="J41" s="84"/>
      <c r="K41" s="84"/>
      <c r="L41" s="84"/>
      <c r="M41" s="84"/>
      <c r="N41" s="84"/>
      <c r="O41" s="84"/>
      <c r="P41" s="84"/>
      <c r="Q41" s="84"/>
      <c r="R41" s="84"/>
      <c r="S41" s="84"/>
      <c r="T41" s="84"/>
      <c r="U41" s="84"/>
      <c r="V41" s="84"/>
      <c r="W41" s="84"/>
      <c r="X41" s="84"/>
      <c r="Y41" s="84"/>
      <c r="Z41" s="84"/>
      <c r="AA41" s="84"/>
      <c r="AB41" s="84"/>
      <c r="AC41" s="84"/>
      <c r="AD41" s="84"/>
      <c r="AE41" s="84"/>
      <c r="AF41" s="84"/>
      <c r="AG41" s="84"/>
      <c r="AH41" s="84"/>
      <c r="AI41" s="84"/>
      <c r="AJ41" s="84"/>
      <c r="AK41" s="84"/>
      <c r="AL41" s="84"/>
      <c r="AM41" s="84"/>
      <c r="AN41" s="84"/>
      <c r="AO41" s="84"/>
      <c r="AP41" s="84"/>
      <c r="AQ41" s="84"/>
      <c r="AR41" s="84"/>
      <c r="AS41" s="84"/>
      <c r="AT41" s="84"/>
      <c r="AU41" s="84"/>
      <c r="AV41" s="84"/>
      <c r="AW41" s="84"/>
      <c r="AX41" s="84"/>
    </row>
    <row r="42" spans="1:51" x14ac:dyDescent="0.2">
      <c r="A42" s="187" t="s">
        <v>523</v>
      </c>
      <c r="B42" s="177" t="s">
        <v>514</v>
      </c>
      <c r="C42" s="195">
        <v>0.02</v>
      </c>
      <c r="D42" s="84"/>
      <c r="E42" s="84"/>
      <c r="F42" s="84"/>
      <c r="G42" s="84"/>
      <c r="H42" s="84"/>
      <c r="I42" s="84"/>
      <c r="J42" s="84"/>
      <c r="K42" s="84"/>
      <c r="L42" s="84"/>
      <c r="M42" s="84"/>
      <c r="N42" s="84"/>
      <c r="O42" s="84"/>
      <c r="P42" s="84"/>
      <c r="Q42" s="84"/>
      <c r="R42" s="84"/>
      <c r="S42" s="84"/>
      <c r="T42" s="84"/>
      <c r="U42" s="84"/>
      <c r="V42" s="84"/>
      <c r="W42" s="84"/>
      <c r="X42" s="84"/>
      <c r="Y42" s="84"/>
      <c r="Z42" s="84"/>
      <c r="AA42" s="84"/>
      <c r="AB42" s="84"/>
      <c r="AC42" s="84"/>
      <c r="AD42" s="84"/>
      <c r="AE42" s="84"/>
      <c r="AF42" s="84"/>
      <c r="AG42" s="84"/>
      <c r="AH42" s="84"/>
      <c r="AI42" s="84"/>
      <c r="AJ42" s="84"/>
      <c r="AK42" s="84"/>
      <c r="AL42" s="84"/>
      <c r="AM42" s="84"/>
      <c r="AN42" s="84"/>
      <c r="AO42" s="84"/>
      <c r="AP42" s="84"/>
      <c r="AQ42" s="84"/>
      <c r="AR42" s="84"/>
      <c r="AS42" s="84"/>
      <c r="AT42" s="84"/>
      <c r="AU42" s="84"/>
      <c r="AV42" s="84"/>
      <c r="AW42" s="84"/>
      <c r="AX42" s="84"/>
    </row>
    <row r="44" spans="1:51" ht="19" x14ac:dyDescent="0.25">
      <c r="A44" s="306" t="s">
        <v>144</v>
      </c>
      <c r="B44" s="306"/>
      <c r="C44" s="306"/>
      <c r="D44" s="84"/>
      <c r="H44" s="84"/>
      <c r="I44" s="84"/>
      <c r="J44" s="84"/>
      <c r="K44" s="84"/>
      <c r="L44" s="84"/>
      <c r="M44" s="84"/>
      <c r="N44" s="84"/>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c r="AS44" s="84"/>
      <c r="AT44" s="84"/>
      <c r="AU44" s="84"/>
      <c r="AV44" s="84"/>
      <c r="AW44" s="84"/>
      <c r="AX44" s="84"/>
    </row>
    <row r="45" spans="1:51" x14ac:dyDescent="0.2">
      <c r="A45" s="187" t="s">
        <v>524</v>
      </c>
      <c r="B45" s="177" t="s">
        <v>514</v>
      </c>
      <c r="C45" s="195">
        <v>-1.5900000000000001E-2</v>
      </c>
      <c r="D45" s="84"/>
      <c r="E45" s="84"/>
      <c r="F45" s="84"/>
      <c r="G45" s="84"/>
      <c r="H45" s="84"/>
      <c r="I45" s="84"/>
      <c r="J45" s="84"/>
      <c r="K45" s="84"/>
      <c r="L45" s="84"/>
      <c r="M45" s="84"/>
      <c r="N45" s="84"/>
      <c r="O45" s="84"/>
      <c r="P45" s="84"/>
      <c r="Q45" s="84"/>
      <c r="R45" s="84"/>
      <c r="S45" s="84"/>
      <c r="T45" s="84"/>
      <c r="U45" s="84"/>
      <c r="V45" s="84"/>
      <c r="W45" s="84"/>
      <c r="X45" s="84"/>
      <c r="Y45" s="84"/>
      <c r="Z45" s="84"/>
      <c r="AA45" s="84"/>
      <c r="AB45" s="84"/>
      <c r="AC45" s="84"/>
      <c r="AD45" s="84"/>
      <c r="AE45" s="84"/>
      <c r="AF45" s="84"/>
      <c r="AG45" s="84"/>
      <c r="AH45" s="84"/>
      <c r="AI45" s="84"/>
      <c r="AJ45" s="84"/>
      <c r="AK45" s="84"/>
      <c r="AL45" s="84"/>
      <c r="AM45" s="84"/>
      <c r="AN45" s="84"/>
      <c r="AO45" s="84"/>
      <c r="AP45" s="84"/>
      <c r="AQ45" s="84"/>
      <c r="AR45" s="84"/>
      <c r="AS45" s="84"/>
      <c r="AT45" s="84"/>
      <c r="AU45" s="84"/>
      <c r="AV45" s="84"/>
      <c r="AW45" s="84"/>
      <c r="AX45" s="84"/>
      <c r="AY45" s="84"/>
    </row>
    <row r="47" spans="1:51" ht="19" x14ac:dyDescent="0.25">
      <c r="A47" s="306" t="s">
        <v>157</v>
      </c>
      <c r="B47" s="306"/>
      <c r="C47" s="306"/>
      <c r="D47" s="84"/>
      <c r="E47" s="84"/>
      <c r="F47" s="84"/>
      <c r="G47" s="84"/>
      <c r="H47" s="84"/>
      <c r="I47" s="84"/>
      <c r="J47" s="84"/>
      <c r="K47" s="84"/>
      <c r="L47" s="84"/>
      <c r="M47" s="84"/>
      <c r="N47" s="84"/>
      <c r="O47" s="84"/>
      <c r="P47" s="84"/>
      <c r="Q47" s="84"/>
      <c r="R47" s="84"/>
      <c r="S47" s="84"/>
      <c r="T47" s="84"/>
      <c r="U47" s="84"/>
      <c r="V47" s="84"/>
      <c r="W47" s="84"/>
      <c r="X47" s="84"/>
      <c r="Y47" s="84"/>
      <c r="Z47" s="84"/>
      <c r="AA47" s="84"/>
      <c r="AB47" s="84"/>
      <c r="AC47" s="84"/>
      <c r="AD47" s="84"/>
      <c r="AE47" s="84"/>
      <c r="AF47" s="84"/>
      <c r="AG47" s="84"/>
      <c r="AH47" s="84"/>
      <c r="AI47" s="84"/>
      <c r="AJ47" s="84"/>
      <c r="AK47" s="84"/>
      <c r="AL47" s="84"/>
      <c r="AM47" s="84"/>
      <c r="AN47" s="84"/>
      <c r="AO47" s="84"/>
      <c r="AP47" s="84"/>
      <c r="AQ47" s="84"/>
      <c r="AR47" s="84"/>
      <c r="AS47" s="84"/>
      <c r="AT47" s="84"/>
      <c r="AU47" s="84"/>
      <c r="AV47" s="84"/>
      <c r="AW47" s="84"/>
      <c r="AX47" s="84"/>
      <c r="AY47" s="84"/>
    </row>
    <row r="48" spans="1:51" x14ac:dyDescent="0.2">
      <c r="A48" s="182" t="s">
        <v>525</v>
      </c>
      <c r="B48" s="174" t="s">
        <v>36</v>
      </c>
      <c r="C48" s="176">
        <v>2020</v>
      </c>
      <c r="D48" s="84"/>
      <c r="E48" s="84"/>
      <c r="F48" s="84"/>
      <c r="G48" s="84"/>
      <c r="H48" s="84"/>
      <c r="I48" s="84"/>
      <c r="J48" s="84"/>
      <c r="K48" s="84"/>
      <c r="L48" s="84"/>
      <c r="M48" s="84"/>
      <c r="N48" s="84"/>
      <c r="O48" s="84"/>
      <c r="P48" s="84"/>
      <c r="Q48" s="84"/>
      <c r="R48" s="84"/>
      <c r="S48" s="84"/>
      <c r="T48" s="84"/>
      <c r="U48" s="84"/>
      <c r="V48" s="84"/>
      <c r="W48" s="84"/>
      <c r="X48" s="84"/>
      <c r="Y48" s="84"/>
      <c r="Z48" s="84"/>
      <c r="AA48" s="84"/>
      <c r="AB48" s="84"/>
      <c r="AC48" s="84"/>
      <c r="AD48" s="84"/>
      <c r="AE48" s="84"/>
      <c r="AF48" s="84"/>
      <c r="AG48" s="84"/>
      <c r="AH48" s="84"/>
      <c r="AI48" s="84"/>
      <c r="AJ48" s="84"/>
      <c r="AK48" s="84"/>
      <c r="AL48" s="84"/>
      <c r="AM48" s="84"/>
      <c r="AN48" s="84"/>
      <c r="AO48" s="84"/>
      <c r="AP48" s="84"/>
      <c r="AQ48" s="84"/>
      <c r="AR48" s="84"/>
      <c r="AS48" s="84"/>
      <c r="AT48" s="84"/>
      <c r="AU48" s="84"/>
      <c r="AV48" s="84"/>
      <c r="AW48" s="84"/>
      <c r="AX48" s="84"/>
      <c r="AY48" s="84"/>
    </row>
    <row r="49" spans="1:51" x14ac:dyDescent="0.2">
      <c r="A49" s="182" t="s">
        <v>526</v>
      </c>
      <c r="B49" s="174" t="s">
        <v>36</v>
      </c>
      <c r="C49" s="176">
        <v>2050</v>
      </c>
      <c r="D49" s="84"/>
      <c r="E49" s="84"/>
      <c r="F49" s="84"/>
      <c r="G49" s="84"/>
      <c r="H49" s="84"/>
      <c r="I49" s="84"/>
      <c r="J49" s="84"/>
      <c r="K49" s="84"/>
      <c r="L49" s="84"/>
      <c r="M49" s="84"/>
      <c r="N49" s="84"/>
      <c r="O49" s="84"/>
      <c r="P49" s="84"/>
      <c r="Q49" s="84"/>
      <c r="R49" s="84"/>
      <c r="S49" s="84"/>
      <c r="T49" s="84"/>
      <c r="U49" s="84"/>
      <c r="V49" s="84"/>
      <c r="W49" s="84"/>
      <c r="X49" s="84"/>
      <c r="Y49" s="84"/>
      <c r="Z49" s="84"/>
      <c r="AA49" s="84"/>
      <c r="AB49" s="84"/>
      <c r="AC49" s="84"/>
      <c r="AD49" s="84"/>
      <c r="AE49" s="84"/>
      <c r="AF49" s="84"/>
      <c r="AG49" s="84"/>
      <c r="AH49" s="84"/>
      <c r="AI49" s="84"/>
      <c r="AJ49" s="84"/>
      <c r="AK49" s="84"/>
      <c r="AL49" s="84"/>
      <c r="AM49" s="84"/>
      <c r="AN49" s="84"/>
      <c r="AO49" s="84"/>
      <c r="AP49" s="84"/>
      <c r="AQ49" s="84"/>
      <c r="AR49" s="84"/>
      <c r="AS49" s="84"/>
      <c r="AT49" s="84"/>
      <c r="AU49" s="84"/>
      <c r="AV49" s="84"/>
      <c r="AW49" s="84"/>
      <c r="AX49" s="84"/>
      <c r="AY49" s="84"/>
    </row>
    <row r="50" spans="1:51" x14ac:dyDescent="0.2">
      <c r="A50" s="182" t="s">
        <v>527</v>
      </c>
      <c r="B50" s="174" t="s">
        <v>514</v>
      </c>
      <c r="C50" s="194">
        <v>0.17150000000000001</v>
      </c>
      <c r="D50" s="84"/>
      <c r="E50" s="84"/>
      <c r="F50" s="84"/>
      <c r="G50" s="84"/>
      <c r="H50" s="84"/>
      <c r="I50" s="84"/>
      <c r="J50" s="84"/>
      <c r="K50" s="84"/>
      <c r="L50" s="84"/>
      <c r="M50" s="84"/>
      <c r="N50" s="84"/>
      <c r="O50" s="84"/>
      <c r="P50" s="84"/>
      <c r="Q50" s="84"/>
      <c r="R50" s="84"/>
      <c r="S50" s="84"/>
      <c r="T50" s="84"/>
      <c r="U50" s="84"/>
      <c r="V50" s="84"/>
      <c r="W50" s="84"/>
      <c r="X50" s="84"/>
      <c r="Y50" s="84"/>
      <c r="Z50" s="84"/>
      <c r="AA50" s="84"/>
      <c r="AB50" s="84"/>
      <c r="AC50" s="84"/>
      <c r="AD50" s="84"/>
      <c r="AE50" s="84"/>
      <c r="AF50" s="84"/>
      <c r="AG50" s="84"/>
      <c r="AH50" s="84"/>
      <c r="AI50" s="84"/>
      <c r="AJ50" s="84"/>
      <c r="AK50" s="84"/>
      <c r="AL50" s="84"/>
      <c r="AM50" s="84"/>
      <c r="AN50" s="84"/>
      <c r="AO50" s="84"/>
      <c r="AP50" s="84"/>
      <c r="AQ50" s="84"/>
      <c r="AR50" s="84"/>
      <c r="AS50" s="84"/>
      <c r="AT50" s="84"/>
      <c r="AU50" s="84"/>
      <c r="AV50" s="84"/>
      <c r="AW50" s="84"/>
      <c r="AX50" s="84"/>
      <c r="AY50" s="84"/>
    </row>
    <row r="51" spans="1:51" x14ac:dyDescent="0.2">
      <c r="A51" s="182" t="s">
        <v>528</v>
      </c>
      <c r="B51" s="174" t="s">
        <v>514</v>
      </c>
      <c r="C51" s="194">
        <v>3.8699999999999998E-2</v>
      </c>
      <c r="D51" s="84"/>
      <c r="E51" s="84"/>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c r="AL51" s="84"/>
      <c r="AM51" s="84"/>
      <c r="AN51" s="84"/>
      <c r="AO51" s="84"/>
      <c r="AP51" s="84"/>
      <c r="AQ51" s="84"/>
      <c r="AR51" s="84"/>
      <c r="AS51" s="84"/>
      <c r="AT51" s="84"/>
      <c r="AU51" s="84"/>
      <c r="AV51" s="84"/>
      <c r="AW51" s="84"/>
      <c r="AX51" s="84"/>
      <c r="AY51" s="84"/>
    </row>
    <row r="52" spans="1:51" x14ac:dyDescent="0.2">
      <c r="A52" s="187" t="s">
        <v>529</v>
      </c>
      <c r="B52" s="177" t="s">
        <v>514</v>
      </c>
      <c r="C52" s="196">
        <v>0.01</v>
      </c>
      <c r="D52" s="196">
        <v>-6.2799999999999995E-2</v>
      </c>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c r="AN52" s="84"/>
      <c r="AO52" s="84"/>
      <c r="AP52" s="84"/>
      <c r="AQ52" s="84"/>
      <c r="AR52" s="84"/>
      <c r="AS52" s="84"/>
      <c r="AT52" s="84"/>
      <c r="AU52" s="84"/>
      <c r="AV52" s="84"/>
      <c r="AW52" s="84"/>
      <c r="AX52" s="84"/>
      <c r="AY52" s="84"/>
    </row>
    <row r="53" spans="1:51" ht="19" x14ac:dyDescent="0.25">
      <c r="A53" s="306" t="s">
        <v>530</v>
      </c>
      <c r="B53" s="306"/>
      <c r="C53" s="306"/>
      <c r="D53" s="84"/>
      <c r="E53" s="84"/>
      <c r="F53" s="84"/>
      <c r="G53" s="84"/>
      <c r="H53" s="84"/>
      <c r="I53" s="84"/>
      <c r="J53" s="84"/>
      <c r="K53" s="84"/>
      <c r="L53" s="84"/>
      <c r="M53" s="84"/>
      <c r="N53" s="84"/>
      <c r="O53" s="84"/>
      <c r="P53" s="84"/>
      <c r="Q53" s="84"/>
      <c r="R53" s="84"/>
      <c r="S53" s="84"/>
      <c r="T53" s="84"/>
      <c r="U53" s="84"/>
      <c r="V53" s="84"/>
      <c r="W53" s="84"/>
      <c r="X53" s="84"/>
      <c r="Y53" s="84"/>
      <c r="Z53" s="84"/>
      <c r="AA53" s="84"/>
      <c r="AB53" s="84"/>
      <c r="AC53" s="84"/>
      <c r="AD53" s="84"/>
      <c r="AE53" s="84"/>
      <c r="AF53" s="84"/>
      <c r="AG53" s="84"/>
      <c r="AH53" s="84"/>
      <c r="AI53" s="84"/>
      <c r="AJ53" s="84"/>
      <c r="AK53" s="84"/>
      <c r="AL53" s="84"/>
      <c r="AM53" s="84"/>
      <c r="AN53" s="84"/>
      <c r="AO53" s="84"/>
      <c r="AP53" s="84"/>
      <c r="AQ53" s="84"/>
      <c r="AR53" s="84"/>
      <c r="AS53" s="84"/>
      <c r="AT53" s="84"/>
      <c r="AU53" s="84"/>
      <c r="AV53" s="84"/>
      <c r="AW53" s="84"/>
      <c r="AX53" s="84"/>
      <c r="AY53" s="84"/>
    </row>
    <row r="54" spans="1:51" x14ac:dyDescent="0.2">
      <c r="A54" s="197" t="s">
        <v>531</v>
      </c>
      <c r="B54" s="174" t="s">
        <v>36</v>
      </c>
      <c r="C54" s="175">
        <v>2050</v>
      </c>
      <c r="D54" s="84"/>
      <c r="E54" s="84"/>
      <c r="F54" s="84"/>
      <c r="G54" s="84"/>
      <c r="H54" s="84"/>
      <c r="I54" s="84"/>
      <c r="J54" s="84"/>
      <c r="K54" s="84"/>
      <c r="L54" s="84"/>
      <c r="M54" s="84"/>
      <c r="N54" s="84"/>
      <c r="O54" s="84"/>
      <c r="P54" s="84"/>
      <c r="Q54" s="84"/>
      <c r="R54" s="84"/>
      <c r="S54" s="84"/>
      <c r="T54" s="84"/>
      <c r="U54" s="84"/>
      <c r="V54" s="84"/>
      <c r="W54" s="84"/>
      <c r="X54" s="84"/>
      <c r="Y54" s="84"/>
      <c r="Z54" s="84"/>
      <c r="AA54" s="84"/>
      <c r="AB54" s="84"/>
      <c r="AC54" s="84"/>
      <c r="AD54" s="84"/>
      <c r="AE54" s="84"/>
      <c r="AF54" s="84"/>
      <c r="AG54" s="84"/>
      <c r="AH54" s="84"/>
      <c r="AI54" s="84"/>
      <c r="AJ54" s="84"/>
      <c r="AK54" s="84"/>
      <c r="AL54" s="84"/>
      <c r="AM54" s="84"/>
      <c r="AN54" s="84"/>
      <c r="AO54" s="84"/>
      <c r="AP54" s="84"/>
      <c r="AQ54" s="84"/>
      <c r="AR54" s="84"/>
      <c r="AS54" s="84"/>
      <c r="AT54" s="84"/>
      <c r="AU54" s="84"/>
      <c r="AV54" s="84"/>
      <c r="AW54" s="84"/>
      <c r="AX54" s="84"/>
      <c r="AY54" s="84"/>
    </row>
    <row r="55" spans="1:51" x14ac:dyDescent="0.2">
      <c r="A55" s="197" t="s">
        <v>532</v>
      </c>
      <c r="B55" s="174" t="s">
        <v>533</v>
      </c>
      <c r="C55" s="198">
        <v>0</v>
      </c>
      <c r="D55" s="84"/>
      <c r="E55" s="84"/>
      <c r="F55" s="84"/>
      <c r="G55" s="84"/>
      <c r="H55" s="84"/>
      <c r="I55" s="84"/>
      <c r="J55" s="84"/>
      <c r="K55" s="84"/>
      <c r="L55" s="84"/>
      <c r="M55" s="84"/>
      <c r="N55" s="84"/>
      <c r="O55" s="84"/>
      <c r="P55" s="84"/>
      <c r="Q55" s="84"/>
      <c r="R55" s="84"/>
      <c r="S55" s="84"/>
      <c r="T55" s="84"/>
      <c r="U55" s="84"/>
      <c r="V55" s="84"/>
      <c r="W55" s="84"/>
      <c r="X55" s="84"/>
      <c r="Y55" s="84"/>
      <c r="Z55" s="84"/>
      <c r="AA55" s="84"/>
      <c r="AB55" s="84"/>
      <c r="AC55" s="84"/>
      <c r="AD55" s="84"/>
      <c r="AE55" s="84"/>
      <c r="AF55" s="84"/>
      <c r="AG55" s="84"/>
      <c r="AH55" s="84"/>
      <c r="AI55" s="84"/>
      <c r="AJ55" s="84"/>
      <c r="AK55" s="84"/>
      <c r="AL55" s="84"/>
      <c r="AM55" s="84"/>
      <c r="AN55" s="84"/>
      <c r="AO55" s="84"/>
      <c r="AP55" s="84"/>
      <c r="AQ55" s="84"/>
      <c r="AR55" s="84"/>
      <c r="AS55" s="84"/>
      <c r="AT55" s="84"/>
      <c r="AU55" s="84"/>
      <c r="AV55" s="84"/>
      <c r="AW55" s="84"/>
      <c r="AX55" s="84"/>
      <c r="AY55" s="84"/>
    </row>
    <row r="56" spans="1:51" x14ac:dyDescent="0.2">
      <c r="A56" s="197" t="s">
        <v>534</v>
      </c>
      <c r="B56" s="174" t="s">
        <v>533</v>
      </c>
      <c r="C56" s="198">
        <v>0</v>
      </c>
      <c r="D56" s="84"/>
      <c r="E56" s="84"/>
      <c r="F56" s="84"/>
      <c r="G56" s="84"/>
      <c r="H56" s="84"/>
      <c r="I56" s="84"/>
      <c r="J56" s="84"/>
      <c r="K56" s="84"/>
      <c r="L56" s="84"/>
      <c r="M56" s="84"/>
      <c r="N56" s="84"/>
      <c r="O56" s="84"/>
      <c r="P56" s="84"/>
      <c r="Q56" s="84"/>
      <c r="R56" s="84"/>
      <c r="S56" s="84"/>
      <c r="T56" s="84"/>
      <c r="U56" s="84"/>
      <c r="V56" s="84"/>
      <c r="W56" s="84"/>
      <c r="X56" s="84"/>
      <c r="Y56" s="84"/>
      <c r="Z56" s="84"/>
      <c r="AA56" s="84"/>
      <c r="AB56" s="84"/>
      <c r="AC56" s="84"/>
      <c r="AD56" s="84"/>
      <c r="AE56" s="84"/>
      <c r="AF56" s="84"/>
      <c r="AG56" s="84"/>
      <c r="AH56" s="84"/>
      <c r="AI56" s="84"/>
      <c r="AJ56" s="84"/>
      <c r="AK56" s="84"/>
      <c r="AL56" s="84"/>
      <c r="AM56" s="84"/>
      <c r="AN56" s="84"/>
      <c r="AO56" s="84"/>
      <c r="AP56" s="84"/>
      <c r="AQ56" s="84"/>
      <c r="AR56" s="84"/>
      <c r="AS56" s="84"/>
      <c r="AT56" s="84"/>
      <c r="AU56" s="84"/>
      <c r="AV56" s="84"/>
      <c r="AW56" s="84"/>
      <c r="AX56" s="84"/>
      <c r="AY56" s="84"/>
    </row>
    <row r="57" spans="1:51" x14ac:dyDescent="0.2">
      <c r="A57" s="197" t="s">
        <v>535</v>
      </c>
      <c r="B57" s="174" t="s">
        <v>533</v>
      </c>
      <c r="C57" s="198">
        <v>0.1</v>
      </c>
      <c r="D57" s="84"/>
      <c r="E57" s="84"/>
      <c r="F57" s="84"/>
      <c r="G57" s="84"/>
      <c r="H57" s="84"/>
      <c r="I57" s="84"/>
      <c r="J57" s="84"/>
      <c r="K57" s="84"/>
      <c r="L57" s="84"/>
      <c r="M57" s="84"/>
      <c r="N57" s="84"/>
      <c r="O57" s="84"/>
      <c r="P57" s="84"/>
      <c r="Q57" s="84"/>
      <c r="R57" s="84"/>
      <c r="S57" s="84"/>
      <c r="T57" s="84"/>
      <c r="U57" s="84"/>
      <c r="V57" s="84"/>
      <c r="W57" s="84"/>
      <c r="X57" s="84"/>
      <c r="Y57" s="84"/>
      <c r="Z57" s="84"/>
      <c r="AA57" s="84"/>
      <c r="AB57" s="84"/>
      <c r="AC57" s="84"/>
      <c r="AD57" s="84"/>
      <c r="AE57" s="84"/>
      <c r="AF57" s="84"/>
      <c r="AG57" s="84"/>
      <c r="AH57" s="84"/>
      <c r="AI57" s="84"/>
      <c r="AJ57" s="84"/>
      <c r="AK57" s="84"/>
      <c r="AL57" s="84"/>
      <c r="AM57" s="84"/>
      <c r="AN57" s="84"/>
      <c r="AO57" s="84"/>
      <c r="AP57" s="84"/>
      <c r="AQ57" s="84"/>
      <c r="AR57" s="84"/>
      <c r="AS57" s="84"/>
      <c r="AT57" s="84"/>
      <c r="AU57" s="84"/>
      <c r="AV57" s="84"/>
      <c r="AW57" s="84"/>
      <c r="AX57" s="84"/>
      <c r="AY57" s="84"/>
    </row>
    <row r="58" spans="1:51" x14ac:dyDescent="0.2">
      <c r="A58" s="197" t="s">
        <v>536</v>
      </c>
      <c r="B58" s="174" t="s">
        <v>533</v>
      </c>
      <c r="C58" s="198">
        <v>0.5</v>
      </c>
      <c r="D58" s="84"/>
      <c r="E58" s="84"/>
      <c r="F58" s="84"/>
      <c r="G58" s="84"/>
      <c r="H58" s="84"/>
      <c r="I58" s="84"/>
      <c r="J58" s="84"/>
      <c r="K58" s="84"/>
      <c r="L58" s="84"/>
      <c r="M58" s="84"/>
      <c r="N58" s="84"/>
      <c r="O58" s="84"/>
      <c r="P58" s="84"/>
      <c r="Q58" s="84"/>
      <c r="R58" s="84"/>
      <c r="S58" s="84"/>
      <c r="T58" s="84"/>
      <c r="U58" s="84"/>
      <c r="V58" s="84"/>
      <c r="W58" s="84"/>
      <c r="X58" s="84"/>
      <c r="Y58" s="84"/>
      <c r="Z58" s="84"/>
      <c r="AA58" s="84"/>
      <c r="AB58" s="84"/>
      <c r="AC58" s="84"/>
      <c r="AD58" s="84"/>
      <c r="AE58" s="84"/>
      <c r="AF58" s="84"/>
      <c r="AG58" s="84"/>
      <c r="AH58" s="84"/>
      <c r="AI58" s="84"/>
      <c r="AJ58" s="84"/>
      <c r="AK58" s="84"/>
      <c r="AL58" s="84"/>
      <c r="AM58" s="84"/>
      <c r="AN58" s="84"/>
      <c r="AO58" s="84"/>
      <c r="AP58" s="84"/>
      <c r="AQ58" s="84"/>
      <c r="AR58" s="84"/>
      <c r="AS58" s="84"/>
      <c r="AT58" s="84"/>
      <c r="AU58" s="84"/>
      <c r="AV58" s="84"/>
      <c r="AW58" s="84"/>
      <c r="AX58" s="84"/>
      <c r="AY58" s="84"/>
    </row>
    <row r="59" spans="1:51" x14ac:dyDescent="0.2">
      <c r="A59" s="84"/>
      <c r="B59" s="84"/>
      <c r="C59" s="84"/>
      <c r="D59" s="84"/>
      <c r="E59" s="84"/>
      <c r="F59" s="84"/>
      <c r="G59" s="84"/>
      <c r="H59" s="84"/>
      <c r="I59" s="84"/>
      <c r="J59" s="84"/>
      <c r="K59" s="84"/>
      <c r="L59" s="84"/>
      <c r="M59" s="84"/>
      <c r="N59" s="84"/>
      <c r="O59" s="84"/>
      <c r="P59" s="84"/>
      <c r="Q59" s="84"/>
      <c r="R59" s="84"/>
      <c r="S59" s="84"/>
      <c r="T59" s="84"/>
      <c r="U59" s="84"/>
      <c r="V59" s="84"/>
      <c r="W59" s="84"/>
      <c r="X59" s="84"/>
      <c r="Y59" s="84"/>
      <c r="Z59" s="84"/>
      <c r="AA59" s="84"/>
      <c r="AB59" s="84"/>
      <c r="AC59" s="84"/>
      <c r="AD59" s="84"/>
      <c r="AE59" s="84"/>
      <c r="AF59" s="84"/>
      <c r="AG59" s="84"/>
      <c r="AH59" s="84"/>
      <c r="AI59" s="84"/>
      <c r="AJ59" s="84"/>
      <c r="AK59" s="84"/>
      <c r="AL59" s="84"/>
      <c r="AM59" s="84"/>
      <c r="AN59" s="84"/>
      <c r="AO59" s="84"/>
      <c r="AP59" s="84"/>
      <c r="AQ59" s="84"/>
      <c r="AR59" s="84"/>
      <c r="AS59" s="84"/>
      <c r="AT59" s="84"/>
      <c r="AU59" s="84"/>
      <c r="AV59" s="84"/>
      <c r="AW59" s="84"/>
      <c r="AX59" s="84"/>
      <c r="AY59" s="84"/>
    </row>
    <row r="60" spans="1:51" ht="19" x14ac:dyDescent="0.25">
      <c r="A60" s="306" t="s">
        <v>537</v>
      </c>
      <c r="B60" s="306"/>
      <c r="C60" s="306"/>
      <c r="D60" s="306"/>
      <c r="E60" s="306"/>
      <c r="F60" s="306"/>
      <c r="G60" s="306"/>
      <c r="H60" s="306"/>
      <c r="I60" s="306"/>
    </row>
    <row r="61" spans="1:51" x14ac:dyDescent="0.2">
      <c r="A61" s="197" t="s">
        <v>36</v>
      </c>
      <c r="B61" s="174" t="s">
        <v>36</v>
      </c>
      <c r="C61" s="199">
        <v>2020</v>
      </c>
      <c r="D61" s="199">
        <v>2025</v>
      </c>
      <c r="E61" s="199">
        <v>2030</v>
      </c>
      <c r="F61" s="199">
        <v>2035</v>
      </c>
      <c r="G61" s="199">
        <v>2040</v>
      </c>
      <c r="H61" s="199">
        <v>2045</v>
      </c>
      <c r="I61" s="200">
        <v>2050</v>
      </c>
    </row>
    <row r="62" spans="1:51" x14ac:dyDescent="0.2">
      <c r="A62" s="197" t="s">
        <v>538</v>
      </c>
      <c r="B62" s="174" t="s">
        <v>146</v>
      </c>
      <c r="C62" s="201">
        <v>0</v>
      </c>
      <c r="D62" s="201">
        <v>0</v>
      </c>
      <c r="E62" s="201">
        <v>0</v>
      </c>
      <c r="F62" s="201">
        <v>0</v>
      </c>
      <c r="G62" s="201">
        <v>0</v>
      </c>
      <c r="H62" s="201">
        <v>0</v>
      </c>
      <c r="I62" s="201">
        <v>0</v>
      </c>
      <c r="J62" s="192"/>
      <c r="K62" s="192"/>
    </row>
    <row r="63" spans="1:51" x14ac:dyDescent="0.2">
      <c r="A63" s="197" t="s">
        <v>539</v>
      </c>
      <c r="B63" s="174" t="s">
        <v>146</v>
      </c>
      <c r="C63" s="201">
        <v>0</v>
      </c>
      <c r="D63" s="201">
        <v>0</v>
      </c>
      <c r="E63" s="201">
        <v>1.8914898535394901E-3</v>
      </c>
      <c r="F63" s="201">
        <v>0.48296425619859501</v>
      </c>
      <c r="G63" s="201">
        <v>1.23853129255308</v>
      </c>
      <c r="H63" s="201">
        <v>2.8614175418402801</v>
      </c>
      <c r="I63" s="201">
        <v>2.8134079979269302</v>
      </c>
      <c r="J63" s="192"/>
      <c r="K63" s="192"/>
    </row>
    <row r="64" spans="1:51" x14ac:dyDescent="0.2">
      <c r="A64" s="197" t="s">
        <v>540</v>
      </c>
      <c r="B64" s="174" t="s">
        <v>146</v>
      </c>
      <c r="C64" s="201">
        <v>4.4121707779369198E-5</v>
      </c>
      <c r="D64" s="201">
        <v>7.5182846615976103E-4</v>
      </c>
      <c r="E64" s="201">
        <v>1.52316875119172E-2</v>
      </c>
      <c r="F64" s="201">
        <v>0.138807762777472</v>
      </c>
      <c r="G64" s="201">
        <v>0.86848071918593905</v>
      </c>
      <c r="H64" s="201">
        <v>1.8786768295734799</v>
      </c>
      <c r="I64" s="201">
        <v>2.7838915669319602</v>
      </c>
    </row>
    <row r="65" spans="1:51" x14ac:dyDescent="0.2">
      <c r="A65" s="197" t="s">
        <v>541</v>
      </c>
      <c r="B65" s="174" t="s">
        <v>146</v>
      </c>
      <c r="C65" s="201">
        <v>0</v>
      </c>
      <c r="D65" s="201">
        <v>0</v>
      </c>
      <c r="E65" s="201">
        <v>0</v>
      </c>
      <c r="F65" s="201">
        <v>0</v>
      </c>
      <c r="G65" s="201">
        <v>0</v>
      </c>
      <c r="H65" s="201">
        <v>0</v>
      </c>
      <c r="I65" s="201">
        <v>0</v>
      </c>
    </row>
    <row r="66" spans="1:51" x14ac:dyDescent="0.2">
      <c r="A66" s="84"/>
      <c r="B66" s="84"/>
      <c r="C66" s="84"/>
      <c r="D66" s="84"/>
      <c r="E66" s="84"/>
      <c r="F66" s="84"/>
      <c r="G66" s="84"/>
      <c r="H66" s="84"/>
      <c r="I66" s="84"/>
      <c r="J66" s="84"/>
      <c r="K66" s="84"/>
      <c r="L66" s="84"/>
      <c r="M66" s="84"/>
      <c r="N66" s="84"/>
      <c r="O66" s="84"/>
      <c r="P66" s="84"/>
      <c r="Q66" s="84"/>
      <c r="R66" s="84"/>
      <c r="S66" s="84"/>
      <c r="T66" s="84"/>
      <c r="U66" s="84"/>
      <c r="V66" s="84"/>
      <c r="W66" s="84"/>
      <c r="X66" s="84"/>
      <c r="Y66" s="84"/>
      <c r="Z66" s="84"/>
      <c r="AA66" s="84"/>
      <c r="AB66" s="84"/>
      <c r="AC66" s="84"/>
      <c r="AD66" s="84"/>
      <c r="AE66" s="84"/>
      <c r="AF66" s="84"/>
      <c r="AG66" s="84"/>
      <c r="AH66" s="84"/>
      <c r="AI66" s="84"/>
      <c r="AJ66" s="84"/>
      <c r="AK66" s="84"/>
      <c r="AL66" s="84"/>
      <c r="AM66" s="84"/>
      <c r="AN66" s="84"/>
      <c r="AO66" s="84"/>
      <c r="AP66" s="84"/>
      <c r="AQ66" s="84"/>
      <c r="AR66" s="84"/>
      <c r="AS66" s="84"/>
      <c r="AT66" s="84"/>
      <c r="AU66" s="84"/>
      <c r="AV66" s="84"/>
      <c r="AW66" s="84"/>
      <c r="AX66" s="84"/>
      <c r="AY66" s="84"/>
    </row>
    <row r="67" spans="1:51" x14ac:dyDescent="0.2">
      <c r="A67" s="84"/>
      <c r="B67" s="84"/>
      <c r="C67" s="84"/>
      <c r="D67" s="84"/>
      <c r="E67" s="84"/>
      <c r="F67" s="84"/>
      <c r="G67" s="84"/>
      <c r="H67" s="84"/>
      <c r="I67" s="84"/>
      <c r="J67" s="84"/>
      <c r="K67" s="84"/>
      <c r="L67" s="84"/>
      <c r="M67" s="84"/>
      <c r="N67" s="84"/>
      <c r="O67" s="84"/>
      <c r="P67" s="84"/>
      <c r="Q67" s="84"/>
      <c r="R67" s="84"/>
      <c r="S67" s="84"/>
      <c r="T67" s="84"/>
      <c r="U67" s="84"/>
      <c r="V67" s="84"/>
      <c r="W67" s="84"/>
      <c r="X67" s="84"/>
      <c r="Y67" s="84"/>
      <c r="Z67" s="84"/>
      <c r="AA67" s="84"/>
      <c r="AB67" s="84"/>
      <c r="AC67" s="84"/>
      <c r="AD67" s="84"/>
      <c r="AE67" s="84"/>
      <c r="AF67" s="84"/>
      <c r="AG67" s="84"/>
      <c r="AH67" s="84"/>
      <c r="AI67" s="84"/>
      <c r="AJ67" s="84"/>
      <c r="AK67" s="84"/>
      <c r="AL67" s="84"/>
      <c r="AM67" s="84"/>
      <c r="AN67" s="84"/>
      <c r="AO67" s="84"/>
      <c r="AP67" s="84"/>
      <c r="AQ67" s="84"/>
      <c r="AR67" s="84"/>
      <c r="AS67" s="84"/>
      <c r="AT67" s="84"/>
      <c r="AU67" s="84"/>
      <c r="AV67" s="84"/>
      <c r="AW67" s="84"/>
      <c r="AX67" s="84"/>
      <c r="AY67" s="84"/>
    </row>
    <row r="68" spans="1:51" ht="26" x14ac:dyDescent="0.3">
      <c r="A68" s="173" t="s">
        <v>542</v>
      </c>
      <c r="D68" s="84"/>
      <c r="E68" s="84"/>
      <c r="F68" s="84"/>
      <c r="G68" s="84"/>
      <c r="H68" s="84"/>
      <c r="I68" s="84"/>
      <c r="J68" s="84"/>
      <c r="K68" s="84"/>
      <c r="L68" s="84"/>
      <c r="M68" s="84"/>
      <c r="N68" s="84"/>
      <c r="O68" s="84"/>
      <c r="P68" s="84"/>
      <c r="Q68" s="84"/>
      <c r="R68" s="84"/>
      <c r="S68" s="84"/>
      <c r="T68" s="84"/>
      <c r="U68" s="84"/>
      <c r="V68" s="84"/>
      <c r="W68" s="84"/>
      <c r="X68" s="84"/>
      <c r="Y68" s="84"/>
      <c r="Z68" s="84"/>
      <c r="AA68" s="84"/>
      <c r="AB68" s="84"/>
      <c r="AC68" s="84"/>
      <c r="AD68" s="84"/>
      <c r="AE68" s="84"/>
      <c r="AF68" s="84"/>
      <c r="AG68" s="84"/>
      <c r="AH68" s="84"/>
      <c r="AI68" s="84"/>
      <c r="AJ68" s="84"/>
      <c r="AK68" s="84"/>
      <c r="AL68" s="84"/>
      <c r="AM68" s="84"/>
      <c r="AN68" s="84"/>
      <c r="AO68" s="84"/>
      <c r="AP68" s="84"/>
      <c r="AQ68" s="84"/>
      <c r="AR68" s="84"/>
      <c r="AS68" s="84"/>
      <c r="AT68" s="84"/>
      <c r="AU68" s="84"/>
      <c r="AV68" s="84"/>
      <c r="AW68" s="84"/>
      <c r="AX68" s="84"/>
      <c r="AY68" s="84"/>
    </row>
    <row r="69" spans="1:51" ht="15.75" customHeight="1" x14ac:dyDescent="0.25">
      <c r="A69" s="202" t="s">
        <v>168</v>
      </c>
      <c r="B69" s="203"/>
      <c r="C69" s="204"/>
      <c r="D69" s="84"/>
      <c r="E69" s="84"/>
      <c r="F69" s="84"/>
      <c r="G69" s="84"/>
      <c r="H69" s="84"/>
      <c r="I69" s="84"/>
      <c r="J69" s="84"/>
      <c r="K69" s="84"/>
      <c r="L69" s="84"/>
      <c r="M69" s="84"/>
      <c r="N69" s="84"/>
      <c r="O69" s="84"/>
      <c r="P69" s="84"/>
      <c r="Q69" s="84"/>
      <c r="R69" s="84"/>
      <c r="S69" s="84"/>
      <c r="T69" s="84"/>
      <c r="U69" s="84"/>
      <c r="V69" s="84"/>
      <c r="W69" s="84"/>
      <c r="X69" s="84"/>
      <c r="Y69" s="84"/>
      <c r="Z69" s="84"/>
      <c r="AA69" s="84"/>
      <c r="AB69" s="84"/>
      <c r="AC69" s="84"/>
      <c r="AD69" s="84"/>
      <c r="AE69" s="84"/>
      <c r="AF69" s="84"/>
      <c r="AG69" s="84"/>
      <c r="AH69" s="84"/>
      <c r="AI69" s="84"/>
      <c r="AJ69" s="84"/>
      <c r="AK69" s="84"/>
      <c r="AL69" s="84"/>
      <c r="AM69" s="84"/>
      <c r="AN69" s="84"/>
      <c r="AO69" s="84"/>
      <c r="AP69" s="84"/>
      <c r="AQ69" s="84"/>
      <c r="AR69" s="84"/>
      <c r="AS69" s="84"/>
      <c r="AT69" s="84"/>
      <c r="AU69" s="84"/>
      <c r="AV69" s="84"/>
      <c r="AW69" s="84"/>
      <c r="AX69" s="84"/>
      <c r="AY69" s="84"/>
    </row>
    <row r="70" spans="1:51" ht="15" customHeight="1" x14ac:dyDescent="0.2">
      <c r="A70" s="310" t="s">
        <v>187</v>
      </c>
      <c r="B70" s="174" t="s">
        <v>169</v>
      </c>
      <c r="C70" s="176">
        <v>0</v>
      </c>
      <c r="D70" s="84"/>
      <c r="E70" s="84"/>
      <c r="F70" s="84"/>
      <c r="G70" s="84"/>
      <c r="H70" s="84"/>
      <c r="I70" s="84"/>
      <c r="J70" s="84"/>
      <c r="K70" s="84"/>
      <c r="L70" s="84"/>
      <c r="M70" s="84"/>
      <c r="N70" s="84"/>
      <c r="O70" s="84"/>
      <c r="P70" s="84"/>
      <c r="Q70" s="84"/>
      <c r="R70" s="84"/>
      <c r="S70" s="84"/>
      <c r="T70" s="84"/>
      <c r="U70" s="84"/>
      <c r="V70" s="84"/>
      <c r="W70" s="84"/>
      <c r="X70" s="84"/>
      <c r="Y70" s="84"/>
      <c r="Z70" s="84"/>
      <c r="AA70" s="84"/>
      <c r="AB70" s="84"/>
      <c r="AC70" s="84"/>
      <c r="AD70" s="84"/>
      <c r="AE70" s="84"/>
      <c r="AF70" s="84"/>
      <c r="AG70" s="84"/>
      <c r="AH70" s="84"/>
      <c r="AI70" s="84"/>
      <c r="AJ70" s="84"/>
      <c r="AK70" s="84"/>
      <c r="AL70" s="84"/>
      <c r="AM70" s="84"/>
      <c r="AN70" s="84"/>
      <c r="AO70" s="84"/>
      <c r="AP70" s="84"/>
      <c r="AQ70" s="84"/>
      <c r="AR70" s="84"/>
      <c r="AS70" s="84"/>
      <c r="AT70" s="84"/>
      <c r="AU70" s="84"/>
      <c r="AV70" s="84"/>
      <c r="AW70" s="84"/>
      <c r="AX70" s="84"/>
      <c r="AY70" s="84"/>
    </row>
    <row r="71" spans="1:51" x14ac:dyDescent="0.2">
      <c r="A71" s="310"/>
      <c r="B71" s="177" t="s">
        <v>543</v>
      </c>
      <c r="C71" s="196">
        <v>0.1</v>
      </c>
      <c r="D71" s="84"/>
      <c r="E71" s="84"/>
      <c r="F71" s="84"/>
      <c r="G71" s="84"/>
      <c r="H71" s="84"/>
      <c r="I71" s="84"/>
      <c r="J71" s="84"/>
      <c r="K71" s="84"/>
      <c r="L71" s="84"/>
      <c r="M71" s="84"/>
      <c r="N71" s="84"/>
      <c r="O71" s="84"/>
      <c r="P71" s="84"/>
      <c r="Q71" s="84"/>
      <c r="R71" s="84"/>
      <c r="S71" s="84"/>
      <c r="T71" s="84"/>
      <c r="U71" s="84"/>
      <c r="V71" s="84"/>
      <c r="W71" s="84"/>
      <c r="X71" s="84"/>
      <c r="Y71" s="84"/>
      <c r="Z71" s="84"/>
      <c r="AA71" s="84"/>
      <c r="AB71" s="84"/>
      <c r="AC71" s="84"/>
      <c r="AD71" s="84"/>
      <c r="AE71" s="84"/>
      <c r="AF71" s="84"/>
      <c r="AG71" s="84"/>
      <c r="AH71" s="84"/>
      <c r="AI71" s="84"/>
      <c r="AJ71" s="84"/>
      <c r="AK71" s="84"/>
      <c r="AL71" s="84"/>
      <c r="AM71" s="84"/>
      <c r="AN71" s="84"/>
      <c r="AO71" s="84"/>
      <c r="AP71" s="84"/>
      <c r="AQ71" s="84"/>
      <c r="AR71" s="84"/>
      <c r="AS71" s="84"/>
      <c r="AT71" s="84"/>
      <c r="AU71" s="84"/>
      <c r="AV71" s="84"/>
      <c r="AW71" s="84"/>
      <c r="AX71" s="84"/>
      <c r="AY71" s="84"/>
    </row>
    <row r="72" spans="1:51" x14ac:dyDescent="0.2">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c r="AA72" s="84"/>
      <c r="AB72" s="84"/>
      <c r="AC72" s="84"/>
      <c r="AD72" s="84"/>
      <c r="AE72" s="84"/>
      <c r="AF72" s="84"/>
      <c r="AG72" s="84"/>
      <c r="AH72" s="84"/>
      <c r="AI72" s="84"/>
      <c r="AJ72" s="84"/>
      <c r="AK72" s="84"/>
      <c r="AL72" s="84"/>
      <c r="AM72" s="84"/>
      <c r="AN72" s="84"/>
      <c r="AO72" s="84"/>
      <c r="AP72" s="84"/>
      <c r="AQ72" s="84"/>
      <c r="AR72" s="84"/>
      <c r="AS72" s="84"/>
      <c r="AT72" s="84"/>
      <c r="AU72" s="84"/>
      <c r="AV72" s="84"/>
      <c r="AW72" s="84"/>
      <c r="AX72" s="84"/>
      <c r="AY72" s="84"/>
    </row>
    <row r="73" spans="1:51" ht="15.75" customHeight="1" x14ac:dyDescent="0.25">
      <c r="A73" s="306" t="s">
        <v>192</v>
      </c>
      <c r="B73" s="306"/>
      <c r="C73" s="306"/>
      <c r="D73" s="84"/>
      <c r="E73" s="84"/>
      <c r="F73" s="84"/>
      <c r="G73" s="84"/>
      <c r="H73" s="84"/>
      <c r="I73" s="84"/>
      <c r="J73" s="84"/>
      <c r="K73" s="84"/>
      <c r="L73" s="84"/>
      <c r="M73" s="84"/>
      <c r="N73" s="84"/>
      <c r="O73" s="84"/>
      <c r="P73" s="84"/>
      <c r="Q73" s="84"/>
      <c r="R73" s="84"/>
      <c r="S73" s="84"/>
      <c r="T73" s="84"/>
      <c r="U73" s="84"/>
      <c r="V73" s="84"/>
      <c r="W73" s="84"/>
      <c r="X73" s="84"/>
      <c r="Y73" s="84"/>
      <c r="Z73" s="84"/>
      <c r="AA73" s="84"/>
      <c r="AB73" s="84"/>
      <c r="AC73" s="84"/>
      <c r="AD73" s="84"/>
      <c r="AE73" s="84"/>
      <c r="AF73" s="84"/>
      <c r="AG73" s="84"/>
      <c r="AH73" s="84"/>
      <c r="AI73" s="84"/>
      <c r="AJ73" s="84"/>
      <c r="AK73" s="84"/>
      <c r="AL73" s="84"/>
      <c r="AM73" s="84"/>
      <c r="AN73" s="84"/>
      <c r="AO73" s="84"/>
      <c r="AP73" s="84"/>
      <c r="AQ73" s="84"/>
      <c r="AR73" s="84"/>
      <c r="AS73" s="84"/>
      <c r="AT73" s="84"/>
      <c r="AU73" s="84"/>
      <c r="AV73" s="84"/>
      <c r="AW73" s="84"/>
      <c r="AX73" s="84"/>
      <c r="AY73" s="84"/>
    </row>
    <row r="74" spans="1:51" ht="15" customHeight="1" x14ac:dyDescent="0.2">
      <c r="A74" s="310" t="s">
        <v>208</v>
      </c>
      <c r="B74" s="174" t="s">
        <v>193</v>
      </c>
      <c r="C74" s="176">
        <v>0</v>
      </c>
      <c r="D74" s="84"/>
      <c r="E74" s="84"/>
      <c r="F74" s="84"/>
      <c r="G74" s="84"/>
      <c r="H74" s="84"/>
      <c r="I74" s="84"/>
      <c r="J74" s="84"/>
      <c r="K74" s="84"/>
      <c r="L74" s="84"/>
      <c r="M74" s="84"/>
      <c r="N74" s="84"/>
      <c r="O74" s="84"/>
      <c r="P74" s="84"/>
      <c r="Q74" s="84"/>
      <c r="R74" s="84"/>
      <c r="S74" s="84"/>
      <c r="T74" s="84"/>
      <c r="U74" s="84"/>
      <c r="V74" s="84"/>
      <c r="W74" s="84"/>
      <c r="X74" s="84"/>
      <c r="Y74" s="84"/>
      <c r="Z74" s="84"/>
      <c r="AA74" s="84"/>
      <c r="AB74" s="84"/>
      <c r="AC74" s="84"/>
      <c r="AD74" s="84"/>
      <c r="AE74" s="84"/>
      <c r="AF74" s="84"/>
      <c r="AG74" s="84"/>
      <c r="AH74" s="84"/>
      <c r="AI74" s="84"/>
      <c r="AJ74" s="84"/>
      <c r="AK74" s="84"/>
      <c r="AL74" s="84"/>
      <c r="AM74" s="84"/>
      <c r="AN74" s="84"/>
      <c r="AO74" s="84"/>
      <c r="AP74" s="84"/>
      <c r="AQ74" s="84"/>
      <c r="AR74" s="84"/>
      <c r="AS74" s="84"/>
      <c r="AT74" s="84"/>
      <c r="AU74" s="84"/>
      <c r="AV74" s="84"/>
      <c r="AW74" s="84"/>
      <c r="AX74" s="84"/>
      <c r="AY74" s="84"/>
    </row>
    <row r="75" spans="1:51" x14ac:dyDescent="0.2">
      <c r="A75" s="310"/>
      <c r="B75" s="177" t="s">
        <v>544</v>
      </c>
      <c r="C75" s="196">
        <v>-0.08</v>
      </c>
      <c r="E75" s="84"/>
      <c r="F75" s="84"/>
      <c r="G75" s="84"/>
      <c r="H75" s="84"/>
      <c r="I75" s="84"/>
      <c r="J75" s="84"/>
      <c r="K75" s="84"/>
      <c r="L75" s="84"/>
      <c r="M75" s="84"/>
      <c r="N75" s="84"/>
      <c r="O75" s="84"/>
      <c r="P75" s="84"/>
      <c r="Q75" s="84"/>
      <c r="R75" s="84"/>
      <c r="S75" s="84"/>
      <c r="T75" s="84"/>
      <c r="U75" s="84"/>
      <c r="V75" s="84"/>
      <c r="W75" s="84"/>
      <c r="X75" s="84"/>
      <c r="Y75" s="84"/>
      <c r="Z75" s="84"/>
      <c r="AA75" s="84"/>
      <c r="AB75" s="84"/>
      <c r="AC75" s="84"/>
      <c r="AD75" s="84"/>
      <c r="AE75" s="84"/>
      <c r="AF75" s="84"/>
      <c r="AG75" s="84"/>
      <c r="AH75" s="84"/>
      <c r="AI75" s="84"/>
      <c r="AJ75" s="84"/>
      <c r="AK75" s="84"/>
      <c r="AL75" s="84"/>
      <c r="AM75" s="84"/>
      <c r="AN75" s="84"/>
      <c r="AO75" s="84"/>
      <c r="AP75" s="84"/>
      <c r="AQ75" s="84"/>
      <c r="AR75" s="84"/>
      <c r="AS75" s="84"/>
      <c r="AT75" s="84"/>
      <c r="AU75" s="84"/>
      <c r="AV75" s="84"/>
      <c r="AW75" s="84"/>
      <c r="AX75" s="84"/>
      <c r="AY75" s="84"/>
    </row>
    <row r="76" spans="1:51" ht="14.25" customHeight="1" x14ac:dyDescent="0.2">
      <c r="A76" s="84"/>
      <c r="B76" s="84"/>
      <c r="C76" s="84"/>
      <c r="E76" s="84"/>
      <c r="F76" s="84"/>
      <c r="G76" s="84"/>
      <c r="H76" s="84"/>
      <c r="I76" s="84"/>
      <c r="J76" s="84"/>
      <c r="K76" s="84"/>
      <c r="L76" s="84"/>
      <c r="M76" s="84"/>
      <c r="N76" s="84"/>
      <c r="O76" s="84"/>
      <c r="P76" s="84"/>
      <c r="Q76" s="84"/>
      <c r="R76" s="84"/>
      <c r="S76" s="84"/>
      <c r="T76" s="84"/>
      <c r="U76" s="84"/>
      <c r="V76" s="84"/>
      <c r="W76" s="84"/>
      <c r="X76" s="84"/>
      <c r="Y76" s="84"/>
      <c r="Z76" s="84"/>
      <c r="AA76" s="84"/>
      <c r="AB76" s="84"/>
      <c r="AC76" s="84"/>
      <c r="AD76" s="84"/>
      <c r="AE76" s="84"/>
      <c r="AF76" s="84"/>
      <c r="AG76" s="84"/>
      <c r="AH76" s="84"/>
      <c r="AI76" s="84"/>
      <c r="AJ76" s="84"/>
      <c r="AK76" s="84"/>
      <c r="AL76" s="84"/>
      <c r="AM76" s="84"/>
      <c r="AN76" s="84"/>
      <c r="AO76" s="84"/>
      <c r="AP76" s="84"/>
      <c r="AQ76" s="84"/>
      <c r="AR76" s="84"/>
      <c r="AS76" s="84"/>
      <c r="AT76" s="84"/>
      <c r="AU76" s="84"/>
      <c r="AV76" s="84"/>
      <c r="AW76" s="84"/>
      <c r="AX76" s="84"/>
      <c r="AY76" s="84"/>
    </row>
    <row r="77" spans="1:51" ht="19" x14ac:dyDescent="0.25">
      <c r="A77" s="311" t="s">
        <v>228</v>
      </c>
      <c r="B77" s="311"/>
      <c r="C77" s="311"/>
      <c r="D77" s="205" t="s">
        <v>545</v>
      </c>
      <c r="E77" s="84"/>
      <c r="F77" s="84"/>
      <c r="G77" s="84"/>
      <c r="H77" s="84"/>
      <c r="I77" s="84"/>
      <c r="J77" s="84"/>
      <c r="K77" s="84"/>
      <c r="L77" s="84"/>
      <c r="M77" s="84"/>
      <c r="N77" s="84"/>
      <c r="O77" s="84"/>
      <c r="P77" s="84"/>
      <c r="Q77" s="84"/>
      <c r="R77" s="84"/>
      <c r="S77" s="84"/>
      <c r="T77" s="84"/>
      <c r="U77" s="84"/>
      <c r="V77" s="84"/>
      <c r="W77" s="84"/>
      <c r="X77" s="84"/>
      <c r="Y77" s="84"/>
      <c r="Z77" s="84"/>
      <c r="AA77" s="84"/>
      <c r="AB77" s="84"/>
      <c r="AC77" s="84"/>
      <c r="AD77" s="84"/>
      <c r="AE77" s="84"/>
      <c r="AF77" s="84"/>
      <c r="AG77" s="84"/>
      <c r="AH77" s="84"/>
      <c r="AI77" s="84"/>
      <c r="AJ77" s="84"/>
      <c r="AK77" s="84"/>
      <c r="AL77" s="84"/>
      <c r="AM77" s="84"/>
      <c r="AN77" s="84"/>
      <c r="AO77" s="84"/>
      <c r="AP77" s="84"/>
      <c r="AQ77" s="84"/>
      <c r="AR77" s="84"/>
      <c r="AS77" s="84"/>
      <c r="AT77" s="84"/>
      <c r="AU77" s="84"/>
      <c r="AV77" s="84"/>
      <c r="AW77" s="84"/>
      <c r="AX77" s="84"/>
      <c r="AY77" s="84"/>
    </row>
    <row r="78" spans="1:51" x14ac:dyDescent="0.2">
      <c r="A78" s="182" t="s">
        <v>546</v>
      </c>
      <c r="B78" s="174" t="s">
        <v>547</v>
      </c>
      <c r="C78" s="198">
        <v>0.15</v>
      </c>
      <c r="D78" s="176">
        <v>1</v>
      </c>
      <c r="E78" s="84"/>
      <c r="F78" s="84"/>
      <c r="G78" s="84"/>
      <c r="H78" s="84"/>
      <c r="I78" s="84"/>
      <c r="J78" s="84"/>
      <c r="K78" s="84"/>
      <c r="L78" s="84"/>
      <c r="M78" s="84"/>
      <c r="N78" s="84"/>
      <c r="O78" s="84"/>
      <c r="P78" s="84"/>
      <c r="Q78" s="84"/>
      <c r="R78" s="84"/>
      <c r="S78" s="84"/>
      <c r="T78" s="84"/>
      <c r="U78" s="84"/>
      <c r="V78" s="84"/>
      <c r="W78" s="84"/>
      <c r="X78" s="84"/>
      <c r="Y78" s="84"/>
      <c r="Z78" s="84"/>
      <c r="AA78" s="84"/>
      <c r="AB78" s="84"/>
      <c r="AC78" s="84"/>
      <c r="AD78" s="84"/>
      <c r="AE78" s="84"/>
      <c r="AF78" s="84"/>
      <c r="AG78" s="84"/>
      <c r="AH78" s="84"/>
      <c r="AI78" s="84"/>
      <c r="AJ78" s="84"/>
      <c r="AK78" s="84"/>
      <c r="AL78" s="84"/>
      <c r="AM78" s="84"/>
      <c r="AN78" s="84"/>
      <c r="AO78" s="84"/>
      <c r="AP78" s="84"/>
      <c r="AQ78" s="84"/>
      <c r="AR78" s="84"/>
      <c r="AS78" s="84"/>
      <c r="AT78" s="84"/>
      <c r="AU78" s="84"/>
      <c r="AV78" s="84"/>
      <c r="AW78" s="84"/>
      <c r="AX78" s="84"/>
      <c r="AY78" s="84"/>
    </row>
    <row r="79" spans="1:51" ht="19" x14ac:dyDescent="0.25">
      <c r="A79" s="312" t="s">
        <v>230</v>
      </c>
      <c r="B79" s="312"/>
      <c r="C79" s="312"/>
      <c r="D79" s="206" t="s">
        <v>548</v>
      </c>
      <c r="E79" s="84"/>
      <c r="F79" s="84"/>
      <c r="G79" s="84"/>
      <c r="H79" s="84"/>
      <c r="I79" s="84"/>
      <c r="J79" s="84"/>
      <c r="K79" s="84"/>
      <c r="L79" s="84"/>
      <c r="M79" s="84"/>
      <c r="N79" s="84"/>
      <c r="O79" s="84"/>
      <c r="P79" s="84"/>
      <c r="Q79" s="84"/>
      <c r="R79" s="84"/>
      <c r="S79" s="84"/>
      <c r="T79" s="84"/>
      <c r="U79" s="84"/>
      <c r="V79" s="84"/>
      <c r="W79" s="84"/>
      <c r="X79" s="84"/>
      <c r="Y79" s="84"/>
      <c r="Z79" s="84"/>
      <c r="AA79" s="84"/>
      <c r="AB79" s="84"/>
      <c r="AC79" s="84"/>
      <c r="AD79" s="84"/>
      <c r="AE79" s="84"/>
      <c r="AF79" s="84"/>
      <c r="AG79" s="84"/>
      <c r="AH79" s="84"/>
      <c r="AI79" s="84"/>
      <c r="AJ79" s="84"/>
      <c r="AK79" s="84"/>
      <c r="AL79" s="84"/>
      <c r="AM79" s="84"/>
      <c r="AN79" s="84"/>
      <c r="AO79" s="84"/>
      <c r="AP79" s="84"/>
      <c r="AQ79" s="84"/>
      <c r="AR79" s="84"/>
      <c r="AS79" s="84"/>
      <c r="AT79" s="84"/>
      <c r="AU79" s="84"/>
      <c r="AV79" s="84"/>
      <c r="AW79" s="84"/>
      <c r="AX79" s="84"/>
      <c r="AY79" s="84"/>
    </row>
    <row r="80" spans="1:51" ht="14.25" customHeight="1" x14ac:dyDescent="0.2">
      <c r="A80" s="187" t="s">
        <v>549</v>
      </c>
      <c r="B80" s="177" t="s">
        <v>547</v>
      </c>
      <c r="C80" s="207">
        <v>0.2</v>
      </c>
      <c r="D80" s="208">
        <v>1</v>
      </c>
      <c r="E80" s="84"/>
      <c r="F80" s="84"/>
      <c r="G80" s="84"/>
      <c r="H80" s="84"/>
      <c r="I80" s="84"/>
      <c r="J80" s="84"/>
      <c r="K80" s="84"/>
      <c r="L80" s="84"/>
      <c r="M80" s="84"/>
      <c r="N80" s="84"/>
      <c r="O80" s="84"/>
      <c r="P80" s="84"/>
      <c r="Q80" s="84"/>
      <c r="R80" s="84"/>
      <c r="S80" s="84"/>
      <c r="T80" s="84"/>
      <c r="U80" s="84"/>
      <c r="V80" s="84"/>
      <c r="W80" s="84"/>
      <c r="X80" s="84"/>
      <c r="Y80" s="84"/>
      <c r="Z80" s="84"/>
      <c r="AA80" s="84"/>
      <c r="AB80" s="84"/>
      <c r="AC80" s="84"/>
      <c r="AD80" s="84"/>
      <c r="AE80" s="84"/>
      <c r="AF80" s="84"/>
      <c r="AG80" s="84"/>
      <c r="AH80" s="84"/>
      <c r="AI80" s="84"/>
      <c r="AJ80" s="84"/>
      <c r="AK80" s="84"/>
      <c r="AL80" s="84"/>
      <c r="AM80" s="84"/>
      <c r="AN80" s="84"/>
      <c r="AO80" s="84"/>
      <c r="AP80" s="84"/>
      <c r="AQ80" s="84"/>
      <c r="AR80" s="84"/>
      <c r="AS80" s="84"/>
      <c r="AT80" s="84"/>
      <c r="AU80" s="84"/>
      <c r="AV80" s="84"/>
      <c r="AW80" s="84"/>
      <c r="AX80" s="84"/>
      <c r="AY80" s="84"/>
    </row>
    <row r="81" spans="1:51" x14ac:dyDescent="0.2">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c r="AA81" s="84"/>
      <c r="AB81" s="84"/>
      <c r="AC81" s="84"/>
      <c r="AD81" s="84"/>
      <c r="AE81" s="84"/>
      <c r="AF81" s="84"/>
      <c r="AG81" s="84"/>
      <c r="AH81" s="84"/>
      <c r="AI81" s="84"/>
      <c r="AJ81" s="84"/>
      <c r="AK81" s="84"/>
      <c r="AL81" s="84"/>
      <c r="AM81" s="84"/>
      <c r="AN81" s="84"/>
      <c r="AO81" s="84"/>
      <c r="AP81" s="84"/>
      <c r="AQ81" s="84"/>
      <c r="AR81" s="84"/>
      <c r="AS81" s="84"/>
      <c r="AT81" s="84"/>
      <c r="AU81" s="84"/>
      <c r="AV81" s="84"/>
      <c r="AW81" s="84"/>
      <c r="AX81" s="84"/>
      <c r="AY81" s="84"/>
    </row>
    <row r="82" spans="1:51" ht="19" x14ac:dyDescent="0.25">
      <c r="A82" s="306" t="s">
        <v>236</v>
      </c>
      <c r="B82" s="306"/>
      <c r="C82" s="306"/>
    </row>
    <row r="83" spans="1:51" x14ac:dyDescent="0.2">
      <c r="A83" s="313" t="s">
        <v>550</v>
      </c>
      <c r="B83" s="174" t="s">
        <v>551</v>
      </c>
      <c r="C83" s="209">
        <v>0</v>
      </c>
    </row>
    <row r="84" spans="1:51" x14ac:dyDescent="0.2">
      <c r="A84" s="313"/>
      <c r="B84" s="174" t="s">
        <v>552</v>
      </c>
      <c r="C84" s="209">
        <v>2023</v>
      </c>
    </row>
    <row r="85" spans="1:51" x14ac:dyDescent="0.2">
      <c r="A85" s="313" t="s">
        <v>237</v>
      </c>
      <c r="B85" s="174" t="s">
        <v>238</v>
      </c>
      <c r="C85" s="209">
        <v>2015</v>
      </c>
      <c r="G85" s="119"/>
      <c r="H85" s="119"/>
      <c r="I85" s="127"/>
      <c r="J85" s="127"/>
      <c r="K85" s="127"/>
      <c r="L85" s="127"/>
      <c r="M85" s="127"/>
      <c r="N85" s="127"/>
      <c r="O85" s="127"/>
      <c r="P85" s="127"/>
      <c r="Q85" s="127"/>
      <c r="R85" s="127"/>
      <c r="S85" s="127"/>
      <c r="T85" s="127"/>
    </row>
    <row r="86" spans="1:51" x14ac:dyDescent="0.2">
      <c r="A86" s="313"/>
      <c r="B86" s="174" t="s">
        <v>241</v>
      </c>
      <c r="C86" s="210">
        <v>0</v>
      </c>
      <c r="G86" s="119"/>
      <c r="H86" s="119"/>
      <c r="I86" s="127"/>
      <c r="J86" s="127"/>
      <c r="K86" s="127"/>
      <c r="L86" s="127"/>
      <c r="M86" s="127"/>
      <c r="N86" s="127"/>
      <c r="O86" s="127"/>
      <c r="P86" s="127"/>
      <c r="Q86" s="127"/>
      <c r="R86" s="127"/>
      <c r="S86" s="127"/>
      <c r="T86" s="127"/>
    </row>
    <row r="87" spans="1:51" x14ac:dyDescent="0.2">
      <c r="A87" s="313" t="s">
        <v>243</v>
      </c>
      <c r="B87" s="174" t="s">
        <v>238</v>
      </c>
      <c r="C87" s="209">
        <v>2015</v>
      </c>
    </row>
    <row r="88" spans="1:51" x14ac:dyDescent="0.2">
      <c r="A88" s="313"/>
      <c r="B88" s="174" t="s">
        <v>241</v>
      </c>
      <c r="C88" s="210">
        <v>0</v>
      </c>
    </row>
    <row r="89" spans="1:51" x14ac:dyDescent="0.2">
      <c r="A89" s="313" t="s">
        <v>244</v>
      </c>
      <c r="B89" s="174" t="s">
        <v>238</v>
      </c>
      <c r="C89" s="209">
        <v>2023</v>
      </c>
    </row>
    <row r="90" spans="1:51" x14ac:dyDescent="0.2">
      <c r="A90" s="313"/>
      <c r="B90" s="174" t="s">
        <v>241</v>
      </c>
      <c r="C90" s="210">
        <v>0</v>
      </c>
    </row>
    <row r="91" spans="1:51" x14ac:dyDescent="0.2">
      <c r="A91" s="313" t="s">
        <v>246</v>
      </c>
      <c r="B91" s="174" t="s">
        <v>238</v>
      </c>
      <c r="C91" s="209">
        <v>2023</v>
      </c>
      <c r="G91" s="132"/>
      <c r="I91" s="125"/>
      <c r="J91" s="125"/>
      <c r="K91" s="125"/>
      <c r="L91" s="125"/>
      <c r="M91" s="125"/>
      <c r="N91" s="125"/>
      <c r="O91" s="125"/>
      <c r="P91" s="125"/>
      <c r="Q91" s="125"/>
      <c r="R91" s="125"/>
      <c r="S91" s="125"/>
      <c r="T91" s="125"/>
    </row>
    <row r="92" spans="1:51" x14ac:dyDescent="0.2">
      <c r="A92" s="313"/>
      <c r="B92" s="174" t="s">
        <v>241</v>
      </c>
      <c r="C92" s="210">
        <v>0</v>
      </c>
    </row>
    <row r="93" spans="1:51" x14ac:dyDescent="0.2">
      <c r="A93" s="313" t="s">
        <v>211</v>
      </c>
      <c r="B93" s="174" t="s">
        <v>238</v>
      </c>
      <c r="C93" s="209">
        <v>2023</v>
      </c>
    </row>
    <row r="94" spans="1:51" x14ac:dyDescent="0.2">
      <c r="A94" s="313"/>
      <c r="B94" s="174" t="s">
        <v>241</v>
      </c>
      <c r="C94" s="210">
        <v>0.97</v>
      </c>
    </row>
    <row r="95" spans="1:51" x14ac:dyDescent="0.2">
      <c r="A95" s="313" t="s">
        <v>240</v>
      </c>
      <c r="B95" s="174" t="s">
        <v>238</v>
      </c>
      <c r="C95" s="209">
        <v>2023</v>
      </c>
    </row>
    <row r="96" spans="1:51" x14ac:dyDescent="0.2">
      <c r="A96" s="313"/>
      <c r="B96" s="174" t="s">
        <v>241</v>
      </c>
      <c r="C96" s="210">
        <v>0.74</v>
      </c>
    </row>
    <row r="97" spans="1:3" x14ac:dyDescent="0.2">
      <c r="A97" s="310" t="s">
        <v>245</v>
      </c>
      <c r="B97" s="174" t="s">
        <v>238</v>
      </c>
      <c r="C97" s="209">
        <v>2023</v>
      </c>
    </row>
    <row r="98" spans="1:3" x14ac:dyDescent="0.2">
      <c r="A98" s="310"/>
      <c r="B98" s="177" t="s">
        <v>241</v>
      </c>
      <c r="C98" s="211">
        <v>0.87</v>
      </c>
    </row>
    <row r="99" spans="1:3" x14ac:dyDescent="0.2">
      <c r="A99" s="133" t="s">
        <v>247</v>
      </c>
    </row>
    <row r="101" spans="1:3" ht="14.25" customHeight="1" x14ac:dyDescent="0.25">
      <c r="A101" s="306" t="s">
        <v>248</v>
      </c>
      <c r="B101" s="306"/>
      <c r="C101" s="306"/>
    </row>
    <row r="102" spans="1:3" x14ac:dyDescent="0.2">
      <c r="A102" s="182" t="s">
        <v>249</v>
      </c>
      <c r="B102" s="174" t="s">
        <v>28</v>
      </c>
      <c r="C102" s="209">
        <v>1</v>
      </c>
    </row>
    <row r="103" spans="1:3" x14ac:dyDescent="0.2">
      <c r="A103" s="182" t="s">
        <v>256</v>
      </c>
      <c r="B103" s="174" t="s">
        <v>28</v>
      </c>
      <c r="C103" s="209">
        <v>1</v>
      </c>
    </row>
    <row r="104" spans="1:3" x14ac:dyDescent="0.2">
      <c r="A104" s="182" t="s">
        <v>553</v>
      </c>
      <c r="B104" s="174" t="s">
        <v>36</v>
      </c>
      <c r="C104" s="209">
        <v>2020</v>
      </c>
    </row>
    <row r="105" spans="1:3" x14ac:dyDescent="0.2">
      <c r="A105" s="182" t="s">
        <v>554</v>
      </c>
      <c r="B105" s="174" t="s">
        <v>36</v>
      </c>
      <c r="C105" s="209">
        <v>2025</v>
      </c>
    </row>
    <row r="106" spans="1:3" x14ac:dyDescent="0.2">
      <c r="A106" s="182" t="s">
        <v>555</v>
      </c>
      <c r="B106" s="174" t="s">
        <v>36</v>
      </c>
      <c r="C106" s="209">
        <v>2035</v>
      </c>
    </row>
    <row r="107" spans="1:3" x14ac:dyDescent="0.2">
      <c r="A107" s="182" t="s">
        <v>556</v>
      </c>
      <c r="B107" s="174" t="s">
        <v>36</v>
      </c>
      <c r="C107" s="209">
        <v>2050</v>
      </c>
    </row>
    <row r="108" spans="1:3" x14ac:dyDescent="0.2">
      <c r="A108" s="182" t="s">
        <v>255</v>
      </c>
      <c r="B108" s="174" t="s">
        <v>28</v>
      </c>
      <c r="C108" s="209">
        <v>0</v>
      </c>
    </row>
    <row r="109" spans="1:3" x14ac:dyDescent="0.2">
      <c r="A109" s="182" t="s">
        <v>261</v>
      </c>
      <c r="B109" s="174" t="s">
        <v>28</v>
      </c>
      <c r="C109" s="209">
        <v>0</v>
      </c>
    </row>
    <row r="110" spans="1:3" x14ac:dyDescent="0.2">
      <c r="A110" s="182" t="s">
        <v>557</v>
      </c>
      <c r="B110" s="174"/>
      <c r="C110" s="176">
        <v>2050</v>
      </c>
    </row>
    <row r="111" spans="1:3" x14ac:dyDescent="0.2">
      <c r="A111" s="187" t="s">
        <v>558</v>
      </c>
      <c r="B111" s="177" t="s">
        <v>28</v>
      </c>
      <c r="C111" s="208">
        <v>0.8</v>
      </c>
    </row>
    <row r="112" spans="1:3" ht="14.25" customHeight="1" x14ac:dyDescent="0.2"/>
    <row r="113" spans="1:10" ht="14.25" customHeight="1" x14ac:dyDescent="0.25">
      <c r="A113" s="306" t="s">
        <v>58</v>
      </c>
      <c r="B113" s="306"/>
      <c r="C113" s="306"/>
      <c r="D113" s="306"/>
      <c r="E113" s="306"/>
    </row>
    <row r="114" spans="1:10" ht="14.25" customHeight="1" x14ac:dyDescent="0.2">
      <c r="A114" s="310" t="s">
        <v>59</v>
      </c>
      <c r="B114" s="314">
        <v>4</v>
      </c>
      <c r="C114" s="197" t="s">
        <v>60</v>
      </c>
      <c r="D114" s="174" t="s">
        <v>65</v>
      </c>
      <c r="E114" s="194">
        <v>-1.2E-2</v>
      </c>
    </row>
    <row r="115" spans="1:10" ht="14.25" customHeight="1" x14ac:dyDescent="0.2">
      <c r="A115" s="310"/>
      <c r="B115" s="314"/>
      <c r="C115" s="197" t="s">
        <v>62</v>
      </c>
      <c r="D115" s="174" t="s">
        <v>559</v>
      </c>
      <c r="E115" s="176">
        <v>2017</v>
      </c>
    </row>
    <row r="116" spans="1:10" ht="14.25" customHeight="1" x14ac:dyDescent="0.2">
      <c r="A116" s="310"/>
      <c r="B116" s="314"/>
      <c r="C116" s="197" t="s">
        <v>63</v>
      </c>
      <c r="D116" s="315"/>
      <c r="E116" s="315"/>
    </row>
    <row r="117" spans="1:10" ht="14.25" customHeight="1" x14ac:dyDescent="0.2">
      <c r="A117" s="310"/>
      <c r="B117" s="314"/>
      <c r="C117" s="212" t="s">
        <v>64</v>
      </c>
      <c r="D117" s="315"/>
      <c r="E117" s="315"/>
    </row>
    <row r="118" spans="1:10" ht="14.25" customHeight="1" x14ac:dyDescent="0.2"/>
    <row r="119" spans="1:10" ht="14.25" customHeight="1" x14ac:dyDescent="0.2"/>
    <row r="120" spans="1:10" ht="26" x14ac:dyDescent="0.3">
      <c r="A120" s="173" t="s">
        <v>560</v>
      </c>
    </row>
    <row r="121" spans="1:10" ht="19" x14ac:dyDescent="0.25">
      <c r="A121" s="306" t="s">
        <v>561</v>
      </c>
      <c r="B121" s="306"/>
      <c r="C121" s="306"/>
      <c r="D121" s="306"/>
      <c r="E121" s="306"/>
      <c r="F121" s="306"/>
      <c r="G121" s="306"/>
      <c r="H121" s="306"/>
      <c r="I121" s="306"/>
      <c r="J121" s="306"/>
    </row>
    <row r="122" spans="1:10" x14ac:dyDescent="0.2">
      <c r="A122" s="180" t="s">
        <v>36</v>
      </c>
      <c r="B122" s="175"/>
      <c r="C122" s="174" t="s">
        <v>36</v>
      </c>
      <c r="D122" s="175">
        <v>2020</v>
      </c>
      <c r="E122" s="175">
        <v>2025</v>
      </c>
      <c r="F122" s="175">
        <v>2030</v>
      </c>
      <c r="G122" s="175">
        <v>2035</v>
      </c>
      <c r="H122" s="175">
        <v>2040</v>
      </c>
      <c r="I122" s="175">
        <v>2045</v>
      </c>
      <c r="J122" s="176">
        <v>2050</v>
      </c>
    </row>
    <row r="123" spans="1:10" x14ac:dyDescent="0.2">
      <c r="A123" s="316" t="s">
        <v>562</v>
      </c>
      <c r="B123" s="175" t="s">
        <v>563</v>
      </c>
      <c r="C123" s="174" t="s">
        <v>28</v>
      </c>
      <c r="D123" s="213">
        <v>0.88472864955826702</v>
      </c>
      <c r="E123" s="213">
        <v>0.88033461250055101</v>
      </c>
      <c r="F123" s="213">
        <v>0.87534775527083197</v>
      </c>
      <c r="G123" s="213">
        <v>0.87029999999999996</v>
      </c>
      <c r="H123" s="213">
        <v>0.86509999999999998</v>
      </c>
      <c r="I123" s="213">
        <v>0.85980999999999996</v>
      </c>
      <c r="J123" s="193">
        <v>0.85438999999999998</v>
      </c>
    </row>
    <row r="124" spans="1:10" x14ac:dyDescent="0.2">
      <c r="A124" s="316"/>
      <c r="B124" s="175" t="s">
        <v>564</v>
      </c>
      <c r="C124" s="174" t="s">
        <v>28</v>
      </c>
      <c r="D124" s="213">
        <v>0.11527135044173301</v>
      </c>
      <c r="E124" s="213">
        <v>0.11966538749944899</v>
      </c>
      <c r="F124" s="213">
        <v>0.124652244729168</v>
      </c>
      <c r="G124" s="213">
        <v>0.12970000000000001</v>
      </c>
      <c r="H124" s="213">
        <v>0.13492999999999999</v>
      </c>
      <c r="I124" s="213">
        <v>0.14019999999999999</v>
      </c>
      <c r="J124" s="193">
        <v>0.14555999999999999</v>
      </c>
    </row>
    <row r="125" spans="1:10" x14ac:dyDescent="0.2">
      <c r="A125" s="316"/>
      <c r="B125" s="175" t="s">
        <v>565</v>
      </c>
      <c r="C125" s="174" t="s">
        <v>28</v>
      </c>
      <c r="D125" s="213">
        <v>0</v>
      </c>
      <c r="E125" s="213">
        <v>0</v>
      </c>
      <c r="F125" s="213">
        <v>0</v>
      </c>
      <c r="G125" s="213">
        <v>0</v>
      </c>
      <c r="H125" s="213">
        <v>0</v>
      </c>
      <c r="I125" s="213">
        <v>0</v>
      </c>
      <c r="J125" s="193">
        <v>0</v>
      </c>
    </row>
    <row r="126" spans="1:10" x14ac:dyDescent="0.2">
      <c r="A126" s="316" t="s">
        <v>566</v>
      </c>
      <c r="B126" s="175" t="s">
        <v>563</v>
      </c>
      <c r="C126" s="174" t="s">
        <v>28</v>
      </c>
      <c r="D126" s="213">
        <v>0.941542565014448</v>
      </c>
      <c r="E126" s="213">
        <v>0.90029018569834196</v>
      </c>
      <c r="F126" s="213">
        <v>0.89948594991710895</v>
      </c>
      <c r="G126" s="213">
        <v>0.89868248596732603</v>
      </c>
      <c r="H126" s="213">
        <v>0.89787979305491095</v>
      </c>
      <c r="I126" s="213">
        <v>0.89707787038664399</v>
      </c>
      <c r="J126" s="193">
        <v>0.8962</v>
      </c>
    </row>
    <row r="127" spans="1:10" x14ac:dyDescent="0.2">
      <c r="A127" s="316"/>
      <c r="B127" s="175" t="s">
        <v>564</v>
      </c>
      <c r="C127" s="174" t="s">
        <v>28</v>
      </c>
      <c r="D127" s="213">
        <v>4.2231607023783101E-3</v>
      </c>
      <c r="E127" s="213">
        <v>5.9135968943322603E-3</v>
      </c>
      <c r="F127" s="213">
        <v>6.0668008183067104E-3</v>
      </c>
      <c r="G127" s="213">
        <v>6.2248184197546998E-3</v>
      </c>
      <c r="H127" s="213">
        <v>6.38782522707298E-3</v>
      </c>
      <c r="I127" s="213">
        <v>6.4999999999999997E-3</v>
      </c>
      <c r="J127" s="193">
        <v>6.7295437502571899E-3</v>
      </c>
    </row>
    <row r="128" spans="1:10" x14ac:dyDescent="0.2">
      <c r="A128" s="316"/>
      <c r="B128" s="175" t="s">
        <v>565</v>
      </c>
      <c r="C128" s="174" t="s">
        <v>28</v>
      </c>
      <c r="D128" s="213">
        <v>5.4234274283173997E-2</v>
      </c>
      <c r="E128" s="213">
        <v>9.3796217407325494E-2</v>
      </c>
      <c r="F128" s="213">
        <v>9.4447249264584698E-2</v>
      </c>
      <c r="G128" s="213">
        <v>9.5103036725395301E-2</v>
      </c>
      <c r="H128" s="213">
        <v>9.5763616350592398E-2</v>
      </c>
      <c r="I128" s="213">
        <v>9.6429024995418E-2</v>
      </c>
      <c r="J128" s="193">
        <v>9.7099299811984396E-2</v>
      </c>
    </row>
    <row r="129" spans="1:10" x14ac:dyDescent="0.2">
      <c r="A129" s="180" t="s">
        <v>567</v>
      </c>
      <c r="B129" s="317"/>
      <c r="C129" s="174" t="s">
        <v>28</v>
      </c>
      <c r="D129" s="213">
        <v>0.86118980169971704</v>
      </c>
      <c r="E129" s="213">
        <v>0.816445790051332</v>
      </c>
      <c r="F129" s="213">
        <v>0.79737110378897602</v>
      </c>
      <c r="G129" s="213">
        <v>0.77874390621843403</v>
      </c>
      <c r="H129" s="213">
        <v>0.76055365467805502</v>
      </c>
      <c r="I129" s="213">
        <v>0.74279005596401404</v>
      </c>
      <c r="J129" s="193">
        <v>0.72544306040184203</v>
      </c>
    </row>
    <row r="130" spans="1:10" x14ac:dyDescent="0.2">
      <c r="A130" s="180" t="s">
        <v>568</v>
      </c>
      <c r="B130" s="317"/>
      <c r="C130" s="174" t="s">
        <v>569</v>
      </c>
      <c r="D130" s="209">
        <f t="shared" ref="D130:J130" si="0">SUM(D123:D125)</f>
        <v>1</v>
      </c>
      <c r="E130" s="209">
        <f t="shared" si="0"/>
        <v>1</v>
      </c>
      <c r="F130" s="209">
        <f t="shared" si="0"/>
        <v>1</v>
      </c>
      <c r="G130" s="209">
        <f t="shared" si="0"/>
        <v>1</v>
      </c>
      <c r="H130" s="209">
        <f t="shared" si="0"/>
        <v>1.00003</v>
      </c>
      <c r="I130" s="209">
        <f t="shared" si="0"/>
        <v>1.0000100000000001</v>
      </c>
      <c r="J130" s="209">
        <f t="shared" si="0"/>
        <v>0.99995000000000001</v>
      </c>
    </row>
    <row r="131" spans="1:10" x14ac:dyDescent="0.2">
      <c r="A131" s="215" t="s">
        <v>570</v>
      </c>
      <c r="B131" s="317"/>
      <c r="C131" s="177" t="s">
        <v>569</v>
      </c>
      <c r="D131" s="209">
        <f t="shared" ref="D131:J131" si="1">SUM(D126:D128)</f>
        <v>1.0000000000000002</v>
      </c>
      <c r="E131" s="209">
        <f t="shared" si="1"/>
        <v>0.99999999999999967</v>
      </c>
      <c r="F131" s="209">
        <f t="shared" si="1"/>
        <v>1.0000000000000004</v>
      </c>
      <c r="G131" s="209">
        <f t="shared" si="1"/>
        <v>1.0000103411124761</v>
      </c>
      <c r="H131" s="209">
        <f t="shared" si="1"/>
        <v>1.0000312346325764</v>
      </c>
      <c r="I131" s="209">
        <f t="shared" si="1"/>
        <v>1.000006895382062</v>
      </c>
      <c r="J131" s="209">
        <f t="shared" si="1"/>
        <v>1.0000288435622415</v>
      </c>
    </row>
    <row r="133" spans="1:10" ht="19" x14ac:dyDescent="0.25">
      <c r="A133" s="306" t="s">
        <v>571</v>
      </c>
      <c r="B133" s="306"/>
      <c r="C133" s="306"/>
      <c r="D133" s="306"/>
      <c r="E133" s="306"/>
      <c r="F133" s="306"/>
      <c r="G133" s="306"/>
      <c r="H133" s="306"/>
      <c r="I133" s="306"/>
    </row>
    <row r="134" spans="1:10" x14ac:dyDescent="0.2">
      <c r="A134" s="180" t="s">
        <v>36</v>
      </c>
      <c r="B134" s="174" t="s">
        <v>36</v>
      </c>
      <c r="C134" s="175">
        <v>2020</v>
      </c>
      <c r="D134" s="175">
        <v>2025</v>
      </c>
      <c r="E134" s="175">
        <v>2030</v>
      </c>
      <c r="F134" s="175">
        <v>2035</v>
      </c>
      <c r="G134" s="175">
        <v>2040</v>
      </c>
      <c r="H134" s="175">
        <v>2045</v>
      </c>
      <c r="I134" s="176">
        <v>2050</v>
      </c>
    </row>
    <row r="135" spans="1:10" x14ac:dyDescent="0.2">
      <c r="A135" s="316" t="s">
        <v>572</v>
      </c>
      <c r="B135" s="174" t="s">
        <v>573</v>
      </c>
      <c r="C135" s="213">
        <v>0.80689476676619099</v>
      </c>
      <c r="D135" s="213">
        <v>0.71021542176077801</v>
      </c>
      <c r="E135" s="213">
        <v>0.60650331097055998</v>
      </c>
      <c r="F135" s="213">
        <v>0.51929710152244202</v>
      </c>
      <c r="G135" s="213">
        <v>0.432090892074324</v>
      </c>
      <c r="H135" s="213">
        <v>0.34488468262620597</v>
      </c>
      <c r="I135" s="193">
        <v>0.27268180370928902</v>
      </c>
    </row>
    <row r="136" spans="1:10" x14ac:dyDescent="0.2">
      <c r="A136" s="316"/>
      <c r="B136" s="174" t="s">
        <v>192</v>
      </c>
      <c r="C136" s="213">
        <v>2.5719720127708699E-2</v>
      </c>
      <c r="D136" s="213">
        <v>5.04865457750533E-2</v>
      </c>
      <c r="E136" s="213">
        <v>7.2522641427268802E-2</v>
      </c>
      <c r="F136" s="213">
        <v>9.66968552363585E-2</v>
      </c>
      <c r="G136" s="213">
        <v>0.120871069045448</v>
      </c>
      <c r="H136" s="213">
        <v>0.14504528285453799</v>
      </c>
      <c r="I136" s="193">
        <v>0.16921949666362701</v>
      </c>
    </row>
    <row r="137" spans="1:10" x14ac:dyDescent="0.2">
      <c r="A137" s="316"/>
      <c r="B137" s="174" t="s">
        <v>374</v>
      </c>
      <c r="C137" s="213">
        <v>0.14108125388458001</v>
      </c>
      <c r="D137" s="213">
        <v>0.18766406519422801</v>
      </c>
      <c r="E137" s="213">
        <v>0.24680316432428201</v>
      </c>
      <c r="F137" s="213">
        <v>0.28511153220401497</v>
      </c>
      <c r="G137" s="213">
        <v>0.32341990008374699</v>
      </c>
      <c r="H137" s="213">
        <v>0.36172826796347901</v>
      </c>
      <c r="I137" s="193">
        <v>0.38503330531201002</v>
      </c>
    </row>
    <row r="138" spans="1:10" x14ac:dyDescent="0.2">
      <c r="A138" s="316"/>
      <c r="B138" s="174" t="s">
        <v>574</v>
      </c>
      <c r="C138" s="213">
        <v>2.6304259221520299E-2</v>
      </c>
      <c r="D138" s="213">
        <v>5.1633967269940899E-2</v>
      </c>
      <c r="E138" s="213">
        <v>7.4170883277888594E-2</v>
      </c>
      <c r="F138" s="213">
        <v>9.8894511037184801E-2</v>
      </c>
      <c r="G138" s="213">
        <v>0.12361813879648099</v>
      </c>
      <c r="H138" s="213">
        <v>0.14834176655577699</v>
      </c>
      <c r="I138" s="193">
        <v>0.17306539431507301</v>
      </c>
    </row>
    <row r="139" spans="1:10" x14ac:dyDescent="0.2">
      <c r="A139" s="316" t="s">
        <v>564</v>
      </c>
      <c r="B139" s="174" t="s">
        <v>573</v>
      </c>
      <c r="C139" s="213">
        <v>0.96638655462184897</v>
      </c>
      <c r="D139" s="213">
        <v>0.93277310924369805</v>
      </c>
      <c r="E139" s="213">
        <v>0.89915966386554602</v>
      </c>
      <c r="F139" s="213">
        <v>0.86554621848739499</v>
      </c>
      <c r="G139" s="213">
        <v>0.83193277310924396</v>
      </c>
      <c r="H139" s="213">
        <v>0.79831932773109304</v>
      </c>
      <c r="I139" s="193">
        <v>0.76470588235294101</v>
      </c>
    </row>
    <row r="140" spans="1:10" x14ac:dyDescent="0.2">
      <c r="A140" s="316"/>
      <c r="B140" s="174" t="s">
        <v>192</v>
      </c>
      <c r="C140" s="213">
        <v>3.3613445378151301E-2</v>
      </c>
      <c r="D140" s="213">
        <v>6.7226890756302504E-2</v>
      </c>
      <c r="E140" s="213">
        <v>0.10084033613445401</v>
      </c>
      <c r="F140" s="213">
        <v>0.13445378151260501</v>
      </c>
      <c r="G140" s="213">
        <v>0.16806722689075601</v>
      </c>
      <c r="H140" s="213">
        <v>0.20168067226890801</v>
      </c>
      <c r="I140" s="193">
        <v>0.23529411764705899</v>
      </c>
    </row>
    <row r="141" spans="1:10" x14ac:dyDescent="0.2">
      <c r="A141" s="316"/>
      <c r="B141" s="174" t="s">
        <v>374</v>
      </c>
      <c r="C141" s="213">
        <v>0</v>
      </c>
      <c r="D141" s="213">
        <v>0</v>
      </c>
      <c r="E141" s="213">
        <v>0</v>
      </c>
      <c r="F141" s="213">
        <v>0</v>
      </c>
      <c r="G141" s="213">
        <v>0</v>
      </c>
      <c r="H141" s="213">
        <v>0</v>
      </c>
      <c r="I141" s="193">
        <v>0</v>
      </c>
    </row>
    <row r="142" spans="1:10" x14ac:dyDescent="0.2">
      <c r="A142" s="316"/>
      <c r="B142" s="174" t="s">
        <v>574</v>
      </c>
      <c r="C142" s="213">
        <v>0</v>
      </c>
      <c r="D142" s="213">
        <v>0</v>
      </c>
      <c r="E142" s="213">
        <v>0</v>
      </c>
      <c r="F142" s="213">
        <v>0</v>
      </c>
      <c r="G142" s="213">
        <v>0</v>
      </c>
      <c r="H142" s="213">
        <v>0</v>
      </c>
      <c r="I142" s="193">
        <v>0</v>
      </c>
    </row>
    <row r="143" spans="1:10" x14ac:dyDescent="0.2">
      <c r="A143" s="316" t="s">
        <v>565</v>
      </c>
      <c r="B143" s="174" t="s">
        <v>573</v>
      </c>
      <c r="C143" s="213">
        <v>0</v>
      </c>
      <c r="D143" s="213">
        <v>0</v>
      </c>
      <c r="E143" s="213">
        <v>0</v>
      </c>
      <c r="F143" s="213">
        <v>0</v>
      </c>
      <c r="G143" s="213">
        <v>0</v>
      </c>
      <c r="H143" s="213">
        <v>0</v>
      </c>
      <c r="I143" s="193">
        <v>0</v>
      </c>
    </row>
    <row r="144" spans="1:10" x14ac:dyDescent="0.2">
      <c r="A144" s="316"/>
      <c r="B144" s="174" t="s">
        <v>192</v>
      </c>
      <c r="C144" s="213">
        <v>0</v>
      </c>
      <c r="D144" s="213">
        <v>0</v>
      </c>
      <c r="E144" s="213">
        <v>0</v>
      </c>
      <c r="F144" s="213">
        <v>0</v>
      </c>
      <c r="G144" s="213">
        <v>0</v>
      </c>
      <c r="H144" s="213">
        <v>0</v>
      </c>
      <c r="I144" s="193">
        <v>0</v>
      </c>
    </row>
    <row r="145" spans="1:9" x14ac:dyDescent="0.2">
      <c r="A145" s="316"/>
      <c r="B145" s="174" t="s">
        <v>374</v>
      </c>
      <c r="C145" s="213">
        <v>0</v>
      </c>
      <c r="D145" s="213">
        <v>0</v>
      </c>
      <c r="E145" s="213">
        <v>0</v>
      </c>
      <c r="F145" s="213">
        <v>0</v>
      </c>
      <c r="G145" s="213">
        <v>0</v>
      </c>
      <c r="H145" s="213">
        <v>0</v>
      </c>
      <c r="I145" s="193">
        <v>0</v>
      </c>
    </row>
    <row r="146" spans="1:9" x14ac:dyDescent="0.2">
      <c r="A146" s="316"/>
      <c r="B146" s="174" t="s">
        <v>574</v>
      </c>
      <c r="C146" s="213">
        <v>0</v>
      </c>
      <c r="D146" s="213">
        <v>0</v>
      </c>
      <c r="E146" s="213">
        <v>0</v>
      </c>
      <c r="F146" s="213">
        <v>0</v>
      </c>
      <c r="G146" s="213">
        <v>0</v>
      </c>
      <c r="H146" s="213">
        <v>0</v>
      </c>
      <c r="I146" s="193">
        <v>0</v>
      </c>
    </row>
    <row r="147" spans="1:9" ht="19" x14ac:dyDescent="0.25">
      <c r="A147" s="318" t="s">
        <v>575</v>
      </c>
      <c r="B147" s="318"/>
      <c r="C147" s="318"/>
      <c r="D147" s="318"/>
      <c r="E147" s="318"/>
      <c r="F147" s="318"/>
      <c r="G147" s="318"/>
      <c r="H147" s="318"/>
      <c r="I147" s="318"/>
    </row>
    <row r="148" spans="1:9" x14ac:dyDescent="0.2">
      <c r="A148" s="180" t="s">
        <v>36</v>
      </c>
      <c r="B148" s="174" t="s">
        <v>36</v>
      </c>
      <c r="C148" s="175">
        <v>2020</v>
      </c>
      <c r="D148" s="175">
        <v>2025</v>
      </c>
      <c r="E148" s="175">
        <v>2030</v>
      </c>
      <c r="F148" s="175">
        <v>2035</v>
      </c>
      <c r="G148" s="175">
        <v>2040</v>
      </c>
      <c r="H148" s="175">
        <v>2045</v>
      </c>
      <c r="I148" s="176">
        <v>2050</v>
      </c>
    </row>
    <row r="149" spans="1:9" x14ac:dyDescent="0.2">
      <c r="A149" s="316" t="s">
        <v>572</v>
      </c>
      <c r="B149" s="174" t="s">
        <v>573</v>
      </c>
      <c r="C149" s="213">
        <v>0.81232807061705203</v>
      </c>
      <c r="D149" s="213">
        <v>0.69070448408046803</v>
      </c>
      <c r="E149" s="213">
        <v>0.58121932538473597</v>
      </c>
      <c r="F149" s="213">
        <v>0.47324615070276999</v>
      </c>
      <c r="G149" s="213">
        <v>0.365272976020804</v>
      </c>
      <c r="H149" s="213">
        <v>0.25729980133883801</v>
      </c>
      <c r="I149" s="193">
        <v>4.7326462882118503E-2</v>
      </c>
    </row>
    <row r="150" spans="1:9" x14ac:dyDescent="0.2">
      <c r="A150" s="316"/>
      <c r="B150" s="174" t="s">
        <v>192</v>
      </c>
      <c r="C150" s="213">
        <v>5.0511543543349503E-2</v>
      </c>
      <c r="D150" s="213">
        <v>6.3989756481404203E-2</v>
      </c>
      <c r="E150" s="213">
        <v>7.8297570769764804E-2</v>
      </c>
      <c r="F150" s="213">
        <v>9.38225342940677E-2</v>
      </c>
      <c r="G150" s="213">
        <v>0.10934749781837</v>
      </c>
      <c r="H150" s="213">
        <v>0.12487246134267301</v>
      </c>
      <c r="I150" s="193">
        <v>0.147110104070304</v>
      </c>
    </row>
    <row r="151" spans="1:9" x14ac:dyDescent="0.2">
      <c r="A151" s="316"/>
      <c r="B151" s="174" t="s">
        <v>374</v>
      </c>
      <c r="C151" s="213">
        <v>0.133646787816532</v>
      </c>
      <c r="D151" s="213">
        <v>0.23825249436891499</v>
      </c>
      <c r="E151" s="213">
        <v>0.32980805978183098</v>
      </c>
      <c r="F151" s="213">
        <v>0.418734491739984</v>
      </c>
      <c r="G151" s="213">
        <v>0.50766092369813598</v>
      </c>
      <c r="H151" s="213">
        <v>0.59658735565628795</v>
      </c>
      <c r="I151" s="193">
        <v>0.78091097865099901</v>
      </c>
    </row>
    <row r="152" spans="1:9" x14ac:dyDescent="0.2">
      <c r="A152" s="316"/>
      <c r="B152" s="174" t="s">
        <v>574</v>
      </c>
      <c r="C152" s="213">
        <v>3.5135980230661902E-3</v>
      </c>
      <c r="D152" s="213">
        <v>7.0532650692127202E-3</v>
      </c>
      <c r="E152" s="213">
        <v>1.0675044063667601E-2</v>
      </c>
      <c r="F152" s="213">
        <v>1.4196823263178801E-2</v>
      </c>
      <c r="G152" s="213">
        <v>1.7718602462690001E-2</v>
      </c>
      <c r="H152" s="213">
        <v>2.1240381662201199E-2</v>
      </c>
      <c r="I152" s="193">
        <v>2.46524543965785E-2</v>
      </c>
    </row>
    <row r="153" spans="1:9" x14ac:dyDescent="0.2">
      <c r="A153" s="316" t="s">
        <v>564</v>
      </c>
      <c r="B153" s="174" t="s">
        <v>573</v>
      </c>
      <c r="C153" s="213">
        <v>0.96638655462184897</v>
      </c>
      <c r="D153" s="213">
        <v>0.93277310924369805</v>
      </c>
      <c r="E153" s="213">
        <v>0.89915966386554602</v>
      </c>
      <c r="F153" s="213">
        <v>0.86554621848739499</v>
      </c>
      <c r="G153" s="213">
        <v>0.83193277310924396</v>
      </c>
      <c r="H153" s="213">
        <v>0.79831932773109304</v>
      </c>
      <c r="I153" s="193">
        <v>0.76470588235294101</v>
      </c>
    </row>
    <row r="154" spans="1:9" x14ac:dyDescent="0.2">
      <c r="A154" s="316"/>
      <c r="B154" s="174" t="s">
        <v>192</v>
      </c>
      <c r="C154" s="213">
        <v>3.3613445378151301E-2</v>
      </c>
      <c r="D154" s="213">
        <v>6.7226890756302504E-2</v>
      </c>
      <c r="E154" s="213">
        <v>0.10084033613445401</v>
      </c>
      <c r="F154" s="213">
        <v>0.13445378151260501</v>
      </c>
      <c r="G154" s="213">
        <v>0.16806722689075601</v>
      </c>
      <c r="H154" s="213">
        <v>0.20168067226890801</v>
      </c>
      <c r="I154" s="193">
        <v>0.23529411764705899</v>
      </c>
    </row>
    <row r="155" spans="1:9" x14ac:dyDescent="0.2">
      <c r="A155" s="316"/>
      <c r="B155" s="174" t="s">
        <v>374</v>
      </c>
      <c r="C155" s="213">
        <v>0</v>
      </c>
      <c r="D155" s="213">
        <v>0</v>
      </c>
      <c r="E155" s="213">
        <v>0</v>
      </c>
      <c r="F155" s="213">
        <v>0</v>
      </c>
      <c r="G155" s="213">
        <v>0</v>
      </c>
      <c r="H155" s="213">
        <v>0</v>
      </c>
      <c r="I155" s="193">
        <v>0</v>
      </c>
    </row>
    <row r="156" spans="1:9" x14ac:dyDescent="0.2">
      <c r="A156" s="316"/>
      <c r="B156" s="174" t="s">
        <v>574</v>
      </c>
      <c r="C156" s="213">
        <v>0</v>
      </c>
      <c r="D156" s="213">
        <v>0</v>
      </c>
      <c r="E156" s="213">
        <v>0</v>
      </c>
      <c r="F156" s="213">
        <v>0</v>
      </c>
      <c r="G156" s="213">
        <v>0</v>
      </c>
      <c r="H156" s="213">
        <v>0</v>
      </c>
      <c r="I156" s="193">
        <v>0</v>
      </c>
    </row>
    <row r="157" spans="1:9" x14ac:dyDescent="0.2">
      <c r="A157" s="316" t="s">
        <v>565</v>
      </c>
      <c r="B157" s="174" t="s">
        <v>573</v>
      </c>
      <c r="C157" s="213">
        <v>0.99719887955182096</v>
      </c>
      <c r="D157" s="213">
        <v>0.99439775910364203</v>
      </c>
      <c r="E157" s="213">
        <v>0.99159663865546199</v>
      </c>
      <c r="F157" s="213">
        <v>0.98879551820728295</v>
      </c>
      <c r="G157" s="213">
        <v>0.98599439775910402</v>
      </c>
      <c r="H157" s="213">
        <v>0.98319327731092399</v>
      </c>
      <c r="I157" s="193">
        <v>0.98039215686274495</v>
      </c>
    </row>
    <row r="158" spans="1:9" x14ac:dyDescent="0.2">
      <c r="A158" s="316"/>
      <c r="B158" s="174" t="s">
        <v>192</v>
      </c>
      <c r="C158" s="213">
        <v>0</v>
      </c>
      <c r="D158" s="213">
        <v>0</v>
      </c>
      <c r="E158" s="213">
        <v>0</v>
      </c>
      <c r="F158" s="213">
        <v>0</v>
      </c>
      <c r="G158" s="213">
        <v>0</v>
      </c>
      <c r="H158" s="213">
        <v>0</v>
      </c>
      <c r="I158" s="193">
        <v>0</v>
      </c>
    </row>
    <row r="159" spans="1:9" x14ac:dyDescent="0.2">
      <c r="A159" s="316"/>
      <c r="B159" s="174" t="s">
        <v>374</v>
      </c>
      <c r="C159" s="213">
        <v>2.80112044817927E-3</v>
      </c>
      <c r="D159" s="213">
        <v>5.60224089635854E-3</v>
      </c>
      <c r="E159" s="213">
        <v>8.40336134453782E-3</v>
      </c>
      <c r="F159" s="213">
        <v>1.1204481792717101E-2</v>
      </c>
      <c r="G159" s="213">
        <v>1.4005602240896401E-2</v>
      </c>
      <c r="H159" s="213">
        <v>1.6806722689075598E-2</v>
      </c>
      <c r="I159" s="193">
        <v>1.9607843137254902E-2</v>
      </c>
    </row>
    <row r="160" spans="1:9" x14ac:dyDescent="0.2">
      <c r="A160" s="316"/>
      <c r="B160" s="174" t="s">
        <v>574</v>
      </c>
      <c r="C160" s="213">
        <v>0</v>
      </c>
      <c r="D160" s="213">
        <v>0</v>
      </c>
      <c r="E160" s="213">
        <v>0</v>
      </c>
      <c r="F160" s="213">
        <v>0</v>
      </c>
      <c r="G160" s="213">
        <v>0</v>
      </c>
      <c r="H160" s="213">
        <v>0</v>
      </c>
      <c r="I160" s="193">
        <v>0</v>
      </c>
    </row>
    <row r="161" spans="1:51" x14ac:dyDescent="0.2">
      <c r="A161" s="307" t="s">
        <v>576</v>
      </c>
      <c r="B161" s="174" t="s">
        <v>573</v>
      </c>
      <c r="C161" s="213">
        <v>0.82871083959899705</v>
      </c>
      <c r="D161" s="213">
        <v>0.69662151061126698</v>
      </c>
      <c r="E161" s="213">
        <v>0.56459726690870604</v>
      </c>
      <c r="F161" s="213">
        <v>0.43251965261780001</v>
      </c>
      <c r="G161" s="213">
        <v>0.30044203832689398</v>
      </c>
      <c r="H161" s="213">
        <v>0.168364424035988</v>
      </c>
      <c r="I161" s="193">
        <v>3.6286809745082499E-2</v>
      </c>
    </row>
    <row r="162" spans="1:51" x14ac:dyDescent="0.2">
      <c r="A162" s="307"/>
      <c r="B162" s="174" t="s">
        <v>192</v>
      </c>
      <c r="C162" s="213">
        <v>5.6965852130325803E-2</v>
      </c>
      <c r="D162" s="213">
        <v>7.5022347727485006E-2</v>
      </c>
      <c r="E162" s="213">
        <v>9.3065840221172105E-2</v>
      </c>
      <c r="F162" s="213">
        <v>0.11112339130886199</v>
      </c>
      <c r="G162" s="213">
        <v>0.12918094239655201</v>
      </c>
      <c r="H162" s="213">
        <v>0.14723849348424201</v>
      </c>
      <c r="I162" s="193">
        <v>0.165296044571933</v>
      </c>
    </row>
    <row r="163" spans="1:51" x14ac:dyDescent="0.2">
      <c r="A163" s="307"/>
      <c r="B163" s="174" t="s">
        <v>374</v>
      </c>
      <c r="C163" s="213">
        <v>0.111544486215539</v>
      </c>
      <c r="D163" s="213">
        <v>0.22279893071847101</v>
      </c>
      <c r="E163" s="213">
        <v>0.334002638521957</v>
      </c>
      <c r="F163" s="213">
        <v>0.44524461694245099</v>
      </c>
      <c r="G163" s="213">
        <v>0.55648659536294598</v>
      </c>
      <c r="H163" s="213">
        <v>0.66772857378343997</v>
      </c>
      <c r="I163" s="193">
        <v>0.77897055220393396</v>
      </c>
    </row>
    <row r="164" spans="1:51" x14ac:dyDescent="0.2">
      <c r="A164" s="307"/>
      <c r="B164" s="177" t="s">
        <v>574</v>
      </c>
      <c r="C164" s="178">
        <v>2.7788220551378398E-3</v>
      </c>
      <c r="D164" s="178">
        <v>5.5572109427766596E-3</v>
      </c>
      <c r="E164" s="178">
        <v>8.33425434816467E-3</v>
      </c>
      <c r="F164" s="178">
        <v>1.11123391308862E-2</v>
      </c>
      <c r="G164" s="178">
        <v>1.3890423913607799E-2</v>
      </c>
      <c r="H164" s="178">
        <v>1.6668508696329298E-2</v>
      </c>
      <c r="I164" s="179">
        <v>1.9446593479050901E-2</v>
      </c>
    </row>
    <row r="165" spans="1:51" x14ac:dyDescent="0.2">
      <c r="A165" s="216"/>
      <c r="B165" s="216"/>
      <c r="C165" s="216"/>
      <c r="D165" s="216"/>
      <c r="E165" s="216"/>
      <c r="F165" s="216"/>
      <c r="G165" s="216"/>
      <c r="H165" s="216"/>
      <c r="I165" s="216"/>
      <c r="J165" s="216"/>
      <c r="K165" s="216"/>
      <c r="L165" s="216"/>
      <c r="M165" s="216"/>
      <c r="N165" s="216"/>
      <c r="O165" s="216"/>
      <c r="P165" s="216"/>
      <c r="Q165" s="216"/>
      <c r="R165" s="216"/>
      <c r="S165" s="216"/>
      <c r="T165" s="216"/>
      <c r="U165" s="216"/>
      <c r="V165" s="216"/>
      <c r="W165" s="216"/>
      <c r="X165" s="216"/>
      <c r="Y165" s="216"/>
      <c r="Z165" s="216"/>
      <c r="AA165" s="216"/>
      <c r="AB165" s="216"/>
      <c r="AC165" s="216"/>
      <c r="AD165" s="216"/>
      <c r="AE165" s="216"/>
      <c r="AF165" s="216"/>
      <c r="AG165" s="216"/>
      <c r="AH165" s="216"/>
      <c r="AI165" s="216"/>
      <c r="AJ165" s="216"/>
      <c r="AK165" s="216"/>
      <c r="AL165" s="216"/>
      <c r="AM165" s="216"/>
      <c r="AN165" s="216"/>
      <c r="AO165" s="216"/>
      <c r="AP165" s="216"/>
      <c r="AQ165" s="216"/>
      <c r="AR165" s="216"/>
      <c r="AS165" s="216"/>
      <c r="AT165" s="216"/>
      <c r="AU165" s="216"/>
      <c r="AV165" s="216"/>
      <c r="AW165" s="216"/>
      <c r="AX165" s="216"/>
      <c r="AY165" s="216"/>
    </row>
    <row r="166" spans="1:51" ht="15" customHeight="1" x14ac:dyDescent="0.2"/>
    <row r="167" spans="1:51" ht="21.75" customHeight="1" x14ac:dyDescent="0.3">
      <c r="A167" s="173" t="s">
        <v>577</v>
      </c>
    </row>
    <row r="168" spans="1:51" ht="19" x14ac:dyDescent="0.25">
      <c r="A168" s="306" t="s">
        <v>317</v>
      </c>
      <c r="B168" s="306"/>
      <c r="C168" s="306"/>
      <c r="D168" s="306"/>
      <c r="E168" s="306"/>
    </row>
    <row r="169" spans="1:51" ht="85.5" customHeight="1" x14ac:dyDescent="0.2">
      <c r="A169" s="319" t="s">
        <v>318</v>
      </c>
      <c r="B169" s="319"/>
      <c r="C169" s="319"/>
      <c r="D169" s="319"/>
      <c r="E169" s="319"/>
    </row>
    <row r="170" spans="1:51" ht="15" customHeight="1" x14ac:dyDescent="0.2">
      <c r="A170" s="81"/>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c r="AA170" s="81"/>
      <c r="AB170" s="81"/>
      <c r="AC170" s="81"/>
      <c r="AD170" s="81"/>
      <c r="AE170" s="81"/>
      <c r="AF170" s="81"/>
      <c r="AG170" s="81"/>
      <c r="AH170" s="81"/>
      <c r="AI170" s="81"/>
      <c r="AJ170" s="81"/>
      <c r="AK170" s="81"/>
      <c r="AL170" s="81"/>
      <c r="AM170" s="81"/>
      <c r="AN170" s="81"/>
      <c r="AO170" s="81"/>
      <c r="AP170" s="81"/>
      <c r="AQ170" s="81"/>
      <c r="AR170" s="81"/>
      <c r="AS170" s="81"/>
      <c r="AT170" s="81"/>
      <c r="AU170" s="81"/>
      <c r="AV170" s="81"/>
      <c r="AW170" s="81"/>
      <c r="AX170" s="81"/>
      <c r="AY170" s="81"/>
    </row>
    <row r="171" spans="1:51" ht="13.5" customHeight="1" x14ac:dyDescent="0.2">
      <c r="A171" s="320" t="s">
        <v>319</v>
      </c>
      <c r="B171" s="217" t="s">
        <v>320</v>
      </c>
      <c r="C171" s="321">
        <v>3</v>
      </c>
      <c r="D171" s="81"/>
      <c r="F171" s="81"/>
      <c r="G171" s="81"/>
      <c r="H171" s="81"/>
      <c r="I171" s="81"/>
      <c r="J171" s="81"/>
      <c r="K171" s="139"/>
      <c r="L171" s="139"/>
      <c r="M171" s="81"/>
      <c r="N171" s="81"/>
    </row>
    <row r="172" spans="1:51" x14ac:dyDescent="0.2">
      <c r="A172" s="320"/>
      <c r="B172" s="174" t="s">
        <v>321</v>
      </c>
      <c r="C172" s="321"/>
      <c r="D172" s="141"/>
      <c r="E172" s="141"/>
      <c r="F172" s="141"/>
      <c r="G172" s="141"/>
      <c r="H172" s="141"/>
      <c r="I172" s="141"/>
      <c r="J172" s="141"/>
      <c r="K172" s="141"/>
      <c r="L172" s="141"/>
      <c r="M172" s="141"/>
      <c r="N172" s="141"/>
    </row>
    <row r="173" spans="1:51" ht="28.5" customHeight="1" x14ac:dyDescent="0.2">
      <c r="A173" s="320"/>
      <c r="B173" s="177" t="s">
        <v>322</v>
      </c>
      <c r="C173" s="321"/>
      <c r="D173" s="81"/>
      <c r="E173" s="81"/>
      <c r="F173" s="81"/>
      <c r="G173" s="81"/>
      <c r="H173" s="81"/>
      <c r="I173" s="81"/>
      <c r="J173" s="81"/>
      <c r="K173" s="81"/>
      <c r="L173" s="81"/>
      <c r="M173" s="81"/>
      <c r="N173" s="81"/>
    </row>
    <row r="175" spans="1:51" ht="15.75" customHeight="1" x14ac:dyDescent="0.25">
      <c r="A175" s="306" t="s">
        <v>323</v>
      </c>
      <c r="B175" s="306"/>
      <c r="C175" s="306"/>
    </row>
    <row r="176" spans="1:51" x14ac:dyDescent="0.2">
      <c r="A176" s="180" t="s">
        <v>324</v>
      </c>
      <c r="B176" s="174" t="s">
        <v>28</v>
      </c>
      <c r="C176" s="176">
        <v>0.3</v>
      </c>
    </row>
    <row r="177" spans="1:30" ht="32" x14ac:dyDescent="0.2">
      <c r="A177" s="218" t="s">
        <v>326</v>
      </c>
      <c r="B177" s="177" t="s">
        <v>327</v>
      </c>
      <c r="C177" s="211">
        <v>3.1E-2</v>
      </c>
    </row>
    <row r="178" spans="1:30" ht="15.75" customHeight="1" x14ac:dyDescent="0.25">
      <c r="A178" s="311" t="s">
        <v>578</v>
      </c>
      <c r="B178" s="311"/>
      <c r="C178" s="219" t="s">
        <v>576</v>
      </c>
      <c r="D178" s="219" t="s">
        <v>579</v>
      </c>
      <c r="E178" s="219" t="s">
        <v>362</v>
      </c>
      <c r="F178" s="219" t="s">
        <v>580</v>
      </c>
      <c r="G178" s="219" t="s">
        <v>581</v>
      </c>
      <c r="H178" s="219" t="s">
        <v>582</v>
      </c>
      <c r="I178" s="219" t="s">
        <v>583</v>
      </c>
      <c r="J178" s="219" t="s">
        <v>354</v>
      </c>
      <c r="K178" s="219" t="s">
        <v>584</v>
      </c>
      <c r="L178" s="219" t="s">
        <v>585</v>
      </c>
      <c r="M178" s="219" t="s">
        <v>586</v>
      </c>
      <c r="N178" s="219" t="s">
        <v>587</v>
      </c>
      <c r="O178" s="219" t="s">
        <v>588</v>
      </c>
      <c r="P178" s="219" t="s">
        <v>589</v>
      </c>
      <c r="Q178" s="220" t="s">
        <v>590</v>
      </c>
      <c r="R178" s="220" t="s">
        <v>338</v>
      </c>
      <c r="S178" s="220" t="s">
        <v>591</v>
      </c>
      <c r="T178" s="220" t="s">
        <v>592</v>
      </c>
      <c r="U178" s="220" t="s">
        <v>593</v>
      </c>
      <c r="V178" s="220" t="s">
        <v>594</v>
      </c>
      <c r="W178" s="220" t="s">
        <v>595</v>
      </c>
      <c r="X178" s="220" t="s">
        <v>596</v>
      </c>
      <c r="Y178" s="220" t="s">
        <v>597</v>
      </c>
      <c r="Z178" s="220" t="s">
        <v>598</v>
      </c>
      <c r="AA178" s="220" t="s">
        <v>599</v>
      </c>
      <c r="AB178" s="220" t="s">
        <v>351</v>
      </c>
      <c r="AC178" s="220" t="s">
        <v>361</v>
      </c>
      <c r="AD178" s="220" t="s">
        <v>600</v>
      </c>
    </row>
    <row r="179" spans="1:30" x14ac:dyDescent="0.2">
      <c r="A179" s="322" t="s">
        <v>374</v>
      </c>
      <c r="B179" s="322"/>
      <c r="C179" s="221">
        <v>2030</v>
      </c>
      <c r="D179" s="221">
        <v>2030</v>
      </c>
      <c r="E179" s="221">
        <v>2030</v>
      </c>
      <c r="F179" s="221">
        <v>2030</v>
      </c>
      <c r="G179" s="221">
        <v>2030</v>
      </c>
      <c r="H179" s="221">
        <v>2030</v>
      </c>
      <c r="I179" s="221">
        <v>2030</v>
      </c>
      <c r="J179" s="221">
        <v>2030</v>
      </c>
      <c r="K179" s="221">
        <v>2030</v>
      </c>
      <c r="L179" s="221">
        <v>2030</v>
      </c>
      <c r="M179" s="221">
        <v>2030</v>
      </c>
      <c r="N179" s="221">
        <v>2030</v>
      </c>
      <c r="O179" s="221">
        <v>2030</v>
      </c>
      <c r="P179" s="221">
        <v>2030</v>
      </c>
      <c r="Q179" s="222">
        <v>2030</v>
      </c>
      <c r="R179" s="222">
        <v>2030</v>
      </c>
      <c r="S179" s="222">
        <v>2030</v>
      </c>
      <c r="T179" s="222">
        <v>2030</v>
      </c>
      <c r="U179" s="222">
        <v>2030</v>
      </c>
      <c r="V179" s="222">
        <v>2030</v>
      </c>
      <c r="W179" s="222">
        <v>2030</v>
      </c>
      <c r="X179" s="222">
        <v>2030</v>
      </c>
      <c r="Y179" s="222">
        <v>2030</v>
      </c>
      <c r="Z179" s="222">
        <v>2030</v>
      </c>
      <c r="AA179" s="222">
        <v>2030</v>
      </c>
      <c r="AB179" s="222">
        <v>2030</v>
      </c>
      <c r="AC179" s="222">
        <v>2030</v>
      </c>
      <c r="AD179" s="222">
        <v>2030</v>
      </c>
    </row>
    <row r="180" spans="1:30" x14ac:dyDescent="0.2">
      <c r="A180" s="322" t="s">
        <v>375</v>
      </c>
      <c r="B180" s="322"/>
      <c r="C180" s="221">
        <v>2030</v>
      </c>
      <c r="D180" s="221">
        <v>2030</v>
      </c>
      <c r="E180" s="221">
        <v>2030</v>
      </c>
      <c r="F180" s="221">
        <v>2030</v>
      </c>
      <c r="G180" s="221">
        <v>2030</v>
      </c>
      <c r="H180" s="221">
        <v>2030</v>
      </c>
      <c r="I180" s="221">
        <v>2030</v>
      </c>
      <c r="J180" s="221">
        <v>2030</v>
      </c>
      <c r="K180" s="221">
        <v>2030</v>
      </c>
      <c r="L180" s="221">
        <v>2030</v>
      </c>
      <c r="M180" s="221">
        <v>2030</v>
      </c>
      <c r="N180" s="221">
        <v>2030</v>
      </c>
      <c r="O180" s="221">
        <v>2030</v>
      </c>
      <c r="P180" s="221">
        <v>2030</v>
      </c>
      <c r="Q180" s="222">
        <v>2030</v>
      </c>
      <c r="R180" s="222">
        <v>2030</v>
      </c>
      <c r="S180" s="222">
        <v>2030</v>
      </c>
      <c r="T180" s="222">
        <v>2030</v>
      </c>
      <c r="U180" s="222">
        <v>2030</v>
      </c>
      <c r="V180" s="222">
        <v>2030</v>
      </c>
      <c r="W180" s="222">
        <v>2030</v>
      </c>
      <c r="X180" s="222">
        <v>2030</v>
      </c>
      <c r="Y180" s="222">
        <v>2030</v>
      </c>
      <c r="Z180" s="222">
        <v>2030</v>
      </c>
      <c r="AA180" s="222">
        <v>2030</v>
      </c>
      <c r="AB180" s="222">
        <v>2030</v>
      </c>
      <c r="AC180" s="222">
        <v>2030</v>
      </c>
      <c r="AD180" s="222">
        <v>2030</v>
      </c>
    </row>
    <row r="181" spans="1:30" x14ac:dyDescent="0.2">
      <c r="A181" s="322" t="s">
        <v>376</v>
      </c>
      <c r="B181" s="322"/>
      <c r="C181" s="221">
        <v>2030</v>
      </c>
      <c r="D181" s="221">
        <v>2030</v>
      </c>
      <c r="E181" s="221">
        <v>2030</v>
      </c>
      <c r="F181" s="221">
        <v>2030</v>
      </c>
      <c r="G181" s="221">
        <v>2030</v>
      </c>
      <c r="H181" s="221">
        <v>2030</v>
      </c>
      <c r="I181" s="221">
        <v>2030</v>
      </c>
      <c r="J181" s="221">
        <v>2030</v>
      </c>
      <c r="K181" s="221">
        <v>2030</v>
      </c>
      <c r="L181" s="221">
        <v>2030</v>
      </c>
      <c r="M181" s="221">
        <v>2030</v>
      </c>
      <c r="N181" s="221">
        <v>2030</v>
      </c>
      <c r="O181" s="221">
        <v>2030</v>
      </c>
      <c r="P181" s="221">
        <v>2030</v>
      </c>
      <c r="Q181" s="222">
        <v>2030</v>
      </c>
      <c r="R181" s="222">
        <v>2030</v>
      </c>
      <c r="S181" s="222">
        <v>2030</v>
      </c>
      <c r="T181" s="222">
        <v>2030</v>
      </c>
      <c r="U181" s="222">
        <v>2030</v>
      </c>
      <c r="V181" s="222">
        <v>2030</v>
      </c>
      <c r="W181" s="222">
        <v>2030</v>
      </c>
      <c r="X181" s="222">
        <v>2030</v>
      </c>
      <c r="Y181" s="222">
        <v>2030</v>
      </c>
      <c r="Z181" s="222">
        <v>2030</v>
      </c>
      <c r="AA181" s="222">
        <v>2030</v>
      </c>
      <c r="AB181" s="222">
        <v>2030</v>
      </c>
      <c r="AC181" s="222">
        <v>2030</v>
      </c>
      <c r="AD181" s="222">
        <v>2030</v>
      </c>
    </row>
    <row r="182" spans="1:30" x14ac:dyDescent="0.2">
      <c r="A182" s="322" t="s">
        <v>377</v>
      </c>
      <c r="B182" s="322"/>
      <c r="C182" s="221">
        <v>2030</v>
      </c>
      <c r="D182" s="221">
        <v>2030</v>
      </c>
      <c r="E182" s="221">
        <v>2030</v>
      </c>
      <c r="F182" s="221">
        <v>2030</v>
      </c>
      <c r="G182" s="221">
        <v>2030</v>
      </c>
      <c r="H182" s="221">
        <v>2030</v>
      </c>
      <c r="I182" s="221">
        <v>2030</v>
      </c>
      <c r="J182" s="221">
        <v>2030</v>
      </c>
      <c r="K182" s="221">
        <v>2030</v>
      </c>
      <c r="L182" s="221">
        <v>2030</v>
      </c>
      <c r="M182" s="221">
        <v>2030</v>
      </c>
      <c r="N182" s="221">
        <v>2030</v>
      </c>
      <c r="O182" s="221">
        <v>2030</v>
      </c>
      <c r="P182" s="221">
        <v>2030</v>
      </c>
      <c r="Q182" s="222">
        <v>2030</v>
      </c>
      <c r="R182" s="222">
        <v>2030</v>
      </c>
      <c r="S182" s="222">
        <v>2030</v>
      </c>
      <c r="T182" s="222">
        <v>2030</v>
      </c>
      <c r="U182" s="222">
        <v>2030</v>
      </c>
      <c r="V182" s="222">
        <v>2030</v>
      </c>
      <c r="W182" s="222">
        <v>2030</v>
      </c>
      <c r="X182" s="222">
        <v>2030</v>
      </c>
      <c r="Y182" s="222">
        <v>2030</v>
      </c>
      <c r="Z182" s="222">
        <v>2030</v>
      </c>
      <c r="AA182" s="222">
        <v>2030</v>
      </c>
      <c r="AB182" s="222">
        <v>2030</v>
      </c>
      <c r="AC182" s="222">
        <v>2030</v>
      </c>
      <c r="AD182" s="222">
        <v>2030</v>
      </c>
    </row>
    <row r="183" spans="1:30" x14ac:dyDescent="0.2">
      <c r="A183" s="322" t="s">
        <v>378</v>
      </c>
      <c r="B183" s="322"/>
      <c r="C183" s="221">
        <v>2030</v>
      </c>
      <c r="D183" s="221">
        <v>2030</v>
      </c>
      <c r="E183" s="221">
        <v>2030</v>
      </c>
      <c r="F183" s="221">
        <v>2030</v>
      </c>
      <c r="G183" s="221">
        <v>2030</v>
      </c>
      <c r="H183" s="221">
        <v>2030</v>
      </c>
      <c r="I183" s="221">
        <v>2030</v>
      </c>
      <c r="J183" s="221">
        <v>2030</v>
      </c>
      <c r="K183" s="221">
        <v>2030</v>
      </c>
      <c r="L183" s="221">
        <v>2030</v>
      </c>
      <c r="M183" s="221">
        <v>2030</v>
      </c>
      <c r="N183" s="221">
        <v>2030</v>
      </c>
      <c r="O183" s="221">
        <v>2030</v>
      </c>
      <c r="P183" s="221">
        <v>2030</v>
      </c>
      <c r="Q183" s="222">
        <v>2030</v>
      </c>
      <c r="R183" s="222">
        <v>2030</v>
      </c>
      <c r="S183" s="222">
        <v>2030</v>
      </c>
      <c r="T183" s="222">
        <v>2030</v>
      </c>
      <c r="U183" s="222">
        <v>2030</v>
      </c>
      <c r="V183" s="222">
        <v>2030</v>
      </c>
      <c r="W183" s="222">
        <v>2030</v>
      </c>
      <c r="X183" s="222">
        <v>2030</v>
      </c>
      <c r="Y183" s="222">
        <v>2030</v>
      </c>
      <c r="Z183" s="222">
        <v>2030</v>
      </c>
      <c r="AA183" s="222">
        <v>2030</v>
      </c>
      <c r="AB183" s="222">
        <v>2030</v>
      </c>
      <c r="AC183" s="222">
        <v>2030</v>
      </c>
      <c r="AD183" s="222">
        <v>2030</v>
      </c>
    </row>
    <row r="184" spans="1:30" ht="15.75" customHeight="1" x14ac:dyDescent="0.25">
      <c r="A184" s="306" t="s">
        <v>601</v>
      </c>
      <c r="B184" s="306"/>
      <c r="C184" s="306"/>
      <c r="D184" s="306"/>
      <c r="E184" s="306"/>
      <c r="F184" s="306"/>
      <c r="G184" s="306"/>
      <c r="H184" s="306"/>
      <c r="I184" s="306"/>
      <c r="J184" s="306"/>
      <c r="K184" s="306"/>
      <c r="L184" s="306"/>
      <c r="M184" s="306"/>
      <c r="N184" s="306"/>
      <c r="O184" s="306"/>
      <c r="P184" s="306"/>
      <c r="Q184" s="306"/>
    </row>
    <row r="185" spans="1:30" x14ac:dyDescent="0.2">
      <c r="A185" s="322" t="s">
        <v>374</v>
      </c>
      <c r="B185" s="322"/>
      <c r="C185" s="221">
        <v>1</v>
      </c>
      <c r="D185" s="221">
        <v>1</v>
      </c>
      <c r="E185" s="221">
        <v>1</v>
      </c>
      <c r="F185" s="221">
        <v>1</v>
      </c>
      <c r="G185" s="221">
        <v>1</v>
      </c>
      <c r="H185" s="221">
        <v>1</v>
      </c>
      <c r="I185" s="221">
        <v>1</v>
      </c>
      <c r="J185" s="221">
        <v>1</v>
      </c>
      <c r="K185" s="221">
        <v>1</v>
      </c>
      <c r="L185" s="221">
        <v>1</v>
      </c>
      <c r="M185" s="221">
        <v>1</v>
      </c>
      <c r="N185" s="221">
        <v>1</v>
      </c>
      <c r="O185" s="221">
        <v>1</v>
      </c>
      <c r="P185" s="221">
        <v>1</v>
      </c>
      <c r="Q185" s="222">
        <v>1</v>
      </c>
      <c r="R185" s="222">
        <v>1</v>
      </c>
      <c r="S185" s="222">
        <v>1</v>
      </c>
      <c r="T185" s="222">
        <v>1</v>
      </c>
      <c r="U185" s="222">
        <v>1</v>
      </c>
      <c r="V185" s="222">
        <v>1</v>
      </c>
      <c r="W185" s="222">
        <v>1</v>
      </c>
      <c r="X185" s="222">
        <v>1</v>
      </c>
      <c r="Y185" s="222">
        <v>1</v>
      </c>
      <c r="Z185" s="222">
        <v>1</v>
      </c>
      <c r="AA185" s="222">
        <v>1</v>
      </c>
      <c r="AB185" s="222">
        <v>1</v>
      </c>
      <c r="AC185" s="222">
        <v>1</v>
      </c>
      <c r="AD185" s="222">
        <v>1</v>
      </c>
    </row>
    <row r="186" spans="1:30" x14ac:dyDescent="0.2">
      <c r="A186" s="322" t="s">
        <v>375</v>
      </c>
      <c r="B186" s="322"/>
      <c r="C186" s="221">
        <v>1</v>
      </c>
      <c r="D186" s="221">
        <v>1</v>
      </c>
      <c r="E186" s="221">
        <v>1</v>
      </c>
      <c r="F186" s="221">
        <v>1</v>
      </c>
      <c r="G186" s="221">
        <v>1</v>
      </c>
      <c r="H186" s="221">
        <v>1</v>
      </c>
      <c r="I186" s="221">
        <v>1</v>
      </c>
      <c r="J186" s="221">
        <v>1</v>
      </c>
      <c r="K186" s="221">
        <v>1</v>
      </c>
      <c r="L186" s="221">
        <v>1</v>
      </c>
      <c r="M186" s="221">
        <v>1</v>
      </c>
      <c r="N186" s="221">
        <v>1</v>
      </c>
      <c r="O186" s="221">
        <v>1</v>
      </c>
      <c r="P186" s="221">
        <v>1</v>
      </c>
      <c r="Q186" s="222">
        <v>1</v>
      </c>
      <c r="R186" s="222">
        <v>1</v>
      </c>
      <c r="S186" s="222">
        <v>1</v>
      </c>
      <c r="T186" s="222">
        <v>1</v>
      </c>
      <c r="U186" s="222">
        <v>1</v>
      </c>
      <c r="V186" s="222">
        <v>1</v>
      </c>
      <c r="W186" s="222">
        <v>1</v>
      </c>
      <c r="X186" s="222">
        <v>1</v>
      </c>
      <c r="Y186" s="222">
        <v>1</v>
      </c>
      <c r="Z186" s="222">
        <v>1</v>
      </c>
      <c r="AA186" s="222">
        <v>1</v>
      </c>
      <c r="AB186" s="222">
        <v>1</v>
      </c>
      <c r="AC186" s="222">
        <v>1</v>
      </c>
      <c r="AD186" s="222">
        <v>1</v>
      </c>
    </row>
    <row r="187" spans="1:30" x14ac:dyDescent="0.2">
      <c r="A187" s="322" t="s">
        <v>376</v>
      </c>
      <c r="B187" s="322"/>
      <c r="C187" s="221">
        <v>1</v>
      </c>
      <c r="D187" s="221">
        <v>1</v>
      </c>
      <c r="E187" s="221">
        <v>1</v>
      </c>
      <c r="F187" s="221">
        <v>1</v>
      </c>
      <c r="G187" s="221">
        <v>1</v>
      </c>
      <c r="H187" s="221">
        <v>1</v>
      </c>
      <c r="I187" s="221">
        <v>1</v>
      </c>
      <c r="J187" s="221">
        <v>1</v>
      </c>
      <c r="K187" s="221">
        <v>1</v>
      </c>
      <c r="L187" s="221">
        <v>1</v>
      </c>
      <c r="M187" s="221">
        <v>1</v>
      </c>
      <c r="N187" s="221">
        <v>1</v>
      </c>
      <c r="O187" s="221">
        <v>1</v>
      </c>
      <c r="P187" s="221">
        <v>1</v>
      </c>
      <c r="Q187" s="222">
        <v>1</v>
      </c>
      <c r="R187" s="222">
        <v>1</v>
      </c>
      <c r="S187" s="222">
        <v>1</v>
      </c>
      <c r="T187" s="222">
        <v>1</v>
      </c>
      <c r="U187" s="222">
        <v>1</v>
      </c>
      <c r="V187" s="222">
        <v>1</v>
      </c>
      <c r="W187" s="222">
        <v>1</v>
      </c>
      <c r="X187" s="222">
        <v>1</v>
      </c>
      <c r="Y187" s="222">
        <v>1</v>
      </c>
      <c r="Z187" s="222">
        <v>1</v>
      </c>
      <c r="AA187" s="222">
        <v>1</v>
      </c>
      <c r="AB187" s="222">
        <v>1</v>
      </c>
      <c r="AC187" s="222">
        <v>1</v>
      </c>
      <c r="AD187" s="222">
        <v>1</v>
      </c>
    </row>
    <row r="188" spans="1:30" x14ac:dyDescent="0.2">
      <c r="A188" s="322" t="s">
        <v>377</v>
      </c>
      <c r="B188" s="322"/>
      <c r="C188" s="221">
        <v>1</v>
      </c>
      <c r="D188" s="221">
        <v>1</v>
      </c>
      <c r="E188" s="221">
        <v>1</v>
      </c>
      <c r="F188" s="221">
        <v>1</v>
      </c>
      <c r="G188" s="221">
        <v>1</v>
      </c>
      <c r="H188" s="221">
        <v>1</v>
      </c>
      <c r="I188" s="221">
        <v>1</v>
      </c>
      <c r="J188" s="221">
        <v>1</v>
      </c>
      <c r="K188" s="221">
        <v>1</v>
      </c>
      <c r="L188" s="221">
        <v>1</v>
      </c>
      <c r="M188" s="221">
        <v>1</v>
      </c>
      <c r="N188" s="221">
        <v>1</v>
      </c>
      <c r="O188" s="221">
        <v>1</v>
      </c>
      <c r="P188" s="221">
        <v>1</v>
      </c>
      <c r="Q188" s="222">
        <v>1</v>
      </c>
      <c r="R188" s="222">
        <v>1</v>
      </c>
      <c r="S188" s="222">
        <v>1</v>
      </c>
      <c r="T188" s="222">
        <v>1</v>
      </c>
      <c r="U188" s="222">
        <v>1</v>
      </c>
      <c r="V188" s="222">
        <v>1</v>
      </c>
      <c r="W188" s="222">
        <v>1</v>
      </c>
      <c r="X188" s="222">
        <v>1</v>
      </c>
      <c r="Y188" s="222">
        <v>1</v>
      </c>
      <c r="Z188" s="222">
        <v>1</v>
      </c>
      <c r="AA188" s="222">
        <v>1</v>
      </c>
      <c r="AB188" s="222">
        <v>1</v>
      </c>
      <c r="AC188" s="222">
        <v>1</v>
      </c>
      <c r="AD188" s="222">
        <v>1</v>
      </c>
    </row>
    <row r="189" spans="1:30" x14ac:dyDescent="0.2">
      <c r="A189" s="322" t="s">
        <v>378</v>
      </c>
      <c r="B189" s="322"/>
      <c r="C189" s="221">
        <v>1</v>
      </c>
      <c r="D189" s="221">
        <v>1</v>
      </c>
      <c r="E189" s="221">
        <v>1</v>
      </c>
      <c r="F189" s="221">
        <v>1</v>
      </c>
      <c r="G189" s="221">
        <v>1</v>
      </c>
      <c r="H189" s="221">
        <v>1</v>
      </c>
      <c r="I189" s="221">
        <v>1</v>
      </c>
      <c r="J189" s="221">
        <v>1</v>
      </c>
      <c r="K189" s="221">
        <v>1</v>
      </c>
      <c r="L189" s="221">
        <v>1</v>
      </c>
      <c r="M189" s="221">
        <v>1</v>
      </c>
      <c r="N189" s="221">
        <v>1</v>
      </c>
      <c r="O189" s="221">
        <v>1</v>
      </c>
      <c r="P189" s="221">
        <v>1</v>
      </c>
      <c r="Q189" s="222">
        <v>1</v>
      </c>
      <c r="R189" s="222">
        <v>1</v>
      </c>
      <c r="S189" s="222">
        <v>1</v>
      </c>
      <c r="T189" s="222">
        <v>1</v>
      </c>
      <c r="U189" s="222">
        <v>1</v>
      </c>
      <c r="V189" s="222">
        <v>1</v>
      </c>
      <c r="W189" s="222">
        <v>1</v>
      </c>
      <c r="X189" s="222">
        <v>1</v>
      </c>
      <c r="Y189" s="222">
        <v>1</v>
      </c>
      <c r="Z189" s="222">
        <v>1</v>
      </c>
      <c r="AA189" s="222">
        <v>1</v>
      </c>
      <c r="AB189" s="222">
        <v>1</v>
      </c>
      <c r="AC189" s="222">
        <v>1</v>
      </c>
      <c r="AD189" s="222">
        <v>1</v>
      </c>
    </row>
    <row r="190" spans="1:30" ht="15.75" customHeight="1" x14ac:dyDescent="0.25">
      <c r="A190" s="306" t="s">
        <v>602</v>
      </c>
      <c r="B190" s="306"/>
      <c r="C190" s="306"/>
      <c r="D190" s="306"/>
      <c r="E190" s="306"/>
      <c r="F190" s="306"/>
      <c r="G190" s="306"/>
      <c r="H190" s="306"/>
      <c r="I190" s="306"/>
      <c r="J190" s="306"/>
      <c r="K190" s="306"/>
      <c r="L190" s="306"/>
      <c r="M190" s="306"/>
      <c r="N190" s="306"/>
      <c r="O190" s="306"/>
      <c r="P190" s="306"/>
      <c r="Q190" s="306"/>
    </row>
    <row r="191" spans="1:30" x14ac:dyDescent="0.2">
      <c r="A191" s="322" t="s">
        <v>374</v>
      </c>
      <c r="B191" s="322"/>
      <c r="C191" s="221">
        <v>2040</v>
      </c>
      <c r="D191" s="221">
        <v>2040</v>
      </c>
      <c r="E191" s="221">
        <v>2040</v>
      </c>
      <c r="F191" s="221">
        <v>2040</v>
      </c>
      <c r="G191" s="221">
        <v>2040</v>
      </c>
      <c r="H191" s="221">
        <v>2040</v>
      </c>
      <c r="I191" s="221">
        <v>2040</v>
      </c>
      <c r="J191" s="221">
        <v>2040</v>
      </c>
      <c r="K191" s="221">
        <v>2040</v>
      </c>
      <c r="L191" s="221">
        <v>2040</v>
      </c>
      <c r="M191" s="221">
        <v>2040</v>
      </c>
      <c r="N191" s="221">
        <v>2040</v>
      </c>
      <c r="O191" s="221">
        <v>2040</v>
      </c>
      <c r="P191" s="221">
        <v>2040</v>
      </c>
      <c r="Q191" s="221">
        <v>2040</v>
      </c>
      <c r="R191" s="221">
        <v>2040</v>
      </c>
      <c r="S191" s="221">
        <v>2040</v>
      </c>
      <c r="T191" s="221">
        <v>2040</v>
      </c>
      <c r="U191" s="221">
        <v>2040</v>
      </c>
      <c r="V191" s="221">
        <v>2040</v>
      </c>
      <c r="W191" s="221">
        <v>2040</v>
      </c>
      <c r="X191" s="221">
        <v>2040</v>
      </c>
      <c r="Y191" s="221">
        <v>2040</v>
      </c>
      <c r="Z191" s="221">
        <v>2040</v>
      </c>
      <c r="AA191" s="221">
        <v>2040</v>
      </c>
      <c r="AB191" s="221">
        <v>2040</v>
      </c>
      <c r="AC191" s="221">
        <v>2040</v>
      </c>
      <c r="AD191" s="221">
        <v>2040</v>
      </c>
    </row>
    <row r="192" spans="1:30" x14ac:dyDescent="0.2">
      <c r="A192" s="322" t="s">
        <v>375</v>
      </c>
      <c r="B192" s="322"/>
      <c r="C192" s="221">
        <v>2040</v>
      </c>
      <c r="D192" s="221">
        <v>2040</v>
      </c>
      <c r="E192" s="221">
        <v>2040</v>
      </c>
      <c r="F192" s="221">
        <v>2040</v>
      </c>
      <c r="G192" s="221">
        <v>2040</v>
      </c>
      <c r="H192" s="221">
        <v>2040</v>
      </c>
      <c r="I192" s="221">
        <v>2040</v>
      </c>
      <c r="J192" s="221">
        <v>2040</v>
      </c>
      <c r="K192" s="221">
        <v>2040</v>
      </c>
      <c r="L192" s="221">
        <v>2040</v>
      </c>
      <c r="M192" s="221">
        <v>2040</v>
      </c>
      <c r="N192" s="221">
        <v>2040</v>
      </c>
      <c r="O192" s="221">
        <v>2040</v>
      </c>
      <c r="P192" s="221">
        <v>2040</v>
      </c>
      <c r="Q192" s="221">
        <v>2040</v>
      </c>
      <c r="R192" s="221">
        <v>2040</v>
      </c>
      <c r="S192" s="221">
        <v>2040</v>
      </c>
      <c r="T192" s="221">
        <v>2040</v>
      </c>
      <c r="U192" s="221">
        <v>2040</v>
      </c>
      <c r="V192" s="221">
        <v>2040</v>
      </c>
      <c r="W192" s="221">
        <v>2040</v>
      </c>
      <c r="X192" s="221">
        <v>2040</v>
      </c>
      <c r="Y192" s="221">
        <v>2040</v>
      </c>
      <c r="Z192" s="221">
        <v>2040</v>
      </c>
      <c r="AA192" s="221">
        <v>2040</v>
      </c>
      <c r="AB192" s="221">
        <v>2040</v>
      </c>
      <c r="AC192" s="221">
        <v>2040</v>
      </c>
      <c r="AD192" s="221">
        <v>2040</v>
      </c>
    </row>
    <row r="193" spans="1:30" x14ac:dyDescent="0.2">
      <c r="A193" s="322" t="s">
        <v>376</v>
      </c>
      <c r="B193" s="322"/>
      <c r="C193" s="221">
        <v>2040</v>
      </c>
      <c r="D193" s="221">
        <v>2040</v>
      </c>
      <c r="E193" s="221">
        <v>2040</v>
      </c>
      <c r="F193" s="221">
        <v>2040</v>
      </c>
      <c r="G193" s="221">
        <v>2040</v>
      </c>
      <c r="H193" s="221">
        <v>2040</v>
      </c>
      <c r="I193" s="221">
        <v>2040</v>
      </c>
      <c r="J193" s="221">
        <v>2040</v>
      </c>
      <c r="K193" s="221">
        <v>2040</v>
      </c>
      <c r="L193" s="221">
        <v>2040</v>
      </c>
      <c r="M193" s="221">
        <v>2040</v>
      </c>
      <c r="N193" s="221">
        <v>2040</v>
      </c>
      <c r="O193" s="221">
        <v>2040</v>
      </c>
      <c r="P193" s="221">
        <v>2040</v>
      </c>
      <c r="Q193" s="221">
        <v>2040</v>
      </c>
      <c r="R193" s="221">
        <v>2040</v>
      </c>
      <c r="S193" s="221">
        <v>2040</v>
      </c>
      <c r="T193" s="221">
        <v>2040</v>
      </c>
      <c r="U193" s="221">
        <v>2040</v>
      </c>
      <c r="V193" s="221">
        <v>2040</v>
      </c>
      <c r="W193" s="221">
        <v>2040</v>
      </c>
      <c r="X193" s="221">
        <v>2040</v>
      </c>
      <c r="Y193" s="221">
        <v>2040</v>
      </c>
      <c r="Z193" s="221">
        <v>2040</v>
      </c>
      <c r="AA193" s="221">
        <v>2040</v>
      </c>
      <c r="AB193" s="221">
        <v>2040</v>
      </c>
      <c r="AC193" s="221">
        <v>2040</v>
      </c>
      <c r="AD193" s="221">
        <v>2040</v>
      </c>
    </row>
    <row r="194" spans="1:30" x14ac:dyDescent="0.2">
      <c r="A194" s="322" t="s">
        <v>377</v>
      </c>
      <c r="B194" s="322"/>
      <c r="C194" s="221">
        <v>2040</v>
      </c>
      <c r="D194" s="221">
        <v>2040</v>
      </c>
      <c r="E194" s="221">
        <v>2040</v>
      </c>
      <c r="F194" s="221">
        <v>2040</v>
      </c>
      <c r="G194" s="221">
        <v>2040</v>
      </c>
      <c r="H194" s="221">
        <v>2040</v>
      </c>
      <c r="I194" s="221">
        <v>2040</v>
      </c>
      <c r="J194" s="221">
        <v>2040</v>
      </c>
      <c r="K194" s="221">
        <v>2040</v>
      </c>
      <c r="L194" s="221">
        <v>2040</v>
      </c>
      <c r="M194" s="221">
        <v>2040</v>
      </c>
      <c r="N194" s="221">
        <v>2040</v>
      </c>
      <c r="O194" s="221">
        <v>2040</v>
      </c>
      <c r="P194" s="221">
        <v>2040</v>
      </c>
      <c r="Q194" s="221">
        <v>2040</v>
      </c>
      <c r="R194" s="221">
        <v>2040</v>
      </c>
      <c r="S194" s="221">
        <v>2040</v>
      </c>
      <c r="T194" s="221">
        <v>2040</v>
      </c>
      <c r="U194" s="221">
        <v>2040</v>
      </c>
      <c r="V194" s="221">
        <v>2040</v>
      </c>
      <c r="W194" s="221">
        <v>2040</v>
      </c>
      <c r="X194" s="221">
        <v>2040</v>
      </c>
      <c r="Y194" s="221">
        <v>2040</v>
      </c>
      <c r="Z194" s="221">
        <v>2040</v>
      </c>
      <c r="AA194" s="221">
        <v>2040</v>
      </c>
      <c r="AB194" s="221">
        <v>2040</v>
      </c>
      <c r="AC194" s="221">
        <v>2040</v>
      </c>
      <c r="AD194" s="221">
        <v>2040</v>
      </c>
    </row>
    <row r="195" spans="1:30" x14ac:dyDescent="0.2">
      <c r="A195" s="322" t="s">
        <v>378</v>
      </c>
      <c r="B195" s="322"/>
      <c r="C195" s="221">
        <v>2040</v>
      </c>
      <c r="D195" s="221">
        <v>2040</v>
      </c>
      <c r="E195" s="221">
        <v>2040</v>
      </c>
      <c r="F195" s="221">
        <v>2040</v>
      </c>
      <c r="G195" s="221">
        <v>2040</v>
      </c>
      <c r="H195" s="221">
        <v>2040</v>
      </c>
      <c r="I195" s="221">
        <v>2040</v>
      </c>
      <c r="J195" s="221">
        <v>2040</v>
      </c>
      <c r="K195" s="221">
        <v>2040</v>
      </c>
      <c r="L195" s="221">
        <v>2040</v>
      </c>
      <c r="M195" s="221">
        <v>2040</v>
      </c>
      <c r="N195" s="221">
        <v>2040</v>
      </c>
      <c r="O195" s="221">
        <v>2040</v>
      </c>
      <c r="P195" s="221">
        <v>2040</v>
      </c>
      <c r="Q195" s="221">
        <v>2040</v>
      </c>
      <c r="R195" s="221">
        <v>2040</v>
      </c>
      <c r="S195" s="221">
        <v>2040</v>
      </c>
      <c r="T195" s="221">
        <v>2040</v>
      </c>
      <c r="U195" s="221">
        <v>2040</v>
      </c>
      <c r="V195" s="221">
        <v>2040</v>
      </c>
      <c r="W195" s="221">
        <v>2040</v>
      </c>
      <c r="X195" s="221">
        <v>2040</v>
      </c>
      <c r="Y195" s="221">
        <v>2040</v>
      </c>
      <c r="Z195" s="221">
        <v>2040</v>
      </c>
      <c r="AA195" s="221">
        <v>2040</v>
      </c>
      <c r="AB195" s="221">
        <v>2040</v>
      </c>
      <c r="AC195" s="221">
        <v>2040</v>
      </c>
      <c r="AD195" s="221">
        <v>2040</v>
      </c>
    </row>
    <row r="196" spans="1:30" ht="15.75" customHeight="1" x14ac:dyDescent="0.25">
      <c r="A196" s="306" t="s">
        <v>603</v>
      </c>
      <c r="B196" s="306"/>
      <c r="C196" s="306"/>
      <c r="D196" s="306"/>
      <c r="E196" s="306"/>
      <c r="F196" s="306"/>
      <c r="G196" s="306"/>
      <c r="H196" s="306"/>
      <c r="I196" s="306"/>
      <c r="J196" s="306"/>
      <c r="K196" s="306"/>
      <c r="L196" s="306"/>
      <c r="M196" s="306"/>
      <c r="N196" s="306"/>
      <c r="O196" s="306"/>
      <c r="P196" s="306"/>
      <c r="Q196" s="306"/>
    </row>
    <row r="197" spans="1:30" x14ac:dyDescent="0.2">
      <c r="A197" s="322" t="s">
        <v>374</v>
      </c>
      <c r="B197" s="322"/>
      <c r="C197" s="221">
        <v>1</v>
      </c>
      <c r="D197" s="221">
        <v>1</v>
      </c>
      <c r="E197" s="221">
        <v>1</v>
      </c>
      <c r="F197" s="221">
        <v>1</v>
      </c>
      <c r="G197" s="221">
        <v>1</v>
      </c>
      <c r="H197" s="221">
        <v>1</v>
      </c>
      <c r="I197" s="221">
        <v>1</v>
      </c>
      <c r="J197" s="221">
        <v>1</v>
      </c>
      <c r="K197" s="221">
        <v>1</v>
      </c>
      <c r="L197" s="221">
        <v>1</v>
      </c>
      <c r="M197" s="221">
        <v>1</v>
      </c>
      <c r="N197" s="221">
        <v>1</v>
      </c>
      <c r="O197" s="221">
        <v>1</v>
      </c>
      <c r="P197" s="221">
        <v>1</v>
      </c>
      <c r="Q197" s="222">
        <v>1</v>
      </c>
      <c r="R197" s="222">
        <v>1</v>
      </c>
      <c r="S197" s="222">
        <v>1</v>
      </c>
      <c r="T197" s="222">
        <v>1</v>
      </c>
      <c r="U197" s="222">
        <v>1</v>
      </c>
      <c r="V197" s="222">
        <v>1</v>
      </c>
      <c r="W197" s="222">
        <v>1</v>
      </c>
      <c r="X197" s="222">
        <v>1</v>
      </c>
      <c r="Y197" s="222">
        <v>1</v>
      </c>
      <c r="Z197" s="222">
        <v>1</v>
      </c>
      <c r="AA197" s="222">
        <v>1</v>
      </c>
      <c r="AB197" s="222">
        <v>1</v>
      </c>
      <c r="AC197" s="222">
        <v>1</v>
      </c>
      <c r="AD197" s="222">
        <v>1</v>
      </c>
    </row>
    <row r="198" spans="1:30" x14ac:dyDescent="0.2">
      <c r="A198" s="322" t="s">
        <v>375</v>
      </c>
      <c r="B198" s="322"/>
      <c r="C198" s="221">
        <v>1</v>
      </c>
      <c r="D198" s="221">
        <v>1</v>
      </c>
      <c r="E198" s="221">
        <v>1</v>
      </c>
      <c r="F198" s="221">
        <v>1</v>
      </c>
      <c r="G198" s="221">
        <v>1</v>
      </c>
      <c r="H198" s="221">
        <v>1</v>
      </c>
      <c r="I198" s="221">
        <v>1</v>
      </c>
      <c r="J198" s="221">
        <v>1</v>
      </c>
      <c r="K198" s="221">
        <v>1</v>
      </c>
      <c r="L198" s="221">
        <v>1</v>
      </c>
      <c r="M198" s="221">
        <v>1</v>
      </c>
      <c r="N198" s="221">
        <v>1</v>
      </c>
      <c r="O198" s="221">
        <v>1</v>
      </c>
      <c r="P198" s="221">
        <v>1</v>
      </c>
      <c r="Q198" s="222">
        <v>1</v>
      </c>
      <c r="R198" s="222">
        <v>1</v>
      </c>
      <c r="S198" s="222">
        <v>1</v>
      </c>
      <c r="T198" s="222">
        <v>1</v>
      </c>
      <c r="U198" s="222">
        <v>1</v>
      </c>
      <c r="V198" s="222">
        <v>1</v>
      </c>
      <c r="W198" s="222">
        <v>1</v>
      </c>
      <c r="X198" s="222">
        <v>1</v>
      </c>
      <c r="Y198" s="222">
        <v>1</v>
      </c>
      <c r="Z198" s="222">
        <v>1</v>
      </c>
      <c r="AA198" s="222">
        <v>1</v>
      </c>
      <c r="AB198" s="222">
        <v>1</v>
      </c>
      <c r="AC198" s="222">
        <v>1</v>
      </c>
      <c r="AD198" s="222">
        <v>1</v>
      </c>
    </row>
    <row r="199" spans="1:30" x14ac:dyDescent="0.2">
      <c r="A199" s="322" t="s">
        <v>376</v>
      </c>
      <c r="B199" s="322"/>
      <c r="C199" s="221">
        <v>1</v>
      </c>
      <c r="D199" s="221">
        <v>1</v>
      </c>
      <c r="E199" s="221">
        <v>1</v>
      </c>
      <c r="F199" s="221">
        <v>1</v>
      </c>
      <c r="G199" s="221">
        <v>1</v>
      </c>
      <c r="H199" s="221">
        <v>1</v>
      </c>
      <c r="I199" s="221">
        <v>1</v>
      </c>
      <c r="J199" s="221">
        <v>1</v>
      </c>
      <c r="K199" s="221">
        <v>1</v>
      </c>
      <c r="L199" s="221">
        <v>1</v>
      </c>
      <c r="M199" s="221">
        <v>1</v>
      </c>
      <c r="N199" s="221">
        <v>1</v>
      </c>
      <c r="O199" s="221">
        <v>1</v>
      </c>
      <c r="P199" s="221">
        <v>1</v>
      </c>
      <c r="Q199" s="222">
        <v>1</v>
      </c>
      <c r="R199" s="222">
        <v>1</v>
      </c>
      <c r="S199" s="222">
        <v>1</v>
      </c>
      <c r="T199" s="222">
        <v>1</v>
      </c>
      <c r="U199" s="222">
        <v>1</v>
      </c>
      <c r="V199" s="222">
        <v>1</v>
      </c>
      <c r="W199" s="222">
        <v>1</v>
      </c>
      <c r="X199" s="222">
        <v>1</v>
      </c>
      <c r="Y199" s="222">
        <v>1</v>
      </c>
      <c r="Z199" s="222">
        <v>1</v>
      </c>
      <c r="AA199" s="222">
        <v>1</v>
      </c>
      <c r="AB199" s="222">
        <v>1</v>
      </c>
      <c r="AC199" s="222">
        <v>1</v>
      </c>
      <c r="AD199" s="222">
        <v>1</v>
      </c>
    </row>
    <row r="200" spans="1:30" x14ac:dyDescent="0.2">
      <c r="A200" s="322" t="s">
        <v>377</v>
      </c>
      <c r="B200" s="322"/>
      <c r="C200" s="221">
        <v>1</v>
      </c>
      <c r="D200" s="221">
        <v>1</v>
      </c>
      <c r="E200" s="221">
        <v>1</v>
      </c>
      <c r="F200" s="221">
        <v>1</v>
      </c>
      <c r="G200" s="221">
        <v>1</v>
      </c>
      <c r="H200" s="221">
        <v>1</v>
      </c>
      <c r="I200" s="221">
        <v>1</v>
      </c>
      <c r="J200" s="221">
        <v>1</v>
      </c>
      <c r="K200" s="221">
        <v>1</v>
      </c>
      <c r="L200" s="221">
        <v>1</v>
      </c>
      <c r="M200" s="221">
        <v>1</v>
      </c>
      <c r="N200" s="221">
        <v>1</v>
      </c>
      <c r="O200" s="221">
        <v>1</v>
      </c>
      <c r="P200" s="221">
        <v>1</v>
      </c>
      <c r="Q200" s="222">
        <v>1</v>
      </c>
      <c r="R200" s="222">
        <v>1</v>
      </c>
      <c r="S200" s="222">
        <v>1</v>
      </c>
      <c r="T200" s="222">
        <v>1</v>
      </c>
      <c r="U200" s="222">
        <v>1</v>
      </c>
      <c r="V200" s="222">
        <v>1</v>
      </c>
      <c r="W200" s="222">
        <v>1</v>
      </c>
      <c r="X200" s="222">
        <v>1</v>
      </c>
      <c r="Y200" s="222">
        <v>1</v>
      </c>
      <c r="Z200" s="222">
        <v>1</v>
      </c>
      <c r="AA200" s="222">
        <v>1</v>
      </c>
      <c r="AB200" s="222">
        <v>1</v>
      </c>
      <c r="AC200" s="222">
        <v>1</v>
      </c>
      <c r="AD200" s="222">
        <v>1</v>
      </c>
    </row>
    <row r="201" spans="1:30" x14ac:dyDescent="0.2">
      <c r="A201" s="322" t="s">
        <v>378</v>
      </c>
      <c r="B201" s="322"/>
      <c r="C201" s="221">
        <v>1</v>
      </c>
      <c r="D201" s="221">
        <v>1</v>
      </c>
      <c r="E201" s="221">
        <v>1</v>
      </c>
      <c r="F201" s="221">
        <v>1</v>
      </c>
      <c r="G201" s="221">
        <v>1</v>
      </c>
      <c r="H201" s="221">
        <v>1</v>
      </c>
      <c r="I201" s="221">
        <v>1</v>
      </c>
      <c r="J201" s="221">
        <v>1</v>
      </c>
      <c r="K201" s="221">
        <v>1</v>
      </c>
      <c r="L201" s="221">
        <v>1</v>
      </c>
      <c r="M201" s="221">
        <v>1</v>
      </c>
      <c r="N201" s="221">
        <v>1</v>
      </c>
      <c r="O201" s="221">
        <v>1</v>
      </c>
      <c r="P201" s="221">
        <v>1</v>
      </c>
      <c r="Q201" s="222">
        <v>1</v>
      </c>
      <c r="R201" s="222">
        <v>1</v>
      </c>
      <c r="S201" s="222">
        <v>1</v>
      </c>
      <c r="T201" s="222">
        <v>1</v>
      </c>
      <c r="U201" s="222">
        <v>1</v>
      </c>
      <c r="V201" s="222">
        <v>1</v>
      </c>
      <c r="W201" s="222">
        <v>1</v>
      </c>
      <c r="X201" s="222">
        <v>1</v>
      </c>
      <c r="Y201" s="222">
        <v>1</v>
      </c>
      <c r="Z201" s="222">
        <v>1</v>
      </c>
      <c r="AA201" s="222">
        <v>1</v>
      </c>
      <c r="AB201" s="222">
        <v>1</v>
      </c>
      <c r="AC201" s="222">
        <v>1</v>
      </c>
      <c r="AD201" s="222">
        <v>1</v>
      </c>
    </row>
    <row r="202" spans="1:30" ht="15.75" customHeight="1" x14ac:dyDescent="0.25">
      <c r="A202" s="306" t="s">
        <v>604</v>
      </c>
      <c r="B202" s="306"/>
      <c r="C202" s="306"/>
      <c r="D202" s="306"/>
      <c r="E202" s="306"/>
      <c r="F202" s="306"/>
      <c r="G202" s="306"/>
      <c r="H202" s="306"/>
      <c r="I202" s="306"/>
      <c r="J202" s="306"/>
      <c r="K202" s="306"/>
      <c r="L202" s="306"/>
      <c r="M202" s="306"/>
      <c r="N202" s="306"/>
      <c r="O202" s="306"/>
      <c r="P202" s="306"/>
      <c r="Q202" s="306"/>
    </row>
    <row r="203" spans="1:30" x14ac:dyDescent="0.2">
      <c r="A203" s="322" t="s">
        <v>374</v>
      </c>
      <c r="B203" s="322"/>
      <c r="C203" s="221">
        <v>2050</v>
      </c>
      <c r="D203" s="221">
        <v>2050</v>
      </c>
      <c r="E203" s="221">
        <v>2050</v>
      </c>
      <c r="F203" s="221">
        <v>2050</v>
      </c>
      <c r="G203" s="221">
        <v>2050</v>
      </c>
      <c r="H203" s="221">
        <v>2050</v>
      </c>
      <c r="I203" s="221">
        <v>2050</v>
      </c>
      <c r="J203" s="221">
        <v>2050</v>
      </c>
      <c r="K203" s="221">
        <v>2050</v>
      </c>
      <c r="L203" s="221">
        <v>2050</v>
      </c>
      <c r="M203" s="221">
        <v>2050</v>
      </c>
      <c r="N203" s="221">
        <v>2050</v>
      </c>
      <c r="O203" s="221">
        <v>2050</v>
      </c>
      <c r="P203" s="221">
        <v>2050</v>
      </c>
      <c r="Q203" s="222">
        <v>2050</v>
      </c>
      <c r="R203" s="222">
        <v>2050</v>
      </c>
      <c r="S203" s="222">
        <v>2050</v>
      </c>
      <c r="T203" s="222">
        <v>2050</v>
      </c>
      <c r="U203" s="222">
        <v>2050</v>
      </c>
      <c r="V203" s="222">
        <v>2050</v>
      </c>
      <c r="W203" s="222">
        <v>2050</v>
      </c>
      <c r="X203" s="222">
        <v>2050</v>
      </c>
      <c r="Y203" s="222">
        <v>2050</v>
      </c>
      <c r="Z203" s="222">
        <v>2050</v>
      </c>
      <c r="AA203" s="222">
        <v>2050</v>
      </c>
      <c r="AB203" s="222">
        <v>2050</v>
      </c>
      <c r="AC203" s="222">
        <v>2050</v>
      </c>
      <c r="AD203" s="222">
        <v>2050</v>
      </c>
    </row>
    <row r="204" spans="1:30" x14ac:dyDescent="0.2">
      <c r="A204" s="322" t="s">
        <v>375</v>
      </c>
      <c r="B204" s="322"/>
      <c r="C204" s="221">
        <v>2050</v>
      </c>
      <c r="D204" s="221">
        <v>2050</v>
      </c>
      <c r="E204" s="221">
        <v>2050</v>
      </c>
      <c r="F204" s="221">
        <v>2050</v>
      </c>
      <c r="G204" s="221">
        <v>2050</v>
      </c>
      <c r="H204" s="221">
        <v>2050</v>
      </c>
      <c r="I204" s="221">
        <v>2050</v>
      </c>
      <c r="J204" s="221">
        <v>2050</v>
      </c>
      <c r="K204" s="221">
        <v>2050</v>
      </c>
      <c r="L204" s="221">
        <v>2050</v>
      </c>
      <c r="M204" s="221">
        <v>2050</v>
      </c>
      <c r="N204" s="221">
        <v>2050</v>
      </c>
      <c r="O204" s="221">
        <v>2050</v>
      </c>
      <c r="P204" s="221">
        <v>2050</v>
      </c>
      <c r="Q204" s="222">
        <v>2050</v>
      </c>
      <c r="R204" s="222">
        <v>2050</v>
      </c>
      <c r="S204" s="222">
        <v>2050</v>
      </c>
      <c r="T204" s="222">
        <v>2050</v>
      </c>
      <c r="U204" s="222">
        <v>2050</v>
      </c>
      <c r="V204" s="222">
        <v>2050</v>
      </c>
      <c r="W204" s="222">
        <v>2050</v>
      </c>
      <c r="X204" s="222">
        <v>2050</v>
      </c>
      <c r="Y204" s="222">
        <v>2050</v>
      </c>
      <c r="Z204" s="222">
        <v>2050</v>
      </c>
      <c r="AA204" s="222">
        <v>2050</v>
      </c>
      <c r="AB204" s="222">
        <v>2050</v>
      </c>
      <c r="AC204" s="222">
        <v>2050</v>
      </c>
      <c r="AD204" s="222">
        <v>2050</v>
      </c>
    </row>
    <row r="205" spans="1:30" x14ac:dyDescent="0.2">
      <c r="A205" s="322" t="s">
        <v>376</v>
      </c>
      <c r="B205" s="322"/>
      <c r="C205" s="221">
        <v>2050</v>
      </c>
      <c r="D205" s="221">
        <v>2050</v>
      </c>
      <c r="E205" s="221">
        <v>2050</v>
      </c>
      <c r="F205" s="221">
        <v>2050</v>
      </c>
      <c r="G205" s="221">
        <v>2050</v>
      </c>
      <c r="H205" s="221">
        <v>2050</v>
      </c>
      <c r="I205" s="221">
        <v>2050</v>
      </c>
      <c r="J205" s="221">
        <v>2050</v>
      </c>
      <c r="K205" s="221">
        <v>2050</v>
      </c>
      <c r="L205" s="221">
        <v>2050</v>
      </c>
      <c r="M205" s="221">
        <v>2050</v>
      </c>
      <c r="N205" s="221">
        <v>2050</v>
      </c>
      <c r="O205" s="221">
        <v>2050</v>
      </c>
      <c r="P205" s="221">
        <v>2050</v>
      </c>
      <c r="Q205" s="222">
        <v>2050</v>
      </c>
      <c r="R205" s="222">
        <v>2050</v>
      </c>
      <c r="S205" s="222">
        <v>2050</v>
      </c>
      <c r="T205" s="222">
        <v>2050</v>
      </c>
      <c r="U205" s="222">
        <v>2050</v>
      </c>
      <c r="V205" s="222">
        <v>2050</v>
      </c>
      <c r="W205" s="222">
        <v>2050</v>
      </c>
      <c r="X205" s="222">
        <v>2050</v>
      </c>
      <c r="Y205" s="222">
        <v>2050</v>
      </c>
      <c r="Z205" s="222">
        <v>2050</v>
      </c>
      <c r="AA205" s="222">
        <v>2050</v>
      </c>
      <c r="AB205" s="222">
        <v>2050</v>
      </c>
      <c r="AC205" s="222">
        <v>2050</v>
      </c>
      <c r="AD205" s="222">
        <v>2050</v>
      </c>
    </row>
    <row r="206" spans="1:30" x14ac:dyDescent="0.2">
      <c r="A206" s="322" t="s">
        <v>377</v>
      </c>
      <c r="B206" s="322"/>
      <c r="C206" s="221">
        <v>2050</v>
      </c>
      <c r="D206" s="221">
        <v>2050</v>
      </c>
      <c r="E206" s="221">
        <v>2050</v>
      </c>
      <c r="F206" s="221">
        <v>2050</v>
      </c>
      <c r="G206" s="221">
        <v>2050</v>
      </c>
      <c r="H206" s="221">
        <v>2050</v>
      </c>
      <c r="I206" s="221">
        <v>2050</v>
      </c>
      <c r="J206" s="221">
        <v>2050</v>
      </c>
      <c r="K206" s="221">
        <v>2050</v>
      </c>
      <c r="L206" s="221">
        <v>2050</v>
      </c>
      <c r="M206" s="221">
        <v>2050</v>
      </c>
      <c r="N206" s="221">
        <v>2050</v>
      </c>
      <c r="O206" s="221">
        <v>2050</v>
      </c>
      <c r="P206" s="221">
        <v>2050</v>
      </c>
      <c r="Q206" s="222">
        <v>2050</v>
      </c>
      <c r="R206" s="222">
        <v>2050</v>
      </c>
      <c r="S206" s="222">
        <v>2050</v>
      </c>
      <c r="T206" s="222">
        <v>2050</v>
      </c>
      <c r="U206" s="222">
        <v>2050</v>
      </c>
      <c r="V206" s="222">
        <v>2050</v>
      </c>
      <c r="W206" s="222">
        <v>2050</v>
      </c>
      <c r="X206" s="222">
        <v>2050</v>
      </c>
      <c r="Y206" s="222">
        <v>2050</v>
      </c>
      <c r="Z206" s="222">
        <v>2050</v>
      </c>
      <c r="AA206" s="222">
        <v>2050</v>
      </c>
      <c r="AB206" s="222">
        <v>2050</v>
      </c>
      <c r="AC206" s="222">
        <v>2050</v>
      </c>
      <c r="AD206" s="222">
        <v>2050</v>
      </c>
    </row>
    <row r="207" spans="1:30" x14ac:dyDescent="0.2">
      <c r="A207" s="322" t="s">
        <v>378</v>
      </c>
      <c r="B207" s="322"/>
      <c r="C207" s="223">
        <v>2050</v>
      </c>
      <c r="D207" s="223">
        <v>2050</v>
      </c>
      <c r="E207" s="223">
        <v>2050</v>
      </c>
      <c r="F207" s="223">
        <v>2050</v>
      </c>
      <c r="G207" s="223">
        <v>2050</v>
      </c>
      <c r="H207" s="223">
        <v>2050</v>
      </c>
      <c r="I207" s="223">
        <v>2050</v>
      </c>
      <c r="J207" s="223">
        <v>2050</v>
      </c>
      <c r="K207" s="223">
        <v>2050</v>
      </c>
      <c r="L207" s="223">
        <v>2050</v>
      </c>
      <c r="M207" s="223">
        <v>2050</v>
      </c>
      <c r="N207" s="223">
        <v>2050</v>
      </c>
      <c r="O207" s="223">
        <v>2050</v>
      </c>
      <c r="P207" s="223">
        <v>2050</v>
      </c>
      <c r="Q207" s="224">
        <v>2050</v>
      </c>
      <c r="R207" s="224">
        <v>2050</v>
      </c>
      <c r="S207" s="224">
        <v>2050</v>
      </c>
      <c r="T207" s="224">
        <v>2050</v>
      </c>
      <c r="U207" s="224">
        <v>2050</v>
      </c>
      <c r="V207" s="224">
        <v>2050</v>
      </c>
      <c r="W207" s="224">
        <v>2050</v>
      </c>
      <c r="X207" s="224">
        <v>2050</v>
      </c>
      <c r="Y207" s="224">
        <v>2050</v>
      </c>
      <c r="Z207" s="224">
        <v>2050</v>
      </c>
      <c r="AA207" s="224">
        <v>2050</v>
      </c>
      <c r="AB207" s="224">
        <v>2050</v>
      </c>
      <c r="AC207" s="224">
        <v>2050</v>
      </c>
      <c r="AD207" s="224">
        <v>2050</v>
      </c>
    </row>
    <row r="209" spans="1:30" ht="23.25" customHeight="1" x14ac:dyDescent="0.25">
      <c r="A209" s="306" t="s">
        <v>386</v>
      </c>
      <c r="B209" s="306"/>
      <c r="C209" s="306"/>
    </row>
    <row r="210" spans="1:30" ht="15.75" customHeight="1" x14ac:dyDescent="0.2">
      <c r="A210" s="313" t="s">
        <v>387</v>
      </c>
      <c r="B210" s="225" t="s">
        <v>388</v>
      </c>
      <c r="C210" s="323">
        <v>1</v>
      </c>
    </row>
    <row r="211" spans="1:30" ht="14.25" customHeight="1" x14ac:dyDescent="0.2">
      <c r="A211" s="313"/>
      <c r="B211" s="225" t="s">
        <v>389</v>
      </c>
      <c r="C211" s="323"/>
    </row>
    <row r="212" spans="1:30" x14ac:dyDescent="0.2">
      <c r="A212" s="180" t="s">
        <v>605</v>
      </c>
      <c r="B212" s="225" t="s">
        <v>36</v>
      </c>
      <c r="C212" s="176">
        <v>2020</v>
      </c>
    </row>
    <row r="213" spans="1:30" x14ac:dyDescent="0.2">
      <c r="A213" s="227" t="s">
        <v>390</v>
      </c>
      <c r="B213" s="228" t="s">
        <v>36</v>
      </c>
      <c r="C213" s="229">
        <v>2050</v>
      </c>
    </row>
    <row r="214" spans="1:30" ht="14.25" customHeight="1" x14ac:dyDescent="0.25">
      <c r="A214" s="306" t="s">
        <v>394</v>
      </c>
      <c r="B214" s="306"/>
      <c r="C214" s="306"/>
      <c r="D214" s="306"/>
      <c r="E214" s="306"/>
      <c r="F214" s="306"/>
      <c r="G214" s="306"/>
      <c r="H214" s="306"/>
      <c r="I214" s="306"/>
      <c r="J214" s="306"/>
      <c r="K214" s="306"/>
      <c r="L214" s="306"/>
      <c r="M214" s="306"/>
      <c r="N214" s="306"/>
      <c r="O214" s="306"/>
      <c r="P214" s="306"/>
      <c r="Q214" s="306"/>
    </row>
    <row r="215" spans="1:30" x14ac:dyDescent="0.2">
      <c r="A215" s="324" t="s">
        <v>606</v>
      </c>
      <c r="B215" s="324"/>
      <c r="C215" s="219" t="s">
        <v>576</v>
      </c>
      <c r="D215" s="219" t="s">
        <v>579</v>
      </c>
      <c r="E215" s="219" t="s">
        <v>362</v>
      </c>
      <c r="F215" s="219" t="s">
        <v>580</v>
      </c>
      <c r="G215" s="219" t="s">
        <v>581</v>
      </c>
      <c r="H215" s="219" t="s">
        <v>582</v>
      </c>
      <c r="I215" s="219" t="s">
        <v>583</v>
      </c>
      <c r="J215" s="219" t="s">
        <v>354</v>
      </c>
      <c r="K215" s="219" t="s">
        <v>584</v>
      </c>
      <c r="L215" s="219" t="s">
        <v>585</v>
      </c>
      <c r="M215" s="219" t="s">
        <v>586</v>
      </c>
      <c r="N215" s="219" t="s">
        <v>587</v>
      </c>
      <c r="O215" s="219" t="s">
        <v>588</v>
      </c>
      <c r="P215" s="219" t="s">
        <v>589</v>
      </c>
      <c r="Q215" s="220" t="s">
        <v>590</v>
      </c>
      <c r="R215" s="220" t="s">
        <v>338</v>
      </c>
      <c r="S215" s="220" t="s">
        <v>591</v>
      </c>
      <c r="T215" s="220" t="s">
        <v>592</v>
      </c>
      <c r="U215" s="220" t="s">
        <v>593</v>
      </c>
      <c r="V215" s="220" t="s">
        <v>594</v>
      </c>
      <c r="W215" s="220" t="s">
        <v>595</v>
      </c>
      <c r="X215" s="220" t="s">
        <v>596</v>
      </c>
      <c r="Y215" s="220" t="s">
        <v>597</v>
      </c>
      <c r="Z215" s="220" t="s">
        <v>598</v>
      </c>
      <c r="AA215" s="220" t="s">
        <v>599</v>
      </c>
      <c r="AB215" s="220" t="s">
        <v>351</v>
      </c>
      <c r="AC215" s="220" t="s">
        <v>361</v>
      </c>
      <c r="AD215" s="220" t="s">
        <v>600</v>
      </c>
    </row>
    <row r="216" spans="1:30" x14ac:dyDescent="0.2">
      <c r="A216" s="325" t="s">
        <v>374</v>
      </c>
      <c r="B216" s="325"/>
      <c r="C216" s="230">
        <v>4.9143925982598595E-7</v>
      </c>
      <c r="D216" s="230">
        <v>3.5721808570239001E-7</v>
      </c>
      <c r="E216" s="230">
        <v>0</v>
      </c>
      <c r="F216" s="230">
        <v>1.33580538164496E-6</v>
      </c>
      <c r="G216" s="230">
        <v>1.22341908960222E-6</v>
      </c>
      <c r="H216" s="230">
        <v>4.1203327462718802E-7</v>
      </c>
      <c r="I216" s="230">
        <v>1.83490380176835E-7</v>
      </c>
      <c r="J216" s="230">
        <v>3.5107291035509198E-8</v>
      </c>
      <c r="K216" s="230">
        <v>1.4051786616190101E-6</v>
      </c>
      <c r="L216" s="230">
        <v>1.6696259798364701E-7</v>
      </c>
      <c r="M216" s="230">
        <v>3.65540334299614E-7</v>
      </c>
      <c r="N216" s="230">
        <v>7.7092106524854305E-7</v>
      </c>
      <c r="O216" s="230">
        <v>2.0251831747672099E-7</v>
      </c>
      <c r="P216" s="230">
        <v>5.5954250520850301E-7</v>
      </c>
      <c r="Q216" s="231">
        <v>9.7396226736632599E-8</v>
      </c>
      <c r="R216" s="231">
        <v>5.3705425822563295E-7</v>
      </c>
      <c r="S216" s="231">
        <v>3.6456850347543399E-7</v>
      </c>
      <c r="T216" s="231">
        <v>5.0513919712268799E-7</v>
      </c>
      <c r="U216" s="231">
        <v>4.4321358313250701E-7</v>
      </c>
      <c r="V216" s="231">
        <v>2.36045780097966E-7</v>
      </c>
      <c r="W216" s="231">
        <v>8.2108780828477797E-8</v>
      </c>
      <c r="X216" s="231">
        <v>1.79901548666926E-7</v>
      </c>
      <c r="Y216" s="231">
        <v>6.2324040568331498E-7</v>
      </c>
      <c r="Z216" s="231">
        <v>1.3116812598473099E-7</v>
      </c>
      <c r="AA216" s="231">
        <v>1.6465295194180801E-7</v>
      </c>
      <c r="AB216" s="231">
        <v>8.93692743290543E-8</v>
      </c>
      <c r="AC216" s="231">
        <v>0</v>
      </c>
      <c r="AD216" s="231">
        <v>2.6860832732300001E-7</v>
      </c>
    </row>
    <row r="217" spans="1:30" x14ac:dyDescent="0.2">
      <c r="A217" s="325" t="s">
        <v>375</v>
      </c>
      <c r="B217" s="325"/>
      <c r="C217" s="230">
        <v>2.2262237882438499E-7</v>
      </c>
      <c r="D217" s="230">
        <v>2.65109839166996E-8</v>
      </c>
      <c r="E217" s="230">
        <v>0</v>
      </c>
      <c r="F217" s="230">
        <v>9.69014368382836E-7</v>
      </c>
      <c r="G217" s="230">
        <v>6.1379927459737895E-7</v>
      </c>
      <c r="H217" s="230">
        <v>5.4986713159634699E-7</v>
      </c>
      <c r="I217" s="230">
        <v>3.5438737816317398E-8</v>
      </c>
      <c r="J217" s="230">
        <v>7.5026952565718795E-10</v>
      </c>
      <c r="K217" s="230">
        <v>1.5660938027080101E-7</v>
      </c>
      <c r="L217" s="230">
        <v>2.36960970006208E-12</v>
      </c>
      <c r="M217" s="230">
        <v>7.1388752293625604E-8</v>
      </c>
      <c r="N217" s="230">
        <v>5.3973638987257301E-8</v>
      </c>
      <c r="O217" s="230">
        <v>0</v>
      </c>
      <c r="P217" s="230">
        <v>2.7670241089604099E-7</v>
      </c>
      <c r="Q217" s="231">
        <v>8.2381631656966196E-9</v>
      </c>
      <c r="R217" s="231">
        <v>6.3673533190273198E-8</v>
      </c>
      <c r="S217" s="231">
        <v>1.3172626613462E-8</v>
      </c>
      <c r="T217" s="231">
        <v>3.3881641097946397E-8</v>
      </c>
      <c r="U217" s="231">
        <v>0</v>
      </c>
      <c r="V217" s="231">
        <v>1.7385383321602799E-7</v>
      </c>
      <c r="W217" s="231">
        <v>3.70271275272898E-10</v>
      </c>
      <c r="X217" s="231">
        <v>6.4400440646767203E-8</v>
      </c>
      <c r="Y217" s="231">
        <v>2.03105589569859E-7</v>
      </c>
      <c r="Z217" s="231">
        <v>0</v>
      </c>
      <c r="AA217" s="231">
        <v>2.1126905530360201E-8</v>
      </c>
      <c r="AB217" s="231">
        <v>1.6163219181334799E-8</v>
      </c>
      <c r="AC217" s="231">
        <v>0</v>
      </c>
      <c r="AD217" s="231">
        <v>9.5815176626217206E-8</v>
      </c>
    </row>
    <row r="218" spans="1:30" x14ac:dyDescent="0.2">
      <c r="A218" s="325" t="s">
        <v>376</v>
      </c>
      <c r="B218" s="325"/>
      <c r="C218" s="230">
        <v>3.0119512839775998E-7</v>
      </c>
      <c r="D218" s="230">
        <v>2.19312289390501E-7</v>
      </c>
      <c r="E218" s="230">
        <v>1.7274667231020499E-7</v>
      </c>
      <c r="F218" s="230">
        <v>5.2395787561884298E-8</v>
      </c>
      <c r="G218" s="230">
        <v>1.5675315938531499E-8</v>
      </c>
      <c r="H218" s="230">
        <v>0</v>
      </c>
      <c r="I218" s="230">
        <v>0</v>
      </c>
      <c r="J218" s="230">
        <v>0</v>
      </c>
      <c r="K218" s="230">
        <v>1.241724530167E-9</v>
      </c>
      <c r="L218" s="230">
        <v>0</v>
      </c>
      <c r="M218" s="230">
        <v>1.0177967991728799E-8</v>
      </c>
      <c r="N218" s="230">
        <v>6.3643201453671196E-9</v>
      </c>
      <c r="O218" s="230">
        <v>6.9703440393327596E-7</v>
      </c>
      <c r="P218" s="230">
        <v>0</v>
      </c>
      <c r="Q218" s="231">
        <v>1.6175063493079999E-9</v>
      </c>
      <c r="R218" s="231">
        <v>5.0542980711924302E-8</v>
      </c>
      <c r="S218" s="231">
        <v>3.7393457009419302E-9</v>
      </c>
      <c r="T218" s="231">
        <v>2.02426879467313E-8</v>
      </c>
      <c r="U218" s="231">
        <v>0</v>
      </c>
      <c r="V218" s="231">
        <v>4.1862682614841298E-8</v>
      </c>
      <c r="W218" s="231">
        <v>0</v>
      </c>
      <c r="X218" s="231">
        <v>3.2185652092102799E-9</v>
      </c>
      <c r="Y218" s="231">
        <v>0</v>
      </c>
      <c r="Z218" s="231">
        <v>0</v>
      </c>
      <c r="AA218" s="231">
        <v>0</v>
      </c>
      <c r="AB218" s="231">
        <v>0</v>
      </c>
      <c r="AC218" s="231">
        <v>0</v>
      </c>
      <c r="AD218" s="231">
        <v>0</v>
      </c>
    </row>
    <row r="219" spans="1:30" x14ac:dyDescent="0.2">
      <c r="A219" s="325" t="s">
        <v>377</v>
      </c>
      <c r="B219" s="325"/>
      <c r="C219" s="230">
        <v>1.7843708992307999E-7</v>
      </c>
      <c r="D219" s="230">
        <v>9.8023318076996399E-8</v>
      </c>
      <c r="E219" s="230">
        <v>0</v>
      </c>
      <c r="F219" s="230">
        <v>5.8153560461423795E-7</v>
      </c>
      <c r="G219" s="230">
        <v>1.43642819631374E-8</v>
      </c>
      <c r="H219" s="230">
        <v>0</v>
      </c>
      <c r="I219" s="230">
        <v>0</v>
      </c>
      <c r="J219" s="230">
        <v>0</v>
      </c>
      <c r="K219" s="230">
        <v>2.82005466549391E-9</v>
      </c>
      <c r="L219" s="230">
        <v>0</v>
      </c>
      <c r="M219" s="230">
        <v>1.3560210851881299E-7</v>
      </c>
      <c r="N219" s="230">
        <v>3.12693981307369E-7</v>
      </c>
      <c r="O219" s="230">
        <v>1.7926097453579201E-8</v>
      </c>
      <c r="P219" s="230">
        <v>1.60164134468073E-6</v>
      </c>
      <c r="Q219" s="231">
        <v>1.6081116951076099E-8</v>
      </c>
      <c r="R219" s="231">
        <v>6.9028836425075097E-8</v>
      </c>
      <c r="S219" s="231">
        <v>6.7895723288337694E-8</v>
      </c>
      <c r="T219" s="231">
        <v>3.25178562493753E-7</v>
      </c>
      <c r="U219" s="231">
        <v>0</v>
      </c>
      <c r="V219" s="231">
        <v>6.4781437705575904E-7</v>
      </c>
      <c r="W219" s="231">
        <v>0</v>
      </c>
      <c r="X219" s="231">
        <v>1.8513722680003E-8</v>
      </c>
      <c r="Y219" s="231">
        <v>0</v>
      </c>
      <c r="Z219" s="231">
        <v>0</v>
      </c>
      <c r="AA219" s="231">
        <v>0</v>
      </c>
      <c r="AB219" s="231">
        <v>0</v>
      </c>
      <c r="AC219" s="231">
        <v>0</v>
      </c>
      <c r="AD219" s="231">
        <v>0</v>
      </c>
    </row>
    <row r="220" spans="1:30" x14ac:dyDescent="0.2">
      <c r="A220" s="326" t="s">
        <v>378</v>
      </c>
      <c r="B220" s="326"/>
      <c r="C220" s="232">
        <v>2.8222631105657499E-7</v>
      </c>
      <c r="D220" s="233">
        <v>1.3602762647974501E-7</v>
      </c>
      <c r="E220" s="233">
        <v>0</v>
      </c>
      <c r="F220" s="233">
        <v>2.30269903439123E-7</v>
      </c>
      <c r="G220" s="233">
        <v>3.7276680033311398E-7</v>
      </c>
      <c r="H220" s="233">
        <v>0</v>
      </c>
      <c r="I220" s="233">
        <v>0</v>
      </c>
      <c r="J220" s="233">
        <v>0</v>
      </c>
      <c r="K220" s="233">
        <v>2.2944918464033101E-9</v>
      </c>
      <c r="L220" s="233">
        <v>0</v>
      </c>
      <c r="M220" s="233">
        <v>5.6037026771343998E-8</v>
      </c>
      <c r="N220" s="233">
        <v>2.1329469993534701E-7</v>
      </c>
      <c r="O220" s="233">
        <v>2.6859177391131898E-11</v>
      </c>
      <c r="P220" s="233">
        <v>0</v>
      </c>
      <c r="Q220" s="234">
        <v>1.2807016190784299E-9</v>
      </c>
      <c r="R220" s="234">
        <v>5.1284752015170201E-8</v>
      </c>
      <c r="S220" s="234">
        <v>2.0896750956327E-8</v>
      </c>
      <c r="T220" s="234">
        <v>8.8003353048795103E-7</v>
      </c>
      <c r="U220" s="234">
        <v>0</v>
      </c>
      <c r="V220" s="234">
        <v>1.66374682264879E-7</v>
      </c>
      <c r="W220" s="234">
        <v>0</v>
      </c>
      <c r="X220" s="234">
        <v>1.15240108939526E-8</v>
      </c>
      <c r="Y220" s="234">
        <v>0</v>
      </c>
      <c r="Z220" s="234">
        <v>0</v>
      </c>
      <c r="AA220" s="234">
        <v>0</v>
      </c>
      <c r="AB220" s="234">
        <v>0</v>
      </c>
      <c r="AC220" s="234">
        <v>0</v>
      </c>
      <c r="AD220" s="234">
        <v>0</v>
      </c>
    </row>
    <row r="221" spans="1:30" ht="19" x14ac:dyDescent="0.25">
      <c r="A221" s="306" t="s">
        <v>397</v>
      </c>
      <c r="B221" s="306"/>
      <c r="C221" s="306"/>
    </row>
    <row r="222" spans="1:30" ht="16" x14ac:dyDescent="0.2">
      <c r="A222" s="235" t="s">
        <v>398</v>
      </c>
      <c r="B222" s="225" t="s">
        <v>36</v>
      </c>
      <c r="C222" s="176">
        <v>2020</v>
      </c>
    </row>
    <row r="223" spans="1:30" ht="16" x14ac:dyDescent="0.2">
      <c r="A223" s="218" t="s">
        <v>399</v>
      </c>
      <c r="B223" s="236" t="s">
        <v>327</v>
      </c>
      <c r="C223" s="208">
        <v>-0.3</v>
      </c>
    </row>
    <row r="225" spans="1:4" ht="14.25" customHeight="1" x14ac:dyDescent="0.25">
      <c r="A225" s="306" t="s">
        <v>400</v>
      </c>
      <c r="B225" s="306"/>
      <c r="C225" s="306"/>
    </row>
    <row r="226" spans="1:4" ht="28.5" customHeight="1" x14ac:dyDescent="0.2">
      <c r="A226" s="237" t="s">
        <v>401</v>
      </c>
      <c r="B226" s="225" t="s">
        <v>28</v>
      </c>
      <c r="C226" s="226">
        <v>1</v>
      </c>
    </row>
    <row r="227" spans="1:4" ht="14.25" customHeight="1" x14ac:dyDescent="0.2">
      <c r="A227" s="327" t="s">
        <v>403</v>
      </c>
      <c r="B227" s="225" t="s">
        <v>404</v>
      </c>
      <c r="C227" s="328">
        <v>1</v>
      </c>
    </row>
    <row r="228" spans="1:4" x14ac:dyDescent="0.2">
      <c r="A228" s="327"/>
      <c r="B228" s="225" t="s">
        <v>408</v>
      </c>
      <c r="C228" s="328"/>
    </row>
    <row r="229" spans="1:4" x14ac:dyDescent="0.2">
      <c r="A229" s="327"/>
      <c r="B229" s="225" t="s">
        <v>409</v>
      </c>
      <c r="C229" s="328"/>
    </row>
    <row r="230" spans="1:4" ht="16" x14ac:dyDescent="0.2">
      <c r="A230" s="237" t="s">
        <v>607</v>
      </c>
      <c r="B230" s="225" t="s">
        <v>608</v>
      </c>
      <c r="C230" s="176">
        <v>0.1</v>
      </c>
    </row>
    <row r="231" spans="1:4" ht="15" customHeight="1" x14ac:dyDescent="0.2">
      <c r="A231" s="327" t="s">
        <v>406</v>
      </c>
      <c r="B231" s="225" t="s">
        <v>404</v>
      </c>
      <c r="C231" s="328">
        <v>1</v>
      </c>
    </row>
    <row r="232" spans="1:4" x14ac:dyDescent="0.2">
      <c r="A232" s="327"/>
      <c r="B232" s="225" t="s">
        <v>408</v>
      </c>
      <c r="C232" s="328"/>
    </row>
    <row r="233" spans="1:4" x14ac:dyDescent="0.2">
      <c r="A233" s="327"/>
      <c r="B233" s="225" t="s">
        <v>409</v>
      </c>
      <c r="C233" s="328"/>
    </row>
    <row r="234" spans="1:4" ht="16" x14ac:dyDescent="0.2">
      <c r="A234" s="238" t="s">
        <v>413</v>
      </c>
      <c r="B234" s="236" t="s">
        <v>608</v>
      </c>
      <c r="C234" s="208">
        <v>0.1</v>
      </c>
    </row>
    <row r="237" spans="1:4" ht="26" x14ac:dyDescent="0.3">
      <c r="A237" s="173" t="s">
        <v>609</v>
      </c>
    </row>
    <row r="238" spans="1:4" ht="15.75" customHeight="1" x14ac:dyDescent="0.25">
      <c r="A238" s="306" t="s">
        <v>429</v>
      </c>
      <c r="B238" s="306"/>
      <c r="C238" s="306"/>
      <c r="D238" s="306"/>
    </row>
    <row r="239" spans="1:4" ht="15.75" customHeight="1" x14ac:dyDescent="0.2">
      <c r="A239" s="329" t="s">
        <v>430</v>
      </c>
      <c r="B239" s="329"/>
      <c r="C239" s="329"/>
      <c r="D239" s="329"/>
    </row>
    <row r="240" spans="1:4" ht="15" customHeight="1" x14ac:dyDescent="0.2">
      <c r="A240" s="330" t="s">
        <v>431</v>
      </c>
      <c r="B240" s="330"/>
      <c r="C240" s="330"/>
      <c r="D240" s="239">
        <v>2</v>
      </c>
    </row>
    <row r="241" spans="1:5" ht="16" x14ac:dyDescent="0.2">
      <c r="A241" s="240" t="s">
        <v>432</v>
      </c>
      <c r="B241" s="241"/>
      <c r="C241" s="241"/>
      <c r="D241" s="242"/>
    </row>
    <row r="242" spans="1:5" x14ac:dyDescent="0.2">
      <c r="A242" s="243" t="s">
        <v>433</v>
      </c>
      <c r="B242" s="244">
        <v>2050</v>
      </c>
      <c r="C242" s="331"/>
      <c r="D242" s="331"/>
      <c r="E242" s="331"/>
    </row>
    <row r="243" spans="1:5" ht="16" x14ac:dyDescent="0.2">
      <c r="A243" s="245" t="s">
        <v>435</v>
      </c>
      <c r="B243" s="246">
        <v>2020</v>
      </c>
      <c r="C243" s="175"/>
      <c r="D243" s="247" t="s">
        <v>437</v>
      </c>
      <c r="E243" s="248" t="s">
        <v>438</v>
      </c>
    </row>
    <row r="244" spans="1:5" ht="13.5" customHeight="1" x14ac:dyDescent="0.2">
      <c r="A244" s="332" t="s">
        <v>439</v>
      </c>
      <c r="B244" s="249" t="s">
        <v>440</v>
      </c>
      <c r="C244" s="225" t="s">
        <v>610</v>
      </c>
      <c r="D244" s="213">
        <v>0.20166666666666699</v>
      </c>
      <c r="E244" s="193">
        <v>0.60499999999999998</v>
      </c>
    </row>
    <row r="245" spans="1:5" x14ac:dyDescent="0.2">
      <c r="A245" s="332"/>
      <c r="B245" s="249" t="s">
        <v>443</v>
      </c>
      <c r="C245" s="225" t="s">
        <v>610</v>
      </c>
      <c r="D245" s="213">
        <v>0.05</v>
      </c>
      <c r="E245" s="193">
        <v>0.15</v>
      </c>
    </row>
    <row r="246" spans="1:5" x14ac:dyDescent="0.2">
      <c r="A246" s="332"/>
      <c r="B246" s="249" t="s">
        <v>444</v>
      </c>
      <c r="C246" s="225" t="s">
        <v>610</v>
      </c>
      <c r="D246" s="213">
        <v>0.19666666666666699</v>
      </c>
      <c r="E246" s="193">
        <v>0.59</v>
      </c>
    </row>
    <row r="247" spans="1:5" x14ac:dyDescent="0.2">
      <c r="A247" s="332"/>
      <c r="B247" s="249" t="s">
        <v>445</v>
      </c>
      <c r="C247" s="225" t="s">
        <v>610</v>
      </c>
      <c r="D247" s="213">
        <v>0.163333333333333</v>
      </c>
      <c r="E247" s="193">
        <v>0.49</v>
      </c>
    </row>
    <row r="248" spans="1:5" x14ac:dyDescent="0.2">
      <c r="A248" s="332"/>
      <c r="B248" s="249" t="s">
        <v>446</v>
      </c>
      <c r="C248" s="225" t="s">
        <v>610</v>
      </c>
      <c r="D248" s="213">
        <v>1.66666666666667E-3</v>
      </c>
      <c r="E248" s="193">
        <v>5.0000000000000001E-3</v>
      </c>
    </row>
    <row r="249" spans="1:5" x14ac:dyDescent="0.2">
      <c r="A249" s="332"/>
      <c r="B249" s="249" t="s">
        <v>447</v>
      </c>
      <c r="C249" s="225" t="s">
        <v>610</v>
      </c>
      <c r="D249" s="213">
        <v>6.3333333333333297E-2</v>
      </c>
      <c r="E249" s="193">
        <v>0.19</v>
      </c>
    </row>
    <row r="250" spans="1:5" x14ac:dyDescent="0.2">
      <c r="A250" s="332"/>
      <c r="B250" s="249" t="s">
        <v>448</v>
      </c>
      <c r="C250" s="225" t="s">
        <v>610</v>
      </c>
      <c r="D250" s="213">
        <v>0.25333333333333302</v>
      </c>
      <c r="E250" s="193">
        <v>0.76</v>
      </c>
    </row>
    <row r="251" spans="1:5" x14ac:dyDescent="0.2">
      <c r="A251" s="332"/>
      <c r="B251" s="249" t="s">
        <v>449</v>
      </c>
      <c r="C251" s="225" t="s">
        <v>610</v>
      </c>
      <c r="D251" s="213">
        <v>1.66666666666667E-3</v>
      </c>
      <c r="E251" s="193">
        <v>5.0000000000000001E-3</v>
      </c>
    </row>
    <row r="252" spans="1:5" x14ac:dyDescent="0.2">
      <c r="A252" s="332"/>
      <c r="B252" s="249" t="s">
        <v>450</v>
      </c>
      <c r="C252" s="225" t="s">
        <v>610</v>
      </c>
      <c r="D252" s="213">
        <v>0.13</v>
      </c>
      <c r="E252" s="193">
        <v>0.39</v>
      </c>
    </row>
    <row r="253" spans="1:5" x14ac:dyDescent="0.2">
      <c r="A253" s="332"/>
      <c r="B253" s="249" t="s">
        <v>451</v>
      </c>
      <c r="C253" s="225" t="s">
        <v>610</v>
      </c>
      <c r="D253" s="213">
        <v>0.176666666666667</v>
      </c>
      <c r="E253" s="193">
        <v>0.53</v>
      </c>
    </row>
    <row r="254" spans="1:5" x14ac:dyDescent="0.2">
      <c r="A254" s="332"/>
      <c r="B254" s="249" t="s">
        <v>452</v>
      </c>
      <c r="C254" s="225" t="s">
        <v>610</v>
      </c>
      <c r="D254" s="213">
        <v>0.116666666666667</v>
      </c>
      <c r="E254" s="193">
        <v>0.35</v>
      </c>
    </row>
    <row r="255" spans="1:5" x14ac:dyDescent="0.2">
      <c r="A255" s="332"/>
      <c r="B255" s="249" t="s">
        <v>453</v>
      </c>
      <c r="C255" s="225" t="s">
        <v>610</v>
      </c>
      <c r="D255" s="213">
        <v>0.18833333333333299</v>
      </c>
      <c r="E255" s="193">
        <v>0.56499999999999995</v>
      </c>
    </row>
    <row r="256" spans="1:5" x14ac:dyDescent="0.2">
      <c r="A256" s="332"/>
      <c r="B256" s="249" t="s">
        <v>454</v>
      </c>
      <c r="C256" s="225" t="s">
        <v>610</v>
      </c>
      <c r="D256" s="213">
        <v>0.245</v>
      </c>
      <c r="E256" s="193">
        <v>0.73499999999999999</v>
      </c>
    </row>
    <row r="257" spans="1:10" x14ac:dyDescent="0.2">
      <c r="A257" s="332"/>
      <c r="B257" s="249" t="s">
        <v>455</v>
      </c>
      <c r="C257" s="225" t="s">
        <v>610</v>
      </c>
      <c r="D257" s="213">
        <v>0.19166666666666701</v>
      </c>
      <c r="E257" s="193">
        <v>0.57499999999999996</v>
      </c>
    </row>
    <row r="258" spans="1:10" x14ac:dyDescent="0.2">
      <c r="A258" s="332"/>
      <c r="B258" s="249" t="s">
        <v>456</v>
      </c>
      <c r="C258" s="225" t="s">
        <v>610</v>
      </c>
      <c r="D258" s="213">
        <v>0.101666666666667</v>
      </c>
      <c r="E258" s="193">
        <v>0.30499999999999999</v>
      </c>
    </row>
    <row r="259" spans="1:10" x14ac:dyDescent="0.2">
      <c r="A259" s="332"/>
      <c r="B259" s="249" t="s">
        <v>457</v>
      </c>
      <c r="C259" s="225" t="s">
        <v>610</v>
      </c>
      <c r="D259" s="213">
        <v>1.66666666666667E-3</v>
      </c>
      <c r="E259" s="193">
        <v>5.0000000000000001E-3</v>
      </c>
    </row>
    <row r="260" spans="1:10" x14ac:dyDescent="0.2">
      <c r="A260" s="332"/>
      <c r="B260" s="249" t="s">
        <v>458</v>
      </c>
      <c r="C260" s="225" t="s">
        <v>610</v>
      </c>
      <c r="D260" s="213">
        <v>0.30333333333333301</v>
      </c>
      <c r="E260" s="193">
        <v>0.91</v>
      </c>
    </row>
    <row r="261" spans="1:10" x14ac:dyDescent="0.2">
      <c r="A261" s="332"/>
      <c r="B261" s="249" t="s">
        <v>459</v>
      </c>
      <c r="C261" s="225" t="s">
        <v>610</v>
      </c>
      <c r="D261" s="213">
        <v>1.66666666666667E-3</v>
      </c>
      <c r="E261" s="193">
        <v>5.0000000000000001E-3</v>
      </c>
    </row>
    <row r="262" spans="1:10" x14ac:dyDescent="0.2">
      <c r="A262" s="332"/>
      <c r="B262" s="214" t="s">
        <v>460</v>
      </c>
      <c r="C262" s="236" t="s">
        <v>610</v>
      </c>
      <c r="D262" s="178">
        <v>0.18333333333333299</v>
      </c>
      <c r="E262" s="179">
        <v>0.55000000000000004</v>
      </c>
    </row>
    <row r="263" spans="1:10" ht="15" customHeight="1" x14ac:dyDescent="0.2">
      <c r="A263" s="333" t="s">
        <v>461</v>
      </c>
      <c r="B263" s="333"/>
      <c r="C263" s="333"/>
    </row>
    <row r="264" spans="1:10" ht="32" x14ac:dyDescent="0.2">
      <c r="A264" s="237" t="s">
        <v>611</v>
      </c>
      <c r="B264" s="225" t="s">
        <v>612</v>
      </c>
      <c r="C264" s="250">
        <v>1.4E-2</v>
      </c>
    </row>
    <row r="265" spans="1:10" ht="16" x14ac:dyDescent="0.2">
      <c r="A265" s="237" t="s">
        <v>613</v>
      </c>
      <c r="B265" s="225" t="s">
        <v>423</v>
      </c>
      <c r="C265" s="176">
        <v>2020</v>
      </c>
    </row>
    <row r="266" spans="1:10" ht="16" x14ac:dyDescent="0.2">
      <c r="A266" s="237" t="s">
        <v>614</v>
      </c>
      <c r="B266" s="225" t="s">
        <v>612</v>
      </c>
      <c r="C266" s="250">
        <v>1.4E-2</v>
      </c>
    </row>
    <row r="267" spans="1:10" ht="16" x14ac:dyDescent="0.2">
      <c r="A267" s="238" t="s">
        <v>615</v>
      </c>
      <c r="B267" s="236" t="s">
        <v>423</v>
      </c>
      <c r="C267" s="208">
        <v>2020</v>
      </c>
    </row>
    <row r="269" spans="1:10" ht="19" x14ac:dyDescent="0.25">
      <c r="A269" s="306" t="s">
        <v>232</v>
      </c>
      <c r="B269" s="306"/>
      <c r="C269" s="306"/>
    </row>
    <row r="270" spans="1:10" x14ac:dyDescent="0.2">
      <c r="A270" s="334" t="s">
        <v>233</v>
      </c>
      <c r="B270" s="334"/>
      <c r="C270" s="334"/>
      <c r="H270" s="58"/>
      <c r="J270" s="61"/>
    </row>
    <row r="271" spans="1:10" ht="16" x14ac:dyDescent="0.2">
      <c r="A271" s="237" t="s">
        <v>234</v>
      </c>
      <c r="B271" s="175" t="s">
        <v>28</v>
      </c>
      <c r="C271" s="251">
        <v>1</v>
      </c>
      <c r="H271" s="58"/>
      <c r="J271" s="61"/>
    </row>
    <row r="272" spans="1:10" x14ac:dyDescent="0.2">
      <c r="A272" s="334" t="s">
        <v>616</v>
      </c>
      <c r="B272" s="334"/>
      <c r="C272" s="334"/>
      <c r="H272" s="58"/>
      <c r="J272" s="61"/>
    </row>
    <row r="273" spans="1:10" ht="15" customHeight="1" x14ac:dyDescent="0.2">
      <c r="A273" s="332" t="s">
        <v>617</v>
      </c>
      <c r="B273" s="225" t="s">
        <v>618</v>
      </c>
      <c r="C273" s="335">
        <v>4</v>
      </c>
      <c r="H273" s="58"/>
      <c r="J273" s="61"/>
    </row>
    <row r="274" spans="1:10" x14ac:dyDescent="0.2">
      <c r="A274" s="332"/>
      <c r="B274" s="225" t="s">
        <v>619</v>
      </c>
      <c r="C274" s="335"/>
      <c r="H274" s="58"/>
      <c r="J274" s="61"/>
    </row>
    <row r="275" spans="1:10" x14ac:dyDescent="0.2">
      <c r="A275" s="332"/>
      <c r="B275" s="225" t="s">
        <v>620</v>
      </c>
      <c r="C275" s="335"/>
      <c r="H275" s="58"/>
      <c r="J275" s="61"/>
    </row>
    <row r="276" spans="1:10" x14ac:dyDescent="0.2">
      <c r="A276" s="332"/>
      <c r="B276" s="236" t="s">
        <v>621</v>
      </c>
      <c r="C276" s="335"/>
      <c r="H276" s="58"/>
      <c r="J276" s="61"/>
    </row>
    <row r="277" spans="1:10" x14ac:dyDescent="0.2">
      <c r="H277" s="58"/>
      <c r="J277" s="61"/>
    </row>
    <row r="278" spans="1:10" x14ac:dyDescent="0.2">
      <c r="A278" s="252" t="s">
        <v>164</v>
      </c>
      <c r="B278" s="253"/>
      <c r="H278" s="58"/>
      <c r="J278" s="61"/>
    </row>
    <row r="279" spans="1:10" x14ac:dyDescent="0.2">
      <c r="A279" s="254" t="s">
        <v>165</v>
      </c>
      <c r="B279" s="255">
        <v>1</v>
      </c>
      <c r="H279" s="58"/>
      <c r="J279" s="61"/>
    </row>
    <row r="280" spans="1:10" x14ac:dyDescent="0.2">
      <c r="H280" s="58"/>
      <c r="J280" s="61"/>
    </row>
    <row r="281" spans="1:10" ht="19" x14ac:dyDescent="0.25">
      <c r="A281" s="306" t="s">
        <v>622</v>
      </c>
      <c r="B281" s="306"/>
      <c r="C281" s="306"/>
      <c r="D281" s="306"/>
      <c r="E281" s="306"/>
      <c r="F281" s="306"/>
      <c r="G281" s="306"/>
      <c r="H281" s="306"/>
      <c r="I281" s="306"/>
      <c r="J281" s="61"/>
    </row>
    <row r="282" spans="1:10" x14ac:dyDescent="0.2">
      <c r="A282" s="256" t="s">
        <v>623</v>
      </c>
      <c r="B282" s="174" t="s">
        <v>36</v>
      </c>
      <c r="C282" s="175">
        <v>2020</v>
      </c>
      <c r="D282" s="175">
        <v>2025</v>
      </c>
      <c r="E282" s="175">
        <v>2030</v>
      </c>
      <c r="F282" s="175">
        <v>2035</v>
      </c>
      <c r="G282" s="175">
        <v>2040</v>
      </c>
      <c r="H282" s="175">
        <v>2045</v>
      </c>
      <c r="I282" s="176">
        <v>2050</v>
      </c>
      <c r="J282" s="61"/>
    </row>
    <row r="283" spans="1:10" x14ac:dyDescent="0.2">
      <c r="A283" s="256" t="s">
        <v>576</v>
      </c>
      <c r="B283" s="174" t="s">
        <v>499</v>
      </c>
      <c r="C283" s="175">
        <v>0</v>
      </c>
      <c r="D283" s="175">
        <v>0</v>
      </c>
      <c r="E283" s="175">
        <v>0</v>
      </c>
      <c r="F283" s="175">
        <v>0</v>
      </c>
      <c r="G283" s="175">
        <v>0</v>
      </c>
      <c r="H283" s="175">
        <v>0</v>
      </c>
      <c r="I283" s="176">
        <v>0</v>
      </c>
      <c r="J283" s="61"/>
    </row>
    <row r="284" spans="1:10" x14ac:dyDescent="0.2">
      <c r="A284" s="256" t="s">
        <v>579</v>
      </c>
      <c r="B284" s="174" t="s">
        <v>499</v>
      </c>
      <c r="C284" s="175">
        <v>0</v>
      </c>
      <c r="D284" s="175">
        <v>0</v>
      </c>
      <c r="E284" s="175">
        <v>0</v>
      </c>
      <c r="F284" s="175">
        <v>0</v>
      </c>
      <c r="G284" s="175">
        <v>0</v>
      </c>
      <c r="H284" s="175">
        <v>0</v>
      </c>
      <c r="I284" s="176">
        <v>0</v>
      </c>
      <c r="J284" s="61"/>
    </row>
    <row r="285" spans="1:10" x14ac:dyDescent="0.2">
      <c r="A285" s="256" t="s">
        <v>362</v>
      </c>
      <c r="B285" s="174" t="s">
        <v>499</v>
      </c>
      <c r="C285" s="175">
        <v>0</v>
      </c>
      <c r="D285" s="175">
        <v>0</v>
      </c>
      <c r="E285" s="175">
        <v>0</v>
      </c>
      <c r="F285" s="175">
        <v>0</v>
      </c>
      <c r="G285" s="175">
        <v>0</v>
      </c>
      <c r="H285" s="175">
        <v>0</v>
      </c>
      <c r="I285" s="176">
        <v>0</v>
      </c>
      <c r="J285" s="61"/>
    </row>
    <row r="286" spans="1:10" x14ac:dyDescent="0.2">
      <c r="A286" s="256" t="s">
        <v>580</v>
      </c>
      <c r="B286" s="174" t="s">
        <v>499</v>
      </c>
      <c r="C286" s="175">
        <v>0</v>
      </c>
      <c r="D286" s="175">
        <v>0</v>
      </c>
      <c r="E286" s="175">
        <v>0</v>
      </c>
      <c r="F286" s="175">
        <v>0</v>
      </c>
      <c r="G286" s="175">
        <v>0</v>
      </c>
      <c r="H286" s="175">
        <v>0</v>
      </c>
      <c r="I286" s="176">
        <v>0</v>
      </c>
      <c r="J286" s="61"/>
    </row>
    <row r="287" spans="1:10" x14ac:dyDescent="0.2">
      <c r="A287" s="256" t="s">
        <v>581</v>
      </c>
      <c r="B287" s="174" t="s">
        <v>499</v>
      </c>
      <c r="C287" s="175">
        <v>0</v>
      </c>
      <c r="D287" s="175">
        <v>0</v>
      </c>
      <c r="E287" s="175">
        <v>0</v>
      </c>
      <c r="F287" s="175">
        <v>0</v>
      </c>
      <c r="G287" s="175">
        <v>0</v>
      </c>
      <c r="H287" s="175">
        <v>0</v>
      </c>
      <c r="I287" s="176">
        <v>0</v>
      </c>
      <c r="J287" s="61"/>
    </row>
    <row r="288" spans="1:10" x14ac:dyDescent="0.2">
      <c r="A288" s="256" t="s">
        <v>582</v>
      </c>
      <c r="B288" s="174" t="s">
        <v>499</v>
      </c>
      <c r="C288" s="175">
        <v>0</v>
      </c>
      <c r="D288" s="175">
        <v>0</v>
      </c>
      <c r="E288" s="175">
        <v>0</v>
      </c>
      <c r="F288" s="175">
        <v>0</v>
      </c>
      <c r="G288" s="175">
        <v>0</v>
      </c>
      <c r="H288" s="175">
        <v>0</v>
      </c>
      <c r="I288" s="176">
        <v>0</v>
      </c>
      <c r="J288" s="61"/>
    </row>
    <row r="289" spans="1:10" x14ac:dyDescent="0.2">
      <c r="A289" s="256" t="s">
        <v>583</v>
      </c>
      <c r="B289" s="174" t="s">
        <v>499</v>
      </c>
      <c r="C289" s="175">
        <v>0</v>
      </c>
      <c r="D289" s="175">
        <v>0</v>
      </c>
      <c r="E289" s="175">
        <v>0</v>
      </c>
      <c r="F289" s="175">
        <v>0</v>
      </c>
      <c r="G289" s="175">
        <v>0</v>
      </c>
      <c r="H289" s="175">
        <v>0</v>
      </c>
      <c r="I289" s="176">
        <v>0</v>
      </c>
      <c r="J289" s="61"/>
    </row>
    <row r="290" spans="1:10" x14ac:dyDescent="0.2">
      <c r="A290" s="256" t="s">
        <v>354</v>
      </c>
      <c r="B290" s="174" t="s">
        <v>499</v>
      </c>
      <c r="C290" s="175">
        <v>0</v>
      </c>
      <c r="D290" s="175">
        <v>0</v>
      </c>
      <c r="E290" s="175">
        <v>0</v>
      </c>
      <c r="F290" s="175">
        <v>0</v>
      </c>
      <c r="G290" s="175">
        <v>0</v>
      </c>
      <c r="H290" s="175">
        <v>0</v>
      </c>
      <c r="I290" s="176">
        <v>0</v>
      </c>
      <c r="J290" s="61"/>
    </row>
    <row r="291" spans="1:10" x14ac:dyDescent="0.2">
      <c r="A291" s="256" t="s">
        <v>584</v>
      </c>
      <c r="B291" s="174" t="s">
        <v>499</v>
      </c>
      <c r="C291" s="175">
        <v>0</v>
      </c>
      <c r="D291" s="175">
        <v>0</v>
      </c>
      <c r="E291" s="175">
        <v>0</v>
      </c>
      <c r="F291" s="175">
        <v>0</v>
      </c>
      <c r="G291" s="175">
        <v>0</v>
      </c>
      <c r="H291" s="175">
        <v>0</v>
      </c>
      <c r="I291" s="176">
        <v>0</v>
      </c>
      <c r="J291" s="61"/>
    </row>
    <row r="292" spans="1:10" x14ac:dyDescent="0.2">
      <c r="A292" s="256" t="s">
        <v>585</v>
      </c>
      <c r="B292" s="174" t="s">
        <v>499</v>
      </c>
      <c r="C292" s="175">
        <v>0</v>
      </c>
      <c r="D292" s="175">
        <v>0</v>
      </c>
      <c r="E292" s="175">
        <v>0</v>
      </c>
      <c r="F292" s="175">
        <v>0</v>
      </c>
      <c r="G292" s="175">
        <v>0</v>
      </c>
      <c r="H292" s="175">
        <v>0</v>
      </c>
      <c r="I292" s="176">
        <v>0</v>
      </c>
      <c r="J292" s="61"/>
    </row>
    <row r="293" spans="1:10" x14ac:dyDescent="0.2">
      <c r="A293" s="256" t="s">
        <v>586</v>
      </c>
      <c r="B293" s="174" t="s">
        <v>499</v>
      </c>
      <c r="C293" s="175">
        <v>0</v>
      </c>
      <c r="D293" s="175">
        <v>0</v>
      </c>
      <c r="E293" s="175">
        <v>0</v>
      </c>
      <c r="F293" s="175">
        <v>0</v>
      </c>
      <c r="G293" s="175">
        <v>0</v>
      </c>
      <c r="H293" s="175">
        <v>0</v>
      </c>
      <c r="I293" s="176">
        <v>0</v>
      </c>
      <c r="J293" s="61"/>
    </row>
    <row r="294" spans="1:10" x14ac:dyDescent="0.2">
      <c r="A294" s="256" t="s">
        <v>587</v>
      </c>
      <c r="B294" s="174" t="s">
        <v>499</v>
      </c>
      <c r="C294" s="175">
        <v>0</v>
      </c>
      <c r="D294" s="175">
        <v>0</v>
      </c>
      <c r="E294" s="175">
        <v>0</v>
      </c>
      <c r="F294" s="175">
        <v>0</v>
      </c>
      <c r="G294" s="175">
        <v>0</v>
      </c>
      <c r="H294" s="175">
        <v>0</v>
      </c>
      <c r="I294" s="176">
        <v>0</v>
      </c>
      <c r="J294" s="61"/>
    </row>
    <row r="295" spans="1:10" x14ac:dyDescent="0.2">
      <c r="A295" s="256" t="s">
        <v>588</v>
      </c>
      <c r="B295" s="174" t="s">
        <v>499</v>
      </c>
      <c r="C295" s="175">
        <v>0</v>
      </c>
      <c r="D295" s="175">
        <v>0</v>
      </c>
      <c r="E295" s="175">
        <v>0</v>
      </c>
      <c r="F295" s="175">
        <v>0</v>
      </c>
      <c r="G295" s="175">
        <v>0</v>
      </c>
      <c r="H295" s="175">
        <v>0</v>
      </c>
      <c r="I295" s="176">
        <v>0</v>
      </c>
      <c r="J295" s="61"/>
    </row>
    <row r="296" spans="1:10" x14ac:dyDescent="0.2">
      <c r="A296" s="256" t="s">
        <v>589</v>
      </c>
      <c r="B296" s="174" t="s">
        <v>499</v>
      </c>
      <c r="C296" s="175">
        <v>0</v>
      </c>
      <c r="D296" s="175">
        <v>0</v>
      </c>
      <c r="E296" s="175">
        <v>0</v>
      </c>
      <c r="F296" s="175">
        <v>0</v>
      </c>
      <c r="G296" s="175">
        <v>0</v>
      </c>
      <c r="H296" s="175">
        <v>0</v>
      </c>
      <c r="I296" s="176">
        <v>0</v>
      </c>
      <c r="J296" s="61"/>
    </row>
    <row r="297" spans="1:10" x14ac:dyDescent="0.2">
      <c r="A297" s="256" t="s">
        <v>590</v>
      </c>
      <c r="B297" s="174" t="s">
        <v>499</v>
      </c>
      <c r="C297" s="175">
        <v>0</v>
      </c>
      <c r="D297" s="175">
        <v>0</v>
      </c>
      <c r="E297" s="175">
        <v>0</v>
      </c>
      <c r="F297" s="175">
        <v>0</v>
      </c>
      <c r="G297" s="175">
        <v>0</v>
      </c>
      <c r="H297" s="175">
        <v>0</v>
      </c>
      <c r="I297" s="176">
        <v>0</v>
      </c>
      <c r="J297" s="61"/>
    </row>
    <row r="298" spans="1:10" x14ac:dyDescent="0.2">
      <c r="A298" s="256" t="s">
        <v>338</v>
      </c>
      <c r="B298" s="174" t="s">
        <v>499</v>
      </c>
      <c r="C298" s="175">
        <v>0</v>
      </c>
      <c r="D298" s="175">
        <v>0</v>
      </c>
      <c r="E298" s="175">
        <v>0</v>
      </c>
      <c r="F298" s="175">
        <f>$C298+(($G298-$C298)/20)*(F295-2020)</f>
        <v>0</v>
      </c>
      <c r="G298" s="175">
        <v>0</v>
      </c>
      <c r="H298" s="175">
        <v>0</v>
      </c>
      <c r="I298" s="176">
        <v>0</v>
      </c>
      <c r="J298" s="61"/>
    </row>
    <row r="299" spans="1:10" x14ac:dyDescent="0.2">
      <c r="A299" s="256" t="s">
        <v>591</v>
      </c>
      <c r="B299" s="174" t="s">
        <v>499</v>
      </c>
      <c r="C299" s="175">
        <v>0</v>
      </c>
      <c r="D299" s="175">
        <v>0</v>
      </c>
      <c r="E299" s="175">
        <v>0</v>
      </c>
      <c r="F299" s="175">
        <v>0</v>
      </c>
      <c r="G299" s="175">
        <v>0</v>
      </c>
      <c r="H299" s="175">
        <v>0</v>
      </c>
      <c r="I299" s="176">
        <v>0</v>
      </c>
      <c r="J299" s="61"/>
    </row>
    <row r="300" spans="1:10" x14ac:dyDescent="0.2">
      <c r="A300" s="256" t="s">
        <v>592</v>
      </c>
      <c r="B300" s="174" t="s">
        <v>499</v>
      </c>
      <c r="C300" s="175">
        <v>0</v>
      </c>
      <c r="D300" s="175">
        <v>0</v>
      </c>
      <c r="E300" s="175">
        <v>0</v>
      </c>
      <c r="F300" s="175">
        <v>0</v>
      </c>
      <c r="G300" s="175">
        <v>0</v>
      </c>
      <c r="H300" s="175">
        <v>0</v>
      </c>
      <c r="I300" s="176">
        <v>0</v>
      </c>
      <c r="J300" s="61"/>
    </row>
    <row r="301" spans="1:10" x14ac:dyDescent="0.2">
      <c r="A301" s="256" t="s">
        <v>593</v>
      </c>
      <c r="B301" s="174" t="s">
        <v>499</v>
      </c>
      <c r="C301" s="175">
        <v>0</v>
      </c>
      <c r="D301" s="175">
        <v>0</v>
      </c>
      <c r="E301" s="175">
        <v>0</v>
      </c>
      <c r="F301" s="175">
        <v>0</v>
      </c>
      <c r="G301" s="175">
        <v>0</v>
      </c>
      <c r="H301" s="175">
        <v>0</v>
      </c>
      <c r="I301" s="176">
        <v>0</v>
      </c>
      <c r="J301" s="61"/>
    </row>
    <row r="302" spans="1:10" x14ac:dyDescent="0.2">
      <c r="A302" s="256" t="s">
        <v>594</v>
      </c>
      <c r="B302" s="174" t="s">
        <v>499</v>
      </c>
      <c r="C302" s="175">
        <v>0</v>
      </c>
      <c r="D302" s="175">
        <v>0</v>
      </c>
      <c r="E302" s="175">
        <v>0</v>
      </c>
      <c r="F302" s="175">
        <v>0</v>
      </c>
      <c r="G302" s="175">
        <v>0</v>
      </c>
      <c r="H302" s="175">
        <v>0</v>
      </c>
      <c r="I302" s="176">
        <v>0</v>
      </c>
      <c r="J302" s="61"/>
    </row>
    <row r="303" spans="1:10" x14ac:dyDescent="0.2">
      <c r="A303" s="256" t="s">
        <v>595</v>
      </c>
      <c r="B303" s="174" t="s">
        <v>499</v>
      </c>
      <c r="C303" s="175">
        <v>0</v>
      </c>
      <c r="D303" s="175">
        <v>0</v>
      </c>
      <c r="E303" s="175">
        <v>0</v>
      </c>
      <c r="F303" s="175">
        <v>0</v>
      </c>
      <c r="G303" s="175">
        <v>0</v>
      </c>
      <c r="H303" s="175">
        <v>0</v>
      </c>
      <c r="I303" s="176">
        <v>0</v>
      </c>
      <c r="J303" s="61"/>
    </row>
    <row r="304" spans="1:10" x14ac:dyDescent="0.2">
      <c r="A304" s="256" t="s">
        <v>596</v>
      </c>
      <c r="B304" s="174" t="s">
        <v>499</v>
      </c>
      <c r="C304" s="175">
        <v>0</v>
      </c>
      <c r="D304" s="175">
        <v>0</v>
      </c>
      <c r="E304" s="175">
        <v>0</v>
      </c>
      <c r="F304" s="175">
        <v>0</v>
      </c>
      <c r="G304" s="175">
        <v>0</v>
      </c>
      <c r="H304" s="175">
        <v>0</v>
      </c>
      <c r="I304" s="176">
        <v>0</v>
      </c>
      <c r="J304" s="61"/>
    </row>
    <row r="305" spans="1:10" x14ac:dyDescent="0.2">
      <c r="A305" s="256" t="s">
        <v>597</v>
      </c>
      <c r="B305" s="174" t="s">
        <v>499</v>
      </c>
      <c r="C305" s="175">
        <v>0</v>
      </c>
      <c r="D305" s="175">
        <v>0</v>
      </c>
      <c r="E305" s="175">
        <v>0</v>
      </c>
      <c r="F305" s="175">
        <v>0</v>
      </c>
      <c r="G305" s="175">
        <v>0</v>
      </c>
      <c r="H305" s="175">
        <v>0</v>
      </c>
      <c r="I305" s="176">
        <v>0</v>
      </c>
      <c r="J305" s="61"/>
    </row>
    <row r="306" spans="1:10" x14ac:dyDescent="0.2">
      <c r="A306" s="256" t="s">
        <v>598</v>
      </c>
      <c r="B306" s="174" t="s">
        <v>499</v>
      </c>
      <c r="C306" s="175">
        <v>0</v>
      </c>
      <c r="D306" s="175">
        <v>0</v>
      </c>
      <c r="E306" s="175">
        <v>0</v>
      </c>
      <c r="F306" s="175">
        <v>0</v>
      </c>
      <c r="G306" s="175">
        <v>0</v>
      </c>
      <c r="H306" s="175">
        <v>0</v>
      </c>
      <c r="I306" s="176">
        <v>0</v>
      </c>
      <c r="J306" s="61"/>
    </row>
    <row r="307" spans="1:10" x14ac:dyDescent="0.2">
      <c r="A307" s="256" t="s">
        <v>599</v>
      </c>
      <c r="B307" s="174" t="s">
        <v>499</v>
      </c>
      <c r="C307" s="175">
        <v>0</v>
      </c>
      <c r="D307" s="175">
        <v>0</v>
      </c>
      <c r="E307" s="175">
        <v>0</v>
      </c>
      <c r="F307" s="175">
        <v>0</v>
      </c>
      <c r="G307" s="175">
        <v>0</v>
      </c>
      <c r="H307" s="175">
        <v>0</v>
      </c>
      <c r="I307" s="176">
        <v>0</v>
      </c>
      <c r="J307" s="61"/>
    </row>
    <row r="308" spans="1:10" x14ac:dyDescent="0.2">
      <c r="A308" s="256" t="s">
        <v>351</v>
      </c>
      <c r="B308" s="174" t="s">
        <v>499</v>
      </c>
      <c r="C308" s="175">
        <v>0</v>
      </c>
      <c r="D308" s="175">
        <v>0</v>
      </c>
      <c r="E308" s="175">
        <v>0</v>
      </c>
      <c r="F308" s="175">
        <v>0</v>
      </c>
      <c r="G308" s="175">
        <v>0</v>
      </c>
      <c r="H308" s="175">
        <v>0</v>
      </c>
      <c r="I308" s="176">
        <v>0</v>
      </c>
      <c r="J308" s="61"/>
    </row>
    <row r="309" spans="1:10" x14ac:dyDescent="0.2">
      <c r="A309" s="256" t="s">
        <v>361</v>
      </c>
      <c r="B309" s="174" t="s">
        <v>499</v>
      </c>
      <c r="C309" s="175">
        <v>0</v>
      </c>
      <c r="D309" s="175">
        <v>0</v>
      </c>
      <c r="E309" s="175">
        <v>0</v>
      </c>
      <c r="F309" s="175">
        <v>0</v>
      </c>
      <c r="G309" s="175">
        <v>0</v>
      </c>
      <c r="H309" s="175">
        <v>0</v>
      </c>
      <c r="I309" s="176">
        <v>0</v>
      </c>
      <c r="J309" s="61"/>
    </row>
    <row r="310" spans="1:10" x14ac:dyDescent="0.2">
      <c r="A310" s="256" t="s">
        <v>600</v>
      </c>
      <c r="B310" s="174" t="s">
        <v>499</v>
      </c>
      <c r="C310" s="175">
        <v>0</v>
      </c>
      <c r="D310" s="175">
        <v>0</v>
      </c>
      <c r="E310" s="175">
        <v>0</v>
      </c>
      <c r="F310" s="175">
        <v>0</v>
      </c>
      <c r="G310" s="175">
        <v>0</v>
      </c>
      <c r="H310" s="175">
        <v>0</v>
      </c>
      <c r="I310" s="176">
        <v>0</v>
      </c>
      <c r="J310" s="61"/>
    </row>
    <row r="311" spans="1:10" x14ac:dyDescent="0.2">
      <c r="A311" s="257" t="s">
        <v>624</v>
      </c>
      <c r="B311" s="258"/>
      <c r="C311" s="258"/>
      <c r="D311" s="258"/>
      <c r="E311" s="258"/>
      <c r="F311" s="258"/>
      <c r="G311" s="258"/>
      <c r="H311" s="259"/>
      <c r="I311" s="258"/>
      <c r="J311" s="61"/>
    </row>
    <row r="312" spans="1:10" x14ac:dyDescent="0.2">
      <c r="A312" s="256" t="s">
        <v>576</v>
      </c>
      <c r="B312" s="174" t="s">
        <v>28</v>
      </c>
      <c r="C312" s="175">
        <v>0.189349112426035</v>
      </c>
      <c r="D312" s="175">
        <v>0.189349112426035</v>
      </c>
      <c r="E312" s="175">
        <v>0.189349112426035</v>
      </c>
      <c r="F312" s="175">
        <v>0.189349112426035</v>
      </c>
      <c r="G312" s="175">
        <v>0.189349112426035</v>
      </c>
      <c r="H312" s="175">
        <f t="shared" ref="H312:H339" si="2">G312+(I312-G312)/2</f>
        <v>0.23865361380464051</v>
      </c>
      <c r="I312" s="175">
        <v>0.28795811518324599</v>
      </c>
      <c r="J312" s="61"/>
    </row>
    <row r="313" spans="1:10" x14ac:dyDescent="0.2">
      <c r="A313" s="256" t="s">
        <v>579</v>
      </c>
      <c r="B313" s="174" t="s">
        <v>28</v>
      </c>
      <c r="C313" s="175">
        <v>0.189349112426035</v>
      </c>
      <c r="D313" s="175">
        <v>0.189349112426035</v>
      </c>
      <c r="E313" s="175">
        <v>0.189349112426035</v>
      </c>
      <c r="F313" s="175">
        <v>0.189349112426035</v>
      </c>
      <c r="G313" s="175">
        <v>0.189349112426035</v>
      </c>
      <c r="H313" s="175">
        <f t="shared" si="2"/>
        <v>0.23865361380464051</v>
      </c>
      <c r="I313" s="175">
        <v>0.28795811518324599</v>
      </c>
      <c r="J313" s="61"/>
    </row>
    <row r="314" spans="1:10" x14ac:dyDescent="0.2">
      <c r="A314" s="256" t="s">
        <v>362</v>
      </c>
      <c r="B314" s="174" t="s">
        <v>28</v>
      </c>
      <c r="C314" s="175">
        <v>0.189349112426035</v>
      </c>
      <c r="D314" s="175">
        <v>0.189349112426035</v>
      </c>
      <c r="E314" s="175">
        <v>0.189349112426035</v>
      </c>
      <c r="F314" s="175">
        <v>0.189349112426035</v>
      </c>
      <c r="G314" s="175">
        <v>0.189349112426035</v>
      </c>
      <c r="H314" s="175">
        <f t="shared" si="2"/>
        <v>0.23865361380464051</v>
      </c>
      <c r="I314" s="175">
        <v>0.28795811518324599</v>
      </c>
      <c r="J314" s="61"/>
    </row>
    <row r="315" spans="1:10" x14ac:dyDescent="0.2">
      <c r="A315" s="256" t="s">
        <v>580</v>
      </c>
      <c r="B315" s="174" t="s">
        <v>28</v>
      </c>
      <c r="C315" s="175">
        <v>0.189349112426035</v>
      </c>
      <c r="D315" s="175">
        <v>0.189349112426035</v>
      </c>
      <c r="E315" s="175">
        <v>0.189349112426035</v>
      </c>
      <c r="F315" s="175">
        <v>0.189349112426035</v>
      </c>
      <c r="G315" s="175">
        <v>0.189349112426035</v>
      </c>
      <c r="H315" s="175">
        <f t="shared" si="2"/>
        <v>0.23865361380464051</v>
      </c>
      <c r="I315" s="175">
        <v>0.28795811518324599</v>
      </c>
      <c r="J315" s="61"/>
    </row>
    <row r="316" spans="1:10" x14ac:dyDescent="0.2">
      <c r="A316" s="256" t="s">
        <v>581</v>
      </c>
      <c r="B316" s="174" t="s">
        <v>28</v>
      </c>
      <c r="C316" s="175">
        <v>0.189349112426035</v>
      </c>
      <c r="D316" s="175">
        <v>0.189349112426035</v>
      </c>
      <c r="E316" s="175">
        <v>0.189349112426035</v>
      </c>
      <c r="F316" s="175">
        <v>0.189349112426035</v>
      </c>
      <c r="G316" s="175">
        <v>0.189349112426035</v>
      </c>
      <c r="H316" s="175">
        <f t="shared" si="2"/>
        <v>0.23865361380464051</v>
      </c>
      <c r="I316" s="175">
        <v>0.28795811518324599</v>
      </c>
      <c r="J316" s="61"/>
    </row>
    <row r="317" spans="1:10" x14ac:dyDescent="0.2">
      <c r="A317" s="256" t="s">
        <v>582</v>
      </c>
      <c r="B317" s="174" t="s">
        <v>28</v>
      </c>
      <c r="C317" s="175">
        <v>0.189349112426035</v>
      </c>
      <c r="D317" s="175">
        <v>0.189349112426035</v>
      </c>
      <c r="E317" s="175">
        <v>0.189349112426035</v>
      </c>
      <c r="F317" s="175">
        <v>0.189349112426035</v>
      </c>
      <c r="G317" s="175">
        <v>0.189349112426035</v>
      </c>
      <c r="H317" s="175">
        <f t="shared" si="2"/>
        <v>0.23865361380464051</v>
      </c>
      <c r="I317" s="175">
        <v>0.28795811518324599</v>
      </c>
      <c r="J317" s="61"/>
    </row>
    <row r="318" spans="1:10" x14ac:dyDescent="0.2">
      <c r="A318" s="256" t="s">
        <v>583</v>
      </c>
      <c r="B318" s="174" t="s">
        <v>28</v>
      </c>
      <c r="C318" s="175">
        <v>0.189349112426035</v>
      </c>
      <c r="D318" s="175">
        <v>0.189349112426035</v>
      </c>
      <c r="E318" s="175">
        <v>0.189349112426035</v>
      </c>
      <c r="F318" s="175">
        <v>0.189349112426035</v>
      </c>
      <c r="G318" s="175">
        <v>0.189349112426035</v>
      </c>
      <c r="H318" s="175">
        <f t="shared" si="2"/>
        <v>0.23865361380464051</v>
      </c>
      <c r="I318" s="175">
        <v>0.28795811518324599</v>
      </c>
      <c r="J318" s="61"/>
    </row>
    <row r="319" spans="1:10" x14ac:dyDescent="0.2">
      <c r="A319" s="256" t="s">
        <v>354</v>
      </c>
      <c r="B319" s="174" t="s">
        <v>28</v>
      </c>
      <c r="C319" s="175">
        <v>0.189349112426035</v>
      </c>
      <c r="D319" s="175">
        <v>0.189349112426035</v>
      </c>
      <c r="E319" s="175">
        <v>0.189349112426035</v>
      </c>
      <c r="F319" s="175">
        <v>0.189349112426035</v>
      </c>
      <c r="G319" s="175">
        <v>0.189349112426035</v>
      </c>
      <c r="H319" s="175">
        <f t="shared" si="2"/>
        <v>0.23865361380464051</v>
      </c>
      <c r="I319" s="175">
        <v>0.28795811518324599</v>
      </c>
      <c r="J319" s="61"/>
    </row>
    <row r="320" spans="1:10" x14ac:dyDescent="0.2">
      <c r="A320" s="256" t="s">
        <v>584</v>
      </c>
      <c r="B320" s="174" t="s">
        <v>28</v>
      </c>
      <c r="C320" s="175">
        <v>0.189349112426035</v>
      </c>
      <c r="D320" s="175">
        <v>0.189349112426035</v>
      </c>
      <c r="E320" s="175">
        <v>0.189349112426035</v>
      </c>
      <c r="F320" s="175">
        <v>0.189349112426035</v>
      </c>
      <c r="G320" s="175">
        <v>0.189349112426035</v>
      </c>
      <c r="H320" s="175">
        <f t="shared" si="2"/>
        <v>0.23865361380464051</v>
      </c>
      <c r="I320" s="175">
        <v>0.28795811518324599</v>
      </c>
      <c r="J320" s="61"/>
    </row>
    <row r="321" spans="1:10" x14ac:dyDescent="0.2">
      <c r="A321" s="256" t="s">
        <v>585</v>
      </c>
      <c r="B321" s="174" t="s">
        <v>28</v>
      </c>
      <c r="C321" s="175">
        <v>0.189349112426035</v>
      </c>
      <c r="D321" s="175">
        <v>0.189349112426035</v>
      </c>
      <c r="E321" s="175">
        <v>0.189349112426035</v>
      </c>
      <c r="F321" s="175">
        <v>0.189349112426035</v>
      </c>
      <c r="G321" s="175">
        <v>0.189349112426035</v>
      </c>
      <c r="H321" s="175">
        <f t="shared" si="2"/>
        <v>0.23865361380464051</v>
      </c>
      <c r="I321" s="175">
        <v>0.28795811518324599</v>
      </c>
      <c r="J321" s="61"/>
    </row>
    <row r="322" spans="1:10" x14ac:dyDescent="0.2">
      <c r="A322" s="256" t="s">
        <v>586</v>
      </c>
      <c r="B322" s="174" t="s">
        <v>28</v>
      </c>
      <c r="C322" s="175">
        <v>0.189349112426035</v>
      </c>
      <c r="D322" s="175">
        <v>0.189349112426035</v>
      </c>
      <c r="E322" s="175">
        <v>0.189349112426035</v>
      </c>
      <c r="F322" s="175">
        <v>0.189349112426035</v>
      </c>
      <c r="G322" s="175">
        <v>0.189349112426035</v>
      </c>
      <c r="H322" s="175">
        <f t="shared" si="2"/>
        <v>0.23865361380464051</v>
      </c>
      <c r="I322" s="175">
        <v>0.28795811518324599</v>
      </c>
      <c r="J322" s="61"/>
    </row>
    <row r="323" spans="1:10" x14ac:dyDescent="0.2">
      <c r="A323" s="256" t="s">
        <v>587</v>
      </c>
      <c r="B323" s="174" t="s">
        <v>28</v>
      </c>
      <c r="C323" s="175">
        <v>0.189349112426035</v>
      </c>
      <c r="D323" s="175">
        <v>0.189349112426035</v>
      </c>
      <c r="E323" s="175">
        <v>0.189349112426035</v>
      </c>
      <c r="F323" s="175">
        <v>0.189349112426035</v>
      </c>
      <c r="G323" s="175">
        <v>0.189349112426035</v>
      </c>
      <c r="H323" s="175">
        <f t="shared" si="2"/>
        <v>0.23865361380464051</v>
      </c>
      <c r="I323" s="175">
        <v>0.28795811518324599</v>
      </c>
      <c r="J323" s="61"/>
    </row>
    <row r="324" spans="1:10" x14ac:dyDescent="0.2">
      <c r="A324" s="256" t="s">
        <v>588</v>
      </c>
      <c r="B324" s="174" t="s">
        <v>28</v>
      </c>
      <c r="C324" s="175">
        <v>0.189349112426035</v>
      </c>
      <c r="D324" s="175">
        <v>0.189349112426035</v>
      </c>
      <c r="E324" s="175">
        <v>0.189349112426035</v>
      </c>
      <c r="F324" s="175">
        <v>0.189349112426035</v>
      </c>
      <c r="G324" s="175">
        <v>0.189349112426035</v>
      </c>
      <c r="H324" s="175">
        <f t="shared" si="2"/>
        <v>0.23865361380464051</v>
      </c>
      <c r="I324" s="175">
        <v>0.28795811518324599</v>
      </c>
      <c r="J324" s="61"/>
    </row>
    <row r="325" spans="1:10" x14ac:dyDescent="0.2">
      <c r="A325" s="256" t="s">
        <v>589</v>
      </c>
      <c r="B325" s="174" t="s">
        <v>28</v>
      </c>
      <c r="C325" s="175">
        <v>0.189349112426035</v>
      </c>
      <c r="D325" s="175">
        <v>0.189349112426035</v>
      </c>
      <c r="E325" s="175">
        <v>0.189349112426035</v>
      </c>
      <c r="F325" s="175">
        <v>0.189349112426035</v>
      </c>
      <c r="G325" s="175">
        <v>0.189349112426035</v>
      </c>
      <c r="H325" s="175">
        <f t="shared" si="2"/>
        <v>0.23865361380464051</v>
      </c>
      <c r="I325" s="175">
        <v>0.28795811518324599</v>
      </c>
      <c r="J325" s="61"/>
    </row>
    <row r="326" spans="1:10" x14ac:dyDescent="0.2">
      <c r="A326" s="256" t="s">
        <v>590</v>
      </c>
      <c r="B326" s="174" t="s">
        <v>28</v>
      </c>
      <c r="C326" s="175">
        <v>0.189349112426035</v>
      </c>
      <c r="D326" s="175">
        <v>0.189349112426035</v>
      </c>
      <c r="E326" s="175">
        <v>0.189349112426035</v>
      </c>
      <c r="F326" s="175">
        <v>0.189349112426035</v>
      </c>
      <c r="G326" s="175">
        <v>0.189349112426035</v>
      </c>
      <c r="H326" s="175">
        <f t="shared" si="2"/>
        <v>0.23865361380464051</v>
      </c>
      <c r="I326" s="175">
        <v>0.28795811518324599</v>
      </c>
      <c r="J326" s="61"/>
    </row>
    <row r="327" spans="1:10" x14ac:dyDescent="0.2">
      <c r="A327" s="256" t="s">
        <v>338</v>
      </c>
      <c r="B327" s="174" t="s">
        <v>28</v>
      </c>
      <c r="C327" s="175">
        <v>0.189349112426035</v>
      </c>
      <c r="D327" s="175">
        <v>0.189349112426035</v>
      </c>
      <c r="E327" s="175">
        <v>0.189349112426035</v>
      </c>
      <c r="F327" s="175">
        <v>0.189349112426035</v>
      </c>
      <c r="G327" s="175">
        <v>0.189349112426035</v>
      </c>
      <c r="H327" s="175">
        <f t="shared" si="2"/>
        <v>0.23865361380464051</v>
      </c>
      <c r="I327" s="175">
        <v>0.28795811518324599</v>
      </c>
      <c r="J327" s="61"/>
    </row>
    <row r="328" spans="1:10" x14ac:dyDescent="0.2">
      <c r="A328" s="256" t="s">
        <v>591</v>
      </c>
      <c r="B328" s="174" t="s">
        <v>28</v>
      </c>
      <c r="C328" s="175">
        <v>0.189349112426035</v>
      </c>
      <c r="D328" s="175">
        <v>0.189349112426035</v>
      </c>
      <c r="E328" s="175">
        <v>0.189349112426035</v>
      </c>
      <c r="F328" s="175">
        <v>0.189349112426035</v>
      </c>
      <c r="G328" s="175">
        <v>0.189349112426035</v>
      </c>
      <c r="H328" s="175">
        <f t="shared" si="2"/>
        <v>0.23865361380464051</v>
      </c>
      <c r="I328" s="175">
        <v>0.28795811518324599</v>
      </c>
      <c r="J328" s="61"/>
    </row>
    <row r="329" spans="1:10" x14ac:dyDescent="0.2">
      <c r="A329" s="256" t="s">
        <v>592</v>
      </c>
      <c r="B329" s="174" t="s">
        <v>28</v>
      </c>
      <c r="C329" s="175">
        <v>0.189349112426035</v>
      </c>
      <c r="D329" s="175">
        <v>0.189349112426035</v>
      </c>
      <c r="E329" s="175">
        <v>0.189349112426035</v>
      </c>
      <c r="F329" s="175">
        <v>0.189349112426035</v>
      </c>
      <c r="G329" s="175">
        <v>0.189349112426035</v>
      </c>
      <c r="H329" s="175">
        <f t="shared" si="2"/>
        <v>0.23865361380464051</v>
      </c>
      <c r="I329" s="175">
        <v>0.28795811518324599</v>
      </c>
      <c r="J329" s="61"/>
    </row>
    <row r="330" spans="1:10" x14ac:dyDescent="0.2">
      <c r="A330" s="256" t="s">
        <v>593</v>
      </c>
      <c r="B330" s="174" t="s">
        <v>28</v>
      </c>
      <c r="C330" s="175">
        <v>0.189349112426035</v>
      </c>
      <c r="D330" s="175">
        <v>0.189349112426035</v>
      </c>
      <c r="E330" s="175">
        <v>0.189349112426035</v>
      </c>
      <c r="F330" s="175">
        <v>0.189349112426035</v>
      </c>
      <c r="G330" s="175">
        <v>0.189349112426035</v>
      </c>
      <c r="H330" s="175">
        <f t="shared" si="2"/>
        <v>0.1696745562130175</v>
      </c>
      <c r="I330" s="175">
        <v>0.15</v>
      </c>
      <c r="J330" s="61"/>
    </row>
    <row r="331" spans="1:10" x14ac:dyDescent="0.2">
      <c r="A331" s="256" t="s">
        <v>594</v>
      </c>
      <c r="B331" s="174" t="s">
        <v>28</v>
      </c>
      <c r="C331" s="175">
        <v>0.189349112426035</v>
      </c>
      <c r="D331" s="175">
        <v>0.189349112426035</v>
      </c>
      <c r="E331" s="175">
        <v>0.189349112426035</v>
      </c>
      <c r="F331" s="175">
        <v>0.189349112426035</v>
      </c>
      <c r="G331" s="175">
        <v>0.189349112426035</v>
      </c>
      <c r="H331" s="175">
        <f t="shared" si="2"/>
        <v>0.1696745562130175</v>
      </c>
      <c r="I331" s="175">
        <v>0.15</v>
      </c>
      <c r="J331" s="61"/>
    </row>
    <row r="332" spans="1:10" x14ac:dyDescent="0.2">
      <c r="A332" s="256" t="s">
        <v>595</v>
      </c>
      <c r="B332" s="174" t="s">
        <v>28</v>
      </c>
      <c r="C332" s="175">
        <v>0.189349112426035</v>
      </c>
      <c r="D332" s="175">
        <v>0.189349112426035</v>
      </c>
      <c r="E332" s="175">
        <v>0.189349112426035</v>
      </c>
      <c r="F332" s="175">
        <v>0.189349112426035</v>
      </c>
      <c r="G332" s="175">
        <v>0.189349112426035</v>
      </c>
      <c r="H332" s="175">
        <f t="shared" si="2"/>
        <v>0.1696745562130175</v>
      </c>
      <c r="I332" s="175">
        <v>0.15</v>
      </c>
      <c r="J332" s="61"/>
    </row>
    <row r="333" spans="1:10" x14ac:dyDescent="0.2">
      <c r="A333" s="256" t="s">
        <v>596</v>
      </c>
      <c r="B333" s="174" t="s">
        <v>28</v>
      </c>
      <c r="C333" s="175">
        <v>0.189349112426035</v>
      </c>
      <c r="D333" s="175">
        <v>0.189349112426035</v>
      </c>
      <c r="E333" s="175">
        <v>0.189349112426035</v>
      </c>
      <c r="F333" s="175">
        <v>0.189349112426035</v>
      </c>
      <c r="G333" s="175">
        <v>0.189349112426035</v>
      </c>
      <c r="H333" s="175">
        <f t="shared" si="2"/>
        <v>0.1696745562130175</v>
      </c>
      <c r="I333" s="175">
        <v>0.15</v>
      </c>
      <c r="J333" s="61"/>
    </row>
    <row r="334" spans="1:10" x14ac:dyDescent="0.2">
      <c r="A334" s="256" t="s">
        <v>597</v>
      </c>
      <c r="B334" s="174" t="s">
        <v>28</v>
      </c>
      <c r="C334" s="175">
        <v>0.189349112426035</v>
      </c>
      <c r="D334" s="175">
        <v>0.189349112426035</v>
      </c>
      <c r="E334" s="175">
        <v>0.189349112426035</v>
      </c>
      <c r="F334" s="175">
        <v>0.189349112426035</v>
      </c>
      <c r="G334" s="175">
        <v>0.189349112426035</v>
      </c>
      <c r="H334" s="175">
        <f t="shared" si="2"/>
        <v>0.1696745562130175</v>
      </c>
      <c r="I334" s="175">
        <v>0.15</v>
      </c>
      <c r="J334" s="61"/>
    </row>
    <row r="335" spans="1:10" x14ac:dyDescent="0.2">
      <c r="A335" s="256" t="s">
        <v>598</v>
      </c>
      <c r="B335" s="174" t="s">
        <v>28</v>
      </c>
      <c r="C335" s="175">
        <v>0.189349112426035</v>
      </c>
      <c r="D335" s="175">
        <v>0.189349112426035</v>
      </c>
      <c r="E335" s="175">
        <v>0.189349112426035</v>
      </c>
      <c r="F335" s="175">
        <v>0.189349112426035</v>
      </c>
      <c r="G335" s="175">
        <v>0.189349112426035</v>
      </c>
      <c r="H335" s="175">
        <f t="shared" si="2"/>
        <v>0.1696745562130175</v>
      </c>
      <c r="I335" s="175">
        <v>0.15</v>
      </c>
      <c r="J335" s="61"/>
    </row>
    <row r="336" spans="1:10" x14ac:dyDescent="0.2">
      <c r="A336" s="256" t="s">
        <v>599</v>
      </c>
      <c r="B336" s="174" t="s">
        <v>28</v>
      </c>
      <c r="C336" s="175">
        <v>0.189349112426035</v>
      </c>
      <c r="D336" s="175">
        <v>0.189349112426035</v>
      </c>
      <c r="E336" s="175">
        <v>0.189349112426035</v>
      </c>
      <c r="F336" s="175">
        <v>0.189349112426035</v>
      </c>
      <c r="G336" s="175">
        <v>0.189349112426035</v>
      </c>
      <c r="H336" s="175">
        <f t="shared" si="2"/>
        <v>0.1696745562130175</v>
      </c>
      <c r="I336" s="175">
        <v>0.15</v>
      </c>
      <c r="J336" s="61"/>
    </row>
    <row r="337" spans="1:24" x14ac:dyDescent="0.2">
      <c r="A337" s="256" t="s">
        <v>351</v>
      </c>
      <c r="B337" s="174" t="s">
        <v>28</v>
      </c>
      <c r="C337" s="175">
        <v>0.189349112426035</v>
      </c>
      <c r="D337" s="175">
        <v>0.189349112426035</v>
      </c>
      <c r="E337" s="175">
        <v>0.189349112426035</v>
      </c>
      <c r="F337" s="175">
        <v>0.189349112426035</v>
      </c>
      <c r="G337" s="175">
        <v>0.189349112426035</v>
      </c>
      <c r="H337" s="175">
        <f t="shared" si="2"/>
        <v>0.1696745562130175</v>
      </c>
      <c r="I337" s="175">
        <v>0.15</v>
      </c>
      <c r="J337" s="61"/>
    </row>
    <row r="338" spans="1:24" x14ac:dyDescent="0.2">
      <c r="A338" s="256" t="s">
        <v>361</v>
      </c>
      <c r="B338" s="174" t="s">
        <v>28</v>
      </c>
      <c r="C338" s="175">
        <v>0.189349112426035</v>
      </c>
      <c r="D338" s="175">
        <v>0.189349112426035</v>
      </c>
      <c r="E338" s="175">
        <v>0.189349112426035</v>
      </c>
      <c r="F338" s="175">
        <v>0.189349112426035</v>
      </c>
      <c r="G338" s="175">
        <v>0.189349112426035</v>
      </c>
      <c r="H338" s="175">
        <f t="shared" si="2"/>
        <v>0.1696745562130175</v>
      </c>
      <c r="I338" s="175">
        <v>0.15</v>
      </c>
      <c r="J338" s="61"/>
    </row>
    <row r="339" spans="1:24" x14ac:dyDescent="0.2">
      <c r="A339" s="256" t="s">
        <v>600</v>
      </c>
      <c r="B339" s="174" t="s">
        <v>28</v>
      </c>
      <c r="C339" s="175">
        <v>0.189349112426035</v>
      </c>
      <c r="D339" s="175">
        <v>0.189349112426035</v>
      </c>
      <c r="E339" s="175">
        <v>0.189349112426035</v>
      </c>
      <c r="F339" s="175">
        <v>0.189349112426035</v>
      </c>
      <c r="G339" s="175">
        <v>0.189349112426035</v>
      </c>
      <c r="H339" s="175">
        <f t="shared" si="2"/>
        <v>0.1696745562130175</v>
      </c>
      <c r="I339" s="175">
        <v>0.15</v>
      </c>
      <c r="J339" s="61"/>
    </row>
    <row r="340" spans="1:24" ht="18" customHeight="1" x14ac:dyDescent="0.25">
      <c r="A340" s="306" t="s">
        <v>625</v>
      </c>
      <c r="B340" s="306"/>
      <c r="C340" s="306"/>
      <c r="D340" s="306"/>
      <c r="E340" s="306"/>
      <c r="F340" s="306"/>
      <c r="G340" s="306"/>
      <c r="H340" s="306"/>
      <c r="I340" s="306"/>
    </row>
    <row r="341" spans="1:24" x14ac:dyDescent="0.2">
      <c r="A341" s="256" t="s">
        <v>626</v>
      </c>
      <c r="B341" s="190" t="s">
        <v>499</v>
      </c>
      <c r="C341" s="175">
        <v>0</v>
      </c>
      <c r="D341" s="175">
        <v>0</v>
      </c>
      <c r="E341" s="175">
        <v>0</v>
      </c>
      <c r="F341" s="175">
        <v>0</v>
      </c>
      <c r="G341" s="175">
        <v>0</v>
      </c>
      <c r="H341" s="175">
        <v>0</v>
      </c>
      <c r="I341" s="175">
        <v>0</v>
      </c>
    </row>
    <row r="342" spans="1:24" x14ac:dyDescent="0.2">
      <c r="H342" s="58"/>
      <c r="J342" s="61"/>
    </row>
    <row r="343" spans="1:24" ht="19" x14ac:dyDescent="0.25">
      <c r="A343" s="260" t="s">
        <v>627</v>
      </c>
      <c r="B343" s="261"/>
      <c r="C343" s="262"/>
    </row>
    <row r="344" spans="1:24" x14ac:dyDescent="0.2">
      <c r="A344" s="256" t="s">
        <v>434</v>
      </c>
      <c r="B344" s="174" t="s">
        <v>36</v>
      </c>
      <c r="C344" s="176">
        <v>2050</v>
      </c>
    </row>
    <row r="345" spans="1:24" x14ac:dyDescent="0.2">
      <c r="A345" s="263" t="s">
        <v>628</v>
      </c>
      <c r="B345" s="177" t="s">
        <v>327</v>
      </c>
      <c r="C345" s="264">
        <v>0.05</v>
      </c>
    </row>
    <row r="347" spans="1:24" ht="19" x14ac:dyDescent="0.25">
      <c r="A347" s="260" t="s">
        <v>629</v>
      </c>
      <c r="B347" s="260"/>
      <c r="C347" s="260"/>
      <c r="D347" s="260"/>
      <c r="E347" s="260"/>
      <c r="F347" s="260"/>
      <c r="G347" s="260"/>
      <c r="H347" s="260"/>
      <c r="I347" s="260"/>
    </row>
    <row r="348" spans="1:24" x14ac:dyDescent="0.2">
      <c r="A348" s="256" t="s">
        <v>630</v>
      </c>
      <c r="B348" s="174" t="s">
        <v>36</v>
      </c>
      <c r="C348" s="175">
        <v>2020</v>
      </c>
      <c r="D348" s="175">
        <f t="shared" ref="D348:I348" si="3">C348+5</f>
        <v>2025</v>
      </c>
      <c r="E348" s="175">
        <f t="shared" si="3"/>
        <v>2030</v>
      </c>
      <c r="F348" s="175">
        <f t="shared" si="3"/>
        <v>2035</v>
      </c>
      <c r="G348" s="175">
        <f t="shared" si="3"/>
        <v>2040</v>
      </c>
      <c r="H348" s="175">
        <f t="shared" si="3"/>
        <v>2045</v>
      </c>
      <c r="I348" s="175">
        <f t="shared" si="3"/>
        <v>2050</v>
      </c>
    </row>
    <row r="349" spans="1:24" x14ac:dyDescent="0.2">
      <c r="A349" s="256" t="s">
        <v>631</v>
      </c>
      <c r="B349" s="174" t="s">
        <v>632</v>
      </c>
      <c r="C349" s="175">
        <v>0</v>
      </c>
      <c r="D349" s="175">
        <v>0</v>
      </c>
      <c r="E349" s="175">
        <v>0</v>
      </c>
      <c r="F349" s="175">
        <v>0</v>
      </c>
      <c r="G349" s="175">
        <v>0</v>
      </c>
      <c r="H349" s="175">
        <v>0</v>
      </c>
      <c r="I349" s="175">
        <v>0</v>
      </c>
      <c r="M349" s="172"/>
      <c r="Q349" s="172"/>
      <c r="U349" s="172"/>
    </row>
    <row r="351" spans="1:24" ht="19" x14ac:dyDescent="0.25">
      <c r="A351" s="260" t="s">
        <v>633</v>
      </c>
      <c r="B351" s="260"/>
      <c r="C351" s="260"/>
      <c r="D351" s="260"/>
      <c r="E351" s="260"/>
      <c r="F351" s="260"/>
      <c r="G351" s="260"/>
      <c r="H351" s="260"/>
      <c r="I351" s="260"/>
      <c r="J351" s="260"/>
      <c r="K351" s="260"/>
      <c r="L351" s="260"/>
      <c r="M351" s="260"/>
      <c r="N351" s="260"/>
      <c r="O351" s="260"/>
      <c r="P351" s="260"/>
      <c r="Q351" s="260"/>
      <c r="R351" s="260"/>
      <c r="S351" s="260"/>
      <c r="T351" s="260"/>
      <c r="U351" s="260"/>
      <c r="V351" s="260"/>
      <c r="W351" s="260"/>
      <c r="X351" s="260"/>
    </row>
    <row r="352" spans="1:24" x14ac:dyDescent="0.2">
      <c r="A352" s="256" t="s">
        <v>630</v>
      </c>
      <c r="B352" s="174" t="s">
        <v>36</v>
      </c>
      <c r="C352" s="175">
        <v>1980</v>
      </c>
      <c r="D352" s="175">
        <v>2020</v>
      </c>
      <c r="E352" s="175">
        <f t="shared" ref="E352:X352" si="4">D352+5</f>
        <v>2025</v>
      </c>
      <c r="F352" s="175">
        <f t="shared" si="4"/>
        <v>2030</v>
      </c>
      <c r="G352" s="175">
        <f t="shared" si="4"/>
        <v>2035</v>
      </c>
      <c r="H352" s="175">
        <f t="shared" si="4"/>
        <v>2040</v>
      </c>
      <c r="I352" s="175">
        <f t="shared" si="4"/>
        <v>2045</v>
      </c>
      <c r="J352" s="175">
        <f t="shared" si="4"/>
        <v>2050</v>
      </c>
      <c r="K352" s="175">
        <f t="shared" si="4"/>
        <v>2055</v>
      </c>
      <c r="L352" s="175">
        <f t="shared" si="4"/>
        <v>2060</v>
      </c>
      <c r="M352" s="175">
        <f t="shared" si="4"/>
        <v>2065</v>
      </c>
      <c r="N352" s="175">
        <f t="shared" si="4"/>
        <v>2070</v>
      </c>
      <c r="O352" s="175">
        <f t="shared" si="4"/>
        <v>2075</v>
      </c>
      <c r="P352" s="175">
        <f t="shared" si="4"/>
        <v>2080</v>
      </c>
      <c r="Q352" s="175">
        <f t="shared" si="4"/>
        <v>2085</v>
      </c>
      <c r="R352" s="175">
        <f t="shared" si="4"/>
        <v>2090</v>
      </c>
      <c r="S352" s="175">
        <f t="shared" si="4"/>
        <v>2095</v>
      </c>
      <c r="T352" s="175">
        <f t="shared" si="4"/>
        <v>2100</v>
      </c>
      <c r="U352" s="175">
        <f t="shared" si="4"/>
        <v>2105</v>
      </c>
      <c r="V352" s="175">
        <f t="shared" si="4"/>
        <v>2110</v>
      </c>
      <c r="W352" s="175">
        <f t="shared" si="4"/>
        <v>2115</v>
      </c>
      <c r="X352" s="175">
        <f t="shared" si="4"/>
        <v>2120</v>
      </c>
    </row>
    <row r="353" spans="1:24" x14ac:dyDescent="0.2">
      <c r="A353" s="256" t="s">
        <v>633</v>
      </c>
      <c r="B353" s="174" t="s">
        <v>634</v>
      </c>
      <c r="C353" s="175"/>
      <c r="D353" s="175">
        <v>345</v>
      </c>
      <c r="E353" s="175"/>
      <c r="F353" s="175">
        <v>345</v>
      </c>
      <c r="G353" s="175"/>
      <c r="H353" s="175">
        <v>298</v>
      </c>
      <c r="I353" s="175"/>
      <c r="J353" s="175">
        <v>333</v>
      </c>
      <c r="K353" s="175"/>
      <c r="L353" s="175"/>
      <c r="M353" s="175"/>
      <c r="N353" s="175"/>
      <c r="O353" s="175"/>
      <c r="P353" s="175"/>
      <c r="Q353" s="175"/>
      <c r="R353" s="175"/>
      <c r="S353" s="175"/>
      <c r="T353" s="175"/>
      <c r="U353" s="175"/>
      <c r="V353" s="175"/>
      <c r="W353" s="175"/>
      <c r="X353" s="175"/>
    </row>
    <row r="354" spans="1:24" x14ac:dyDescent="0.2">
      <c r="H354" s="58"/>
      <c r="J354" s="61"/>
    </row>
    <row r="355" spans="1:24" x14ac:dyDescent="0.2">
      <c r="H355" s="58"/>
      <c r="J355" s="61"/>
    </row>
    <row r="356" spans="1:24" x14ac:dyDescent="0.2">
      <c r="H356" s="58"/>
      <c r="J356" s="61"/>
    </row>
    <row r="357" spans="1:24" x14ac:dyDescent="0.2">
      <c r="H357" s="58"/>
      <c r="J357" s="61"/>
    </row>
    <row r="358" spans="1:24" x14ac:dyDescent="0.2">
      <c r="H358" s="58"/>
      <c r="J358" s="61"/>
    </row>
    <row r="359" spans="1:24" ht="26" x14ac:dyDescent="0.3">
      <c r="A359" s="173" t="s">
        <v>635</v>
      </c>
    </row>
    <row r="362" spans="1:24" x14ac:dyDescent="0.2">
      <c r="H362" s="265"/>
    </row>
    <row r="363" spans="1:24" x14ac:dyDescent="0.2">
      <c r="H363" s="265"/>
    </row>
    <row r="364" spans="1:24" ht="19" x14ac:dyDescent="0.25">
      <c r="A364" s="306" t="s">
        <v>636</v>
      </c>
      <c r="B364" s="306"/>
      <c r="C364" s="306"/>
      <c r="D364" s="306"/>
      <c r="E364" s="306"/>
      <c r="F364" s="306"/>
      <c r="G364" s="306"/>
      <c r="H364" s="306"/>
    </row>
    <row r="365" spans="1:24" x14ac:dyDescent="0.2">
      <c r="A365" s="266" t="s">
        <v>36</v>
      </c>
      <c r="B365" s="175">
        <v>2020</v>
      </c>
      <c r="C365" s="175">
        <v>2025</v>
      </c>
      <c r="D365" s="175">
        <v>2030</v>
      </c>
      <c r="E365" s="175">
        <v>2035</v>
      </c>
      <c r="F365" s="175">
        <v>2040</v>
      </c>
      <c r="G365" s="175">
        <v>2045</v>
      </c>
      <c r="H365" s="176">
        <v>2050</v>
      </c>
    </row>
    <row r="366" spans="1:24" x14ac:dyDescent="0.2">
      <c r="A366" s="334" t="s">
        <v>472</v>
      </c>
      <c r="B366" s="334"/>
      <c r="C366" s="334"/>
      <c r="D366" s="334"/>
      <c r="E366" s="334"/>
      <c r="F366" s="334"/>
      <c r="G366" s="334"/>
      <c r="H366" s="334"/>
    </row>
    <row r="367" spans="1:24" x14ac:dyDescent="0.2">
      <c r="A367" s="267" t="s">
        <v>637</v>
      </c>
      <c r="B367" s="175">
        <v>18.8</v>
      </c>
      <c r="C367" s="175">
        <v>16.131631500000001</v>
      </c>
      <c r="D367" s="175">
        <v>13.486490999999999</v>
      </c>
      <c r="E367" s="175">
        <v>10.841350500000001</v>
      </c>
      <c r="F367" s="175">
        <v>8.1962100000000007</v>
      </c>
      <c r="G367" s="175">
        <v>5.5510694999999997</v>
      </c>
      <c r="H367" s="176">
        <v>2.9</v>
      </c>
    </row>
    <row r="368" spans="1:24" x14ac:dyDescent="0.2">
      <c r="A368" s="334" t="s">
        <v>479</v>
      </c>
      <c r="B368" s="334"/>
      <c r="C368" s="334"/>
      <c r="D368" s="334"/>
      <c r="E368" s="334"/>
      <c r="F368" s="334"/>
      <c r="G368" s="334"/>
      <c r="H368" s="334"/>
      <c r="I368" s="61"/>
    </row>
    <row r="369" spans="1:10" x14ac:dyDescent="0.2">
      <c r="A369" s="267" t="s">
        <v>637</v>
      </c>
      <c r="B369" s="175">
        <v>13.3</v>
      </c>
      <c r="C369" s="175">
        <v>11.390420000000001</v>
      </c>
      <c r="D369" s="175">
        <v>9.5290400000000002</v>
      </c>
      <c r="E369" s="175">
        <v>7.6676599999999997</v>
      </c>
      <c r="F369" s="175">
        <v>5.8062800000000001</v>
      </c>
      <c r="G369" s="175">
        <v>3.9449000000000001</v>
      </c>
      <c r="H369" s="176">
        <v>2.1</v>
      </c>
    </row>
    <row r="370" spans="1:10" x14ac:dyDescent="0.2">
      <c r="A370" s="334" t="s">
        <v>485</v>
      </c>
      <c r="B370" s="334"/>
      <c r="C370" s="334"/>
      <c r="D370" s="334"/>
      <c r="E370" s="334"/>
      <c r="F370" s="334"/>
      <c r="G370" s="334"/>
      <c r="H370" s="334"/>
      <c r="I370" s="61"/>
    </row>
    <row r="371" spans="1:10" x14ac:dyDescent="0.2">
      <c r="A371" s="268" t="s">
        <v>637</v>
      </c>
      <c r="B371" s="269">
        <v>2.4</v>
      </c>
      <c r="C371" s="269">
        <v>2.0830000000000002</v>
      </c>
      <c r="D371" s="269">
        <v>1.7689999999999999</v>
      </c>
      <c r="E371" s="269">
        <v>1.4550000000000001</v>
      </c>
      <c r="F371" s="269">
        <v>1.141</v>
      </c>
      <c r="G371" s="269">
        <v>0.82699999999999996</v>
      </c>
      <c r="H371" s="208">
        <v>0.5</v>
      </c>
    </row>
    <row r="373" spans="1:10" ht="19" x14ac:dyDescent="0.25">
      <c r="A373" s="306" t="s">
        <v>638</v>
      </c>
      <c r="B373" s="306"/>
      <c r="C373" s="306"/>
      <c r="D373" s="306"/>
      <c r="E373" s="306"/>
      <c r="F373" s="306"/>
      <c r="G373" s="306"/>
      <c r="H373" s="306"/>
      <c r="I373" s="306"/>
    </row>
    <row r="374" spans="1:10" x14ac:dyDescent="0.2">
      <c r="A374" s="270"/>
      <c r="B374" s="174" t="s">
        <v>36</v>
      </c>
      <c r="C374" s="175">
        <v>2020</v>
      </c>
      <c r="D374" s="175">
        <v>2025</v>
      </c>
      <c r="E374" s="175">
        <v>2030</v>
      </c>
      <c r="F374" s="175">
        <v>2035</v>
      </c>
      <c r="G374" s="175">
        <v>2040</v>
      </c>
      <c r="H374" s="175">
        <v>2045</v>
      </c>
      <c r="I374" s="176">
        <v>2050</v>
      </c>
    </row>
    <row r="375" spans="1:10" x14ac:dyDescent="0.2">
      <c r="A375" s="256" t="s">
        <v>639</v>
      </c>
      <c r="B375" s="174" t="s">
        <v>146</v>
      </c>
      <c r="C375" s="176">
        <v>-0.01</v>
      </c>
      <c r="D375" s="176">
        <v>-1.2999999999999999E-2</v>
      </c>
      <c r="E375" s="176">
        <v>-1.6E-2</v>
      </c>
      <c r="F375" s="176">
        <v>-1.9E-2</v>
      </c>
      <c r="G375" s="176">
        <v>-2.3E-2</v>
      </c>
      <c r="H375" s="176">
        <v>-2.5999999999999999E-2</v>
      </c>
      <c r="I375" s="176">
        <v>-2.9000000000000001E-2</v>
      </c>
    </row>
    <row r="376" spans="1:10" x14ac:dyDescent="0.2">
      <c r="A376" s="263" t="s">
        <v>640</v>
      </c>
      <c r="B376" s="177" t="s">
        <v>327</v>
      </c>
      <c r="C376" s="250">
        <v>0</v>
      </c>
      <c r="D376" s="250">
        <v>0</v>
      </c>
      <c r="E376" s="250">
        <v>0</v>
      </c>
      <c r="F376" s="250">
        <v>0</v>
      </c>
      <c r="G376" s="250">
        <v>0</v>
      </c>
      <c r="H376" s="250">
        <v>0</v>
      </c>
      <c r="I376" s="250">
        <v>0</v>
      </c>
    </row>
    <row r="380" spans="1:10" ht="26" x14ac:dyDescent="0.3">
      <c r="A380" s="173" t="s">
        <v>641</v>
      </c>
      <c r="H380" s="58"/>
      <c r="J380" s="61"/>
    </row>
    <row r="381" spans="1:10" ht="19" x14ac:dyDescent="0.25">
      <c r="A381" s="306" t="s">
        <v>642</v>
      </c>
      <c r="B381" s="306"/>
      <c r="C381" s="306"/>
      <c r="H381" s="58"/>
      <c r="J381" s="61"/>
    </row>
    <row r="382" spans="1:10" x14ac:dyDescent="0.2">
      <c r="A382" s="256" t="s">
        <v>416</v>
      </c>
      <c r="B382" s="174" t="s">
        <v>28</v>
      </c>
      <c r="C382" s="176">
        <v>0</v>
      </c>
    </row>
    <row r="383" spans="1:10" x14ac:dyDescent="0.2">
      <c r="A383" s="256" t="s">
        <v>418</v>
      </c>
      <c r="B383" s="174" t="s">
        <v>125</v>
      </c>
      <c r="C383" s="176">
        <v>200</v>
      </c>
    </row>
    <row r="384" spans="1:10" x14ac:dyDescent="0.2">
      <c r="A384" s="256" t="s">
        <v>420</v>
      </c>
      <c r="B384" s="174" t="s">
        <v>643</v>
      </c>
      <c r="C384" s="271">
        <v>7.4000000000000003E-3</v>
      </c>
    </row>
    <row r="385" spans="1:38" x14ac:dyDescent="0.2">
      <c r="A385" s="256" t="s">
        <v>644</v>
      </c>
      <c r="B385" s="174" t="s">
        <v>36</v>
      </c>
      <c r="C385" s="176">
        <v>2020</v>
      </c>
    </row>
    <row r="386" spans="1:38" x14ac:dyDescent="0.2">
      <c r="A386" s="256" t="s">
        <v>424</v>
      </c>
      <c r="B386" s="174" t="s">
        <v>645</v>
      </c>
      <c r="C386" s="176">
        <v>185</v>
      </c>
    </row>
    <row r="387" spans="1:38" x14ac:dyDescent="0.2">
      <c r="A387" s="256" t="s">
        <v>427</v>
      </c>
      <c r="B387" s="174" t="s">
        <v>36</v>
      </c>
      <c r="C387" s="176">
        <v>2020</v>
      </c>
    </row>
    <row r="388" spans="1:38" x14ac:dyDescent="0.2">
      <c r="A388" s="263" t="s">
        <v>428</v>
      </c>
      <c r="B388" s="177" t="s">
        <v>36</v>
      </c>
      <c r="C388" s="208">
        <v>2050</v>
      </c>
    </row>
    <row r="390" spans="1:38" ht="14.25" customHeight="1" x14ac:dyDescent="0.25">
      <c r="A390" s="336" t="s">
        <v>70</v>
      </c>
      <c r="B390" s="336"/>
      <c r="C390" s="336"/>
      <c r="F390" s="265"/>
      <c r="G390" s="265"/>
      <c r="H390" s="265"/>
      <c r="I390" s="265"/>
      <c r="J390" s="265"/>
      <c r="K390" s="265"/>
      <c r="L390" s="265"/>
      <c r="M390" s="265"/>
      <c r="N390" s="265"/>
      <c r="O390" s="265"/>
      <c r="P390" s="265"/>
      <c r="Q390" s="265"/>
      <c r="R390" s="265"/>
      <c r="S390" s="265"/>
      <c r="T390" s="265"/>
      <c r="U390" s="265"/>
      <c r="V390" s="265"/>
      <c r="W390" s="265"/>
      <c r="X390" s="265"/>
      <c r="Y390" s="265"/>
      <c r="Z390" s="265"/>
      <c r="AA390" s="265"/>
      <c r="AB390" s="265"/>
      <c r="AC390" s="265"/>
      <c r="AD390" s="265"/>
      <c r="AE390" s="265"/>
      <c r="AF390" s="265"/>
      <c r="AG390" s="265"/>
      <c r="AH390" s="265"/>
      <c r="AI390" s="265"/>
      <c r="AJ390" s="265"/>
      <c r="AK390" s="265"/>
      <c r="AL390" s="265"/>
    </row>
    <row r="391" spans="1:38" x14ac:dyDescent="0.2">
      <c r="A391" s="272" t="s">
        <v>75</v>
      </c>
      <c r="B391" s="217" t="s">
        <v>76</v>
      </c>
      <c r="C391" s="273">
        <v>135</v>
      </c>
      <c r="F391" s="265"/>
      <c r="G391" s="265"/>
      <c r="H391" s="265"/>
      <c r="I391" s="265"/>
      <c r="J391" s="265"/>
      <c r="K391" s="265"/>
      <c r="L391" s="265"/>
      <c r="M391" s="265"/>
      <c r="N391" s="265"/>
      <c r="O391" s="265"/>
      <c r="P391" s="265"/>
      <c r="Q391" s="265"/>
      <c r="R391" s="265"/>
      <c r="S391" s="265"/>
      <c r="T391" s="265"/>
      <c r="U391" s="265"/>
      <c r="V391" s="265"/>
      <c r="W391" s="265"/>
      <c r="X391" s="265"/>
      <c r="Y391" s="265"/>
      <c r="Z391" s="265"/>
      <c r="AA391" s="265"/>
      <c r="AB391" s="265"/>
      <c r="AC391" s="265"/>
      <c r="AD391" s="265"/>
      <c r="AE391" s="265"/>
      <c r="AF391" s="265"/>
      <c r="AG391" s="265"/>
      <c r="AH391" s="265"/>
      <c r="AI391" s="265"/>
      <c r="AJ391" s="265"/>
      <c r="AK391" s="265"/>
      <c r="AL391" s="265"/>
    </row>
    <row r="392" spans="1:38" x14ac:dyDescent="0.2">
      <c r="A392" s="256" t="s">
        <v>74</v>
      </c>
      <c r="B392" s="174" t="s">
        <v>28</v>
      </c>
      <c r="C392" s="176">
        <v>0.2</v>
      </c>
      <c r="F392" s="265"/>
      <c r="G392" s="265"/>
      <c r="H392" s="265"/>
      <c r="I392" s="265"/>
      <c r="J392" s="265"/>
      <c r="K392" s="265"/>
      <c r="L392" s="265"/>
      <c r="M392" s="265"/>
      <c r="N392" s="265"/>
      <c r="O392" s="265"/>
      <c r="P392" s="265"/>
      <c r="Q392" s="265"/>
      <c r="R392" s="265"/>
      <c r="S392" s="265"/>
      <c r="T392" s="265"/>
      <c r="U392" s="265"/>
      <c r="V392" s="265"/>
      <c r="W392" s="265"/>
      <c r="X392" s="265"/>
      <c r="Y392" s="265"/>
      <c r="Z392" s="265"/>
      <c r="AA392" s="265"/>
      <c r="AB392" s="265"/>
      <c r="AC392" s="265"/>
      <c r="AD392" s="265"/>
      <c r="AE392" s="265"/>
      <c r="AF392" s="265"/>
      <c r="AG392" s="265"/>
      <c r="AH392" s="265"/>
      <c r="AI392" s="265"/>
      <c r="AJ392" s="265"/>
      <c r="AK392" s="265"/>
      <c r="AL392" s="265"/>
    </row>
    <row r="393" spans="1:38" x14ac:dyDescent="0.2">
      <c r="A393" s="256" t="s">
        <v>80</v>
      </c>
      <c r="B393" s="174" t="s">
        <v>28</v>
      </c>
      <c r="C393" s="176">
        <v>2020</v>
      </c>
      <c r="F393" s="265"/>
      <c r="G393" s="265"/>
      <c r="H393" s="265"/>
      <c r="I393" s="265"/>
      <c r="J393" s="265"/>
      <c r="K393" s="265"/>
      <c r="L393" s="265"/>
      <c r="M393" s="265"/>
      <c r="N393" s="265"/>
      <c r="O393" s="265"/>
      <c r="P393" s="265"/>
      <c r="Q393" s="265"/>
      <c r="R393" s="265"/>
      <c r="S393" s="265"/>
      <c r="T393" s="265"/>
      <c r="U393" s="265"/>
      <c r="V393" s="265"/>
      <c r="W393" s="265"/>
      <c r="X393" s="265"/>
      <c r="Y393" s="265"/>
      <c r="Z393" s="265"/>
      <c r="AA393" s="265"/>
      <c r="AB393" s="265"/>
      <c r="AC393" s="265"/>
      <c r="AD393" s="265"/>
      <c r="AE393" s="265"/>
      <c r="AF393" s="265"/>
      <c r="AG393" s="265"/>
      <c r="AH393" s="265"/>
      <c r="AI393" s="265"/>
      <c r="AJ393" s="265"/>
      <c r="AK393" s="265"/>
      <c r="AL393" s="265"/>
    </row>
    <row r="394" spans="1:38" x14ac:dyDescent="0.2">
      <c r="A394" s="263" t="s">
        <v>83</v>
      </c>
      <c r="B394" s="177" t="s">
        <v>28</v>
      </c>
      <c r="C394" s="208">
        <v>2050</v>
      </c>
      <c r="F394" s="265"/>
      <c r="G394" s="265"/>
      <c r="H394" s="265"/>
      <c r="I394" s="265"/>
      <c r="J394" s="265"/>
      <c r="K394" s="265"/>
      <c r="L394" s="265"/>
      <c r="M394" s="265"/>
      <c r="N394" s="265"/>
      <c r="O394" s="265"/>
      <c r="P394" s="265"/>
      <c r="Q394" s="265"/>
      <c r="R394" s="265"/>
      <c r="S394" s="265"/>
      <c r="T394" s="265"/>
      <c r="U394" s="265"/>
      <c r="V394" s="265"/>
      <c r="W394" s="265"/>
      <c r="X394" s="265"/>
      <c r="Y394" s="265"/>
      <c r="Z394" s="265"/>
      <c r="AA394" s="265"/>
      <c r="AB394" s="265"/>
      <c r="AC394" s="265"/>
      <c r="AD394" s="265"/>
      <c r="AE394" s="265"/>
      <c r="AF394" s="265"/>
      <c r="AG394" s="265"/>
      <c r="AH394" s="265"/>
      <c r="AI394" s="265"/>
      <c r="AJ394" s="265"/>
      <c r="AK394" s="265"/>
      <c r="AL394" s="265"/>
    </row>
    <row r="397" spans="1:38" ht="19" x14ac:dyDescent="0.25">
      <c r="A397" s="336" t="s">
        <v>86</v>
      </c>
      <c r="B397" s="336"/>
      <c r="C397" s="336"/>
    </row>
    <row r="398" spans="1:38" x14ac:dyDescent="0.2">
      <c r="A398" s="256" t="s">
        <v>89</v>
      </c>
      <c r="B398" s="174" t="s">
        <v>28</v>
      </c>
      <c r="C398" s="250">
        <v>0.5</v>
      </c>
    </row>
    <row r="399" spans="1:38" x14ac:dyDescent="0.2">
      <c r="A399" s="256" t="s">
        <v>92</v>
      </c>
      <c r="B399" s="174" t="s">
        <v>28</v>
      </c>
      <c r="C399" s="250">
        <v>0.5</v>
      </c>
    </row>
    <row r="400" spans="1:38" x14ac:dyDescent="0.2">
      <c r="A400" s="256" t="s">
        <v>93</v>
      </c>
      <c r="B400" s="174" t="s">
        <v>28</v>
      </c>
      <c r="C400" s="250">
        <v>0.5</v>
      </c>
    </row>
    <row r="401" spans="1:17" x14ac:dyDescent="0.2">
      <c r="A401" s="263" t="s">
        <v>118</v>
      </c>
      <c r="B401" s="177" t="s">
        <v>28</v>
      </c>
      <c r="C401" s="274">
        <v>0.5</v>
      </c>
    </row>
    <row r="403" spans="1:17" ht="15.75" customHeight="1" x14ac:dyDescent="0.25">
      <c r="A403" s="336" t="s">
        <v>646</v>
      </c>
      <c r="B403" s="336"/>
      <c r="C403" s="275" t="s">
        <v>576</v>
      </c>
      <c r="D403" s="276" t="s">
        <v>579</v>
      </c>
      <c r="E403" s="276" t="s">
        <v>647</v>
      </c>
      <c r="F403" s="276" t="s">
        <v>648</v>
      </c>
      <c r="G403" s="276" t="s">
        <v>649</v>
      </c>
      <c r="H403" s="276" t="s">
        <v>650</v>
      </c>
      <c r="I403" s="276" t="s">
        <v>651</v>
      </c>
      <c r="J403" s="276" t="s">
        <v>652</v>
      </c>
      <c r="K403" s="276" t="s">
        <v>354</v>
      </c>
      <c r="L403" s="276" t="s">
        <v>653</v>
      </c>
      <c r="M403" s="276" t="s">
        <v>654</v>
      </c>
      <c r="N403" s="276" t="s">
        <v>655</v>
      </c>
      <c r="O403" s="276" t="s">
        <v>656</v>
      </c>
      <c r="P403" s="276" t="s">
        <v>657</v>
      </c>
      <c r="Q403" s="277" t="s">
        <v>658</v>
      </c>
    </row>
    <row r="404" spans="1:17" x14ac:dyDescent="0.2">
      <c r="A404" s="256" t="s">
        <v>659</v>
      </c>
      <c r="B404" s="337" t="s">
        <v>374</v>
      </c>
      <c r="C404" s="176" t="s">
        <v>660</v>
      </c>
      <c r="D404" s="176" t="s">
        <v>660</v>
      </c>
      <c r="E404" s="176" t="s">
        <v>660</v>
      </c>
      <c r="F404" s="176" t="s">
        <v>660</v>
      </c>
      <c r="G404" s="176" t="s">
        <v>660</v>
      </c>
      <c r="H404" s="176" t="s">
        <v>660</v>
      </c>
      <c r="I404" s="176" t="s">
        <v>660</v>
      </c>
      <c r="J404" s="176" t="s">
        <v>660</v>
      </c>
      <c r="K404" s="176" t="s">
        <v>660</v>
      </c>
      <c r="L404" s="176" t="s">
        <v>660</v>
      </c>
      <c r="M404" s="176" t="s">
        <v>660</v>
      </c>
      <c r="N404" s="176" t="s">
        <v>660</v>
      </c>
      <c r="O404" s="176" t="s">
        <v>660</v>
      </c>
      <c r="P404" s="176" t="s">
        <v>660</v>
      </c>
      <c r="Q404" s="176" t="s">
        <v>660</v>
      </c>
    </row>
    <row r="405" spans="1:17" x14ac:dyDescent="0.2">
      <c r="A405" s="256" t="s">
        <v>661</v>
      </c>
      <c r="B405" s="337"/>
      <c r="C405" s="176" t="s">
        <v>660</v>
      </c>
      <c r="D405" s="176" t="s">
        <v>660</v>
      </c>
      <c r="E405" s="176" t="s">
        <v>660</v>
      </c>
      <c r="F405" s="176" t="s">
        <v>660</v>
      </c>
      <c r="G405" s="176" t="s">
        <v>660</v>
      </c>
      <c r="H405" s="176" t="s">
        <v>660</v>
      </c>
      <c r="I405" s="176" t="s">
        <v>660</v>
      </c>
      <c r="J405" s="176" t="s">
        <v>660</v>
      </c>
      <c r="K405" s="176" t="s">
        <v>660</v>
      </c>
      <c r="L405" s="176" t="s">
        <v>660</v>
      </c>
      <c r="M405" s="176" t="s">
        <v>660</v>
      </c>
      <c r="N405" s="176" t="s">
        <v>660</v>
      </c>
      <c r="O405" s="176" t="s">
        <v>660</v>
      </c>
      <c r="P405" s="176" t="s">
        <v>660</v>
      </c>
      <c r="Q405" s="176" t="s">
        <v>660</v>
      </c>
    </row>
    <row r="406" spans="1:17" x14ac:dyDescent="0.2">
      <c r="A406" s="256" t="s">
        <v>662</v>
      </c>
      <c r="B406" s="337"/>
      <c r="C406" s="176" t="s">
        <v>660</v>
      </c>
      <c r="D406" s="176" t="s">
        <v>660</v>
      </c>
      <c r="E406" s="176" t="s">
        <v>660</v>
      </c>
      <c r="F406" s="176" t="s">
        <v>660</v>
      </c>
      <c r="G406" s="176" t="s">
        <v>660</v>
      </c>
      <c r="H406" s="176" t="s">
        <v>660</v>
      </c>
      <c r="I406" s="176" t="s">
        <v>660</v>
      </c>
      <c r="J406" s="176" t="s">
        <v>660</v>
      </c>
      <c r="K406" s="176" t="s">
        <v>660</v>
      </c>
      <c r="L406" s="176" t="s">
        <v>660</v>
      </c>
      <c r="M406" s="176" t="s">
        <v>660</v>
      </c>
      <c r="N406" s="176" t="s">
        <v>660</v>
      </c>
      <c r="O406" s="176" t="s">
        <v>660</v>
      </c>
      <c r="P406" s="176" t="s">
        <v>660</v>
      </c>
      <c r="Q406" s="176" t="s">
        <v>660</v>
      </c>
    </row>
    <row r="407" spans="1:17" x14ac:dyDescent="0.2">
      <c r="A407" s="256" t="s">
        <v>663</v>
      </c>
      <c r="B407" s="337"/>
      <c r="C407" s="176" t="s">
        <v>660</v>
      </c>
      <c r="D407" s="176" t="s">
        <v>660</v>
      </c>
      <c r="E407" s="176" t="s">
        <v>660</v>
      </c>
      <c r="F407" s="176" t="s">
        <v>660</v>
      </c>
      <c r="G407" s="176" t="s">
        <v>660</v>
      </c>
      <c r="H407" s="176" t="s">
        <v>660</v>
      </c>
      <c r="I407" s="176" t="s">
        <v>660</v>
      </c>
      <c r="J407" s="176" t="s">
        <v>660</v>
      </c>
      <c r="K407" s="176" t="s">
        <v>660</v>
      </c>
      <c r="L407" s="176" t="s">
        <v>660</v>
      </c>
      <c r="M407" s="176" t="s">
        <v>660</v>
      </c>
      <c r="N407" s="176" t="s">
        <v>660</v>
      </c>
      <c r="O407" s="176" t="s">
        <v>660</v>
      </c>
      <c r="P407" s="176" t="s">
        <v>660</v>
      </c>
      <c r="Q407" s="176" t="s">
        <v>660</v>
      </c>
    </row>
    <row r="408" spans="1:17" x14ac:dyDescent="0.2">
      <c r="A408" s="256" t="s">
        <v>664</v>
      </c>
      <c r="B408" s="337"/>
      <c r="C408" s="176" t="s">
        <v>660</v>
      </c>
      <c r="D408" s="176" t="s">
        <v>660</v>
      </c>
      <c r="E408" s="176" t="s">
        <v>660</v>
      </c>
      <c r="F408" s="176" t="s">
        <v>660</v>
      </c>
      <c r="G408" s="176" t="s">
        <v>660</v>
      </c>
      <c r="H408" s="176" t="s">
        <v>660</v>
      </c>
      <c r="I408" s="176" t="s">
        <v>660</v>
      </c>
      <c r="J408" s="176" t="s">
        <v>660</v>
      </c>
      <c r="K408" s="176" t="s">
        <v>660</v>
      </c>
      <c r="L408" s="176" t="s">
        <v>660</v>
      </c>
      <c r="M408" s="176" t="s">
        <v>660</v>
      </c>
      <c r="N408" s="176" t="s">
        <v>660</v>
      </c>
      <c r="O408" s="176" t="s">
        <v>660</v>
      </c>
      <c r="P408" s="176" t="s">
        <v>660</v>
      </c>
      <c r="Q408" s="176" t="s">
        <v>660</v>
      </c>
    </row>
    <row r="409" spans="1:17" x14ac:dyDescent="0.2">
      <c r="A409" s="256" t="s">
        <v>659</v>
      </c>
      <c r="B409" s="337" t="s">
        <v>375</v>
      </c>
      <c r="C409" s="176" t="s">
        <v>660</v>
      </c>
      <c r="D409" s="176" t="s">
        <v>660</v>
      </c>
      <c r="E409" s="176" t="s">
        <v>660</v>
      </c>
      <c r="F409" s="176" t="s">
        <v>660</v>
      </c>
      <c r="G409" s="176" t="s">
        <v>660</v>
      </c>
      <c r="H409" s="176" t="s">
        <v>660</v>
      </c>
      <c r="I409" s="176" t="s">
        <v>660</v>
      </c>
      <c r="J409" s="176" t="s">
        <v>660</v>
      </c>
      <c r="K409" s="176" t="s">
        <v>660</v>
      </c>
      <c r="L409" s="176" t="s">
        <v>660</v>
      </c>
      <c r="M409" s="176" t="s">
        <v>660</v>
      </c>
      <c r="N409" s="176" t="s">
        <v>660</v>
      </c>
      <c r="O409" s="176" t="s">
        <v>660</v>
      </c>
      <c r="P409" s="176" t="s">
        <v>660</v>
      </c>
      <c r="Q409" s="176" t="s">
        <v>660</v>
      </c>
    </row>
    <row r="410" spans="1:17" x14ac:dyDescent="0.2">
      <c r="A410" s="256" t="s">
        <v>661</v>
      </c>
      <c r="B410" s="337"/>
      <c r="C410" s="176" t="s">
        <v>660</v>
      </c>
      <c r="D410" s="176" t="s">
        <v>660</v>
      </c>
      <c r="E410" s="176" t="s">
        <v>660</v>
      </c>
      <c r="F410" s="176" t="s">
        <v>660</v>
      </c>
      <c r="G410" s="176" t="s">
        <v>660</v>
      </c>
      <c r="H410" s="176" t="s">
        <v>660</v>
      </c>
      <c r="I410" s="176" t="s">
        <v>660</v>
      </c>
      <c r="J410" s="176" t="s">
        <v>660</v>
      </c>
      <c r="K410" s="176" t="s">
        <v>660</v>
      </c>
      <c r="L410" s="176" t="s">
        <v>660</v>
      </c>
      <c r="M410" s="176" t="s">
        <v>660</v>
      </c>
      <c r="N410" s="176" t="s">
        <v>660</v>
      </c>
      <c r="O410" s="176" t="s">
        <v>660</v>
      </c>
      <c r="P410" s="176" t="s">
        <v>660</v>
      </c>
      <c r="Q410" s="176" t="s">
        <v>660</v>
      </c>
    </row>
    <row r="411" spans="1:17" x14ac:dyDescent="0.2">
      <c r="A411" s="256" t="s">
        <v>662</v>
      </c>
      <c r="B411" s="337"/>
      <c r="C411" s="176" t="s">
        <v>660</v>
      </c>
      <c r="D411" s="176" t="s">
        <v>660</v>
      </c>
      <c r="E411" s="176" t="s">
        <v>660</v>
      </c>
      <c r="F411" s="176" t="s">
        <v>660</v>
      </c>
      <c r="G411" s="176" t="s">
        <v>660</v>
      </c>
      <c r="H411" s="176" t="s">
        <v>660</v>
      </c>
      <c r="I411" s="176" t="s">
        <v>660</v>
      </c>
      <c r="J411" s="176" t="s">
        <v>660</v>
      </c>
      <c r="K411" s="176" t="s">
        <v>660</v>
      </c>
      <c r="L411" s="176" t="s">
        <v>660</v>
      </c>
      <c r="M411" s="176" t="s">
        <v>660</v>
      </c>
      <c r="N411" s="176" t="s">
        <v>660</v>
      </c>
      <c r="O411" s="176" t="s">
        <v>660</v>
      </c>
      <c r="P411" s="176" t="s">
        <v>660</v>
      </c>
      <c r="Q411" s="176" t="s">
        <v>660</v>
      </c>
    </row>
    <row r="412" spans="1:17" x14ac:dyDescent="0.2">
      <c r="A412" s="256" t="s">
        <v>663</v>
      </c>
      <c r="B412" s="337"/>
      <c r="C412" s="176" t="s">
        <v>660</v>
      </c>
      <c r="D412" s="176" t="s">
        <v>660</v>
      </c>
      <c r="E412" s="176" t="s">
        <v>660</v>
      </c>
      <c r="F412" s="176" t="s">
        <v>660</v>
      </c>
      <c r="G412" s="176" t="s">
        <v>660</v>
      </c>
      <c r="H412" s="176" t="s">
        <v>660</v>
      </c>
      <c r="I412" s="176" t="s">
        <v>660</v>
      </c>
      <c r="J412" s="176" t="s">
        <v>660</v>
      </c>
      <c r="K412" s="176" t="s">
        <v>660</v>
      </c>
      <c r="L412" s="176" t="s">
        <v>660</v>
      </c>
      <c r="M412" s="176" t="s">
        <v>660</v>
      </c>
      <c r="N412" s="176" t="s">
        <v>660</v>
      </c>
      <c r="O412" s="176" t="s">
        <v>660</v>
      </c>
      <c r="P412" s="176" t="s">
        <v>660</v>
      </c>
      <c r="Q412" s="176" t="s">
        <v>660</v>
      </c>
    </row>
    <row r="413" spans="1:17" x14ac:dyDescent="0.2">
      <c r="A413" s="256" t="s">
        <v>664</v>
      </c>
      <c r="B413" s="337"/>
      <c r="C413" s="176" t="s">
        <v>660</v>
      </c>
      <c r="D413" s="176" t="s">
        <v>660</v>
      </c>
      <c r="E413" s="176" t="s">
        <v>660</v>
      </c>
      <c r="F413" s="176" t="s">
        <v>660</v>
      </c>
      <c r="G413" s="176" t="s">
        <v>660</v>
      </c>
      <c r="H413" s="176" t="s">
        <v>660</v>
      </c>
      <c r="I413" s="176" t="s">
        <v>660</v>
      </c>
      <c r="J413" s="176" t="s">
        <v>660</v>
      </c>
      <c r="K413" s="176" t="s">
        <v>660</v>
      </c>
      <c r="L413" s="176" t="s">
        <v>660</v>
      </c>
      <c r="M413" s="176" t="s">
        <v>660</v>
      </c>
      <c r="N413" s="176" t="s">
        <v>660</v>
      </c>
      <c r="O413" s="176" t="s">
        <v>660</v>
      </c>
      <c r="P413" s="176" t="s">
        <v>660</v>
      </c>
      <c r="Q413" s="176" t="s">
        <v>660</v>
      </c>
    </row>
    <row r="414" spans="1:17" x14ac:dyDescent="0.2">
      <c r="A414" s="256" t="s">
        <v>665</v>
      </c>
      <c r="B414" s="337" t="s">
        <v>376</v>
      </c>
      <c r="C414" s="176" t="s">
        <v>660</v>
      </c>
      <c r="D414" s="176" t="s">
        <v>660</v>
      </c>
      <c r="E414" s="176" t="s">
        <v>660</v>
      </c>
      <c r="F414" s="176" t="s">
        <v>660</v>
      </c>
      <c r="G414" s="176" t="s">
        <v>660</v>
      </c>
      <c r="H414" s="176" t="s">
        <v>660</v>
      </c>
      <c r="I414" s="176" t="s">
        <v>660</v>
      </c>
      <c r="J414" s="176" t="s">
        <v>660</v>
      </c>
      <c r="K414" s="176" t="s">
        <v>660</v>
      </c>
      <c r="L414" s="176" t="s">
        <v>660</v>
      </c>
      <c r="M414" s="176" t="s">
        <v>660</v>
      </c>
      <c r="N414" s="176" t="s">
        <v>660</v>
      </c>
      <c r="O414" s="176" t="s">
        <v>660</v>
      </c>
      <c r="P414" s="176" t="s">
        <v>660</v>
      </c>
      <c r="Q414" s="176" t="s">
        <v>660</v>
      </c>
    </row>
    <row r="415" spans="1:17" x14ac:dyDescent="0.2">
      <c r="A415" s="256" t="s">
        <v>661</v>
      </c>
      <c r="B415" s="337"/>
      <c r="C415" s="176" t="s">
        <v>660</v>
      </c>
      <c r="D415" s="176" t="s">
        <v>660</v>
      </c>
      <c r="E415" s="176" t="s">
        <v>660</v>
      </c>
      <c r="F415" s="176" t="s">
        <v>660</v>
      </c>
      <c r="G415" s="176" t="s">
        <v>660</v>
      </c>
      <c r="H415" s="176" t="s">
        <v>660</v>
      </c>
      <c r="I415" s="176" t="s">
        <v>660</v>
      </c>
      <c r="J415" s="176" t="s">
        <v>660</v>
      </c>
      <c r="K415" s="176" t="s">
        <v>660</v>
      </c>
      <c r="L415" s="176" t="s">
        <v>660</v>
      </c>
      <c r="M415" s="176" t="s">
        <v>660</v>
      </c>
      <c r="N415" s="176" t="s">
        <v>660</v>
      </c>
      <c r="O415" s="176" t="s">
        <v>660</v>
      </c>
      <c r="P415" s="176" t="s">
        <v>660</v>
      </c>
      <c r="Q415" s="176" t="s">
        <v>660</v>
      </c>
    </row>
    <row r="416" spans="1:17" x14ac:dyDescent="0.2">
      <c r="A416" s="256" t="s">
        <v>662</v>
      </c>
      <c r="B416" s="337"/>
      <c r="C416" s="176" t="s">
        <v>660</v>
      </c>
      <c r="D416" s="176" t="s">
        <v>660</v>
      </c>
      <c r="E416" s="176" t="s">
        <v>660</v>
      </c>
      <c r="F416" s="176" t="s">
        <v>660</v>
      </c>
      <c r="G416" s="176" t="s">
        <v>660</v>
      </c>
      <c r="H416" s="176" t="s">
        <v>660</v>
      </c>
      <c r="I416" s="176" t="s">
        <v>660</v>
      </c>
      <c r="J416" s="176" t="s">
        <v>660</v>
      </c>
      <c r="K416" s="176" t="s">
        <v>660</v>
      </c>
      <c r="L416" s="176" t="s">
        <v>660</v>
      </c>
      <c r="M416" s="176" t="s">
        <v>660</v>
      </c>
      <c r="N416" s="176" t="s">
        <v>660</v>
      </c>
      <c r="O416" s="176" t="s">
        <v>660</v>
      </c>
      <c r="P416" s="176" t="s">
        <v>660</v>
      </c>
      <c r="Q416" s="176" t="s">
        <v>660</v>
      </c>
    </row>
    <row r="417" spans="1:17" x14ac:dyDescent="0.2">
      <c r="A417" s="256" t="s">
        <v>663</v>
      </c>
      <c r="B417" s="337"/>
      <c r="C417" s="176" t="s">
        <v>660</v>
      </c>
      <c r="D417" s="176" t="s">
        <v>660</v>
      </c>
      <c r="E417" s="176" t="s">
        <v>660</v>
      </c>
      <c r="F417" s="176" t="s">
        <v>660</v>
      </c>
      <c r="G417" s="176" t="s">
        <v>660</v>
      </c>
      <c r="H417" s="176" t="s">
        <v>660</v>
      </c>
      <c r="I417" s="176" t="s">
        <v>660</v>
      </c>
      <c r="J417" s="176" t="s">
        <v>660</v>
      </c>
      <c r="K417" s="176" t="s">
        <v>660</v>
      </c>
      <c r="L417" s="176" t="s">
        <v>660</v>
      </c>
      <c r="M417" s="176" t="s">
        <v>660</v>
      </c>
      <c r="N417" s="176" t="s">
        <v>660</v>
      </c>
      <c r="O417" s="176" t="s">
        <v>660</v>
      </c>
      <c r="P417" s="176" t="s">
        <v>660</v>
      </c>
      <c r="Q417" s="176" t="s">
        <v>660</v>
      </c>
    </row>
    <row r="418" spans="1:17" x14ac:dyDescent="0.2">
      <c r="A418" s="256" t="s">
        <v>664</v>
      </c>
      <c r="B418" s="337"/>
      <c r="C418" s="176" t="s">
        <v>660</v>
      </c>
      <c r="D418" s="176" t="s">
        <v>660</v>
      </c>
      <c r="E418" s="176" t="s">
        <v>660</v>
      </c>
      <c r="F418" s="176" t="s">
        <v>660</v>
      </c>
      <c r="G418" s="176" t="s">
        <v>660</v>
      </c>
      <c r="H418" s="176" t="s">
        <v>660</v>
      </c>
      <c r="I418" s="176" t="s">
        <v>660</v>
      </c>
      <c r="J418" s="176" t="s">
        <v>660</v>
      </c>
      <c r="K418" s="176" t="s">
        <v>660</v>
      </c>
      <c r="L418" s="176" t="s">
        <v>660</v>
      </c>
      <c r="M418" s="176" t="s">
        <v>660</v>
      </c>
      <c r="N418" s="176" t="s">
        <v>660</v>
      </c>
      <c r="O418" s="176" t="s">
        <v>660</v>
      </c>
      <c r="P418" s="176" t="s">
        <v>660</v>
      </c>
      <c r="Q418" s="176" t="s">
        <v>660</v>
      </c>
    </row>
    <row r="419" spans="1:17" x14ac:dyDescent="0.2">
      <c r="A419" s="256" t="s">
        <v>659</v>
      </c>
      <c r="B419" s="337" t="s">
        <v>377</v>
      </c>
      <c r="C419" s="176" t="s">
        <v>660</v>
      </c>
      <c r="D419" s="176" t="s">
        <v>660</v>
      </c>
      <c r="E419" s="176" t="s">
        <v>660</v>
      </c>
      <c r="F419" s="176" t="s">
        <v>660</v>
      </c>
      <c r="G419" s="176" t="s">
        <v>660</v>
      </c>
      <c r="H419" s="176" t="s">
        <v>660</v>
      </c>
      <c r="I419" s="176" t="s">
        <v>660</v>
      </c>
      <c r="J419" s="176" t="s">
        <v>660</v>
      </c>
      <c r="K419" s="176" t="s">
        <v>660</v>
      </c>
      <c r="L419" s="176" t="s">
        <v>660</v>
      </c>
      <c r="M419" s="176" t="s">
        <v>660</v>
      </c>
      <c r="N419" s="176" t="s">
        <v>660</v>
      </c>
      <c r="O419" s="176" t="s">
        <v>660</v>
      </c>
      <c r="P419" s="176" t="s">
        <v>660</v>
      </c>
      <c r="Q419" s="176" t="s">
        <v>660</v>
      </c>
    </row>
    <row r="420" spans="1:17" x14ac:dyDescent="0.2">
      <c r="A420" s="256" t="s">
        <v>661</v>
      </c>
      <c r="B420" s="337"/>
      <c r="C420" s="176" t="s">
        <v>660</v>
      </c>
      <c r="D420" s="176" t="s">
        <v>660</v>
      </c>
      <c r="E420" s="176" t="s">
        <v>660</v>
      </c>
      <c r="F420" s="176" t="s">
        <v>660</v>
      </c>
      <c r="G420" s="176" t="s">
        <v>660</v>
      </c>
      <c r="H420" s="176" t="s">
        <v>660</v>
      </c>
      <c r="I420" s="176" t="s">
        <v>660</v>
      </c>
      <c r="J420" s="176" t="s">
        <v>660</v>
      </c>
      <c r="K420" s="176" t="s">
        <v>660</v>
      </c>
      <c r="L420" s="176" t="s">
        <v>660</v>
      </c>
      <c r="M420" s="176" t="s">
        <v>660</v>
      </c>
      <c r="N420" s="176" t="s">
        <v>660</v>
      </c>
      <c r="O420" s="176" t="s">
        <v>660</v>
      </c>
      <c r="P420" s="176" t="s">
        <v>660</v>
      </c>
      <c r="Q420" s="176" t="s">
        <v>660</v>
      </c>
    </row>
    <row r="421" spans="1:17" x14ac:dyDescent="0.2">
      <c r="A421" s="256" t="s">
        <v>662</v>
      </c>
      <c r="B421" s="337"/>
      <c r="C421" s="176" t="s">
        <v>660</v>
      </c>
      <c r="D421" s="176" t="s">
        <v>660</v>
      </c>
      <c r="E421" s="176" t="s">
        <v>660</v>
      </c>
      <c r="F421" s="176" t="s">
        <v>660</v>
      </c>
      <c r="G421" s="176" t="s">
        <v>660</v>
      </c>
      <c r="H421" s="176" t="s">
        <v>660</v>
      </c>
      <c r="I421" s="176" t="s">
        <v>660</v>
      </c>
      <c r="J421" s="176" t="s">
        <v>660</v>
      </c>
      <c r="K421" s="176" t="s">
        <v>660</v>
      </c>
      <c r="L421" s="176" t="s">
        <v>660</v>
      </c>
      <c r="M421" s="176" t="s">
        <v>660</v>
      </c>
      <c r="N421" s="176" t="s">
        <v>660</v>
      </c>
      <c r="O421" s="176" t="s">
        <v>660</v>
      </c>
      <c r="P421" s="176" t="s">
        <v>660</v>
      </c>
      <c r="Q421" s="176" t="s">
        <v>660</v>
      </c>
    </row>
    <row r="422" spans="1:17" x14ac:dyDescent="0.2">
      <c r="A422" s="256" t="s">
        <v>663</v>
      </c>
      <c r="B422" s="337"/>
      <c r="C422" s="176" t="s">
        <v>660</v>
      </c>
      <c r="D422" s="176" t="s">
        <v>660</v>
      </c>
      <c r="E422" s="176" t="s">
        <v>660</v>
      </c>
      <c r="F422" s="176" t="s">
        <v>660</v>
      </c>
      <c r="G422" s="176" t="s">
        <v>660</v>
      </c>
      <c r="H422" s="176" t="s">
        <v>660</v>
      </c>
      <c r="I422" s="176" t="s">
        <v>660</v>
      </c>
      <c r="J422" s="176" t="s">
        <v>660</v>
      </c>
      <c r="K422" s="176" t="s">
        <v>660</v>
      </c>
      <c r="L422" s="176" t="s">
        <v>660</v>
      </c>
      <c r="M422" s="176" t="s">
        <v>660</v>
      </c>
      <c r="N422" s="176" t="s">
        <v>660</v>
      </c>
      <c r="O422" s="176" t="s">
        <v>660</v>
      </c>
      <c r="P422" s="176" t="s">
        <v>660</v>
      </c>
      <c r="Q422" s="176" t="s">
        <v>660</v>
      </c>
    </row>
    <row r="423" spans="1:17" x14ac:dyDescent="0.2">
      <c r="A423" s="256" t="s">
        <v>664</v>
      </c>
      <c r="B423" s="337"/>
      <c r="C423" s="176" t="s">
        <v>660</v>
      </c>
      <c r="D423" s="176" t="s">
        <v>660</v>
      </c>
      <c r="E423" s="176" t="s">
        <v>660</v>
      </c>
      <c r="F423" s="176" t="s">
        <v>660</v>
      </c>
      <c r="G423" s="176" t="s">
        <v>660</v>
      </c>
      <c r="H423" s="176" t="s">
        <v>660</v>
      </c>
      <c r="I423" s="176" t="s">
        <v>660</v>
      </c>
      <c r="J423" s="176" t="s">
        <v>660</v>
      </c>
      <c r="K423" s="176" t="s">
        <v>660</v>
      </c>
      <c r="L423" s="176" t="s">
        <v>660</v>
      </c>
      <c r="M423" s="176" t="s">
        <v>660</v>
      </c>
      <c r="N423" s="176" t="s">
        <v>660</v>
      </c>
      <c r="O423" s="176" t="s">
        <v>660</v>
      </c>
      <c r="P423" s="176" t="s">
        <v>660</v>
      </c>
      <c r="Q423" s="176" t="s">
        <v>660</v>
      </c>
    </row>
    <row r="424" spans="1:17" x14ac:dyDescent="0.2">
      <c r="A424" s="256" t="s">
        <v>659</v>
      </c>
      <c r="B424" s="337" t="s">
        <v>378</v>
      </c>
      <c r="C424" s="176" t="s">
        <v>660</v>
      </c>
      <c r="D424" s="176" t="s">
        <v>660</v>
      </c>
      <c r="E424" s="176" t="s">
        <v>660</v>
      </c>
      <c r="F424" s="176" t="s">
        <v>660</v>
      </c>
      <c r="G424" s="176" t="s">
        <v>660</v>
      </c>
      <c r="H424" s="176" t="s">
        <v>660</v>
      </c>
      <c r="I424" s="176" t="s">
        <v>660</v>
      </c>
      <c r="J424" s="176" t="s">
        <v>660</v>
      </c>
      <c r="K424" s="176" t="s">
        <v>660</v>
      </c>
      <c r="L424" s="176" t="s">
        <v>660</v>
      </c>
      <c r="M424" s="176" t="s">
        <v>660</v>
      </c>
      <c r="N424" s="176" t="s">
        <v>660</v>
      </c>
      <c r="O424" s="176" t="s">
        <v>660</v>
      </c>
      <c r="P424" s="176" t="s">
        <v>660</v>
      </c>
      <c r="Q424" s="176" t="s">
        <v>660</v>
      </c>
    </row>
    <row r="425" spans="1:17" x14ac:dyDescent="0.2">
      <c r="A425" s="256" t="s">
        <v>661</v>
      </c>
      <c r="B425" s="337"/>
      <c r="C425" s="176" t="s">
        <v>660</v>
      </c>
      <c r="D425" s="176" t="s">
        <v>660</v>
      </c>
      <c r="E425" s="176" t="s">
        <v>660</v>
      </c>
      <c r="F425" s="176" t="s">
        <v>660</v>
      </c>
      <c r="G425" s="176" t="s">
        <v>660</v>
      </c>
      <c r="H425" s="176" t="s">
        <v>660</v>
      </c>
      <c r="I425" s="176" t="s">
        <v>660</v>
      </c>
      <c r="J425" s="176" t="s">
        <v>660</v>
      </c>
      <c r="K425" s="176" t="s">
        <v>660</v>
      </c>
      <c r="L425" s="176" t="s">
        <v>660</v>
      </c>
      <c r="M425" s="176" t="s">
        <v>660</v>
      </c>
      <c r="N425" s="176" t="s">
        <v>660</v>
      </c>
      <c r="O425" s="176" t="s">
        <v>660</v>
      </c>
      <c r="P425" s="176" t="s">
        <v>660</v>
      </c>
      <c r="Q425" s="176" t="s">
        <v>660</v>
      </c>
    </row>
    <row r="426" spans="1:17" x14ac:dyDescent="0.2">
      <c r="A426" s="256" t="s">
        <v>662</v>
      </c>
      <c r="B426" s="337"/>
      <c r="C426" s="176" t="s">
        <v>660</v>
      </c>
      <c r="D426" s="176" t="s">
        <v>660</v>
      </c>
      <c r="E426" s="176" t="s">
        <v>660</v>
      </c>
      <c r="F426" s="176" t="s">
        <v>660</v>
      </c>
      <c r="G426" s="176" t="s">
        <v>660</v>
      </c>
      <c r="H426" s="176" t="s">
        <v>660</v>
      </c>
      <c r="I426" s="176" t="s">
        <v>660</v>
      </c>
      <c r="J426" s="176" t="s">
        <v>660</v>
      </c>
      <c r="K426" s="176" t="s">
        <v>660</v>
      </c>
      <c r="L426" s="176" t="s">
        <v>660</v>
      </c>
      <c r="M426" s="176" t="s">
        <v>660</v>
      </c>
      <c r="N426" s="176" t="s">
        <v>660</v>
      </c>
      <c r="O426" s="176" t="s">
        <v>660</v>
      </c>
      <c r="P426" s="176" t="s">
        <v>660</v>
      </c>
      <c r="Q426" s="176" t="s">
        <v>660</v>
      </c>
    </row>
    <row r="427" spans="1:17" x14ac:dyDescent="0.2">
      <c r="A427" s="256" t="s">
        <v>663</v>
      </c>
      <c r="B427" s="337"/>
      <c r="C427" s="176" t="s">
        <v>660</v>
      </c>
      <c r="D427" s="176" t="s">
        <v>660</v>
      </c>
      <c r="E427" s="176" t="s">
        <v>660</v>
      </c>
      <c r="F427" s="176" t="s">
        <v>660</v>
      </c>
      <c r="G427" s="176" t="s">
        <v>660</v>
      </c>
      <c r="H427" s="176" t="s">
        <v>660</v>
      </c>
      <c r="I427" s="176" t="s">
        <v>660</v>
      </c>
      <c r="J427" s="176" t="s">
        <v>660</v>
      </c>
      <c r="K427" s="176" t="s">
        <v>660</v>
      </c>
      <c r="L427" s="176" t="s">
        <v>660</v>
      </c>
      <c r="M427" s="176" t="s">
        <v>660</v>
      </c>
      <c r="N427" s="176" t="s">
        <v>660</v>
      </c>
      <c r="O427" s="176" t="s">
        <v>660</v>
      </c>
      <c r="P427" s="176" t="s">
        <v>660</v>
      </c>
      <c r="Q427" s="176" t="s">
        <v>660</v>
      </c>
    </row>
    <row r="428" spans="1:17" x14ac:dyDescent="0.2">
      <c r="A428" s="263" t="s">
        <v>664</v>
      </c>
      <c r="B428" s="337"/>
      <c r="C428" s="208" t="s">
        <v>660</v>
      </c>
      <c r="D428" s="208" t="s">
        <v>660</v>
      </c>
      <c r="E428" s="208" t="s">
        <v>660</v>
      </c>
      <c r="F428" s="208" t="s">
        <v>660</v>
      </c>
      <c r="G428" s="208" t="s">
        <v>660</v>
      </c>
      <c r="H428" s="208" t="s">
        <v>660</v>
      </c>
      <c r="I428" s="208" t="s">
        <v>660</v>
      </c>
      <c r="J428" s="208" t="s">
        <v>660</v>
      </c>
      <c r="K428" s="208" t="s">
        <v>660</v>
      </c>
      <c r="L428" s="208" t="s">
        <v>660</v>
      </c>
      <c r="M428" s="208" t="s">
        <v>660</v>
      </c>
      <c r="N428" s="208" t="s">
        <v>660</v>
      </c>
      <c r="O428" s="208" t="s">
        <v>660</v>
      </c>
      <c r="P428" s="208" t="s">
        <v>660</v>
      </c>
      <c r="Q428" s="208" t="s">
        <v>660</v>
      </c>
    </row>
  </sheetData>
  <mergeCells count="126">
    <mergeCell ref="A381:C381"/>
    <mergeCell ref="A390:C390"/>
    <mergeCell ref="A397:C397"/>
    <mergeCell ref="A403:B403"/>
    <mergeCell ref="B404:B408"/>
    <mergeCell ref="B409:B413"/>
    <mergeCell ref="B414:B418"/>
    <mergeCell ref="B419:B423"/>
    <mergeCell ref="B424:B428"/>
    <mergeCell ref="A273:A276"/>
    <mergeCell ref="C273:C276"/>
    <mergeCell ref="A281:I281"/>
    <mergeCell ref="A340:I340"/>
    <mergeCell ref="A364:H364"/>
    <mergeCell ref="A366:H366"/>
    <mergeCell ref="A368:H368"/>
    <mergeCell ref="A370:H370"/>
    <mergeCell ref="A373:I373"/>
    <mergeCell ref="A238:D238"/>
    <mergeCell ref="A239:D239"/>
    <mergeCell ref="A240:C240"/>
    <mergeCell ref="C242:E242"/>
    <mergeCell ref="A244:A262"/>
    <mergeCell ref="A263:C263"/>
    <mergeCell ref="A269:C269"/>
    <mergeCell ref="A270:C270"/>
    <mergeCell ref="A272:C272"/>
    <mergeCell ref="A218:B218"/>
    <mergeCell ref="A219:B219"/>
    <mergeCell ref="A220:B220"/>
    <mergeCell ref="A221:C221"/>
    <mergeCell ref="A225:C225"/>
    <mergeCell ref="A227:A229"/>
    <mergeCell ref="C227:C229"/>
    <mergeCell ref="A231:A233"/>
    <mergeCell ref="C231:C233"/>
    <mergeCell ref="A206:B206"/>
    <mergeCell ref="A207:B207"/>
    <mergeCell ref="A209:C209"/>
    <mergeCell ref="A210:A211"/>
    <mergeCell ref="C210:C211"/>
    <mergeCell ref="A214:Q214"/>
    <mergeCell ref="A215:B215"/>
    <mergeCell ref="A216:B216"/>
    <mergeCell ref="A217:B217"/>
    <mergeCell ref="A197:B197"/>
    <mergeCell ref="A198:B198"/>
    <mergeCell ref="A199:B199"/>
    <mergeCell ref="A200:B200"/>
    <mergeCell ref="A201:B201"/>
    <mergeCell ref="A202:Q202"/>
    <mergeCell ref="A203:B203"/>
    <mergeCell ref="A204:B204"/>
    <mergeCell ref="A205:B205"/>
    <mergeCell ref="A188:B188"/>
    <mergeCell ref="A189:B189"/>
    <mergeCell ref="A190:Q190"/>
    <mergeCell ref="A191:B191"/>
    <mergeCell ref="A192:B192"/>
    <mergeCell ref="A193:B193"/>
    <mergeCell ref="A194:B194"/>
    <mergeCell ref="A195:B195"/>
    <mergeCell ref="A196:Q196"/>
    <mergeCell ref="A179:B179"/>
    <mergeCell ref="A180:B180"/>
    <mergeCell ref="A181:B181"/>
    <mergeCell ref="A182:B182"/>
    <mergeCell ref="A183:B183"/>
    <mergeCell ref="A184:Q184"/>
    <mergeCell ref="A185:B185"/>
    <mergeCell ref="A186:B186"/>
    <mergeCell ref="A187:B187"/>
    <mergeCell ref="A153:A156"/>
    <mergeCell ref="A157:A160"/>
    <mergeCell ref="A161:A164"/>
    <mergeCell ref="A168:E168"/>
    <mergeCell ref="A169:E169"/>
    <mergeCell ref="A171:A173"/>
    <mergeCell ref="C171:C173"/>
    <mergeCell ref="A175:C175"/>
    <mergeCell ref="A178:B178"/>
    <mergeCell ref="A123:A125"/>
    <mergeCell ref="A126:A128"/>
    <mergeCell ref="B129:B131"/>
    <mergeCell ref="A133:I133"/>
    <mergeCell ref="A135:A138"/>
    <mergeCell ref="A139:A142"/>
    <mergeCell ref="A143:A146"/>
    <mergeCell ref="A147:I147"/>
    <mergeCell ref="A149:A152"/>
    <mergeCell ref="A93:A94"/>
    <mergeCell ref="A95:A96"/>
    <mergeCell ref="A97:A98"/>
    <mergeCell ref="A101:C101"/>
    <mergeCell ref="A113:E113"/>
    <mergeCell ref="A114:A117"/>
    <mergeCell ref="B114:B117"/>
    <mergeCell ref="D116:E117"/>
    <mergeCell ref="A121:J121"/>
    <mergeCell ref="A74:A75"/>
    <mergeCell ref="A77:C77"/>
    <mergeCell ref="A79:C79"/>
    <mergeCell ref="A82:C82"/>
    <mergeCell ref="A83:A84"/>
    <mergeCell ref="A85:A86"/>
    <mergeCell ref="A87:A88"/>
    <mergeCell ref="A89:A90"/>
    <mergeCell ref="A91:A92"/>
    <mergeCell ref="A31:C31"/>
    <mergeCell ref="A35:C35"/>
    <mergeCell ref="A41:C41"/>
    <mergeCell ref="A44:C44"/>
    <mergeCell ref="A47:C47"/>
    <mergeCell ref="A53:C53"/>
    <mergeCell ref="A60:I60"/>
    <mergeCell ref="A70:A71"/>
    <mergeCell ref="A73:C73"/>
    <mergeCell ref="A1:C1"/>
    <mergeCell ref="A3:AL3"/>
    <mergeCell ref="A4:A5"/>
    <mergeCell ref="A7:AL7"/>
    <mergeCell ref="G8:AL8"/>
    <mergeCell ref="A9:A10"/>
    <mergeCell ref="A14:I14"/>
    <mergeCell ref="A27:I27"/>
    <mergeCell ref="A30:C30"/>
  </mergeCells>
  <conditionalFormatting sqref="C216:AD220">
    <cfRule type="cellIs" dxfId="2" priority="2" operator="lessThan">
      <formula>0</formula>
    </cfRule>
  </conditionalFormatting>
  <pageMargins left="0.7" right="0.7" top="0.75" bottom="0.75"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93D58-22AF-8049-BDF3-E1C977E418C0}">
  <sheetPr>
    <tabColor rgb="FFFFC000"/>
  </sheetPr>
  <dimension ref="A1:AY428"/>
  <sheetViews>
    <sheetView tabSelected="1" topLeftCell="Q1" zoomScaleNormal="100" workbookViewId="0">
      <selection activeCell="AL11" sqref="AL11"/>
    </sheetView>
  </sheetViews>
  <sheetFormatPr baseColWidth="10" defaultColWidth="11.5" defaultRowHeight="15" x14ac:dyDescent="0.2"/>
  <cols>
    <col min="1" max="1" width="48.6640625" customWidth="1"/>
    <col min="2" max="2" width="50" customWidth="1"/>
    <col min="3" max="3" width="59.83203125" customWidth="1"/>
    <col min="4" max="4" width="55.83203125" customWidth="1"/>
    <col min="5" max="5" width="49.33203125" customWidth="1"/>
    <col min="6" max="6" width="30.83203125" customWidth="1"/>
    <col min="7" max="7" width="34.33203125" customWidth="1"/>
    <col min="8" max="8" width="32.5" customWidth="1"/>
    <col min="9" max="9" width="21.83203125" customWidth="1"/>
    <col min="10" max="10" width="29" customWidth="1"/>
    <col min="12" max="12" width="35.5" customWidth="1"/>
    <col min="18" max="18" width="12.5" customWidth="1"/>
  </cols>
  <sheetData>
    <row r="1" spans="1:38" ht="31" x14ac:dyDescent="0.35">
      <c r="A1" s="305" t="s">
        <v>490</v>
      </c>
      <c r="B1" s="305"/>
      <c r="C1" s="305"/>
      <c r="E1" s="172"/>
    </row>
    <row r="2" spans="1:38" ht="27" thickBot="1" x14ac:dyDescent="0.35">
      <c r="A2" s="173" t="s">
        <v>491</v>
      </c>
    </row>
    <row r="3" spans="1:38" ht="19" x14ac:dyDescent="0.25">
      <c r="A3" s="306" t="s">
        <v>48</v>
      </c>
      <c r="B3" s="306"/>
      <c r="C3" s="306"/>
      <c r="D3" s="306"/>
      <c r="E3" s="306"/>
      <c r="F3" s="306"/>
      <c r="G3" s="306"/>
      <c r="H3" s="306"/>
      <c r="I3" s="306"/>
      <c r="J3" s="306"/>
      <c r="K3" s="306"/>
      <c r="L3" s="306"/>
      <c r="M3" s="306"/>
      <c r="N3" s="306"/>
      <c r="O3" s="306"/>
      <c r="P3" s="306"/>
      <c r="Q3" s="306"/>
      <c r="R3" s="306"/>
      <c r="S3" s="306"/>
      <c r="T3" s="306"/>
      <c r="U3" s="306"/>
      <c r="V3" s="306"/>
      <c r="W3" s="306"/>
      <c r="X3" s="306"/>
      <c r="Y3" s="306"/>
      <c r="Z3" s="306"/>
      <c r="AA3" s="306"/>
      <c r="AB3" s="306"/>
      <c r="AC3" s="306"/>
      <c r="AD3" s="306"/>
      <c r="AE3" s="306"/>
      <c r="AF3" s="306"/>
      <c r="AG3" s="306"/>
      <c r="AH3" s="306"/>
      <c r="AI3" s="306"/>
      <c r="AJ3" s="306"/>
      <c r="AK3" s="306"/>
      <c r="AL3" s="306"/>
    </row>
    <row r="4" spans="1:38" ht="16" thickBot="1" x14ac:dyDescent="0.25">
      <c r="A4" s="307" t="s">
        <v>492</v>
      </c>
      <c r="B4" s="174" t="s">
        <v>36</v>
      </c>
      <c r="C4" s="175">
        <v>2015</v>
      </c>
      <c r="D4" s="175">
        <v>2016</v>
      </c>
      <c r="E4" s="175">
        <v>2017</v>
      </c>
      <c r="F4" s="175">
        <v>2018</v>
      </c>
      <c r="G4" s="175">
        <v>2019</v>
      </c>
      <c r="H4" s="175">
        <v>2020</v>
      </c>
      <c r="I4" s="175">
        <v>2021</v>
      </c>
      <c r="J4" s="175">
        <v>2022</v>
      </c>
      <c r="K4" s="175">
        <v>2023</v>
      </c>
      <c r="L4" s="175">
        <v>2024</v>
      </c>
      <c r="M4" s="175">
        <v>2025</v>
      </c>
      <c r="N4" s="175">
        <v>2026</v>
      </c>
      <c r="O4" s="175">
        <v>2027</v>
      </c>
      <c r="P4" s="175">
        <v>2028</v>
      </c>
      <c r="Q4" s="175">
        <v>2029</v>
      </c>
      <c r="R4" s="175">
        <v>2030</v>
      </c>
      <c r="S4" s="175">
        <v>2031</v>
      </c>
      <c r="T4" s="175">
        <v>2032</v>
      </c>
      <c r="U4" s="175">
        <v>2033</v>
      </c>
      <c r="V4" s="175">
        <v>2034</v>
      </c>
      <c r="W4" s="175">
        <v>2035</v>
      </c>
      <c r="X4" s="175">
        <v>2036</v>
      </c>
      <c r="Y4" s="175">
        <v>2037</v>
      </c>
      <c r="Z4" s="175">
        <v>2038</v>
      </c>
      <c r="AA4" s="175">
        <v>2039</v>
      </c>
      <c r="AB4" s="175">
        <v>2040</v>
      </c>
      <c r="AC4" s="175">
        <v>2041</v>
      </c>
      <c r="AD4" s="175">
        <v>2042</v>
      </c>
      <c r="AE4" s="175">
        <v>2043</v>
      </c>
      <c r="AF4" s="175">
        <v>2044</v>
      </c>
      <c r="AG4" s="175">
        <v>2045</v>
      </c>
      <c r="AH4" s="175">
        <v>2046</v>
      </c>
      <c r="AI4" s="175">
        <v>2047</v>
      </c>
      <c r="AJ4" s="175">
        <v>2048</v>
      </c>
      <c r="AK4" s="175">
        <v>2049</v>
      </c>
      <c r="AL4" s="176">
        <v>2050</v>
      </c>
    </row>
    <row r="5" spans="1:38" ht="16" thickBot="1" x14ac:dyDescent="0.25">
      <c r="A5" s="307"/>
      <c r="B5" s="177" t="s">
        <v>327</v>
      </c>
      <c r="C5" s="178">
        <v>2.5605205737137698E-3</v>
      </c>
      <c r="D5" s="178">
        <v>1.6447737079370701E-3</v>
      </c>
      <c r="E5" s="178">
        <v>1.51307498277967E-3</v>
      </c>
      <c r="F5" s="178">
        <v>7.8600464849444801E-4</v>
      </c>
      <c r="G5" s="178">
        <v>2.0735253829536901E-3</v>
      </c>
      <c r="H5" s="178">
        <v>1.1197581933498301E-3</v>
      </c>
      <c r="I5" s="178">
        <v>1.0102343246814901E-3</v>
      </c>
      <c r="J5" s="178">
        <v>7.23278764901663E-4</v>
      </c>
      <c r="K5" s="178">
        <v>4.3814907632701798E-4</v>
      </c>
      <c r="L5" s="178">
        <v>1.5694308012419601E-4</v>
      </c>
      <c r="M5" s="178">
        <v>8.0812903065836396E-5</v>
      </c>
      <c r="N5" s="178">
        <v>-4.96513310373826E-6</v>
      </c>
      <c r="O5" s="178">
        <v>-8.4116137412432594E-5</v>
      </c>
      <c r="P5" s="178">
        <v>-1.5725806043268001E-4</v>
      </c>
      <c r="Q5" s="178">
        <v>-2.2503538278523399E-4</v>
      </c>
      <c r="R5" s="178">
        <v>-2.8725628045343798E-4</v>
      </c>
      <c r="S5" s="178">
        <v>-3.4470279649563503E-4</v>
      </c>
      <c r="T5" s="178">
        <v>-3.9849583351838101E-4</v>
      </c>
      <c r="U5" s="178">
        <v>-4.4944828773349499E-4</v>
      </c>
      <c r="V5" s="178">
        <v>-4.9870075927057798E-4</v>
      </c>
      <c r="W5" s="178">
        <v>-5.4787942276427002E-4</v>
      </c>
      <c r="X5" s="178">
        <v>-5.9934629868387999E-4</v>
      </c>
      <c r="Y5" s="178">
        <v>-6.5506180761588798E-4</v>
      </c>
      <c r="Z5" s="178">
        <v>-7.1663422556957003E-4</v>
      </c>
      <c r="AA5" s="178">
        <v>-7.8456175389188905E-4</v>
      </c>
      <c r="AB5" s="178">
        <v>-8.5834541432437E-4</v>
      </c>
      <c r="AC5" s="178">
        <v>-9.3719936680439404E-4</v>
      </c>
      <c r="AD5" s="178">
        <v>-1.02080696975936E-3</v>
      </c>
      <c r="AE5" s="178">
        <v>-1.1079290629821101E-3</v>
      </c>
      <c r="AF5" s="178">
        <v>-1.1969211368621101E-3</v>
      </c>
      <c r="AG5" s="178">
        <v>-1.2867750672432301E-3</v>
      </c>
      <c r="AH5" s="178">
        <v>-1.37815371196277E-3</v>
      </c>
      <c r="AI5" s="178">
        <v>-1.4683932603586801E-3</v>
      </c>
      <c r="AJ5" s="178">
        <v>-1.5571676008297201E-3</v>
      </c>
      <c r="AK5" s="178">
        <v>-1.64449759391597E-3</v>
      </c>
      <c r="AL5" s="179">
        <v>-1.4775836907711399E-3</v>
      </c>
    </row>
    <row r="6" spans="1:38" ht="16" thickBot="1" x14ac:dyDescent="0.25"/>
    <row r="7" spans="1:38" ht="19" x14ac:dyDescent="0.25">
      <c r="A7" s="306" t="s">
        <v>26</v>
      </c>
      <c r="B7" s="306"/>
      <c r="C7" s="306"/>
      <c r="D7" s="306"/>
      <c r="E7" s="306"/>
      <c r="F7" s="306"/>
      <c r="G7" s="306"/>
      <c r="H7" s="306"/>
      <c r="I7" s="306"/>
      <c r="J7" s="306"/>
      <c r="K7" s="306"/>
      <c r="L7" s="306"/>
      <c r="M7" s="306"/>
      <c r="N7" s="306"/>
      <c r="O7" s="306"/>
      <c r="P7" s="306"/>
      <c r="Q7" s="306"/>
      <c r="R7" s="306"/>
      <c r="S7" s="306"/>
      <c r="T7" s="306"/>
      <c r="U7" s="306"/>
      <c r="V7" s="306"/>
      <c r="W7" s="306"/>
      <c r="X7" s="306"/>
      <c r="Y7" s="306"/>
      <c r="Z7" s="306"/>
      <c r="AA7" s="306"/>
      <c r="AB7" s="306"/>
      <c r="AC7" s="306"/>
      <c r="AD7" s="306"/>
      <c r="AE7" s="306"/>
      <c r="AF7" s="306"/>
      <c r="AG7" s="306"/>
      <c r="AH7" s="306"/>
      <c r="AI7" s="306"/>
      <c r="AJ7" s="306"/>
      <c r="AK7" s="306"/>
      <c r="AL7" s="306"/>
    </row>
    <row r="8" spans="1:38" x14ac:dyDescent="0.2">
      <c r="A8" s="180" t="s">
        <v>493</v>
      </c>
      <c r="B8" s="174" t="s">
        <v>28</v>
      </c>
      <c r="C8" s="175">
        <v>0.47359219000000002</v>
      </c>
      <c r="D8" s="181" t="s">
        <v>494</v>
      </c>
      <c r="E8" s="174" t="s">
        <v>28</v>
      </c>
      <c r="F8" s="175">
        <v>0.40700950000000002</v>
      </c>
      <c r="G8" s="308"/>
      <c r="H8" s="308"/>
      <c r="I8" s="308"/>
      <c r="J8" s="308"/>
      <c r="K8" s="308"/>
      <c r="L8" s="308"/>
      <c r="M8" s="308"/>
      <c r="N8" s="308"/>
      <c r="O8" s="308"/>
      <c r="P8" s="308"/>
      <c r="Q8" s="308"/>
      <c r="R8" s="308"/>
      <c r="S8" s="308"/>
      <c r="T8" s="308"/>
      <c r="U8" s="308"/>
      <c r="V8" s="308"/>
      <c r="W8" s="308"/>
      <c r="X8" s="308"/>
      <c r="Y8" s="308"/>
      <c r="Z8" s="308"/>
      <c r="AA8" s="308"/>
      <c r="AB8" s="308"/>
      <c r="AC8" s="308"/>
      <c r="AD8" s="308"/>
      <c r="AE8" s="308"/>
      <c r="AF8" s="308"/>
      <c r="AG8" s="308"/>
      <c r="AH8" s="308"/>
      <c r="AI8" s="308"/>
      <c r="AJ8" s="308"/>
      <c r="AK8" s="308"/>
      <c r="AL8" s="308"/>
    </row>
    <row r="9" spans="1:38" ht="16" thickBot="1" x14ac:dyDescent="0.25">
      <c r="A9" s="307" t="s">
        <v>495</v>
      </c>
      <c r="B9" s="174" t="s">
        <v>36</v>
      </c>
      <c r="C9" s="175">
        <v>2015</v>
      </c>
      <c r="D9" s="175">
        <v>2016</v>
      </c>
      <c r="E9" s="175">
        <v>2017</v>
      </c>
      <c r="F9" s="175">
        <v>2018</v>
      </c>
      <c r="G9" s="175">
        <v>2019</v>
      </c>
      <c r="H9" s="175">
        <v>2020</v>
      </c>
      <c r="I9" s="175">
        <v>2021</v>
      </c>
      <c r="J9" s="175">
        <v>2022</v>
      </c>
      <c r="K9" s="175">
        <v>2023</v>
      </c>
      <c r="L9" s="175">
        <v>2024</v>
      </c>
      <c r="M9" s="175">
        <v>2025</v>
      </c>
      <c r="N9" s="175">
        <v>2026</v>
      </c>
      <c r="O9" s="175">
        <v>2027</v>
      </c>
      <c r="P9" s="175">
        <v>2028</v>
      </c>
      <c r="Q9" s="175">
        <v>2029</v>
      </c>
      <c r="R9" s="175">
        <v>2030</v>
      </c>
      <c r="S9" s="175">
        <v>2031</v>
      </c>
      <c r="T9" s="175">
        <v>2032</v>
      </c>
      <c r="U9" s="175">
        <v>2033</v>
      </c>
      <c r="V9" s="175">
        <v>2034</v>
      </c>
      <c r="W9" s="175">
        <v>2035</v>
      </c>
      <c r="X9" s="175">
        <v>2036</v>
      </c>
      <c r="Y9" s="175">
        <v>2037</v>
      </c>
      <c r="Z9" s="175">
        <v>2038</v>
      </c>
      <c r="AA9" s="175">
        <v>2039</v>
      </c>
      <c r="AB9" s="175">
        <v>2040</v>
      </c>
      <c r="AC9" s="175">
        <v>2041</v>
      </c>
      <c r="AD9" s="175">
        <v>2042</v>
      </c>
      <c r="AE9" s="175">
        <v>2043</v>
      </c>
      <c r="AF9" s="175">
        <v>2044</v>
      </c>
      <c r="AG9" s="175">
        <v>2045</v>
      </c>
      <c r="AH9" s="175">
        <v>2046</v>
      </c>
      <c r="AI9" s="175">
        <v>2047</v>
      </c>
      <c r="AJ9" s="175">
        <v>2048</v>
      </c>
      <c r="AK9" s="175">
        <v>2049</v>
      </c>
      <c r="AL9" s="176">
        <v>2050</v>
      </c>
    </row>
    <row r="10" spans="1:38" ht="16" thickBot="1" x14ac:dyDescent="0.25">
      <c r="A10" s="307"/>
      <c r="B10" s="177" t="s">
        <v>327</v>
      </c>
      <c r="C10" s="178">
        <v>3.4236267870579401E-2</v>
      </c>
      <c r="D10" s="178">
        <v>2.54638050200073E-2</v>
      </c>
      <c r="E10" s="178">
        <v>4.0085136573252897E-2</v>
      </c>
      <c r="F10" s="178">
        <v>3.2742155525238702E-2</v>
      </c>
      <c r="G10" s="178">
        <v>3.3685601056803197E-2</v>
      </c>
      <c r="H10" s="178">
        <v>-4.1533546325878599E-2</v>
      </c>
      <c r="I10" s="178">
        <v>7.9333333333333297E-2</v>
      </c>
      <c r="J10" s="178">
        <v>3.5000000000000003E-2</v>
      </c>
      <c r="K10" s="178">
        <v>2.8118447301916299E-2</v>
      </c>
      <c r="L10" s="178">
        <v>2.7349423965407099E-2</v>
      </c>
      <c r="M10" s="178">
        <v>1.14814377510482E-2</v>
      </c>
      <c r="N10" s="178"/>
      <c r="O10" s="178"/>
      <c r="P10" s="178"/>
      <c r="Q10" s="178"/>
      <c r="R10" s="178">
        <v>1.1217229240813E-2</v>
      </c>
      <c r="S10" s="178">
        <v>1.0095506316731701E-2</v>
      </c>
      <c r="T10" s="178">
        <v>8.9737833926504008E-3</v>
      </c>
      <c r="U10" s="178">
        <v>7.8520604685691012E-3</v>
      </c>
      <c r="V10" s="178">
        <v>6.7303375444878015E-3</v>
      </c>
      <c r="W10" s="178">
        <v>5.6086146204065018E-3</v>
      </c>
      <c r="X10" s="178">
        <v>4.4868916963252022E-3</v>
      </c>
      <c r="Y10" s="178">
        <v>3.3651687722439021E-3</v>
      </c>
      <c r="Z10" s="178">
        <v>2.2434458481626019E-3</v>
      </c>
      <c r="AA10" s="178">
        <v>1.1217229240813018E-3</v>
      </c>
      <c r="AB10" s="178">
        <v>1.7347234759768071E-18</v>
      </c>
      <c r="AC10" s="178"/>
      <c r="AD10" s="178"/>
      <c r="AE10" s="178"/>
      <c r="AF10" s="178"/>
      <c r="AG10" s="178">
        <v>0</v>
      </c>
      <c r="AH10" s="178"/>
      <c r="AI10" s="178"/>
      <c r="AJ10" s="178"/>
      <c r="AK10" s="178"/>
      <c r="AL10" s="178">
        <v>0</v>
      </c>
    </row>
    <row r="13" spans="1:38" ht="27" thickBot="1" x14ac:dyDescent="0.35">
      <c r="A13" s="173" t="s">
        <v>496</v>
      </c>
    </row>
    <row r="14" spans="1:38" ht="19" x14ac:dyDescent="0.25">
      <c r="A14" s="306" t="s">
        <v>94</v>
      </c>
      <c r="B14" s="306"/>
      <c r="C14" s="306"/>
      <c r="D14" s="306"/>
      <c r="E14" s="306"/>
      <c r="F14" s="306"/>
      <c r="G14" s="306"/>
      <c r="H14" s="306"/>
      <c r="I14" s="306"/>
    </row>
    <row r="15" spans="1:38" x14ac:dyDescent="0.2">
      <c r="A15" s="182" t="s">
        <v>497</v>
      </c>
      <c r="B15" s="174" t="s">
        <v>36</v>
      </c>
      <c r="C15" s="175">
        <v>2020</v>
      </c>
      <c r="D15" s="175">
        <v>2025</v>
      </c>
      <c r="E15" s="175">
        <v>2030</v>
      </c>
      <c r="F15" s="175">
        <v>2035</v>
      </c>
      <c r="G15" s="175">
        <v>2040</v>
      </c>
      <c r="H15" s="175">
        <v>2045</v>
      </c>
      <c r="I15" s="176">
        <v>2050</v>
      </c>
      <c r="J15" s="84"/>
      <c r="K15" s="84"/>
      <c r="L15" s="84"/>
    </row>
    <row r="16" spans="1:38" x14ac:dyDescent="0.2">
      <c r="A16" s="182" t="s">
        <v>498</v>
      </c>
      <c r="B16" s="174" t="s">
        <v>499</v>
      </c>
      <c r="C16" s="183">
        <v>0.117609721833719</v>
      </c>
      <c r="D16" s="183">
        <v>0.12666478100790801</v>
      </c>
      <c r="E16" s="183">
        <v>0.12680502831330001</v>
      </c>
      <c r="F16" s="183">
        <v>0.135126859489025</v>
      </c>
      <c r="G16" s="183">
        <v>0.140282729162163</v>
      </c>
      <c r="H16" s="183">
        <v>0.14691683230125099</v>
      </c>
      <c r="I16" s="184">
        <v>0.148630915135189</v>
      </c>
      <c r="J16" s="84"/>
      <c r="K16" s="149"/>
      <c r="L16" s="84"/>
    </row>
    <row r="17" spans="1:17" x14ac:dyDescent="0.2">
      <c r="A17" s="182" t="s">
        <v>500</v>
      </c>
      <c r="B17" s="174" t="s">
        <v>499</v>
      </c>
      <c r="C17" s="183">
        <v>8.7847399999999996E-4</v>
      </c>
      <c r="D17" s="183">
        <v>1.1023999999999999E-3</v>
      </c>
      <c r="E17" s="183">
        <v>1.1333999999999999E-3</v>
      </c>
      <c r="F17" s="183">
        <v>2.0084823873528601E-3</v>
      </c>
      <c r="G17" s="183">
        <v>2.5763285102633998E-3</v>
      </c>
      <c r="H17" s="183">
        <v>2.9849759175701899E-3</v>
      </c>
      <c r="I17" s="184">
        <v>3.39362332487698E-3</v>
      </c>
      <c r="J17" s="84"/>
      <c r="K17" s="84"/>
      <c r="L17" s="84"/>
    </row>
    <row r="18" spans="1:17" x14ac:dyDescent="0.2">
      <c r="A18" s="182" t="s">
        <v>501</v>
      </c>
      <c r="B18" s="174" t="s">
        <v>499</v>
      </c>
      <c r="C18" s="183">
        <v>3.7452199999999998E-2</v>
      </c>
      <c r="D18" s="183">
        <v>4.3388000000000003E-2</v>
      </c>
      <c r="E18" s="183">
        <v>6.0691149999999999E-2</v>
      </c>
      <c r="F18" s="185">
        <v>8.9751650000000002E-2</v>
      </c>
      <c r="G18" s="185">
        <v>0.12725</v>
      </c>
      <c r="H18" s="185">
        <v>0.17690649999999999</v>
      </c>
      <c r="I18" s="184">
        <v>0.21185850000000001</v>
      </c>
      <c r="J18" s="84"/>
      <c r="K18" s="84"/>
      <c r="L18" s="84"/>
    </row>
    <row r="19" spans="1:17" x14ac:dyDescent="0.2">
      <c r="A19" s="182" t="s">
        <v>502</v>
      </c>
      <c r="B19" s="174" t="s">
        <v>499</v>
      </c>
      <c r="C19" s="183">
        <v>8.2990850000000003E-4</v>
      </c>
      <c r="D19" s="183">
        <v>4.4472499999999998E-3</v>
      </c>
      <c r="E19" s="183">
        <v>1.4096475000000001E-2</v>
      </c>
      <c r="F19" s="185">
        <v>2.5329250000000001E-2</v>
      </c>
      <c r="G19" s="185">
        <v>3.5816050000000002E-2</v>
      </c>
      <c r="H19" s="185">
        <v>4.635715E-2</v>
      </c>
      <c r="I19" s="184">
        <v>5.6209750000000003E-2</v>
      </c>
      <c r="J19" s="149"/>
      <c r="K19" s="84"/>
      <c r="L19" s="84"/>
    </row>
    <row r="20" spans="1:17" x14ac:dyDescent="0.2">
      <c r="A20" s="182" t="s">
        <v>503</v>
      </c>
      <c r="B20" s="174" t="s">
        <v>499</v>
      </c>
      <c r="C20" s="183">
        <v>0.14691412512684399</v>
      </c>
      <c r="D20" s="183">
        <v>0.25239406339701898</v>
      </c>
      <c r="E20" s="183">
        <v>0.35916242643610102</v>
      </c>
      <c r="F20" s="185">
        <v>0.52601522271031897</v>
      </c>
      <c r="G20" s="185">
        <v>0.67074123778229999</v>
      </c>
      <c r="H20" s="185">
        <v>0.89500098846317699</v>
      </c>
      <c r="I20" s="184">
        <v>1.0136221032222199</v>
      </c>
    </row>
    <row r="21" spans="1:17" x14ac:dyDescent="0.2">
      <c r="A21" s="182" t="s">
        <v>504</v>
      </c>
      <c r="B21" s="174" t="s">
        <v>499</v>
      </c>
      <c r="C21" s="183">
        <v>1.2102977262566801E-2</v>
      </c>
      <c r="D21" s="183">
        <v>2.9492097265481399E-2</v>
      </c>
      <c r="E21" s="183">
        <v>6.3893727199409098E-2</v>
      </c>
      <c r="F21" s="185">
        <v>0.105000218961605</v>
      </c>
      <c r="G21" s="185">
        <v>0.18685102234491399</v>
      </c>
      <c r="H21" s="185">
        <v>0.32496515717598701</v>
      </c>
      <c r="I21" s="184">
        <v>0.36298720878899499</v>
      </c>
      <c r="K21" s="84"/>
      <c r="L21" s="84"/>
    </row>
    <row r="22" spans="1:17" x14ac:dyDescent="0.2">
      <c r="A22" s="182" t="s">
        <v>505</v>
      </c>
      <c r="B22" s="174" t="s">
        <v>499</v>
      </c>
      <c r="C22" s="183">
        <v>0.125671151626567</v>
      </c>
      <c r="D22" s="183">
        <v>0.243542844662369</v>
      </c>
      <c r="E22" s="183">
        <v>0.38928583668669298</v>
      </c>
      <c r="F22" s="185">
        <v>0.54521201343152703</v>
      </c>
      <c r="G22" s="185">
        <v>0.75535138476672403</v>
      </c>
      <c r="H22" s="185">
        <v>0.97004701873674004</v>
      </c>
      <c r="I22" s="184">
        <v>1.1508685975069199</v>
      </c>
      <c r="K22" s="84"/>
      <c r="L22" s="84"/>
    </row>
    <row r="23" spans="1:17" x14ac:dyDescent="0.2">
      <c r="A23" s="182" t="s">
        <v>506</v>
      </c>
      <c r="B23" s="174" t="s">
        <v>499</v>
      </c>
      <c r="C23" s="183">
        <v>2.3287999999999998E-3</v>
      </c>
      <c r="D23" s="183">
        <v>4.9788000000000002E-3</v>
      </c>
      <c r="E23" s="183">
        <v>7.6287999999999998E-3</v>
      </c>
      <c r="F23" s="183">
        <v>9.2215999999999999E-3</v>
      </c>
      <c r="G23" s="183">
        <v>1.08144E-2</v>
      </c>
      <c r="H23" s="183">
        <v>1.24072E-2</v>
      </c>
      <c r="I23" s="186">
        <v>1.4E-2</v>
      </c>
    </row>
    <row r="24" spans="1:17" ht="15" customHeight="1" x14ac:dyDescent="0.2">
      <c r="A24" s="182" t="s">
        <v>507</v>
      </c>
      <c r="B24" s="174" t="s">
        <v>499</v>
      </c>
      <c r="C24" s="183">
        <v>4.4999999999999998E-2</v>
      </c>
      <c r="D24" s="183">
        <v>5.5E-2</v>
      </c>
      <c r="E24" s="183">
        <v>6.5000000000000002E-2</v>
      </c>
      <c r="F24" s="183">
        <v>6.5000000000000002E-2</v>
      </c>
      <c r="G24" s="183">
        <v>6.5000000000000002E-2</v>
      </c>
      <c r="H24" s="183">
        <v>6.5000000000000002E-2</v>
      </c>
      <c r="I24" s="184">
        <v>6.5000000000000002E-2</v>
      </c>
      <c r="J24" s="84"/>
      <c r="K24" s="84"/>
      <c r="L24" s="84"/>
    </row>
    <row r="25" spans="1:17" ht="15" customHeight="1" thickBot="1" x14ac:dyDescent="0.25">
      <c r="A25" s="187" t="s">
        <v>508</v>
      </c>
      <c r="B25" s="177" t="s">
        <v>327</v>
      </c>
      <c r="C25" s="178">
        <v>0.1</v>
      </c>
      <c r="D25" s="178">
        <v>0.1</v>
      </c>
      <c r="E25" s="178">
        <v>0.09</v>
      </c>
      <c r="F25" s="178">
        <v>0.08</v>
      </c>
      <c r="G25" s="178">
        <v>7.0000000000000007E-2</v>
      </c>
      <c r="H25" s="178">
        <v>0.06</v>
      </c>
      <c r="I25" s="179">
        <v>0.05</v>
      </c>
      <c r="J25" s="84"/>
      <c r="K25" s="84"/>
      <c r="L25" s="84"/>
    </row>
    <row r="26" spans="1:17" ht="15" customHeight="1" thickBot="1" x14ac:dyDescent="0.25">
      <c r="A26" s="187" t="s">
        <v>509</v>
      </c>
      <c r="B26" s="177" t="s">
        <v>327</v>
      </c>
      <c r="C26" s="188">
        <v>0.05</v>
      </c>
      <c r="D26" s="188">
        <v>0.05</v>
      </c>
      <c r="E26" s="188">
        <v>0.05</v>
      </c>
      <c r="F26" s="188">
        <v>0.05</v>
      </c>
      <c r="G26" s="188">
        <v>0.05</v>
      </c>
      <c r="H26" s="188">
        <v>4.4999999999999998E-2</v>
      </c>
      <c r="I26" s="188">
        <v>0.04</v>
      </c>
      <c r="J26" s="84"/>
      <c r="K26" s="84"/>
      <c r="L26" s="84"/>
    </row>
    <row r="27" spans="1:17" ht="19" x14ac:dyDescent="0.25">
      <c r="A27" s="306" t="s">
        <v>510</v>
      </c>
      <c r="B27" s="306"/>
      <c r="C27" s="306"/>
      <c r="D27" s="306"/>
      <c r="E27" s="306"/>
      <c r="F27" s="306"/>
      <c r="G27" s="306"/>
      <c r="H27" s="306"/>
      <c r="I27" s="306"/>
    </row>
    <row r="28" spans="1:17" x14ac:dyDescent="0.2">
      <c r="A28" s="189" t="s">
        <v>511</v>
      </c>
      <c r="B28" s="190" t="s">
        <v>146</v>
      </c>
      <c r="C28" s="191">
        <v>0</v>
      </c>
      <c r="D28" s="191">
        <v>0</v>
      </c>
      <c r="E28" s="191">
        <v>0</v>
      </c>
      <c r="F28" s="191">
        <v>0</v>
      </c>
      <c r="G28" s="191">
        <v>0</v>
      </c>
      <c r="H28" s="191">
        <v>0</v>
      </c>
      <c r="I28" s="191">
        <v>0</v>
      </c>
    </row>
    <row r="29" spans="1:17" ht="16" thickBot="1" x14ac:dyDescent="0.25">
      <c r="G29" s="192"/>
      <c r="I29" s="192"/>
      <c r="J29" s="84"/>
      <c r="K29" s="84"/>
      <c r="L29" s="84"/>
    </row>
    <row r="30" spans="1:17" ht="19" x14ac:dyDescent="0.25">
      <c r="A30" s="306" t="s">
        <v>129</v>
      </c>
      <c r="B30" s="306"/>
      <c r="C30" s="306"/>
      <c r="D30" s="84"/>
      <c r="E30" s="84"/>
      <c r="F30" s="84"/>
      <c r="G30" s="84"/>
      <c r="H30" s="84"/>
      <c r="I30" s="149"/>
      <c r="J30" s="84"/>
      <c r="K30" s="84"/>
      <c r="L30" s="84"/>
      <c r="M30" s="84"/>
      <c r="N30" s="84"/>
      <c r="O30" s="84"/>
      <c r="P30" s="84"/>
      <c r="Q30" s="84"/>
    </row>
    <row r="31" spans="1:17" ht="16" x14ac:dyDescent="0.2">
      <c r="A31" s="309" t="s">
        <v>512</v>
      </c>
      <c r="B31" s="309"/>
      <c r="C31" s="309"/>
      <c r="E31" s="84"/>
      <c r="F31" s="84"/>
      <c r="G31" s="84"/>
      <c r="H31" s="149"/>
      <c r="I31" s="84"/>
      <c r="L31" s="79"/>
    </row>
    <row r="32" spans="1:17" x14ac:dyDescent="0.2">
      <c r="A32" s="182" t="s">
        <v>513</v>
      </c>
      <c r="B32" s="174" t="s">
        <v>514</v>
      </c>
      <c r="C32" s="193">
        <v>0.1</v>
      </c>
      <c r="H32" s="149"/>
      <c r="K32" s="51"/>
      <c r="M32" s="84"/>
    </row>
    <row r="33" spans="1:51" x14ac:dyDescent="0.2">
      <c r="A33" s="182" t="s">
        <v>515</v>
      </c>
      <c r="B33" s="174" t="s">
        <v>36</v>
      </c>
      <c r="C33" s="176">
        <v>2035</v>
      </c>
      <c r="E33" s="84"/>
      <c r="F33" s="84"/>
      <c r="G33" s="84"/>
      <c r="H33" s="149"/>
      <c r="I33" s="84"/>
      <c r="J33" s="66"/>
    </row>
    <row r="34" spans="1:51" x14ac:dyDescent="0.2">
      <c r="A34" s="182" t="s">
        <v>516</v>
      </c>
      <c r="B34" s="174" t="s">
        <v>514</v>
      </c>
      <c r="C34" s="194">
        <v>0.25</v>
      </c>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c r="AO34" s="84"/>
      <c r="AP34" s="84"/>
      <c r="AQ34" s="84"/>
      <c r="AR34" s="84"/>
      <c r="AS34" s="84"/>
      <c r="AT34" s="84"/>
      <c r="AU34" s="84"/>
      <c r="AV34" s="84"/>
      <c r="AW34" s="84"/>
      <c r="AX34" s="84"/>
    </row>
    <row r="35" spans="1:51" ht="16" x14ac:dyDescent="0.2">
      <c r="A35" s="309" t="s">
        <v>517</v>
      </c>
      <c r="B35" s="309"/>
      <c r="C35" s="309"/>
      <c r="E35" s="84"/>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c r="AW35" s="84"/>
      <c r="AX35" s="84"/>
    </row>
    <row r="36" spans="1:51" x14ac:dyDescent="0.2">
      <c r="A36" s="182" t="s">
        <v>518</v>
      </c>
      <c r="B36" s="174" t="s">
        <v>36</v>
      </c>
      <c r="C36" s="176">
        <v>2020</v>
      </c>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84"/>
      <c r="AU36" s="84"/>
      <c r="AV36" s="84"/>
      <c r="AW36" s="84"/>
      <c r="AX36" s="84"/>
    </row>
    <row r="37" spans="1:51" x14ac:dyDescent="0.2">
      <c r="A37" s="182" t="s">
        <v>519</v>
      </c>
      <c r="B37" s="174" t="s">
        <v>28</v>
      </c>
      <c r="C37" s="176">
        <v>0.25</v>
      </c>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row>
    <row r="38" spans="1:51" x14ac:dyDescent="0.2">
      <c r="A38" s="182" t="s">
        <v>520</v>
      </c>
      <c r="B38" s="174" t="s">
        <v>514</v>
      </c>
      <c r="C38" s="194">
        <v>-6.4505437730296702E-3</v>
      </c>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84"/>
      <c r="AW38" s="84"/>
      <c r="AX38" s="84"/>
    </row>
    <row r="39" spans="1:51" x14ac:dyDescent="0.2">
      <c r="A39" s="182" t="s">
        <v>521</v>
      </c>
      <c r="B39" s="174" t="s">
        <v>36</v>
      </c>
      <c r="C39" s="176">
        <v>2020</v>
      </c>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4"/>
      <c r="AM39" s="84"/>
      <c r="AN39" s="84"/>
      <c r="AO39" s="84"/>
      <c r="AP39" s="84"/>
      <c r="AQ39" s="84"/>
      <c r="AR39" s="84"/>
      <c r="AS39" s="84"/>
      <c r="AT39" s="84"/>
      <c r="AU39" s="84"/>
      <c r="AV39" s="84"/>
      <c r="AW39" s="84"/>
      <c r="AX39" s="84"/>
    </row>
    <row r="40" spans="1:51" x14ac:dyDescent="0.2">
      <c r="A40" s="182" t="s">
        <v>522</v>
      </c>
      <c r="B40" s="174" t="s">
        <v>514</v>
      </c>
      <c r="C40" s="194">
        <v>3.4950074489999997E-2</v>
      </c>
      <c r="D40" s="84"/>
      <c r="E40" s="84"/>
      <c r="F40" s="84"/>
      <c r="G40" s="84"/>
      <c r="H40" s="84"/>
      <c r="I40" s="84"/>
      <c r="J40" s="84"/>
      <c r="K40" s="84"/>
      <c r="L40" s="84"/>
      <c r="M40" s="84"/>
      <c r="N40" s="84"/>
      <c r="O40" s="84"/>
      <c r="P40" s="84"/>
      <c r="Q40" s="84"/>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row>
    <row r="41" spans="1:51" ht="16" x14ac:dyDescent="0.2">
      <c r="A41" s="309" t="s">
        <v>143</v>
      </c>
      <c r="B41" s="309"/>
      <c r="C41" s="309"/>
      <c r="D41" s="84"/>
      <c r="E41" s="84"/>
      <c r="F41" s="84"/>
      <c r="G41" s="84"/>
      <c r="H41" s="84"/>
      <c r="I41" s="84"/>
      <c r="J41" s="84"/>
      <c r="K41" s="84"/>
      <c r="L41" s="84"/>
      <c r="M41" s="84"/>
      <c r="N41" s="84"/>
      <c r="O41" s="84"/>
      <c r="P41" s="84"/>
      <c r="Q41" s="84"/>
      <c r="R41" s="84"/>
      <c r="S41" s="84"/>
      <c r="T41" s="84"/>
      <c r="U41" s="84"/>
      <c r="V41" s="84"/>
      <c r="W41" s="84"/>
      <c r="X41" s="84"/>
      <c r="Y41" s="84"/>
      <c r="Z41" s="84"/>
      <c r="AA41" s="84"/>
      <c r="AB41" s="84"/>
      <c r="AC41" s="84"/>
      <c r="AD41" s="84"/>
      <c r="AE41" s="84"/>
      <c r="AF41" s="84"/>
      <c r="AG41" s="84"/>
      <c r="AH41" s="84"/>
      <c r="AI41" s="84"/>
      <c r="AJ41" s="84"/>
      <c r="AK41" s="84"/>
      <c r="AL41" s="84"/>
      <c r="AM41" s="84"/>
      <c r="AN41" s="84"/>
      <c r="AO41" s="84"/>
      <c r="AP41" s="84"/>
      <c r="AQ41" s="84"/>
      <c r="AR41" s="84"/>
      <c r="AS41" s="84"/>
      <c r="AT41" s="84"/>
      <c r="AU41" s="84"/>
      <c r="AV41" s="84"/>
      <c r="AW41" s="84"/>
      <c r="AX41" s="84"/>
    </row>
    <row r="42" spans="1:51" ht="16" thickBot="1" x14ac:dyDescent="0.25">
      <c r="A42" s="187" t="s">
        <v>523</v>
      </c>
      <c r="B42" s="177" t="s">
        <v>514</v>
      </c>
      <c r="C42" s="195">
        <v>0.02</v>
      </c>
      <c r="D42" s="84"/>
      <c r="E42" s="84"/>
      <c r="F42" s="84"/>
      <c r="G42" s="84"/>
      <c r="H42" s="84"/>
      <c r="I42" s="84"/>
      <c r="J42" s="84"/>
      <c r="K42" s="84"/>
      <c r="L42" s="84"/>
      <c r="M42" s="84"/>
      <c r="N42" s="84"/>
      <c r="O42" s="84"/>
      <c r="P42" s="84"/>
      <c r="Q42" s="84"/>
      <c r="R42" s="84"/>
      <c r="S42" s="84"/>
      <c r="T42" s="84"/>
      <c r="U42" s="84"/>
      <c r="V42" s="84"/>
      <c r="W42" s="84"/>
      <c r="X42" s="84"/>
      <c r="Y42" s="84"/>
      <c r="Z42" s="84"/>
      <c r="AA42" s="84"/>
      <c r="AB42" s="84"/>
      <c r="AC42" s="84"/>
      <c r="AD42" s="84"/>
      <c r="AE42" s="84"/>
      <c r="AF42" s="84"/>
      <c r="AG42" s="84"/>
      <c r="AH42" s="84"/>
      <c r="AI42" s="84"/>
      <c r="AJ42" s="84"/>
      <c r="AK42" s="84"/>
      <c r="AL42" s="84"/>
      <c r="AM42" s="84"/>
      <c r="AN42" s="84"/>
      <c r="AO42" s="84"/>
      <c r="AP42" s="84"/>
      <c r="AQ42" s="84"/>
      <c r="AR42" s="84"/>
      <c r="AS42" s="84"/>
      <c r="AT42" s="84"/>
      <c r="AU42" s="84"/>
      <c r="AV42" s="84"/>
      <c r="AW42" s="84"/>
      <c r="AX42" s="84"/>
    </row>
    <row r="44" spans="1:51" ht="19" x14ac:dyDescent="0.25">
      <c r="A44" s="306" t="s">
        <v>144</v>
      </c>
      <c r="B44" s="306"/>
      <c r="C44" s="306"/>
      <c r="D44" s="84"/>
      <c r="H44" s="84"/>
      <c r="I44" s="84"/>
      <c r="J44" s="84"/>
      <c r="K44" s="84"/>
      <c r="L44" s="84"/>
      <c r="M44" s="84"/>
      <c r="N44" s="84"/>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c r="AS44" s="84"/>
      <c r="AT44" s="84"/>
      <c r="AU44" s="84"/>
      <c r="AV44" s="84"/>
      <c r="AW44" s="84"/>
      <c r="AX44" s="84"/>
    </row>
    <row r="45" spans="1:51" ht="16" thickBot="1" x14ac:dyDescent="0.25">
      <c r="A45" s="187" t="s">
        <v>524</v>
      </c>
      <c r="B45" s="177" t="s">
        <v>514</v>
      </c>
      <c r="C45" s="195">
        <v>-1.5900000000000001E-2</v>
      </c>
      <c r="D45" s="84"/>
      <c r="E45" s="84"/>
      <c r="F45" s="84"/>
      <c r="G45" s="84"/>
      <c r="H45" s="84"/>
      <c r="I45" s="84"/>
      <c r="J45" s="84"/>
      <c r="K45" s="84"/>
      <c r="L45" s="84"/>
      <c r="M45" s="84"/>
      <c r="N45" s="84"/>
      <c r="O45" s="84"/>
      <c r="P45" s="84"/>
      <c r="Q45" s="84"/>
      <c r="R45" s="84"/>
      <c r="S45" s="84"/>
      <c r="T45" s="84"/>
      <c r="U45" s="84"/>
      <c r="V45" s="84"/>
      <c r="W45" s="84"/>
      <c r="X45" s="84"/>
      <c r="Y45" s="84"/>
      <c r="Z45" s="84"/>
      <c r="AA45" s="84"/>
      <c r="AB45" s="84"/>
      <c r="AC45" s="84"/>
      <c r="AD45" s="84"/>
      <c r="AE45" s="84"/>
      <c r="AF45" s="84"/>
      <c r="AG45" s="84"/>
      <c r="AH45" s="84"/>
      <c r="AI45" s="84"/>
      <c r="AJ45" s="84"/>
      <c r="AK45" s="84"/>
      <c r="AL45" s="84"/>
      <c r="AM45" s="84"/>
      <c r="AN45" s="84"/>
      <c r="AO45" s="84"/>
      <c r="AP45" s="84"/>
      <c r="AQ45" s="84"/>
      <c r="AR45" s="84"/>
      <c r="AS45" s="84"/>
      <c r="AT45" s="84"/>
      <c r="AU45" s="84"/>
      <c r="AV45" s="84"/>
      <c r="AW45" s="84"/>
      <c r="AX45" s="84"/>
      <c r="AY45" s="84"/>
    </row>
    <row r="47" spans="1:51" ht="19" x14ac:dyDescent="0.25">
      <c r="A47" s="306" t="s">
        <v>157</v>
      </c>
      <c r="B47" s="306"/>
      <c r="C47" s="306"/>
      <c r="D47" s="84"/>
      <c r="E47" s="84"/>
      <c r="F47" s="84"/>
      <c r="G47" s="84"/>
      <c r="H47" s="84"/>
      <c r="I47" s="84"/>
      <c r="J47" s="84"/>
      <c r="K47" s="84"/>
      <c r="L47" s="84"/>
      <c r="M47" s="84"/>
      <c r="N47" s="84"/>
      <c r="O47" s="84"/>
      <c r="P47" s="84"/>
      <c r="Q47" s="84"/>
      <c r="R47" s="84"/>
      <c r="S47" s="84"/>
      <c r="T47" s="84"/>
      <c r="U47" s="84"/>
      <c r="V47" s="84"/>
      <c r="W47" s="84"/>
      <c r="X47" s="84"/>
      <c r="Y47" s="84"/>
      <c r="Z47" s="84"/>
      <c r="AA47" s="84"/>
      <c r="AB47" s="84"/>
      <c r="AC47" s="84"/>
      <c r="AD47" s="84"/>
      <c r="AE47" s="84"/>
      <c r="AF47" s="84"/>
      <c r="AG47" s="84"/>
      <c r="AH47" s="84"/>
      <c r="AI47" s="84"/>
      <c r="AJ47" s="84"/>
      <c r="AK47" s="84"/>
      <c r="AL47" s="84"/>
      <c r="AM47" s="84"/>
      <c r="AN47" s="84"/>
      <c r="AO47" s="84"/>
      <c r="AP47" s="84"/>
      <c r="AQ47" s="84"/>
      <c r="AR47" s="84"/>
      <c r="AS47" s="84"/>
      <c r="AT47" s="84"/>
      <c r="AU47" s="84"/>
      <c r="AV47" s="84"/>
      <c r="AW47" s="84"/>
      <c r="AX47" s="84"/>
      <c r="AY47" s="84"/>
    </row>
    <row r="48" spans="1:51" x14ac:dyDescent="0.2">
      <c r="A48" s="182" t="s">
        <v>525</v>
      </c>
      <c r="B48" s="174" t="s">
        <v>36</v>
      </c>
      <c r="C48" s="176">
        <v>2020</v>
      </c>
      <c r="D48" s="84"/>
      <c r="E48" s="84"/>
      <c r="F48" s="84"/>
      <c r="G48" s="84"/>
      <c r="H48" s="84"/>
      <c r="I48" s="84"/>
      <c r="J48" s="84"/>
      <c r="K48" s="84"/>
      <c r="L48" s="84"/>
      <c r="M48" s="84"/>
      <c r="N48" s="84"/>
      <c r="O48" s="84"/>
      <c r="P48" s="84"/>
      <c r="Q48" s="84"/>
      <c r="R48" s="84"/>
      <c r="S48" s="84"/>
      <c r="T48" s="84"/>
      <c r="U48" s="84"/>
      <c r="V48" s="84"/>
      <c r="W48" s="84"/>
      <c r="X48" s="84"/>
      <c r="Y48" s="84"/>
      <c r="Z48" s="84"/>
      <c r="AA48" s="84"/>
      <c r="AB48" s="84"/>
      <c r="AC48" s="84"/>
      <c r="AD48" s="84"/>
      <c r="AE48" s="84"/>
      <c r="AF48" s="84"/>
      <c r="AG48" s="84"/>
      <c r="AH48" s="84"/>
      <c r="AI48" s="84"/>
      <c r="AJ48" s="84"/>
      <c r="AK48" s="84"/>
      <c r="AL48" s="84"/>
      <c r="AM48" s="84"/>
      <c r="AN48" s="84"/>
      <c r="AO48" s="84"/>
      <c r="AP48" s="84"/>
      <c r="AQ48" s="84"/>
      <c r="AR48" s="84"/>
      <c r="AS48" s="84"/>
      <c r="AT48" s="84"/>
      <c r="AU48" s="84"/>
      <c r="AV48" s="84"/>
      <c r="AW48" s="84"/>
      <c r="AX48" s="84"/>
      <c r="AY48" s="84"/>
    </row>
    <row r="49" spans="1:51" x14ac:dyDescent="0.2">
      <c r="A49" s="182" t="s">
        <v>526</v>
      </c>
      <c r="B49" s="174" t="s">
        <v>36</v>
      </c>
      <c r="C49" s="176">
        <v>2050</v>
      </c>
      <c r="D49" s="84"/>
      <c r="E49" s="84"/>
      <c r="F49" s="84"/>
      <c r="G49" s="84"/>
      <c r="H49" s="84"/>
      <c r="I49" s="84"/>
      <c r="J49" s="84"/>
      <c r="K49" s="84"/>
      <c r="L49" s="84"/>
      <c r="M49" s="84"/>
      <c r="N49" s="84"/>
      <c r="O49" s="84"/>
      <c r="P49" s="84"/>
      <c r="Q49" s="84"/>
      <c r="R49" s="84"/>
      <c r="S49" s="84"/>
      <c r="T49" s="84"/>
      <c r="U49" s="84"/>
      <c r="V49" s="84"/>
      <c r="W49" s="84"/>
      <c r="X49" s="84"/>
      <c r="Y49" s="84"/>
      <c r="Z49" s="84"/>
      <c r="AA49" s="84"/>
      <c r="AB49" s="84"/>
      <c r="AC49" s="84"/>
      <c r="AD49" s="84"/>
      <c r="AE49" s="84"/>
      <c r="AF49" s="84"/>
      <c r="AG49" s="84"/>
      <c r="AH49" s="84"/>
      <c r="AI49" s="84"/>
      <c r="AJ49" s="84"/>
      <c r="AK49" s="84"/>
      <c r="AL49" s="84"/>
      <c r="AM49" s="84"/>
      <c r="AN49" s="84"/>
      <c r="AO49" s="84"/>
      <c r="AP49" s="84"/>
      <c r="AQ49" s="84"/>
      <c r="AR49" s="84"/>
      <c r="AS49" s="84"/>
      <c r="AT49" s="84"/>
      <c r="AU49" s="84"/>
      <c r="AV49" s="84"/>
      <c r="AW49" s="84"/>
      <c r="AX49" s="84"/>
      <c r="AY49" s="84"/>
    </row>
    <row r="50" spans="1:51" x14ac:dyDescent="0.2">
      <c r="A50" s="182" t="s">
        <v>527</v>
      </c>
      <c r="B50" s="174" t="s">
        <v>514</v>
      </c>
      <c r="C50" s="194">
        <v>0.17150000000000001</v>
      </c>
      <c r="D50" s="84"/>
      <c r="E50" s="84"/>
      <c r="F50" s="84"/>
      <c r="G50" s="84"/>
      <c r="H50" s="84"/>
      <c r="I50" s="84"/>
      <c r="J50" s="84"/>
      <c r="K50" s="84"/>
      <c r="L50" s="84"/>
      <c r="M50" s="84"/>
      <c r="N50" s="84"/>
      <c r="O50" s="84"/>
      <c r="P50" s="84"/>
      <c r="Q50" s="84"/>
      <c r="R50" s="84"/>
      <c r="S50" s="84"/>
      <c r="T50" s="84"/>
      <c r="U50" s="84"/>
      <c r="V50" s="84"/>
      <c r="W50" s="84"/>
      <c r="X50" s="84"/>
      <c r="Y50" s="84"/>
      <c r="Z50" s="84"/>
      <c r="AA50" s="84"/>
      <c r="AB50" s="84"/>
      <c r="AC50" s="84"/>
      <c r="AD50" s="84"/>
      <c r="AE50" s="84"/>
      <c r="AF50" s="84"/>
      <c r="AG50" s="84"/>
      <c r="AH50" s="84"/>
      <c r="AI50" s="84"/>
      <c r="AJ50" s="84"/>
      <c r="AK50" s="84"/>
      <c r="AL50" s="84"/>
      <c r="AM50" s="84"/>
      <c r="AN50" s="84"/>
      <c r="AO50" s="84"/>
      <c r="AP50" s="84"/>
      <c r="AQ50" s="84"/>
      <c r="AR50" s="84"/>
      <c r="AS50" s="84"/>
      <c r="AT50" s="84"/>
      <c r="AU50" s="84"/>
      <c r="AV50" s="84"/>
      <c r="AW50" s="84"/>
      <c r="AX50" s="84"/>
      <c r="AY50" s="84"/>
    </row>
    <row r="51" spans="1:51" x14ac:dyDescent="0.2">
      <c r="A51" s="182" t="s">
        <v>528</v>
      </c>
      <c r="B51" s="174" t="s">
        <v>514</v>
      </c>
      <c r="C51" s="194">
        <v>3.8699999999999998E-2</v>
      </c>
      <c r="D51" s="84"/>
      <c r="E51" s="84"/>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c r="AL51" s="84"/>
      <c r="AM51" s="84"/>
      <c r="AN51" s="84"/>
      <c r="AO51" s="84"/>
      <c r="AP51" s="84"/>
      <c r="AQ51" s="84"/>
      <c r="AR51" s="84"/>
      <c r="AS51" s="84"/>
      <c r="AT51" s="84"/>
      <c r="AU51" s="84"/>
      <c r="AV51" s="84"/>
      <c r="AW51" s="84"/>
      <c r="AX51" s="84"/>
      <c r="AY51" s="84"/>
    </row>
    <row r="52" spans="1:51" ht="16" thickBot="1" x14ac:dyDescent="0.25">
      <c r="A52" s="187" t="s">
        <v>529</v>
      </c>
      <c r="B52" s="177" t="s">
        <v>514</v>
      </c>
      <c r="C52" s="196">
        <v>0.01</v>
      </c>
      <c r="D52" s="196">
        <v>-6.2799999999999995E-2</v>
      </c>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c r="AN52" s="84"/>
      <c r="AO52" s="84"/>
      <c r="AP52" s="84"/>
      <c r="AQ52" s="84"/>
      <c r="AR52" s="84"/>
      <c r="AS52" s="84"/>
      <c r="AT52" s="84"/>
      <c r="AU52" s="84"/>
      <c r="AV52" s="84"/>
      <c r="AW52" s="84"/>
      <c r="AX52" s="84"/>
      <c r="AY52" s="84"/>
    </row>
    <row r="53" spans="1:51" ht="19" x14ac:dyDescent="0.25">
      <c r="A53" s="306" t="s">
        <v>530</v>
      </c>
      <c r="B53" s="306"/>
      <c r="C53" s="306"/>
      <c r="D53" s="84"/>
      <c r="E53" s="84"/>
      <c r="F53" s="84"/>
      <c r="G53" s="84"/>
      <c r="H53" s="84"/>
      <c r="I53" s="84"/>
      <c r="J53" s="84"/>
      <c r="K53" s="84"/>
      <c r="L53" s="84"/>
      <c r="M53" s="84"/>
      <c r="N53" s="84"/>
      <c r="O53" s="84"/>
      <c r="P53" s="84"/>
      <c r="Q53" s="84"/>
      <c r="R53" s="84"/>
      <c r="S53" s="84"/>
      <c r="T53" s="84"/>
      <c r="U53" s="84"/>
      <c r="V53" s="84"/>
      <c r="W53" s="84"/>
      <c r="X53" s="84"/>
      <c r="Y53" s="84"/>
      <c r="Z53" s="84"/>
      <c r="AA53" s="84"/>
      <c r="AB53" s="84"/>
      <c r="AC53" s="84"/>
      <c r="AD53" s="84"/>
      <c r="AE53" s="84"/>
      <c r="AF53" s="84"/>
      <c r="AG53" s="84"/>
      <c r="AH53" s="84"/>
      <c r="AI53" s="84"/>
      <c r="AJ53" s="84"/>
      <c r="AK53" s="84"/>
      <c r="AL53" s="84"/>
      <c r="AM53" s="84"/>
      <c r="AN53" s="84"/>
      <c r="AO53" s="84"/>
      <c r="AP53" s="84"/>
      <c r="AQ53" s="84"/>
      <c r="AR53" s="84"/>
      <c r="AS53" s="84"/>
      <c r="AT53" s="84"/>
      <c r="AU53" s="84"/>
      <c r="AV53" s="84"/>
      <c r="AW53" s="84"/>
      <c r="AX53" s="84"/>
      <c r="AY53" s="84"/>
    </row>
    <row r="54" spans="1:51" x14ac:dyDescent="0.2">
      <c r="A54" s="197" t="s">
        <v>531</v>
      </c>
      <c r="B54" s="174" t="s">
        <v>36</v>
      </c>
      <c r="C54" s="175">
        <v>2050</v>
      </c>
      <c r="D54" s="84"/>
      <c r="E54" s="84"/>
      <c r="F54" s="84"/>
      <c r="G54" s="84"/>
      <c r="H54" s="84"/>
      <c r="I54" s="84"/>
      <c r="J54" s="84"/>
      <c r="K54" s="84"/>
      <c r="L54" s="84"/>
      <c r="M54" s="84"/>
      <c r="N54" s="84"/>
      <c r="O54" s="84"/>
      <c r="P54" s="84"/>
      <c r="Q54" s="84"/>
      <c r="R54" s="84"/>
      <c r="S54" s="84"/>
      <c r="T54" s="84"/>
      <c r="U54" s="84"/>
      <c r="V54" s="84"/>
      <c r="W54" s="84"/>
      <c r="X54" s="84"/>
      <c r="Y54" s="84"/>
      <c r="Z54" s="84"/>
      <c r="AA54" s="84"/>
      <c r="AB54" s="84"/>
      <c r="AC54" s="84"/>
      <c r="AD54" s="84"/>
      <c r="AE54" s="84"/>
      <c r="AF54" s="84"/>
      <c r="AG54" s="84"/>
      <c r="AH54" s="84"/>
      <c r="AI54" s="84"/>
      <c r="AJ54" s="84"/>
      <c r="AK54" s="84"/>
      <c r="AL54" s="84"/>
      <c r="AM54" s="84"/>
      <c r="AN54" s="84"/>
      <c r="AO54" s="84"/>
      <c r="AP54" s="84"/>
      <c r="AQ54" s="84"/>
      <c r="AR54" s="84"/>
      <c r="AS54" s="84"/>
      <c r="AT54" s="84"/>
      <c r="AU54" s="84"/>
      <c r="AV54" s="84"/>
      <c r="AW54" s="84"/>
      <c r="AX54" s="84"/>
      <c r="AY54" s="84"/>
    </row>
    <row r="55" spans="1:51" x14ac:dyDescent="0.2">
      <c r="A55" s="197" t="s">
        <v>532</v>
      </c>
      <c r="B55" s="174" t="s">
        <v>533</v>
      </c>
      <c r="C55" s="198">
        <v>0</v>
      </c>
      <c r="D55" s="84"/>
      <c r="E55" s="84"/>
      <c r="F55" s="84"/>
      <c r="G55" s="84"/>
      <c r="H55" s="84"/>
      <c r="I55" s="84"/>
      <c r="J55" s="84"/>
      <c r="K55" s="84"/>
      <c r="L55" s="84"/>
      <c r="M55" s="84"/>
      <c r="N55" s="84"/>
      <c r="O55" s="84"/>
      <c r="P55" s="84"/>
      <c r="Q55" s="84"/>
      <c r="R55" s="84"/>
      <c r="S55" s="84"/>
      <c r="T55" s="84"/>
      <c r="U55" s="84"/>
      <c r="V55" s="84"/>
      <c r="W55" s="84"/>
      <c r="X55" s="84"/>
      <c r="Y55" s="84"/>
      <c r="Z55" s="84"/>
      <c r="AA55" s="84"/>
      <c r="AB55" s="84"/>
      <c r="AC55" s="84"/>
      <c r="AD55" s="84"/>
      <c r="AE55" s="84"/>
      <c r="AF55" s="84"/>
      <c r="AG55" s="84"/>
      <c r="AH55" s="84"/>
      <c r="AI55" s="84"/>
      <c r="AJ55" s="84"/>
      <c r="AK55" s="84"/>
      <c r="AL55" s="84"/>
      <c r="AM55" s="84"/>
      <c r="AN55" s="84"/>
      <c r="AO55" s="84"/>
      <c r="AP55" s="84"/>
      <c r="AQ55" s="84"/>
      <c r="AR55" s="84"/>
      <c r="AS55" s="84"/>
      <c r="AT55" s="84"/>
      <c r="AU55" s="84"/>
      <c r="AV55" s="84"/>
      <c r="AW55" s="84"/>
      <c r="AX55" s="84"/>
      <c r="AY55" s="84"/>
    </row>
    <row r="56" spans="1:51" x14ac:dyDescent="0.2">
      <c r="A56" s="197" t="s">
        <v>534</v>
      </c>
      <c r="B56" s="174" t="s">
        <v>533</v>
      </c>
      <c r="C56" s="198">
        <v>0</v>
      </c>
      <c r="D56" s="84"/>
      <c r="E56" s="84"/>
      <c r="F56" s="84"/>
      <c r="G56" s="84"/>
      <c r="H56" s="84"/>
      <c r="I56" s="84"/>
      <c r="J56" s="84"/>
      <c r="K56" s="84"/>
      <c r="L56" s="84"/>
      <c r="M56" s="84"/>
      <c r="N56" s="84"/>
      <c r="O56" s="84"/>
      <c r="P56" s="84"/>
      <c r="Q56" s="84"/>
      <c r="R56" s="84"/>
      <c r="S56" s="84"/>
      <c r="T56" s="84"/>
      <c r="U56" s="84"/>
      <c r="V56" s="84"/>
      <c r="W56" s="84"/>
      <c r="X56" s="84"/>
      <c r="Y56" s="84"/>
      <c r="Z56" s="84"/>
      <c r="AA56" s="84"/>
      <c r="AB56" s="84"/>
      <c r="AC56" s="84"/>
      <c r="AD56" s="84"/>
      <c r="AE56" s="84"/>
      <c r="AF56" s="84"/>
      <c r="AG56" s="84"/>
      <c r="AH56" s="84"/>
      <c r="AI56" s="84"/>
      <c r="AJ56" s="84"/>
      <c r="AK56" s="84"/>
      <c r="AL56" s="84"/>
      <c r="AM56" s="84"/>
      <c r="AN56" s="84"/>
      <c r="AO56" s="84"/>
      <c r="AP56" s="84"/>
      <c r="AQ56" s="84"/>
      <c r="AR56" s="84"/>
      <c r="AS56" s="84"/>
      <c r="AT56" s="84"/>
      <c r="AU56" s="84"/>
      <c r="AV56" s="84"/>
      <c r="AW56" s="84"/>
      <c r="AX56" s="84"/>
      <c r="AY56" s="84"/>
    </row>
    <row r="57" spans="1:51" x14ac:dyDescent="0.2">
      <c r="A57" s="197" t="s">
        <v>535</v>
      </c>
      <c r="B57" s="174" t="s">
        <v>533</v>
      </c>
      <c r="C57" s="198">
        <v>0.1</v>
      </c>
      <c r="D57" s="84"/>
      <c r="E57" s="84"/>
      <c r="F57" s="84"/>
      <c r="G57" s="84"/>
      <c r="H57" s="84"/>
      <c r="I57" s="84"/>
      <c r="J57" s="84"/>
      <c r="K57" s="84"/>
      <c r="L57" s="84"/>
      <c r="M57" s="84"/>
      <c r="N57" s="84"/>
      <c r="O57" s="84"/>
      <c r="P57" s="84"/>
      <c r="Q57" s="84"/>
      <c r="R57" s="84"/>
      <c r="S57" s="84"/>
      <c r="T57" s="84"/>
      <c r="U57" s="84"/>
      <c r="V57" s="84"/>
      <c r="W57" s="84"/>
      <c r="X57" s="84"/>
      <c r="Y57" s="84"/>
      <c r="Z57" s="84"/>
      <c r="AA57" s="84"/>
      <c r="AB57" s="84"/>
      <c r="AC57" s="84"/>
      <c r="AD57" s="84"/>
      <c r="AE57" s="84"/>
      <c r="AF57" s="84"/>
      <c r="AG57" s="84"/>
      <c r="AH57" s="84"/>
      <c r="AI57" s="84"/>
      <c r="AJ57" s="84"/>
      <c r="AK57" s="84"/>
      <c r="AL57" s="84"/>
      <c r="AM57" s="84"/>
      <c r="AN57" s="84"/>
      <c r="AO57" s="84"/>
      <c r="AP57" s="84"/>
      <c r="AQ57" s="84"/>
      <c r="AR57" s="84"/>
      <c r="AS57" s="84"/>
      <c r="AT57" s="84"/>
      <c r="AU57" s="84"/>
      <c r="AV57" s="84"/>
      <c r="AW57" s="84"/>
      <c r="AX57" s="84"/>
      <c r="AY57" s="84"/>
    </row>
    <row r="58" spans="1:51" x14ac:dyDescent="0.2">
      <c r="A58" s="197" t="s">
        <v>536</v>
      </c>
      <c r="B58" s="174" t="s">
        <v>533</v>
      </c>
      <c r="C58" s="198">
        <v>0.5</v>
      </c>
      <c r="D58" s="84"/>
      <c r="E58" s="84"/>
      <c r="F58" s="84"/>
      <c r="G58" s="84"/>
      <c r="H58" s="84"/>
      <c r="I58" s="84"/>
      <c r="J58" s="84"/>
      <c r="K58" s="84"/>
      <c r="L58" s="84"/>
      <c r="M58" s="84"/>
      <c r="N58" s="84"/>
      <c r="O58" s="84"/>
      <c r="P58" s="84"/>
      <c r="Q58" s="84"/>
      <c r="R58" s="84"/>
      <c r="S58" s="84"/>
      <c r="T58" s="84"/>
      <c r="U58" s="84"/>
      <c r="V58" s="84"/>
      <c r="W58" s="84"/>
      <c r="X58" s="84"/>
      <c r="Y58" s="84"/>
      <c r="Z58" s="84"/>
      <c r="AA58" s="84"/>
      <c r="AB58" s="84"/>
      <c r="AC58" s="84"/>
      <c r="AD58" s="84"/>
      <c r="AE58" s="84"/>
      <c r="AF58" s="84"/>
      <c r="AG58" s="84"/>
      <c r="AH58" s="84"/>
      <c r="AI58" s="84"/>
      <c r="AJ58" s="84"/>
      <c r="AK58" s="84"/>
      <c r="AL58" s="84"/>
      <c r="AM58" s="84"/>
      <c r="AN58" s="84"/>
      <c r="AO58" s="84"/>
      <c r="AP58" s="84"/>
      <c r="AQ58" s="84"/>
      <c r="AR58" s="84"/>
      <c r="AS58" s="84"/>
      <c r="AT58" s="84"/>
      <c r="AU58" s="84"/>
      <c r="AV58" s="84"/>
      <c r="AW58" s="84"/>
      <c r="AX58" s="84"/>
      <c r="AY58" s="84"/>
    </row>
    <row r="59" spans="1:51" ht="16" thickBot="1" x14ac:dyDescent="0.25">
      <c r="A59" s="84"/>
      <c r="B59" s="84"/>
      <c r="C59" s="84"/>
      <c r="D59" s="84"/>
      <c r="E59" s="84"/>
      <c r="F59" s="84"/>
      <c r="G59" s="84"/>
      <c r="H59" s="84"/>
      <c r="I59" s="84"/>
      <c r="J59" s="84"/>
      <c r="K59" s="84"/>
      <c r="L59" s="84"/>
      <c r="M59" s="84"/>
      <c r="N59" s="84"/>
      <c r="O59" s="84"/>
      <c r="P59" s="84"/>
      <c r="Q59" s="84"/>
      <c r="R59" s="84"/>
      <c r="S59" s="84"/>
      <c r="T59" s="84"/>
      <c r="U59" s="84"/>
      <c r="V59" s="84"/>
      <c r="W59" s="84"/>
      <c r="X59" s="84"/>
      <c r="Y59" s="84"/>
      <c r="Z59" s="84"/>
      <c r="AA59" s="84"/>
      <c r="AB59" s="84"/>
      <c r="AC59" s="84"/>
      <c r="AD59" s="84"/>
      <c r="AE59" s="84"/>
      <c r="AF59" s="84"/>
      <c r="AG59" s="84"/>
      <c r="AH59" s="84"/>
      <c r="AI59" s="84"/>
      <c r="AJ59" s="84"/>
      <c r="AK59" s="84"/>
      <c r="AL59" s="84"/>
      <c r="AM59" s="84"/>
      <c r="AN59" s="84"/>
      <c r="AO59" s="84"/>
      <c r="AP59" s="84"/>
      <c r="AQ59" s="84"/>
      <c r="AR59" s="84"/>
      <c r="AS59" s="84"/>
      <c r="AT59" s="84"/>
      <c r="AU59" s="84"/>
      <c r="AV59" s="84"/>
      <c r="AW59" s="84"/>
      <c r="AX59" s="84"/>
      <c r="AY59" s="84"/>
    </row>
    <row r="60" spans="1:51" ht="19" x14ac:dyDescent="0.25">
      <c r="A60" s="306" t="s">
        <v>537</v>
      </c>
      <c r="B60" s="306"/>
      <c r="C60" s="306"/>
      <c r="D60" s="306"/>
      <c r="E60" s="306"/>
      <c r="F60" s="306"/>
      <c r="G60" s="306"/>
      <c r="H60" s="306"/>
      <c r="I60" s="306"/>
    </row>
    <row r="61" spans="1:51" x14ac:dyDescent="0.2">
      <c r="A61" s="197" t="s">
        <v>36</v>
      </c>
      <c r="B61" s="174" t="s">
        <v>36</v>
      </c>
      <c r="C61" s="199">
        <v>2020</v>
      </c>
      <c r="D61" s="199">
        <v>2025</v>
      </c>
      <c r="E61" s="199">
        <v>2030</v>
      </c>
      <c r="F61" s="199">
        <v>2035</v>
      </c>
      <c r="G61" s="199">
        <v>2040</v>
      </c>
      <c r="H61" s="199">
        <v>2045</v>
      </c>
      <c r="I61" s="200">
        <v>2050</v>
      </c>
    </row>
    <row r="62" spans="1:51" x14ac:dyDescent="0.2">
      <c r="A62" s="197" t="s">
        <v>538</v>
      </c>
      <c r="B62" s="174" t="s">
        <v>146</v>
      </c>
      <c r="C62" s="201">
        <v>0</v>
      </c>
      <c r="D62" s="201">
        <v>0</v>
      </c>
      <c r="E62" s="201">
        <v>0</v>
      </c>
      <c r="F62" s="201">
        <v>0</v>
      </c>
      <c r="G62" s="201">
        <v>0</v>
      </c>
      <c r="H62" s="201">
        <v>0</v>
      </c>
      <c r="I62" s="201">
        <v>0</v>
      </c>
      <c r="J62" s="192"/>
      <c r="K62" s="192"/>
    </row>
    <row r="63" spans="1:51" x14ac:dyDescent="0.2">
      <c r="A63" s="197" t="s">
        <v>539</v>
      </c>
      <c r="B63" s="174" t="s">
        <v>146</v>
      </c>
      <c r="C63" s="201">
        <v>0</v>
      </c>
      <c r="D63" s="201">
        <v>0</v>
      </c>
      <c r="E63" s="201">
        <v>1.8914898535394901E-3</v>
      </c>
      <c r="F63" s="201">
        <v>0.48296425619859501</v>
      </c>
      <c r="G63" s="201">
        <v>1.23853129255308</v>
      </c>
      <c r="H63" s="201">
        <v>2.8614175418402801</v>
      </c>
      <c r="I63" s="201">
        <v>2.8134079979269302</v>
      </c>
      <c r="J63" s="192"/>
      <c r="K63" s="192"/>
    </row>
    <row r="64" spans="1:51" x14ac:dyDescent="0.2">
      <c r="A64" s="197" t="s">
        <v>540</v>
      </c>
      <c r="B64" s="174" t="s">
        <v>146</v>
      </c>
      <c r="C64" s="201">
        <v>4.4121707779369198E-5</v>
      </c>
      <c r="D64" s="201">
        <v>7.5182846615976103E-4</v>
      </c>
      <c r="E64" s="201">
        <v>1.52316875119172E-2</v>
      </c>
      <c r="F64" s="201">
        <v>0.138807762777472</v>
      </c>
      <c r="G64" s="201">
        <v>0.86848071918593905</v>
      </c>
      <c r="H64" s="201">
        <v>1.8786768295734799</v>
      </c>
      <c r="I64" s="201">
        <v>2.7838915669319602</v>
      </c>
    </row>
    <row r="65" spans="1:51" x14ac:dyDescent="0.2">
      <c r="A65" s="197" t="s">
        <v>541</v>
      </c>
      <c r="B65" s="174" t="s">
        <v>146</v>
      </c>
      <c r="C65" s="201">
        <v>0</v>
      </c>
      <c r="D65" s="201">
        <v>0</v>
      </c>
      <c r="E65" s="201">
        <v>0</v>
      </c>
      <c r="F65" s="201">
        <v>0</v>
      </c>
      <c r="G65" s="201">
        <v>0</v>
      </c>
      <c r="H65" s="201">
        <v>0</v>
      </c>
      <c r="I65" s="201">
        <v>0</v>
      </c>
    </row>
    <row r="66" spans="1:51" x14ac:dyDescent="0.2">
      <c r="A66" s="84"/>
      <c r="B66" s="84"/>
      <c r="C66" s="84"/>
      <c r="D66" s="84"/>
      <c r="E66" s="84"/>
      <c r="F66" s="84"/>
      <c r="G66" s="84"/>
      <c r="H66" s="84"/>
      <c r="I66" s="84"/>
      <c r="J66" s="84"/>
      <c r="K66" s="84"/>
      <c r="L66" s="84"/>
      <c r="M66" s="84"/>
      <c r="N66" s="84"/>
      <c r="O66" s="84"/>
      <c r="P66" s="84"/>
      <c r="Q66" s="84"/>
      <c r="R66" s="84"/>
      <c r="S66" s="84"/>
      <c r="T66" s="84"/>
      <c r="U66" s="84"/>
      <c r="V66" s="84"/>
      <c r="W66" s="84"/>
      <c r="X66" s="84"/>
      <c r="Y66" s="84"/>
      <c r="Z66" s="84"/>
      <c r="AA66" s="84"/>
      <c r="AB66" s="84"/>
      <c r="AC66" s="84"/>
      <c r="AD66" s="84"/>
      <c r="AE66" s="84"/>
      <c r="AF66" s="84"/>
      <c r="AG66" s="84"/>
      <c r="AH66" s="84"/>
      <c r="AI66" s="84"/>
      <c r="AJ66" s="84"/>
      <c r="AK66" s="84"/>
      <c r="AL66" s="84"/>
      <c r="AM66" s="84"/>
      <c r="AN66" s="84"/>
      <c r="AO66" s="84"/>
      <c r="AP66" s="84"/>
      <c r="AQ66" s="84"/>
      <c r="AR66" s="84"/>
      <c r="AS66" s="84"/>
      <c r="AT66" s="84"/>
      <c r="AU66" s="84"/>
      <c r="AV66" s="84"/>
      <c r="AW66" s="84"/>
      <c r="AX66" s="84"/>
      <c r="AY66" s="84"/>
    </row>
    <row r="67" spans="1:51" x14ac:dyDescent="0.2">
      <c r="A67" s="84"/>
      <c r="B67" s="84"/>
      <c r="C67" s="84"/>
      <c r="D67" s="84"/>
      <c r="E67" s="84"/>
      <c r="F67" s="84"/>
      <c r="G67" s="84"/>
      <c r="H67" s="84"/>
      <c r="I67" s="84"/>
      <c r="J67" s="84"/>
      <c r="K67" s="84"/>
      <c r="L67" s="84"/>
      <c r="M67" s="84"/>
      <c r="N67" s="84"/>
      <c r="O67" s="84"/>
      <c r="P67" s="84"/>
      <c r="Q67" s="84"/>
      <c r="R67" s="84"/>
      <c r="S67" s="84"/>
      <c r="T67" s="84"/>
      <c r="U67" s="84"/>
      <c r="V67" s="84"/>
      <c r="W67" s="84"/>
      <c r="X67" s="84"/>
      <c r="Y67" s="84"/>
      <c r="Z67" s="84"/>
      <c r="AA67" s="84"/>
      <c r="AB67" s="84"/>
      <c r="AC67" s="84"/>
      <c r="AD67" s="84"/>
      <c r="AE67" s="84"/>
      <c r="AF67" s="84"/>
      <c r="AG67" s="84"/>
      <c r="AH67" s="84"/>
      <c r="AI67" s="84"/>
      <c r="AJ67" s="84"/>
      <c r="AK67" s="84"/>
      <c r="AL67" s="84"/>
      <c r="AM67" s="84"/>
      <c r="AN67" s="84"/>
      <c r="AO67" s="84"/>
      <c r="AP67" s="84"/>
      <c r="AQ67" s="84"/>
      <c r="AR67" s="84"/>
      <c r="AS67" s="84"/>
      <c r="AT67" s="84"/>
      <c r="AU67" s="84"/>
      <c r="AV67" s="84"/>
      <c r="AW67" s="84"/>
      <c r="AX67" s="84"/>
      <c r="AY67" s="84"/>
    </row>
    <row r="68" spans="1:51" ht="27" thickBot="1" x14ac:dyDescent="0.35">
      <c r="A68" s="173" t="s">
        <v>542</v>
      </c>
      <c r="D68" s="84"/>
      <c r="E68" s="84"/>
      <c r="F68" s="84"/>
      <c r="G68" s="84"/>
      <c r="H68" s="84"/>
      <c r="I68" s="84"/>
      <c r="J68" s="84"/>
      <c r="K68" s="84"/>
      <c r="L68" s="84"/>
      <c r="M68" s="84"/>
      <c r="N68" s="84"/>
      <c r="O68" s="84"/>
      <c r="P68" s="84"/>
      <c r="Q68" s="84"/>
      <c r="R68" s="84"/>
      <c r="S68" s="84"/>
      <c r="T68" s="84"/>
      <c r="U68" s="84"/>
      <c r="V68" s="84"/>
      <c r="W68" s="84"/>
      <c r="X68" s="84"/>
      <c r="Y68" s="84"/>
      <c r="Z68" s="84"/>
      <c r="AA68" s="84"/>
      <c r="AB68" s="84"/>
      <c r="AC68" s="84"/>
      <c r="AD68" s="84"/>
      <c r="AE68" s="84"/>
      <c r="AF68" s="84"/>
      <c r="AG68" s="84"/>
      <c r="AH68" s="84"/>
      <c r="AI68" s="84"/>
      <c r="AJ68" s="84"/>
      <c r="AK68" s="84"/>
      <c r="AL68" s="84"/>
      <c r="AM68" s="84"/>
      <c r="AN68" s="84"/>
      <c r="AO68" s="84"/>
      <c r="AP68" s="84"/>
      <c r="AQ68" s="84"/>
      <c r="AR68" s="84"/>
      <c r="AS68" s="84"/>
      <c r="AT68" s="84"/>
      <c r="AU68" s="84"/>
      <c r="AV68" s="84"/>
      <c r="AW68" s="84"/>
      <c r="AX68" s="84"/>
      <c r="AY68" s="84"/>
    </row>
    <row r="69" spans="1:51" ht="15.75" customHeight="1" x14ac:dyDescent="0.25">
      <c r="A69" s="202" t="s">
        <v>168</v>
      </c>
      <c r="B69" s="203"/>
      <c r="C69" s="204"/>
      <c r="D69" s="84"/>
      <c r="E69" s="84"/>
      <c r="F69" s="84"/>
      <c r="G69" s="84"/>
      <c r="H69" s="84"/>
      <c r="I69" s="84"/>
      <c r="J69" s="84"/>
      <c r="K69" s="84"/>
      <c r="L69" s="84"/>
      <c r="M69" s="84"/>
      <c r="N69" s="84"/>
      <c r="O69" s="84"/>
      <c r="P69" s="84"/>
      <c r="Q69" s="84"/>
      <c r="R69" s="84"/>
      <c r="S69" s="84"/>
      <c r="T69" s="84"/>
      <c r="U69" s="84"/>
      <c r="V69" s="84"/>
      <c r="W69" s="84"/>
      <c r="X69" s="84"/>
      <c r="Y69" s="84"/>
      <c r="Z69" s="84"/>
      <c r="AA69" s="84"/>
      <c r="AB69" s="84"/>
      <c r="AC69" s="84"/>
      <c r="AD69" s="84"/>
      <c r="AE69" s="84"/>
      <c r="AF69" s="84"/>
      <c r="AG69" s="84"/>
      <c r="AH69" s="84"/>
      <c r="AI69" s="84"/>
      <c r="AJ69" s="84"/>
      <c r="AK69" s="84"/>
      <c r="AL69" s="84"/>
      <c r="AM69" s="84"/>
      <c r="AN69" s="84"/>
      <c r="AO69" s="84"/>
      <c r="AP69" s="84"/>
      <c r="AQ69" s="84"/>
      <c r="AR69" s="84"/>
      <c r="AS69" s="84"/>
      <c r="AT69" s="84"/>
      <c r="AU69" s="84"/>
      <c r="AV69" s="84"/>
      <c r="AW69" s="84"/>
      <c r="AX69" s="84"/>
      <c r="AY69" s="84"/>
    </row>
    <row r="70" spans="1:51" ht="15" customHeight="1" thickBot="1" x14ac:dyDescent="0.25">
      <c r="A70" s="310" t="s">
        <v>187</v>
      </c>
      <c r="B70" s="174" t="s">
        <v>169</v>
      </c>
      <c r="C70" s="176">
        <v>0</v>
      </c>
      <c r="D70" s="84"/>
      <c r="E70" s="84"/>
      <c r="F70" s="84"/>
      <c r="G70" s="84"/>
      <c r="H70" s="84"/>
      <c r="I70" s="84"/>
      <c r="J70" s="84"/>
      <c r="K70" s="84"/>
      <c r="L70" s="84"/>
      <c r="M70" s="84"/>
      <c r="N70" s="84"/>
      <c r="O70" s="84"/>
      <c r="P70" s="84"/>
      <c r="Q70" s="84"/>
      <c r="R70" s="84"/>
      <c r="S70" s="84"/>
      <c r="T70" s="84"/>
      <c r="U70" s="84"/>
      <c r="V70" s="84"/>
      <c r="W70" s="84"/>
      <c r="X70" s="84"/>
      <c r="Y70" s="84"/>
      <c r="Z70" s="84"/>
      <c r="AA70" s="84"/>
      <c r="AB70" s="84"/>
      <c r="AC70" s="84"/>
      <c r="AD70" s="84"/>
      <c r="AE70" s="84"/>
      <c r="AF70" s="84"/>
      <c r="AG70" s="84"/>
      <c r="AH70" s="84"/>
      <c r="AI70" s="84"/>
      <c r="AJ70" s="84"/>
      <c r="AK70" s="84"/>
      <c r="AL70" s="84"/>
      <c r="AM70" s="84"/>
      <c r="AN70" s="84"/>
      <c r="AO70" s="84"/>
      <c r="AP70" s="84"/>
      <c r="AQ70" s="84"/>
      <c r="AR70" s="84"/>
      <c r="AS70" s="84"/>
      <c r="AT70" s="84"/>
      <c r="AU70" s="84"/>
      <c r="AV70" s="84"/>
      <c r="AW70" s="84"/>
      <c r="AX70" s="84"/>
      <c r="AY70" s="84"/>
    </row>
    <row r="71" spans="1:51" ht="16" thickBot="1" x14ac:dyDescent="0.25">
      <c r="A71" s="310"/>
      <c r="B71" s="177" t="s">
        <v>543</v>
      </c>
      <c r="C71" s="196">
        <v>0.1</v>
      </c>
      <c r="D71" s="84"/>
      <c r="E71" s="84"/>
      <c r="F71" s="84"/>
      <c r="G71" s="84"/>
      <c r="H71" s="84"/>
      <c r="I71" s="84"/>
      <c r="J71" s="84"/>
      <c r="K71" s="84"/>
      <c r="L71" s="84"/>
      <c r="M71" s="84"/>
      <c r="N71" s="84"/>
      <c r="O71" s="84"/>
      <c r="P71" s="84"/>
      <c r="Q71" s="84"/>
      <c r="R71" s="84"/>
      <c r="S71" s="84"/>
      <c r="T71" s="84"/>
      <c r="U71" s="84"/>
      <c r="V71" s="84"/>
      <c r="W71" s="84"/>
      <c r="X71" s="84"/>
      <c r="Y71" s="84"/>
      <c r="Z71" s="84"/>
      <c r="AA71" s="84"/>
      <c r="AB71" s="84"/>
      <c r="AC71" s="84"/>
      <c r="AD71" s="84"/>
      <c r="AE71" s="84"/>
      <c r="AF71" s="84"/>
      <c r="AG71" s="84"/>
      <c r="AH71" s="84"/>
      <c r="AI71" s="84"/>
      <c r="AJ71" s="84"/>
      <c r="AK71" s="84"/>
      <c r="AL71" s="84"/>
      <c r="AM71" s="84"/>
      <c r="AN71" s="84"/>
      <c r="AO71" s="84"/>
      <c r="AP71" s="84"/>
      <c r="AQ71" s="84"/>
      <c r="AR71" s="84"/>
      <c r="AS71" s="84"/>
      <c r="AT71" s="84"/>
      <c r="AU71" s="84"/>
      <c r="AV71" s="84"/>
      <c r="AW71" s="84"/>
      <c r="AX71" s="84"/>
      <c r="AY71" s="84"/>
    </row>
    <row r="72" spans="1:51" ht="16" thickBot="1" x14ac:dyDescent="0.25">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c r="AA72" s="84"/>
      <c r="AB72" s="84"/>
      <c r="AC72" s="84"/>
      <c r="AD72" s="84"/>
      <c r="AE72" s="84"/>
      <c r="AF72" s="84"/>
      <c r="AG72" s="84"/>
      <c r="AH72" s="84"/>
      <c r="AI72" s="84"/>
      <c r="AJ72" s="84"/>
      <c r="AK72" s="84"/>
      <c r="AL72" s="84"/>
      <c r="AM72" s="84"/>
      <c r="AN72" s="84"/>
      <c r="AO72" s="84"/>
      <c r="AP72" s="84"/>
      <c r="AQ72" s="84"/>
      <c r="AR72" s="84"/>
      <c r="AS72" s="84"/>
      <c r="AT72" s="84"/>
      <c r="AU72" s="84"/>
      <c r="AV72" s="84"/>
      <c r="AW72" s="84"/>
      <c r="AX72" s="84"/>
      <c r="AY72" s="84"/>
    </row>
    <row r="73" spans="1:51" ht="15.75" customHeight="1" x14ac:dyDescent="0.25">
      <c r="A73" s="306" t="s">
        <v>192</v>
      </c>
      <c r="B73" s="306"/>
      <c r="C73" s="306"/>
      <c r="D73" s="84"/>
      <c r="E73" s="84"/>
      <c r="F73" s="84"/>
      <c r="G73" s="84"/>
      <c r="H73" s="84"/>
      <c r="I73" s="84"/>
      <c r="J73" s="84"/>
      <c r="K73" s="84"/>
      <c r="L73" s="84"/>
      <c r="M73" s="84"/>
      <c r="N73" s="84"/>
      <c r="O73" s="84"/>
      <c r="P73" s="84"/>
      <c r="Q73" s="84"/>
      <c r="R73" s="84"/>
      <c r="S73" s="84"/>
      <c r="T73" s="84"/>
      <c r="U73" s="84"/>
      <c r="V73" s="84"/>
      <c r="W73" s="84"/>
      <c r="X73" s="84"/>
      <c r="Y73" s="84"/>
      <c r="Z73" s="84"/>
      <c r="AA73" s="84"/>
      <c r="AB73" s="84"/>
      <c r="AC73" s="84"/>
      <c r="AD73" s="84"/>
      <c r="AE73" s="84"/>
      <c r="AF73" s="84"/>
      <c r="AG73" s="84"/>
      <c r="AH73" s="84"/>
      <c r="AI73" s="84"/>
      <c r="AJ73" s="84"/>
      <c r="AK73" s="84"/>
      <c r="AL73" s="84"/>
      <c r="AM73" s="84"/>
      <c r="AN73" s="84"/>
      <c r="AO73" s="84"/>
      <c r="AP73" s="84"/>
      <c r="AQ73" s="84"/>
      <c r="AR73" s="84"/>
      <c r="AS73" s="84"/>
      <c r="AT73" s="84"/>
      <c r="AU73" s="84"/>
      <c r="AV73" s="84"/>
      <c r="AW73" s="84"/>
      <c r="AX73" s="84"/>
      <c r="AY73" s="84"/>
    </row>
    <row r="74" spans="1:51" ht="15" customHeight="1" thickBot="1" x14ac:dyDescent="0.25">
      <c r="A74" s="310" t="s">
        <v>208</v>
      </c>
      <c r="B74" s="174" t="s">
        <v>193</v>
      </c>
      <c r="C74" s="176">
        <v>0</v>
      </c>
      <c r="D74" s="84"/>
      <c r="E74" s="84"/>
      <c r="F74" s="84"/>
      <c r="G74" s="84"/>
      <c r="H74" s="84"/>
      <c r="I74" s="84"/>
      <c r="J74" s="84"/>
      <c r="K74" s="84"/>
      <c r="L74" s="84"/>
      <c r="M74" s="84"/>
      <c r="N74" s="84"/>
      <c r="O74" s="84"/>
      <c r="P74" s="84"/>
      <c r="Q74" s="84"/>
      <c r="R74" s="84"/>
      <c r="S74" s="84"/>
      <c r="T74" s="84"/>
      <c r="U74" s="84"/>
      <c r="V74" s="84"/>
      <c r="W74" s="84"/>
      <c r="X74" s="84"/>
      <c r="Y74" s="84"/>
      <c r="Z74" s="84"/>
      <c r="AA74" s="84"/>
      <c r="AB74" s="84"/>
      <c r="AC74" s="84"/>
      <c r="AD74" s="84"/>
      <c r="AE74" s="84"/>
      <c r="AF74" s="84"/>
      <c r="AG74" s="84"/>
      <c r="AH74" s="84"/>
      <c r="AI74" s="84"/>
      <c r="AJ74" s="84"/>
      <c r="AK74" s="84"/>
      <c r="AL74" s="84"/>
      <c r="AM74" s="84"/>
      <c r="AN74" s="84"/>
      <c r="AO74" s="84"/>
      <c r="AP74" s="84"/>
      <c r="AQ74" s="84"/>
      <c r="AR74" s="84"/>
      <c r="AS74" s="84"/>
      <c r="AT74" s="84"/>
      <c r="AU74" s="84"/>
      <c r="AV74" s="84"/>
      <c r="AW74" s="84"/>
      <c r="AX74" s="84"/>
      <c r="AY74" s="84"/>
    </row>
    <row r="75" spans="1:51" ht="16" thickBot="1" x14ac:dyDescent="0.25">
      <c r="A75" s="310"/>
      <c r="B75" s="177" t="s">
        <v>544</v>
      </c>
      <c r="C75" s="196">
        <v>-0.08</v>
      </c>
      <c r="E75" s="84"/>
      <c r="F75" s="84"/>
      <c r="G75" s="84"/>
      <c r="H75" s="84"/>
      <c r="I75" s="84"/>
      <c r="J75" s="84"/>
      <c r="K75" s="84"/>
      <c r="L75" s="84"/>
      <c r="M75" s="84"/>
      <c r="N75" s="84"/>
      <c r="O75" s="84"/>
      <c r="P75" s="84"/>
      <c r="Q75" s="84"/>
      <c r="R75" s="84"/>
      <c r="S75" s="84"/>
      <c r="T75" s="84"/>
      <c r="U75" s="84"/>
      <c r="V75" s="84"/>
      <c r="W75" s="84"/>
      <c r="X75" s="84"/>
      <c r="Y75" s="84"/>
      <c r="Z75" s="84"/>
      <c r="AA75" s="84"/>
      <c r="AB75" s="84"/>
      <c r="AC75" s="84"/>
      <c r="AD75" s="84"/>
      <c r="AE75" s="84"/>
      <c r="AF75" s="84"/>
      <c r="AG75" s="84"/>
      <c r="AH75" s="84"/>
      <c r="AI75" s="84"/>
      <c r="AJ75" s="84"/>
      <c r="AK75" s="84"/>
      <c r="AL75" s="84"/>
      <c r="AM75" s="84"/>
      <c r="AN75" s="84"/>
      <c r="AO75" s="84"/>
      <c r="AP75" s="84"/>
      <c r="AQ75" s="84"/>
      <c r="AR75" s="84"/>
      <c r="AS75" s="84"/>
      <c r="AT75" s="84"/>
      <c r="AU75" s="84"/>
      <c r="AV75" s="84"/>
      <c r="AW75" s="84"/>
      <c r="AX75" s="84"/>
      <c r="AY75" s="84"/>
    </row>
    <row r="76" spans="1:51" ht="14.25" customHeight="1" thickBot="1" x14ac:dyDescent="0.25">
      <c r="A76" s="84"/>
      <c r="B76" s="84"/>
      <c r="C76" s="84"/>
      <c r="E76" s="84"/>
      <c r="F76" s="84"/>
      <c r="G76" s="84"/>
      <c r="H76" s="84"/>
      <c r="I76" s="84"/>
      <c r="J76" s="84"/>
      <c r="K76" s="84"/>
      <c r="L76" s="84"/>
      <c r="M76" s="84"/>
      <c r="N76" s="84"/>
      <c r="O76" s="84"/>
      <c r="P76" s="84"/>
      <c r="Q76" s="84"/>
      <c r="R76" s="84"/>
      <c r="S76" s="84"/>
      <c r="T76" s="84"/>
      <c r="U76" s="84"/>
      <c r="V76" s="84"/>
      <c r="W76" s="84"/>
      <c r="X76" s="84"/>
      <c r="Y76" s="84"/>
      <c r="Z76" s="84"/>
      <c r="AA76" s="84"/>
      <c r="AB76" s="84"/>
      <c r="AC76" s="84"/>
      <c r="AD76" s="84"/>
      <c r="AE76" s="84"/>
      <c r="AF76" s="84"/>
      <c r="AG76" s="84"/>
      <c r="AH76" s="84"/>
      <c r="AI76" s="84"/>
      <c r="AJ76" s="84"/>
      <c r="AK76" s="84"/>
      <c r="AL76" s="84"/>
      <c r="AM76" s="84"/>
      <c r="AN76" s="84"/>
      <c r="AO76" s="84"/>
      <c r="AP76" s="84"/>
      <c r="AQ76" s="84"/>
      <c r="AR76" s="84"/>
      <c r="AS76" s="84"/>
      <c r="AT76" s="84"/>
      <c r="AU76" s="84"/>
      <c r="AV76" s="84"/>
      <c r="AW76" s="84"/>
      <c r="AX76" s="84"/>
      <c r="AY76" s="84"/>
    </row>
    <row r="77" spans="1:51" ht="19" x14ac:dyDescent="0.25">
      <c r="A77" s="311" t="s">
        <v>228</v>
      </c>
      <c r="B77" s="311"/>
      <c r="C77" s="311"/>
      <c r="D77" s="205" t="s">
        <v>545</v>
      </c>
      <c r="E77" s="84"/>
      <c r="F77" s="84"/>
      <c r="G77" s="84"/>
      <c r="H77" s="84"/>
      <c r="I77" s="84"/>
      <c r="J77" s="84"/>
      <c r="K77" s="84"/>
      <c r="L77" s="84"/>
      <c r="M77" s="84"/>
      <c r="N77" s="84"/>
      <c r="O77" s="84"/>
      <c r="P77" s="84"/>
      <c r="Q77" s="84"/>
      <c r="R77" s="84"/>
      <c r="S77" s="84"/>
      <c r="T77" s="84"/>
      <c r="U77" s="84"/>
      <c r="V77" s="84"/>
      <c r="W77" s="84"/>
      <c r="X77" s="84"/>
      <c r="Y77" s="84"/>
      <c r="Z77" s="84"/>
      <c r="AA77" s="84"/>
      <c r="AB77" s="84"/>
      <c r="AC77" s="84"/>
      <c r="AD77" s="84"/>
      <c r="AE77" s="84"/>
      <c r="AF77" s="84"/>
      <c r="AG77" s="84"/>
      <c r="AH77" s="84"/>
      <c r="AI77" s="84"/>
      <c r="AJ77" s="84"/>
      <c r="AK77" s="84"/>
      <c r="AL77" s="84"/>
      <c r="AM77" s="84"/>
      <c r="AN77" s="84"/>
      <c r="AO77" s="84"/>
      <c r="AP77" s="84"/>
      <c r="AQ77" s="84"/>
      <c r="AR77" s="84"/>
      <c r="AS77" s="84"/>
      <c r="AT77" s="84"/>
      <c r="AU77" s="84"/>
      <c r="AV77" s="84"/>
      <c r="AW77" s="84"/>
      <c r="AX77" s="84"/>
      <c r="AY77" s="84"/>
    </row>
    <row r="78" spans="1:51" x14ac:dyDescent="0.2">
      <c r="A78" s="182" t="s">
        <v>546</v>
      </c>
      <c r="B78" s="174" t="s">
        <v>547</v>
      </c>
      <c r="C78" s="198">
        <v>0.15</v>
      </c>
      <c r="D78" s="176">
        <v>1</v>
      </c>
      <c r="E78" s="84"/>
      <c r="F78" s="84"/>
      <c r="G78" s="84"/>
      <c r="H78" s="84"/>
      <c r="I78" s="84"/>
      <c r="J78" s="84"/>
      <c r="K78" s="84"/>
      <c r="L78" s="84"/>
      <c r="M78" s="84"/>
      <c r="N78" s="84"/>
      <c r="O78" s="84"/>
      <c r="P78" s="84"/>
      <c r="Q78" s="84"/>
      <c r="R78" s="84"/>
      <c r="S78" s="84"/>
      <c r="T78" s="84"/>
      <c r="U78" s="84"/>
      <c r="V78" s="84"/>
      <c r="W78" s="84"/>
      <c r="X78" s="84"/>
      <c r="Y78" s="84"/>
      <c r="Z78" s="84"/>
      <c r="AA78" s="84"/>
      <c r="AB78" s="84"/>
      <c r="AC78" s="84"/>
      <c r="AD78" s="84"/>
      <c r="AE78" s="84"/>
      <c r="AF78" s="84"/>
      <c r="AG78" s="84"/>
      <c r="AH78" s="84"/>
      <c r="AI78" s="84"/>
      <c r="AJ78" s="84"/>
      <c r="AK78" s="84"/>
      <c r="AL78" s="84"/>
      <c r="AM78" s="84"/>
      <c r="AN78" s="84"/>
      <c r="AO78" s="84"/>
      <c r="AP78" s="84"/>
      <c r="AQ78" s="84"/>
      <c r="AR78" s="84"/>
      <c r="AS78" s="84"/>
      <c r="AT78" s="84"/>
      <c r="AU78" s="84"/>
      <c r="AV78" s="84"/>
      <c r="AW78" s="84"/>
      <c r="AX78" s="84"/>
      <c r="AY78" s="84"/>
    </row>
    <row r="79" spans="1:51" ht="19" x14ac:dyDescent="0.25">
      <c r="A79" s="312" t="s">
        <v>230</v>
      </c>
      <c r="B79" s="312"/>
      <c r="C79" s="312"/>
      <c r="D79" s="206" t="s">
        <v>548</v>
      </c>
      <c r="E79" s="84"/>
      <c r="F79" s="84"/>
      <c r="G79" s="84"/>
      <c r="H79" s="84"/>
      <c r="I79" s="84"/>
      <c r="J79" s="84"/>
      <c r="K79" s="84"/>
      <c r="L79" s="84"/>
      <c r="M79" s="84"/>
      <c r="N79" s="84"/>
      <c r="O79" s="84"/>
      <c r="P79" s="84"/>
      <c r="Q79" s="84"/>
      <c r="R79" s="84"/>
      <c r="S79" s="84"/>
      <c r="T79" s="84"/>
      <c r="U79" s="84"/>
      <c r="V79" s="84"/>
      <c r="W79" s="84"/>
      <c r="X79" s="84"/>
      <c r="Y79" s="84"/>
      <c r="Z79" s="84"/>
      <c r="AA79" s="84"/>
      <c r="AB79" s="84"/>
      <c r="AC79" s="84"/>
      <c r="AD79" s="84"/>
      <c r="AE79" s="84"/>
      <c r="AF79" s="84"/>
      <c r="AG79" s="84"/>
      <c r="AH79" s="84"/>
      <c r="AI79" s="84"/>
      <c r="AJ79" s="84"/>
      <c r="AK79" s="84"/>
      <c r="AL79" s="84"/>
      <c r="AM79" s="84"/>
      <c r="AN79" s="84"/>
      <c r="AO79" s="84"/>
      <c r="AP79" s="84"/>
      <c r="AQ79" s="84"/>
      <c r="AR79" s="84"/>
      <c r="AS79" s="84"/>
      <c r="AT79" s="84"/>
      <c r="AU79" s="84"/>
      <c r="AV79" s="84"/>
      <c r="AW79" s="84"/>
      <c r="AX79" s="84"/>
      <c r="AY79" s="84"/>
    </row>
    <row r="80" spans="1:51" ht="14.25" customHeight="1" thickBot="1" x14ac:dyDescent="0.25">
      <c r="A80" s="187" t="s">
        <v>549</v>
      </c>
      <c r="B80" s="177" t="s">
        <v>547</v>
      </c>
      <c r="C80" s="207">
        <v>0.2</v>
      </c>
      <c r="D80" s="208">
        <v>1</v>
      </c>
      <c r="E80" s="84"/>
      <c r="F80" s="84"/>
      <c r="G80" s="84"/>
      <c r="H80" s="84"/>
      <c r="I80" s="84"/>
      <c r="J80" s="84"/>
      <c r="K80" s="84"/>
      <c r="L80" s="84"/>
      <c r="M80" s="84"/>
      <c r="N80" s="84"/>
      <c r="O80" s="84"/>
      <c r="P80" s="84"/>
      <c r="Q80" s="84"/>
      <c r="R80" s="84"/>
      <c r="S80" s="84"/>
      <c r="T80" s="84"/>
      <c r="U80" s="84"/>
      <c r="V80" s="84"/>
      <c r="W80" s="84"/>
      <c r="X80" s="84"/>
      <c r="Y80" s="84"/>
      <c r="Z80" s="84"/>
      <c r="AA80" s="84"/>
      <c r="AB80" s="84"/>
      <c r="AC80" s="84"/>
      <c r="AD80" s="84"/>
      <c r="AE80" s="84"/>
      <c r="AF80" s="84"/>
      <c r="AG80" s="84"/>
      <c r="AH80" s="84"/>
      <c r="AI80" s="84"/>
      <c r="AJ80" s="84"/>
      <c r="AK80" s="84"/>
      <c r="AL80" s="84"/>
      <c r="AM80" s="84"/>
      <c r="AN80" s="84"/>
      <c r="AO80" s="84"/>
      <c r="AP80" s="84"/>
      <c r="AQ80" s="84"/>
      <c r="AR80" s="84"/>
      <c r="AS80" s="84"/>
      <c r="AT80" s="84"/>
      <c r="AU80" s="84"/>
      <c r="AV80" s="84"/>
      <c r="AW80" s="84"/>
      <c r="AX80" s="84"/>
      <c r="AY80" s="84"/>
    </row>
    <row r="81" spans="1:51" ht="16" thickBot="1" x14ac:dyDescent="0.25">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c r="AA81" s="84"/>
      <c r="AB81" s="84"/>
      <c r="AC81" s="84"/>
      <c r="AD81" s="84"/>
      <c r="AE81" s="84"/>
      <c r="AF81" s="84"/>
      <c r="AG81" s="84"/>
      <c r="AH81" s="84"/>
      <c r="AI81" s="84"/>
      <c r="AJ81" s="84"/>
      <c r="AK81" s="84"/>
      <c r="AL81" s="84"/>
      <c r="AM81" s="84"/>
      <c r="AN81" s="84"/>
      <c r="AO81" s="84"/>
      <c r="AP81" s="84"/>
      <c r="AQ81" s="84"/>
      <c r="AR81" s="84"/>
      <c r="AS81" s="84"/>
      <c r="AT81" s="84"/>
      <c r="AU81" s="84"/>
      <c r="AV81" s="84"/>
      <c r="AW81" s="84"/>
      <c r="AX81" s="84"/>
      <c r="AY81" s="84"/>
    </row>
    <row r="82" spans="1:51" ht="19" x14ac:dyDescent="0.25">
      <c r="A82" s="306" t="s">
        <v>236</v>
      </c>
      <c r="B82" s="306"/>
      <c r="C82" s="306"/>
    </row>
    <row r="83" spans="1:51" x14ac:dyDescent="0.2">
      <c r="A83" s="313" t="s">
        <v>550</v>
      </c>
      <c r="B83" s="174" t="s">
        <v>551</v>
      </c>
      <c r="C83" s="209">
        <v>0</v>
      </c>
    </row>
    <row r="84" spans="1:51" x14ac:dyDescent="0.2">
      <c r="A84" s="313"/>
      <c r="B84" s="174" t="s">
        <v>552</v>
      </c>
      <c r="C84" s="209">
        <v>2023</v>
      </c>
    </row>
    <row r="85" spans="1:51" x14ac:dyDescent="0.2">
      <c r="A85" s="313" t="s">
        <v>237</v>
      </c>
      <c r="B85" s="174" t="s">
        <v>238</v>
      </c>
      <c r="C85" s="209">
        <v>2015</v>
      </c>
      <c r="G85" s="119"/>
      <c r="H85" s="119"/>
      <c r="I85" s="127"/>
      <c r="J85" s="127"/>
      <c r="K85" s="127"/>
      <c r="L85" s="127"/>
      <c r="M85" s="127"/>
      <c r="N85" s="127"/>
      <c r="O85" s="127"/>
      <c r="P85" s="127"/>
      <c r="Q85" s="127"/>
      <c r="R85" s="127"/>
      <c r="S85" s="127"/>
      <c r="T85" s="127"/>
    </row>
    <row r="86" spans="1:51" x14ac:dyDescent="0.2">
      <c r="A86" s="313"/>
      <c r="B86" s="174" t="s">
        <v>241</v>
      </c>
      <c r="C86" s="210">
        <v>0</v>
      </c>
      <c r="G86" s="119"/>
      <c r="H86" s="119"/>
      <c r="I86" s="127"/>
      <c r="J86" s="127"/>
      <c r="K86" s="127"/>
      <c r="L86" s="127"/>
      <c r="M86" s="127"/>
      <c r="N86" s="127"/>
      <c r="O86" s="127"/>
      <c r="P86" s="127"/>
      <c r="Q86" s="127"/>
      <c r="R86" s="127"/>
      <c r="S86" s="127"/>
      <c r="T86" s="127"/>
    </row>
    <row r="87" spans="1:51" x14ac:dyDescent="0.2">
      <c r="A87" s="313" t="s">
        <v>243</v>
      </c>
      <c r="B87" s="174" t="s">
        <v>238</v>
      </c>
      <c r="C87" s="209">
        <v>2015</v>
      </c>
    </row>
    <row r="88" spans="1:51" x14ac:dyDescent="0.2">
      <c r="A88" s="313"/>
      <c r="B88" s="174" t="s">
        <v>241</v>
      </c>
      <c r="C88" s="210">
        <v>0</v>
      </c>
    </row>
    <row r="89" spans="1:51" x14ac:dyDescent="0.2">
      <c r="A89" s="313" t="s">
        <v>244</v>
      </c>
      <c r="B89" s="174" t="s">
        <v>238</v>
      </c>
      <c r="C89" s="209">
        <v>2023</v>
      </c>
    </row>
    <row r="90" spans="1:51" x14ac:dyDescent="0.2">
      <c r="A90" s="313"/>
      <c r="B90" s="174" t="s">
        <v>241</v>
      </c>
      <c r="C90" s="210">
        <v>0</v>
      </c>
    </row>
    <row r="91" spans="1:51" x14ac:dyDescent="0.2">
      <c r="A91" s="313" t="s">
        <v>246</v>
      </c>
      <c r="B91" s="174" t="s">
        <v>238</v>
      </c>
      <c r="C91" s="209">
        <v>2023</v>
      </c>
      <c r="G91" s="132"/>
      <c r="I91" s="125"/>
      <c r="J91" s="125"/>
      <c r="K91" s="125"/>
      <c r="L91" s="125"/>
      <c r="M91" s="125"/>
      <c r="N91" s="125"/>
      <c r="O91" s="125"/>
      <c r="P91" s="125"/>
      <c r="Q91" s="125"/>
      <c r="R91" s="125"/>
      <c r="S91" s="125"/>
      <c r="T91" s="125"/>
    </row>
    <row r="92" spans="1:51" x14ac:dyDescent="0.2">
      <c r="A92" s="313"/>
      <c r="B92" s="174" t="s">
        <v>241</v>
      </c>
      <c r="C92" s="210">
        <v>0</v>
      </c>
    </row>
    <row r="93" spans="1:51" x14ac:dyDescent="0.2">
      <c r="A93" s="313" t="s">
        <v>211</v>
      </c>
      <c r="B93" s="174" t="s">
        <v>238</v>
      </c>
      <c r="C93" s="209">
        <v>2023</v>
      </c>
    </row>
    <row r="94" spans="1:51" x14ac:dyDescent="0.2">
      <c r="A94" s="313"/>
      <c r="B94" s="174" t="s">
        <v>241</v>
      </c>
      <c r="C94" s="210">
        <v>0.97</v>
      </c>
    </row>
    <row r="95" spans="1:51" x14ac:dyDescent="0.2">
      <c r="A95" s="313" t="s">
        <v>240</v>
      </c>
      <c r="B95" s="174" t="s">
        <v>238</v>
      </c>
      <c r="C95" s="209">
        <v>2023</v>
      </c>
    </row>
    <row r="96" spans="1:51" x14ac:dyDescent="0.2">
      <c r="A96" s="313"/>
      <c r="B96" s="174" t="s">
        <v>241</v>
      </c>
      <c r="C96" s="210">
        <v>0.74</v>
      </c>
    </row>
    <row r="97" spans="1:3" ht="16" thickBot="1" x14ac:dyDescent="0.25">
      <c r="A97" s="310" t="s">
        <v>245</v>
      </c>
      <c r="B97" s="174" t="s">
        <v>238</v>
      </c>
      <c r="C97" s="209">
        <v>2023</v>
      </c>
    </row>
    <row r="98" spans="1:3" ht="16" thickBot="1" x14ac:dyDescent="0.25">
      <c r="A98" s="310"/>
      <c r="B98" s="177" t="s">
        <v>241</v>
      </c>
      <c r="C98" s="211">
        <v>0.87</v>
      </c>
    </row>
    <row r="99" spans="1:3" x14ac:dyDescent="0.2">
      <c r="A99" s="133" t="s">
        <v>247</v>
      </c>
    </row>
    <row r="101" spans="1:3" ht="14.25" customHeight="1" x14ac:dyDescent="0.25">
      <c r="A101" s="306" t="s">
        <v>248</v>
      </c>
      <c r="B101" s="306"/>
      <c r="C101" s="306"/>
    </row>
    <row r="102" spans="1:3" x14ac:dyDescent="0.2">
      <c r="A102" s="182" t="s">
        <v>249</v>
      </c>
      <c r="B102" s="174" t="s">
        <v>28</v>
      </c>
      <c r="C102" s="209">
        <v>1</v>
      </c>
    </row>
    <row r="103" spans="1:3" x14ac:dyDescent="0.2">
      <c r="A103" s="182" t="s">
        <v>256</v>
      </c>
      <c r="B103" s="174" t="s">
        <v>28</v>
      </c>
      <c r="C103" s="209">
        <v>1</v>
      </c>
    </row>
    <row r="104" spans="1:3" x14ac:dyDescent="0.2">
      <c r="A104" s="182" t="s">
        <v>553</v>
      </c>
      <c r="B104" s="174" t="s">
        <v>36</v>
      </c>
      <c r="C104" s="209">
        <v>2020</v>
      </c>
    </row>
    <row r="105" spans="1:3" x14ac:dyDescent="0.2">
      <c r="A105" s="182" t="s">
        <v>554</v>
      </c>
      <c r="B105" s="174" t="s">
        <v>36</v>
      </c>
      <c r="C105" s="209">
        <v>2025</v>
      </c>
    </row>
    <row r="106" spans="1:3" x14ac:dyDescent="0.2">
      <c r="A106" s="182" t="s">
        <v>555</v>
      </c>
      <c r="B106" s="174" t="s">
        <v>36</v>
      </c>
      <c r="C106" s="209">
        <v>2035</v>
      </c>
    </row>
    <row r="107" spans="1:3" x14ac:dyDescent="0.2">
      <c r="A107" s="182" t="s">
        <v>556</v>
      </c>
      <c r="B107" s="174" t="s">
        <v>36</v>
      </c>
      <c r="C107" s="209">
        <v>2050</v>
      </c>
    </row>
    <row r="108" spans="1:3" x14ac:dyDescent="0.2">
      <c r="A108" s="182" t="s">
        <v>255</v>
      </c>
      <c r="B108" s="174" t="s">
        <v>28</v>
      </c>
      <c r="C108" s="209">
        <v>0</v>
      </c>
    </row>
    <row r="109" spans="1:3" x14ac:dyDescent="0.2">
      <c r="A109" s="182" t="s">
        <v>261</v>
      </c>
      <c r="B109" s="174" t="s">
        <v>28</v>
      </c>
      <c r="C109" s="209">
        <v>0</v>
      </c>
    </row>
    <row r="110" spans="1:3" x14ac:dyDescent="0.2">
      <c r="A110" s="182" t="s">
        <v>557</v>
      </c>
      <c r="B110" s="174"/>
      <c r="C110" s="176">
        <v>2050</v>
      </c>
    </row>
    <row r="111" spans="1:3" ht="16" thickBot="1" x14ac:dyDescent="0.25">
      <c r="A111" s="187" t="s">
        <v>558</v>
      </c>
      <c r="B111" s="177" t="s">
        <v>28</v>
      </c>
      <c r="C111" s="208">
        <v>0.8</v>
      </c>
    </row>
    <row r="112" spans="1:3" ht="14.25" customHeight="1" thickBot="1" x14ac:dyDescent="0.25"/>
    <row r="113" spans="1:10" ht="14.25" customHeight="1" x14ac:dyDescent="0.25">
      <c r="A113" s="306" t="s">
        <v>58</v>
      </c>
      <c r="B113" s="306"/>
      <c r="C113" s="306"/>
      <c r="D113" s="306"/>
      <c r="E113" s="306"/>
    </row>
    <row r="114" spans="1:10" ht="14.25" customHeight="1" thickBot="1" x14ac:dyDescent="0.25">
      <c r="A114" s="310" t="s">
        <v>59</v>
      </c>
      <c r="B114" s="314">
        <v>4</v>
      </c>
      <c r="C114" s="197" t="s">
        <v>60</v>
      </c>
      <c r="D114" s="174" t="s">
        <v>65</v>
      </c>
      <c r="E114" s="194">
        <v>-1.2E-2</v>
      </c>
    </row>
    <row r="115" spans="1:10" ht="14.25" customHeight="1" thickBot="1" x14ac:dyDescent="0.25">
      <c r="A115" s="310"/>
      <c r="B115" s="314"/>
      <c r="C115" s="197" t="s">
        <v>62</v>
      </c>
      <c r="D115" s="174" t="s">
        <v>559</v>
      </c>
      <c r="E115" s="176">
        <v>2017</v>
      </c>
    </row>
    <row r="116" spans="1:10" ht="14.25" customHeight="1" thickBot="1" x14ac:dyDescent="0.25">
      <c r="A116" s="310"/>
      <c r="B116" s="314"/>
      <c r="C116" s="197" t="s">
        <v>63</v>
      </c>
      <c r="D116" s="315"/>
      <c r="E116" s="315"/>
    </row>
    <row r="117" spans="1:10" ht="14.25" customHeight="1" thickBot="1" x14ac:dyDescent="0.25">
      <c r="A117" s="310"/>
      <c r="B117" s="314"/>
      <c r="C117" s="212" t="s">
        <v>64</v>
      </c>
      <c r="D117" s="315"/>
      <c r="E117" s="315"/>
    </row>
    <row r="118" spans="1:10" ht="14.25" customHeight="1" x14ac:dyDescent="0.2"/>
    <row r="119" spans="1:10" ht="14.25" customHeight="1" x14ac:dyDescent="0.2"/>
    <row r="120" spans="1:10" ht="27" thickBot="1" x14ac:dyDescent="0.35">
      <c r="A120" s="173" t="s">
        <v>560</v>
      </c>
    </row>
    <row r="121" spans="1:10" ht="19" x14ac:dyDescent="0.25">
      <c r="A121" s="306" t="s">
        <v>561</v>
      </c>
      <c r="B121" s="306"/>
      <c r="C121" s="306"/>
      <c r="D121" s="306"/>
      <c r="E121" s="306"/>
      <c r="F121" s="306"/>
      <c r="G121" s="306"/>
      <c r="H121" s="306"/>
      <c r="I121" s="306"/>
      <c r="J121" s="306"/>
    </row>
    <row r="122" spans="1:10" x14ac:dyDescent="0.2">
      <c r="A122" s="180" t="s">
        <v>36</v>
      </c>
      <c r="B122" s="175"/>
      <c r="C122" s="174" t="s">
        <v>36</v>
      </c>
      <c r="D122" s="175">
        <v>2020</v>
      </c>
      <c r="E122" s="175">
        <v>2025</v>
      </c>
      <c r="F122" s="175">
        <v>2030</v>
      </c>
      <c r="G122" s="175">
        <v>2035</v>
      </c>
      <c r="H122" s="175">
        <v>2040</v>
      </c>
      <c r="I122" s="175">
        <v>2045</v>
      </c>
      <c r="J122" s="176">
        <v>2050</v>
      </c>
    </row>
    <row r="123" spans="1:10" x14ac:dyDescent="0.2">
      <c r="A123" s="316" t="s">
        <v>562</v>
      </c>
      <c r="B123" s="175" t="s">
        <v>563</v>
      </c>
      <c r="C123" s="174" t="s">
        <v>28</v>
      </c>
      <c r="D123" s="213">
        <v>0.88472864955826702</v>
      </c>
      <c r="E123" s="213">
        <v>0.88033461250055101</v>
      </c>
      <c r="F123" s="213">
        <v>0.87534775527083197</v>
      </c>
      <c r="G123" s="213">
        <v>0.87029999999999996</v>
      </c>
      <c r="H123" s="213">
        <v>0.86509999999999998</v>
      </c>
      <c r="I123" s="213">
        <v>0.85980999999999996</v>
      </c>
      <c r="J123" s="193">
        <v>0.85438999999999998</v>
      </c>
    </row>
    <row r="124" spans="1:10" x14ac:dyDescent="0.2">
      <c r="A124" s="316"/>
      <c r="B124" s="175" t="s">
        <v>564</v>
      </c>
      <c r="C124" s="174" t="s">
        <v>28</v>
      </c>
      <c r="D124" s="213">
        <v>0.11527135044173301</v>
      </c>
      <c r="E124" s="213">
        <v>0.11966538749944899</v>
      </c>
      <c r="F124" s="213">
        <v>0.124652244729168</v>
      </c>
      <c r="G124" s="213">
        <v>0.12970000000000001</v>
      </c>
      <c r="H124" s="213">
        <v>0.13492999999999999</v>
      </c>
      <c r="I124" s="213">
        <v>0.14019999999999999</v>
      </c>
      <c r="J124" s="193">
        <v>0.14555999999999999</v>
      </c>
    </row>
    <row r="125" spans="1:10" x14ac:dyDescent="0.2">
      <c r="A125" s="316"/>
      <c r="B125" s="175" t="s">
        <v>565</v>
      </c>
      <c r="C125" s="174" t="s">
        <v>28</v>
      </c>
      <c r="D125" s="213">
        <v>0</v>
      </c>
      <c r="E125" s="213">
        <v>0</v>
      </c>
      <c r="F125" s="213">
        <v>0</v>
      </c>
      <c r="G125" s="213">
        <v>0</v>
      </c>
      <c r="H125" s="213">
        <v>0</v>
      </c>
      <c r="I125" s="213">
        <v>0</v>
      </c>
      <c r="J125" s="193">
        <v>0</v>
      </c>
    </row>
    <row r="126" spans="1:10" x14ac:dyDescent="0.2">
      <c r="A126" s="316" t="s">
        <v>566</v>
      </c>
      <c r="B126" s="175" t="s">
        <v>563</v>
      </c>
      <c r="C126" s="174" t="s">
        <v>28</v>
      </c>
      <c r="D126" s="213">
        <v>0.941542565014448</v>
      </c>
      <c r="E126" s="213">
        <v>0.90029018569834196</v>
      </c>
      <c r="F126" s="213">
        <v>0.89948594991710895</v>
      </c>
      <c r="G126" s="213">
        <v>0.89868248596732603</v>
      </c>
      <c r="H126" s="213">
        <v>0.89787979305491095</v>
      </c>
      <c r="I126" s="213">
        <v>0.89707787038664399</v>
      </c>
      <c r="J126" s="193">
        <v>0.8962</v>
      </c>
    </row>
    <row r="127" spans="1:10" x14ac:dyDescent="0.2">
      <c r="A127" s="316"/>
      <c r="B127" s="175" t="s">
        <v>564</v>
      </c>
      <c r="C127" s="174" t="s">
        <v>28</v>
      </c>
      <c r="D127" s="213">
        <v>4.2231607023783101E-3</v>
      </c>
      <c r="E127" s="213">
        <v>5.9135968943322603E-3</v>
      </c>
      <c r="F127" s="213">
        <v>6.0668008183067104E-3</v>
      </c>
      <c r="G127" s="213">
        <v>6.2248184197546998E-3</v>
      </c>
      <c r="H127" s="213">
        <v>6.38782522707298E-3</v>
      </c>
      <c r="I127" s="213">
        <v>6.4999999999999997E-3</v>
      </c>
      <c r="J127" s="193">
        <v>6.7295437502571899E-3</v>
      </c>
    </row>
    <row r="128" spans="1:10" x14ac:dyDescent="0.2">
      <c r="A128" s="316"/>
      <c r="B128" s="175" t="s">
        <v>565</v>
      </c>
      <c r="C128" s="174" t="s">
        <v>28</v>
      </c>
      <c r="D128" s="213">
        <v>5.4234274283173997E-2</v>
      </c>
      <c r="E128" s="213">
        <v>9.3796217407325494E-2</v>
      </c>
      <c r="F128" s="213">
        <v>9.4447249264584698E-2</v>
      </c>
      <c r="G128" s="213">
        <v>9.5103036725395301E-2</v>
      </c>
      <c r="H128" s="213">
        <v>9.5763616350592398E-2</v>
      </c>
      <c r="I128" s="213">
        <v>9.6429024995418E-2</v>
      </c>
      <c r="J128" s="193">
        <v>9.7099299811984396E-2</v>
      </c>
    </row>
    <row r="129" spans="1:10" ht="16" thickBot="1" x14ac:dyDescent="0.25">
      <c r="A129" s="180" t="s">
        <v>567</v>
      </c>
      <c r="B129" s="317"/>
      <c r="C129" s="174" t="s">
        <v>28</v>
      </c>
      <c r="D129" s="213">
        <v>0.86118980169971704</v>
      </c>
      <c r="E129" s="213">
        <v>0.816445790051332</v>
      </c>
      <c r="F129" s="213">
        <v>0.79737110378897602</v>
      </c>
      <c r="G129" s="213">
        <v>0.77874390621843403</v>
      </c>
      <c r="H129" s="213">
        <v>0.76055365467805502</v>
      </c>
      <c r="I129" s="213">
        <v>0.74279005596401404</v>
      </c>
      <c r="J129" s="193">
        <v>0.72544306040184203</v>
      </c>
    </row>
    <row r="130" spans="1:10" ht="16" thickBot="1" x14ac:dyDescent="0.25">
      <c r="A130" s="180" t="s">
        <v>568</v>
      </c>
      <c r="B130" s="317"/>
      <c r="C130" s="174" t="s">
        <v>569</v>
      </c>
      <c r="D130" s="209">
        <f t="shared" ref="D130:J130" si="0">SUM(D123:D125)</f>
        <v>1</v>
      </c>
      <c r="E130" s="209">
        <f t="shared" si="0"/>
        <v>1</v>
      </c>
      <c r="F130" s="209">
        <f t="shared" si="0"/>
        <v>1</v>
      </c>
      <c r="G130" s="209">
        <f t="shared" si="0"/>
        <v>1</v>
      </c>
      <c r="H130" s="209">
        <f t="shared" si="0"/>
        <v>1.00003</v>
      </c>
      <c r="I130" s="209">
        <f t="shared" si="0"/>
        <v>1.0000100000000001</v>
      </c>
      <c r="J130" s="209">
        <f t="shared" si="0"/>
        <v>0.99995000000000001</v>
      </c>
    </row>
    <row r="131" spans="1:10" ht="16" thickBot="1" x14ac:dyDescent="0.25">
      <c r="A131" s="215" t="s">
        <v>570</v>
      </c>
      <c r="B131" s="317"/>
      <c r="C131" s="177" t="s">
        <v>569</v>
      </c>
      <c r="D131" s="209">
        <f t="shared" ref="D131:J131" si="1">SUM(D126:D128)</f>
        <v>1.0000000000000002</v>
      </c>
      <c r="E131" s="209">
        <f t="shared" si="1"/>
        <v>0.99999999999999967</v>
      </c>
      <c r="F131" s="209">
        <f t="shared" si="1"/>
        <v>1.0000000000000004</v>
      </c>
      <c r="G131" s="209">
        <f t="shared" si="1"/>
        <v>1.0000103411124761</v>
      </c>
      <c r="H131" s="209">
        <f t="shared" si="1"/>
        <v>1.0000312346325764</v>
      </c>
      <c r="I131" s="209">
        <f t="shared" si="1"/>
        <v>1.000006895382062</v>
      </c>
      <c r="J131" s="209">
        <f t="shared" si="1"/>
        <v>1.0000288435622415</v>
      </c>
    </row>
    <row r="133" spans="1:10" ht="19" x14ac:dyDescent="0.25">
      <c r="A133" s="306" t="s">
        <v>571</v>
      </c>
      <c r="B133" s="306"/>
      <c r="C133" s="306"/>
      <c r="D133" s="306"/>
      <c r="E133" s="306"/>
      <c r="F133" s="306"/>
      <c r="G133" s="306"/>
      <c r="H133" s="306"/>
      <c r="I133" s="306"/>
    </row>
    <row r="134" spans="1:10" x14ac:dyDescent="0.2">
      <c r="A134" s="180" t="s">
        <v>36</v>
      </c>
      <c r="B134" s="174" t="s">
        <v>36</v>
      </c>
      <c r="C134" s="175">
        <v>2020</v>
      </c>
      <c r="D134" s="175">
        <v>2025</v>
      </c>
      <c r="E134" s="175">
        <v>2030</v>
      </c>
      <c r="F134" s="175">
        <v>2035</v>
      </c>
      <c r="G134" s="175">
        <v>2040</v>
      </c>
      <c r="H134" s="175">
        <v>2045</v>
      </c>
      <c r="I134" s="176">
        <v>2050</v>
      </c>
    </row>
    <row r="135" spans="1:10" x14ac:dyDescent="0.2">
      <c r="A135" s="316" t="s">
        <v>572</v>
      </c>
      <c r="B135" s="174" t="s">
        <v>573</v>
      </c>
      <c r="C135" s="213">
        <v>0.80689476676619099</v>
      </c>
      <c r="D135" s="213">
        <v>0.71021542176077801</v>
      </c>
      <c r="E135" s="213">
        <v>0.60650331097055998</v>
      </c>
      <c r="F135" s="213">
        <v>0.51929710152244202</v>
      </c>
      <c r="G135" s="213">
        <v>0.432090892074324</v>
      </c>
      <c r="H135" s="213">
        <v>0.34488468262620597</v>
      </c>
      <c r="I135" s="193">
        <v>0.27268180370928902</v>
      </c>
    </row>
    <row r="136" spans="1:10" x14ac:dyDescent="0.2">
      <c r="A136" s="316"/>
      <c r="B136" s="174" t="s">
        <v>192</v>
      </c>
      <c r="C136" s="213">
        <v>2.5719720127708699E-2</v>
      </c>
      <c r="D136" s="213">
        <v>5.04865457750533E-2</v>
      </c>
      <c r="E136" s="213">
        <v>7.2522641427268802E-2</v>
      </c>
      <c r="F136" s="213">
        <v>9.66968552363585E-2</v>
      </c>
      <c r="G136" s="213">
        <v>0.120871069045448</v>
      </c>
      <c r="H136" s="213">
        <v>0.14504528285453799</v>
      </c>
      <c r="I136" s="193">
        <v>0.16921949666362701</v>
      </c>
    </row>
    <row r="137" spans="1:10" x14ac:dyDescent="0.2">
      <c r="A137" s="316"/>
      <c r="B137" s="174" t="s">
        <v>374</v>
      </c>
      <c r="C137" s="213">
        <v>0.14108125388458001</v>
      </c>
      <c r="D137" s="213">
        <v>0.18766406519422801</v>
      </c>
      <c r="E137" s="213">
        <v>0.24680316432428201</v>
      </c>
      <c r="F137" s="213">
        <v>0.28511153220401497</v>
      </c>
      <c r="G137" s="213">
        <v>0.32341990008374699</v>
      </c>
      <c r="H137" s="213">
        <v>0.36172826796347901</v>
      </c>
      <c r="I137" s="193">
        <v>0.38503330531201002</v>
      </c>
    </row>
    <row r="138" spans="1:10" x14ac:dyDescent="0.2">
      <c r="A138" s="316"/>
      <c r="B138" s="174" t="s">
        <v>574</v>
      </c>
      <c r="C138" s="213">
        <v>2.6304259221520299E-2</v>
      </c>
      <c r="D138" s="213">
        <v>5.1633967269940899E-2</v>
      </c>
      <c r="E138" s="213">
        <v>7.4170883277888594E-2</v>
      </c>
      <c r="F138" s="213">
        <v>9.8894511037184801E-2</v>
      </c>
      <c r="G138" s="213">
        <v>0.12361813879648099</v>
      </c>
      <c r="H138" s="213">
        <v>0.14834176655577699</v>
      </c>
      <c r="I138" s="193">
        <v>0.17306539431507301</v>
      </c>
    </row>
    <row r="139" spans="1:10" x14ac:dyDescent="0.2">
      <c r="A139" s="316" t="s">
        <v>564</v>
      </c>
      <c r="B139" s="174" t="s">
        <v>573</v>
      </c>
      <c r="C139" s="213">
        <v>0.96638655462184897</v>
      </c>
      <c r="D139" s="213">
        <v>0.93277310924369805</v>
      </c>
      <c r="E139" s="213">
        <v>0.89915966386554602</v>
      </c>
      <c r="F139" s="213">
        <v>0.86554621848739499</v>
      </c>
      <c r="G139" s="213">
        <v>0.83193277310924396</v>
      </c>
      <c r="H139" s="213">
        <v>0.79831932773109304</v>
      </c>
      <c r="I139" s="193">
        <v>0.76470588235294101</v>
      </c>
    </row>
    <row r="140" spans="1:10" x14ac:dyDescent="0.2">
      <c r="A140" s="316"/>
      <c r="B140" s="174" t="s">
        <v>192</v>
      </c>
      <c r="C140" s="213">
        <v>3.3613445378151301E-2</v>
      </c>
      <c r="D140" s="213">
        <v>6.7226890756302504E-2</v>
      </c>
      <c r="E140" s="213">
        <v>0.10084033613445401</v>
      </c>
      <c r="F140" s="213">
        <v>0.13445378151260501</v>
      </c>
      <c r="G140" s="213">
        <v>0.16806722689075601</v>
      </c>
      <c r="H140" s="213">
        <v>0.20168067226890801</v>
      </c>
      <c r="I140" s="193">
        <v>0.23529411764705899</v>
      </c>
    </row>
    <row r="141" spans="1:10" x14ac:dyDescent="0.2">
      <c r="A141" s="316"/>
      <c r="B141" s="174" t="s">
        <v>374</v>
      </c>
      <c r="C141" s="213">
        <v>0</v>
      </c>
      <c r="D141" s="213">
        <v>0</v>
      </c>
      <c r="E141" s="213">
        <v>0</v>
      </c>
      <c r="F141" s="213">
        <v>0</v>
      </c>
      <c r="G141" s="213">
        <v>0</v>
      </c>
      <c r="H141" s="213">
        <v>0</v>
      </c>
      <c r="I141" s="193">
        <v>0</v>
      </c>
    </row>
    <row r="142" spans="1:10" x14ac:dyDescent="0.2">
      <c r="A142" s="316"/>
      <c r="B142" s="174" t="s">
        <v>574</v>
      </c>
      <c r="C142" s="213">
        <v>0</v>
      </c>
      <c r="D142" s="213">
        <v>0</v>
      </c>
      <c r="E142" s="213">
        <v>0</v>
      </c>
      <c r="F142" s="213">
        <v>0</v>
      </c>
      <c r="G142" s="213">
        <v>0</v>
      </c>
      <c r="H142" s="213">
        <v>0</v>
      </c>
      <c r="I142" s="193">
        <v>0</v>
      </c>
    </row>
    <row r="143" spans="1:10" x14ac:dyDescent="0.2">
      <c r="A143" s="316" t="s">
        <v>565</v>
      </c>
      <c r="B143" s="174" t="s">
        <v>573</v>
      </c>
      <c r="C143" s="213">
        <v>0</v>
      </c>
      <c r="D143" s="213">
        <v>0</v>
      </c>
      <c r="E143" s="213">
        <v>0</v>
      </c>
      <c r="F143" s="213">
        <v>0</v>
      </c>
      <c r="G143" s="213">
        <v>0</v>
      </c>
      <c r="H143" s="213">
        <v>0</v>
      </c>
      <c r="I143" s="193">
        <v>0</v>
      </c>
    </row>
    <row r="144" spans="1:10" x14ac:dyDescent="0.2">
      <c r="A144" s="316"/>
      <c r="B144" s="174" t="s">
        <v>192</v>
      </c>
      <c r="C144" s="213">
        <v>0</v>
      </c>
      <c r="D144" s="213">
        <v>0</v>
      </c>
      <c r="E144" s="213">
        <v>0</v>
      </c>
      <c r="F144" s="213">
        <v>0</v>
      </c>
      <c r="G144" s="213">
        <v>0</v>
      </c>
      <c r="H144" s="213">
        <v>0</v>
      </c>
      <c r="I144" s="193">
        <v>0</v>
      </c>
    </row>
    <row r="145" spans="1:9" x14ac:dyDescent="0.2">
      <c r="A145" s="316"/>
      <c r="B145" s="174" t="s">
        <v>374</v>
      </c>
      <c r="C145" s="213">
        <v>0</v>
      </c>
      <c r="D145" s="213">
        <v>0</v>
      </c>
      <c r="E145" s="213">
        <v>0</v>
      </c>
      <c r="F145" s="213">
        <v>0</v>
      </c>
      <c r="G145" s="213">
        <v>0</v>
      </c>
      <c r="H145" s="213">
        <v>0</v>
      </c>
      <c r="I145" s="193">
        <v>0</v>
      </c>
    </row>
    <row r="146" spans="1:9" x14ac:dyDescent="0.2">
      <c r="A146" s="316"/>
      <c r="B146" s="174" t="s">
        <v>574</v>
      </c>
      <c r="C146" s="213">
        <v>0</v>
      </c>
      <c r="D146" s="213">
        <v>0</v>
      </c>
      <c r="E146" s="213">
        <v>0</v>
      </c>
      <c r="F146" s="213">
        <v>0</v>
      </c>
      <c r="G146" s="213">
        <v>0</v>
      </c>
      <c r="H146" s="213">
        <v>0</v>
      </c>
      <c r="I146" s="193">
        <v>0</v>
      </c>
    </row>
    <row r="147" spans="1:9" ht="19" x14ac:dyDescent="0.25">
      <c r="A147" s="318" t="s">
        <v>575</v>
      </c>
      <c r="B147" s="318"/>
      <c r="C147" s="318"/>
      <c r="D147" s="318"/>
      <c r="E147" s="318"/>
      <c r="F147" s="318"/>
      <c r="G147" s="318"/>
      <c r="H147" s="318"/>
      <c r="I147" s="318"/>
    </row>
    <row r="148" spans="1:9" x14ac:dyDescent="0.2">
      <c r="A148" s="180" t="s">
        <v>36</v>
      </c>
      <c r="B148" s="174" t="s">
        <v>36</v>
      </c>
      <c r="C148" s="175">
        <v>2020</v>
      </c>
      <c r="D148" s="175">
        <v>2025</v>
      </c>
      <c r="E148" s="175">
        <v>2030</v>
      </c>
      <c r="F148" s="175">
        <v>2035</v>
      </c>
      <c r="G148" s="175">
        <v>2040</v>
      </c>
      <c r="H148" s="175">
        <v>2045</v>
      </c>
      <c r="I148" s="176">
        <v>2050</v>
      </c>
    </row>
    <row r="149" spans="1:9" x14ac:dyDescent="0.2">
      <c r="A149" s="316" t="s">
        <v>572</v>
      </c>
      <c r="B149" s="174" t="s">
        <v>573</v>
      </c>
      <c r="C149" s="213">
        <v>0.81232807061705203</v>
      </c>
      <c r="D149" s="213">
        <v>0.69070448408046803</v>
      </c>
      <c r="E149" s="213">
        <v>0.58121932538473597</v>
      </c>
      <c r="F149" s="213">
        <v>0.47324615070276999</v>
      </c>
      <c r="G149" s="213">
        <v>0.365272976020804</v>
      </c>
      <c r="H149" s="213">
        <v>0.25729980133883801</v>
      </c>
      <c r="I149" s="193">
        <v>4.7326462882118503E-2</v>
      </c>
    </row>
    <row r="150" spans="1:9" x14ac:dyDescent="0.2">
      <c r="A150" s="316"/>
      <c r="B150" s="174" t="s">
        <v>192</v>
      </c>
      <c r="C150" s="213">
        <v>5.0511543543349503E-2</v>
      </c>
      <c r="D150" s="213">
        <v>6.3989756481404203E-2</v>
      </c>
      <c r="E150" s="213">
        <v>7.8297570769764804E-2</v>
      </c>
      <c r="F150" s="213">
        <v>9.38225342940677E-2</v>
      </c>
      <c r="G150" s="213">
        <v>0.10934749781837</v>
      </c>
      <c r="H150" s="213">
        <v>0.12487246134267301</v>
      </c>
      <c r="I150" s="193">
        <v>0.147110104070304</v>
      </c>
    </row>
    <row r="151" spans="1:9" x14ac:dyDescent="0.2">
      <c r="A151" s="316"/>
      <c r="B151" s="174" t="s">
        <v>374</v>
      </c>
      <c r="C151" s="213">
        <v>0.133646787816532</v>
      </c>
      <c r="D151" s="213">
        <v>0.23825249436891499</v>
      </c>
      <c r="E151" s="213">
        <v>0.32980805978183098</v>
      </c>
      <c r="F151" s="213">
        <v>0.418734491739984</v>
      </c>
      <c r="G151" s="213">
        <v>0.50766092369813598</v>
      </c>
      <c r="H151" s="213">
        <v>0.59658735565628795</v>
      </c>
      <c r="I151" s="193">
        <v>0.78091097865099901</v>
      </c>
    </row>
    <row r="152" spans="1:9" x14ac:dyDescent="0.2">
      <c r="A152" s="316"/>
      <c r="B152" s="174" t="s">
        <v>574</v>
      </c>
      <c r="C152" s="213">
        <v>3.5135980230661902E-3</v>
      </c>
      <c r="D152" s="213">
        <v>7.0532650692127202E-3</v>
      </c>
      <c r="E152" s="213">
        <v>1.0675044063667601E-2</v>
      </c>
      <c r="F152" s="213">
        <v>1.4196823263178801E-2</v>
      </c>
      <c r="G152" s="213">
        <v>1.7718602462690001E-2</v>
      </c>
      <c r="H152" s="213">
        <v>2.1240381662201199E-2</v>
      </c>
      <c r="I152" s="193">
        <v>2.46524543965785E-2</v>
      </c>
    </row>
    <row r="153" spans="1:9" x14ac:dyDescent="0.2">
      <c r="A153" s="316" t="s">
        <v>564</v>
      </c>
      <c r="B153" s="174" t="s">
        <v>573</v>
      </c>
      <c r="C153" s="213">
        <v>0.96638655462184897</v>
      </c>
      <c r="D153" s="213">
        <v>0.93277310924369805</v>
      </c>
      <c r="E153" s="213">
        <v>0.89915966386554602</v>
      </c>
      <c r="F153" s="213">
        <v>0.86554621848739499</v>
      </c>
      <c r="G153" s="213">
        <v>0.83193277310924396</v>
      </c>
      <c r="H153" s="213">
        <v>0.79831932773109304</v>
      </c>
      <c r="I153" s="193">
        <v>0.76470588235294101</v>
      </c>
    </row>
    <row r="154" spans="1:9" x14ac:dyDescent="0.2">
      <c r="A154" s="316"/>
      <c r="B154" s="174" t="s">
        <v>192</v>
      </c>
      <c r="C154" s="213">
        <v>3.3613445378151301E-2</v>
      </c>
      <c r="D154" s="213">
        <v>6.7226890756302504E-2</v>
      </c>
      <c r="E154" s="213">
        <v>0.10084033613445401</v>
      </c>
      <c r="F154" s="213">
        <v>0.13445378151260501</v>
      </c>
      <c r="G154" s="213">
        <v>0.16806722689075601</v>
      </c>
      <c r="H154" s="213">
        <v>0.20168067226890801</v>
      </c>
      <c r="I154" s="193">
        <v>0.23529411764705899</v>
      </c>
    </row>
    <row r="155" spans="1:9" x14ac:dyDescent="0.2">
      <c r="A155" s="316"/>
      <c r="B155" s="174" t="s">
        <v>374</v>
      </c>
      <c r="C155" s="213">
        <v>0</v>
      </c>
      <c r="D155" s="213">
        <v>0</v>
      </c>
      <c r="E155" s="213">
        <v>0</v>
      </c>
      <c r="F155" s="213">
        <v>0</v>
      </c>
      <c r="G155" s="213">
        <v>0</v>
      </c>
      <c r="H155" s="213">
        <v>0</v>
      </c>
      <c r="I155" s="193">
        <v>0</v>
      </c>
    </row>
    <row r="156" spans="1:9" x14ac:dyDescent="0.2">
      <c r="A156" s="316"/>
      <c r="B156" s="174" t="s">
        <v>574</v>
      </c>
      <c r="C156" s="213">
        <v>0</v>
      </c>
      <c r="D156" s="213">
        <v>0</v>
      </c>
      <c r="E156" s="213">
        <v>0</v>
      </c>
      <c r="F156" s="213">
        <v>0</v>
      </c>
      <c r="G156" s="213">
        <v>0</v>
      </c>
      <c r="H156" s="213">
        <v>0</v>
      </c>
      <c r="I156" s="193">
        <v>0</v>
      </c>
    </row>
    <row r="157" spans="1:9" x14ac:dyDescent="0.2">
      <c r="A157" s="316" t="s">
        <v>565</v>
      </c>
      <c r="B157" s="174" t="s">
        <v>573</v>
      </c>
      <c r="C157" s="213">
        <v>0.99719887955182096</v>
      </c>
      <c r="D157" s="213">
        <v>0.99439775910364203</v>
      </c>
      <c r="E157" s="213">
        <v>0.99159663865546199</v>
      </c>
      <c r="F157" s="213">
        <v>0.98879551820728295</v>
      </c>
      <c r="G157" s="213">
        <v>0.98599439775910402</v>
      </c>
      <c r="H157" s="213">
        <v>0.98319327731092399</v>
      </c>
      <c r="I157" s="193">
        <v>0.98039215686274495</v>
      </c>
    </row>
    <row r="158" spans="1:9" x14ac:dyDescent="0.2">
      <c r="A158" s="316"/>
      <c r="B158" s="174" t="s">
        <v>192</v>
      </c>
      <c r="C158" s="213">
        <v>0</v>
      </c>
      <c r="D158" s="213">
        <v>0</v>
      </c>
      <c r="E158" s="213">
        <v>0</v>
      </c>
      <c r="F158" s="213">
        <v>0</v>
      </c>
      <c r="G158" s="213">
        <v>0</v>
      </c>
      <c r="H158" s="213">
        <v>0</v>
      </c>
      <c r="I158" s="193">
        <v>0</v>
      </c>
    </row>
    <row r="159" spans="1:9" x14ac:dyDescent="0.2">
      <c r="A159" s="316"/>
      <c r="B159" s="174" t="s">
        <v>374</v>
      </c>
      <c r="C159" s="213">
        <v>2.80112044817927E-3</v>
      </c>
      <c r="D159" s="213">
        <v>5.60224089635854E-3</v>
      </c>
      <c r="E159" s="213">
        <v>8.40336134453782E-3</v>
      </c>
      <c r="F159" s="213">
        <v>1.1204481792717101E-2</v>
      </c>
      <c r="G159" s="213">
        <v>1.4005602240896401E-2</v>
      </c>
      <c r="H159" s="213">
        <v>1.6806722689075598E-2</v>
      </c>
      <c r="I159" s="193">
        <v>1.9607843137254902E-2</v>
      </c>
    </row>
    <row r="160" spans="1:9" x14ac:dyDescent="0.2">
      <c r="A160" s="316"/>
      <c r="B160" s="174" t="s">
        <v>574</v>
      </c>
      <c r="C160" s="213">
        <v>0</v>
      </c>
      <c r="D160" s="213">
        <v>0</v>
      </c>
      <c r="E160" s="213">
        <v>0</v>
      </c>
      <c r="F160" s="213">
        <v>0</v>
      </c>
      <c r="G160" s="213">
        <v>0</v>
      </c>
      <c r="H160" s="213">
        <v>0</v>
      </c>
      <c r="I160" s="193">
        <v>0</v>
      </c>
    </row>
    <row r="161" spans="1:51" ht="16" thickBot="1" x14ac:dyDescent="0.25">
      <c r="A161" s="307" t="s">
        <v>576</v>
      </c>
      <c r="B161" s="174" t="s">
        <v>573</v>
      </c>
      <c r="C161" s="213">
        <v>0.82871083959899705</v>
      </c>
      <c r="D161" s="213">
        <v>0.69662151061126698</v>
      </c>
      <c r="E161" s="213">
        <v>0.56459726690870604</v>
      </c>
      <c r="F161" s="213">
        <v>0.43251965261780001</v>
      </c>
      <c r="G161" s="213">
        <v>0.30044203832689398</v>
      </c>
      <c r="H161" s="213">
        <v>0.168364424035988</v>
      </c>
      <c r="I161" s="193">
        <v>3.6286809745082499E-2</v>
      </c>
    </row>
    <row r="162" spans="1:51" ht="16" thickBot="1" x14ac:dyDescent="0.25">
      <c r="A162" s="307"/>
      <c r="B162" s="174" t="s">
        <v>192</v>
      </c>
      <c r="C162" s="213">
        <v>5.6965852130325803E-2</v>
      </c>
      <c r="D162" s="213">
        <v>7.5022347727485006E-2</v>
      </c>
      <c r="E162" s="213">
        <v>9.3065840221172105E-2</v>
      </c>
      <c r="F162" s="213">
        <v>0.11112339130886199</v>
      </c>
      <c r="G162" s="213">
        <v>0.12918094239655201</v>
      </c>
      <c r="H162" s="213">
        <v>0.14723849348424201</v>
      </c>
      <c r="I162" s="193">
        <v>0.165296044571933</v>
      </c>
    </row>
    <row r="163" spans="1:51" ht="16" thickBot="1" x14ac:dyDescent="0.25">
      <c r="A163" s="307"/>
      <c r="B163" s="174" t="s">
        <v>374</v>
      </c>
      <c r="C163" s="213">
        <v>0.111544486215539</v>
      </c>
      <c r="D163" s="213">
        <v>0.22279893071847101</v>
      </c>
      <c r="E163" s="213">
        <v>0.334002638521957</v>
      </c>
      <c r="F163" s="213">
        <v>0.44524461694245099</v>
      </c>
      <c r="G163" s="213">
        <v>0.55648659536294598</v>
      </c>
      <c r="H163" s="213">
        <v>0.66772857378343997</v>
      </c>
      <c r="I163" s="193">
        <v>0.77897055220393396</v>
      </c>
    </row>
    <row r="164" spans="1:51" ht="16" thickBot="1" x14ac:dyDescent="0.25">
      <c r="A164" s="307"/>
      <c r="B164" s="177" t="s">
        <v>574</v>
      </c>
      <c r="C164" s="178">
        <v>2.7788220551378398E-3</v>
      </c>
      <c r="D164" s="178">
        <v>5.5572109427766596E-3</v>
      </c>
      <c r="E164" s="178">
        <v>8.33425434816467E-3</v>
      </c>
      <c r="F164" s="178">
        <v>1.11123391308862E-2</v>
      </c>
      <c r="G164" s="178">
        <v>1.3890423913607799E-2</v>
      </c>
      <c r="H164" s="178">
        <v>1.6668508696329298E-2</v>
      </c>
      <c r="I164" s="179">
        <v>1.9446593479050901E-2</v>
      </c>
    </row>
    <row r="165" spans="1:51" x14ac:dyDescent="0.2">
      <c r="A165" s="216"/>
      <c r="B165" s="216"/>
      <c r="C165" s="216"/>
      <c r="D165" s="216"/>
      <c r="E165" s="216"/>
      <c r="F165" s="216"/>
      <c r="G165" s="216"/>
      <c r="H165" s="216"/>
      <c r="I165" s="216"/>
      <c r="J165" s="216"/>
      <c r="K165" s="216"/>
      <c r="L165" s="216"/>
      <c r="M165" s="216"/>
      <c r="N165" s="216"/>
      <c r="O165" s="216"/>
      <c r="P165" s="216"/>
      <c r="Q165" s="216"/>
      <c r="R165" s="216"/>
      <c r="S165" s="216"/>
      <c r="T165" s="216"/>
      <c r="U165" s="216"/>
      <c r="V165" s="216"/>
      <c r="W165" s="216"/>
      <c r="X165" s="216"/>
      <c r="Y165" s="216"/>
      <c r="Z165" s="216"/>
      <c r="AA165" s="216"/>
      <c r="AB165" s="216"/>
      <c r="AC165" s="216"/>
      <c r="AD165" s="216"/>
      <c r="AE165" s="216"/>
      <c r="AF165" s="216"/>
      <c r="AG165" s="216"/>
      <c r="AH165" s="216"/>
      <c r="AI165" s="216"/>
      <c r="AJ165" s="216"/>
      <c r="AK165" s="216"/>
      <c r="AL165" s="216"/>
      <c r="AM165" s="216"/>
      <c r="AN165" s="216"/>
      <c r="AO165" s="216"/>
      <c r="AP165" s="216"/>
      <c r="AQ165" s="216"/>
      <c r="AR165" s="216"/>
      <c r="AS165" s="216"/>
      <c r="AT165" s="216"/>
      <c r="AU165" s="216"/>
      <c r="AV165" s="216"/>
      <c r="AW165" s="216"/>
      <c r="AX165" s="216"/>
      <c r="AY165" s="216"/>
    </row>
    <row r="166" spans="1:51" ht="15" customHeight="1" x14ac:dyDescent="0.2"/>
    <row r="167" spans="1:51" ht="21.75" customHeight="1" thickBot="1" x14ac:dyDescent="0.35">
      <c r="A167" s="173" t="s">
        <v>577</v>
      </c>
    </row>
    <row r="168" spans="1:51" ht="19" x14ac:dyDescent="0.25">
      <c r="A168" s="306" t="s">
        <v>317</v>
      </c>
      <c r="B168" s="306"/>
      <c r="C168" s="306"/>
      <c r="D168" s="306"/>
      <c r="E168" s="306"/>
    </row>
    <row r="169" spans="1:51" ht="85.5" customHeight="1" thickBot="1" x14ac:dyDescent="0.25">
      <c r="A169" s="319" t="s">
        <v>318</v>
      </c>
      <c r="B169" s="319"/>
      <c r="C169" s="319"/>
      <c r="D169" s="319"/>
      <c r="E169" s="319"/>
    </row>
    <row r="170" spans="1:51" ht="15" customHeight="1" thickBot="1" x14ac:dyDescent="0.25">
      <c r="A170" s="81"/>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c r="AA170" s="81"/>
      <c r="AB170" s="81"/>
      <c r="AC170" s="81"/>
      <c r="AD170" s="81"/>
      <c r="AE170" s="81"/>
      <c r="AF170" s="81"/>
      <c r="AG170" s="81"/>
      <c r="AH170" s="81"/>
      <c r="AI170" s="81"/>
      <c r="AJ170" s="81"/>
      <c r="AK170" s="81"/>
      <c r="AL170" s="81"/>
      <c r="AM170" s="81"/>
      <c r="AN170" s="81"/>
      <c r="AO170" s="81"/>
      <c r="AP170" s="81"/>
      <c r="AQ170" s="81"/>
      <c r="AR170" s="81"/>
      <c r="AS170" s="81"/>
      <c r="AT170" s="81"/>
      <c r="AU170" s="81"/>
      <c r="AV170" s="81"/>
      <c r="AW170" s="81"/>
      <c r="AX170" s="81"/>
      <c r="AY170" s="81"/>
    </row>
    <row r="171" spans="1:51" ht="13.5" customHeight="1" thickBot="1" x14ac:dyDescent="0.25">
      <c r="A171" s="320" t="s">
        <v>319</v>
      </c>
      <c r="B171" s="217" t="s">
        <v>320</v>
      </c>
      <c r="C171" s="321">
        <v>3</v>
      </c>
      <c r="D171" s="81"/>
      <c r="F171" s="81"/>
      <c r="G171" s="81"/>
      <c r="H171" s="81"/>
      <c r="I171" s="81"/>
      <c r="J171" s="81"/>
      <c r="K171" s="139"/>
      <c r="L171" s="139"/>
      <c r="M171" s="81"/>
      <c r="N171" s="81"/>
    </row>
    <row r="172" spans="1:51" ht="16" thickBot="1" x14ac:dyDescent="0.25">
      <c r="A172" s="320"/>
      <c r="B172" s="174" t="s">
        <v>321</v>
      </c>
      <c r="C172" s="321"/>
      <c r="D172" s="141"/>
      <c r="E172" s="141"/>
      <c r="F172" s="141"/>
      <c r="G172" s="141"/>
      <c r="H172" s="141"/>
      <c r="I172" s="141"/>
      <c r="J172" s="141"/>
      <c r="K172" s="141"/>
      <c r="L172" s="141"/>
      <c r="M172" s="141"/>
      <c r="N172" s="141"/>
    </row>
    <row r="173" spans="1:51" ht="28.5" customHeight="1" thickBot="1" x14ac:dyDescent="0.25">
      <c r="A173" s="320"/>
      <c r="B173" s="177" t="s">
        <v>322</v>
      </c>
      <c r="C173" s="321"/>
      <c r="D173" s="81"/>
      <c r="E173" s="81"/>
      <c r="F173" s="81"/>
      <c r="G173" s="81"/>
      <c r="H173" s="81"/>
      <c r="I173" s="81"/>
      <c r="J173" s="81"/>
      <c r="K173" s="81"/>
      <c r="L173" s="81"/>
      <c r="M173" s="81"/>
      <c r="N173" s="81"/>
    </row>
    <row r="175" spans="1:51" ht="15.75" customHeight="1" x14ac:dyDescent="0.25">
      <c r="A175" s="306" t="s">
        <v>323</v>
      </c>
      <c r="B175" s="306"/>
      <c r="C175" s="306"/>
    </row>
    <row r="176" spans="1:51" x14ac:dyDescent="0.2">
      <c r="A176" s="180" t="s">
        <v>324</v>
      </c>
      <c r="B176" s="174" t="s">
        <v>28</v>
      </c>
      <c r="C176" s="176">
        <v>0.3</v>
      </c>
    </row>
    <row r="177" spans="1:30" ht="33" thickBot="1" x14ac:dyDescent="0.25">
      <c r="A177" s="218" t="s">
        <v>326</v>
      </c>
      <c r="B177" s="177" t="s">
        <v>327</v>
      </c>
      <c r="C177" s="211">
        <v>3.1E-2</v>
      </c>
    </row>
    <row r="178" spans="1:30" ht="15.75" customHeight="1" x14ac:dyDescent="0.25">
      <c r="A178" s="311" t="s">
        <v>578</v>
      </c>
      <c r="B178" s="311"/>
      <c r="C178" s="219" t="s">
        <v>576</v>
      </c>
      <c r="D178" s="219" t="s">
        <v>579</v>
      </c>
      <c r="E178" s="219" t="s">
        <v>362</v>
      </c>
      <c r="F178" s="219" t="s">
        <v>580</v>
      </c>
      <c r="G178" s="219" t="s">
        <v>581</v>
      </c>
      <c r="H178" s="219" t="s">
        <v>582</v>
      </c>
      <c r="I178" s="219" t="s">
        <v>583</v>
      </c>
      <c r="J178" s="219" t="s">
        <v>354</v>
      </c>
      <c r="K178" s="219" t="s">
        <v>584</v>
      </c>
      <c r="L178" s="219" t="s">
        <v>585</v>
      </c>
      <c r="M178" s="219" t="s">
        <v>586</v>
      </c>
      <c r="N178" s="219" t="s">
        <v>587</v>
      </c>
      <c r="O178" s="219" t="s">
        <v>588</v>
      </c>
      <c r="P178" s="219" t="s">
        <v>589</v>
      </c>
      <c r="Q178" s="220" t="s">
        <v>590</v>
      </c>
      <c r="R178" s="220" t="s">
        <v>338</v>
      </c>
      <c r="S178" s="220" t="s">
        <v>591</v>
      </c>
      <c r="T178" s="220" t="s">
        <v>592</v>
      </c>
      <c r="U178" s="220" t="s">
        <v>593</v>
      </c>
      <c r="V178" s="220" t="s">
        <v>594</v>
      </c>
      <c r="W178" s="220" t="s">
        <v>595</v>
      </c>
      <c r="X178" s="220" t="s">
        <v>596</v>
      </c>
      <c r="Y178" s="220" t="s">
        <v>597</v>
      </c>
      <c r="Z178" s="220" t="s">
        <v>598</v>
      </c>
      <c r="AA178" s="220" t="s">
        <v>599</v>
      </c>
      <c r="AB178" s="220" t="s">
        <v>351</v>
      </c>
      <c r="AC178" s="220" t="s">
        <v>361</v>
      </c>
      <c r="AD178" s="220" t="s">
        <v>600</v>
      </c>
    </row>
    <row r="179" spans="1:30" x14ac:dyDescent="0.2">
      <c r="A179" s="322" t="s">
        <v>374</v>
      </c>
      <c r="B179" s="322"/>
      <c r="C179" s="221">
        <v>2030</v>
      </c>
      <c r="D179" s="221">
        <v>2030</v>
      </c>
      <c r="E179" s="221">
        <v>2030</v>
      </c>
      <c r="F179" s="221">
        <v>2030</v>
      </c>
      <c r="G179" s="221">
        <v>2030</v>
      </c>
      <c r="H179" s="221">
        <v>2030</v>
      </c>
      <c r="I179" s="221">
        <v>2030</v>
      </c>
      <c r="J179" s="221">
        <v>2030</v>
      </c>
      <c r="K179" s="221">
        <v>2030</v>
      </c>
      <c r="L179" s="221">
        <v>2030</v>
      </c>
      <c r="M179" s="221">
        <v>2030</v>
      </c>
      <c r="N179" s="221">
        <v>2030</v>
      </c>
      <c r="O179" s="221">
        <v>2030</v>
      </c>
      <c r="P179" s="221">
        <v>2030</v>
      </c>
      <c r="Q179" s="222">
        <v>2030</v>
      </c>
      <c r="R179" s="222">
        <v>2030</v>
      </c>
      <c r="S179" s="222">
        <v>2030</v>
      </c>
      <c r="T179" s="222">
        <v>2030</v>
      </c>
      <c r="U179" s="222">
        <v>2030</v>
      </c>
      <c r="V179" s="222">
        <v>2030</v>
      </c>
      <c r="W179" s="222">
        <v>2030</v>
      </c>
      <c r="X179" s="222">
        <v>2030</v>
      </c>
      <c r="Y179" s="222">
        <v>2030</v>
      </c>
      <c r="Z179" s="222">
        <v>2030</v>
      </c>
      <c r="AA179" s="222">
        <v>2030</v>
      </c>
      <c r="AB179" s="222">
        <v>2030</v>
      </c>
      <c r="AC179" s="222">
        <v>2030</v>
      </c>
      <c r="AD179" s="222">
        <v>2030</v>
      </c>
    </row>
    <row r="180" spans="1:30" x14ac:dyDescent="0.2">
      <c r="A180" s="322" t="s">
        <v>375</v>
      </c>
      <c r="B180" s="322"/>
      <c r="C180" s="221">
        <v>2030</v>
      </c>
      <c r="D180" s="221">
        <v>2030</v>
      </c>
      <c r="E180" s="221">
        <v>2030</v>
      </c>
      <c r="F180" s="221">
        <v>2030</v>
      </c>
      <c r="G180" s="221">
        <v>2030</v>
      </c>
      <c r="H180" s="221">
        <v>2030</v>
      </c>
      <c r="I180" s="221">
        <v>2030</v>
      </c>
      <c r="J180" s="221">
        <v>2030</v>
      </c>
      <c r="K180" s="221">
        <v>2030</v>
      </c>
      <c r="L180" s="221">
        <v>2030</v>
      </c>
      <c r="M180" s="221">
        <v>2030</v>
      </c>
      <c r="N180" s="221">
        <v>2030</v>
      </c>
      <c r="O180" s="221">
        <v>2030</v>
      </c>
      <c r="P180" s="221">
        <v>2030</v>
      </c>
      <c r="Q180" s="222">
        <v>2030</v>
      </c>
      <c r="R180" s="222">
        <v>2030</v>
      </c>
      <c r="S180" s="222">
        <v>2030</v>
      </c>
      <c r="T180" s="222">
        <v>2030</v>
      </c>
      <c r="U180" s="222">
        <v>2030</v>
      </c>
      <c r="V180" s="222">
        <v>2030</v>
      </c>
      <c r="W180" s="222">
        <v>2030</v>
      </c>
      <c r="X180" s="222">
        <v>2030</v>
      </c>
      <c r="Y180" s="222">
        <v>2030</v>
      </c>
      <c r="Z180" s="222">
        <v>2030</v>
      </c>
      <c r="AA180" s="222">
        <v>2030</v>
      </c>
      <c r="AB180" s="222">
        <v>2030</v>
      </c>
      <c r="AC180" s="222">
        <v>2030</v>
      </c>
      <c r="AD180" s="222">
        <v>2030</v>
      </c>
    </row>
    <row r="181" spans="1:30" x14ac:dyDescent="0.2">
      <c r="A181" s="322" t="s">
        <v>376</v>
      </c>
      <c r="B181" s="322"/>
      <c r="C181" s="221">
        <v>2030</v>
      </c>
      <c r="D181" s="221">
        <v>2030</v>
      </c>
      <c r="E181" s="221">
        <v>2030</v>
      </c>
      <c r="F181" s="221">
        <v>2030</v>
      </c>
      <c r="G181" s="221">
        <v>2030</v>
      </c>
      <c r="H181" s="221">
        <v>2030</v>
      </c>
      <c r="I181" s="221">
        <v>2030</v>
      </c>
      <c r="J181" s="221">
        <v>2030</v>
      </c>
      <c r="K181" s="221">
        <v>2030</v>
      </c>
      <c r="L181" s="221">
        <v>2030</v>
      </c>
      <c r="M181" s="221">
        <v>2030</v>
      </c>
      <c r="N181" s="221">
        <v>2030</v>
      </c>
      <c r="O181" s="221">
        <v>2030</v>
      </c>
      <c r="P181" s="221">
        <v>2030</v>
      </c>
      <c r="Q181" s="222">
        <v>2030</v>
      </c>
      <c r="R181" s="222">
        <v>2030</v>
      </c>
      <c r="S181" s="222">
        <v>2030</v>
      </c>
      <c r="T181" s="222">
        <v>2030</v>
      </c>
      <c r="U181" s="222">
        <v>2030</v>
      </c>
      <c r="V181" s="222">
        <v>2030</v>
      </c>
      <c r="W181" s="222">
        <v>2030</v>
      </c>
      <c r="X181" s="222">
        <v>2030</v>
      </c>
      <c r="Y181" s="222">
        <v>2030</v>
      </c>
      <c r="Z181" s="222">
        <v>2030</v>
      </c>
      <c r="AA181" s="222">
        <v>2030</v>
      </c>
      <c r="AB181" s="222">
        <v>2030</v>
      </c>
      <c r="AC181" s="222">
        <v>2030</v>
      </c>
      <c r="AD181" s="222">
        <v>2030</v>
      </c>
    </row>
    <row r="182" spans="1:30" x14ac:dyDescent="0.2">
      <c r="A182" s="322" t="s">
        <v>377</v>
      </c>
      <c r="B182" s="322"/>
      <c r="C182" s="221">
        <v>2030</v>
      </c>
      <c r="D182" s="221">
        <v>2030</v>
      </c>
      <c r="E182" s="221">
        <v>2030</v>
      </c>
      <c r="F182" s="221">
        <v>2030</v>
      </c>
      <c r="G182" s="221">
        <v>2030</v>
      </c>
      <c r="H182" s="221">
        <v>2030</v>
      </c>
      <c r="I182" s="221">
        <v>2030</v>
      </c>
      <c r="J182" s="221">
        <v>2030</v>
      </c>
      <c r="K182" s="221">
        <v>2030</v>
      </c>
      <c r="L182" s="221">
        <v>2030</v>
      </c>
      <c r="M182" s="221">
        <v>2030</v>
      </c>
      <c r="N182" s="221">
        <v>2030</v>
      </c>
      <c r="O182" s="221">
        <v>2030</v>
      </c>
      <c r="P182" s="221">
        <v>2030</v>
      </c>
      <c r="Q182" s="222">
        <v>2030</v>
      </c>
      <c r="R182" s="222">
        <v>2030</v>
      </c>
      <c r="S182" s="222">
        <v>2030</v>
      </c>
      <c r="T182" s="222">
        <v>2030</v>
      </c>
      <c r="U182" s="222">
        <v>2030</v>
      </c>
      <c r="V182" s="222">
        <v>2030</v>
      </c>
      <c r="W182" s="222">
        <v>2030</v>
      </c>
      <c r="X182" s="222">
        <v>2030</v>
      </c>
      <c r="Y182" s="222">
        <v>2030</v>
      </c>
      <c r="Z182" s="222">
        <v>2030</v>
      </c>
      <c r="AA182" s="222">
        <v>2030</v>
      </c>
      <c r="AB182" s="222">
        <v>2030</v>
      </c>
      <c r="AC182" s="222">
        <v>2030</v>
      </c>
      <c r="AD182" s="222">
        <v>2030</v>
      </c>
    </row>
    <row r="183" spans="1:30" ht="16" thickBot="1" x14ac:dyDescent="0.25">
      <c r="A183" s="322" t="s">
        <v>378</v>
      </c>
      <c r="B183" s="322"/>
      <c r="C183" s="221">
        <v>2030</v>
      </c>
      <c r="D183" s="221">
        <v>2030</v>
      </c>
      <c r="E183" s="221">
        <v>2030</v>
      </c>
      <c r="F183" s="221">
        <v>2030</v>
      </c>
      <c r="G183" s="221">
        <v>2030</v>
      </c>
      <c r="H183" s="221">
        <v>2030</v>
      </c>
      <c r="I183" s="221">
        <v>2030</v>
      </c>
      <c r="J183" s="221">
        <v>2030</v>
      </c>
      <c r="K183" s="221">
        <v>2030</v>
      </c>
      <c r="L183" s="221">
        <v>2030</v>
      </c>
      <c r="M183" s="221">
        <v>2030</v>
      </c>
      <c r="N183" s="221">
        <v>2030</v>
      </c>
      <c r="O183" s="221">
        <v>2030</v>
      </c>
      <c r="P183" s="221">
        <v>2030</v>
      </c>
      <c r="Q183" s="222">
        <v>2030</v>
      </c>
      <c r="R183" s="222">
        <v>2030</v>
      </c>
      <c r="S183" s="222">
        <v>2030</v>
      </c>
      <c r="T183" s="222">
        <v>2030</v>
      </c>
      <c r="U183" s="222">
        <v>2030</v>
      </c>
      <c r="V183" s="222">
        <v>2030</v>
      </c>
      <c r="W183" s="222">
        <v>2030</v>
      </c>
      <c r="X183" s="222">
        <v>2030</v>
      </c>
      <c r="Y183" s="222">
        <v>2030</v>
      </c>
      <c r="Z183" s="222">
        <v>2030</v>
      </c>
      <c r="AA183" s="222">
        <v>2030</v>
      </c>
      <c r="AB183" s="222">
        <v>2030</v>
      </c>
      <c r="AC183" s="222">
        <v>2030</v>
      </c>
      <c r="AD183" s="222">
        <v>2030</v>
      </c>
    </row>
    <row r="184" spans="1:30" ht="15.75" customHeight="1" x14ac:dyDescent="0.25">
      <c r="A184" s="306" t="s">
        <v>601</v>
      </c>
      <c r="B184" s="306"/>
      <c r="C184" s="306"/>
      <c r="D184" s="306"/>
      <c r="E184" s="306"/>
      <c r="F184" s="306"/>
      <c r="G184" s="306"/>
      <c r="H184" s="306"/>
      <c r="I184" s="306"/>
      <c r="J184" s="306"/>
      <c r="K184" s="306"/>
      <c r="L184" s="306"/>
      <c r="M184" s="306"/>
      <c r="N184" s="306"/>
      <c r="O184" s="306"/>
      <c r="P184" s="306"/>
      <c r="Q184" s="306"/>
    </row>
    <row r="185" spans="1:30" x14ac:dyDescent="0.2">
      <c r="A185" s="322" t="s">
        <v>374</v>
      </c>
      <c r="B185" s="322"/>
      <c r="C185" s="221">
        <v>1</v>
      </c>
      <c r="D185" s="221">
        <v>1</v>
      </c>
      <c r="E185" s="221">
        <v>1</v>
      </c>
      <c r="F185" s="221">
        <v>1</v>
      </c>
      <c r="G185" s="221">
        <v>1</v>
      </c>
      <c r="H185" s="221">
        <v>1</v>
      </c>
      <c r="I185" s="221">
        <v>1</v>
      </c>
      <c r="J185" s="221">
        <v>1</v>
      </c>
      <c r="K185" s="221">
        <v>1</v>
      </c>
      <c r="L185" s="221">
        <v>1</v>
      </c>
      <c r="M185" s="221">
        <v>1</v>
      </c>
      <c r="N185" s="221">
        <v>1</v>
      </c>
      <c r="O185" s="221">
        <v>1</v>
      </c>
      <c r="P185" s="221">
        <v>1</v>
      </c>
      <c r="Q185" s="222">
        <v>1</v>
      </c>
      <c r="R185" s="222">
        <v>1</v>
      </c>
      <c r="S185" s="222">
        <v>1</v>
      </c>
      <c r="T185" s="222">
        <v>1</v>
      </c>
      <c r="U185" s="222">
        <v>1</v>
      </c>
      <c r="V185" s="222">
        <v>1</v>
      </c>
      <c r="W185" s="222">
        <v>1</v>
      </c>
      <c r="X185" s="222">
        <v>1</v>
      </c>
      <c r="Y185" s="222">
        <v>1</v>
      </c>
      <c r="Z185" s="222">
        <v>1</v>
      </c>
      <c r="AA185" s="222">
        <v>1</v>
      </c>
      <c r="AB185" s="222">
        <v>1</v>
      </c>
      <c r="AC185" s="222">
        <v>1</v>
      </c>
      <c r="AD185" s="222">
        <v>1</v>
      </c>
    </row>
    <row r="186" spans="1:30" x14ac:dyDescent="0.2">
      <c r="A186" s="322" t="s">
        <v>375</v>
      </c>
      <c r="B186" s="322"/>
      <c r="C186" s="221">
        <v>1</v>
      </c>
      <c r="D186" s="221">
        <v>1</v>
      </c>
      <c r="E186" s="221">
        <v>1</v>
      </c>
      <c r="F186" s="221">
        <v>1</v>
      </c>
      <c r="G186" s="221">
        <v>1</v>
      </c>
      <c r="H186" s="221">
        <v>1</v>
      </c>
      <c r="I186" s="221">
        <v>1</v>
      </c>
      <c r="J186" s="221">
        <v>1</v>
      </c>
      <c r="K186" s="221">
        <v>1</v>
      </c>
      <c r="L186" s="221">
        <v>1</v>
      </c>
      <c r="M186" s="221">
        <v>1</v>
      </c>
      <c r="N186" s="221">
        <v>1</v>
      </c>
      <c r="O186" s="221">
        <v>1</v>
      </c>
      <c r="P186" s="221">
        <v>1</v>
      </c>
      <c r="Q186" s="222">
        <v>1</v>
      </c>
      <c r="R186" s="222">
        <v>1</v>
      </c>
      <c r="S186" s="222">
        <v>1</v>
      </c>
      <c r="T186" s="222">
        <v>1</v>
      </c>
      <c r="U186" s="222">
        <v>1</v>
      </c>
      <c r="V186" s="222">
        <v>1</v>
      </c>
      <c r="W186" s="222">
        <v>1</v>
      </c>
      <c r="X186" s="222">
        <v>1</v>
      </c>
      <c r="Y186" s="222">
        <v>1</v>
      </c>
      <c r="Z186" s="222">
        <v>1</v>
      </c>
      <c r="AA186" s="222">
        <v>1</v>
      </c>
      <c r="AB186" s="222">
        <v>1</v>
      </c>
      <c r="AC186" s="222">
        <v>1</v>
      </c>
      <c r="AD186" s="222">
        <v>1</v>
      </c>
    </row>
    <row r="187" spans="1:30" x14ac:dyDescent="0.2">
      <c r="A187" s="322" t="s">
        <v>376</v>
      </c>
      <c r="B187" s="322"/>
      <c r="C187" s="221">
        <v>1</v>
      </c>
      <c r="D187" s="221">
        <v>1</v>
      </c>
      <c r="E187" s="221">
        <v>1</v>
      </c>
      <c r="F187" s="221">
        <v>1</v>
      </c>
      <c r="G187" s="221">
        <v>1</v>
      </c>
      <c r="H187" s="221">
        <v>1</v>
      </c>
      <c r="I187" s="221">
        <v>1</v>
      </c>
      <c r="J187" s="221">
        <v>1</v>
      </c>
      <c r="K187" s="221">
        <v>1</v>
      </c>
      <c r="L187" s="221">
        <v>1</v>
      </c>
      <c r="M187" s="221">
        <v>1</v>
      </c>
      <c r="N187" s="221">
        <v>1</v>
      </c>
      <c r="O187" s="221">
        <v>1</v>
      </c>
      <c r="P187" s="221">
        <v>1</v>
      </c>
      <c r="Q187" s="222">
        <v>1</v>
      </c>
      <c r="R187" s="222">
        <v>1</v>
      </c>
      <c r="S187" s="222">
        <v>1</v>
      </c>
      <c r="T187" s="222">
        <v>1</v>
      </c>
      <c r="U187" s="222">
        <v>1</v>
      </c>
      <c r="V187" s="222">
        <v>1</v>
      </c>
      <c r="W187" s="222">
        <v>1</v>
      </c>
      <c r="X187" s="222">
        <v>1</v>
      </c>
      <c r="Y187" s="222">
        <v>1</v>
      </c>
      <c r="Z187" s="222">
        <v>1</v>
      </c>
      <c r="AA187" s="222">
        <v>1</v>
      </c>
      <c r="AB187" s="222">
        <v>1</v>
      </c>
      <c r="AC187" s="222">
        <v>1</v>
      </c>
      <c r="AD187" s="222">
        <v>1</v>
      </c>
    </row>
    <row r="188" spans="1:30" x14ac:dyDescent="0.2">
      <c r="A188" s="322" t="s">
        <v>377</v>
      </c>
      <c r="B188" s="322"/>
      <c r="C188" s="221">
        <v>1</v>
      </c>
      <c r="D188" s="221">
        <v>1</v>
      </c>
      <c r="E188" s="221">
        <v>1</v>
      </c>
      <c r="F188" s="221">
        <v>1</v>
      </c>
      <c r="G188" s="221">
        <v>1</v>
      </c>
      <c r="H188" s="221">
        <v>1</v>
      </c>
      <c r="I188" s="221">
        <v>1</v>
      </c>
      <c r="J188" s="221">
        <v>1</v>
      </c>
      <c r="K188" s="221">
        <v>1</v>
      </c>
      <c r="L188" s="221">
        <v>1</v>
      </c>
      <c r="M188" s="221">
        <v>1</v>
      </c>
      <c r="N188" s="221">
        <v>1</v>
      </c>
      <c r="O188" s="221">
        <v>1</v>
      </c>
      <c r="P188" s="221">
        <v>1</v>
      </c>
      <c r="Q188" s="222">
        <v>1</v>
      </c>
      <c r="R188" s="222">
        <v>1</v>
      </c>
      <c r="S188" s="222">
        <v>1</v>
      </c>
      <c r="T188" s="222">
        <v>1</v>
      </c>
      <c r="U188" s="222">
        <v>1</v>
      </c>
      <c r="V188" s="222">
        <v>1</v>
      </c>
      <c r="W188" s="222">
        <v>1</v>
      </c>
      <c r="X188" s="222">
        <v>1</v>
      </c>
      <c r="Y188" s="222">
        <v>1</v>
      </c>
      <c r="Z188" s="222">
        <v>1</v>
      </c>
      <c r="AA188" s="222">
        <v>1</v>
      </c>
      <c r="AB188" s="222">
        <v>1</v>
      </c>
      <c r="AC188" s="222">
        <v>1</v>
      </c>
      <c r="AD188" s="222">
        <v>1</v>
      </c>
    </row>
    <row r="189" spans="1:30" ht="16" thickBot="1" x14ac:dyDescent="0.25">
      <c r="A189" s="322" t="s">
        <v>378</v>
      </c>
      <c r="B189" s="322"/>
      <c r="C189" s="221">
        <v>1</v>
      </c>
      <c r="D189" s="221">
        <v>1</v>
      </c>
      <c r="E189" s="221">
        <v>1</v>
      </c>
      <c r="F189" s="221">
        <v>1</v>
      </c>
      <c r="G189" s="221">
        <v>1</v>
      </c>
      <c r="H189" s="221">
        <v>1</v>
      </c>
      <c r="I189" s="221">
        <v>1</v>
      </c>
      <c r="J189" s="221">
        <v>1</v>
      </c>
      <c r="K189" s="221">
        <v>1</v>
      </c>
      <c r="L189" s="221">
        <v>1</v>
      </c>
      <c r="M189" s="221">
        <v>1</v>
      </c>
      <c r="N189" s="221">
        <v>1</v>
      </c>
      <c r="O189" s="221">
        <v>1</v>
      </c>
      <c r="P189" s="221">
        <v>1</v>
      </c>
      <c r="Q189" s="222">
        <v>1</v>
      </c>
      <c r="R189" s="222">
        <v>1</v>
      </c>
      <c r="S189" s="222">
        <v>1</v>
      </c>
      <c r="T189" s="222">
        <v>1</v>
      </c>
      <c r="U189" s="222">
        <v>1</v>
      </c>
      <c r="V189" s="222">
        <v>1</v>
      </c>
      <c r="W189" s="222">
        <v>1</v>
      </c>
      <c r="X189" s="222">
        <v>1</v>
      </c>
      <c r="Y189" s="222">
        <v>1</v>
      </c>
      <c r="Z189" s="222">
        <v>1</v>
      </c>
      <c r="AA189" s="222">
        <v>1</v>
      </c>
      <c r="AB189" s="222">
        <v>1</v>
      </c>
      <c r="AC189" s="222">
        <v>1</v>
      </c>
      <c r="AD189" s="222">
        <v>1</v>
      </c>
    </row>
    <row r="190" spans="1:30" ht="15.75" customHeight="1" x14ac:dyDescent="0.25">
      <c r="A190" s="306" t="s">
        <v>602</v>
      </c>
      <c r="B190" s="306"/>
      <c r="C190" s="306"/>
      <c r="D190" s="306"/>
      <c r="E190" s="306"/>
      <c r="F190" s="306"/>
      <c r="G190" s="306"/>
      <c r="H190" s="306"/>
      <c r="I190" s="306"/>
      <c r="J190" s="306"/>
      <c r="K190" s="306"/>
      <c r="L190" s="306"/>
      <c r="M190" s="306"/>
      <c r="N190" s="306"/>
      <c r="O190" s="306"/>
      <c r="P190" s="306"/>
      <c r="Q190" s="306"/>
    </row>
    <row r="191" spans="1:30" x14ac:dyDescent="0.2">
      <c r="A191" s="322" t="s">
        <v>374</v>
      </c>
      <c r="B191" s="322"/>
      <c r="C191" s="221">
        <v>2040</v>
      </c>
      <c r="D191" s="221">
        <v>2040</v>
      </c>
      <c r="E191" s="221">
        <v>2040</v>
      </c>
      <c r="F191" s="221">
        <v>2040</v>
      </c>
      <c r="G191" s="221">
        <v>2040</v>
      </c>
      <c r="H191" s="221">
        <v>2040</v>
      </c>
      <c r="I191" s="221">
        <v>2040</v>
      </c>
      <c r="J191" s="221">
        <v>2040</v>
      </c>
      <c r="K191" s="221">
        <v>2040</v>
      </c>
      <c r="L191" s="221">
        <v>2040</v>
      </c>
      <c r="M191" s="221">
        <v>2040</v>
      </c>
      <c r="N191" s="221">
        <v>2040</v>
      </c>
      <c r="O191" s="221">
        <v>2040</v>
      </c>
      <c r="P191" s="221">
        <v>2040</v>
      </c>
      <c r="Q191" s="221">
        <v>2040</v>
      </c>
      <c r="R191" s="221">
        <v>2040</v>
      </c>
      <c r="S191" s="221">
        <v>2040</v>
      </c>
      <c r="T191" s="221">
        <v>2040</v>
      </c>
      <c r="U191" s="221">
        <v>2040</v>
      </c>
      <c r="V191" s="221">
        <v>2040</v>
      </c>
      <c r="W191" s="221">
        <v>2040</v>
      </c>
      <c r="X191" s="221">
        <v>2040</v>
      </c>
      <c r="Y191" s="221">
        <v>2040</v>
      </c>
      <c r="Z191" s="221">
        <v>2040</v>
      </c>
      <c r="AA191" s="221">
        <v>2040</v>
      </c>
      <c r="AB191" s="221">
        <v>2040</v>
      </c>
      <c r="AC191" s="221">
        <v>2040</v>
      </c>
      <c r="AD191" s="221">
        <v>2040</v>
      </c>
    </row>
    <row r="192" spans="1:30" x14ac:dyDescent="0.2">
      <c r="A192" s="322" t="s">
        <v>375</v>
      </c>
      <c r="B192" s="322"/>
      <c r="C192" s="221">
        <v>2040</v>
      </c>
      <c r="D192" s="221">
        <v>2040</v>
      </c>
      <c r="E192" s="221">
        <v>2040</v>
      </c>
      <c r="F192" s="221">
        <v>2040</v>
      </c>
      <c r="G192" s="221">
        <v>2040</v>
      </c>
      <c r="H192" s="221">
        <v>2040</v>
      </c>
      <c r="I192" s="221">
        <v>2040</v>
      </c>
      <c r="J192" s="221">
        <v>2040</v>
      </c>
      <c r="K192" s="221">
        <v>2040</v>
      </c>
      <c r="L192" s="221">
        <v>2040</v>
      </c>
      <c r="M192" s="221">
        <v>2040</v>
      </c>
      <c r="N192" s="221">
        <v>2040</v>
      </c>
      <c r="O192" s="221">
        <v>2040</v>
      </c>
      <c r="P192" s="221">
        <v>2040</v>
      </c>
      <c r="Q192" s="221">
        <v>2040</v>
      </c>
      <c r="R192" s="221">
        <v>2040</v>
      </c>
      <c r="S192" s="221">
        <v>2040</v>
      </c>
      <c r="T192" s="221">
        <v>2040</v>
      </c>
      <c r="U192" s="221">
        <v>2040</v>
      </c>
      <c r="V192" s="221">
        <v>2040</v>
      </c>
      <c r="W192" s="221">
        <v>2040</v>
      </c>
      <c r="X192" s="221">
        <v>2040</v>
      </c>
      <c r="Y192" s="221">
        <v>2040</v>
      </c>
      <c r="Z192" s="221">
        <v>2040</v>
      </c>
      <c r="AA192" s="221">
        <v>2040</v>
      </c>
      <c r="AB192" s="221">
        <v>2040</v>
      </c>
      <c r="AC192" s="221">
        <v>2040</v>
      </c>
      <c r="AD192" s="221">
        <v>2040</v>
      </c>
    </row>
    <row r="193" spans="1:30" x14ac:dyDescent="0.2">
      <c r="A193" s="322" t="s">
        <v>376</v>
      </c>
      <c r="B193" s="322"/>
      <c r="C193" s="221">
        <v>2040</v>
      </c>
      <c r="D193" s="221">
        <v>2040</v>
      </c>
      <c r="E193" s="221">
        <v>2040</v>
      </c>
      <c r="F193" s="221">
        <v>2040</v>
      </c>
      <c r="G193" s="221">
        <v>2040</v>
      </c>
      <c r="H193" s="221">
        <v>2040</v>
      </c>
      <c r="I193" s="221">
        <v>2040</v>
      </c>
      <c r="J193" s="221">
        <v>2040</v>
      </c>
      <c r="K193" s="221">
        <v>2040</v>
      </c>
      <c r="L193" s="221">
        <v>2040</v>
      </c>
      <c r="M193" s="221">
        <v>2040</v>
      </c>
      <c r="N193" s="221">
        <v>2040</v>
      </c>
      <c r="O193" s="221">
        <v>2040</v>
      </c>
      <c r="P193" s="221">
        <v>2040</v>
      </c>
      <c r="Q193" s="221">
        <v>2040</v>
      </c>
      <c r="R193" s="221">
        <v>2040</v>
      </c>
      <c r="S193" s="221">
        <v>2040</v>
      </c>
      <c r="T193" s="221">
        <v>2040</v>
      </c>
      <c r="U193" s="221">
        <v>2040</v>
      </c>
      <c r="V193" s="221">
        <v>2040</v>
      </c>
      <c r="W193" s="221">
        <v>2040</v>
      </c>
      <c r="X193" s="221">
        <v>2040</v>
      </c>
      <c r="Y193" s="221">
        <v>2040</v>
      </c>
      <c r="Z193" s="221">
        <v>2040</v>
      </c>
      <c r="AA193" s="221">
        <v>2040</v>
      </c>
      <c r="AB193" s="221">
        <v>2040</v>
      </c>
      <c r="AC193" s="221">
        <v>2040</v>
      </c>
      <c r="AD193" s="221">
        <v>2040</v>
      </c>
    </row>
    <row r="194" spans="1:30" x14ac:dyDescent="0.2">
      <c r="A194" s="322" t="s">
        <v>377</v>
      </c>
      <c r="B194" s="322"/>
      <c r="C194" s="221">
        <v>2040</v>
      </c>
      <c r="D194" s="221">
        <v>2040</v>
      </c>
      <c r="E194" s="221">
        <v>2040</v>
      </c>
      <c r="F194" s="221">
        <v>2040</v>
      </c>
      <c r="G194" s="221">
        <v>2040</v>
      </c>
      <c r="H194" s="221">
        <v>2040</v>
      </c>
      <c r="I194" s="221">
        <v>2040</v>
      </c>
      <c r="J194" s="221">
        <v>2040</v>
      </c>
      <c r="K194" s="221">
        <v>2040</v>
      </c>
      <c r="L194" s="221">
        <v>2040</v>
      </c>
      <c r="M194" s="221">
        <v>2040</v>
      </c>
      <c r="N194" s="221">
        <v>2040</v>
      </c>
      <c r="O194" s="221">
        <v>2040</v>
      </c>
      <c r="P194" s="221">
        <v>2040</v>
      </c>
      <c r="Q194" s="221">
        <v>2040</v>
      </c>
      <c r="R194" s="221">
        <v>2040</v>
      </c>
      <c r="S194" s="221">
        <v>2040</v>
      </c>
      <c r="T194" s="221">
        <v>2040</v>
      </c>
      <c r="U194" s="221">
        <v>2040</v>
      </c>
      <c r="V194" s="221">
        <v>2040</v>
      </c>
      <c r="W194" s="221">
        <v>2040</v>
      </c>
      <c r="X194" s="221">
        <v>2040</v>
      </c>
      <c r="Y194" s="221">
        <v>2040</v>
      </c>
      <c r="Z194" s="221">
        <v>2040</v>
      </c>
      <c r="AA194" s="221">
        <v>2040</v>
      </c>
      <c r="AB194" s="221">
        <v>2040</v>
      </c>
      <c r="AC194" s="221">
        <v>2040</v>
      </c>
      <c r="AD194" s="221">
        <v>2040</v>
      </c>
    </row>
    <row r="195" spans="1:30" ht="16" thickBot="1" x14ac:dyDescent="0.25">
      <c r="A195" s="322" t="s">
        <v>378</v>
      </c>
      <c r="B195" s="322"/>
      <c r="C195" s="221">
        <v>2040</v>
      </c>
      <c r="D195" s="221">
        <v>2040</v>
      </c>
      <c r="E195" s="221">
        <v>2040</v>
      </c>
      <c r="F195" s="221">
        <v>2040</v>
      </c>
      <c r="G195" s="221">
        <v>2040</v>
      </c>
      <c r="H195" s="221">
        <v>2040</v>
      </c>
      <c r="I195" s="221">
        <v>2040</v>
      </c>
      <c r="J195" s="221">
        <v>2040</v>
      </c>
      <c r="K195" s="221">
        <v>2040</v>
      </c>
      <c r="L195" s="221">
        <v>2040</v>
      </c>
      <c r="M195" s="221">
        <v>2040</v>
      </c>
      <c r="N195" s="221">
        <v>2040</v>
      </c>
      <c r="O195" s="221">
        <v>2040</v>
      </c>
      <c r="P195" s="221">
        <v>2040</v>
      </c>
      <c r="Q195" s="221">
        <v>2040</v>
      </c>
      <c r="R195" s="221">
        <v>2040</v>
      </c>
      <c r="S195" s="221">
        <v>2040</v>
      </c>
      <c r="T195" s="221">
        <v>2040</v>
      </c>
      <c r="U195" s="221">
        <v>2040</v>
      </c>
      <c r="V195" s="221">
        <v>2040</v>
      </c>
      <c r="W195" s="221">
        <v>2040</v>
      </c>
      <c r="X195" s="221">
        <v>2040</v>
      </c>
      <c r="Y195" s="221">
        <v>2040</v>
      </c>
      <c r="Z195" s="221">
        <v>2040</v>
      </c>
      <c r="AA195" s="221">
        <v>2040</v>
      </c>
      <c r="AB195" s="221">
        <v>2040</v>
      </c>
      <c r="AC195" s="221">
        <v>2040</v>
      </c>
      <c r="AD195" s="221">
        <v>2040</v>
      </c>
    </row>
    <row r="196" spans="1:30" ht="15.75" customHeight="1" x14ac:dyDescent="0.25">
      <c r="A196" s="306" t="s">
        <v>603</v>
      </c>
      <c r="B196" s="306"/>
      <c r="C196" s="306"/>
      <c r="D196" s="306"/>
      <c r="E196" s="306"/>
      <c r="F196" s="306"/>
      <c r="G196" s="306"/>
      <c r="H196" s="306"/>
      <c r="I196" s="306"/>
      <c r="J196" s="306"/>
      <c r="K196" s="306"/>
      <c r="L196" s="306"/>
      <c r="M196" s="306"/>
      <c r="N196" s="306"/>
      <c r="O196" s="306"/>
      <c r="P196" s="306"/>
      <c r="Q196" s="306"/>
    </row>
    <row r="197" spans="1:30" x14ac:dyDescent="0.2">
      <c r="A197" s="322" t="s">
        <v>374</v>
      </c>
      <c r="B197" s="322"/>
      <c r="C197" s="221">
        <v>1</v>
      </c>
      <c r="D197" s="221">
        <v>1</v>
      </c>
      <c r="E197" s="221">
        <v>1</v>
      </c>
      <c r="F197" s="221">
        <v>1</v>
      </c>
      <c r="G197" s="221">
        <v>1</v>
      </c>
      <c r="H197" s="221">
        <v>1</v>
      </c>
      <c r="I197" s="221">
        <v>1</v>
      </c>
      <c r="J197" s="221">
        <v>1</v>
      </c>
      <c r="K197" s="221">
        <v>1</v>
      </c>
      <c r="L197" s="221">
        <v>1</v>
      </c>
      <c r="M197" s="221">
        <v>1</v>
      </c>
      <c r="N197" s="221">
        <v>1</v>
      </c>
      <c r="O197" s="221">
        <v>1</v>
      </c>
      <c r="P197" s="221">
        <v>1</v>
      </c>
      <c r="Q197" s="222">
        <v>1</v>
      </c>
      <c r="R197" s="222">
        <v>1</v>
      </c>
      <c r="S197" s="222">
        <v>1</v>
      </c>
      <c r="T197" s="222">
        <v>1</v>
      </c>
      <c r="U197" s="222">
        <v>1</v>
      </c>
      <c r="V197" s="222">
        <v>1</v>
      </c>
      <c r="W197" s="222">
        <v>1</v>
      </c>
      <c r="X197" s="222">
        <v>1</v>
      </c>
      <c r="Y197" s="222">
        <v>1</v>
      </c>
      <c r="Z197" s="222">
        <v>1</v>
      </c>
      <c r="AA197" s="222">
        <v>1</v>
      </c>
      <c r="AB197" s="222">
        <v>1</v>
      </c>
      <c r="AC197" s="222">
        <v>1</v>
      </c>
      <c r="AD197" s="222">
        <v>1</v>
      </c>
    </row>
    <row r="198" spans="1:30" x14ac:dyDescent="0.2">
      <c r="A198" s="322" t="s">
        <v>375</v>
      </c>
      <c r="B198" s="322"/>
      <c r="C198" s="221">
        <v>1</v>
      </c>
      <c r="D198" s="221">
        <v>1</v>
      </c>
      <c r="E198" s="221">
        <v>1</v>
      </c>
      <c r="F198" s="221">
        <v>1</v>
      </c>
      <c r="G198" s="221">
        <v>1</v>
      </c>
      <c r="H198" s="221">
        <v>1</v>
      </c>
      <c r="I198" s="221">
        <v>1</v>
      </c>
      <c r="J198" s="221">
        <v>1</v>
      </c>
      <c r="K198" s="221">
        <v>1</v>
      </c>
      <c r="L198" s="221">
        <v>1</v>
      </c>
      <c r="M198" s="221">
        <v>1</v>
      </c>
      <c r="N198" s="221">
        <v>1</v>
      </c>
      <c r="O198" s="221">
        <v>1</v>
      </c>
      <c r="P198" s="221">
        <v>1</v>
      </c>
      <c r="Q198" s="222">
        <v>1</v>
      </c>
      <c r="R198" s="222">
        <v>1</v>
      </c>
      <c r="S198" s="222">
        <v>1</v>
      </c>
      <c r="T198" s="222">
        <v>1</v>
      </c>
      <c r="U198" s="222">
        <v>1</v>
      </c>
      <c r="V198" s="222">
        <v>1</v>
      </c>
      <c r="W198" s="222">
        <v>1</v>
      </c>
      <c r="X198" s="222">
        <v>1</v>
      </c>
      <c r="Y198" s="222">
        <v>1</v>
      </c>
      <c r="Z198" s="222">
        <v>1</v>
      </c>
      <c r="AA198" s="222">
        <v>1</v>
      </c>
      <c r="AB198" s="222">
        <v>1</v>
      </c>
      <c r="AC198" s="222">
        <v>1</v>
      </c>
      <c r="AD198" s="222">
        <v>1</v>
      </c>
    </row>
    <row r="199" spans="1:30" x14ac:dyDescent="0.2">
      <c r="A199" s="322" t="s">
        <v>376</v>
      </c>
      <c r="B199" s="322"/>
      <c r="C199" s="221">
        <v>1</v>
      </c>
      <c r="D199" s="221">
        <v>1</v>
      </c>
      <c r="E199" s="221">
        <v>1</v>
      </c>
      <c r="F199" s="221">
        <v>1</v>
      </c>
      <c r="G199" s="221">
        <v>1</v>
      </c>
      <c r="H199" s="221">
        <v>1</v>
      </c>
      <c r="I199" s="221">
        <v>1</v>
      </c>
      <c r="J199" s="221">
        <v>1</v>
      </c>
      <c r="K199" s="221">
        <v>1</v>
      </c>
      <c r="L199" s="221">
        <v>1</v>
      </c>
      <c r="M199" s="221">
        <v>1</v>
      </c>
      <c r="N199" s="221">
        <v>1</v>
      </c>
      <c r="O199" s="221">
        <v>1</v>
      </c>
      <c r="P199" s="221">
        <v>1</v>
      </c>
      <c r="Q199" s="222">
        <v>1</v>
      </c>
      <c r="R199" s="222">
        <v>1</v>
      </c>
      <c r="S199" s="222">
        <v>1</v>
      </c>
      <c r="T199" s="222">
        <v>1</v>
      </c>
      <c r="U199" s="222">
        <v>1</v>
      </c>
      <c r="V199" s="222">
        <v>1</v>
      </c>
      <c r="W199" s="222">
        <v>1</v>
      </c>
      <c r="X199" s="222">
        <v>1</v>
      </c>
      <c r="Y199" s="222">
        <v>1</v>
      </c>
      <c r="Z199" s="222">
        <v>1</v>
      </c>
      <c r="AA199" s="222">
        <v>1</v>
      </c>
      <c r="AB199" s="222">
        <v>1</v>
      </c>
      <c r="AC199" s="222">
        <v>1</v>
      </c>
      <c r="AD199" s="222">
        <v>1</v>
      </c>
    </row>
    <row r="200" spans="1:30" x14ac:dyDescent="0.2">
      <c r="A200" s="322" t="s">
        <v>377</v>
      </c>
      <c r="B200" s="322"/>
      <c r="C200" s="221">
        <v>1</v>
      </c>
      <c r="D200" s="221">
        <v>1</v>
      </c>
      <c r="E200" s="221">
        <v>1</v>
      </c>
      <c r="F200" s="221">
        <v>1</v>
      </c>
      <c r="G200" s="221">
        <v>1</v>
      </c>
      <c r="H200" s="221">
        <v>1</v>
      </c>
      <c r="I200" s="221">
        <v>1</v>
      </c>
      <c r="J200" s="221">
        <v>1</v>
      </c>
      <c r="K200" s="221">
        <v>1</v>
      </c>
      <c r="L200" s="221">
        <v>1</v>
      </c>
      <c r="M200" s="221">
        <v>1</v>
      </c>
      <c r="N200" s="221">
        <v>1</v>
      </c>
      <c r="O200" s="221">
        <v>1</v>
      </c>
      <c r="P200" s="221">
        <v>1</v>
      </c>
      <c r="Q200" s="222">
        <v>1</v>
      </c>
      <c r="R200" s="222">
        <v>1</v>
      </c>
      <c r="S200" s="222">
        <v>1</v>
      </c>
      <c r="T200" s="222">
        <v>1</v>
      </c>
      <c r="U200" s="222">
        <v>1</v>
      </c>
      <c r="V200" s="222">
        <v>1</v>
      </c>
      <c r="W200" s="222">
        <v>1</v>
      </c>
      <c r="X200" s="222">
        <v>1</v>
      </c>
      <c r="Y200" s="222">
        <v>1</v>
      </c>
      <c r="Z200" s="222">
        <v>1</v>
      </c>
      <c r="AA200" s="222">
        <v>1</v>
      </c>
      <c r="AB200" s="222">
        <v>1</v>
      </c>
      <c r="AC200" s="222">
        <v>1</v>
      </c>
      <c r="AD200" s="222">
        <v>1</v>
      </c>
    </row>
    <row r="201" spans="1:30" ht="16" thickBot="1" x14ac:dyDescent="0.25">
      <c r="A201" s="322" t="s">
        <v>378</v>
      </c>
      <c r="B201" s="322"/>
      <c r="C201" s="221">
        <v>1</v>
      </c>
      <c r="D201" s="221">
        <v>1</v>
      </c>
      <c r="E201" s="221">
        <v>1</v>
      </c>
      <c r="F201" s="221">
        <v>1</v>
      </c>
      <c r="G201" s="221">
        <v>1</v>
      </c>
      <c r="H201" s="221">
        <v>1</v>
      </c>
      <c r="I201" s="221">
        <v>1</v>
      </c>
      <c r="J201" s="221">
        <v>1</v>
      </c>
      <c r="K201" s="221">
        <v>1</v>
      </c>
      <c r="L201" s="221">
        <v>1</v>
      </c>
      <c r="M201" s="221">
        <v>1</v>
      </c>
      <c r="N201" s="221">
        <v>1</v>
      </c>
      <c r="O201" s="221">
        <v>1</v>
      </c>
      <c r="P201" s="221">
        <v>1</v>
      </c>
      <c r="Q201" s="222">
        <v>1</v>
      </c>
      <c r="R201" s="222">
        <v>1</v>
      </c>
      <c r="S201" s="222">
        <v>1</v>
      </c>
      <c r="T201" s="222">
        <v>1</v>
      </c>
      <c r="U201" s="222">
        <v>1</v>
      </c>
      <c r="V201" s="222">
        <v>1</v>
      </c>
      <c r="W201" s="222">
        <v>1</v>
      </c>
      <c r="X201" s="222">
        <v>1</v>
      </c>
      <c r="Y201" s="222">
        <v>1</v>
      </c>
      <c r="Z201" s="222">
        <v>1</v>
      </c>
      <c r="AA201" s="222">
        <v>1</v>
      </c>
      <c r="AB201" s="222">
        <v>1</v>
      </c>
      <c r="AC201" s="222">
        <v>1</v>
      </c>
      <c r="AD201" s="222">
        <v>1</v>
      </c>
    </row>
    <row r="202" spans="1:30" ht="15.75" customHeight="1" x14ac:dyDescent="0.25">
      <c r="A202" s="306" t="s">
        <v>604</v>
      </c>
      <c r="B202" s="306"/>
      <c r="C202" s="306"/>
      <c r="D202" s="306"/>
      <c r="E202" s="306"/>
      <c r="F202" s="306"/>
      <c r="G202" s="306"/>
      <c r="H202" s="306"/>
      <c r="I202" s="306"/>
      <c r="J202" s="306"/>
      <c r="K202" s="306"/>
      <c r="L202" s="306"/>
      <c r="M202" s="306"/>
      <c r="N202" s="306"/>
      <c r="O202" s="306"/>
      <c r="P202" s="306"/>
      <c r="Q202" s="306"/>
    </row>
    <row r="203" spans="1:30" x14ac:dyDescent="0.2">
      <c r="A203" s="322" t="s">
        <v>374</v>
      </c>
      <c r="B203" s="322"/>
      <c r="C203" s="221">
        <v>2050</v>
      </c>
      <c r="D203" s="221">
        <v>2050</v>
      </c>
      <c r="E203" s="221">
        <v>2050</v>
      </c>
      <c r="F203" s="221">
        <v>2050</v>
      </c>
      <c r="G203" s="221">
        <v>2050</v>
      </c>
      <c r="H203" s="221">
        <v>2050</v>
      </c>
      <c r="I203" s="221">
        <v>2050</v>
      </c>
      <c r="J203" s="221">
        <v>2050</v>
      </c>
      <c r="K203" s="221">
        <v>2050</v>
      </c>
      <c r="L203" s="221">
        <v>2050</v>
      </c>
      <c r="M203" s="221">
        <v>2050</v>
      </c>
      <c r="N203" s="221">
        <v>2050</v>
      </c>
      <c r="O203" s="221">
        <v>2050</v>
      </c>
      <c r="P203" s="221">
        <v>2050</v>
      </c>
      <c r="Q203" s="222">
        <v>2050</v>
      </c>
      <c r="R203" s="222">
        <v>2050</v>
      </c>
      <c r="S203" s="222">
        <v>2050</v>
      </c>
      <c r="T203" s="222">
        <v>2050</v>
      </c>
      <c r="U203" s="222">
        <v>2050</v>
      </c>
      <c r="V203" s="222">
        <v>2050</v>
      </c>
      <c r="W203" s="222">
        <v>2050</v>
      </c>
      <c r="X203" s="222">
        <v>2050</v>
      </c>
      <c r="Y203" s="222">
        <v>2050</v>
      </c>
      <c r="Z203" s="222">
        <v>2050</v>
      </c>
      <c r="AA203" s="222">
        <v>2050</v>
      </c>
      <c r="AB203" s="222">
        <v>2050</v>
      </c>
      <c r="AC203" s="222">
        <v>2050</v>
      </c>
      <c r="AD203" s="222">
        <v>2050</v>
      </c>
    </row>
    <row r="204" spans="1:30" x14ac:dyDescent="0.2">
      <c r="A204" s="322" t="s">
        <v>375</v>
      </c>
      <c r="B204" s="322"/>
      <c r="C204" s="221">
        <v>2050</v>
      </c>
      <c r="D204" s="221">
        <v>2050</v>
      </c>
      <c r="E204" s="221">
        <v>2050</v>
      </c>
      <c r="F204" s="221">
        <v>2050</v>
      </c>
      <c r="G204" s="221">
        <v>2050</v>
      </c>
      <c r="H204" s="221">
        <v>2050</v>
      </c>
      <c r="I204" s="221">
        <v>2050</v>
      </c>
      <c r="J204" s="221">
        <v>2050</v>
      </c>
      <c r="K204" s="221">
        <v>2050</v>
      </c>
      <c r="L204" s="221">
        <v>2050</v>
      </c>
      <c r="M204" s="221">
        <v>2050</v>
      </c>
      <c r="N204" s="221">
        <v>2050</v>
      </c>
      <c r="O204" s="221">
        <v>2050</v>
      </c>
      <c r="P204" s="221">
        <v>2050</v>
      </c>
      <c r="Q204" s="222">
        <v>2050</v>
      </c>
      <c r="R204" s="222">
        <v>2050</v>
      </c>
      <c r="S204" s="222">
        <v>2050</v>
      </c>
      <c r="T204" s="222">
        <v>2050</v>
      </c>
      <c r="U204" s="222">
        <v>2050</v>
      </c>
      <c r="V204" s="222">
        <v>2050</v>
      </c>
      <c r="W204" s="222">
        <v>2050</v>
      </c>
      <c r="X204" s="222">
        <v>2050</v>
      </c>
      <c r="Y204" s="222">
        <v>2050</v>
      </c>
      <c r="Z204" s="222">
        <v>2050</v>
      </c>
      <c r="AA204" s="222">
        <v>2050</v>
      </c>
      <c r="AB204" s="222">
        <v>2050</v>
      </c>
      <c r="AC204" s="222">
        <v>2050</v>
      </c>
      <c r="AD204" s="222">
        <v>2050</v>
      </c>
    </row>
    <row r="205" spans="1:30" x14ac:dyDescent="0.2">
      <c r="A205" s="322" t="s">
        <v>376</v>
      </c>
      <c r="B205" s="322"/>
      <c r="C205" s="221">
        <v>2050</v>
      </c>
      <c r="D205" s="221">
        <v>2050</v>
      </c>
      <c r="E205" s="221">
        <v>2050</v>
      </c>
      <c r="F205" s="221">
        <v>2050</v>
      </c>
      <c r="G205" s="221">
        <v>2050</v>
      </c>
      <c r="H205" s="221">
        <v>2050</v>
      </c>
      <c r="I205" s="221">
        <v>2050</v>
      </c>
      <c r="J205" s="221">
        <v>2050</v>
      </c>
      <c r="K205" s="221">
        <v>2050</v>
      </c>
      <c r="L205" s="221">
        <v>2050</v>
      </c>
      <c r="M205" s="221">
        <v>2050</v>
      </c>
      <c r="N205" s="221">
        <v>2050</v>
      </c>
      <c r="O205" s="221">
        <v>2050</v>
      </c>
      <c r="P205" s="221">
        <v>2050</v>
      </c>
      <c r="Q205" s="222">
        <v>2050</v>
      </c>
      <c r="R205" s="222">
        <v>2050</v>
      </c>
      <c r="S205" s="222">
        <v>2050</v>
      </c>
      <c r="T205" s="222">
        <v>2050</v>
      </c>
      <c r="U205" s="222">
        <v>2050</v>
      </c>
      <c r="V205" s="222">
        <v>2050</v>
      </c>
      <c r="W205" s="222">
        <v>2050</v>
      </c>
      <c r="X205" s="222">
        <v>2050</v>
      </c>
      <c r="Y205" s="222">
        <v>2050</v>
      </c>
      <c r="Z205" s="222">
        <v>2050</v>
      </c>
      <c r="AA205" s="222">
        <v>2050</v>
      </c>
      <c r="AB205" s="222">
        <v>2050</v>
      </c>
      <c r="AC205" s="222">
        <v>2050</v>
      </c>
      <c r="AD205" s="222">
        <v>2050</v>
      </c>
    </row>
    <row r="206" spans="1:30" x14ac:dyDescent="0.2">
      <c r="A206" s="322" t="s">
        <v>377</v>
      </c>
      <c r="B206" s="322"/>
      <c r="C206" s="221">
        <v>2050</v>
      </c>
      <c r="D206" s="221">
        <v>2050</v>
      </c>
      <c r="E206" s="221">
        <v>2050</v>
      </c>
      <c r="F206" s="221">
        <v>2050</v>
      </c>
      <c r="G206" s="221">
        <v>2050</v>
      </c>
      <c r="H206" s="221">
        <v>2050</v>
      </c>
      <c r="I206" s="221">
        <v>2050</v>
      </c>
      <c r="J206" s="221">
        <v>2050</v>
      </c>
      <c r="K206" s="221">
        <v>2050</v>
      </c>
      <c r="L206" s="221">
        <v>2050</v>
      </c>
      <c r="M206" s="221">
        <v>2050</v>
      </c>
      <c r="N206" s="221">
        <v>2050</v>
      </c>
      <c r="O206" s="221">
        <v>2050</v>
      </c>
      <c r="P206" s="221">
        <v>2050</v>
      </c>
      <c r="Q206" s="222">
        <v>2050</v>
      </c>
      <c r="R206" s="222">
        <v>2050</v>
      </c>
      <c r="S206" s="222">
        <v>2050</v>
      </c>
      <c r="T206" s="222">
        <v>2050</v>
      </c>
      <c r="U206" s="222">
        <v>2050</v>
      </c>
      <c r="V206" s="222">
        <v>2050</v>
      </c>
      <c r="W206" s="222">
        <v>2050</v>
      </c>
      <c r="X206" s="222">
        <v>2050</v>
      </c>
      <c r="Y206" s="222">
        <v>2050</v>
      </c>
      <c r="Z206" s="222">
        <v>2050</v>
      </c>
      <c r="AA206" s="222">
        <v>2050</v>
      </c>
      <c r="AB206" s="222">
        <v>2050</v>
      </c>
      <c r="AC206" s="222">
        <v>2050</v>
      </c>
      <c r="AD206" s="222">
        <v>2050</v>
      </c>
    </row>
    <row r="207" spans="1:30" ht="16" thickBot="1" x14ac:dyDescent="0.25">
      <c r="A207" s="322" t="s">
        <v>378</v>
      </c>
      <c r="B207" s="322"/>
      <c r="C207" s="223">
        <v>2050</v>
      </c>
      <c r="D207" s="223">
        <v>2050</v>
      </c>
      <c r="E207" s="223">
        <v>2050</v>
      </c>
      <c r="F207" s="223">
        <v>2050</v>
      </c>
      <c r="G207" s="223">
        <v>2050</v>
      </c>
      <c r="H207" s="223">
        <v>2050</v>
      </c>
      <c r="I207" s="223">
        <v>2050</v>
      </c>
      <c r="J207" s="223">
        <v>2050</v>
      </c>
      <c r="K207" s="223">
        <v>2050</v>
      </c>
      <c r="L207" s="223">
        <v>2050</v>
      </c>
      <c r="M207" s="223">
        <v>2050</v>
      </c>
      <c r="N207" s="223">
        <v>2050</v>
      </c>
      <c r="O207" s="223">
        <v>2050</v>
      </c>
      <c r="P207" s="223">
        <v>2050</v>
      </c>
      <c r="Q207" s="224">
        <v>2050</v>
      </c>
      <c r="R207" s="224">
        <v>2050</v>
      </c>
      <c r="S207" s="224">
        <v>2050</v>
      </c>
      <c r="T207" s="224">
        <v>2050</v>
      </c>
      <c r="U207" s="224">
        <v>2050</v>
      </c>
      <c r="V207" s="224">
        <v>2050</v>
      </c>
      <c r="W207" s="224">
        <v>2050</v>
      </c>
      <c r="X207" s="224">
        <v>2050</v>
      </c>
      <c r="Y207" s="224">
        <v>2050</v>
      </c>
      <c r="Z207" s="224">
        <v>2050</v>
      </c>
      <c r="AA207" s="224">
        <v>2050</v>
      </c>
      <c r="AB207" s="224">
        <v>2050</v>
      </c>
      <c r="AC207" s="224">
        <v>2050</v>
      </c>
      <c r="AD207" s="224">
        <v>2050</v>
      </c>
    </row>
    <row r="208" spans="1:30" ht="16" thickBot="1" x14ac:dyDescent="0.25"/>
    <row r="209" spans="1:30" ht="23.25" customHeight="1" x14ac:dyDescent="0.25">
      <c r="A209" s="306" t="s">
        <v>386</v>
      </c>
      <c r="B209" s="306"/>
      <c r="C209" s="306"/>
    </row>
    <row r="210" spans="1:30" ht="15.75" customHeight="1" x14ac:dyDescent="0.2">
      <c r="A210" s="313" t="s">
        <v>387</v>
      </c>
      <c r="B210" s="225" t="s">
        <v>388</v>
      </c>
      <c r="C210" s="323">
        <v>1</v>
      </c>
    </row>
    <row r="211" spans="1:30" ht="14.25" customHeight="1" x14ac:dyDescent="0.2">
      <c r="A211" s="313"/>
      <c r="B211" s="225" t="s">
        <v>389</v>
      </c>
      <c r="C211" s="323"/>
    </row>
    <row r="212" spans="1:30" x14ac:dyDescent="0.2">
      <c r="A212" s="180" t="s">
        <v>605</v>
      </c>
      <c r="B212" s="225" t="s">
        <v>36</v>
      </c>
      <c r="C212" s="176">
        <v>2020</v>
      </c>
    </row>
    <row r="213" spans="1:30" ht="16" thickBot="1" x14ac:dyDescent="0.25">
      <c r="A213" s="227" t="s">
        <v>390</v>
      </c>
      <c r="B213" s="228" t="s">
        <v>36</v>
      </c>
      <c r="C213" s="229">
        <v>2050</v>
      </c>
    </row>
    <row r="214" spans="1:30" ht="14.25" customHeight="1" x14ac:dyDescent="0.25">
      <c r="A214" s="306" t="s">
        <v>394</v>
      </c>
      <c r="B214" s="306"/>
      <c r="C214" s="306"/>
      <c r="D214" s="306"/>
      <c r="E214" s="306"/>
      <c r="F214" s="306"/>
      <c r="G214" s="306"/>
      <c r="H214" s="306"/>
      <c r="I214" s="306"/>
      <c r="J214" s="306"/>
      <c r="K214" s="306"/>
      <c r="L214" s="306"/>
      <c r="M214" s="306"/>
      <c r="N214" s="306"/>
      <c r="O214" s="306"/>
      <c r="P214" s="306"/>
      <c r="Q214" s="306"/>
    </row>
    <row r="215" spans="1:30" x14ac:dyDescent="0.2">
      <c r="A215" s="324" t="s">
        <v>606</v>
      </c>
      <c r="B215" s="324"/>
      <c r="C215" s="219" t="s">
        <v>576</v>
      </c>
      <c r="D215" s="219" t="s">
        <v>579</v>
      </c>
      <c r="E215" s="219" t="s">
        <v>362</v>
      </c>
      <c r="F215" s="219" t="s">
        <v>580</v>
      </c>
      <c r="G215" s="219" t="s">
        <v>581</v>
      </c>
      <c r="H215" s="219" t="s">
        <v>582</v>
      </c>
      <c r="I215" s="219" t="s">
        <v>583</v>
      </c>
      <c r="J215" s="219" t="s">
        <v>354</v>
      </c>
      <c r="K215" s="219" t="s">
        <v>584</v>
      </c>
      <c r="L215" s="219" t="s">
        <v>585</v>
      </c>
      <c r="M215" s="219" t="s">
        <v>586</v>
      </c>
      <c r="N215" s="219" t="s">
        <v>587</v>
      </c>
      <c r="O215" s="219" t="s">
        <v>588</v>
      </c>
      <c r="P215" s="219" t="s">
        <v>589</v>
      </c>
      <c r="Q215" s="220" t="s">
        <v>590</v>
      </c>
      <c r="R215" s="220" t="s">
        <v>338</v>
      </c>
      <c r="S215" s="220" t="s">
        <v>591</v>
      </c>
      <c r="T215" s="220" t="s">
        <v>592</v>
      </c>
      <c r="U215" s="220" t="s">
        <v>593</v>
      </c>
      <c r="V215" s="220" t="s">
        <v>594</v>
      </c>
      <c r="W215" s="220" t="s">
        <v>595</v>
      </c>
      <c r="X215" s="220" t="s">
        <v>596</v>
      </c>
      <c r="Y215" s="220" t="s">
        <v>597</v>
      </c>
      <c r="Z215" s="220" t="s">
        <v>598</v>
      </c>
      <c r="AA215" s="220" t="s">
        <v>599</v>
      </c>
      <c r="AB215" s="220" t="s">
        <v>351</v>
      </c>
      <c r="AC215" s="220" t="s">
        <v>361</v>
      </c>
      <c r="AD215" s="220" t="s">
        <v>600</v>
      </c>
    </row>
    <row r="216" spans="1:30" x14ac:dyDescent="0.2">
      <c r="A216" s="325" t="s">
        <v>374</v>
      </c>
      <c r="B216" s="325"/>
      <c r="C216" s="230">
        <v>4.9143925982598595E-7</v>
      </c>
      <c r="D216" s="230">
        <v>3.5721808570239001E-7</v>
      </c>
      <c r="E216" s="230">
        <v>0</v>
      </c>
      <c r="F216" s="230">
        <v>1.33580538164496E-6</v>
      </c>
      <c r="G216" s="230">
        <v>1.22341908960222E-6</v>
      </c>
      <c r="H216" s="230">
        <v>4.1203327462718802E-7</v>
      </c>
      <c r="I216" s="230">
        <v>1.83490380176835E-7</v>
      </c>
      <c r="J216" s="230">
        <v>3.5107291035509198E-8</v>
      </c>
      <c r="K216" s="230">
        <v>1.4051786616190101E-6</v>
      </c>
      <c r="L216" s="230">
        <v>1.6696259798364701E-7</v>
      </c>
      <c r="M216" s="230">
        <v>3.65540334299614E-7</v>
      </c>
      <c r="N216" s="230">
        <v>7.7092106524854305E-7</v>
      </c>
      <c r="O216" s="230">
        <v>2.0251831747672099E-7</v>
      </c>
      <c r="P216" s="230">
        <v>5.5954250520850301E-7</v>
      </c>
      <c r="Q216" s="231">
        <v>9.7396226736632599E-8</v>
      </c>
      <c r="R216" s="231">
        <v>5.3705425822563295E-7</v>
      </c>
      <c r="S216" s="231">
        <v>3.6456850347543399E-7</v>
      </c>
      <c r="T216" s="231">
        <v>5.0513919712268799E-7</v>
      </c>
      <c r="U216" s="231">
        <v>4.4321358313250701E-7</v>
      </c>
      <c r="V216" s="231">
        <v>2.36045780097966E-7</v>
      </c>
      <c r="W216" s="231">
        <v>8.2108780828477797E-8</v>
      </c>
      <c r="X216" s="231">
        <v>1.79901548666926E-7</v>
      </c>
      <c r="Y216" s="231">
        <v>6.2324040568331498E-7</v>
      </c>
      <c r="Z216" s="231">
        <v>1.3116812598473099E-7</v>
      </c>
      <c r="AA216" s="231">
        <v>1.6465295194180801E-7</v>
      </c>
      <c r="AB216" s="231">
        <v>8.93692743290543E-8</v>
      </c>
      <c r="AC216" s="231">
        <v>0</v>
      </c>
      <c r="AD216" s="231">
        <v>2.6860832732300001E-7</v>
      </c>
    </row>
    <row r="217" spans="1:30" x14ac:dyDescent="0.2">
      <c r="A217" s="325" t="s">
        <v>375</v>
      </c>
      <c r="B217" s="325"/>
      <c r="C217" s="230">
        <v>2.2262237882438499E-7</v>
      </c>
      <c r="D217" s="230">
        <v>2.65109839166996E-8</v>
      </c>
      <c r="E217" s="230">
        <v>0</v>
      </c>
      <c r="F217" s="230">
        <v>9.69014368382836E-7</v>
      </c>
      <c r="G217" s="230">
        <v>6.1379927459737895E-7</v>
      </c>
      <c r="H217" s="230">
        <v>5.4986713159634699E-7</v>
      </c>
      <c r="I217" s="230">
        <v>3.5438737816317398E-8</v>
      </c>
      <c r="J217" s="230">
        <v>7.5026952565718795E-10</v>
      </c>
      <c r="K217" s="230">
        <v>1.5660938027080101E-7</v>
      </c>
      <c r="L217" s="230">
        <v>2.36960970006208E-12</v>
      </c>
      <c r="M217" s="230">
        <v>7.1388752293625604E-8</v>
      </c>
      <c r="N217" s="230">
        <v>5.3973638987257301E-8</v>
      </c>
      <c r="O217" s="230">
        <v>0</v>
      </c>
      <c r="P217" s="230">
        <v>2.7670241089604099E-7</v>
      </c>
      <c r="Q217" s="231">
        <v>8.2381631656966196E-9</v>
      </c>
      <c r="R217" s="231">
        <v>6.3673533190273198E-8</v>
      </c>
      <c r="S217" s="231">
        <v>1.3172626613462E-8</v>
      </c>
      <c r="T217" s="231">
        <v>3.3881641097946397E-8</v>
      </c>
      <c r="U217" s="231">
        <v>0</v>
      </c>
      <c r="V217" s="231">
        <v>1.7385383321602799E-7</v>
      </c>
      <c r="W217" s="231">
        <v>3.70271275272898E-10</v>
      </c>
      <c r="X217" s="231">
        <v>6.4400440646767203E-8</v>
      </c>
      <c r="Y217" s="231">
        <v>2.03105589569859E-7</v>
      </c>
      <c r="Z217" s="231">
        <v>0</v>
      </c>
      <c r="AA217" s="231">
        <v>2.1126905530360201E-8</v>
      </c>
      <c r="AB217" s="231">
        <v>1.6163219181334799E-8</v>
      </c>
      <c r="AC217" s="231">
        <v>0</v>
      </c>
      <c r="AD217" s="231">
        <v>9.5815176626217206E-8</v>
      </c>
    </row>
    <row r="218" spans="1:30" x14ac:dyDescent="0.2">
      <c r="A218" s="325" t="s">
        <v>376</v>
      </c>
      <c r="B218" s="325"/>
      <c r="C218" s="230">
        <v>3.0119512839775998E-7</v>
      </c>
      <c r="D218" s="230">
        <v>2.19312289390501E-7</v>
      </c>
      <c r="E218" s="230">
        <v>1.7274667231020499E-7</v>
      </c>
      <c r="F218" s="230">
        <v>5.2395787561884298E-8</v>
      </c>
      <c r="G218" s="230">
        <v>1.5675315938531499E-8</v>
      </c>
      <c r="H218" s="230">
        <v>0</v>
      </c>
      <c r="I218" s="230">
        <v>0</v>
      </c>
      <c r="J218" s="230">
        <v>0</v>
      </c>
      <c r="K218" s="230">
        <v>1.241724530167E-9</v>
      </c>
      <c r="L218" s="230">
        <v>0</v>
      </c>
      <c r="M218" s="230">
        <v>1.0177967991728799E-8</v>
      </c>
      <c r="N218" s="230">
        <v>6.3643201453671196E-9</v>
      </c>
      <c r="O218" s="230">
        <v>6.9703440393327596E-7</v>
      </c>
      <c r="P218" s="230">
        <v>0</v>
      </c>
      <c r="Q218" s="231">
        <v>1.6175063493079999E-9</v>
      </c>
      <c r="R218" s="231">
        <v>5.0542980711924302E-8</v>
      </c>
      <c r="S218" s="231">
        <v>3.7393457009419302E-9</v>
      </c>
      <c r="T218" s="231">
        <v>2.02426879467313E-8</v>
      </c>
      <c r="U218" s="231">
        <v>0</v>
      </c>
      <c r="V218" s="231">
        <v>4.1862682614841298E-8</v>
      </c>
      <c r="W218" s="231">
        <v>0</v>
      </c>
      <c r="X218" s="231">
        <v>3.2185652092102799E-9</v>
      </c>
      <c r="Y218" s="231">
        <v>0</v>
      </c>
      <c r="Z218" s="231">
        <v>0</v>
      </c>
      <c r="AA218" s="231">
        <v>0</v>
      </c>
      <c r="AB218" s="231">
        <v>0</v>
      </c>
      <c r="AC218" s="231">
        <v>0</v>
      </c>
      <c r="AD218" s="231">
        <v>0</v>
      </c>
    </row>
    <row r="219" spans="1:30" x14ac:dyDescent="0.2">
      <c r="A219" s="325" t="s">
        <v>377</v>
      </c>
      <c r="B219" s="325"/>
      <c r="C219" s="230">
        <v>1.7843708992307999E-7</v>
      </c>
      <c r="D219" s="230">
        <v>9.8023318076996399E-8</v>
      </c>
      <c r="E219" s="230">
        <v>0</v>
      </c>
      <c r="F219" s="230">
        <v>5.8153560461423795E-7</v>
      </c>
      <c r="G219" s="230">
        <v>1.43642819631374E-8</v>
      </c>
      <c r="H219" s="230">
        <v>0</v>
      </c>
      <c r="I219" s="230">
        <v>0</v>
      </c>
      <c r="J219" s="230">
        <v>0</v>
      </c>
      <c r="K219" s="230">
        <v>2.82005466549391E-9</v>
      </c>
      <c r="L219" s="230">
        <v>0</v>
      </c>
      <c r="M219" s="230">
        <v>1.3560210851881299E-7</v>
      </c>
      <c r="N219" s="230">
        <v>3.12693981307369E-7</v>
      </c>
      <c r="O219" s="230">
        <v>1.7926097453579201E-8</v>
      </c>
      <c r="P219" s="230">
        <v>1.60164134468073E-6</v>
      </c>
      <c r="Q219" s="231">
        <v>1.6081116951076099E-8</v>
      </c>
      <c r="R219" s="231">
        <v>6.9028836425075097E-8</v>
      </c>
      <c r="S219" s="231">
        <v>6.7895723288337694E-8</v>
      </c>
      <c r="T219" s="231">
        <v>3.25178562493753E-7</v>
      </c>
      <c r="U219" s="231">
        <v>0</v>
      </c>
      <c r="V219" s="231">
        <v>6.4781437705575904E-7</v>
      </c>
      <c r="W219" s="231">
        <v>0</v>
      </c>
      <c r="X219" s="231">
        <v>1.8513722680003E-8</v>
      </c>
      <c r="Y219" s="231">
        <v>0</v>
      </c>
      <c r="Z219" s="231">
        <v>0</v>
      </c>
      <c r="AA219" s="231">
        <v>0</v>
      </c>
      <c r="AB219" s="231">
        <v>0</v>
      </c>
      <c r="AC219" s="231">
        <v>0</v>
      </c>
      <c r="AD219" s="231">
        <v>0</v>
      </c>
    </row>
    <row r="220" spans="1:30" ht="16" thickBot="1" x14ac:dyDescent="0.25">
      <c r="A220" s="326" t="s">
        <v>378</v>
      </c>
      <c r="B220" s="326"/>
      <c r="C220" s="232">
        <v>2.8222631105657499E-7</v>
      </c>
      <c r="D220" s="233">
        <v>1.3602762647974501E-7</v>
      </c>
      <c r="E220" s="233">
        <v>0</v>
      </c>
      <c r="F220" s="233">
        <v>2.30269903439123E-7</v>
      </c>
      <c r="G220" s="233">
        <v>3.7276680033311398E-7</v>
      </c>
      <c r="H220" s="233">
        <v>0</v>
      </c>
      <c r="I220" s="233">
        <v>0</v>
      </c>
      <c r="J220" s="233">
        <v>0</v>
      </c>
      <c r="K220" s="233">
        <v>2.2944918464033101E-9</v>
      </c>
      <c r="L220" s="233">
        <v>0</v>
      </c>
      <c r="M220" s="233">
        <v>5.6037026771343998E-8</v>
      </c>
      <c r="N220" s="233">
        <v>2.1329469993534701E-7</v>
      </c>
      <c r="O220" s="233">
        <v>2.6859177391131898E-11</v>
      </c>
      <c r="P220" s="233">
        <v>0</v>
      </c>
      <c r="Q220" s="234">
        <v>1.2807016190784299E-9</v>
      </c>
      <c r="R220" s="234">
        <v>5.1284752015170201E-8</v>
      </c>
      <c r="S220" s="234">
        <v>2.0896750956327E-8</v>
      </c>
      <c r="T220" s="234">
        <v>8.8003353048795103E-7</v>
      </c>
      <c r="U220" s="234">
        <v>0</v>
      </c>
      <c r="V220" s="234">
        <v>1.66374682264879E-7</v>
      </c>
      <c r="W220" s="234">
        <v>0</v>
      </c>
      <c r="X220" s="234">
        <v>1.15240108939526E-8</v>
      </c>
      <c r="Y220" s="234">
        <v>0</v>
      </c>
      <c r="Z220" s="234">
        <v>0</v>
      </c>
      <c r="AA220" s="234">
        <v>0</v>
      </c>
      <c r="AB220" s="234">
        <v>0</v>
      </c>
      <c r="AC220" s="234">
        <v>0</v>
      </c>
      <c r="AD220" s="234">
        <v>0</v>
      </c>
    </row>
    <row r="221" spans="1:30" ht="19" x14ac:dyDescent="0.25">
      <c r="A221" s="306" t="s">
        <v>397</v>
      </c>
      <c r="B221" s="306"/>
      <c r="C221" s="306"/>
    </row>
    <row r="222" spans="1:30" ht="16" x14ac:dyDescent="0.2">
      <c r="A222" s="235" t="s">
        <v>398</v>
      </c>
      <c r="B222" s="225" t="s">
        <v>36</v>
      </c>
      <c r="C222" s="176">
        <v>2020</v>
      </c>
    </row>
    <row r="223" spans="1:30" ht="17" thickBot="1" x14ac:dyDescent="0.25">
      <c r="A223" s="218" t="s">
        <v>399</v>
      </c>
      <c r="B223" s="236" t="s">
        <v>327</v>
      </c>
      <c r="C223" s="208">
        <v>-0.3</v>
      </c>
    </row>
    <row r="225" spans="1:4" ht="14.25" customHeight="1" x14ac:dyDescent="0.25">
      <c r="A225" s="306" t="s">
        <v>400</v>
      </c>
      <c r="B225" s="306"/>
      <c r="C225" s="306"/>
    </row>
    <row r="226" spans="1:4" ht="28.5" customHeight="1" x14ac:dyDescent="0.2">
      <c r="A226" s="237" t="s">
        <v>401</v>
      </c>
      <c r="B226" s="225" t="s">
        <v>28</v>
      </c>
      <c r="C226" s="226">
        <v>1</v>
      </c>
    </row>
    <row r="227" spans="1:4" ht="14.25" customHeight="1" x14ac:dyDescent="0.2">
      <c r="A227" s="327" t="s">
        <v>403</v>
      </c>
      <c r="B227" s="225" t="s">
        <v>404</v>
      </c>
      <c r="C227" s="328">
        <v>1</v>
      </c>
    </row>
    <row r="228" spans="1:4" x14ac:dyDescent="0.2">
      <c r="A228" s="327"/>
      <c r="B228" s="225" t="s">
        <v>408</v>
      </c>
      <c r="C228" s="328"/>
    </row>
    <row r="229" spans="1:4" x14ac:dyDescent="0.2">
      <c r="A229" s="327"/>
      <c r="B229" s="225" t="s">
        <v>409</v>
      </c>
      <c r="C229" s="328"/>
    </row>
    <row r="230" spans="1:4" ht="16" x14ac:dyDescent="0.2">
      <c r="A230" s="237" t="s">
        <v>607</v>
      </c>
      <c r="B230" s="225" t="s">
        <v>608</v>
      </c>
      <c r="C230" s="176">
        <v>0.1</v>
      </c>
    </row>
    <row r="231" spans="1:4" ht="15" customHeight="1" x14ac:dyDescent="0.2">
      <c r="A231" s="327" t="s">
        <v>406</v>
      </c>
      <c r="B231" s="225" t="s">
        <v>404</v>
      </c>
      <c r="C231" s="328">
        <v>1</v>
      </c>
    </row>
    <row r="232" spans="1:4" x14ac:dyDescent="0.2">
      <c r="A232" s="327"/>
      <c r="B232" s="225" t="s">
        <v>408</v>
      </c>
      <c r="C232" s="328"/>
    </row>
    <row r="233" spans="1:4" x14ac:dyDescent="0.2">
      <c r="A233" s="327"/>
      <c r="B233" s="225" t="s">
        <v>409</v>
      </c>
      <c r="C233" s="328"/>
    </row>
    <row r="234" spans="1:4" ht="17" thickBot="1" x14ac:dyDescent="0.25">
      <c r="A234" s="238" t="s">
        <v>413</v>
      </c>
      <c r="B234" s="236" t="s">
        <v>608</v>
      </c>
      <c r="C234" s="208">
        <v>0.1</v>
      </c>
    </row>
    <row r="237" spans="1:4" ht="27" thickBot="1" x14ac:dyDescent="0.35">
      <c r="A237" s="173" t="s">
        <v>609</v>
      </c>
    </row>
    <row r="238" spans="1:4" ht="15.75" customHeight="1" x14ac:dyDescent="0.25">
      <c r="A238" s="306" t="s">
        <v>429</v>
      </c>
      <c r="B238" s="306"/>
      <c r="C238" s="306"/>
      <c r="D238" s="306"/>
    </row>
    <row r="239" spans="1:4" ht="15.75" customHeight="1" x14ac:dyDescent="0.2">
      <c r="A239" s="329" t="s">
        <v>430</v>
      </c>
      <c r="B239" s="329"/>
      <c r="C239" s="329"/>
      <c r="D239" s="329"/>
    </row>
    <row r="240" spans="1:4" ht="15" customHeight="1" x14ac:dyDescent="0.2">
      <c r="A240" s="330" t="s">
        <v>431</v>
      </c>
      <c r="B240" s="330"/>
      <c r="C240" s="330"/>
      <c r="D240" s="239">
        <v>2</v>
      </c>
    </row>
    <row r="241" spans="1:5" ht="17" thickBot="1" x14ac:dyDescent="0.25">
      <c r="A241" s="240" t="s">
        <v>432</v>
      </c>
      <c r="B241" s="241"/>
      <c r="C241" s="241"/>
      <c r="D241" s="242"/>
    </row>
    <row r="242" spans="1:5" x14ac:dyDescent="0.2">
      <c r="A242" s="243" t="s">
        <v>433</v>
      </c>
      <c r="B242" s="244">
        <v>2050</v>
      </c>
      <c r="C242" s="331"/>
      <c r="D242" s="331"/>
      <c r="E242" s="331"/>
    </row>
    <row r="243" spans="1:5" ht="16" x14ac:dyDescent="0.2">
      <c r="A243" s="245" t="s">
        <v>435</v>
      </c>
      <c r="B243" s="246">
        <v>2020</v>
      </c>
      <c r="C243" s="175"/>
      <c r="D243" s="247" t="s">
        <v>437</v>
      </c>
      <c r="E243" s="248" t="s">
        <v>438</v>
      </c>
    </row>
    <row r="244" spans="1:5" ht="13.5" customHeight="1" thickBot="1" x14ac:dyDescent="0.25">
      <c r="A244" s="332" t="s">
        <v>439</v>
      </c>
      <c r="B244" s="249" t="s">
        <v>440</v>
      </c>
      <c r="C244" s="225" t="s">
        <v>610</v>
      </c>
      <c r="D244" s="213">
        <v>0.20166666666666699</v>
      </c>
      <c r="E244" s="193">
        <v>0.60499999999999998</v>
      </c>
    </row>
    <row r="245" spans="1:5" ht="16" thickBot="1" x14ac:dyDescent="0.25">
      <c r="A245" s="332"/>
      <c r="B245" s="249" t="s">
        <v>443</v>
      </c>
      <c r="C245" s="225" t="s">
        <v>610</v>
      </c>
      <c r="D245" s="213">
        <v>0.05</v>
      </c>
      <c r="E245" s="193">
        <v>0.15</v>
      </c>
    </row>
    <row r="246" spans="1:5" ht="16" thickBot="1" x14ac:dyDescent="0.25">
      <c r="A246" s="332"/>
      <c r="B246" s="249" t="s">
        <v>444</v>
      </c>
      <c r="C246" s="225" t="s">
        <v>610</v>
      </c>
      <c r="D246" s="213">
        <v>0.19666666666666699</v>
      </c>
      <c r="E246" s="193">
        <v>0.59</v>
      </c>
    </row>
    <row r="247" spans="1:5" ht="16" thickBot="1" x14ac:dyDescent="0.25">
      <c r="A247" s="332"/>
      <c r="B247" s="249" t="s">
        <v>445</v>
      </c>
      <c r="C247" s="225" t="s">
        <v>610</v>
      </c>
      <c r="D247" s="213">
        <v>0.163333333333333</v>
      </c>
      <c r="E247" s="193">
        <v>0.49</v>
      </c>
    </row>
    <row r="248" spans="1:5" ht="16" thickBot="1" x14ac:dyDescent="0.25">
      <c r="A248" s="332"/>
      <c r="B248" s="249" t="s">
        <v>446</v>
      </c>
      <c r="C248" s="225" t="s">
        <v>610</v>
      </c>
      <c r="D248" s="213">
        <v>1.66666666666667E-3</v>
      </c>
      <c r="E248" s="193">
        <v>5.0000000000000001E-3</v>
      </c>
    </row>
    <row r="249" spans="1:5" ht="16" thickBot="1" x14ac:dyDescent="0.25">
      <c r="A249" s="332"/>
      <c r="B249" s="249" t="s">
        <v>447</v>
      </c>
      <c r="C249" s="225" t="s">
        <v>610</v>
      </c>
      <c r="D249" s="213">
        <v>6.3333333333333297E-2</v>
      </c>
      <c r="E249" s="193">
        <v>0.19</v>
      </c>
    </row>
    <row r="250" spans="1:5" ht="16" thickBot="1" x14ac:dyDescent="0.25">
      <c r="A250" s="332"/>
      <c r="B250" s="249" t="s">
        <v>448</v>
      </c>
      <c r="C250" s="225" t="s">
        <v>610</v>
      </c>
      <c r="D250" s="213">
        <v>0.25333333333333302</v>
      </c>
      <c r="E250" s="193">
        <v>0.76</v>
      </c>
    </row>
    <row r="251" spans="1:5" ht="16" thickBot="1" x14ac:dyDescent="0.25">
      <c r="A251" s="332"/>
      <c r="B251" s="249" t="s">
        <v>449</v>
      </c>
      <c r="C251" s="225" t="s">
        <v>610</v>
      </c>
      <c r="D251" s="213">
        <v>1.66666666666667E-3</v>
      </c>
      <c r="E251" s="193">
        <v>5.0000000000000001E-3</v>
      </c>
    </row>
    <row r="252" spans="1:5" ht="16" thickBot="1" x14ac:dyDescent="0.25">
      <c r="A252" s="332"/>
      <c r="B252" s="249" t="s">
        <v>450</v>
      </c>
      <c r="C252" s="225" t="s">
        <v>610</v>
      </c>
      <c r="D252" s="213">
        <v>0.13</v>
      </c>
      <c r="E252" s="193">
        <v>0.39</v>
      </c>
    </row>
    <row r="253" spans="1:5" ht="16" thickBot="1" x14ac:dyDescent="0.25">
      <c r="A253" s="332"/>
      <c r="B253" s="249" t="s">
        <v>451</v>
      </c>
      <c r="C253" s="225" t="s">
        <v>610</v>
      </c>
      <c r="D253" s="213">
        <v>0.176666666666667</v>
      </c>
      <c r="E253" s="193">
        <v>0.53</v>
      </c>
    </row>
    <row r="254" spans="1:5" ht="16" thickBot="1" x14ac:dyDescent="0.25">
      <c r="A254" s="332"/>
      <c r="B254" s="249" t="s">
        <v>452</v>
      </c>
      <c r="C254" s="225" t="s">
        <v>610</v>
      </c>
      <c r="D254" s="213">
        <v>0.116666666666667</v>
      </c>
      <c r="E254" s="193">
        <v>0.35</v>
      </c>
    </row>
    <row r="255" spans="1:5" ht="16" thickBot="1" x14ac:dyDescent="0.25">
      <c r="A255" s="332"/>
      <c r="B255" s="249" t="s">
        <v>453</v>
      </c>
      <c r="C255" s="225" t="s">
        <v>610</v>
      </c>
      <c r="D255" s="213">
        <v>0.18833333333333299</v>
      </c>
      <c r="E255" s="193">
        <v>0.56499999999999995</v>
      </c>
    </row>
    <row r="256" spans="1:5" ht="16" thickBot="1" x14ac:dyDescent="0.25">
      <c r="A256" s="332"/>
      <c r="B256" s="249" t="s">
        <v>454</v>
      </c>
      <c r="C256" s="225" t="s">
        <v>610</v>
      </c>
      <c r="D256" s="213">
        <v>0.245</v>
      </c>
      <c r="E256" s="193">
        <v>0.73499999999999999</v>
      </c>
    </row>
    <row r="257" spans="1:10" ht="16" thickBot="1" x14ac:dyDescent="0.25">
      <c r="A257" s="332"/>
      <c r="B257" s="249" t="s">
        <v>455</v>
      </c>
      <c r="C257" s="225" t="s">
        <v>610</v>
      </c>
      <c r="D257" s="213">
        <v>0.19166666666666701</v>
      </c>
      <c r="E257" s="193">
        <v>0.57499999999999996</v>
      </c>
    </row>
    <row r="258" spans="1:10" ht="16" thickBot="1" x14ac:dyDescent="0.25">
      <c r="A258" s="332"/>
      <c r="B258" s="249" t="s">
        <v>456</v>
      </c>
      <c r="C258" s="225" t="s">
        <v>610</v>
      </c>
      <c r="D258" s="213">
        <v>0.101666666666667</v>
      </c>
      <c r="E258" s="193">
        <v>0.30499999999999999</v>
      </c>
    </row>
    <row r="259" spans="1:10" ht="16" thickBot="1" x14ac:dyDescent="0.25">
      <c r="A259" s="332"/>
      <c r="B259" s="249" t="s">
        <v>457</v>
      </c>
      <c r="C259" s="225" t="s">
        <v>610</v>
      </c>
      <c r="D259" s="213">
        <v>1.66666666666667E-3</v>
      </c>
      <c r="E259" s="193">
        <v>5.0000000000000001E-3</v>
      </c>
    </row>
    <row r="260" spans="1:10" ht="16" thickBot="1" x14ac:dyDescent="0.25">
      <c r="A260" s="332"/>
      <c r="B260" s="249" t="s">
        <v>458</v>
      </c>
      <c r="C260" s="225" t="s">
        <v>610</v>
      </c>
      <c r="D260" s="213">
        <v>0.30333333333333301</v>
      </c>
      <c r="E260" s="193">
        <v>0.91</v>
      </c>
    </row>
    <row r="261" spans="1:10" ht="16" thickBot="1" x14ac:dyDescent="0.25">
      <c r="A261" s="332"/>
      <c r="B261" s="249" t="s">
        <v>459</v>
      </c>
      <c r="C261" s="225" t="s">
        <v>610</v>
      </c>
      <c r="D261" s="213">
        <v>1.66666666666667E-3</v>
      </c>
      <c r="E261" s="193">
        <v>5.0000000000000001E-3</v>
      </c>
    </row>
    <row r="262" spans="1:10" ht="16" thickBot="1" x14ac:dyDescent="0.25">
      <c r="A262" s="332"/>
      <c r="B262" s="214" t="s">
        <v>460</v>
      </c>
      <c r="C262" s="236" t="s">
        <v>610</v>
      </c>
      <c r="D262" s="178">
        <v>0.18333333333333299</v>
      </c>
      <c r="E262" s="179">
        <v>0.55000000000000004</v>
      </c>
    </row>
    <row r="263" spans="1:10" ht="15" customHeight="1" x14ac:dyDescent="0.2">
      <c r="A263" s="333" t="s">
        <v>461</v>
      </c>
      <c r="B263" s="333"/>
      <c r="C263" s="333"/>
    </row>
    <row r="264" spans="1:10" ht="32" x14ac:dyDescent="0.2">
      <c r="A264" s="237" t="s">
        <v>611</v>
      </c>
      <c r="B264" s="225" t="s">
        <v>612</v>
      </c>
      <c r="C264" s="250">
        <v>1.4E-2</v>
      </c>
    </row>
    <row r="265" spans="1:10" ht="16" x14ac:dyDescent="0.2">
      <c r="A265" s="237" t="s">
        <v>613</v>
      </c>
      <c r="B265" s="225" t="s">
        <v>423</v>
      </c>
      <c r="C265" s="176">
        <v>2020</v>
      </c>
    </row>
    <row r="266" spans="1:10" ht="16" x14ac:dyDescent="0.2">
      <c r="A266" s="237" t="s">
        <v>614</v>
      </c>
      <c r="B266" s="225" t="s">
        <v>612</v>
      </c>
      <c r="C266" s="250">
        <v>1.4E-2</v>
      </c>
    </row>
    <row r="267" spans="1:10" ht="17" thickBot="1" x14ac:dyDescent="0.25">
      <c r="A267" s="238" t="s">
        <v>615</v>
      </c>
      <c r="B267" s="236" t="s">
        <v>423</v>
      </c>
      <c r="C267" s="208">
        <v>2020</v>
      </c>
    </row>
    <row r="269" spans="1:10" ht="19" x14ac:dyDescent="0.25">
      <c r="A269" s="306" t="s">
        <v>232</v>
      </c>
      <c r="B269" s="306"/>
      <c r="C269" s="306"/>
    </row>
    <row r="270" spans="1:10" x14ac:dyDescent="0.2">
      <c r="A270" s="334" t="s">
        <v>233</v>
      </c>
      <c r="B270" s="334"/>
      <c r="C270" s="334"/>
      <c r="H270" s="58"/>
      <c r="J270" s="61"/>
    </row>
    <row r="271" spans="1:10" ht="16" x14ac:dyDescent="0.2">
      <c r="A271" s="237" t="s">
        <v>234</v>
      </c>
      <c r="B271" s="175" t="s">
        <v>28</v>
      </c>
      <c r="C271" s="251">
        <v>1</v>
      </c>
      <c r="H271" s="58"/>
      <c r="J271" s="61"/>
    </row>
    <row r="272" spans="1:10" x14ac:dyDescent="0.2">
      <c r="A272" s="334" t="s">
        <v>616</v>
      </c>
      <c r="B272" s="334"/>
      <c r="C272" s="334"/>
      <c r="H272" s="58"/>
      <c r="J272" s="61"/>
    </row>
    <row r="273" spans="1:10" ht="15" customHeight="1" thickBot="1" x14ac:dyDescent="0.25">
      <c r="A273" s="332" t="s">
        <v>617</v>
      </c>
      <c r="B273" s="225" t="s">
        <v>618</v>
      </c>
      <c r="C273" s="335">
        <v>4</v>
      </c>
      <c r="H273" s="58"/>
      <c r="J273" s="61"/>
    </row>
    <row r="274" spans="1:10" ht="16" thickBot="1" x14ac:dyDescent="0.25">
      <c r="A274" s="332"/>
      <c r="B274" s="225" t="s">
        <v>619</v>
      </c>
      <c r="C274" s="335"/>
      <c r="H274" s="58"/>
      <c r="J274" s="61"/>
    </row>
    <row r="275" spans="1:10" ht="16" thickBot="1" x14ac:dyDescent="0.25">
      <c r="A275" s="332"/>
      <c r="B275" s="225" t="s">
        <v>620</v>
      </c>
      <c r="C275" s="335"/>
      <c r="H275" s="58"/>
      <c r="J275" s="61"/>
    </row>
    <row r="276" spans="1:10" ht="16" thickBot="1" x14ac:dyDescent="0.25">
      <c r="A276" s="332"/>
      <c r="B276" s="236" t="s">
        <v>621</v>
      </c>
      <c r="C276" s="335"/>
      <c r="H276" s="58"/>
      <c r="J276" s="61"/>
    </row>
    <row r="277" spans="1:10" ht="16" thickBot="1" x14ac:dyDescent="0.25">
      <c r="H277" s="58"/>
      <c r="J277" s="61"/>
    </row>
    <row r="278" spans="1:10" x14ac:dyDescent="0.2">
      <c r="A278" s="252" t="s">
        <v>164</v>
      </c>
      <c r="B278" s="253"/>
      <c r="H278" s="58"/>
      <c r="J278" s="61"/>
    </row>
    <row r="279" spans="1:10" ht="16" thickBot="1" x14ac:dyDescent="0.25">
      <c r="A279" s="254" t="s">
        <v>165</v>
      </c>
      <c r="B279" s="255">
        <v>1</v>
      </c>
      <c r="H279" s="58"/>
      <c r="J279" s="61"/>
    </row>
    <row r="280" spans="1:10" ht="16" thickBot="1" x14ac:dyDescent="0.25">
      <c r="H280" s="58"/>
      <c r="J280" s="61"/>
    </row>
    <row r="281" spans="1:10" ht="19" x14ac:dyDescent="0.25">
      <c r="A281" s="306" t="s">
        <v>622</v>
      </c>
      <c r="B281" s="306"/>
      <c r="C281" s="306"/>
      <c r="D281" s="306"/>
      <c r="E281" s="306"/>
      <c r="F281" s="306"/>
      <c r="G281" s="306"/>
      <c r="H281" s="306"/>
      <c r="I281" s="306"/>
      <c r="J281" s="61"/>
    </row>
    <row r="282" spans="1:10" x14ac:dyDescent="0.2">
      <c r="A282" s="256" t="s">
        <v>623</v>
      </c>
      <c r="B282" s="174" t="s">
        <v>36</v>
      </c>
      <c r="C282" s="175">
        <v>2020</v>
      </c>
      <c r="D282" s="175">
        <v>2025</v>
      </c>
      <c r="E282" s="175">
        <v>2030</v>
      </c>
      <c r="F282" s="175">
        <v>2035</v>
      </c>
      <c r="G282" s="175">
        <v>2040</v>
      </c>
      <c r="H282" s="175">
        <v>2045</v>
      </c>
      <c r="I282" s="176">
        <v>2050</v>
      </c>
      <c r="J282" s="61"/>
    </row>
    <row r="283" spans="1:10" x14ac:dyDescent="0.2">
      <c r="A283" s="256" t="s">
        <v>576</v>
      </c>
      <c r="B283" s="174" t="s">
        <v>499</v>
      </c>
      <c r="C283" s="175">
        <v>0</v>
      </c>
      <c r="D283" s="175">
        <v>0</v>
      </c>
      <c r="E283" s="175">
        <v>0</v>
      </c>
      <c r="F283" s="175">
        <v>0</v>
      </c>
      <c r="G283" s="175">
        <v>0</v>
      </c>
      <c r="H283" s="175">
        <v>0</v>
      </c>
      <c r="I283" s="176">
        <v>0</v>
      </c>
      <c r="J283" s="61"/>
    </row>
    <row r="284" spans="1:10" x14ac:dyDescent="0.2">
      <c r="A284" s="256" t="s">
        <v>579</v>
      </c>
      <c r="B284" s="174" t="s">
        <v>499</v>
      </c>
      <c r="C284" s="175">
        <v>0</v>
      </c>
      <c r="D284" s="175">
        <v>0</v>
      </c>
      <c r="E284" s="175">
        <v>0</v>
      </c>
      <c r="F284" s="175">
        <v>0</v>
      </c>
      <c r="G284" s="175">
        <v>0</v>
      </c>
      <c r="H284" s="175">
        <v>0</v>
      </c>
      <c r="I284" s="176">
        <v>0</v>
      </c>
      <c r="J284" s="61"/>
    </row>
    <row r="285" spans="1:10" x14ac:dyDescent="0.2">
      <c r="A285" s="256" t="s">
        <v>362</v>
      </c>
      <c r="B285" s="174" t="s">
        <v>499</v>
      </c>
      <c r="C285" s="175">
        <v>0</v>
      </c>
      <c r="D285" s="175">
        <v>0</v>
      </c>
      <c r="E285" s="175">
        <v>0</v>
      </c>
      <c r="F285" s="175">
        <v>0</v>
      </c>
      <c r="G285" s="175">
        <v>0</v>
      </c>
      <c r="H285" s="175">
        <v>0</v>
      </c>
      <c r="I285" s="176">
        <v>0</v>
      </c>
      <c r="J285" s="61"/>
    </row>
    <row r="286" spans="1:10" x14ac:dyDescent="0.2">
      <c r="A286" s="256" t="s">
        <v>580</v>
      </c>
      <c r="B286" s="174" t="s">
        <v>499</v>
      </c>
      <c r="C286" s="175">
        <v>0</v>
      </c>
      <c r="D286" s="175">
        <v>0</v>
      </c>
      <c r="E286" s="175">
        <v>0</v>
      </c>
      <c r="F286" s="175">
        <v>0</v>
      </c>
      <c r="G286" s="175">
        <v>0</v>
      </c>
      <c r="H286" s="175">
        <v>0</v>
      </c>
      <c r="I286" s="176">
        <v>0</v>
      </c>
      <c r="J286" s="61"/>
    </row>
    <row r="287" spans="1:10" x14ac:dyDescent="0.2">
      <c r="A287" s="256" t="s">
        <v>581</v>
      </c>
      <c r="B287" s="174" t="s">
        <v>499</v>
      </c>
      <c r="C287" s="175">
        <v>0</v>
      </c>
      <c r="D287" s="175">
        <v>0</v>
      </c>
      <c r="E287" s="175">
        <v>0</v>
      </c>
      <c r="F287" s="175">
        <v>0</v>
      </c>
      <c r="G287" s="175">
        <v>0</v>
      </c>
      <c r="H287" s="175">
        <v>0</v>
      </c>
      <c r="I287" s="176">
        <v>0</v>
      </c>
      <c r="J287" s="61"/>
    </row>
    <row r="288" spans="1:10" x14ac:dyDescent="0.2">
      <c r="A288" s="256" t="s">
        <v>582</v>
      </c>
      <c r="B288" s="174" t="s">
        <v>499</v>
      </c>
      <c r="C288" s="175">
        <v>0</v>
      </c>
      <c r="D288" s="175">
        <v>0</v>
      </c>
      <c r="E288" s="175">
        <v>0</v>
      </c>
      <c r="F288" s="175">
        <v>0</v>
      </c>
      <c r="G288" s="175">
        <v>0</v>
      </c>
      <c r="H288" s="175">
        <v>0</v>
      </c>
      <c r="I288" s="176">
        <v>0</v>
      </c>
      <c r="J288" s="61"/>
    </row>
    <row r="289" spans="1:10" x14ac:dyDescent="0.2">
      <c r="A289" s="256" t="s">
        <v>583</v>
      </c>
      <c r="B289" s="174" t="s">
        <v>499</v>
      </c>
      <c r="C289" s="175">
        <v>0</v>
      </c>
      <c r="D289" s="175">
        <v>0</v>
      </c>
      <c r="E289" s="175">
        <v>0</v>
      </c>
      <c r="F289" s="175">
        <v>0</v>
      </c>
      <c r="G289" s="175">
        <v>0</v>
      </c>
      <c r="H289" s="175">
        <v>0</v>
      </c>
      <c r="I289" s="176">
        <v>0</v>
      </c>
      <c r="J289" s="61"/>
    </row>
    <row r="290" spans="1:10" x14ac:dyDescent="0.2">
      <c r="A290" s="256" t="s">
        <v>354</v>
      </c>
      <c r="B290" s="174" t="s">
        <v>499</v>
      </c>
      <c r="C290" s="175">
        <v>0</v>
      </c>
      <c r="D290" s="175">
        <v>0</v>
      </c>
      <c r="E290" s="175">
        <v>0</v>
      </c>
      <c r="F290" s="175">
        <v>0</v>
      </c>
      <c r="G290" s="175">
        <v>0</v>
      </c>
      <c r="H290" s="175">
        <v>0</v>
      </c>
      <c r="I290" s="176">
        <v>0</v>
      </c>
      <c r="J290" s="61"/>
    </row>
    <row r="291" spans="1:10" x14ac:dyDescent="0.2">
      <c r="A291" s="256" t="s">
        <v>584</v>
      </c>
      <c r="B291" s="174" t="s">
        <v>499</v>
      </c>
      <c r="C291" s="175">
        <v>0</v>
      </c>
      <c r="D291" s="175">
        <v>0</v>
      </c>
      <c r="E291" s="175">
        <v>0</v>
      </c>
      <c r="F291" s="175">
        <v>0</v>
      </c>
      <c r="G291" s="175">
        <v>0</v>
      </c>
      <c r="H291" s="175">
        <v>0</v>
      </c>
      <c r="I291" s="176">
        <v>0</v>
      </c>
      <c r="J291" s="61"/>
    </row>
    <row r="292" spans="1:10" x14ac:dyDescent="0.2">
      <c r="A292" s="256" t="s">
        <v>585</v>
      </c>
      <c r="B292" s="174" t="s">
        <v>499</v>
      </c>
      <c r="C292" s="175">
        <v>0</v>
      </c>
      <c r="D292" s="175">
        <v>0</v>
      </c>
      <c r="E292" s="175">
        <v>0</v>
      </c>
      <c r="F292" s="175">
        <v>0</v>
      </c>
      <c r="G292" s="175">
        <v>0</v>
      </c>
      <c r="H292" s="175">
        <v>0</v>
      </c>
      <c r="I292" s="176">
        <v>0</v>
      </c>
      <c r="J292" s="61"/>
    </row>
    <row r="293" spans="1:10" x14ac:dyDescent="0.2">
      <c r="A293" s="256" t="s">
        <v>586</v>
      </c>
      <c r="B293" s="174" t="s">
        <v>499</v>
      </c>
      <c r="C293" s="175">
        <v>0</v>
      </c>
      <c r="D293" s="175">
        <v>0</v>
      </c>
      <c r="E293" s="175">
        <v>0</v>
      </c>
      <c r="F293" s="175">
        <v>0</v>
      </c>
      <c r="G293" s="175">
        <v>0</v>
      </c>
      <c r="H293" s="175">
        <v>0</v>
      </c>
      <c r="I293" s="176">
        <v>0</v>
      </c>
      <c r="J293" s="61"/>
    </row>
    <row r="294" spans="1:10" x14ac:dyDescent="0.2">
      <c r="A294" s="256" t="s">
        <v>587</v>
      </c>
      <c r="B294" s="174" t="s">
        <v>499</v>
      </c>
      <c r="C294" s="175">
        <v>0</v>
      </c>
      <c r="D294" s="175">
        <v>0</v>
      </c>
      <c r="E294" s="175">
        <v>0</v>
      </c>
      <c r="F294" s="175">
        <v>0</v>
      </c>
      <c r="G294" s="175">
        <v>0</v>
      </c>
      <c r="H294" s="175">
        <v>0</v>
      </c>
      <c r="I294" s="176">
        <v>0</v>
      </c>
      <c r="J294" s="61"/>
    </row>
    <row r="295" spans="1:10" x14ac:dyDescent="0.2">
      <c r="A295" s="256" t="s">
        <v>588</v>
      </c>
      <c r="B295" s="174" t="s">
        <v>499</v>
      </c>
      <c r="C295" s="175">
        <v>0</v>
      </c>
      <c r="D295" s="175">
        <v>0</v>
      </c>
      <c r="E295" s="175">
        <v>0</v>
      </c>
      <c r="F295" s="175">
        <v>0</v>
      </c>
      <c r="G295" s="175">
        <v>0</v>
      </c>
      <c r="H295" s="175">
        <v>0</v>
      </c>
      <c r="I295" s="176">
        <v>0</v>
      </c>
      <c r="J295" s="61"/>
    </row>
    <row r="296" spans="1:10" x14ac:dyDescent="0.2">
      <c r="A296" s="256" t="s">
        <v>589</v>
      </c>
      <c r="B296" s="174" t="s">
        <v>499</v>
      </c>
      <c r="C296" s="175">
        <v>0</v>
      </c>
      <c r="D296" s="175">
        <v>0</v>
      </c>
      <c r="E296" s="175">
        <v>0</v>
      </c>
      <c r="F296" s="175">
        <v>0</v>
      </c>
      <c r="G296" s="175">
        <v>0</v>
      </c>
      <c r="H296" s="175">
        <v>0</v>
      </c>
      <c r="I296" s="176">
        <v>0</v>
      </c>
      <c r="J296" s="61"/>
    </row>
    <row r="297" spans="1:10" x14ac:dyDescent="0.2">
      <c r="A297" s="256" t="s">
        <v>590</v>
      </c>
      <c r="B297" s="174" t="s">
        <v>499</v>
      </c>
      <c r="C297" s="175">
        <v>0</v>
      </c>
      <c r="D297" s="175">
        <v>0</v>
      </c>
      <c r="E297" s="175">
        <v>0</v>
      </c>
      <c r="F297" s="175">
        <v>0</v>
      </c>
      <c r="G297" s="175">
        <v>0</v>
      </c>
      <c r="H297" s="175">
        <v>0</v>
      </c>
      <c r="I297" s="176">
        <v>0</v>
      </c>
      <c r="J297" s="61"/>
    </row>
    <row r="298" spans="1:10" x14ac:dyDescent="0.2">
      <c r="A298" s="256" t="s">
        <v>338</v>
      </c>
      <c r="B298" s="174" t="s">
        <v>499</v>
      </c>
      <c r="C298" s="175">
        <v>0</v>
      </c>
      <c r="D298" s="175">
        <v>0</v>
      </c>
      <c r="E298" s="175">
        <v>0</v>
      </c>
      <c r="F298" s="175">
        <f>$C298+(($G298-$C298)/20)*(F295-2020)</f>
        <v>0</v>
      </c>
      <c r="G298" s="175">
        <v>0</v>
      </c>
      <c r="H298" s="175">
        <v>0</v>
      </c>
      <c r="I298" s="176">
        <v>0</v>
      </c>
      <c r="J298" s="61"/>
    </row>
    <row r="299" spans="1:10" x14ac:dyDescent="0.2">
      <c r="A299" s="256" t="s">
        <v>591</v>
      </c>
      <c r="B299" s="174" t="s">
        <v>499</v>
      </c>
      <c r="C299" s="175">
        <v>0</v>
      </c>
      <c r="D299" s="175">
        <v>0</v>
      </c>
      <c r="E299" s="175">
        <v>0</v>
      </c>
      <c r="F299" s="175">
        <v>0</v>
      </c>
      <c r="G299" s="175">
        <v>0</v>
      </c>
      <c r="H299" s="175">
        <v>0</v>
      </c>
      <c r="I299" s="176">
        <v>0</v>
      </c>
      <c r="J299" s="61"/>
    </row>
    <row r="300" spans="1:10" x14ac:dyDescent="0.2">
      <c r="A300" s="256" t="s">
        <v>592</v>
      </c>
      <c r="B300" s="174" t="s">
        <v>499</v>
      </c>
      <c r="C300" s="175">
        <v>0</v>
      </c>
      <c r="D300" s="175">
        <v>0</v>
      </c>
      <c r="E300" s="175">
        <v>0</v>
      </c>
      <c r="F300" s="175">
        <v>0</v>
      </c>
      <c r="G300" s="175">
        <v>0</v>
      </c>
      <c r="H300" s="175">
        <v>0</v>
      </c>
      <c r="I300" s="176">
        <v>0</v>
      </c>
      <c r="J300" s="61"/>
    </row>
    <row r="301" spans="1:10" x14ac:dyDescent="0.2">
      <c r="A301" s="256" t="s">
        <v>593</v>
      </c>
      <c r="B301" s="174" t="s">
        <v>499</v>
      </c>
      <c r="C301" s="175">
        <v>0</v>
      </c>
      <c r="D301" s="175">
        <v>0</v>
      </c>
      <c r="E301" s="175">
        <v>0</v>
      </c>
      <c r="F301" s="175">
        <v>0</v>
      </c>
      <c r="G301" s="175">
        <v>0</v>
      </c>
      <c r="H301" s="175">
        <v>0</v>
      </c>
      <c r="I301" s="176">
        <v>0</v>
      </c>
      <c r="J301" s="61"/>
    </row>
    <row r="302" spans="1:10" x14ac:dyDescent="0.2">
      <c r="A302" s="256" t="s">
        <v>594</v>
      </c>
      <c r="B302" s="174" t="s">
        <v>499</v>
      </c>
      <c r="C302" s="175">
        <v>0</v>
      </c>
      <c r="D302" s="175">
        <v>0</v>
      </c>
      <c r="E302" s="175">
        <v>0</v>
      </c>
      <c r="F302" s="175">
        <v>0</v>
      </c>
      <c r="G302" s="175">
        <v>0</v>
      </c>
      <c r="H302" s="175">
        <v>0</v>
      </c>
      <c r="I302" s="176">
        <v>0</v>
      </c>
      <c r="J302" s="61"/>
    </row>
    <row r="303" spans="1:10" x14ac:dyDescent="0.2">
      <c r="A303" s="256" t="s">
        <v>595</v>
      </c>
      <c r="B303" s="174" t="s">
        <v>499</v>
      </c>
      <c r="C303" s="175">
        <v>0</v>
      </c>
      <c r="D303" s="175">
        <v>0</v>
      </c>
      <c r="E303" s="175">
        <v>0</v>
      </c>
      <c r="F303" s="175">
        <v>0</v>
      </c>
      <c r="G303" s="175">
        <v>0</v>
      </c>
      <c r="H303" s="175">
        <v>0</v>
      </c>
      <c r="I303" s="176">
        <v>0</v>
      </c>
      <c r="J303" s="61"/>
    </row>
    <row r="304" spans="1:10" x14ac:dyDescent="0.2">
      <c r="A304" s="256" t="s">
        <v>596</v>
      </c>
      <c r="B304" s="174" t="s">
        <v>499</v>
      </c>
      <c r="C304" s="175">
        <v>0</v>
      </c>
      <c r="D304" s="175">
        <v>0</v>
      </c>
      <c r="E304" s="175">
        <v>0</v>
      </c>
      <c r="F304" s="175">
        <v>0</v>
      </c>
      <c r="G304" s="175">
        <v>0</v>
      </c>
      <c r="H304" s="175">
        <v>0</v>
      </c>
      <c r="I304" s="176">
        <v>0</v>
      </c>
      <c r="J304" s="61"/>
    </row>
    <row r="305" spans="1:10" x14ac:dyDescent="0.2">
      <c r="A305" s="256" t="s">
        <v>597</v>
      </c>
      <c r="B305" s="174" t="s">
        <v>499</v>
      </c>
      <c r="C305" s="175">
        <v>0</v>
      </c>
      <c r="D305" s="175">
        <v>0</v>
      </c>
      <c r="E305" s="175">
        <v>0</v>
      </c>
      <c r="F305" s="175">
        <v>0</v>
      </c>
      <c r="G305" s="175">
        <v>0</v>
      </c>
      <c r="H305" s="175">
        <v>0</v>
      </c>
      <c r="I305" s="176">
        <v>0</v>
      </c>
      <c r="J305" s="61"/>
    </row>
    <row r="306" spans="1:10" x14ac:dyDescent="0.2">
      <c r="A306" s="256" t="s">
        <v>598</v>
      </c>
      <c r="B306" s="174" t="s">
        <v>499</v>
      </c>
      <c r="C306" s="175">
        <v>0</v>
      </c>
      <c r="D306" s="175">
        <v>0</v>
      </c>
      <c r="E306" s="175">
        <v>0</v>
      </c>
      <c r="F306" s="175">
        <v>0</v>
      </c>
      <c r="G306" s="175">
        <v>0</v>
      </c>
      <c r="H306" s="175">
        <v>0</v>
      </c>
      <c r="I306" s="176">
        <v>0</v>
      </c>
      <c r="J306" s="61"/>
    </row>
    <row r="307" spans="1:10" x14ac:dyDescent="0.2">
      <c r="A307" s="256" t="s">
        <v>599</v>
      </c>
      <c r="B307" s="174" t="s">
        <v>499</v>
      </c>
      <c r="C307" s="175">
        <v>0</v>
      </c>
      <c r="D307" s="175">
        <v>0</v>
      </c>
      <c r="E307" s="175">
        <v>0</v>
      </c>
      <c r="F307" s="175">
        <v>0</v>
      </c>
      <c r="G307" s="175">
        <v>0</v>
      </c>
      <c r="H307" s="175">
        <v>0</v>
      </c>
      <c r="I307" s="176">
        <v>0</v>
      </c>
      <c r="J307" s="61"/>
    </row>
    <row r="308" spans="1:10" x14ac:dyDescent="0.2">
      <c r="A308" s="256" t="s">
        <v>351</v>
      </c>
      <c r="B308" s="174" t="s">
        <v>499</v>
      </c>
      <c r="C308" s="175">
        <v>0</v>
      </c>
      <c r="D308" s="175">
        <v>0</v>
      </c>
      <c r="E308" s="175">
        <v>0</v>
      </c>
      <c r="F308" s="175">
        <v>0</v>
      </c>
      <c r="G308" s="175">
        <v>0</v>
      </c>
      <c r="H308" s="175">
        <v>0</v>
      </c>
      <c r="I308" s="176">
        <v>0</v>
      </c>
      <c r="J308" s="61"/>
    </row>
    <row r="309" spans="1:10" x14ac:dyDescent="0.2">
      <c r="A309" s="256" t="s">
        <v>361</v>
      </c>
      <c r="B309" s="174" t="s">
        <v>499</v>
      </c>
      <c r="C309" s="175">
        <v>0</v>
      </c>
      <c r="D309" s="175">
        <v>0</v>
      </c>
      <c r="E309" s="175">
        <v>0</v>
      </c>
      <c r="F309" s="175">
        <v>0</v>
      </c>
      <c r="G309" s="175">
        <v>0</v>
      </c>
      <c r="H309" s="175">
        <v>0</v>
      </c>
      <c r="I309" s="176">
        <v>0</v>
      </c>
      <c r="J309" s="61"/>
    </row>
    <row r="310" spans="1:10" x14ac:dyDescent="0.2">
      <c r="A310" s="256" t="s">
        <v>600</v>
      </c>
      <c r="B310" s="174" t="s">
        <v>499</v>
      </c>
      <c r="C310" s="175">
        <v>0</v>
      </c>
      <c r="D310" s="175">
        <v>0</v>
      </c>
      <c r="E310" s="175">
        <v>0</v>
      </c>
      <c r="F310" s="175">
        <v>0</v>
      </c>
      <c r="G310" s="175">
        <v>0</v>
      </c>
      <c r="H310" s="175">
        <v>0</v>
      </c>
      <c r="I310" s="176">
        <v>0</v>
      </c>
      <c r="J310" s="61"/>
    </row>
    <row r="311" spans="1:10" x14ac:dyDescent="0.2">
      <c r="A311" s="257" t="s">
        <v>624</v>
      </c>
      <c r="B311" s="258"/>
      <c r="C311" s="258"/>
      <c r="D311" s="258"/>
      <c r="E311" s="258"/>
      <c r="F311" s="258"/>
      <c r="G311" s="258"/>
      <c r="H311" s="259"/>
      <c r="I311" s="258"/>
      <c r="J311" s="61"/>
    </row>
    <row r="312" spans="1:10" x14ac:dyDescent="0.2">
      <c r="A312" s="256" t="s">
        <v>576</v>
      </c>
      <c r="B312" s="174" t="s">
        <v>28</v>
      </c>
      <c r="C312" s="175">
        <v>0.189349112426035</v>
      </c>
      <c r="D312" s="175">
        <v>0.189349112426035</v>
      </c>
      <c r="E312" s="175">
        <v>0.189349112426035</v>
      </c>
      <c r="F312" s="175">
        <v>0.189349112426035</v>
      </c>
      <c r="G312" s="175">
        <v>0.189349112426035</v>
      </c>
      <c r="H312" s="175">
        <f t="shared" ref="H312:H339" si="2">G312+(I312-G312)/2</f>
        <v>0.23865361380464051</v>
      </c>
      <c r="I312" s="175">
        <v>0.28795811518324599</v>
      </c>
      <c r="J312" s="61"/>
    </row>
    <row r="313" spans="1:10" x14ac:dyDescent="0.2">
      <c r="A313" s="256" t="s">
        <v>579</v>
      </c>
      <c r="B313" s="174" t="s">
        <v>28</v>
      </c>
      <c r="C313" s="175">
        <v>0.189349112426035</v>
      </c>
      <c r="D313" s="175">
        <v>0.189349112426035</v>
      </c>
      <c r="E313" s="175">
        <v>0.189349112426035</v>
      </c>
      <c r="F313" s="175">
        <v>0.189349112426035</v>
      </c>
      <c r="G313" s="175">
        <v>0.189349112426035</v>
      </c>
      <c r="H313" s="175">
        <f t="shared" si="2"/>
        <v>0.23865361380464051</v>
      </c>
      <c r="I313" s="175">
        <v>0.28795811518324599</v>
      </c>
      <c r="J313" s="61"/>
    </row>
    <row r="314" spans="1:10" x14ac:dyDescent="0.2">
      <c r="A314" s="256" t="s">
        <v>362</v>
      </c>
      <c r="B314" s="174" t="s">
        <v>28</v>
      </c>
      <c r="C314" s="175">
        <v>0.189349112426035</v>
      </c>
      <c r="D314" s="175">
        <v>0.189349112426035</v>
      </c>
      <c r="E314" s="175">
        <v>0.189349112426035</v>
      </c>
      <c r="F314" s="175">
        <v>0.189349112426035</v>
      </c>
      <c r="G314" s="175">
        <v>0.189349112426035</v>
      </c>
      <c r="H314" s="175">
        <f t="shared" si="2"/>
        <v>0.23865361380464051</v>
      </c>
      <c r="I314" s="175">
        <v>0.28795811518324599</v>
      </c>
      <c r="J314" s="61"/>
    </row>
    <row r="315" spans="1:10" x14ac:dyDescent="0.2">
      <c r="A315" s="256" t="s">
        <v>580</v>
      </c>
      <c r="B315" s="174" t="s">
        <v>28</v>
      </c>
      <c r="C315" s="175">
        <v>0.189349112426035</v>
      </c>
      <c r="D315" s="175">
        <v>0.189349112426035</v>
      </c>
      <c r="E315" s="175">
        <v>0.189349112426035</v>
      </c>
      <c r="F315" s="175">
        <v>0.189349112426035</v>
      </c>
      <c r="G315" s="175">
        <v>0.189349112426035</v>
      </c>
      <c r="H315" s="175">
        <f t="shared" si="2"/>
        <v>0.23865361380464051</v>
      </c>
      <c r="I315" s="175">
        <v>0.28795811518324599</v>
      </c>
      <c r="J315" s="61"/>
    </row>
    <row r="316" spans="1:10" x14ac:dyDescent="0.2">
      <c r="A316" s="256" t="s">
        <v>581</v>
      </c>
      <c r="B316" s="174" t="s">
        <v>28</v>
      </c>
      <c r="C316" s="175">
        <v>0.189349112426035</v>
      </c>
      <c r="D316" s="175">
        <v>0.189349112426035</v>
      </c>
      <c r="E316" s="175">
        <v>0.189349112426035</v>
      </c>
      <c r="F316" s="175">
        <v>0.189349112426035</v>
      </c>
      <c r="G316" s="175">
        <v>0.189349112426035</v>
      </c>
      <c r="H316" s="175">
        <f t="shared" si="2"/>
        <v>0.23865361380464051</v>
      </c>
      <c r="I316" s="175">
        <v>0.28795811518324599</v>
      </c>
      <c r="J316" s="61"/>
    </row>
    <row r="317" spans="1:10" x14ac:dyDescent="0.2">
      <c r="A317" s="256" t="s">
        <v>582</v>
      </c>
      <c r="B317" s="174" t="s">
        <v>28</v>
      </c>
      <c r="C317" s="175">
        <v>0.189349112426035</v>
      </c>
      <c r="D317" s="175">
        <v>0.189349112426035</v>
      </c>
      <c r="E317" s="175">
        <v>0.189349112426035</v>
      </c>
      <c r="F317" s="175">
        <v>0.189349112426035</v>
      </c>
      <c r="G317" s="175">
        <v>0.189349112426035</v>
      </c>
      <c r="H317" s="175">
        <f t="shared" si="2"/>
        <v>0.23865361380464051</v>
      </c>
      <c r="I317" s="175">
        <v>0.28795811518324599</v>
      </c>
      <c r="J317" s="61"/>
    </row>
    <row r="318" spans="1:10" x14ac:dyDescent="0.2">
      <c r="A318" s="256" t="s">
        <v>583</v>
      </c>
      <c r="B318" s="174" t="s">
        <v>28</v>
      </c>
      <c r="C318" s="175">
        <v>0.189349112426035</v>
      </c>
      <c r="D318" s="175">
        <v>0.189349112426035</v>
      </c>
      <c r="E318" s="175">
        <v>0.189349112426035</v>
      </c>
      <c r="F318" s="175">
        <v>0.189349112426035</v>
      </c>
      <c r="G318" s="175">
        <v>0.189349112426035</v>
      </c>
      <c r="H318" s="175">
        <f t="shared" si="2"/>
        <v>0.23865361380464051</v>
      </c>
      <c r="I318" s="175">
        <v>0.28795811518324599</v>
      </c>
      <c r="J318" s="61"/>
    </row>
    <row r="319" spans="1:10" x14ac:dyDescent="0.2">
      <c r="A319" s="256" t="s">
        <v>354</v>
      </c>
      <c r="B319" s="174" t="s">
        <v>28</v>
      </c>
      <c r="C319" s="175">
        <v>0.189349112426035</v>
      </c>
      <c r="D319" s="175">
        <v>0.189349112426035</v>
      </c>
      <c r="E319" s="175">
        <v>0.189349112426035</v>
      </c>
      <c r="F319" s="175">
        <v>0.189349112426035</v>
      </c>
      <c r="G319" s="175">
        <v>0.189349112426035</v>
      </c>
      <c r="H319" s="175">
        <f t="shared" si="2"/>
        <v>0.23865361380464051</v>
      </c>
      <c r="I319" s="175">
        <v>0.28795811518324599</v>
      </c>
      <c r="J319" s="61"/>
    </row>
    <row r="320" spans="1:10" x14ac:dyDescent="0.2">
      <c r="A320" s="256" t="s">
        <v>584</v>
      </c>
      <c r="B320" s="174" t="s">
        <v>28</v>
      </c>
      <c r="C320" s="175">
        <v>0.189349112426035</v>
      </c>
      <c r="D320" s="175">
        <v>0.189349112426035</v>
      </c>
      <c r="E320" s="175">
        <v>0.189349112426035</v>
      </c>
      <c r="F320" s="175">
        <v>0.189349112426035</v>
      </c>
      <c r="G320" s="175">
        <v>0.189349112426035</v>
      </c>
      <c r="H320" s="175">
        <f t="shared" si="2"/>
        <v>0.23865361380464051</v>
      </c>
      <c r="I320" s="175">
        <v>0.28795811518324599</v>
      </c>
      <c r="J320" s="61"/>
    </row>
    <row r="321" spans="1:10" x14ac:dyDescent="0.2">
      <c r="A321" s="256" t="s">
        <v>585</v>
      </c>
      <c r="B321" s="174" t="s">
        <v>28</v>
      </c>
      <c r="C321" s="175">
        <v>0.189349112426035</v>
      </c>
      <c r="D321" s="175">
        <v>0.189349112426035</v>
      </c>
      <c r="E321" s="175">
        <v>0.189349112426035</v>
      </c>
      <c r="F321" s="175">
        <v>0.189349112426035</v>
      </c>
      <c r="G321" s="175">
        <v>0.189349112426035</v>
      </c>
      <c r="H321" s="175">
        <f t="shared" si="2"/>
        <v>0.23865361380464051</v>
      </c>
      <c r="I321" s="175">
        <v>0.28795811518324599</v>
      </c>
      <c r="J321" s="61"/>
    </row>
    <row r="322" spans="1:10" x14ac:dyDescent="0.2">
      <c r="A322" s="256" t="s">
        <v>586</v>
      </c>
      <c r="B322" s="174" t="s">
        <v>28</v>
      </c>
      <c r="C322" s="175">
        <v>0.189349112426035</v>
      </c>
      <c r="D322" s="175">
        <v>0.189349112426035</v>
      </c>
      <c r="E322" s="175">
        <v>0.189349112426035</v>
      </c>
      <c r="F322" s="175">
        <v>0.189349112426035</v>
      </c>
      <c r="G322" s="175">
        <v>0.189349112426035</v>
      </c>
      <c r="H322" s="175">
        <f t="shared" si="2"/>
        <v>0.23865361380464051</v>
      </c>
      <c r="I322" s="175">
        <v>0.28795811518324599</v>
      </c>
      <c r="J322" s="61"/>
    </row>
    <row r="323" spans="1:10" x14ac:dyDescent="0.2">
      <c r="A323" s="256" t="s">
        <v>587</v>
      </c>
      <c r="B323" s="174" t="s">
        <v>28</v>
      </c>
      <c r="C323" s="175">
        <v>0.189349112426035</v>
      </c>
      <c r="D323" s="175">
        <v>0.189349112426035</v>
      </c>
      <c r="E323" s="175">
        <v>0.189349112426035</v>
      </c>
      <c r="F323" s="175">
        <v>0.189349112426035</v>
      </c>
      <c r="G323" s="175">
        <v>0.189349112426035</v>
      </c>
      <c r="H323" s="175">
        <f t="shared" si="2"/>
        <v>0.23865361380464051</v>
      </c>
      <c r="I323" s="175">
        <v>0.28795811518324599</v>
      </c>
      <c r="J323" s="61"/>
    </row>
    <row r="324" spans="1:10" x14ac:dyDescent="0.2">
      <c r="A324" s="256" t="s">
        <v>588</v>
      </c>
      <c r="B324" s="174" t="s">
        <v>28</v>
      </c>
      <c r="C324" s="175">
        <v>0.189349112426035</v>
      </c>
      <c r="D324" s="175">
        <v>0.189349112426035</v>
      </c>
      <c r="E324" s="175">
        <v>0.189349112426035</v>
      </c>
      <c r="F324" s="175">
        <v>0.189349112426035</v>
      </c>
      <c r="G324" s="175">
        <v>0.189349112426035</v>
      </c>
      <c r="H324" s="175">
        <f t="shared" si="2"/>
        <v>0.23865361380464051</v>
      </c>
      <c r="I324" s="175">
        <v>0.28795811518324599</v>
      </c>
      <c r="J324" s="61"/>
    </row>
    <row r="325" spans="1:10" x14ac:dyDescent="0.2">
      <c r="A325" s="256" t="s">
        <v>589</v>
      </c>
      <c r="B325" s="174" t="s">
        <v>28</v>
      </c>
      <c r="C325" s="175">
        <v>0.189349112426035</v>
      </c>
      <c r="D325" s="175">
        <v>0.189349112426035</v>
      </c>
      <c r="E325" s="175">
        <v>0.189349112426035</v>
      </c>
      <c r="F325" s="175">
        <v>0.189349112426035</v>
      </c>
      <c r="G325" s="175">
        <v>0.189349112426035</v>
      </c>
      <c r="H325" s="175">
        <f t="shared" si="2"/>
        <v>0.23865361380464051</v>
      </c>
      <c r="I325" s="175">
        <v>0.28795811518324599</v>
      </c>
      <c r="J325" s="61"/>
    </row>
    <row r="326" spans="1:10" x14ac:dyDescent="0.2">
      <c r="A326" s="256" t="s">
        <v>590</v>
      </c>
      <c r="B326" s="174" t="s">
        <v>28</v>
      </c>
      <c r="C326" s="175">
        <v>0.189349112426035</v>
      </c>
      <c r="D326" s="175">
        <v>0.189349112426035</v>
      </c>
      <c r="E326" s="175">
        <v>0.189349112426035</v>
      </c>
      <c r="F326" s="175">
        <v>0.189349112426035</v>
      </c>
      <c r="G326" s="175">
        <v>0.189349112426035</v>
      </c>
      <c r="H326" s="175">
        <f t="shared" si="2"/>
        <v>0.23865361380464051</v>
      </c>
      <c r="I326" s="175">
        <v>0.28795811518324599</v>
      </c>
      <c r="J326" s="61"/>
    </row>
    <row r="327" spans="1:10" x14ac:dyDescent="0.2">
      <c r="A327" s="256" t="s">
        <v>338</v>
      </c>
      <c r="B327" s="174" t="s">
        <v>28</v>
      </c>
      <c r="C327" s="175">
        <v>0.189349112426035</v>
      </c>
      <c r="D327" s="175">
        <v>0.189349112426035</v>
      </c>
      <c r="E327" s="175">
        <v>0.189349112426035</v>
      </c>
      <c r="F327" s="175">
        <v>0.189349112426035</v>
      </c>
      <c r="G327" s="175">
        <v>0.189349112426035</v>
      </c>
      <c r="H327" s="175">
        <f t="shared" si="2"/>
        <v>0.23865361380464051</v>
      </c>
      <c r="I327" s="175">
        <v>0.28795811518324599</v>
      </c>
      <c r="J327" s="61"/>
    </row>
    <row r="328" spans="1:10" x14ac:dyDescent="0.2">
      <c r="A328" s="256" t="s">
        <v>591</v>
      </c>
      <c r="B328" s="174" t="s">
        <v>28</v>
      </c>
      <c r="C328" s="175">
        <v>0.189349112426035</v>
      </c>
      <c r="D328" s="175">
        <v>0.189349112426035</v>
      </c>
      <c r="E328" s="175">
        <v>0.189349112426035</v>
      </c>
      <c r="F328" s="175">
        <v>0.189349112426035</v>
      </c>
      <c r="G328" s="175">
        <v>0.189349112426035</v>
      </c>
      <c r="H328" s="175">
        <f t="shared" si="2"/>
        <v>0.23865361380464051</v>
      </c>
      <c r="I328" s="175">
        <v>0.28795811518324599</v>
      </c>
      <c r="J328" s="61"/>
    </row>
    <row r="329" spans="1:10" x14ac:dyDescent="0.2">
      <c r="A329" s="256" t="s">
        <v>592</v>
      </c>
      <c r="B329" s="174" t="s">
        <v>28</v>
      </c>
      <c r="C329" s="175">
        <v>0.189349112426035</v>
      </c>
      <c r="D329" s="175">
        <v>0.189349112426035</v>
      </c>
      <c r="E329" s="175">
        <v>0.189349112426035</v>
      </c>
      <c r="F329" s="175">
        <v>0.189349112426035</v>
      </c>
      <c r="G329" s="175">
        <v>0.189349112426035</v>
      </c>
      <c r="H329" s="175">
        <f t="shared" si="2"/>
        <v>0.23865361380464051</v>
      </c>
      <c r="I329" s="175">
        <v>0.28795811518324599</v>
      </c>
      <c r="J329" s="61"/>
    </row>
    <row r="330" spans="1:10" x14ac:dyDescent="0.2">
      <c r="A330" s="256" t="s">
        <v>593</v>
      </c>
      <c r="B330" s="174" t="s">
        <v>28</v>
      </c>
      <c r="C330" s="175">
        <v>0.189349112426035</v>
      </c>
      <c r="D330" s="175">
        <v>0.189349112426035</v>
      </c>
      <c r="E330" s="175">
        <v>0.189349112426035</v>
      </c>
      <c r="F330" s="175">
        <v>0.189349112426035</v>
      </c>
      <c r="G330" s="175">
        <v>0.189349112426035</v>
      </c>
      <c r="H330" s="175">
        <f t="shared" si="2"/>
        <v>0.1696745562130175</v>
      </c>
      <c r="I330" s="175">
        <v>0.15</v>
      </c>
      <c r="J330" s="61"/>
    </row>
    <row r="331" spans="1:10" x14ac:dyDescent="0.2">
      <c r="A331" s="256" t="s">
        <v>594</v>
      </c>
      <c r="B331" s="174" t="s">
        <v>28</v>
      </c>
      <c r="C331" s="175">
        <v>0.189349112426035</v>
      </c>
      <c r="D331" s="175">
        <v>0.189349112426035</v>
      </c>
      <c r="E331" s="175">
        <v>0.189349112426035</v>
      </c>
      <c r="F331" s="175">
        <v>0.189349112426035</v>
      </c>
      <c r="G331" s="175">
        <v>0.189349112426035</v>
      </c>
      <c r="H331" s="175">
        <f t="shared" si="2"/>
        <v>0.1696745562130175</v>
      </c>
      <c r="I331" s="175">
        <v>0.15</v>
      </c>
      <c r="J331" s="61"/>
    </row>
    <row r="332" spans="1:10" x14ac:dyDescent="0.2">
      <c r="A332" s="256" t="s">
        <v>595</v>
      </c>
      <c r="B332" s="174" t="s">
        <v>28</v>
      </c>
      <c r="C332" s="175">
        <v>0.189349112426035</v>
      </c>
      <c r="D332" s="175">
        <v>0.189349112426035</v>
      </c>
      <c r="E332" s="175">
        <v>0.189349112426035</v>
      </c>
      <c r="F332" s="175">
        <v>0.189349112426035</v>
      </c>
      <c r="G332" s="175">
        <v>0.189349112426035</v>
      </c>
      <c r="H332" s="175">
        <f t="shared" si="2"/>
        <v>0.1696745562130175</v>
      </c>
      <c r="I332" s="175">
        <v>0.15</v>
      </c>
      <c r="J332" s="61"/>
    </row>
    <row r="333" spans="1:10" x14ac:dyDescent="0.2">
      <c r="A333" s="256" t="s">
        <v>596</v>
      </c>
      <c r="B333" s="174" t="s">
        <v>28</v>
      </c>
      <c r="C333" s="175">
        <v>0.189349112426035</v>
      </c>
      <c r="D333" s="175">
        <v>0.189349112426035</v>
      </c>
      <c r="E333" s="175">
        <v>0.189349112426035</v>
      </c>
      <c r="F333" s="175">
        <v>0.189349112426035</v>
      </c>
      <c r="G333" s="175">
        <v>0.189349112426035</v>
      </c>
      <c r="H333" s="175">
        <f t="shared" si="2"/>
        <v>0.1696745562130175</v>
      </c>
      <c r="I333" s="175">
        <v>0.15</v>
      </c>
      <c r="J333" s="61"/>
    </row>
    <row r="334" spans="1:10" x14ac:dyDescent="0.2">
      <c r="A334" s="256" t="s">
        <v>597</v>
      </c>
      <c r="B334" s="174" t="s">
        <v>28</v>
      </c>
      <c r="C334" s="175">
        <v>0.189349112426035</v>
      </c>
      <c r="D334" s="175">
        <v>0.189349112426035</v>
      </c>
      <c r="E334" s="175">
        <v>0.189349112426035</v>
      </c>
      <c r="F334" s="175">
        <v>0.189349112426035</v>
      </c>
      <c r="G334" s="175">
        <v>0.189349112426035</v>
      </c>
      <c r="H334" s="175">
        <f t="shared" si="2"/>
        <v>0.1696745562130175</v>
      </c>
      <c r="I334" s="175">
        <v>0.15</v>
      </c>
      <c r="J334" s="61"/>
    </row>
    <row r="335" spans="1:10" x14ac:dyDescent="0.2">
      <c r="A335" s="256" t="s">
        <v>598</v>
      </c>
      <c r="B335" s="174" t="s">
        <v>28</v>
      </c>
      <c r="C335" s="175">
        <v>0.189349112426035</v>
      </c>
      <c r="D335" s="175">
        <v>0.189349112426035</v>
      </c>
      <c r="E335" s="175">
        <v>0.189349112426035</v>
      </c>
      <c r="F335" s="175">
        <v>0.189349112426035</v>
      </c>
      <c r="G335" s="175">
        <v>0.189349112426035</v>
      </c>
      <c r="H335" s="175">
        <f t="shared" si="2"/>
        <v>0.1696745562130175</v>
      </c>
      <c r="I335" s="175">
        <v>0.15</v>
      </c>
      <c r="J335" s="61"/>
    </row>
    <row r="336" spans="1:10" x14ac:dyDescent="0.2">
      <c r="A336" s="256" t="s">
        <v>599</v>
      </c>
      <c r="B336" s="174" t="s">
        <v>28</v>
      </c>
      <c r="C336" s="175">
        <v>0.189349112426035</v>
      </c>
      <c r="D336" s="175">
        <v>0.189349112426035</v>
      </c>
      <c r="E336" s="175">
        <v>0.189349112426035</v>
      </c>
      <c r="F336" s="175">
        <v>0.189349112426035</v>
      </c>
      <c r="G336" s="175">
        <v>0.189349112426035</v>
      </c>
      <c r="H336" s="175">
        <f t="shared" si="2"/>
        <v>0.1696745562130175</v>
      </c>
      <c r="I336" s="175">
        <v>0.15</v>
      </c>
      <c r="J336" s="61"/>
    </row>
    <row r="337" spans="1:24" x14ac:dyDescent="0.2">
      <c r="A337" s="256" t="s">
        <v>351</v>
      </c>
      <c r="B337" s="174" t="s">
        <v>28</v>
      </c>
      <c r="C337" s="175">
        <v>0.189349112426035</v>
      </c>
      <c r="D337" s="175">
        <v>0.189349112426035</v>
      </c>
      <c r="E337" s="175">
        <v>0.189349112426035</v>
      </c>
      <c r="F337" s="175">
        <v>0.189349112426035</v>
      </c>
      <c r="G337" s="175">
        <v>0.189349112426035</v>
      </c>
      <c r="H337" s="175">
        <f t="shared" si="2"/>
        <v>0.1696745562130175</v>
      </c>
      <c r="I337" s="175">
        <v>0.15</v>
      </c>
      <c r="J337" s="61"/>
    </row>
    <row r="338" spans="1:24" x14ac:dyDescent="0.2">
      <c r="A338" s="256" t="s">
        <v>361</v>
      </c>
      <c r="B338" s="174" t="s">
        <v>28</v>
      </c>
      <c r="C338" s="175">
        <v>0.189349112426035</v>
      </c>
      <c r="D338" s="175">
        <v>0.189349112426035</v>
      </c>
      <c r="E338" s="175">
        <v>0.189349112426035</v>
      </c>
      <c r="F338" s="175">
        <v>0.189349112426035</v>
      </c>
      <c r="G338" s="175">
        <v>0.189349112426035</v>
      </c>
      <c r="H338" s="175">
        <f t="shared" si="2"/>
        <v>0.1696745562130175</v>
      </c>
      <c r="I338" s="175">
        <v>0.15</v>
      </c>
      <c r="J338" s="61"/>
    </row>
    <row r="339" spans="1:24" ht="16" thickBot="1" x14ac:dyDescent="0.25">
      <c r="A339" s="256" t="s">
        <v>600</v>
      </c>
      <c r="B339" s="174" t="s">
        <v>28</v>
      </c>
      <c r="C339" s="175">
        <v>0.189349112426035</v>
      </c>
      <c r="D339" s="175">
        <v>0.189349112426035</v>
      </c>
      <c r="E339" s="175">
        <v>0.189349112426035</v>
      </c>
      <c r="F339" s="175">
        <v>0.189349112426035</v>
      </c>
      <c r="G339" s="175">
        <v>0.189349112426035</v>
      </c>
      <c r="H339" s="175">
        <f t="shared" si="2"/>
        <v>0.1696745562130175</v>
      </c>
      <c r="I339" s="175">
        <v>0.15</v>
      </c>
      <c r="J339" s="61"/>
    </row>
    <row r="340" spans="1:24" ht="18" customHeight="1" x14ac:dyDescent="0.25">
      <c r="A340" s="306" t="s">
        <v>625</v>
      </c>
      <c r="B340" s="306"/>
      <c r="C340" s="306"/>
      <c r="D340" s="306"/>
      <c r="E340" s="306"/>
      <c r="F340" s="306"/>
      <c r="G340" s="306"/>
      <c r="H340" s="306"/>
      <c r="I340" s="306"/>
    </row>
    <row r="341" spans="1:24" x14ac:dyDescent="0.2">
      <c r="A341" s="256" t="s">
        <v>626</v>
      </c>
      <c r="B341" s="190" t="s">
        <v>499</v>
      </c>
      <c r="C341" s="175">
        <v>0</v>
      </c>
      <c r="D341" s="175">
        <v>0</v>
      </c>
      <c r="E341" s="175">
        <v>0</v>
      </c>
      <c r="F341" s="175">
        <v>0</v>
      </c>
      <c r="G341" s="175">
        <v>0</v>
      </c>
      <c r="H341" s="175">
        <v>0</v>
      </c>
      <c r="I341" s="175">
        <v>0</v>
      </c>
    </row>
    <row r="342" spans="1:24" ht="16" thickBot="1" x14ac:dyDescent="0.25">
      <c r="H342" s="58"/>
      <c r="J342" s="61"/>
    </row>
    <row r="343" spans="1:24" ht="19" x14ac:dyDescent="0.25">
      <c r="A343" s="260" t="s">
        <v>627</v>
      </c>
      <c r="B343" s="261"/>
      <c r="C343" s="262"/>
    </row>
    <row r="344" spans="1:24" x14ac:dyDescent="0.2">
      <c r="A344" s="256" t="s">
        <v>434</v>
      </c>
      <c r="B344" s="174" t="s">
        <v>36</v>
      </c>
      <c r="C344" s="176">
        <v>2050</v>
      </c>
    </row>
    <row r="345" spans="1:24" ht="16" thickBot="1" x14ac:dyDescent="0.25">
      <c r="A345" s="263" t="s">
        <v>628</v>
      </c>
      <c r="B345" s="177" t="s">
        <v>327</v>
      </c>
      <c r="C345" s="264">
        <v>0.05</v>
      </c>
    </row>
    <row r="347" spans="1:24" ht="19" x14ac:dyDescent="0.25">
      <c r="A347" s="260" t="s">
        <v>629</v>
      </c>
      <c r="B347" s="260"/>
      <c r="C347" s="260"/>
      <c r="D347" s="260"/>
      <c r="E347" s="260"/>
      <c r="F347" s="260"/>
      <c r="G347" s="260"/>
      <c r="H347" s="260"/>
      <c r="I347" s="260"/>
    </row>
    <row r="348" spans="1:24" x14ac:dyDescent="0.2">
      <c r="A348" s="256" t="s">
        <v>630</v>
      </c>
      <c r="B348" s="174" t="s">
        <v>36</v>
      </c>
      <c r="C348" s="175">
        <v>2020</v>
      </c>
      <c r="D348" s="175">
        <f t="shared" ref="D348:I348" si="3">C348+5</f>
        <v>2025</v>
      </c>
      <c r="E348" s="175">
        <f t="shared" si="3"/>
        <v>2030</v>
      </c>
      <c r="F348" s="175">
        <f t="shared" si="3"/>
        <v>2035</v>
      </c>
      <c r="G348" s="175">
        <f t="shared" si="3"/>
        <v>2040</v>
      </c>
      <c r="H348" s="175">
        <f t="shared" si="3"/>
        <v>2045</v>
      </c>
      <c r="I348" s="175">
        <f t="shared" si="3"/>
        <v>2050</v>
      </c>
    </row>
    <row r="349" spans="1:24" x14ac:dyDescent="0.2">
      <c r="A349" s="256" t="s">
        <v>631</v>
      </c>
      <c r="B349" s="174" t="s">
        <v>632</v>
      </c>
      <c r="C349" s="175">
        <v>0</v>
      </c>
      <c r="D349" s="175">
        <v>0</v>
      </c>
      <c r="E349" s="175">
        <v>0</v>
      </c>
      <c r="F349" s="175">
        <v>0</v>
      </c>
      <c r="G349" s="175">
        <v>0</v>
      </c>
      <c r="H349" s="175">
        <v>0</v>
      </c>
      <c r="I349" s="175">
        <v>0</v>
      </c>
      <c r="M349" s="172"/>
      <c r="Q349" s="172"/>
      <c r="U349" s="172"/>
    </row>
    <row r="351" spans="1:24" ht="19" x14ac:dyDescent="0.25">
      <c r="A351" s="260" t="s">
        <v>633</v>
      </c>
      <c r="B351" s="260"/>
      <c r="C351" s="260"/>
      <c r="D351" s="260"/>
      <c r="E351" s="260"/>
      <c r="F351" s="260"/>
      <c r="G351" s="260"/>
      <c r="H351" s="260"/>
      <c r="I351" s="260"/>
      <c r="J351" s="260"/>
      <c r="K351" s="260"/>
      <c r="L351" s="260"/>
      <c r="M351" s="260"/>
      <c r="N351" s="260"/>
      <c r="O351" s="260"/>
      <c r="P351" s="260"/>
      <c r="Q351" s="260"/>
      <c r="R351" s="260"/>
      <c r="S351" s="260"/>
      <c r="T351" s="260"/>
      <c r="U351" s="260"/>
      <c r="V351" s="260"/>
      <c r="W351" s="260"/>
      <c r="X351" s="260"/>
    </row>
    <row r="352" spans="1:24" x14ac:dyDescent="0.2">
      <c r="A352" s="256" t="s">
        <v>630</v>
      </c>
      <c r="B352" s="174" t="s">
        <v>36</v>
      </c>
      <c r="C352" s="175">
        <v>1980</v>
      </c>
      <c r="D352" s="175">
        <v>2020</v>
      </c>
      <c r="E352" s="175">
        <f t="shared" ref="E352:X352" si="4">D352+5</f>
        <v>2025</v>
      </c>
      <c r="F352" s="175">
        <f t="shared" si="4"/>
        <v>2030</v>
      </c>
      <c r="G352" s="175">
        <f t="shared" si="4"/>
        <v>2035</v>
      </c>
      <c r="H352" s="175">
        <f t="shared" si="4"/>
        <v>2040</v>
      </c>
      <c r="I352" s="175">
        <f t="shared" si="4"/>
        <v>2045</v>
      </c>
      <c r="J352" s="175">
        <f t="shared" si="4"/>
        <v>2050</v>
      </c>
      <c r="K352" s="175">
        <f t="shared" si="4"/>
        <v>2055</v>
      </c>
      <c r="L352" s="175">
        <f t="shared" si="4"/>
        <v>2060</v>
      </c>
      <c r="M352" s="175">
        <f t="shared" si="4"/>
        <v>2065</v>
      </c>
      <c r="N352" s="175">
        <f t="shared" si="4"/>
        <v>2070</v>
      </c>
      <c r="O352" s="175">
        <f t="shared" si="4"/>
        <v>2075</v>
      </c>
      <c r="P352" s="175">
        <f t="shared" si="4"/>
        <v>2080</v>
      </c>
      <c r="Q352" s="175">
        <f t="shared" si="4"/>
        <v>2085</v>
      </c>
      <c r="R352" s="175">
        <f t="shared" si="4"/>
        <v>2090</v>
      </c>
      <c r="S352" s="175">
        <f t="shared" si="4"/>
        <v>2095</v>
      </c>
      <c r="T352" s="175">
        <f t="shared" si="4"/>
        <v>2100</v>
      </c>
      <c r="U352" s="175">
        <f t="shared" si="4"/>
        <v>2105</v>
      </c>
      <c r="V352" s="175">
        <f t="shared" si="4"/>
        <v>2110</v>
      </c>
      <c r="W352" s="175">
        <f t="shared" si="4"/>
        <v>2115</v>
      </c>
      <c r="X352" s="175">
        <f t="shared" si="4"/>
        <v>2120</v>
      </c>
    </row>
    <row r="353" spans="1:24" x14ac:dyDescent="0.2">
      <c r="A353" s="256" t="s">
        <v>633</v>
      </c>
      <c r="B353" s="174" t="s">
        <v>634</v>
      </c>
      <c r="C353" s="175"/>
      <c r="D353" s="175">
        <v>345</v>
      </c>
      <c r="E353" s="175"/>
      <c r="F353" s="175">
        <v>345</v>
      </c>
      <c r="G353" s="175"/>
      <c r="H353" s="175">
        <v>298</v>
      </c>
      <c r="I353" s="175"/>
      <c r="J353" s="175">
        <v>333</v>
      </c>
      <c r="K353" s="175"/>
      <c r="L353" s="175"/>
      <c r="M353" s="175"/>
      <c r="N353" s="175"/>
      <c r="O353" s="175"/>
      <c r="P353" s="175"/>
      <c r="Q353" s="175"/>
      <c r="R353" s="175"/>
      <c r="S353" s="175"/>
      <c r="T353" s="175"/>
      <c r="U353" s="175"/>
      <c r="V353" s="175"/>
      <c r="W353" s="175"/>
      <c r="X353" s="175"/>
    </row>
    <row r="354" spans="1:24" x14ac:dyDescent="0.2">
      <c r="H354" s="58"/>
      <c r="J354" s="61"/>
    </row>
    <row r="355" spans="1:24" x14ac:dyDescent="0.2">
      <c r="H355" s="58"/>
      <c r="J355" s="61"/>
    </row>
    <row r="356" spans="1:24" x14ac:dyDescent="0.2">
      <c r="H356" s="58"/>
      <c r="J356" s="61"/>
    </row>
    <row r="357" spans="1:24" x14ac:dyDescent="0.2">
      <c r="H357" s="58"/>
      <c r="J357" s="61"/>
    </row>
    <row r="358" spans="1:24" x14ac:dyDescent="0.2">
      <c r="H358" s="58"/>
      <c r="J358" s="61"/>
    </row>
    <row r="359" spans="1:24" ht="26" x14ac:dyDescent="0.3">
      <c r="A359" s="173" t="s">
        <v>635</v>
      </c>
    </row>
    <row r="362" spans="1:24" x14ac:dyDescent="0.2">
      <c r="H362" s="265"/>
    </row>
    <row r="363" spans="1:24" ht="16" thickBot="1" x14ac:dyDescent="0.25">
      <c r="H363" s="265"/>
    </row>
    <row r="364" spans="1:24" ht="19" x14ac:dyDescent="0.25">
      <c r="A364" s="306" t="s">
        <v>636</v>
      </c>
      <c r="B364" s="306"/>
      <c r="C364" s="306"/>
      <c r="D364" s="306"/>
      <c r="E364" s="306"/>
      <c r="F364" s="306"/>
      <c r="G364" s="306"/>
      <c r="H364" s="306"/>
    </row>
    <row r="365" spans="1:24" x14ac:dyDescent="0.2">
      <c r="A365" s="266" t="s">
        <v>36</v>
      </c>
      <c r="B365" s="175">
        <v>2020</v>
      </c>
      <c r="C365" s="175">
        <v>2025</v>
      </c>
      <c r="D365" s="175">
        <v>2030</v>
      </c>
      <c r="E365" s="175">
        <v>2035</v>
      </c>
      <c r="F365" s="175">
        <v>2040</v>
      </c>
      <c r="G365" s="175">
        <v>2045</v>
      </c>
      <c r="H365" s="176">
        <v>2050</v>
      </c>
    </row>
    <row r="366" spans="1:24" x14ac:dyDescent="0.2">
      <c r="A366" s="334" t="s">
        <v>472</v>
      </c>
      <c r="B366" s="334"/>
      <c r="C366" s="334"/>
      <c r="D366" s="334"/>
      <c r="E366" s="334"/>
      <c r="F366" s="334"/>
      <c r="G366" s="334"/>
      <c r="H366" s="334"/>
    </row>
    <row r="367" spans="1:24" x14ac:dyDescent="0.2">
      <c r="A367" s="267" t="s">
        <v>637</v>
      </c>
      <c r="B367" s="175">
        <v>18.8</v>
      </c>
      <c r="C367" s="175">
        <v>16.131631500000001</v>
      </c>
      <c r="D367" s="175">
        <v>13.486490999999999</v>
      </c>
      <c r="E367" s="175">
        <v>10.841350500000001</v>
      </c>
      <c r="F367" s="175">
        <v>8.1962100000000007</v>
      </c>
      <c r="G367" s="175">
        <v>5.5510694999999997</v>
      </c>
      <c r="H367" s="176">
        <v>2.9</v>
      </c>
    </row>
    <row r="368" spans="1:24" x14ac:dyDescent="0.2">
      <c r="A368" s="334" t="s">
        <v>479</v>
      </c>
      <c r="B368" s="334"/>
      <c r="C368" s="334"/>
      <c r="D368" s="334"/>
      <c r="E368" s="334"/>
      <c r="F368" s="334"/>
      <c r="G368" s="334"/>
      <c r="H368" s="334"/>
      <c r="I368" s="61"/>
    </row>
    <row r="369" spans="1:10" x14ac:dyDescent="0.2">
      <c r="A369" s="267" t="s">
        <v>637</v>
      </c>
      <c r="B369" s="175">
        <v>13.3</v>
      </c>
      <c r="C369" s="175">
        <v>11.390420000000001</v>
      </c>
      <c r="D369" s="175">
        <v>9.5290400000000002</v>
      </c>
      <c r="E369" s="175">
        <v>7.6676599999999997</v>
      </c>
      <c r="F369" s="175">
        <v>5.8062800000000001</v>
      </c>
      <c r="G369" s="175">
        <v>3.9449000000000001</v>
      </c>
      <c r="H369" s="176">
        <v>2.1</v>
      </c>
    </row>
    <row r="370" spans="1:10" x14ac:dyDescent="0.2">
      <c r="A370" s="334" t="s">
        <v>485</v>
      </c>
      <c r="B370" s="334"/>
      <c r="C370" s="334"/>
      <c r="D370" s="334"/>
      <c r="E370" s="334"/>
      <c r="F370" s="334"/>
      <c r="G370" s="334"/>
      <c r="H370" s="334"/>
      <c r="I370" s="61"/>
    </row>
    <row r="371" spans="1:10" ht="16" thickBot="1" x14ac:dyDescent="0.25">
      <c r="A371" s="268" t="s">
        <v>637</v>
      </c>
      <c r="B371" s="269">
        <v>2.4</v>
      </c>
      <c r="C371" s="269">
        <v>2.0830000000000002</v>
      </c>
      <c r="D371" s="269">
        <v>1.7689999999999999</v>
      </c>
      <c r="E371" s="269">
        <v>1.4550000000000001</v>
      </c>
      <c r="F371" s="269">
        <v>1.141</v>
      </c>
      <c r="G371" s="269">
        <v>0.82699999999999996</v>
      </c>
      <c r="H371" s="208">
        <v>0.5</v>
      </c>
    </row>
    <row r="373" spans="1:10" ht="19" x14ac:dyDescent="0.25">
      <c r="A373" s="306" t="s">
        <v>638</v>
      </c>
      <c r="B373" s="306"/>
      <c r="C373" s="306"/>
      <c r="D373" s="306"/>
      <c r="E373" s="306"/>
      <c r="F373" s="306"/>
      <c r="G373" s="306"/>
      <c r="H373" s="306"/>
      <c r="I373" s="306"/>
    </row>
    <row r="374" spans="1:10" x14ac:dyDescent="0.2">
      <c r="A374" s="270"/>
      <c r="B374" s="174" t="s">
        <v>36</v>
      </c>
      <c r="C374" s="175">
        <v>2020</v>
      </c>
      <c r="D374" s="175">
        <v>2025</v>
      </c>
      <c r="E374" s="175">
        <v>2030</v>
      </c>
      <c r="F374" s="175">
        <v>2035</v>
      </c>
      <c r="G374" s="175">
        <v>2040</v>
      </c>
      <c r="H374" s="175">
        <v>2045</v>
      </c>
      <c r="I374" s="176">
        <v>2050</v>
      </c>
    </row>
    <row r="375" spans="1:10" x14ac:dyDescent="0.2">
      <c r="A375" s="256" t="s">
        <v>639</v>
      </c>
      <c r="B375" s="174" t="s">
        <v>146</v>
      </c>
      <c r="C375" s="176">
        <v>-0.01</v>
      </c>
      <c r="D375" s="176">
        <v>-1.2999999999999999E-2</v>
      </c>
      <c r="E375" s="176">
        <v>-1.6E-2</v>
      </c>
      <c r="F375" s="176">
        <v>-1.9E-2</v>
      </c>
      <c r="G375" s="176">
        <v>-2.3E-2</v>
      </c>
      <c r="H375" s="176">
        <v>-2.5999999999999999E-2</v>
      </c>
      <c r="I375" s="176">
        <v>-2.9000000000000001E-2</v>
      </c>
    </row>
    <row r="376" spans="1:10" ht="16" thickBot="1" x14ac:dyDescent="0.25">
      <c r="A376" s="263" t="s">
        <v>640</v>
      </c>
      <c r="B376" s="177" t="s">
        <v>327</v>
      </c>
      <c r="C376" s="250">
        <v>0</v>
      </c>
      <c r="D376" s="250">
        <v>0</v>
      </c>
      <c r="E376" s="250">
        <v>0</v>
      </c>
      <c r="F376" s="250">
        <v>0</v>
      </c>
      <c r="G376" s="250">
        <v>0</v>
      </c>
      <c r="H376" s="250">
        <v>0</v>
      </c>
      <c r="I376" s="250">
        <v>0</v>
      </c>
    </row>
    <row r="380" spans="1:10" ht="27" thickBot="1" x14ac:dyDescent="0.35">
      <c r="A380" s="173" t="s">
        <v>641</v>
      </c>
      <c r="H380" s="58"/>
      <c r="J380" s="61"/>
    </row>
    <row r="381" spans="1:10" ht="19" x14ac:dyDescent="0.25">
      <c r="A381" s="306" t="s">
        <v>642</v>
      </c>
      <c r="B381" s="306"/>
      <c r="C381" s="306"/>
      <c r="H381" s="58"/>
      <c r="J381" s="61"/>
    </row>
    <row r="382" spans="1:10" x14ac:dyDescent="0.2">
      <c r="A382" s="256" t="s">
        <v>416</v>
      </c>
      <c r="B382" s="174" t="s">
        <v>28</v>
      </c>
      <c r="C382" s="176">
        <v>0</v>
      </c>
    </row>
    <row r="383" spans="1:10" x14ac:dyDescent="0.2">
      <c r="A383" s="256" t="s">
        <v>418</v>
      </c>
      <c r="B383" s="174" t="s">
        <v>125</v>
      </c>
      <c r="C383" s="176">
        <v>200</v>
      </c>
    </row>
    <row r="384" spans="1:10" x14ac:dyDescent="0.2">
      <c r="A384" s="256" t="s">
        <v>420</v>
      </c>
      <c r="B384" s="174" t="s">
        <v>643</v>
      </c>
      <c r="C384" s="271">
        <v>7.4000000000000003E-3</v>
      </c>
    </row>
    <row r="385" spans="1:38" x14ac:dyDescent="0.2">
      <c r="A385" s="256" t="s">
        <v>644</v>
      </c>
      <c r="B385" s="174" t="s">
        <v>36</v>
      </c>
      <c r="C385" s="176">
        <v>2020</v>
      </c>
    </row>
    <row r="386" spans="1:38" x14ac:dyDescent="0.2">
      <c r="A386" s="256" t="s">
        <v>424</v>
      </c>
      <c r="B386" s="174" t="s">
        <v>645</v>
      </c>
      <c r="C386" s="176">
        <v>185</v>
      </c>
    </row>
    <row r="387" spans="1:38" x14ac:dyDescent="0.2">
      <c r="A387" s="256" t="s">
        <v>427</v>
      </c>
      <c r="B387" s="174" t="s">
        <v>36</v>
      </c>
      <c r="C387" s="176">
        <v>2020</v>
      </c>
    </row>
    <row r="388" spans="1:38" ht="16" thickBot="1" x14ac:dyDescent="0.25">
      <c r="A388" s="263" t="s">
        <v>428</v>
      </c>
      <c r="B388" s="177" t="s">
        <v>36</v>
      </c>
      <c r="C388" s="208">
        <v>2050</v>
      </c>
    </row>
    <row r="390" spans="1:38" ht="14.25" customHeight="1" thickBot="1" x14ac:dyDescent="0.3">
      <c r="A390" s="336" t="s">
        <v>70</v>
      </c>
      <c r="B390" s="336"/>
      <c r="C390" s="336"/>
      <c r="F390" s="265"/>
      <c r="G390" s="265"/>
      <c r="H390" s="265"/>
      <c r="I390" s="265"/>
      <c r="J390" s="265"/>
      <c r="K390" s="265"/>
      <c r="L390" s="265"/>
      <c r="M390" s="265"/>
      <c r="N390" s="265"/>
      <c r="O390" s="265"/>
      <c r="P390" s="265"/>
      <c r="Q390" s="265"/>
      <c r="R390" s="265"/>
      <c r="S390" s="265"/>
      <c r="T390" s="265"/>
      <c r="U390" s="265"/>
      <c r="V390" s="265"/>
      <c r="W390" s="265"/>
      <c r="X390" s="265"/>
      <c r="Y390" s="265"/>
      <c r="Z390" s="265"/>
      <c r="AA390" s="265"/>
      <c r="AB390" s="265"/>
      <c r="AC390" s="265"/>
      <c r="AD390" s="265"/>
      <c r="AE390" s="265"/>
      <c r="AF390" s="265"/>
      <c r="AG390" s="265"/>
      <c r="AH390" s="265"/>
      <c r="AI390" s="265"/>
      <c r="AJ390" s="265"/>
      <c r="AK390" s="265"/>
      <c r="AL390" s="265"/>
    </row>
    <row r="391" spans="1:38" x14ac:dyDescent="0.2">
      <c r="A391" s="272" t="s">
        <v>75</v>
      </c>
      <c r="B391" s="217" t="s">
        <v>76</v>
      </c>
      <c r="C391" s="273">
        <v>135</v>
      </c>
      <c r="F391" s="265"/>
      <c r="G391" s="265"/>
      <c r="H391" s="265"/>
      <c r="I391" s="265"/>
      <c r="J391" s="265"/>
      <c r="K391" s="265"/>
      <c r="L391" s="265"/>
      <c r="M391" s="265"/>
      <c r="N391" s="265"/>
      <c r="O391" s="265"/>
      <c r="P391" s="265"/>
      <c r="Q391" s="265"/>
      <c r="R391" s="265"/>
      <c r="S391" s="265"/>
      <c r="T391" s="265"/>
      <c r="U391" s="265"/>
      <c r="V391" s="265"/>
      <c r="W391" s="265"/>
      <c r="X391" s="265"/>
      <c r="Y391" s="265"/>
      <c r="Z391" s="265"/>
      <c r="AA391" s="265"/>
      <c r="AB391" s="265"/>
      <c r="AC391" s="265"/>
      <c r="AD391" s="265"/>
      <c r="AE391" s="265"/>
      <c r="AF391" s="265"/>
      <c r="AG391" s="265"/>
      <c r="AH391" s="265"/>
      <c r="AI391" s="265"/>
      <c r="AJ391" s="265"/>
      <c r="AK391" s="265"/>
      <c r="AL391" s="265"/>
    </row>
    <row r="392" spans="1:38" x14ac:dyDescent="0.2">
      <c r="A392" s="256" t="s">
        <v>74</v>
      </c>
      <c r="B392" s="174" t="s">
        <v>28</v>
      </c>
      <c r="C392" s="176">
        <v>0.2</v>
      </c>
      <c r="F392" s="265"/>
      <c r="G392" s="265"/>
      <c r="H392" s="265"/>
      <c r="I392" s="265"/>
      <c r="J392" s="265"/>
      <c r="K392" s="265"/>
      <c r="L392" s="265"/>
      <c r="M392" s="265"/>
      <c r="N392" s="265"/>
      <c r="O392" s="265"/>
      <c r="P392" s="265"/>
      <c r="Q392" s="265"/>
      <c r="R392" s="265"/>
      <c r="S392" s="265"/>
      <c r="T392" s="265"/>
      <c r="U392" s="265"/>
      <c r="V392" s="265"/>
      <c r="W392" s="265"/>
      <c r="X392" s="265"/>
      <c r="Y392" s="265"/>
      <c r="Z392" s="265"/>
      <c r="AA392" s="265"/>
      <c r="AB392" s="265"/>
      <c r="AC392" s="265"/>
      <c r="AD392" s="265"/>
      <c r="AE392" s="265"/>
      <c r="AF392" s="265"/>
      <c r="AG392" s="265"/>
      <c r="AH392" s="265"/>
      <c r="AI392" s="265"/>
      <c r="AJ392" s="265"/>
      <c r="AK392" s="265"/>
      <c r="AL392" s="265"/>
    </row>
    <row r="393" spans="1:38" x14ac:dyDescent="0.2">
      <c r="A393" s="256" t="s">
        <v>80</v>
      </c>
      <c r="B393" s="174" t="s">
        <v>28</v>
      </c>
      <c r="C393" s="176">
        <v>2020</v>
      </c>
      <c r="F393" s="265"/>
      <c r="G393" s="265"/>
      <c r="H393" s="265"/>
      <c r="I393" s="265"/>
      <c r="J393" s="265"/>
      <c r="K393" s="265"/>
      <c r="L393" s="265"/>
      <c r="M393" s="265"/>
      <c r="N393" s="265"/>
      <c r="O393" s="265"/>
      <c r="P393" s="265"/>
      <c r="Q393" s="265"/>
      <c r="R393" s="265"/>
      <c r="S393" s="265"/>
      <c r="T393" s="265"/>
      <c r="U393" s="265"/>
      <c r="V393" s="265"/>
      <c r="W393" s="265"/>
      <c r="X393" s="265"/>
      <c r="Y393" s="265"/>
      <c r="Z393" s="265"/>
      <c r="AA393" s="265"/>
      <c r="AB393" s="265"/>
      <c r="AC393" s="265"/>
      <c r="AD393" s="265"/>
      <c r="AE393" s="265"/>
      <c r="AF393" s="265"/>
      <c r="AG393" s="265"/>
      <c r="AH393" s="265"/>
      <c r="AI393" s="265"/>
      <c r="AJ393" s="265"/>
      <c r="AK393" s="265"/>
      <c r="AL393" s="265"/>
    </row>
    <row r="394" spans="1:38" ht="16" thickBot="1" x14ac:dyDescent="0.25">
      <c r="A394" s="263" t="s">
        <v>83</v>
      </c>
      <c r="B394" s="177" t="s">
        <v>28</v>
      </c>
      <c r="C394" s="208">
        <v>2050</v>
      </c>
      <c r="F394" s="265"/>
      <c r="G394" s="265"/>
      <c r="H394" s="265"/>
      <c r="I394" s="265"/>
      <c r="J394" s="265"/>
      <c r="K394" s="265"/>
      <c r="L394" s="265"/>
      <c r="M394" s="265"/>
      <c r="N394" s="265"/>
      <c r="O394" s="265"/>
      <c r="P394" s="265"/>
      <c r="Q394" s="265"/>
      <c r="R394" s="265"/>
      <c r="S394" s="265"/>
      <c r="T394" s="265"/>
      <c r="U394" s="265"/>
      <c r="V394" s="265"/>
      <c r="W394" s="265"/>
      <c r="X394" s="265"/>
      <c r="Y394" s="265"/>
      <c r="Z394" s="265"/>
      <c r="AA394" s="265"/>
      <c r="AB394" s="265"/>
      <c r="AC394" s="265"/>
      <c r="AD394" s="265"/>
      <c r="AE394" s="265"/>
      <c r="AF394" s="265"/>
      <c r="AG394" s="265"/>
      <c r="AH394" s="265"/>
      <c r="AI394" s="265"/>
      <c r="AJ394" s="265"/>
      <c r="AK394" s="265"/>
      <c r="AL394" s="265"/>
    </row>
    <row r="397" spans="1:38" ht="19" x14ac:dyDescent="0.25">
      <c r="A397" s="336" t="s">
        <v>86</v>
      </c>
      <c r="B397" s="336"/>
      <c r="C397" s="336"/>
    </row>
    <row r="398" spans="1:38" x14ac:dyDescent="0.2">
      <c r="A398" s="256" t="s">
        <v>89</v>
      </c>
      <c r="B398" s="174" t="s">
        <v>28</v>
      </c>
      <c r="C398" s="250">
        <v>0.5</v>
      </c>
    </row>
    <row r="399" spans="1:38" x14ac:dyDescent="0.2">
      <c r="A399" s="256" t="s">
        <v>92</v>
      </c>
      <c r="B399" s="174" t="s">
        <v>28</v>
      </c>
      <c r="C399" s="250">
        <v>0.5</v>
      </c>
    </row>
    <row r="400" spans="1:38" x14ac:dyDescent="0.2">
      <c r="A400" s="256" t="s">
        <v>93</v>
      </c>
      <c r="B400" s="174" t="s">
        <v>28</v>
      </c>
      <c r="C400" s="250">
        <v>0.5</v>
      </c>
    </row>
    <row r="401" spans="1:17" ht="16" thickBot="1" x14ac:dyDescent="0.25">
      <c r="A401" s="263" t="s">
        <v>118</v>
      </c>
      <c r="B401" s="177" t="s">
        <v>28</v>
      </c>
      <c r="C401" s="274">
        <v>0.5</v>
      </c>
    </row>
    <row r="403" spans="1:17" ht="15.75" customHeight="1" x14ac:dyDescent="0.25">
      <c r="A403" s="336" t="s">
        <v>646</v>
      </c>
      <c r="B403" s="336"/>
      <c r="C403" s="275" t="s">
        <v>576</v>
      </c>
      <c r="D403" s="276" t="s">
        <v>579</v>
      </c>
      <c r="E403" s="276" t="s">
        <v>647</v>
      </c>
      <c r="F403" s="276" t="s">
        <v>648</v>
      </c>
      <c r="G403" s="276" t="s">
        <v>649</v>
      </c>
      <c r="H403" s="276" t="s">
        <v>650</v>
      </c>
      <c r="I403" s="276" t="s">
        <v>651</v>
      </c>
      <c r="J403" s="276" t="s">
        <v>652</v>
      </c>
      <c r="K403" s="276" t="s">
        <v>354</v>
      </c>
      <c r="L403" s="276" t="s">
        <v>653</v>
      </c>
      <c r="M403" s="276" t="s">
        <v>654</v>
      </c>
      <c r="N403" s="276" t="s">
        <v>655</v>
      </c>
      <c r="O403" s="276" t="s">
        <v>656</v>
      </c>
      <c r="P403" s="276" t="s">
        <v>657</v>
      </c>
      <c r="Q403" s="277" t="s">
        <v>658</v>
      </c>
    </row>
    <row r="404" spans="1:17" ht="16" thickBot="1" x14ac:dyDescent="0.25">
      <c r="A404" s="256" t="s">
        <v>659</v>
      </c>
      <c r="B404" s="337" t="s">
        <v>374</v>
      </c>
      <c r="C404" s="176" t="s">
        <v>660</v>
      </c>
      <c r="D404" s="176" t="s">
        <v>660</v>
      </c>
      <c r="E404" s="176" t="s">
        <v>660</v>
      </c>
      <c r="F404" s="176" t="s">
        <v>660</v>
      </c>
      <c r="G404" s="176" t="s">
        <v>660</v>
      </c>
      <c r="H404" s="176" t="s">
        <v>660</v>
      </c>
      <c r="I404" s="176" t="s">
        <v>660</v>
      </c>
      <c r="J404" s="176" t="s">
        <v>660</v>
      </c>
      <c r="K404" s="176" t="s">
        <v>660</v>
      </c>
      <c r="L404" s="176" t="s">
        <v>660</v>
      </c>
      <c r="M404" s="176" t="s">
        <v>660</v>
      </c>
      <c r="N404" s="176" t="s">
        <v>660</v>
      </c>
      <c r="O404" s="176" t="s">
        <v>660</v>
      </c>
      <c r="P404" s="176" t="s">
        <v>660</v>
      </c>
      <c r="Q404" s="176" t="s">
        <v>660</v>
      </c>
    </row>
    <row r="405" spans="1:17" ht="16" thickBot="1" x14ac:dyDescent="0.25">
      <c r="A405" s="256" t="s">
        <v>661</v>
      </c>
      <c r="B405" s="337"/>
      <c r="C405" s="176" t="s">
        <v>660</v>
      </c>
      <c r="D405" s="176" t="s">
        <v>660</v>
      </c>
      <c r="E405" s="176" t="s">
        <v>660</v>
      </c>
      <c r="F405" s="176" t="s">
        <v>660</v>
      </c>
      <c r="G405" s="176" t="s">
        <v>660</v>
      </c>
      <c r="H405" s="176" t="s">
        <v>660</v>
      </c>
      <c r="I405" s="176" t="s">
        <v>660</v>
      </c>
      <c r="J405" s="176" t="s">
        <v>660</v>
      </c>
      <c r="K405" s="176" t="s">
        <v>660</v>
      </c>
      <c r="L405" s="176" t="s">
        <v>660</v>
      </c>
      <c r="M405" s="176" t="s">
        <v>660</v>
      </c>
      <c r="N405" s="176" t="s">
        <v>660</v>
      </c>
      <c r="O405" s="176" t="s">
        <v>660</v>
      </c>
      <c r="P405" s="176" t="s">
        <v>660</v>
      </c>
      <c r="Q405" s="176" t="s">
        <v>660</v>
      </c>
    </row>
    <row r="406" spans="1:17" ht="16" thickBot="1" x14ac:dyDescent="0.25">
      <c r="A406" s="256" t="s">
        <v>662</v>
      </c>
      <c r="B406" s="337"/>
      <c r="C406" s="176" t="s">
        <v>660</v>
      </c>
      <c r="D406" s="176" t="s">
        <v>660</v>
      </c>
      <c r="E406" s="176" t="s">
        <v>660</v>
      </c>
      <c r="F406" s="176" t="s">
        <v>660</v>
      </c>
      <c r="G406" s="176" t="s">
        <v>660</v>
      </c>
      <c r="H406" s="176" t="s">
        <v>660</v>
      </c>
      <c r="I406" s="176" t="s">
        <v>660</v>
      </c>
      <c r="J406" s="176" t="s">
        <v>660</v>
      </c>
      <c r="K406" s="176" t="s">
        <v>660</v>
      </c>
      <c r="L406" s="176" t="s">
        <v>660</v>
      </c>
      <c r="M406" s="176" t="s">
        <v>660</v>
      </c>
      <c r="N406" s="176" t="s">
        <v>660</v>
      </c>
      <c r="O406" s="176" t="s">
        <v>660</v>
      </c>
      <c r="P406" s="176" t="s">
        <v>660</v>
      </c>
      <c r="Q406" s="176" t="s">
        <v>660</v>
      </c>
    </row>
    <row r="407" spans="1:17" ht="16" thickBot="1" x14ac:dyDescent="0.25">
      <c r="A407" s="256" t="s">
        <v>663</v>
      </c>
      <c r="B407" s="337"/>
      <c r="C407" s="176" t="s">
        <v>660</v>
      </c>
      <c r="D407" s="176" t="s">
        <v>660</v>
      </c>
      <c r="E407" s="176" t="s">
        <v>660</v>
      </c>
      <c r="F407" s="176" t="s">
        <v>660</v>
      </c>
      <c r="G407" s="176" t="s">
        <v>660</v>
      </c>
      <c r="H407" s="176" t="s">
        <v>660</v>
      </c>
      <c r="I407" s="176" t="s">
        <v>660</v>
      </c>
      <c r="J407" s="176" t="s">
        <v>660</v>
      </c>
      <c r="K407" s="176" t="s">
        <v>660</v>
      </c>
      <c r="L407" s="176" t="s">
        <v>660</v>
      </c>
      <c r="M407" s="176" t="s">
        <v>660</v>
      </c>
      <c r="N407" s="176" t="s">
        <v>660</v>
      </c>
      <c r="O407" s="176" t="s">
        <v>660</v>
      </c>
      <c r="P407" s="176" t="s">
        <v>660</v>
      </c>
      <c r="Q407" s="176" t="s">
        <v>660</v>
      </c>
    </row>
    <row r="408" spans="1:17" ht="16" thickBot="1" x14ac:dyDescent="0.25">
      <c r="A408" s="256" t="s">
        <v>664</v>
      </c>
      <c r="B408" s="337"/>
      <c r="C408" s="176" t="s">
        <v>660</v>
      </c>
      <c r="D408" s="176" t="s">
        <v>660</v>
      </c>
      <c r="E408" s="176" t="s">
        <v>660</v>
      </c>
      <c r="F408" s="176" t="s">
        <v>660</v>
      </c>
      <c r="G408" s="176" t="s">
        <v>660</v>
      </c>
      <c r="H408" s="176" t="s">
        <v>660</v>
      </c>
      <c r="I408" s="176" t="s">
        <v>660</v>
      </c>
      <c r="J408" s="176" t="s">
        <v>660</v>
      </c>
      <c r="K408" s="176" t="s">
        <v>660</v>
      </c>
      <c r="L408" s="176" t="s">
        <v>660</v>
      </c>
      <c r="M408" s="176" t="s">
        <v>660</v>
      </c>
      <c r="N408" s="176" t="s">
        <v>660</v>
      </c>
      <c r="O408" s="176" t="s">
        <v>660</v>
      </c>
      <c r="P408" s="176" t="s">
        <v>660</v>
      </c>
      <c r="Q408" s="176" t="s">
        <v>660</v>
      </c>
    </row>
    <row r="409" spans="1:17" ht="16" thickBot="1" x14ac:dyDescent="0.25">
      <c r="A409" s="256" t="s">
        <v>659</v>
      </c>
      <c r="B409" s="337" t="s">
        <v>375</v>
      </c>
      <c r="C409" s="176" t="s">
        <v>660</v>
      </c>
      <c r="D409" s="176" t="s">
        <v>660</v>
      </c>
      <c r="E409" s="176" t="s">
        <v>660</v>
      </c>
      <c r="F409" s="176" t="s">
        <v>660</v>
      </c>
      <c r="G409" s="176" t="s">
        <v>660</v>
      </c>
      <c r="H409" s="176" t="s">
        <v>660</v>
      </c>
      <c r="I409" s="176" t="s">
        <v>660</v>
      </c>
      <c r="J409" s="176" t="s">
        <v>660</v>
      </c>
      <c r="K409" s="176" t="s">
        <v>660</v>
      </c>
      <c r="L409" s="176" t="s">
        <v>660</v>
      </c>
      <c r="M409" s="176" t="s">
        <v>660</v>
      </c>
      <c r="N409" s="176" t="s">
        <v>660</v>
      </c>
      <c r="O409" s="176" t="s">
        <v>660</v>
      </c>
      <c r="P409" s="176" t="s">
        <v>660</v>
      </c>
      <c r="Q409" s="176" t="s">
        <v>660</v>
      </c>
    </row>
    <row r="410" spans="1:17" ht="16" thickBot="1" x14ac:dyDescent="0.25">
      <c r="A410" s="256" t="s">
        <v>661</v>
      </c>
      <c r="B410" s="337"/>
      <c r="C410" s="176" t="s">
        <v>660</v>
      </c>
      <c r="D410" s="176" t="s">
        <v>660</v>
      </c>
      <c r="E410" s="176" t="s">
        <v>660</v>
      </c>
      <c r="F410" s="176" t="s">
        <v>660</v>
      </c>
      <c r="G410" s="176" t="s">
        <v>660</v>
      </c>
      <c r="H410" s="176" t="s">
        <v>660</v>
      </c>
      <c r="I410" s="176" t="s">
        <v>660</v>
      </c>
      <c r="J410" s="176" t="s">
        <v>660</v>
      </c>
      <c r="K410" s="176" t="s">
        <v>660</v>
      </c>
      <c r="L410" s="176" t="s">
        <v>660</v>
      </c>
      <c r="M410" s="176" t="s">
        <v>660</v>
      </c>
      <c r="N410" s="176" t="s">
        <v>660</v>
      </c>
      <c r="O410" s="176" t="s">
        <v>660</v>
      </c>
      <c r="P410" s="176" t="s">
        <v>660</v>
      </c>
      <c r="Q410" s="176" t="s">
        <v>660</v>
      </c>
    </row>
    <row r="411" spans="1:17" ht="16" thickBot="1" x14ac:dyDescent="0.25">
      <c r="A411" s="256" t="s">
        <v>662</v>
      </c>
      <c r="B411" s="337"/>
      <c r="C411" s="176" t="s">
        <v>660</v>
      </c>
      <c r="D411" s="176" t="s">
        <v>660</v>
      </c>
      <c r="E411" s="176" t="s">
        <v>660</v>
      </c>
      <c r="F411" s="176" t="s">
        <v>660</v>
      </c>
      <c r="G411" s="176" t="s">
        <v>660</v>
      </c>
      <c r="H411" s="176" t="s">
        <v>660</v>
      </c>
      <c r="I411" s="176" t="s">
        <v>660</v>
      </c>
      <c r="J411" s="176" t="s">
        <v>660</v>
      </c>
      <c r="K411" s="176" t="s">
        <v>660</v>
      </c>
      <c r="L411" s="176" t="s">
        <v>660</v>
      </c>
      <c r="M411" s="176" t="s">
        <v>660</v>
      </c>
      <c r="N411" s="176" t="s">
        <v>660</v>
      </c>
      <c r="O411" s="176" t="s">
        <v>660</v>
      </c>
      <c r="P411" s="176" t="s">
        <v>660</v>
      </c>
      <c r="Q411" s="176" t="s">
        <v>660</v>
      </c>
    </row>
    <row r="412" spans="1:17" ht="16" thickBot="1" x14ac:dyDescent="0.25">
      <c r="A412" s="256" t="s">
        <v>663</v>
      </c>
      <c r="B412" s="337"/>
      <c r="C412" s="176" t="s">
        <v>660</v>
      </c>
      <c r="D412" s="176" t="s">
        <v>660</v>
      </c>
      <c r="E412" s="176" t="s">
        <v>660</v>
      </c>
      <c r="F412" s="176" t="s">
        <v>660</v>
      </c>
      <c r="G412" s="176" t="s">
        <v>660</v>
      </c>
      <c r="H412" s="176" t="s">
        <v>660</v>
      </c>
      <c r="I412" s="176" t="s">
        <v>660</v>
      </c>
      <c r="J412" s="176" t="s">
        <v>660</v>
      </c>
      <c r="K412" s="176" t="s">
        <v>660</v>
      </c>
      <c r="L412" s="176" t="s">
        <v>660</v>
      </c>
      <c r="M412" s="176" t="s">
        <v>660</v>
      </c>
      <c r="N412" s="176" t="s">
        <v>660</v>
      </c>
      <c r="O412" s="176" t="s">
        <v>660</v>
      </c>
      <c r="P412" s="176" t="s">
        <v>660</v>
      </c>
      <c r="Q412" s="176" t="s">
        <v>660</v>
      </c>
    </row>
    <row r="413" spans="1:17" ht="16" thickBot="1" x14ac:dyDescent="0.25">
      <c r="A413" s="256" t="s">
        <v>664</v>
      </c>
      <c r="B413" s="337"/>
      <c r="C413" s="176" t="s">
        <v>660</v>
      </c>
      <c r="D413" s="176" t="s">
        <v>660</v>
      </c>
      <c r="E413" s="176" t="s">
        <v>660</v>
      </c>
      <c r="F413" s="176" t="s">
        <v>660</v>
      </c>
      <c r="G413" s="176" t="s">
        <v>660</v>
      </c>
      <c r="H413" s="176" t="s">
        <v>660</v>
      </c>
      <c r="I413" s="176" t="s">
        <v>660</v>
      </c>
      <c r="J413" s="176" t="s">
        <v>660</v>
      </c>
      <c r="K413" s="176" t="s">
        <v>660</v>
      </c>
      <c r="L413" s="176" t="s">
        <v>660</v>
      </c>
      <c r="M413" s="176" t="s">
        <v>660</v>
      </c>
      <c r="N413" s="176" t="s">
        <v>660</v>
      </c>
      <c r="O413" s="176" t="s">
        <v>660</v>
      </c>
      <c r="P413" s="176" t="s">
        <v>660</v>
      </c>
      <c r="Q413" s="176" t="s">
        <v>660</v>
      </c>
    </row>
    <row r="414" spans="1:17" ht="16" thickBot="1" x14ac:dyDescent="0.25">
      <c r="A414" s="256" t="s">
        <v>665</v>
      </c>
      <c r="B414" s="337" t="s">
        <v>376</v>
      </c>
      <c r="C414" s="176" t="s">
        <v>660</v>
      </c>
      <c r="D414" s="176" t="s">
        <v>660</v>
      </c>
      <c r="E414" s="176" t="s">
        <v>660</v>
      </c>
      <c r="F414" s="176" t="s">
        <v>660</v>
      </c>
      <c r="G414" s="176" t="s">
        <v>660</v>
      </c>
      <c r="H414" s="176" t="s">
        <v>660</v>
      </c>
      <c r="I414" s="176" t="s">
        <v>660</v>
      </c>
      <c r="J414" s="176" t="s">
        <v>660</v>
      </c>
      <c r="K414" s="176" t="s">
        <v>660</v>
      </c>
      <c r="L414" s="176" t="s">
        <v>660</v>
      </c>
      <c r="M414" s="176" t="s">
        <v>660</v>
      </c>
      <c r="N414" s="176" t="s">
        <v>660</v>
      </c>
      <c r="O414" s="176" t="s">
        <v>660</v>
      </c>
      <c r="P414" s="176" t="s">
        <v>660</v>
      </c>
      <c r="Q414" s="176" t="s">
        <v>660</v>
      </c>
    </row>
    <row r="415" spans="1:17" ht="16" thickBot="1" x14ac:dyDescent="0.25">
      <c r="A415" s="256" t="s">
        <v>661</v>
      </c>
      <c r="B415" s="337"/>
      <c r="C415" s="176" t="s">
        <v>660</v>
      </c>
      <c r="D415" s="176" t="s">
        <v>660</v>
      </c>
      <c r="E415" s="176" t="s">
        <v>660</v>
      </c>
      <c r="F415" s="176" t="s">
        <v>660</v>
      </c>
      <c r="G415" s="176" t="s">
        <v>660</v>
      </c>
      <c r="H415" s="176" t="s">
        <v>660</v>
      </c>
      <c r="I415" s="176" t="s">
        <v>660</v>
      </c>
      <c r="J415" s="176" t="s">
        <v>660</v>
      </c>
      <c r="K415" s="176" t="s">
        <v>660</v>
      </c>
      <c r="L415" s="176" t="s">
        <v>660</v>
      </c>
      <c r="M415" s="176" t="s">
        <v>660</v>
      </c>
      <c r="N415" s="176" t="s">
        <v>660</v>
      </c>
      <c r="O415" s="176" t="s">
        <v>660</v>
      </c>
      <c r="P415" s="176" t="s">
        <v>660</v>
      </c>
      <c r="Q415" s="176" t="s">
        <v>660</v>
      </c>
    </row>
    <row r="416" spans="1:17" ht="16" thickBot="1" x14ac:dyDescent="0.25">
      <c r="A416" s="256" t="s">
        <v>662</v>
      </c>
      <c r="B416" s="337"/>
      <c r="C416" s="176" t="s">
        <v>660</v>
      </c>
      <c r="D416" s="176" t="s">
        <v>660</v>
      </c>
      <c r="E416" s="176" t="s">
        <v>660</v>
      </c>
      <c r="F416" s="176" t="s">
        <v>660</v>
      </c>
      <c r="G416" s="176" t="s">
        <v>660</v>
      </c>
      <c r="H416" s="176" t="s">
        <v>660</v>
      </c>
      <c r="I416" s="176" t="s">
        <v>660</v>
      </c>
      <c r="J416" s="176" t="s">
        <v>660</v>
      </c>
      <c r="K416" s="176" t="s">
        <v>660</v>
      </c>
      <c r="L416" s="176" t="s">
        <v>660</v>
      </c>
      <c r="M416" s="176" t="s">
        <v>660</v>
      </c>
      <c r="N416" s="176" t="s">
        <v>660</v>
      </c>
      <c r="O416" s="176" t="s">
        <v>660</v>
      </c>
      <c r="P416" s="176" t="s">
        <v>660</v>
      </c>
      <c r="Q416" s="176" t="s">
        <v>660</v>
      </c>
    </row>
    <row r="417" spans="1:17" ht="16" thickBot="1" x14ac:dyDescent="0.25">
      <c r="A417" s="256" t="s">
        <v>663</v>
      </c>
      <c r="B417" s="337"/>
      <c r="C417" s="176" t="s">
        <v>660</v>
      </c>
      <c r="D417" s="176" t="s">
        <v>660</v>
      </c>
      <c r="E417" s="176" t="s">
        <v>660</v>
      </c>
      <c r="F417" s="176" t="s">
        <v>660</v>
      </c>
      <c r="G417" s="176" t="s">
        <v>660</v>
      </c>
      <c r="H417" s="176" t="s">
        <v>660</v>
      </c>
      <c r="I417" s="176" t="s">
        <v>660</v>
      </c>
      <c r="J417" s="176" t="s">
        <v>660</v>
      </c>
      <c r="K417" s="176" t="s">
        <v>660</v>
      </c>
      <c r="L417" s="176" t="s">
        <v>660</v>
      </c>
      <c r="M417" s="176" t="s">
        <v>660</v>
      </c>
      <c r="N417" s="176" t="s">
        <v>660</v>
      </c>
      <c r="O417" s="176" t="s">
        <v>660</v>
      </c>
      <c r="P417" s="176" t="s">
        <v>660</v>
      </c>
      <c r="Q417" s="176" t="s">
        <v>660</v>
      </c>
    </row>
    <row r="418" spans="1:17" ht="16" thickBot="1" x14ac:dyDescent="0.25">
      <c r="A418" s="256" t="s">
        <v>664</v>
      </c>
      <c r="B418" s="337"/>
      <c r="C418" s="176" t="s">
        <v>660</v>
      </c>
      <c r="D418" s="176" t="s">
        <v>660</v>
      </c>
      <c r="E418" s="176" t="s">
        <v>660</v>
      </c>
      <c r="F418" s="176" t="s">
        <v>660</v>
      </c>
      <c r="G418" s="176" t="s">
        <v>660</v>
      </c>
      <c r="H418" s="176" t="s">
        <v>660</v>
      </c>
      <c r="I418" s="176" t="s">
        <v>660</v>
      </c>
      <c r="J418" s="176" t="s">
        <v>660</v>
      </c>
      <c r="K418" s="176" t="s">
        <v>660</v>
      </c>
      <c r="L418" s="176" t="s">
        <v>660</v>
      </c>
      <c r="M418" s="176" t="s">
        <v>660</v>
      </c>
      <c r="N418" s="176" t="s">
        <v>660</v>
      </c>
      <c r="O418" s="176" t="s">
        <v>660</v>
      </c>
      <c r="P418" s="176" t="s">
        <v>660</v>
      </c>
      <c r="Q418" s="176" t="s">
        <v>660</v>
      </c>
    </row>
    <row r="419" spans="1:17" ht="16" thickBot="1" x14ac:dyDescent="0.25">
      <c r="A419" s="256" t="s">
        <v>659</v>
      </c>
      <c r="B419" s="337" t="s">
        <v>377</v>
      </c>
      <c r="C419" s="176" t="s">
        <v>660</v>
      </c>
      <c r="D419" s="176" t="s">
        <v>660</v>
      </c>
      <c r="E419" s="176" t="s">
        <v>660</v>
      </c>
      <c r="F419" s="176" t="s">
        <v>660</v>
      </c>
      <c r="G419" s="176" t="s">
        <v>660</v>
      </c>
      <c r="H419" s="176" t="s">
        <v>660</v>
      </c>
      <c r="I419" s="176" t="s">
        <v>660</v>
      </c>
      <c r="J419" s="176" t="s">
        <v>660</v>
      </c>
      <c r="K419" s="176" t="s">
        <v>660</v>
      </c>
      <c r="L419" s="176" t="s">
        <v>660</v>
      </c>
      <c r="M419" s="176" t="s">
        <v>660</v>
      </c>
      <c r="N419" s="176" t="s">
        <v>660</v>
      </c>
      <c r="O419" s="176" t="s">
        <v>660</v>
      </c>
      <c r="P419" s="176" t="s">
        <v>660</v>
      </c>
      <c r="Q419" s="176" t="s">
        <v>660</v>
      </c>
    </row>
    <row r="420" spans="1:17" ht="16" thickBot="1" x14ac:dyDescent="0.25">
      <c r="A420" s="256" t="s">
        <v>661</v>
      </c>
      <c r="B420" s="337"/>
      <c r="C420" s="176" t="s">
        <v>660</v>
      </c>
      <c r="D420" s="176" t="s">
        <v>660</v>
      </c>
      <c r="E420" s="176" t="s">
        <v>660</v>
      </c>
      <c r="F420" s="176" t="s">
        <v>660</v>
      </c>
      <c r="G420" s="176" t="s">
        <v>660</v>
      </c>
      <c r="H420" s="176" t="s">
        <v>660</v>
      </c>
      <c r="I420" s="176" t="s">
        <v>660</v>
      </c>
      <c r="J420" s="176" t="s">
        <v>660</v>
      </c>
      <c r="K420" s="176" t="s">
        <v>660</v>
      </c>
      <c r="L420" s="176" t="s">
        <v>660</v>
      </c>
      <c r="M420" s="176" t="s">
        <v>660</v>
      </c>
      <c r="N420" s="176" t="s">
        <v>660</v>
      </c>
      <c r="O420" s="176" t="s">
        <v>660</v>
      </c>
      <c r="P420" s="176" t="s">
        <v>660</v>
      </c>
      <c r="Q420" s="176" t="s">
        <v>660</v>
      </c>
    </row>
    <row r="421" spans="1:17" ht="16" thickBot="1" x14ac:dyDescent="0.25">
      <c r="A421" s="256" t="s">
        <v>662</v>
      </c>
      <c r="B421" s="337"/>
      <c r="C421" s="176" t="s">
        <v>660</v>
      </c>
      <c r="D421" s="176" t="s">
        <v>660</v>
      </c>
      <c r="E421" s="176" t="s">
        <v>660</v>
      </c>
      <c r="F421" s="176" t="s">
        <v>660</v>
      </c>
      <c r="G421" s="176" t="s">
        <v>660</v>
      </c>
      <c r="H421" s="176" t="s">
        <v>660</v>
      </c>
      <c r="I421" s="176" t="s">
        <v>660</v>
      </c>
      <c r="J421" s="176" t="s">
        <v>660</v>
      </c>
      <c r="K421" s="176" t="s">
        <v>660</v>
      </c>
      <c r="L421" s="176" t="s">
        <v>660</v>
      </c>
      <c r="M421" s="176" t="s">
        <v>660</v>
      </c>
      <c r="N421" s="176" t="s">
        <v>660</v>
      </c>
      <c r="O421" s="176" t="s">
        <v>660</v>
      </c>
      <c r="P421" s="176" t="s">
        <v>660</v>
      </c>
      <c r="Q421" s="176" t="s">
        <v>660</v>
      </c>
    </row>
    <row r="422" spans="1:17" ht="16" thickBot="1" x14ac:dyDescent="0.25">
      <c r="A422" s="256" t="s">
        <v>663</v>
      </c>
      <c r="B422" s="337"/>
      <c r="C422" s="176" t="s">
        <v>660</v>
      </c>
      <c r="D422" s="176" t="s">
        <v>660</v>
      </c>
      <c r="E422" s="176" t="s">
        <v>660</v>
      </c>
      <c r="F422" s="176" t="s">
        <v>660</v>
      </c>
      <c r="G422" s="176" t="s">
        <v>660</v>
      </c>
      <c r="H422" s="176" t="s">
        <v>660</v>
      </c>
      <c r="I422" s="176" t="s">
        <v>660</v>
      </c>
      <c r="J422" s="176" t="s">
        <v>660</v>
      </c>
      <c r="K422" s="176" t="s">
        <v>660</v>
      </c>
      <c r="L422" s="176" t="s">
        <v>660</v>
      </c>
      <c r="M422" s="176" t="s">
        <v>660</v>
      </c>
      <c r="N422" s="176" t="s">
        <v>660</v>
      </c>
      <c r="O422" s="176" t="s">
        <v>660</v>
      </c>
      <c r="P422" s="176" t="s">
        <v>660</v>
      </c>
      <c r="Q422" s="176" t="s">
        <v>660</v>
      </c>
    </row>
    <row r="423" spans="1:17" ht="16" thickBot="1" x14ac:dyDescent="0.25">
      <c r="A423" s="256" t="s">
        <v>664</v>
      </c>
      <c r="B423" s="337"/>
      <c r="C423" s="176" t="s">
        <v>660</v>
      </c>
      <c r="D423" s="176" t="s">
        <v>660</v>
      </c>
      <c r="E423" s="176" t="s">
        <v>660</v>
      </c>
      <c r="F423" s="176" t="s">
        <v>660</v>
      </c>
      <c r="G423" s="176" t="s">
        <v>660</v>
      </c>
      <c r="H423" s="176" t="s">
        <v>660</v>
      </c>
      <c r="I423" s="176" t="s">
        <v>660</v>
      </c>
      <c r="J423" s="176" t="s">
        <v>660</v>
      </c>
      <c r="K423" s="176" t="s">
        <v>660</v>
      </c>
      <c r="L423" s="176" t="s">
        <v>660</v>
      </c>
      <c r="M423" s="176" t="s">
        <v>660</v>
      </c>
      <c r="N423" s="176" t="s">
        <v>660</v>
      </c>
      <c r="O423" s="176" t="s">
        <v>660</v>
      </c>
      <c r="P423" s="176" t="s">
        <v>660</v>
      </c>
      <c r="Q423" s="176" t="s">
        <v>660</v>
      </c>
    </row>
    <row r="424" spans="1:17" ht="16" thickBot="1" x14ac:dyDescent="0.25">
      <c r="A424" s="256" t="s">
        <v>659</v>
      </c>
      <c r="B424" s="337" t="s">
        <v>378</v>
      </c>
      <c r="C424" s="176" t="s">
        <v>660</v>
      </c>
      <c r="D424" s="176" t="s">
        <v>660</v>
      </c>
      <c r="E424" s="176" t="s">
        <v>660</v>
      </c>
      <c r="F424" s="176" t="s">
        <v>660</v>
      </c>
      <c r="G424" s="176" t="s">
        <v>660</v>
      </c>
      <c r="H424" s="176" t="s">
        <v>660</v>
      </c>
      <c r="I424" s="176" t="s">
        <v>660</v>
      </c>
      <c r="J424" s="176" t="s">
        <v>660</v>
      </c>
      <c r="K424" s="176" t="s">
        <v>660</v>
      </c>
      <c r="L424" s="176" t="s">
        <v>660</v>
      </c>
      <c r="M424" s="176" t="s">
        <v>660</v>
      </c>
      <c r="N424" s="176" t="s">
        <v>660</v>
      </c>
      <c r="O424" s="176" t="s">
        <v>660</v>
      </c>
      <c r="P424" s="176" t="s">
        <v>660</v>
      </c>
      <c r="Q424" s="176" t="s">
        <v>660</v>
      </c>
    </row>
    <row r="425" spans="1:17" ht="16" thickBot="1" x14ac:dyDescent="0.25">
      <c r="A425" s="256" t="s">
        <v>661</v>
      </c>
      <c r="B425" s="337"/>
      <c r="C425" s="176" t="s">
        <v>660</v>
      </c>
      <c r="D425" s="176" t="s">
        <v>660</v>
      </c>
      <c r="E425" s="176" t="s">
        <v>660</v>
      </c>
      <c r="F425" s="176" t="s">
        <v>660</v>
      </c>
      <c r="G425" s="176" t="s">
        <v>660</v>
      </c>
      <c r="H425" s="176" t="s">
        <v>660</v>
      </c>
      <c r="I425" s="176" t="s">
        <v>660</v>
      </c>
      <c r="J425" s="176" t="s">
        <v>660</v>
      </c>
      <c r="K425" s="176" t="s">
        <v>660</v>
      </c>
      <c r="L425" s="176" t="s">
        <v>660</v>
      </c>
      <c r="M425" s="176" t="s">
        <v>660</v>
      </c>
      <c r="N425" s="176" t="s">
        <v>660</v>
      </c>
      <c r="O425" s="176" t="s">
        <v>660</v>
      </c>
      <c r="P425" s="176" t="s">
        <v>660</v>
      </c>
      <c r="Q425" s="176" t="s">
        <v>660</v>
      </c>
    </row>
    <row r="426" spans="1:17" ht="16" thickBot="1" x14ac:dyDescent="0.25">
      <c r="A426" s="256" t="s">
        <v>662</v>
      </c>
      <c r="B426" s="337"/>
      <c r="C426" s="176" t="s">
        <v>660</v>
      </c>
      <c r="D426" s="176" t="s">
        <v>660</v>
      </c>
      <c r="E426" s="176" t="s">
        <v>660</v>
      </c>
      <c r="F426" s="176" t="s">
        <v>660</v>
      </c>
      <c r="G426" s="176" t="s">
        <v>660</v>
      </c>
      <c r="H426" s="176" t="s">
        <v>660</v>
      </c>
      <c r="I426" s="176" t="s">
        <v>660</v>
      </c>
      <c r="J426" s="176" t="s">
        <v>660</v>
      </c>
      <c r="K426" s="176" t="s">
        <v>660</v>
      </c>
      <c r="L426" s="176" t="s">
        <v>660</v>
      </c>
      <c r="M426" s="176" t="s">
        <v>660</v>
      </c>
      <c r="N426" s="176" t="s">
        <v>660</v>
      </c>
      <c r="O426" s="176" t="s">
        <v>660</v>
      </c>
      <c r="P426" s="176" t="s">
        <v>660</v>
      </c>
      <c r="Q426" s="176" t="s">
        <v>660</v>
      </c>
    </row>
    <row r="427" spans="1:17" ht="16" thickBot="1" x14ac:dyDescent="0.25">
      <c r="A427" s="256" t="s">
        <v>663</v>
      </c>
      <c r="B427" s="337"/>
      <c r="C427" s="176" t="s">
        <v>660</v>
      </c>
      <c r="D427" s="176" t="s">
        <v>660</v>
      </c>
      <c r="E427" s="176" t="s">
        <v>660</v>
      </c>
      <c r="F427" s="176" t="s">
        <v>660</v>
      </c>
      <c r="G427" s="176" t="s">
        <v>660</v>
      </c>
      <c r="H427" s="176" t="s">
        <v>660</v>
      </c>
      <c r="I427" s="176" t="s">
        <v>660</v>
      </c>
      <c r="J427" s="176" t="s">
        <v>660</v>
      </c>
      <c r="K427" s="176" t="s">
        <v>660</v>
      </c>
      <c r="L427" s="176" t="s">
        <v>660</v>
      </c>
      <c r="M427" s="176" t="s">
        <v>660</v>
      </c>
      <c r="N427" s="176" t="s">
        <v>660</v>
      </c>
      <c r="O427" s="176" t="s">
        <v>660</v>
      </c>
      <c r="P427" s="176" t="s">
        <v>660</v>
      </c>
      <c r="Q427" s="176" t="s">
        <v>660</v>
      </c>
    </row>
    <row r="428" spans="1:17" ht="16" thickBot="1" x14ac:dyDescent="0.25">
      <c r="A428" s="263" t="s">
        <v>664</v>
      </c>
      <c r="B428" s="337"/>
      <c r="C428" s="208" t="s">
        <v>660</v>
      </c>
      <c r="D428" s="208" t="s">
        <v>660</v>
      </c>
      <c r="E428" s="208" t="s">
        <v>660</v>
      </c>
      <c r="F428" s="208" t="s">
        <v>660</v>
      </c>
      <c r="G428" s="208" t="s">
        <v>660</v>
      </c>
      <c r="H428" s="208" t="s">
        <v>660</v>
      </c>
      <c r="I428" s="208" t="s">
        <v>660</v>
      </c>
      <c r="J428" s="208" t="s">
        <v>660</v>
      </c>
      <c r="K428" s="208" t="s">
        <v>660</v>
      </c>
      <c r="L428" s="208" t="s">
        <v>660</v>
      </c>
      <c r="M428" s="208" t="s">
        <v>660</v>
      </c>
      <c r="N428" s="208" t="s">
        <v>660</v>
      </c>
      <c r="O428" s="208" t="s">
        <v>660</v>
      </c>
      <c r="P428" s="208" t="s">
        <v>660</v>
      </c>
      <c r="Q428" s="208" t="s">
        <v>660</v>
      </c>
    </row>
  </sheetData>
  <mergeCells count="126">
    <mergeCell ref="B409:B413"/>
    <mergeCell ref="B414:B418"/>
    <mergeCell ref="B419:B423"/>
    <mergeCell ref="B424:B428"/>
    <mergeCell ref="A373:I373"/>
    <mergeCell ref="A381:C381"/>
    <mergeCell ref="A390:C390"/>
    <mergeCell ref="A397:C397"/>
    <mergeCell ref="A403:B403"/>
    <mergeCell ref="B404:B408"/>
    <mergeCell ref="A281:I281"/>
    <mergeCell ref="A340:I340"/>
    <mergeCell ref="A364:H364"/>
    <mergeCell ref="A366:H366"/>
    <mergeCell ref="A368:H368"/>
    <mergeCell ref="A370:H370"/>
    <mergeCell ref="A244:A262"/>
    <mergeCell ref="A263:C263"/>
    <mergeCell ref="A269:C269"/>
    <mergeCell ref="A270:C270"/>
    <mergeCell ref="A272:C272"/>
    <mergeCell ref="A273:A276"/>
    <mergeCell ref="C273:C276"/>
    <mergeCell ref="A231:A233"/>
    <mergeCell ref="C231:C233"/>
    <mergeCell ref="A238:D238"/>
    <mergeCell ref="A239:D239"/>
    <mergeCell ref="A240:C240"/>
    <mergeCell ref="C242:E242"/>
    <mergeCell ref="A218:B218"/>
    <mergeCell ref="A219:B219"/>
    <mergeCell ref="A220:B220"/>
    <mergeCell ref="A221:C221"/>
    <mergeCell ref="A225:C225"/>
    <mergeCell ref="A227:A229"/>
    <mergeCell ref="C227:C229"/>
    <mergeCell ref="A210:A211"/>
    <mergeCell ref="C210:C211"/>
    <mergeCell ref="A214:Q214"/>
    <mergeCell ref="A215:B215"/>
    <mergeCell ref="A216:B216"/>
    <mergeCell ref="A217:B217"/>
    <mergeCell ref="A203:B203"/>
    <mergeCell ref="A204:B204"/>
    <mergeCell ref="A205:B205"/>
    <mergeCell ref="A206:B206"/>
    <mergeCell ref="A207:B207"/>
    <mergeCell ref="A209:C209"/>
    <mergeCell ref="A197:B197"/>
    <mergeCell ref="A198:B198"/>
    <mergeCell ref="A199:B199"/>
    <mergeCell ref="A200:B200"/>
    <mergeCell ref="A201:B201"/>
    <mergeCell ref="A202:Q202"/>
    <mergeCell ref="A191:B191"/>
    <mergeCell ref="A192:B192"/>
    <mergeCell ref="A193:B193"/>
    <mergeCell ref="A194:B194"/>
    <mergeCell ref="A195:B195"/>
    <mergeCell ref="A196:Q196"/>
    <mergeCell ref="A185:B185"/>
    <mergeCell ref="A186:B186"/>
    <mergeCell ref="A187:B187"/>
    <mergeCell ref="A188:B188"/>
    <mergeCell ref="A189:B189"/>
    <mergeCell ref="A190:Q190"/>
    <mergeCell ref="A179:B179"/>
    <mergeCell ref="A180:B180"/>
    <mergeCell ref="A181:B181"/>
    <mergeCell ref="A182:B182"/>
    <mergeCell ref="A183:B183"/>
    <mergeCell ref="A184:Q184"/>
    <mergeCell ref="A168:E168"/>
    <mergeCell ref="A169:E169"/>
    <mergeCell ref="A171:A173"/>
    <mergeCell ref="C171:C173"/>
    <mergeCell ref="A175:C175"/>
    <mergeCell ref="A178:B178"/>
    <mergeCell ref="A143:A146"/>
    <mergeCell ref="A147:I147"/>
    <mergeCell ref="A149:A152"/>
    <mergeCell ref="A153:A156"/>
    <mergeCell ref="A157:A160"/>
    <mergeCell ref="A161:A164"/>
    <mergeCell ref="A123:A125"/>
    <mergeCell ref="A126:A128"/>
    <mergeCell ref="B129:B131"/>
    <mergeCell ref="A133:I133"/>
    <mergeCell ref="A135:A138"/>
    <mergeCell ref="A139:A142"/>
    <mergeCell ref="A101:C101"/>
    <mergeCell ref="A113:E113"/>
    <mergeCell ref="A114:A117"/>
    <mergeCell ref="B114:B117"/>
    <mergeCell ref="D116:E117"/>
    <mergeCell ref="A121:J121"/>
    <mergeCell ref="A87:A88"/>
    <mergeCell ref="A89:A90"/>
    <mergeCell ref="A91:A92"/>
    <mergeCell ref="A93:A94"/>
    <mergeCell ref="A95:A96"/>
    <mergeCell ref="A97:A98"/>
    <mergeCell ref="A74:A75"/>
    <mergeCell ref="A77:C77"/>
    <mergeCell ref="A79:C79"/>
    <mergeCell ref="A82:C82"/>
    <mergeCell ref="A83:A84"/>
    <mergeCell ref="A85:A86"/>
    <mergeCell ref="A44:C44"/>
    <mergeCell ref="A47:C47"/>
    <mergeCell ref="A53:C53"/>
    <mergeCell ref="A60:I60"/>
    <mergeCell ref="A70:A71"/>
    <mergeCell ref="A73:C73"/>
    <mergeCell ref="A14:I14"/>
    <mergeCell ref="A27:I27"/>
    <mergeCell ref="A30:C30"/>
    <mergeCell ref="A31:C31"/>
    <mergeCell ref="A35:C35"/>
    <mergeCell ref="A41:C41"/>
    <mergeCell ref="A1:C1"/>
    <mergeCell ref="A3:AL3"/>
    <mergeCell ref="A4:A5"/>
    <mergeCell ref="A7:AL7"/>
    <mergeCell ref="G8:AL8"/>
    <mergeCell ref="A9:A10"/>
  </mergeCells>
  <conditionalFormatting sqref="C216:AD220">
    <cfRule type="cellIs" dxfId="1" priority="1" operator="lessThan">
      <formula>0</formula>
    </cfRule>
  </conditionalFormatting>
  <pageMargins left="0.7" right="0.7" top="0.75" bottom="0.75"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79076-B81B-AA4C-8994-ED2A0831A59C}">
  <sheetPr>
    <tabColor rgb="FFFFC000"/>
  </sheetPr>
  <dimension ref="A1:AY428"/>
  <sheetViews>
    <sheetView topLeftCell="E1" zoomScale="80" zoomScaleNormal="80" workbookViewId="0">
      <selection activeCell="K10" sqref="K10"/>
    </sheetView>
  </sheetViews>
  <sheetFormatPr baseColWidth="10" defaultColWidth="11.5" defaultRowHeight="15" x14ac:dyDescent="0.2"/>
  <cols>
    <col min="1" max="1" width="48.6640625" customWidth="1"/>
    <col min="2" max="2" width="50" customWidth="1"/>
    <col min="3" max="3" width="59.83203125" customWidth="1"/>
    <col min="4" max="4" width="55.83203125" customWidth="1"/>
    <col min="5" max="5" width="49.33203125" customWidth="1"/>
    <col min="6" max="6" width="30.83203125" customWidth="1"/>
    <col min="7" max="7" width="34.33203125" customWidth="1"/>
    <col min="8" max="8" width="32.5" customWidth="1"/>
    <col min="9" max="9" width="21.83203125" customWidth="1"/>
    <col min="10" max="10" width="29" customWidth="1"/>
    <col min="12" max="12" width="35.5" customWidth="1"/>
    <col min="18" max="18" width="12.5" customWidth="1"/>
  </cols>
  <sheetData>
    <row r="1" spans="1:38" ht="31" x14ac:dyDescent="0.35">
      <c r="A1" s="305" t="s">
        <v>490</v>
      </c>
      <c r="B1" s="305"/>
      <c r="C1" s="305"/>
      <c r="E1" s="172"/>
    </row>
    <row r="2" spans="1:38" ht="27" thickBot="1" x14ac:dyDescent="0.35">
      <c r="A2" s="173" t="s">
        <v>491</v>
      </c>
    </row>
    <row r="3" spans="1:38" ht="19" x14ac:dyDescent="0.25">
      <c r="A3" s="306" t="s">
        <v>48</v>
      </c>
      <c r="B3" s="306"/>
      <c r="C3" s="306"/>
      <c r="D3" s="306"/>
      <c r="E3" s="306"/>
      <c r="F3" s="306"/>
      <c r="G3" s="306"/>
      <c r="H3" s="306"/>
      <c r="I3" s="306"/>
      <c r="J3" s="306"/>
      <c r="K3" s="306"/>
      <c r="L3" s="306"/>
      <c r="M3" s="306"/>
      <c r="N3" s="306"/>
      <c r="O3" s="306"/>
      <c r="P3" s="306"/>
      <c r="Q3" s="306"/>
      <c r="R3" s="306"/>
      <c r="S3" s="306"/>
      <c r="T3" s="306"/>
      <c r="U3" s="306"/>
      <c r="V3" s="306"/>
      <c r="W3" s="306"/>
      <c r="X3" s="306"/>
      <c r="Y3" s="306"/>
      <c r="Z3" s="306"/>
      <c r="AA3" s="306"/>
      <c r="AB3" s="306"/>
      <c r="AC3" s="306"/>
      <c r="AD3" s="306"/>
      <c r="AE3" s="306"/>
      <c r="AF3" s="306"/>
      <c r="AG3" s="306"/>
      <c r="AH3" s="306"/>
      <c r="AI3" s="306"/>
      <c r="AJ3" s="306"/>
      <c r="AK3" s="306"/>
      <c r="AL3" s="306"/>
    </row>
    <row r="4" spans="1:38" ht="16" thickBot="1" x14ac:dyDescent="0.25">
      <c r="A4" s="307" t="s">
        <v>492</v>
      </c>
      <c r="B4" s="174" t="s">
        <v>36</v>
      </c>
      <c r="C4" s="175">
        <v>2015</v>
      </c>
      <c r="D4" s="175">
        <v>2016</v>
      </c>
      <c r="E4" s="175">
        <v>2017</v>
      </c>
      <c r="F4" s="175">
        <v>2018</v>
      </c>
      <c r="G4" s="175">
        <v>2019</v>
      </c>
      <c r="H4" s="175">
        <v>2020</v>
      </c>
      <c r="I4" s="175">
        <v>2021</v>
      </c>
      <c r="J4" s="175">
        <v>2022</v>
      </c>
      <c r="K4" s="175">
        <v>2023</v>
      </c>
      <c r="L4" s="175">
        <v>2024</v>
      </c>
      <c r="M4" s="175">
        <v>2025</v>
      </c>
      <c r="N4" s="175">
        <v>2026</v>
      </c>
      <c r="O4" s="175">
        <v>2027</v>
      </c>
      <c r="P4" s="175">
        <v>2028</v>
      </c>
      <c r="Q4" s="175">
        <v>2029</v>
      </c>
      <c r="R4" s="175">
        <v>2030</v>
      </c>
      <c r="S4" s="175">
        <v>2031</v>
      </c>
      <c r="T4" s="175">
        <v>2032</v>
      </c>
      <c r="U4" s="175">
        <v>2033</v>
      </c>
      <c r="V4" s="175">
        <v>2034</v>
      </c>
      <c r="W4" s="175">
        <v>2035</v>
      </c>
      <c r="X4" s="175">
        <v>2036</v>
      </c>
      <c r="Y4" s="175">
        <v>2037</v>
      </c>
      <c r="Z4" s="175">
        <v>2038</v>
      </c>
      <c r="AA4" s="175">
        <v>2039</v>
      </c>
      <c r="AB4" s="175">
        <v>2040</v>
      </c>
      <c r="AC4" s="175">
        <v>2041</v>
      </c>
      <c r="AD4" s="175">
        <v>2042</v>
      </c>
      <c r="AE4" s="175">
        <v>2043</v>
      </c>
      <c r="AF4" s="175">
        <v>2044</v>
      </c>
      <c r="AG4" s="175">
        <v>2045</v>
      </c>
      <c r="AH4" s="175">
        <v>2046</v>
      </c>
      <c r="AI4" s="175">
        <v>2047</v>
      </c>
      <c r="AJ4" s="175">
        <v>2048</v>
      </c>
      <c r="AK4" s="175">
        <v>2049</v>
      </c>
      <c r="AL4" s="176">
        <v>2050</v>
      </c>
    </row>
    <row r="5" spans="1:38" ht="16" thickBot="1" x14ac:dyDescent="0.25">
      <c r="A5" s="307"/>
      <c r="B5" s="177" t="s">
        <v>327</v>
      </c>
      <c r="C5" s="178">
        <v>2.5605205737137698E-3</v>
      </c>
      <c r="D5" s="178">
        <v>1.6447737079370701E-3</v>
      </c>
      <c r="E5" s="178">
        <v>1.51307498277967E-3</v>
      </c>
      <c r="F5" s="178">
        <v>7.8600464849444801E-4</v>
      </c>
      <c r="G5" s="178">
        <v>2.0735253829536901E-3</v>
      </c>
      <c r="H5" s="178">
        <v>1.1197581933498301E-3</v>
      </c>
      <c r="I5" s="178">
        <v>1.0102343246814901E-3</v>
      </c>
      <c r="J5" s="178">
        <v>7.23278764901663E-4</v>
      </c>
      <c r="K5" s="178">
        <v>4.3814907632701798E-4</v>
      </c>
      <c r="L5" s="178">
        <v>1.5694308012419601E-4</v>
      </c>
      <c r="M5" s="178">
        <v>8.0812903065836396E-5</v>
      </c>
      <c r="N5" s="178">
        <v>-4.96513310373826E-6</v>
      </c>
      <c r="O5" s="178">
        <v>-8.4116137412432594E-5</v>
      </c>
      <c r="P5" s="178">
        <v>-1.5725806043268001E-4</v>
      </c>
      <c r="Q5" s="178">
        <v>-2.2503538278523399E-4</v>
      </c>
      <c r="R5" s="178">
        <v>-2.8725628045343798E-4</v>
      </c>
      <c r="S5" s="178">
        <v>-3.4470279649563503E-4</v>
      </c>
      <c r="T5" s="178">
        <v>-3.9849583351838101E-4</v>
      </c>
      <c r="U5" s="178">
        <v>-4.4944828773349499E-4</v>
      </c>
      <c r="V5" s="178">
        <v>-4.9870075927057798E-4</v>
      </c>
      <c r="W5" s="178">
        <v>-5.4787942276427002E-4</v>
      </c>
      <c r="X5" s="178">
        <v>-5.9934629868387999E-4</v>
      </c>
      <c r="Y5" s="178">
        <v>-6.5506180761588798E-4</v>
      </c>
      <c r="Z5" s="178">
        <v>-7.1663422556957003E-4</v>
      </c>
      <c r="AA5" s="178">
        <v>-7.8456175389188905E-4</v>
      </c>
      <c r="AB5" s="178">
        <v>-8.5834541432437E-4</v>
      </c>
      <c r="AC5" s="178">
        <v>-9.3719936680439404E-4</v>
      </c>
      <c r="AD5" s="178">
        <v>-1.02080696975936E-3</v>
      </c>
      <c r="AE5" s="178">
        <v>-1.1079290629821101E-3</v>
      </c>
      <c r="AF5" s="178">
        <v>-1.1969211368621101E-3</v>
      </c>
      <c r="AG5" s="178">
        <v>-1.2867750672432301E-3</v>
      </c>
      <c r="AH5" s="178">
        <v>-1.37815371196277E-3</v>
      </c>
      <c r="AI5" s="178">
        <v>-1.4683932603586801E-3</v>
      </c>
      <c r="AJ5" s="178">
        <v>-1.5571676008297201E-3</v>
      </c>
      <c r="AK5" s="178">
        <v>-1.64449759391597E-3</v>
      </c>
      <c r="AL5" s="179">
        <v>-1.4775836907711399E-3</v>
      </c>
    </row>
    <row r="6" spans="1:38" ht="16" thickBot="1" x14ac:dyDescent="0.25"/>
    <row r="7" spans="1:38" ht="19" x14ac:dyDescent="0.25">
      <c r="A7" s="306" t="s">
        <v>26</v>
      </c>
      <c r="B7" s="306"/>
      <c r="C7" s="306"/>
      <c r="D7" s="306"/>
      <c r="E7" s="306"/>
      <c r="F7" s="306"/>
      <c r="G7" s="306"/>
      <c r="H7" s="306"/>
      <c r="I7" s="306"/>
      <c r="J7" s="306"/>
      <c r="K7" s="306"/>
      <c r="L7" s="306"/>
      <c r="M7" s="306"/>
      <c r="N7" s="306"/>
      <c r="O7" s="306"/>
      <c r="P7" s="306"/>
      <c r="Q7" s="306"/>
      <c r="R7" s="306"/>
      <c r="S7" s="306"/>
      <c r="T7" s="306"/>
      <c r="U7" s="306"/>
      <c r="V7" s="306"/>
      <c r="W7" s="306"/>
      <c r="X7" s="306"/>
      <c r="Y7" s="306"/>
      <c r="Z7" s="306"/>
      <c r="AA7" s="306"/>
      <c r="AB7" s="306"/>
      <c r="AC7" s="306"/>
      <c r="AD7" s="306"/>
      <c r="AE7" s="306"/>
      <c r="AF7" s="306"/>
      <c r="AG7" s="306"/>
      <c r="AH7" s="306"/>
      <c r="AI7" s="306"/>
      <c r="AJ7" s="306"/>
      <c r="AK7" s="306"/>
      <c r="AL7" s="306"/>
    </row>
    <row r="8" spans="1:38" x14ac:dyDescent="0.2">
      <c r="A8" s="180" t="s">
        <v>493</v>
      </c>
      <c r="B8" s="174" t="s">
        <v>28</v>
      </c>
      <c r="C8" s="175">
        <v>0.47359219000000002</v>
      </c>
      <c r="D8" s="181" t="s">
        <v>494</v>
      </c>
      <c r="E8" s="174" t="s">
        <v>28</v>
      </c>
      <c r="F8" s="175">
        <v>0.40700950000000002</v>
      </c>
      <c r="G8" s="308"/>
      <c r="H8" s="308"/>
      <c r="I8" s="308"/>
      <c r="J8" s="308"/>
      <c r="K8" s="308"/>
      <c r="L8" s="308"/>
      <c r="M8" s="308"/>
      <c r="N8" s="308"/>
      <c r="O8" s="308"/>
      <c r="P8" s="308"/>
      <c r="Q8" s="308"/>
      <c r="R8" s="308"/>
      <c r="S8" s="308"/>
      <c r="T8" s="308"/>
      <c r="U8" s="308"/>
      <c r="V8" s="308"/>
      <c r="W8" s="308"/>
      <c r="X8" s="308"/>
      <c r="Y8" s="308"/>
      <c r="Z8" s="308"/>
      <c r="AA8" s="308"/>
      <c r="AB8" s="308"/>
      <c r="AC8" s="308"/>
      <c r="AD8" s="308"/>
      <c r="AE8" s="308"/>
      <c r="AF8" s="308"/>
      <c r="AG8" s="308"/>
      <c r="AH8" s="308"/>
      <c r="AI8" s="308"/>
      <c r="AJ8" s="308"/>
      <c r="AK8" s="308"/>
      <c r="AL8" s="308"/>
    </row>
    <row r="9" spans="1:38" ht="16" thickBot="1" x14ac:dyDescent="0.25">
      <c r="A9" s="307" t="s">
        <v>495</v>
      </c>
      <c r="B9" s="174" t="s">
        <v>36</v>
      </c>
      <c r="C9" s="175">
        <v>2015</v>
      </c>
      <c r="D9" s="175">
        <v>2016</v>
      </c>
      <c r="E9" s="175">
        <v>2017</v>
      </c>
      <c r="F9" s="175">
        <v>2018</v>
      </c>
      <c r="G9" s="175">
        <v>2019</v>
      </c>
      <c r="H9" s="175">
        <v>2020</v>
      </c>
      <c r="I9" s="175">
        <v>2021</v>
      </c>
      <c r="J9" s="175">
        <v>2022</v>
      </c>
      <c r="K9" s="175">
        <v>2023</v>
      </c>
      <c r="L9" s="175">
        <v>2024</v>
      </c>
      <c r="M9" s="175">
        <v>2025</v>
      </c>
      <c r="N9" s="175">
        <v>2026</v>
      </c>
      <c r="O9" s="175">
        <v>2027</v>
      </c>
      <c r="P9" s="175">
        <v>2028</v>
      </c>
      <c r="Q9" s="175">
        <v>2029</v>
      </c>
      <c r="R9" s="175">
        <v>2030</v>
      </c>
      <c r="S9" s="175">
        <v>2031</v>
      </c>
      <c r="T9" s="175">
        <v>2032</v>
      </c>
      <c r="U9" s="175">
        <v>2033</v>
      </c>
      <c r="V9" s="175">
        <v>2034</v>
      </c>
      <c r="W9" s="175">
        <v>2035</v>
      </c>
      <c r="X9" s="175">
        <v>2036</v>
      </c>
      <c r="Y9" s="175">
        <v>2037</v>
      </c>
      <c r="Z9" s="175">
        <v>2038</v>
      </c>
      <c r="AA9" s="175">
        <v>2039</v>
      </c>
      <c r="AB9" s="175">
        <v>2040</v>
      </c>
      <c r="AC9" s="175">
        <v>2041</v>
      </c>
      <c r="AD9" s="175">
        <v>2042</v>
      </c>
      <c r="AE9" s="175">
        <v>2043</v>
      </c>
      <c r="AF9" s="175">
        <v>2044</v>
      </c>
      <c r="AG9" s="175">
        <v>2045</v>
      </c>
      <c r="AH9" s="175">
        <v>2046</v>
      </c>
      <c r="AI9" s="175">
        <v>2047</v>
      </c>
      <c r="AJ9" s="175">
        <v>2048</v>
      </c>
      <c r="AK9" s="175">
        <v>2049</v>
      </c>
      <c r="AL9" s="176">
        <v>2050</v>
      </c>
    </row>
    <row r="10" spans="1:38" ht="16" thickBot="1" x14ac:dyDescent="0.25">
      <c r="A10" s="307"/>
      <c r="B10" s="177" t="s">
        <v>327</v>
      </c>
      <c r="C10" s="178">
        <v>3.4236267870579401E-2</v>
      </c>
      <c r="D10" s="178">
        <v>2.54638050200073E-2</v>
      </c>
      <c r="E10" s="178">
        <v>4.0085136573252897E-2</v>
      </c>
      <c r="F10" s="178">
        <v>3.2742155525238702E-2</v>
      </c>
      <c r="G10" s="178">
        <v>3.3685601056803197E-2</v>
      </c>
      <c r="H10" s="178">
        <v>-4.1533546325878599E-2</v>
      </c>
      <c r="I10" s="178">
        <v>7.9333333333333297E-2</v>
      </c>
      <c r="J10" s="178">
        <v>3.5000000000000003E-2</v>
      </c>
      <c r="K10" s="178">
        <v>2.8118447301916299E-2</v>
      </c>
      <c r="L10" s="178">
        <v>2.7349423965407099E-2</v>
      </c>
      <c r="M10" s="178">
        <v>1.14814377510482E-2</v>
      </c>
      <c r="N10" s="178"/>
      <c r="O10" s="178"/>
      <c r="P10" s="178"/>
      <c r="Q10" s="178"/>
      <c r="R10" s="178">
        <v>1.1217229240813E-2</v>
      </c>
      <c r="S10" s="178"/>
      <c r="T10" s="178"/>
      <c r="U10" s="178"/>
      <c r="V10" s="178"/>
      <c r="W10" s="178">
        <v>1.37073065541908E-2</v>
      </c>
      <c r="X10" s="178"/>
      <c r="Y10" s="178"/>
      <c r="Z10" s="178"/>
      <c r="AA10" s="178"/>
      <c r="AB10" s="178">
        <v>1.5308588053106101E-2</v>
      </c>
      <c r="AC10" s="178"/>
      <c r="AD10" s="178"/>
      <c r="AE10" s="178"/>
      <c r="AF10" s="178"/>
      <c r="AG10" s="178">
        <v>1.5501328315761001E-2</v>
      </c>
      <c r="AH10" s="178"/>
      <c r="AI10" s="178"/>
      <c r="AJ10" s="178"/>
      <c r="AK10" s="178"/>
      <c r="AL10" s="178">
        <v>1.5709293153870901E-2</v>
      </c>
    </row>
    <row r="13" spans="1:38" ht="27" thickBot="1" x14ac:dyDescent="0.35">
      <c r="A13" s="173" t="s">
        <v>496</v>
      </c>
    </row>
    <row r="14" spans="1:38" ht="19" x14ac:dyDescent="0.25">
      <c r="A14" s="306" t="s">
        <v>94</v>
      </c>
      <c r="B14" s="306"/>
      <c r="C14" s="306"/>
      <c r="D14" s="306"/>
      <c r="E14" s="306"/>
      <c r="F14" s="306"/>
      <c r="G14" s="306"/>
      <c r="H14" s="306"/>
      <c r="I14" s="306"/>
    </row>
    <row r="15" spans="1:38" x14ac:dyDescent="0.2">
      <c r="A15" s="182" t="s">
        <v>497</v>
      </c>
      <c r="B15" s="174" t="s">
        <v>36</v>
      </c>
      <c r="C15" s="175">
        <v>2020</v>
      </c>
      <c r="D15" s="175">
        <v>2025</v>
      </c>
      <c r="E15" s="175">
        <v>2030</v>
      </c>
      <c r="F15" s="175">
        <v>2035</v>
      </c>
      <c r="G15" s="175">
        <v>2040</v>
      </c>
      <c r="H15" s="175">
        <v>2045</v>
      </c>
      <c r="I15" s="176">
        <v>2050</v>
      </c>
      <c r="J15" s="84"/>
      <c r="K15" s="84"/>
      <c r="L15" s="84"/>
    </row>
    <row r="16" spans="1:38" x14ac:dyDescent="0.2">
      <c r="A16" s="182" t="s">
        <v>498</v>
      </c>
      <c r="B16" s="174" t="s">
        <v>499</v>
      </c>
      <c r="C16" s="183">
        <v>0.117609721833719</v>
      </c>
      <c r="D16" s="183">
        <v>0.12666478100790801</v>
      </c>
      <c r="E16" s="183">
        <v>0.12680502831330001</v>
      </c>
      <c r="F16" s="183">
        <v>0.135126859489025</v>
      </c>
      <c r="G16" s="183">
        <v>0.140282729162163</v>
      </c>
      <c r="H16" s="183">
        <v>0.14691683230125099</v>
      </c>
      <c r="I16" s="184">
        <v>0.148630915135189</v>
      </c>
      <c r="J16" s="84"/>
      <c r="K16" s="149"/>
      <c r="L16" s="84"/>
    </row>
    <row r="17" spans="1:17" x14ac:dyDescent="0.2">
      <c r="A17" s="182" t="s">
        <v>500</v>
      </c>
      <c r="B17" s="174" t="s">
        <v>499</v>
      </c>
      <c r="C17" s="183">
        <v>8.7847399999999996E-4</v>
      </c>
      <c r="D17" s="183">
        <v>1.1023999999999999E-3</v>
      </c>
      <c r="E17" s="183">
        <v>1.1333999999999999E-3</v>
      </c>
      <c r="F17" s="183">
        <v>2.0084823873528601E-3</v>
      </c>
      <c r="G17" s="183">
        <v>2.5763285102633998E-3</v>
      </c>
      <c r="H17" s="183">
        <v>2.9849759175701899E-3</v>
      </c>
      <c r="I17" s="184">
        <v>3.39362332487698E-3</v>
      </c>
      <c r="J17" s="84"/>
      <c r="K17" s="84"/>
      <c r="L17" s="84"/>
    </row>
    <row r="18" spans="1:17" x14ac:dyDescent="0.2">
      <c r="A18" s="182" t="s">
        <v>501</v>
      </c>
      <c r="B18" s="174" t="s">
        <v>499</v>
      </c>
      <c r="C18" s="183">
        <v>3.7452199999999998E-2</v>
      </c>
      <c r="D18" s="183">
        <v>4.3388000000000003E-2</v>
      </c>
      <c r="E18" s="183">
        <v>6.0691149999999999E-2</v>
      </c>
      <c r="F18" s="185">
        <v>8.9751650000000002E-2</v>
      </c>
      <c r="G18" s="185">
        <v>0.12725</v>
      </c>
      <c r="H18" s="185">
        <v>0.17690649999999999</v>
      </c>
      <c r="I18" s="184">
        <v>0.21185850000000001</v>
      </c>
      <c r="J18" s="84"/>
      <c r="K18" s="84"/>
      <c r="L18" s="84"/>
    </row>
    <row r="19" spans="1:17" x14ac:dyDescent="0.2">
      <c r="A19" s="182" t="s">
        <v>502</v>
      </c>
      <c r="B19" s="174" t="s">
        <v>499</v>
      </c>
      <c r="C19" s="183">
        <v>8.2990850000000003E-4</v>
      </c>
      <c r="D19" s="183">
        <v>4.4472499999999998E-3</v>
      </c>
      <c r="E19" s="183">
        <v>1.4096475000000001E-2</v>
      </c>
      <c r="F19" s="185">
        <v>2.5329250000000001E-2</v>
      </c>
      <c r="G19" s="185">
        <v>3.5816050000000002E-2</v>
      </c>
      <c r="H19" s="185">
        <v>4.635715E-2</v>
      </c>
      <c r="I19" s="184">
        <v>5.6209750000000003E-2</v>
      </c>
      <c r="J19" s="149"/>
      <c r="K19" s="84"/>
      <c r="L19" s="84"/>
    </row>
    <row r="20" spans="1:17" x14ac:dyDescent="0.2">
      <c r="A20" s="182" t="s">
        <v>503</v>
      </c>
      <c r="B20" s="174" t="s">
        <v>499</v>
      </c>
      <c r="C20" s="183">
        <v>0.14691412512684399</v>
      </c>
      <c r="D20" s="183">
        <v>0.25239406339701898</v>
      </c>
      <c r="E20" s="183">
        <v>0.35916242643610102</v>
      </c>
      <c r="F20" s="185">
        <v>0.52601522271031897</v>
      </c>
      <c r="G20" s="185">
        <v>0.67074123778229999</v>
      </c>
      <c r="H20" s="185">
        <v>0.89500098846317699</v>
      </c>
      <c r="I20" s="184">
        <v>1.0136221032222199</v>
      </c>
    </row>
    <row r="21" spans="1:17" x14ac:dyDescent="0.2">
      <c r="A21" s="182" t="s">
        <v>504</v>
      </c>
      <c r="B21" s="174" t="s">
        <v>499</v>
      </c>
      <c r="C21" s="183">
        <v>1.2102977262566801E-2</v>
      </c>
      <c r="D21" s="183">
        <v>2.9492097265481399E-2</v>
      </c>
      <c r="E21" s="183">
        <v>6.3893727199409098E-2</v>
      </c>
      <c r="F21" s="185">
        <v>0.105000218961605</v>
      </c>
      <c r="G21" s="185">
        <v>0.18685102234491399</v>
      </c>
      <c r="H21" s="185">
        <v>0.32496515717598701</v>
      </c>
      <c r="I21" s="184">
        <v>0.36298720878899499</v>
      </c>
      <c r="K21" s="84"/>
      <c r="L21" s="84"/>
    </row>
    <row r="22" spans="1:17" x14ac:dyDescent="0.2">
      <c r="A22" s="182" t="s">
        <v>505</v>
      </c>
      <c r="B22" s="174" t="s">
        <v>499</v>
      </c>
      <c r="C22" s="183">
        <v>0.125671151626567</v>
      </c>
      <c r="D22" s="183">
        <v>0.243542844662369</v>
      </c>
      <c r="E22" s="183">
        <v>0.38928583668669298</v>
      </c>
      <c r="F22" s="185">
        <v>0.54521201343152703</v>
      </c>
      <c r="G22" s="185">
        <v>0.75535138476672403</v>
      </c>
      <c r="H22" s="185">
        <v>0.97004701873674004</v>
      </c>
      <c r="I22" s="184">
        <v>1.1508685975069199</v>
      </c>
      <c r="K22" s="84"/>
      <c r="L22" s="84"/>
    </row>
    <row r="23" spans="1:17" x14ac:dyDescent="0.2">
      <c r="A23" s="182" t="s">
        <v>506</v>
      </c>
      <c r="B23" s="174" t="s">
        <v>499</v>
      </c>
      <c r="C23" s="183">
        <v>2.3287999999999998E-3</v>
      </c>
      <c r="D23" s="183">
        <v>4.9788000000000002E-3</v>
      </c>
      <c r="E23" s="183">
        <v>7.6287999999999998E-3</v>
      </c>
      <c r="F23" s="183">
        <v>9.2215999999999999E-3</v>
      </c>
      <c r="G23" s="183">
        <v>1.08144E-2</v>
      </c>
      <c r="H23" s="183">
        <v>1.24072E-2</v>
      </c>
      <c r="I23" s="186">
        <v>1.4E-2</v>
      </c>
    </row>
    <row r="24" spans="1:17" ht="15" customHeight="1" x14ac:dyDescent="0.2">
      <c r="A24" s="182" t="s">
        <v>507</v>
      </c>
      <c r="B24" s="174" t="s">
        <v>499</v>
      </c>
      <c r="C24" s="183">
        <v>4.4999999999999998E-2</v>
      </c>
      <c r="D24" s="183">
        <v>5.5E-2</v>
      </c>
      <c r="E24" s="183">
        <v>6.5000000000000002E-2</v>
      </c>
      <c r="F24" s="183">
        <v>6.5000000000000002E-2</v>
      </c>
      <c r="G24" s="183">
        <v>6.5000000000000002E-2</v>
      </c>
      <c r="H24" s="183">
        <v>6.5000000000000002E-2</v>
      </c>
      <c r="I24" s="184">
        <v>6.5000000000000002E-2</v>
      </c>
      <c r="J24" s="84"/>
      <c r="K24" s="84"/>
      <c r="L24" s="84"/>
    </row>
    <row r="25" spans="1:17" ht="15" customHeight="1" thickBot="1" x14ac:dyDescent="0.25">
      <c r="A25" s="187" t="s">
        <v>508</v>
      </c>
      <c r="B25" s="177" t="s">
        <v>327</v>
      </c>
      <c r="C25" s="178">
        <v>0.1</v>
      </c>
      <c r="D25" s="178">
        <v>0.1</v>
      </c>
      <c r="E25" s="178">
        <v>0.09</v>
      </c>
      <c r="F25" s="178">
        <v>0.08</v>
      </c>
      <c r="G25" s="178">
        <v>7.0000000000000007E-2</v>
      </c>
      <c r="H25" s="178">
        <v>0.06</v>
      </c>
      <c r="I25" s="179">
        <v>0.05</v>
      </c>
      <c r="J25" s="84"/>
      <c r="K25" s="84"/>
      <c r="L25" s="84"/>
    </row>
    <row r="26" spans="1:17" ht="15" customHeight="1" thickBot="1" x14ac:dyDescent="0.25">
      <c r="A26" s="187" t="s">
        <v>509</v>
      </c>
      <c r="B26" s="177" t="s">
        <v>327</v>
      </c>
      <c r="C26" s="188">
        <v>0.05</v>
      </c>
      <c r="D26" s="188">
        <v>0.05</v>
      </c>
      <c r="E26" s="188">
        <v>0.05</v>
      </c>
      <c r="F26" s="188">
        <v>0.05</v>
      </c>
      <c r="G26" s="188">
        <v>0.05</v>
      </c>
      <c r="H26" s="188">
        <v>4.4999999999999998E-2</v>
      </c>
      <c r="I26" s="188">
        <v>0.04</v>
      </c>
      <c r="J26" s="84"/>
      <c r="K26" s="84"/>
      <c r="L26" s="84"/>
    </row>
    <row r="27" spans="1:17" ht="19" x14ac:dyDescent="0.25">
      <c r="A27" s="306" t="s">
        <v>510</v>
      </c>
      <c r="B27" s="306"/>
      <c r="C27" s="306"/>
      <c r="D27" s="306"/>
      <c r="E27" s="306"/>
      <c r="F27" s="306"/>
      <c r="G27" s="306"/>
      <c r="H27" s="306"/>
      <c r="I27" s="306"/>
    </row>
    <row r="28" spans="1:17" x14ac:dyDescent="0.2">
      <c r="A28" s="189" t="s">
        <v>511</v>
      </c>
      <c r="B28" s="190" t="s">
        <v>146</v>
      </c>
      <c r="C28" s="191">
        <v>0</v>
      </c>
      <c r="D28" s="191">
        <v>0</v>
      </c>
      <c r="E28" s="191">
        <v>0</v>
      </c>
      <c r="F28" s="191">
        <v>0</v>
      </c>
      <c r="G28" s="191">
        <v>0</v>
      </c>
      <c r="H28" s="191">
        <v>0</v>
      </c>
      <c r="I28" s="191">
        <v>0</v>
      </c>
    </row>
    <row r="29" spans="1:17" ht="16" thickBot="1" x14ac:dyDescent="0.25">
      <c r="G29" s="192"/>
      <c r="I29" s="192"/>
      <c r="J29" s="84"/>
      <c r="K29" s="84"/>
      <c r="L29" s="84"/>
    </row>
    <row r="30" spans="1:17" ht="19" x14ac:dyDescent="0.25">
      <c r="A30" s="306" t="s">
        <v>129</v>
      </c>
      <c r="B30" s="306"/>
      <c r="C30" s="306"/>
      <c r="D30" s="84"/>
      <c r="E30" s="84"/>
      <c r="F30" s="84"/>
      <c r="G30" s="84"/>
      <c r="H30" s="84"/>
      <c r="I30" s="149"/>
      <c r="J30" s="84"/>
      <c r="K30" s="84"/>
      <c r="L30" s="84"/>
      <c r="M30" s="84"/>
      <c r="N30" s="84"/>
      <c r="O30" s="84"/>
      <c r="P30" s="84"/>
      <c r="Q30" s="84"/>
    </row>
    <row r="31" spans="1:17" ht="16" x14ac:dyDescent="0.2">
      <c r="A31" s="309" t="s">
        <v>512</v>
      </c>
      <c r="B31" s="309"/>
      <c r="C31" s="309"/>
      <c r="E31" s="84"/>
      <c r="F31" s="84"/>
      <c r="G31" s="84"/>
      <c r="H31" s="149"/>
      <c r="I31" s="84"/>
      <c r="L31" s="79"/>
    </row>
    <row r="32" spans="1:17" x14ac:dyDescent="0.2">
      <c r="A32" s="182" t="s">
        <v>513</v>
      </c>
      <c r="B32" s="174" t="s">
        <v>514</v>
      </c>
      <c r="C32" s="193">
        <v>0.1</v>
      </c>
      <c r="H32" s="149"/>
      <c r="K32" s="51"/>
      <c r="M32" s="84"/>
    </row>
    <row r="33" spans="1:51" x14ac:dyDescent="0.2">
      <c r="A33" s="182" t="s">
        <v>515</v>
      </c>
      <c r="B33" s="174" t="s">
        <v>36</v>
      </c>
      <c r="C33" s="176">
        <v>2035</v>
      </c>
      <c r="E33" s="84"/>
      <c r="F33" s="84"/>
      <c r="G33" s="84"/>
      <c r="H33" s="149"/>
      <c r="I33" s="84"/>
      <c r="J33" s="66"/>
    </row>
    <row r="34" spans="1:51" x14ac:dyDescent="0.2">
      <c r="A34" s="182" t="s">
        <v>516</v>
      </c>
      <c r="B34" s="174" t="s">
        <v>514</v>
      </c>
      <c r="C34" s="194">
        <v>0.25</v>
      </c>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c r="AO34" s="84"/>
      <c r="AP34" s="84"/>
      <c r="AQ34" s="84"/>
      <c r="AR34" s="84"/>
      <c r="AS34" s="84"/>
      <c r="AT34" s="84"/>
      <c r="AU34" s="84"/>
      <c r="AV34" s="84"/>
      <c r="AW34" s="84"/>
      <c r="AX34" s="84"/>
    </row>
    <row r="35" spans="1:51" ht="16" x14ac:dyDescent="0.2">
      <c r="A35" s="309" t="s">
        <v>517</v>
      </c>
      <c r="B35" s="309"/>
      <c r="C35" s="309"/>
      <c r="E35" s="84"/>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c r="AW35" s="84"/>
      <c r="AX35" s="84"/>
    </row>
    <row r="36" spans="1:51" x14ac:dyDescent="0.2">
      <c r="A36" s="182" t="s">
        <v>518</v>
      </c>
      <c r="B36" s="174" t="s">
        <v>36</v>
      </c>
      <c r="C36" s="176">
        <v>2020</v>
      </c>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84"/>
      <c r="AU36" s="84"/>
      <c r="AV36" s="84"/>
      <c r="AW36" s="84"/>
      <c r="AX36" s="84"/>
    </row>
    <row r="37" spans="1:51" x14ac:dyDescent="0.2">
      <c r="A37" s="182" t="s">
        <v>519</v>
      </c>
      <c r="B37" s="174" t="s">
        <v>28</v>
      </c>
      <c r="C37" s="176">
        <v>0.25</v>
      </c>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row>
    <row r="38" spans="1:51" x14ac:dyDescent="0.2">
      <c r="A38" s="182" t="s">
        <v>520</v>
      </c>
      <c r="B38" s="174" t="s">
        <v>514</v>
      </c>
      <c r="C38" s="194">
        <v>-6.4505437730296702E-3</v>
      </c>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84"/>
      <c r="AW38" s="84"/>
      <c r="AX38" s="84"/>
    </row>
    <row r="39" spans="1:51" x14ac:dyDescent="0.2">
      <c r="A39" s="182" t="s">
        <v>521</v>
      </c>
      <c r="B39" s="174" t="s">
        <v>36</v>
      </c>
      <c r="C39" s="176">
        <v>2020</v>
      </c>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4"/>
      <c r="AM39" s="84"/>
      <c r="AN39" s="84"/>
      <c r="AO39" s="84"/>
      <c r="AP39" s="84"/>
      <c r="AQ39" s="84"/>
      <c r="AR39" s="84"/>
      <c r="AS39" s="84"/>
      <c r="AT39" s="84"/>
      <c r="AU39" s="84"/>
      <c r="AV39" s="84"/>
      <c r="AW39" s="84"/>
      <c r="AX39" s="84"/>
    </row>
    <row r="40" spans="1:51" x14ac:dyDescent="0.2">
      <c r="A40" s="182" t="s">
        <v>522</v>
      </c>
      <c r="B40" s="174" t="s">
        <v>514</v>
      </c>
      <c r="C40" s="194">
        <v>3.4950074489999997E-2</v>
      </c>
      <c r="D40" s="84"/>
      <c r="E40" s="84"/>
      <c r="F40" s="84"/>
      <c r="G40" s="84"/>
      <c r="H40" s="84"/>
      <c r="I40" s="84"/>
      <c r="J40" s="84"/>
      <c r="K40" s="84"/>
      <c r="L40" s="84"/>
      <c r="M40" s="84"/>
      <c r="N40" s="84"/>
      <c r="O40" s="84"/>
      <c r="P40" s="84"/>
      <c r="Q40" s="84"/>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row>
    <row r="41" spans="1:51" ht="16" x14ac:dyDescent="0.2">
      <c r="A41" s="309" t="s">
        <v>143</v>
      </c>
      <c r="B41" s="309"/>
      <c r="C41" s="309"/>
      <c r="D41" s="84"/>
      <c r="E41" s="84"/>
      <c r="F41" s="84"/>
      <c r="G41" s="84"/>
      <c r="H41" s="84"/>
      <c r="I41" s="84"/>
      <c r="J41" s="84"/>
      <c r="K41" s="84"/>
      <c r="L41" s="84"/>
      <c r="M41" s="84"/>
      <c r="N41" s="84"/>
      <c r="O41" s="84"/>
      <c r="P41" s="84"/>
      <c r="Q41" s="84"/>
      <c r="R41" s="84"/>
      <c r="S41" s="84"/>
      <c r="T41" s="84"/>
      <c r="U41" s="84"/>
      <c r="V41" s="84"/>
      <c r="W41" s="84"/>
      <c r="X41" s="84"/>
      <c r="Y41" s="84"/>
      <c r="Z41" s="84"/>
      <c r="AA41" s="84"/>
      <c r="AB41" s="84"/>
      <c r="AC41" s="84"/>
      <c r="AD41" s="84"/>
      <c r="AE41" s="84"/>
      <c r="AF41" s="84"/>
      <c r="AG41" s="84"/>
      <c r="AH41" s="84"/>
      <c r="AI41" s="84"/>
      <c r="AJ41" s="84"/>
      <c r="AK41" s="84"/>
      <c r="AL41" s="84"/>
      <c r="AM41" s="84"/>
      <c r="AN41" s="84"/>
      <c r="AO41" s="84"/>
      <c r="AP41" s="84"/>
      <c r="AQ41" s="84"/>
      <c r="AR41" s="84"/>
      <c r="AS41" s="84"/>
      <c r="AT41" s="84"/>
      <c r="AU41" s="84"/>
      <c r="AV41" s="84"/>
      <c r="AW41" s="84"/>
      <c r="AX41" s="84"/>
    </row>
    <row r="42" spans="1:51" ht="16" thickBot="1" x14ac:dyDescent="0.25">
      <c r="A42" s="187" t="s">
        <v>523</v>
      </c>
      <c r="B42" s="177" t="s">
        <v>514</v>
      </c>
      <c r="C42" s="195">
        <v>0.02</v>
      </c>
      <c r="D42" s="84"/>
      <c r="E42" s="84"/>
      <c r="F42" s="84"/>
      <c r="G42" s="84"/>
      <c r="H42" s="84"/>
      <c r="I42" s="84"/>
      <c r="J42" s="84"/>
      <c r="K42" s="84"/>
      <c r="L42" s="84"/>
      <c r="M42" s="84"/>
      <c r="N42" s="84"/>
      <c r="O42" s="84"/>
      <c r="P42" s="84"/>
      <c r="Q42" s="84"/>
      <c r="R42" s="84"/>
      <c r="S42" s="84"/>
      <c r="T42" s="84"/>
      <c r="U42" s="84"/>
      <c r="V42" s="84"/>
      <c r="W42" s="84"/>
      <c r="X42" s="84"/>
      <c r="Y42" s="84"/>
      <c r="Z42" s="84"/>
      <c r="AA42" s="84"/>
      <c r="AB42" s="84"/>
      <c r="AC42" s="84"/>
      <c r="AD42" s="84"/>
      <c r="AE42" s="84"/>
      <c r="AF42" s="84"/>
      <c r="AG42" s="84"/>
      <c r="AH42" s="84"/>
      <c r="AI42" s="84"/>
      <c r="AJ42" s="84"/>
      <c r="AK42" s="84"/>
      <c r="AL42" s="84"/>
      <c r="AM42" s="84"/>
      <c r="AN42" s="84"/>
      <c r="AO42" s="84"/>
      <c r="AP42" s="84"/>
      <c r="AQ42" s="84"/>
      <c r="AR42" s="84"/>
      <c r="AS42" s="84"/>
      <c r="AT42" s="84"/>
      <c r="AU42" s="84"/>
      <c r="AV42" s="84"/>
      <c r="AW42" s="84"/>
      <c r="AX42" s="84"/>
    </row>
    <row r="44" spans="1:51" ht="19" x14ac:dyDescent="0.25">
      <c r="A44" s="306" t="s">
        <v>144</v>
      </c>
      <c r="B44" s="306"/>
      <c r="C44" s="306"/>
      <c r="D44" s="84"/>
      <c r="H44" s="84"/>
      <c r="I44" s="84"/>
      <c r="J44" s="84"/>
      <c r="K44" s="84"/>
      <c r="L44" s="84"/>
      <c r="M44" s="84"/>
      <c r="N44" s="84"/>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c r="AS44" s="84"/>
      <c r="AT44" s="84"/>
      <c r="AU44" s="84"/>
      <c r="AV44" s="84"/>
      <c r="AW44" s="84"/>
      <c r="AX44" s="84"/>
    </row>
    <row r="45" spans="1:51" ht="16" thickBot="1" x14ac:dyDescent="0.25">
      <c r="A45" s="187" t="s">
        <v>524</v>
      </c>
      <c r="B45" s="177" t="s">
        <v>514</v>
      </c>
      <c r="C45" s="195">
        <v>-1.5900000000000001E-2</v>
      </c>
      <c r="D45" s="84"/>
      <c r="E45" s="84"/>
      <c r="F45" s="84"/>
      <c r="G45" s="84"/>
      <c r="H45" s="84"/>
      <c r="I45" s="84"/>
      <c r="J45" s="84"/>
      <c r="K45" s="84"/>
      <c r="L45" s="84"/>
      <c r="M45" s="84"/>
      <c r="N45" s="84"/>
      <c r="O45" s="84"/>
      <c r="P45" s="84"/>
      <c r="Q45" s="84"/>
      <c r="R45" s="84"/>
      <c r="S45" s="84"/>
      <c r="T45" s="84"/>
      <c r="U45" s="84"/>
      <c r="V45" s="84"/>
      <c r="W45" s="84"/>
      <c r="X45" s="84"/>
      <c r="Y45" s="84"/>
      <c r="Z45" s="84"/>
      <c r="AA45" s="84"/>
      <c r="AB45" s="84"/>
      <c r="AC45" s="84"/>
      <c r="AD45" s="84"/>
      <c r="AE45" s="84"/>
      <c r="AF45" s="84"/>
      <c r="AG45" s="84"/>
      <c r="AH45" s="84"/>
      <c r="AI45" s="84"/>
      <c r="AJ45" s="84"/>
      <c r="AK45" s="84"/>
      <c r="AL45" s="84"/>
      <c r="AM45" s="84"/>
      <c r="AN45" s="84"/>
      <c r="AO45" s="84"/>
      <c r="AP45" s="84"/>
      <c r="AQ45" s="84"/>
      <c r="AR45" s="84"/>
      <c r="AS45" s="84"/>
      <c r="AT45" s="84"/>
      <c r="AU45" s="84"/>
      <c r="AV45" s="84"/>
      <c r="AW45" s="84"/>
      <c r="AX45" s="84"/>
      <c r="AY45" s="84"/>
    </row>
    <row r="47" spans="1:51" ht="19" x14ac:dyDescent="0.25">
      <c r="A47" s="306" t="s">
        <v>157</v>
      </c>
      <c r="B47" s="306"/>
      <c r="C47" s="306"/>
      <c r="D47" s="84"/>
      <c r="E47" s="84"/>
      <c r="F47" s="84"/>
      <c r="G47" s="84"/>
      <c r="H47" s="84"/>
      <c r="I47" s="84"/>
      <c r="J47" s="84"/>
      <c r="K47" s="84"/>
      <c r="L47" s="84"/>
      <c r="M47" s="84"/>
      <c r="N47" s="84"/>
      <c r="O47" s="84"/>
      <c r="P47" s="84"/>
      <c r="Q47" s="84"/>
      <c r="R47" s="84"/>
      <c r="S47" s="84"/>
      <c r="T47" s="84"/>
      <c r="U47" s="84"/>
      <c r="V47" s="84"/>
      <c r="W47" s="84"/>
      <c r="X47" s="84"/>
      <c r="Y47" s="84"/>
      <c r="Z47" s="84"/>
      <c r="AA47" s="84"/>
      <c r="AB47" s="84"/>
      <c r="AC47" s="84"/>
      <c r="AD47" s="84"/>
      <c r="AE47" s="84"/>
      <c r="AF47" s="84"/>
      <c r="AG47" s="84"/>
      <c r="AH47" s="84"/>
      <c r="AI47" s="84"/>
      <c r="AJ47" s="84"/>
      <c r="AK47" s="84"/>
      <c r="AL47" s="84"/>
      <c r="AM47" s="84"/>
      <c r="AN47" s="84"/>
      <c r="AO47" s="84"/>
      <c r="AP47" s="84"/>
      <c r="AQ47" s="84"/>
      <c r="AR47" s="84"/>
      <c r="AS47" s="84"/>
      <c r="AT47" s="84"/>
      <c r="AU47" s="84"/>
      <c r="AV47" s="84"/>
      <c r="AW47" s="84"/>
      <c r="AX47" s="84"/>
      <c r="AY47" s="84"/>
    </row>
    <row r="48" spans="1:51" x14ac:dyDescent="0.2">
      <c r="A48" s="182" t="s">
        <v>525</v>
      </c>
      <c r="B48" s="174" t="s">
        <v>36</v>
      </c>
      <c r="C48" s="176">
        <v>2020</v>
      </c>
      <c r="D48" s="84"/>
      <c r="E48" s="84"/>
      <c r="F48" s="84"/>
      <c r="G48" s="84"/>
      <c r="H48" s="84"/>
      <c r="I48" s="84"/>
      <c r="J48" s="84"/>
      <c r="K48" s="84"/>
      <c r="L48" s="84"/>
      <c r="M48" s="84"/>
      <c r="N48" s="84"/>
      <c r="O48" s="84"/>
      <c r="P48" s="84"/>
      <c r="Q48" s="84"/>
      <c r="R48" s="84"/>
      <c r="S48" s="84"/>
      <c r="T48" s="84"/>
      <c r="U48" s="84"/>
      <c r="V48" s="84"/>
      <c r="W48" s="84"/>
      <c r="X48" s="84"/>
      <c r="Y48" s="84"/>
      <c r="Z48" s="84"/>
      <c r="AA48" s="84"/>
      <c r="AB48" s="84"/>
      <c r="AC48" s="84"/>
      <c r="AD48" s="84"/>
      <c r="AE48" s="84"/>
      <c r="AF48" s="84"/>
      <c r="AG48" s="84"/>
      <c r="AH48" s="84"/>
      <c r="AI48" s="84"/>
      <c r="AJ48" s="84"/>
      <c r="AK48" s="84"/>
      <c r="AL48" s="84"/>
      <c r="AM48" s="84"/>
      <c r="AN48" s="84"/>
      <c r="AO48" s="84"/>
      <c r="AP48" s="84"/>
      <c r="AQ48" s="84"/>
      <c r="AR48" s="84"/>
      <c r="AS48" s="84"/>
      <c r="AT48" s="84"/>
      <c r="AU48" s="84"/>
      <c r="AV48" s="84"/>
      <c r="AW48" s="84"/>
      <c r="AX48" s="84"/>
      <c r="AY48" s="84"/>
    </row>
    <row r="49" spans="1:51" x14ac:dyDescent="0.2">
      <c r="A49" s="182" t="s">
        <v>526</v>
      </c>
      <c r="B49" s="174" t="s">
        <v>36</v>
      </c>
      <c r="C49" s="176">
        <v>2050</v>
      </c>
      <c r="D49" s="84"/>
      <c r="E49" s="84"/>
      <c r="F49" s="84"/>
      <c r="G49" s="84"/>
      <c r="H49" s="84"/>
      <c r="I49" s="84"/>
      <c r="J49" s="84"/>
      <c r="K49" s="84"/>
      <c r="L49" s="84"/>
      <c r="M49" s="84"/>
      <c r="N49" s="84"/>
      <c r="O49" s="84"/>
      <c r="P49" s="84"/>
      <c r="Q49" s="84"/>
      <c r="R49" s="84"/>
      <c r="S49" s="84"/>
      <c r="T49" s="84"/>
      <c r="U49" s="84"/>
      <c r="V49" s="84"/>
      <c r="W49" s="84"/>
      <c r="X49" s="84"/>
      <c r="Y49" s="84"/>
      <c r="Z49" s="84"/>
      <c r="AA49" s="84"/>
      <c r="AB49" s="84"/>
      <c r="AC49" s="84"/>
      <c r="AD49" s="84"/>
      <c r="AE49" s="84"/>
      <c r="AF49" s="84"/>
      <c r="AG49" s="84"/>
      <c r="AH49" s="84"/>
      <c r="AI49" s="84"/>
      <c r="AJ49" s="84"/>
      <c r="AK49" s="84"/>
      <c r="AL49" s="84"/>
      <c r="AM49" s="84"/>
      <c r="AN49" s="84"/>
      <c r="AO49" s="84"/>
      <c r="AP49" s="84"/>
      <c r="AQ49" s="84"/>
      <c r="AR49" s="84"/>
      <c r="AS49" s="84"/>
      <c r="AT49" s="84"/>
      <c r="AU49" s="84"/>
      <c r="AV49" s="84"/>
      <c r="AW49" s="84"/>
      <c r="AX49" s="84"/>
      <c r="AY49" s="84"/>
    </row>
    <row r="50" spans="1:51" x14ac:dyDescent="0.2">
      <c r="A50" s="182" t="s">
        <v>527</v>
      </c>
      <c r="B50" s="174" t="s">
        <v>514</v>
      </c>
      <c r="C50" s="194">
        <v>0.17150000000000001</v>
      </c>
      <c r="D50" s="84"/>
      <c r="E50" s="84"/>
      <c r="F50" s="84"/>
      <c r="G50" s="84"/>
      <c r="H50" s="84"/>
      <c r="I50" s="84"/>
      <c r="J50" s="84"/>
      <c r="K50" s="84"/>
      <c r="L50" s="84"/>
      <c r="M50" s="84"/>
      <c r="N50" s="84"/>
      <c r="O50" s="84"/>
      <c r="P50" s="84"/>
      <c r="Q50" s="84"/>
      <c r="R50" s="84"/>
      <c r="S50" s="84"/>
      <c r="T50" s="84"/>
      <c r="U50" s="84"/>
      <c r="V50" s="84"/>
      <c r="W50" s="84"/>
      <c r="X50" s="84"/>
      <c r="Y50" s="84"/>
      <c r="Z50" s="84"/>
      <c r="AA50" s="84"/>
      <c r="AB50" s="84"/>
      <c r="AC50" s="84"/>
      <c r="AD50" s="84"/>
      <c r="AE50" s="84"/>
      <c r="AF50" s="84"/>
      <c r="AG50" s="84"/>
      <c r="AH50" s="84"/>
      <c r="AI50" s="84"/>
      <c r="AJ50" s="84"/>
      <c r="AK50" s="84"/>
      <c r="AL50" s="84"/>
      <c r="AM50" s="84"/>
      <c r="AN50" s="84"/>
      <c r="AO50" s="84"/>
      <c r="AP50" s="84"/>
      <c r="AQ50" s="84"/>
      <c r="AR50" s="84"/>
      <c r="AS50" s="84"/>
      <c r="AT50" s="84"/>
      <c r="AU50" s="84"/>
      <c r="AV50" s="84"/>
      <c r="AW50" s="84"/>
      <c r="AX50" s="84"/>
      <c r="AY50" s="84"/>
    </row>
    <row r="51" spans="1:51" x14ac:dyDescent="0.2">
      <c r="A51" s="182" t="s">
        <v>528</v>
      </c>
      <c r="B51" s="174" t="s">
        <v>514</v>
      </c>
      <c r="C51" s="194">
        <v>3.8699999999999998E-2</v>
      </c>
      <c r="D51" s="84"/>
      <c r="E51" s="84"/>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c r="AL51" s="84"/>
      <c r="AM51" s="84"/>
      <c r="AN51" s="84"/>
      <c r="AO51" s="84"/>
      <c r="AP51" s="84"/>
      <c r="AQ51" s="84"/>
      <c r="AR51" s="84"/>
      <c r="AS51" s="84"/>
      <c r="AT51" s="84"/>
      <c r="AU51" s="84"/>
      <c r="AV51" s="84"/>
      <c r="AW51" s="84"/>
      <c r="AX51" s="84"/>
      <c r="AY51" s="84"/>
    </row>
    <row r="52" spans="1:51" ht="16" thickBot="1" x14ac:dyDescent="0.25">
      <c r="A52" s="187" t="s">
        <v>529</v>
      </c>
      <c r="B52" s="177" t="s">
        <v>514</v>
      </c>
      <c r="C52" s="196">
        <v>0.01</v>
      </c>
      <c r="D52" s="196">
        <v>-6.2799999999999995E-2</v>
      </c>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c r="AN52" s="84"/>
      <c r="AO52" s="84"/>
      <c r="AP52" s="84"/>
      <c r="AQ52" s="84"/>
      <c r="AR52" s="84"/>
      <c r="AS52" s="84"/>
      <c r="AT52" s="84"/>
      <c r="AU52" s="84"/>
      <c r="AV52" s="84"/>
      <c r="AW52" s="84"/>
      <c r="AX52" s="84"/>
      <c r="AY52" s="84"/>
    </row>
    <row r="53" spans="1:51" s="84" customFormat="1" ht="19" x14ac:dyDescent="0.25">
      <c r="A53" s="306" t="s">
        <v>530</v>
      </c>
      <c r="B53" s="306"/>
      <c r="C53" s="306"/>
    </row>
    <row r="54" spans="1:51" s="84" customFormat="1" x14ac:dyDescent="0.2">
      <c r="A54" s="197" t="s">
        <v>531</v>
      </c>
      <c r="B54" s="174" t="s">
        <v>36</v>
      </c>
      <c r="C54" s="175">
        <v>2050</v>
      </c>
    </row>
    <row r="55" spans="1:51" s="84" customFormat="1" x14ac:dyDescent="0.2">
      <c r="A55" s="197" t="s">
        <v>532</v>
      </c>
      <c r="B55" s="174" t="s">
        <v>533</v>
      </c>
      <c r="C55" s="198">
        <v>0</v>
      </c>
    </row>
    <row r="56" spans="1:51" s="84" customFormat="1" x14ac:dyDescent="0.2">
      <c r="A56" s="197" t="s">
        <v>534</v>
      </c>
      <c r="B56" s="174" t="s">
        <v>533</v>
      </c>
      <c r="C56" s="198">
        <v>0</v>
      </c>
    </row>
    <row r="57" spans="1:51" s="84" customFormat="1" x14ac:dyDescent="0.2">
      <c r="A57" s="197" t="s">
        <v>535</v>
      </c>
      <c r="B57" s="174" t="s">
        <v>533</v>
      </c>
      <c r="C57" s="198">
        <v>0.1</v>
      </c>
    </row>
    <row r="58" spans="1:51" s="84" customFormat="1" x14ac:dyDescent="0.2">
      <c r="A58" s="197" t="s">
        <v>536</v>
      </c>
      <c r="B58" s="174" t="s">
        <v>533</v>
      </c>
      <c r="C58" s="198">
        <v>0.5</v>
      </c>
    </row>
    <row r="59" spans="1:51" s="84" customFormat="1" ht="16" thickBot="1" x14ac:dyDescent="0.25"/>
    <row r="60" spans="1:51" ht="19" x14ac:dyDescent="0.25">
      <c r="A60" s="306" t="s">
        <v>537</v>
      </c>
      <c r="B60" s="306"/>
      <c r="C60" s="306"/>
      <c r="D60" s="306"/>
      <c r="E60" s="306"/>
      <c r="F60" s="306"/>
      <c r="G60" s="306"/>
      <c r="H60" s="306"/>
      <c r="I60" s="306"/>
    </row>
    <row r="61" spans="1:51" x14ac:dyDescent="0.2">
      <c r="A61" s="197" t="s">
        <v>36</v>
      </c>
      <c r="B61" s="174" t="s">
        <v>36</v>
      </c>
      <c r="C61" s="199">
        <v>2020</v>
      </c>
      <c r="D61" s="199">
        <v>2025</v>
      </c>
      <c r="E61" s="199">
        <v>2030</v>
      </c>
      <c r="F61" s="199">
        <v>2035</v>
      </c>
      <c r="G61" s="199">
        <v>2040</v>
      </c>
      <c r="H61" s="199">
        <v>2045</v>
      </c>
      <c r="I61" s="200">
        <v>2050</v>
      </c>
    </row>
    <row r="62" spans="1:51" x14ac:dyDescent="0.2">
      <c r="A62" s="197" t="s">
        <v>538</v>
      </c>
      <c r="B62" s="174" t="s">
        <v>146</v>
      </c>
      <c r="C62" s="201">
        <v>0</v>
      </c>
      <c r="D62" s="201">
        <v>0</v>
      </c>
      <c r="E62" s="201">
        <v>0</v>
      </c>
      <c r="F62" s="201">
        <v>0</v>
      </c>
      <c r="G62" s="201">
        <v>0</v>
      </c>
      <c r="H62" s="201">
        <v>0</v>
      </c>
      <c r="I62" s="201">
        <v>0</v>
      </c>
      <c r="J62" s="192"/>
      <c r="K62" s="192"/>
    </row>
    <row r="63" spans="1:51" x14ac:dyDescent="0.2">
      <c r="A63" s="197" t="s">
        <v>539</v>
      </c>
      <c r="B63" s="174" t="s">
        <v>146</v>
      </c>
      <c r="C63" s="201">
        <v>0</v>
      </c>
      <c r="D63" s="201">
        <v>0</v>
      </c>
      <c r="E63" s="201">
        <v>1.8914898535394901E-3</v>
      </c>
      <c r="F63" s="201">
        <v>0.48296425619859501</v>
      </c>
      <c r="G63" s="201">
        <v>1.23853129255308</v>
      </c>
      <c r="H63" s="201">
        <v>2.8614175418402801</v>
      </c>
      <c r="I63" s="201">
        <v>2.8134079979269302</v>
      </c>
      <c r="J63" s="192"/>
      <c r="K63" s="192"/>
    </row>
    <row r="64" spans="1:51" x14ac:dyDescent="0.2">
      <c r="A64" s="197" t="s">
        <v>540</v>
      </c>
      <c r="B64" s="174" t="s">
        <v>146</v>
      </c>
      <c r="C64" s="201">
        <v>4.4121707779369198E-5</v>
      </c>
      <c r="D64" s="201">
        <v>7.5182846615976103E-4</v>
      </c>
      <c r="E64" s="201">
        <v>1.52316875119172E-2</v>
      </c>
      <c r="F64" s="201">
        <v>0.138807762777472</v>
      </c>
      <c r="G64" s="201">
        <v>0.86848071918593905</v>
      </c>
      <c r="H64" s="201">
        <v>1.8786768295734799</v>
      </c>
      <c r="I64" s="201">
        <v>2.7838915669319602</v>
      </c>
    </row>
    <row r="65" spans="1:51" x14ac:dyDescent="0.2">
      <c r="A65" s="197" t="s">
        <v>541</v>
      </c>
      <c r="B65" s="174" t="s">
        <v>146</v>
      </c>
      <c r="C65" s="201">
        <v>0</v>
      </c>
      <c r="D65" s="201">
        <v>0</v>
      </c>
      <c r="E65" s="201">
        <v>0</v>
      </c>
      <c r="F65" s="201">
        <v>0</v>
      </c>
      <c r="G65" s="201">
        <v>0</v>
      </c>
      <c r="H65" s="201">
        <v>0</v>
      </c>
      <c r="I65" s="201">
        <v>0</v>
      </c>
    </row>
    <row r="66" spans="1:51" s="84" customFormat="1" x14ac:dyDescent="0.2"/>
    <row r="67" spans="1:51" s="84" customFormat="1" x14ac:dyDescent="0.2"/>
    <row r="68" spans="1:51" ht="27" thickBot="1" x14ac:dyDescent="0.35">
      <c r="A68" s="173" t="s">
        <v>542</v>
      </c>
      <c r="D68" s="84"/>
      <c r="E68" s="84"/>
      <c r="F68" s="84"/>
      <c r="G68" s="84"/>
      <c r="H68" s="84"/>
      <c r="I68" s="84"/>
      <c r="J68" s="84"/>
      <c r="K68" s="84"/>
      <c r="L68" s="84"/>
      <c r="M68" s="84"/>
      <c r="N68" s="84"/>
      <c r="O68" s="84"/>
      <c r="P68" s="84"/>
      <c r="Q68" s="84"/>
      <c r="R68" s="84"/>
      <c r="S68" s="84"/>
      <c r="T68" s="84"/>
      <c r="U68" s="84"/>
      <c r="V68" s="84"/>
      <c r="W68" s="84"/>
      <c r="X68" s="84"/>
      <c r="Y68" s="84"/>
      <c r="Z68" s="84"/>
      <c r="AA68" s="84"/>
      <c r="AB68" s="84"/>
      <c r="AC68" s="84"/>
      <c r="AD68" s="84"/>
      <c r="AE68" s="84"/>
      <c r="AF68" s="84"/>
      <c r="AG68" s="84"/>
      <c r="AH68" s="84"/>
      <c r="AI68" s="84"/>
      <c r="AJ68" s="84"/>
      <c r="AK68" s="84"/>
      <c r="AL68" s="84"/>
      <c r="AM68" s="84"/>
      <c r="AN68" s="84"/>
      <c r="AO68" s="84"/>
      <c r="AP68" s="84"/>
      <c r="AQ68" s="84"/>
      <c r="AR68" s="84"/>
      <c r="AS68" s="84"/>
      <c r="AT68" s="84"/>
      <c r="AU68" s="84"/>
      <c r="AV68" s="84"/>
      <c r="AW68" s="84"/>
      <c r="AX68" s="84"/>
      <c r="AY68" s="84"/>
    </row>
    <row r="69" spans="1:51" ht="15.75" customHeight="1" x14ac:dyDescent="0.25">
      <c r="A69" s="202" t="s">
        <v>168</v>
      </c>
      <c r="B69" s="203"/>
      <c r="C69" s="204"/>
      <c r="D69" s="84"/>
      <c r="E69" s="84"/>
      <c r="F69" s="84"/>
      <c r="G69" s="84"/>
      <c r="H69" s="84"/>
      <c r="I69" s="84"/>
      <c r="J69" s="84"/>
      <c r="K69" s="84"/>
      <c r="L69" s="84"/>
      <c r="M69" s="84"/>
      <c r="N69" s="84"/>
      <c r="O69" s="84"/>
      <c r="P69" s="84"/>
      <c r="Q69" s="84"/>
      <c r="R69" s="84"/>
      <c r="S69" s="84"/>
      <c r="T69" s="84"/>
      <c r="U69" s="84"/>
      <c r="V69" s="84"/>
      <c r="W69" s="84"/>
      <c r="X69" s="84"/>
      <c r="Y69" s="84"/>
      <c r="Z69" s="84"/>
      <c r="AA69" s="84"/>
      <c r="AB69" s="84"/>
      <c r="AC69" s="84"/>
      <c r="AD69" s="84"/>
      <c r="AE69" s="84"/>
      <c r="AF69" s="84"/>
      <c r="AG69" s="84"/>
      <c r="AH69" s="84"/>
      <c r="AI69" s="84"/>
      <c r="AJ69" s="84"/>
      <c r="AK69" s="84"/>
      <c r="AL69" s="84"/>
      <c r="AM69" s="84"/>
      <c r="AN69" s="84"/>
      <c r="AO69" s="84"/>
      <c r="AP69" s="84"/>
      <c r="AQ69" s="84"/>
      <c r="AR69" s="84"/>
      <c r="AS69" s="84"/>
      <c r="AT69" s="84"/>
      <c r="AU69" s="84"/>
      <c r="AV69" s="84"/>
      <c r="AW69" s="84"/>
      <c r="AX69" s="84"/>
      <c r="AY69" s="84"/>
    </row>
    <row r="70" spans="1:51" ht="15" customHeight="1" thickBot="1" x14ac:dyDescent="0.25">
      <c r="A70" s="310" t="s">
        <v>187</v>
      </c>
      <c r="B70" s="174" t="s">
        <v>169</v>
      </c>
      <c r="C70" s="176">
        <v>0</v>
      </c>
      <c r="D70" s="84"/>
      <c r="E70" s="84"/>
      <c r="F70" s="84"/>
      <c r="G70" s="84"/>
      <c r="H70" s="84"/>
      <c r="I70" s="84"/>
      <c r="J70" s="84"/>
      <c r="K70" s="84"/>
      <c r="L70" s="84"/>
      <c r="M70" s="84"/>
      <c r="N70" s="84"/>
      <c r="O70" s="84"/>
      <c r="P70" s="84"/>
      <c r="Q70" s="84"/>
      <c r="R70" s="84"/>
      <c r="S70" s="84"/>
      <c r="T70" s="84"/>
      <c r="U70" s="84"/>
      <c r="V70" s="84"/>
      <c r="W70" s="84"/>
      <c r="X70" s="84"/>
      <c r="Y70" s="84"/>
      <c r="Z70" s="84"/>
      <c r="AA70" s="84"/>
      <c r="AB70" s="84"/>
      <c r="AC70" s="84"/>
      <c r="AD70" s="84"/>
      <c r="AE70" s="84"/>
      <c r="AF70" s="84"/>
      <c r="AG70" s="84"/>
      <c r="AH70" s="84"/>
      <c r="AI70" s="84"/>
      <c r="AJ70" s="84"/>
      <c r="AK70" s="84"/>
      <c r="AL70" s="84"/>
      <c r="AM70" s="84"/>
      <c r="AN70" s="84"/>
      <c r="AO70" s="84"/>
      <c r="AP70" s="84"/>
      <c r="AQ70" s="84"/>
      <c r="AR70" s="84"/>
      <c r="AS70" s="84"/>
      <c r="AT70" s="84"/>
      <c r="AU70" s="84"/>
      <c r="AV70" s="84"/>
      <c r="AW70" s="84"/>
      <c r="AX70" s="84"/>
      <c r="AY70" s="84"/>
    </row>
    <row r="71" spans="1:51" ht="16" thickBot="1" x14ac:dyDescent="0.25">
      <c r="A71" s="310"/>
      <c r="B71" s="177" t="s">
        <v>543</v>
      </c>
      <c r="C71" s="196">
        <v>0.1</v>
      </c>
      <c r="D71" s="84"/>
      <c r="E71" s="84"/>
      <c r="F71" s="84"/>
      <c r="G71" s="84"/>
      <c r="H71" s="84"/>
      <c r="I71" s="84"/>
      <c r="J71" s="84"/>
      <c r="K71" s="84"/>
      <c r="L71" s="84"/>
      <c r="M71" s="84"/>
      <c r="N71" s="84"/>
      <c r="O71" s="84"/>
      <c r="P71" s="84"/>
      <c r="Q71" s="84"/>
      <c r="R71" s="84"/>
      <c r="S71" s="84"/>
      <c r="T71" s="84"/>
      <c r="U71" s="84"/>
      <c r="V71" s="84"/>
      <c r="W71" s="84"/>
      <c r="X71" s="84"/>
      <c r="Y71" s="84"/>
      <c r="Z71" s="84"/>
      <c r="AA71" s="84"/>
      <c r="AB71" s="84"/>
      <c r="AC71" s="84"/>
      <c r="AD71" s="84"/>
      <c r="AE71" s="84"/>
      <c r="AF71" s="84"/>
      <c r="AG71" s="84"/>
      <c r="AH71" s="84"/>
      <c r="AI71" s="84"/>
      <c r="AJ71" s="84"/>
      <c r="AK71" s="84"/>
      <c r="AL71" s="84"/>
      <c r="AM71" s="84"/>
      <c r="AN71" s="84"/>
      <c r="AO71" s="84"/>
      <c r="AP71" s="84"/>
      <c r="AQ71" s="84"/>
      <c r="AR71" s="84"/>
      <c r="AS71" s="84"/>
      <c r="AT71" s="84"/>
      <c r="AU71" s="84"/>
      <c r="AV71" s="84"/>
      <c r="AW71" s="84"/>
      <c r="AX71" s="84"/>
      <c r="AY71" s="84"/>
    </row>
    <row r="72" spans="1:51" s="84" customFormat="1" ht="16" thickBot="1" x14ac:dyDescent="0.25"/>
    <row r="73" spans="1:51" ht="15.75" customHeight="1" x14ac:dyDescent="0.25">
      <c r="A73" s="306" t="s">
        <v>192</v>
      </c>
      <c r="B73" s="306"/>
      <c r="C73" s="306"/>
      <c r="D73" s="84"/>
      <c r="E73" s="84"/>
      <c r="F73" s="84"/>
      <c r="G73" s="84"/>
      <c r="H73" s="84"/>
      <c r="I73" s="84"/>
      <c r="J73" s="84"/>
      <c r="K73" s="84"/>
      <c r="L73" s="84"/>
      <c r="M73" s="84"/>
      <c r="N73" s="84"/>
      <c r="O73" s="84"/>
      <c r="P73" s="84"/>
      <c r="Q73" s="84"/>
      <c r="R73" s="84"/>
      <c r="S73" s="84"/>
      <c r="T73" s="84"/>
      <c r="U73" s="84"/>
      <c r="V73" s="84"/>
      <c r="W73" s="84"/>
      <c r="X73" s="84"/>
      <c r="Y73" s="84"/>
      <c r="Z73" s="84"/>
      <c r="AA73" s="84"/>
      <c r="AB73" s="84"/>
      <c r="AC73" s="84"/>
      <c r="AD73" s="84"/>
      <c r="AE73" s="84"/>
      <c r="AF73" s="84"/>
      <c r="AG73" s="84"/>
      <c r="AH73" s="84"/>
      <c r="AI73" s="84"/>
      <c r="AJ73" s="84"/>
      <c r="AK73" s="84"/>
      <c r="AL73" s="84"/>
      <c r="AM73" s="84"/>
      <c r="AN73" s="84"/>
      <c r="AO73" s="84"/>
      <c r="AP73" s="84"/>
      <c r="AQ73" s="84"/>
      <c r="AR73" s="84"/>
      <c r="AS73" s="84"/>
      <c r="AT73" s="84"/>
      <c r="AU73" s="84"/>
      <c r="AV73" s="84"/>
      <c r="AW73" s="84"/>
      <c r="AX73" s="84"/>
      <c r="AY73" s="84"/>
    </row>
    <row r="74" spans="1:51" ht="15" customHeight="1" thickBot="1" x14ac:dyDescent="0.25">
      <c r="A74" s="310" t="s">
        <v>208</v>
      </c>
      <c r="B74" s="174" t="s">
        <v>193</v>
      </c>
      <c r="C74" s="176">
        <v>0</v>
      </c>
      <c r="D74" s="84"/>
      <c r="E74" s="84"/>
      <c r="F74" s="84"/>
      <c r="G74" s="84"/>
      <c r="H74" s="84"/>
      <c r="I74" s="84"/>
      <c r="J74" s="84"/>
      <c r="K74" s="84"/>
      <c r="L74" s="84"/>
      <c r="M74" s="84"/>
      <c r="N74" s="84"/>
      <c r="O74" s="84"/>
      <c r="P74" s="84"/>
      <c r="Q74" s="84"/>
      <c r="R74" s="84"/>
      <c r="S74" s="84"/>
      <c r="T74" s="84"/>
      <c r="U74" s="84"/>
      <c r="V74" s="84"/>
      <c r="W74" s="84"/>
      <c r="X74" s="84"/>
      <c r="Y74" s="84"/>
      <c r="Z74" s="84"/>
      <c r="AA74" s="84"/>
      <c r="AB74" s="84"/>
      <c r="AC74" s="84"/>
      <c r="AD74" s="84"/>
      <c r="AE74" s="84"/>
      <c r="AF74" s="84"/>
      <c r="AG74" s="84"/>
      <c r="AH74" s="84"/>
      <c r="AI74" s="84"/>
      <c r="AJ74" s="84"/>
      <c r="AK74" s="84"/>
      <c r="AL74" s="84"/>
      <c r="AM74" s="84"/>
      <c r="AN74" s="84"/>
      <c r="AO74" s="84"/>
      <c r="AP74" s="84"/>
      <c r="AQ74" s="84"/>
      <c r="AR74" s="84"/>
      <c r="AS74" s="84"/>
      <c r="AT74" s="84"/>
      <c r="AU74" s="84"/>
      <c r="AV74" s="84"/>
      <c r="AW74" s="84"/>
      <c r="AX74" s="84"/>
      <c r="AY74" s="84"/>
    </row>
    <row r="75" spans="1:51" ht="16" thickBot="1" x14ac:dyDescent="0.25">
      <c r="A75" s="310"/>
      <c r="B75" s="177" t="s">
        <v>544</v>
      </c>
      <c r="C75" s="196">
        <v>-0.08</v>
      </c>
      <c r="E75" s="84"/>
      <c r="F75" s="84"/>
      <c r="G75" s="84"/>
      <c r="H75" s="84"/>
      <c r="I75" s="84"/>
      <c r="J75" s="84"/>
      <c r="K75" s="84"/>
      <c r="L75" s="84"/>
      <c r="M75" s="84"/>
      <c r="N75" s="84"/>
      <c r="O75" s="84"/>
      <c r="P75" s="84"/>
      <c r="Q75" s="84"/>
      <c r="R75" s="84"/>
      <c r="S75" s="84"/>
      <c r="T75" s="84"/>
      <c r="U75" s="84"/>
      <c r="V75" s="84"/>
      <c r="W75" s="84"/>
      <c r="X75" s="84"/>
      <c r="Y75" s="84"/>
      <c r="Z75" s="84"/>
      <c r="AA75" s="84"/>
      <c r="AB75" s="84"/>
      <c r="AC75" s="84"/>
      <c r="AD75" s="84"/>
      <c r="AE75" s="84"/>
      <c r="AF75" s="84"/>
      <c r="AG75" s="84"/>
      <c r="AH75" s="84"/>
      <c r="AI75" s="84"/>
      <c r="AJ75" s="84"/>
      <c r="AK75" s="84"/>
      <c r="AL75" s="84"/>
      <c r="AM75" s="84"/>
      <c r="AN75" s="84"/>
      <c r="AO75" s="84"/>
      <c r="AP75" s="84"/>
      <c r="AQ75" s="84"/>
      <c r="AR75" s="84"/>
      <c r="AS75" s="84"/>
      <c r="AT75" s="84"/>
      <c r="AU75" s="84"/>
      <c r="AV75" s="84"/>
      <c r="AW75" s="84"/>
      <c r="AX75" s="84"/>
      <c r="AY75" s="84"/>
    </row>
    <row r="76" spans="1:51" ht="14.25" customHeight="1" thickBot="1" x14ac:dyDescent="0.25">
      <c r="A76" s="84"/>
      <c r="B76" s="84"/>
      <c r="C76" s="84"/>
      <c r="E76" s="84"/>
      <c r="F76" s="84"/>
      <c r="G76" s="84"/>
      <c r="H76" s="84"/>
      <c r="I76" s="84"/>
      <c r="J76" s="84"/>
      <c r="K76" s="84"/>
      <c r="L76" s="84"/>
      <c r="M76" s="84"/>
      <c r="N76" s="84"/>
      <c r="O76" s="84"/>
      <c r="P76" s="84"/>
      <c r="Q76" s="84"/>
      <c r="R76" s="84"/>
      <c r="S76" s="84"/>
      <c r="T76" s="84"/>
      <c r="U76" s="84"/>
      <c r="V76" s="84"/>
      <c r="W76" s="84"/>
      <c r="X76" s="84"/>
      <c r="Y76" s="84"/>
      <c r="Z76" s="84"/>
      <c r="AA76" s="84"/>
      <c r="AB76" s="84"/>
      <c r="AC76" s="84"/>
      <c r="AD76" s="84"/>
      <c r="AE76" s="84"/>
      <c r="AF76" s="84"/>
      <c r="AG76" s="84"/>
      <c r="AH76" s="84"/>
      <c r="AI76" s="84"/>
      <c r="AJ76" s="84"/>
      <c r="AK76" s="84"/>
      <c r="AL76" s="84"/>
      <c r="AM76" s="84"/>
      <c r="AN76" s="84"/>
      <c r="AO76" s="84"/>
      <c r="AP76" s="84"/>
      <c r="AQ76" s="84"/>
      <c r="AR76" s="84"/>
      <c r="AS76" s="84"/>
      <c r="AT76" s="84"/>
      <c r="AU76" s="84"/>
      <c r="AV76" s="84"/>
      <c r="AW76" s="84"/>
      <c r="AX76" s="84"/>
      <c r="AY76" s="84"/>
    </row>
    <row r="77" spans="1:51" ht="19" x14ac:dyDescent="0.25">
      <c r="A77" s="311" t="s">
        <v>228</v>
      </c>
      <c r="B77" s="311"/>
      <c r="C77" s="311"/>
      <c r="D77" s="205" t="s">
        <v>545</v>
      </c>
      <c r="E77" s="84"/>
      <c r="F77" s="84"/>
      <c r="G77" s="84"/>
      <c r="H77" s="84"/>
      <c r="I77" s="84"/>
      <c r="J77" s="84"/>
      <c r="K77" s="84"/>
      <c r="L77" s="84"/>
      <c r="M77" s="84"/>
      <c r="N77" s="84"/>
      <c r="O77" s="84"/>
      <c r="P77" s="84"/>
      <c r="Q77" s="84"/>
      <c r="R77" s="84"/>
      <c r="S77" s="84"/>
      <c r="T77" s="84"/>
      <c r="U77" s="84"/>
      <c r="V77" s="84"/>
      <c r="W77" s="84"/>
      <c r="X77" s="84"/>
      <c r="Y77" s="84"/>
      <c r="Z77" s="84"/>
      <c r="AA77" s="84"/>
      <c r="AB77" s="84"/>
      <c r="AC77" s="84"/>
      <c r="AD77" s="84"/>
      <c r="AE77" s="84"/>
      <c r="AF77" s="84"/>
      <c r="AG77" s="84"/>
      <c r="AH77" s="84"/>
      <c r="AI77" s="84"/>
      <c r="AJ77" s="84"/>
      <c r="AK77" s="84"/>
      <c r="AL77" s="84"/>
      <c r="AM77" s="84"/>
      <c r="AN77" s="84"/>
      <c r="AO77" s="84"/>
      <c r="AP77" s="84"/>
      <c r="AQ77" s="84"/>
      <c r="AR77" s="84"/>
      <c r="AS77" s="84"/>
      <c r="AT77" s="84"/>
      <c r="AU77" s="84"/>
      <c r="AV77" s="84"/>
      <c r="AW77" s="84"/>
      <c r="AX77" s="84"/>
      <c r="AY77" s="84"/>
    </row>
    <row r="78" spans="1:51" x14ac:dyDescent="0.2">
      <c r="A78" s="182" t="s">
        <v>546</v>
      </c>
      <c r="B78" s="174" t="s">
        <v>547</v>
      </c>
      <c r="C78" s="198">
        <v>0.15</v>
      </c>
      <c r="D78" s="176">
        <v>1</v>
      </c>
      <c r="E78" s="84"/>
      <c r="F78" s="84"/>
      <c r="G78" s="84"/>
      <c r="H78" s="84"/>
      <c r="I78" s="84"/>
      <c r="J78" s="84"/>
      <c r="K78" s="84"/>
      <c r="L78" s="84"/>
      <c r="M78" s="84"/>
      <c r="N78" s="84"/>
      <c r="O78" s="84"/>
      <c r="P78" s="84"/>
      <c r="Q78" s="84"/>
      <c r="R78" s="84"/>
      <c r="S78" s="84"/>
      <c r="T78" s="84"/>
      <c r="U78" s="84"/>
      <c r="V78" s="84"/>
      <c r="W78" s="84"/>
      <c r="X78" s="84"/>
      <c r="Y78" s="84"/>
      <c r="Z78" s="84"/>
      <c r="AA78" s="84"/>
      <c r="AB78" s="84"/>
      <c r="AC78" s="84"/>
      <c r="AD78" s="84"/>
      <c r="AE78" s="84"/>
      <c r="AF78" s="84"/>
      <c r="AG78" s="84"/>
      <c r="AH78" s="84"/>
      <c r="AI78" s="84"/>
      <c r="AJ78" s="84"/>
      <c r="AK78" s="84"/>
      <c r="AL78" s="84"/>
      <c r="AM78" s="84"/>
      <c r="AN78" s="84"/>
      <c r="AO78" s="84"/>
      <c r="AP78" s="84"/>
      <c r="AQ78" s="84"/>
      <c r="AR78" s="84"/>
      <c r="AS78" s="84"/>
      <c r="AT78" s="84"/>
      <c r="AU78" s="84"/>
      <c r="AV78" s="84"/>
      <c r="AW78" s="84"/>
      <c r="AX78" s="84"/>
      <c r="AY78" s="84"/>
    </row>
    <row r="79" spans="1:51" ht="19" x14ac:dyDescent="0.25">
      <c r="A79" s="312" t="s">
        <v>230</v>
      </c>
      <c r="B79" s="312"/>
      <c r="C79" s="312"/>
      <c r="D79" s="206" t="s">
        <v>548</v>
      </c>
      <c r="E79" s="84"/>
      <c r="F79" s="84"/>
      <c r="G79" s="84"/>
      <c r="H79" s="84"/>
      <c r="I79" s="84"/>
      <c r="J79" s="84"/>
      <c r="K79" s="84"/>
      <c r="L79" s="84"/>
      <c r="M79" s="84"/>
      <c r="N79" s="84"/>
      <c r="O79" s="84"/>
      <c r="P79" s="84"/>
      <c r="Q79" s="84"/>
      <c r="R79" s="84"/>
      <c r="S79" s="84"/>
      <c r="T79" s="84"/>
      <c r="U79" s="84"/>
      <c r="V79" s="84"/>
      <c r="W79" s="84"/>
      <c r="X79" s="84"/>
      <c r="Y79" s="84"/>
      <c r="Z79" s="84"/>
      <c r="AA79" s="84"/>
      <c r="AB79" s="84"/>
      <c r="AC79" s="84"/>
      <c r="AD79" s="84"/>
      <c r="AE79" s="84"/>
      <c r="AF79" s="84"/>
      <c r="AG79" s="84"/>
      <c r="AH79" s="84"/>
      <c r="AI79" s="84"/>
      <c r="AJ79" s="84"/>
      <c r="AK79" s="84"/>
      <c r="AL79" s="84"/>
      <c r="AM79" s="84"/>
      <c r="AN79" s="84"/>
      <c r="AO79" s="84"/>
      <c r="AP79" s="84"/>
      <c r="AQ79" s="84"/>
      <c r="AR79" s="84"/>
      <c r="AS79" s="84"/>
      <c r="AT79" s="84"/>
      <c r="AU79" s="84"/>
      <c r="AV79" s="84"/>
      <c r="AW79" s="84"/>
      <c r="AX79" s="84"/>
      <c r="AY79" s="84"/>
    </row>
    <row r="80" spans="1:51" ht="14.25" customHeight="1" thickBot="1" x14ac:dyDescent="0.25">
      <c r="A80" s="187" t="s">
        <v>549</v>
      </c>
      <c r="B80" s="177" t="s">
        <v>547</v>
      </c>
      <c r="C80" s="207">
        <v>0.2</v>
      </c>
      <c r="D80" s="208">
        <v>1</v>
      </c>
      <c r="E80" s="84"/>
      <c r="F80" s="84"/>
      <c r="G80" s="84"/>
      <c r="H80" s="84"/>
      <c r="I80" s="84"/>
      <c r="J80" s="84"/>
      <c r="K80" s="84"/>
      <c r="L80" s="84"/>
      <c r="M80" s="84"/>
      <c r="N80" s="84"/>
      <c r="O80" s="84"/>
      <c r="P80" s="84"/>
      <c r="Q80" s="84"/>
      <c r="R80" s="84"/>
      <c r="S80" s="84"/>
      <c r="T80" s="84"/>
      <c r="U80" s="84"/>
      <c r="V80" s="84"/>
      <c r="W80" s="84"/>
      <c r="X80" s="84"/>
      <c r="Y80" s="84"/>
      <c r="Z80" s="84"/>
      <c r="AA80" s="84"/>
      <c r="AB80" s="84"/>
      <c r="AC80" s="84"/>
      <c r="AD80" s="84"/>
      <c r="AE80" s="84"/>
      <c r="AF80" s="84"/>
      <c r="AG80" s="84"/>
      <c r="AH80" s="84"/>
      <c r="AI80" s="84"/>
      <c r="AJ80" s="84"/>
      <c r="AK80" s="84"/>
      <c r="AL80" s="84"/>
      <c r="AM80" s="84"/>
      <c r="AN80" s="84"/>
      <c r="AO80" s="84"/>
      <c r="AP80" s="84"/>
      <c r="AQ80" s="84"/>
      <c r="AR80" s="84"/>
      <c r="AS80" s="84"/>
      <c r="AT80" s="84"/>
      <c r="AU80" s="84"/>
      <c r="AV80" s="84"/>
      <c r="AW80" s="84"/>
      <c r="AX80" s="84"/>
      <c r="AY80" s="84"/>
    </row>
    <row r="81" spans="1:20" s="84" customFormat="1" ht="16" thickBot="1" x14ac:dyDescent="0.25"/>
    <row r="82" spans="1:20" ht="19" x14ac:dyDescent="0.25">
      <c r="A82" s="306" t="s">
        <v>236</v>
      </c>
      <c r="B82" s="306"/>
      <c r="C82" s="306"/>
    </row>
    <row r="83" spans="1:20" x14ac:dyDescent="0.2">
      <c r="A83" s="313" t="s">
        <v>550</v>
      </c>
      <c r="B83" s="174" t="s">
        <v>551</v>
      </c>
      <c r="C83" s="209">
        <v>0</v>
      </c>
    </row>
    <row r="84" spans="1:20" x14ac:dyDescent="0.2">
      <c r="A84" s="313"/>
      <c r="B84" s="174" t="s">
        <v>552</v>
      </c>
      <c r="C84" s="209">
        <v>2023</v>
      </c>
    </row>
    <row r="85" spans="1:20" x14ac:dyDescent="0.2">
      <c r="A85" s="313" t="s">
        <v>237</v>
      </c>
      <c r="B85" s="174" t="s">
        <v>238</v>
      </c>
      <c r="C85" s="209">
        <v>2015</v>
      </c>
      <c r="G85" s="119"/>
      <c r="H85" s="119"/>
      <c r="I85" s="127"/>
      <c r="J85" s="127"/>
      <c r="K85" s="127"/>
      <c r="L85" s="127"/>
      <c r="M85" s="127"/>
      <c r="N85" s="127"/>
      <c r="O85" s="127"/>
      <c r="P85" s="127"/>
      <c r="Q85" s="127"/>
      <c r="R85" s="127"/>
      <c r="S85" s="127"/>
      <c r="T85" s="127"/>
    </row>
    <row r="86" spans="1:20" x14ac:dyDescent="0.2">
      <c r="A86" s="313"/>
      <c r="B86" s="174" t="s">
        <v>241</v>
      </c>
      <c r="C86" s="210">
        <v>0</v>
      </c>
      <c r="G86" s="119"/>
      <c r="H86" s="119"/>
      <c r="I86" s="127"/>
      <c r="J86" s="127"/>
      <c r="K86" s="127"/>
      <c r="L86" s="127"/>
      <c r="M86" s="127"/>
      <c r="N86" s="127"/>
      <c r="O86" s="127"/>
      <c r="P86" s="127"/>
      <c r="Q86" s="127"/>
      <c r="R86" s="127"/>
      <c r="S86" s="127"/>
      <c r="T86" s="127"/>
    </row>
    <row r="87" spans="1:20" x14ac:dyDescent="0.2">
      <c r="A87" s="313" t="s">
        <v>243</v>
      </c>
      <c r="B87" s="174" t="s">
        <v>238</v>
      </c>
      <c r="C87" s="209">
        <v>2015</v>
      </c>
    </row>
    <row r="88" spans="1:20" x14ac:dyDescent="0.2">
      <c r="A88" s="313"/>
      <c r="B88" s="174" t="s">
        <v>241</v>
      </c>
      <c r="C88" s="210">
        <v>0</v>
      </c>
    </row>
    <row r="89" spans="1:20" x14ac:dyDescent="0.2">
      <c r="A89" s="313" t="s">
        <v>244</v>
      </c>
      <c r="B89" s="174" t="s">
        <v>238</v>
      </c>
      <c r="C89" s="209">
        <v>2023</v>
      </c>
    </row>
    <row r="90" spans="1:20" x14ac:dyDescent="0.2">
      <c r="A90" s="313"/>
      <c r="B90" s="174" t="s">
        <v>241</v>
      </c>
      <c r="C90" s="210">
        <v>0</v>
      </c>
    </row>
    <row r="91" spans="1:20" x14ac:dyDescent="0.2">
      <c r="A91" s="313" t="s">
        <v>246</v>
      </c>
      <c r="B91" s="174" t="s">
        <v>238</v>
      </c>
      <c r="C91" s="209">
        <v>2023</v>
      </c>
      <c r="G91" s="132"/>
      <c r="I91" s="125"/>
      <c r="J91" s="125"/>
      <c r="K91" s="125"/>
      <c r="L91" s="125"/>
      <c r="M91" s="125"/>
      <c r="N91" s="125"/>
      <c r="O91" s="125"/>
      <c r="P91" s="125"/>
      <c r="Q91" s="125"/>
      <c r="R91" s="125"/>
      <c r="S91" s="125"/>
      <c r="T91" s="125"/>
    </row>
    <row r="92" spans="1:20" x14ac:dyDescent="0.2">
      <c r="A92" s="313"/>
      <c r="B92" s="174" t="s">
        <v>241</v>
      </c>
      <c r="C92" s="210">
        <v>0</v>
      </c>
    </row>
    <row r="93" spans="1:20" x14ac:dyDescent="0.2">
      <c r="A93" s="313" t="s">
        <v>211</v>
      </c>
      <c r="B93" s="174" t="s">
        <v>238</v>
      </c>
      <c r="C93" s="209">
        <v>2023</v>
      </c>
    </row>
    <row r="94" spans="1:20" x14ac:dyDescent="0.2">
      <c r="A94" s="313"/>
      <c r="B94" s="174" t="s">
        <v>241</v>
      </c>
      <c r="C94" s="210">
        <v>0.97</v>
      </c>
    </row>
    <row r="95" spans="1:20" x14ac:dyDescent="0.2">
      <c r="A95" s="313" t="s">
        <v>240</v>
      </c>
      <c r="B95" s="174" t="s">
        <v>238</v>
      </c>
      <c r="C95" s="209">
        <v>2023</v>
      </c>
    </row>
    <row r="96" spans="1:20" x14ac:dyDescent="0.2">
      <c r="A96" s="313"/>
      <c r="B96" s="174" t="s">
        <v>241</v>
      </c>
      <c r="C96" s="210">
        <v>0.74</v>
      </c>
    </row>
    <row r="97" spans="1:3" ht="16" thickBot="1" x14ac:dyDescent="0.25">
      <c r="A97" s="310" t="s">
        <v>245</v>
      </c>
      <c r="B97" s="174" t="s">
        <v>238</v>
      </c>
      <c r="C97" s="209">
        <v>2023</v>
      </c>
    </row>
    <row r="98" spans="1:3" ht="16" thickBot="1" x14ac:dyDescent="0.25">
      <c r="A98" s="310"/>
      <c r="B98" s="177" t="s">
        <v>241</v>
      </c>
      <c r="C98" s="211">
        <v>0.87</v>
      </c>
    </row>
    <row r="99" spans="1:3" x14ac:dyDescent="0.2">
      <c r="A99" s="133" t="s">
        <v>247</v>
      </c>
    </row>
    <row r="101" spans="1:3" ht="14.25" customHeight="1" x14ac:dyDescent="0.25">
      <c r="A101" s="306" t="s">
        <v>248</v>
      </c>
      <c r="B101" s="306"/>
      <c r="C101" s="306"/>
    </row>
    <row r="102" spans="1:3" x14ac:dyDescent="0.2">
      <c r="A102" s="182" t="s">
        <v>249</v>
      </c>
      <c r="B102" s="174" t="s">
        <v>28</v>
      </c>
      <c r="C102" s="209">
        <v>1</v>
      </c>
    </row>
    <row r="103" spans="1:3" x14ac:dyDescent="0.2">
      <c r="A103" s="182" t="s">
        <v>256</v>
      </c>
      <c r="B103" s="174" t="s">
        <v>28</v>
      </c>
      <c r="C103" s="209">
        <v>1</v>
      </c>
    </row>
    <row r="104" spans="1:3" x14ac:dyDescent="0.2">
      <c r="A104" s="182" t="s">
        <v>553</v>
      </c>
      <c r="B104" s="174" t="s">
        <v>36</v>
      </c>
      <c r="C104" s="209">
        <v>2020</v>
      </c>
    </row>
    <row r="105" spans="1:3" x14ac:dyDescent="0.2">
      <c r="A105" s="182" t="s">
        <v>554</v>
      </c>
      <c r="B105" s="174" t="s">
        <v>36</v>
      </c>
      <c r="C105" s="209">
        <v>2025</v>
      </c>
    </row>
    <row r="106" spans="1:3" x14ac:dyDescent="0.2">
      <c r="A106" s="182" t="s">
        <v>555</v>
      </c>
      <c r="B106" s="174" t="s">
        <v>36</v>
      </c>
      <c r="C106" s="209">
        <v>2035</v>
      </c>
    </row>
    <row r="107" spans="1:3" x14ac:dyDescent="0.2">
      <c r="A107" s="182" t="s">
        <v>556</v>
      </c>
      <c r="B107" s="174" t="s">
        <v>36</v>
      </c>
      <c r="C107" s="209">
        <v>2050</v>
      </c>
    </row>
    <row r="108" spans="1:3" x14ac:dyDescent="0.2">
      <c r="A108" s="182" t="s">
        <v>255</v>
      </c>
      <c r="B108" s="174" t="s">
        <v>28</v>
      </c>
      <c r="C108" s="209">
        <v>0</v>
      </c>
    </row>
    <row r="109" spans="1:3" x14ac:dyDescent="0.2">
      <c r="A109" s="182" t="s">
        <v>261</v>
      </c>
      <c r="B109" s="174" t="s">
        <v>28</v>
      </c>
      <c r="C109" s="209">
        <v>0</v>
      </c>
    </row>
    <row r="110" spans="1:3" x14ac:dyDescent="0.2">
      <c r="A110" s="182" t="s">
        <v>557</v>
      </c>
      <c r="B110" s="174"/>
      <c r="C110" s="176">
        <v>2050</v>
      </c>
    </row>
    <row r="111" spans="1:3" ht="16" thickBot="1" x14ac:dyDescent="0.25">
      <c r="A111" s="187" t="s">
        <v>558</v>
      </c>
      <c r="B111" s="177" t="s">
        <v>28</v>
      </c>
      <c r="C111" s="208">
        <v>0.8</v>
      </c>
    </row>
    <row r="112" spans="1:3" ht="14.25" customHeight="1" thickBot="1" x14ac:dyDescent="0.25"/>
    <row r="113" spans="1:10" ht="14.25" customHeight="1" x14ac:dyDescent="0.25">
      <c r="A113" s="306" t="s">
        <v>58</v>
      </c>
      <c r="B113" s="306"/>
      <c r="C113" s="306"/>
      <c r="D113" s="306"/>
      <c r="E113" s="306"/>
    </row>
    <row r="114" spans="1:10" ht="14.25" customHeight="1" thickBot="1" x14ac:dyDescent="0.25">
      <c r="A114" s="310" t="s">
        <v>59</v>
      </c>
      <c r="B114" s="314">
        <v>4</v>
      </c>
      <c r="C114" s="197" t="s">
        <v>60</v>
      </c>
      <c r="D114" s="174" t="s">
        <v>65</v>
      </c>
      <c r="E114" s="194">
        <v>-1.2E-2</v>
      </c>
    </row>
    <row r="115" spans="1:10" ht="14.25" customHeight="1" thickBot="1" x14ac:dyDescent="0.25">
      <c r="A115" s="310"/>
      <c r="B115" s="314"/>
      <c r="C115" s="197" t="s">
        <v>62</v>
      </c>
      <c r="D115" s="174" t="s">
        <v>559</v>
      </c>
      <c r="E115" s="176">
        <v>2017</v>
      </c>
    </row>
    <row r="116" spans="1:10" ht="14.25" customHeight="1" thickBot="1" x14ac:dyDescent="0.25">
      <c r="A116" s="310"/>
      <c r="B116" s="314"/>
      <c r="C116" s="197" t="s">
        <v>63</v>
      </c>
      <c r="D116" s="315"/>
      <c r="E116" s="315"/>
    </row>
    <row r="117" spans="1:10" ht="14.25" customHeight="1" thickBot="1" x14ac:dyDescent="0.25">
      <c r="A117" s="310"/>
      <c r="B117" s="314"/>
      <c r="C117" s="212" t="s">
        <v>64</v>
      </c>
      <c r="D117" s="315"/>
      <c r="E117" s="315"/>
    </row>
    <row r="118" spans="1:10" ht="14.25" customHeight="1" x14ac:dyDescent="0.2"/>
    <row r="119" spans="1:10" ht="14.25" customHeight="1" x14ac:dyDescent="0.2"/>
    <row r="120" spans="1:10" ht="27" thickBot="1" x14ac:dyDescent="0.35">
      <c r="A120" s="173" t="s">
        <v>560</v>
      </c>
    </row>
    <row r="121" spans="1:10" ht="19" x14ac:dyDescent="0.25">
      <c r="A121" s="306" t="s">
        <v>561</v>
      </c>
      <c r="B121" s="306"/>
      <c r="C121" s="306"/>
      <c r="D121" s="306"/>
      <c r="E121" s="306"/>
      <c r="F121" s="306"/>
      <c r="G121" s="306"/>
      <c r="H121" s="306"/>
      <c r="I121" s="306"/>
      <c r="J121" s="306"/>
    </row>
    <row r="122" spans="1:10" x14ac:dyDescent="0.2">
      <c r="A122" s="180" t="s">
        <v>36</v>
      </c>
      <c r="B122" s="175"/>
      <c r="C122" s="174" t="s">
        <v>36</v>
      </c>
      <c r="D122" s="175">
        <v>2020</v>
      </c>
      <c r="E122" s="175">
        <v>2025</v>
      </c>
      <c r="F122" s="175">
        <v>2030</v>
      </c>
      <c r="G122" s="175">
        <v>2035</v>
      </c>
      <c r="H122" s="175">
        <v>2040</v>
      </c>
      <c r="I122" s="175">
        <v>2045</v>
      </c>
      <c r="J122" s="176">
        <v>2050</v>
      </c>
    </row>
    <row r="123" spans="1:10" x14ac:dyDescent="0.2">
      <c r="A123" s="316" t="s">
        <v>562</v>
      </c>
      <c r="B123" s="175" t="s">
        <v>563</v>
      </c>
      <c r="C123" s="174" t="s">
        <v>28</v>
      </c>
      <c r="D123" s="213">
        <v>0.88472864955826702</v>
      </c>
      <c r="E123" s="213">
        <v>0.88033461250055101</v>
      </c>
      <c r="F123" s="213">
        <v>0.87534775527083197</v>
      </c>
      <c r="G123" s="213">
        <v>0.87029999999999996</v>
      </c>
      <c r="H123" s="213">
        <v>0.86509999999999998</v>
      </c>
      <c r="I123" s="213">
        <v>0.85980999999999996</v>
      </c>
      <c r="J123" s="193">
        <v>0.85438999999999998</v>
      </c>
    </row>
    <row r="124" spans="1:10" x14ac:dyDescent="0.2">
      <c r="A124" s="316"/>
      <c r="B124" s="175" t="s">
        <v>564</v>
      </c>
      <c r="C124" s="174" t="s">
        <v>28</v>
      </c>
      <c r="D124" s="213">
        <v>0.11527135044173301</v>
      </c>
      <c r="E124" s="213">
        <v>0.11966538749944899</v>
      </c>
      <c r="F124" s="213">
        <v>0.124652244729168</v>
      </c>
      <c r="G124" s="213">
        <v>0.12970000000000001</v>
      </c>
      <c r="H124" s="213">
        <v>0.13492999999999999</v>
      </c>
      <c r="I124" s="213">
        <v>0.14019999999999999</v>
      </c>
      <c r="J124" s="193">
        <v>0.14555999999999999</v>
      </c>
    </row>
    <row r="125" spans="1:10" x14ac:dyDescent="0.2">
      <c r="A125" s="316"/>
      <c r="B125" s="175" t="s">
        <v>565</v>
      </c>
      <c r="C125" s="174" t="s">
        <v>28</v>
      </c>
      <c r="D125" s="213">
        <v>0</v>
      </c>
      <c r="E125" s="213">
        <v>0</v>
      </c>
      <c r="F125" s="213">
        <v>0</v>
      </c>
      <c r="G125" s="213">
        <v>0</v>
      </c>
      <c r="H125" s="213">
        <v>0</v>
      </c>
      <c r="I125" s="213">
        <v>0</v>
      </c>
      <c r="J125" s="193">
        <v>0</v>
      </c>
    </row>
    <row r="126" spans="1:10" x14ac:dyDescent="0.2">
      <c r="A126" s="316" t="s">
        <v>566</v>
      </c>
      <c r="B126" s="175" t="s">
        <v>563</v>
      </c>
      <c r="C126" s="174" t="s">
        <v>28</v>
      </c>
      <c r="D126" s="213">
        <v>0.941542565014448</v>
      </c>
      <c r="E126" s="213">
        <v>0.90029018569834196</v>
      </c>
      <c r="F126" s="213">
        <v>0.89948594991710895</v>
      </c>
      <c r="G126" s="213">
        <v>0.89868248596732603</v>
      </c>
      <c r="H126" s="213">
        <v>0.89787979305491095</v>
      </c>
      <c r="I126" s="213">
        <v>0.89707787038664399</v>
      </c>
      <c r="J126" s="193">
        <v>0.8962</v>
      </c>
    </row>
    <row r="127" spans="1:10" x14ac:dyDescent="0.2">
      <c r="A127" s="316"/>
      <c r="B127" s="175" t="s">
        <v>564</v>
      </c>
      <c r="C127" s="174" t="s">
        <v>28</v>
      </c>
      <c r="D127" s="213">
        <v>4.2231607023783101E-3</v>
      </c>
      <c r="E127" s="213">
        <v>5.9135968943322603E-3</v>
      </c>
      <c r="F127" s="213">
        <v>6.0668008183067104E-3</v>
      </c>
      <c r="G127" s="213">
        <v>6.2248184197546998E-3</v>
      </c>
      <c r="H127" s="213">
        <v>6.38782522707298E-3</v>
      </c>
      <c r="I127" s="213">
        <v>6.4999999999999997E-3</v>
      </c>
      <c r="J127" s="193">
        <v>6.7295437502571899E-3</v>
      </c>
    </row>
    <row r="128" spans="1:10" x14ac:dyDescent="0.2">
      <c r="A128" s="316"/>
      <c r="B128" s="175" t="s">
        <v>565</v>
      </c>
      <c r="C128" s="174" t="s">
        <v>28</v>
      </c>
      <c r="D128" s="213">
        <v>5.4234274283173997E-2</v>
      </c>
      <c r="E128" s="213">
        <v>9.3796217407325494E-2</v>
      </c>
      <c r="F128" s="213">
        <v>9.4447249264584698E-2</v>
      </c>
      <c r="G128" s="213">
        <v>9.5103036725395301E-2</v>
      </c>
      <c r="H128" s="213">
        <v>9.5763616350592398E-2</v>
      </c>
      <c r="I128" s="213">
        <v>9.6429024995418E-2</v>
      </c>
      <c r="J128" s="193">
        <v>9.7099299811984396E-2</v>
      </c>
    </row>
    <row r="129" spans="1:10" ht="16" thickBot="1" x14ac:dyDescent="0.25">
      <c r="A129" s="180" t="s">
        <v>567</v>
      </c>
      <c r="B129" s="317"/>
      <c r="C129" s="174" t="s">
        <v>28</v>
      </c>
      <c r="D129" s="213">
        <v>0.86118980169971704</v>
      </c>
      <c r="E129" s="213">
        <v>0.816445790051332</v>
      </c>
      <c r="F129" s="213">
        <v>0.79737110378897602</v>
      </c>
      <c r="G129" s="213">
        <v>0.77874390621843403</v>
      </c>
      <c r="H129" s="213">
        <v>0.76055365467805502</v>
      </c>
      <c r="I129" s="213">
        <v>0.74279005596401404</v>
      </c>
      <c r="J129" s="193">
        <v>0.72544306040184203</v>
      </c>
    </row>
    <row r="130" spans="1:10" ht="16" thickBot="1" x14ac:dyDescent="0.25">
      <c r="A130" s="180" t="s">
        <v>568</v>
      </c>
      <c r="B130" s="317"/>
      <c r="C130" s="174" t="s">
        <v>569</v>
      </c>
      <c r="D130" s="209">
        <f t="shared" ref="D130:J130" si="0">SUM(D123:D125)</f>
        <v>1</v>
      </c>
      <c r="E130" s="209">
        <f t="shared" si="0"/>
        <v>1</v>
      </c>
      <c r="F130" s="209">
        <f t="shared" si="0"/>
        <v>1</v>
      </c>
      <c r="G130" s="209">
        <f t="shared" si="0"/>
        <v>1</v>
      </c>
      <c r="H130" s="209">
        <f t="shared" si="0"/>
        <v>1.00003</v>
      </c>
      <c r="I130" s="209">
        <f t="shared" si="0"/>
        <v>1.0000100000000001</v>
      </c>
      <c r="J130" s="209">
        <f t="shared" si="0"/>
        <v>0.99995000000000001</v>
      </c>
    </row>
    <row r="131" spans="1:10" ht="16" thickBot="1" x14ac:dyDescent="0.25">
      <c r="A131" s="215" t="s">
        <v>570</v>
      </c>
      <c r="B131" s="317"/>
      <c r="C131" s="177" t="s">
        <v>569</v>
      </c>
      <c r="D131" s="209">
        <f t="shared" ref="D131:J131" si="1">SUM(D126:D128)</f>
        <v>1.0000000000000002</v>
      </c>
      <c r="E131" s="209">
        <f t="shared" si="1"/>
        <v>0.99999999999999967</v>
      </c>
      <c r="F131" s="209">
        <f t="shared" si="1"/>
        <v>1.0000000000000004</v>
      </c>
      <c r="G131" s="209">
        <f t="shared" si="1"/>
        <v>1.0000103411124761</v>
      </c>
      <c r="H131" s="209">
        <f t="shared" si="1"/>
        <v>1.0000312346325764</v>
      </c>
      <c r="I131" s="209">
        <f t="shared" si="1"/>
        <v>1.000006895382062</v>
      </c>
      <c r="J131" s="209">
        <f t="shared" si="1"/>
        <v>1.0000288435622415</v>
      </c>
    </row>
    <row r="133" spans="1:10" ht="19" x14ac:dyDescent="0.25">
      <c r="A133" s="306" t="s">
        <v>571</v>
      </c>
      <c r="B133" s="306"/>
      <c r="C133" s="306"/>
      <c r="D133" s="306"/>
      <c r="E133" s="306"/>
      <c r="F133" s="306"/>
      <c r="G133" s="306"/>
      <c r="H133" s="306"/>
      <c r="I133" s="306"/>
    </row>
    <row r="134" spans="1:10" x14ac:dyDescent="0.2">
      <c r="A134" s="180" t="s">
        <v>36</v>
      </c>
      <c r="B134" s="174" t="s">
        <v>36</v>
      </c>
      <c r="C134" s="175">
        <v>2020</v>
      </c>
      <c r="D134" s="175">
        <v>2025</v>
      </c>
      <c r="E134" s="175">
        <v>2030</v>
      </c>
      <c r="F134" s="175">
        <v>2035</v>
      </c>
      <c r="G134" s="175">
        <v>2040</v>
      </c>
      <c r="H134" s="175">
        <v>2045</v>
      </c>
      <c r="I134" s="176">
        <v>2050</v>
      </c>
    </row>
    <row r="135" spans="1:10" x14ac:dyDescent="0.2">
      <c r="A135" s="316" t="s">
        <v>572</v>
      </c>
      <c r="B135" s="174" t="s">
        <v>573</v>
      </c>
      <c r="C135" s="213">
        <v>0.80689476676619099</v>
      </c>
      <c r="D135" s="213">
        <v>0.71021542176077801</v>
      </c>
      <c r="E135" s="213">
        <v>0.60650331097055998</v>
      </c>
      <c r="F135" s="213">
        <v>0.51929710152244202</v>
      </c>
      <c r="G135" s="213">
        <v>0.432090892074324</v>
      </c>
      <c r="H135" s="213">
        <v>0.34488468262620597</v>
      </c>
      <c r="I135" s="193">
        <v>0.27268180370928902</v>
      </c>
    </row>
    <row r="136" spans="1:10" x14ac:dyDescent="0.2">
      <c r="A136" s="316"/>
      <c r="B136" s="174" t="s">
        <v>192</v>
      </c>
      <c r="C136" s="213">
        <v>2.5719720127708699E-2</v>
      </c>
      <c r="D136" s="213">
        <v>5.04865457750533E-2</v>
      </c>
      <c r="E136" s="213">
        <v>7.2522641427268802E-2</v>
      </c>
      <c r="F136" s="213">
        <v>9.66968552363585E-2</v>
      </c>
      <c r="G136" s="213">
        <v>0.120871069045448</v>
      </c>
      <c r="H136" s="213">
        <v>0.14504528285453799</v>
      </c>
      <c r="I136" s="193">
        <v>0.16921949666362701</v>
      </c>
    </row>
    <row r="137" spans="1:10" x14ac:dyDescent="0.2">
      <c r="A137" s="316"/>
      <c r="B137" s="174" t="s">
        <v>374</v>
      </c>
      <c r="C137" s="213">
        <v>0.14108125388458001</v>
      </c>
      <c r="D137" s="213">
        <v>0.18766406519422801</v>
      </c>
      <c r="E137" s="213">
        <v>0.24680316432428201</v>
      </c>
      <c r="F137" s="213">
        <v>0.28511153220401497</v>
      </c>
      <c r="G137" s="213">
        <v>0.32341990008374699</v>
      </c>
      <c r="H137" s="213">
        <v>0.36172826796347901</v>
      </c>
      <c r="I137" s="193">
        <v>0.38503330531201002</v>
      </c>
    </row>
    <row r="138" spans="1:10" x14ac:dyDescent="0.2">
      <c r="A138" s="316"/>
      <c r="B138" s="174" t="s">
        <v>574</v>
      </c>
      <c r="C138" s="213">
        <v>2.6304259221520299E-2</v>
      </c>
      <c r="D138" s="213">
        <v>5.1633967269940899E-2</v>
      </c>
      <c r="E138" s="213">
        <v>7.4170883277888594E-2</v>
      </c>
      <c r="F138" s="213">
        <v>9.8894511037184801E-2</v>
      </c>
      <c r="G138" s="213">
        <v>0.12361813879648099</v>
      </c>
      <c r="H138" s="213">
        <v>0.14834176655577699</v>
      </c>
      <c r="I138" s="193">
        <v>0.17306539431507301</v>
      </c>
    </row>
    <row r="139" spans="1:10" x14ac:dyDescent="0.2">
      <c r="A139" s="316" t="s">
        <v>564</v>
      </c>
      <c r="B139" s="174" t="s">
        <v>573</v>
      </c>
      <c r="C139" s="213">
        <v>0.96638655462184897</v>
      </c>
      <c r="D139" s="213">
        <v>0.93277310924369805</v>
      </c>
      <c r="E139" s="213">
        <v>0.89915966386554602</v>
      </c>
      <c r="F139" s="213">
        <v>0.86554621848739499</v>
      </c>
      <c r="G139" s="213">
        <v>0.83193277310924396</v>
      </c>
      <c r="H139" s="213">
        <v>0.79831932773109304</v>
      </c>
      <c r="I139" s="193">
        <v>0.76470588235294101</v>
      </c>
    </row>
    <row r="140" spans="1:10" x14ac:dyDescent="0.2">
      <c r="A140" s="316"/>
      <c r="B140" s="174" t="s">
        <v>192</v>
      </c>
      <c r="C140" s="213">
        <v>3.3613445378151301E-2</v>
      </c>
      <c r="D140" s="213">
        <v>6.7226890756302504E-2</v>
      </c>
      <c r="E140" s="213">
        <v>0.10084033613445401</v>
      </c>
      <c r="F140" s="213">
        <v>0.13445378151260501</v>
      </c>
      <c r="G140" s="213">
        <v>0.16806722689075601</v>
      </c>
      <c r="H140" s="213">
        <v>0.20168067226890801</v>
      </c>
      <c r="I140" s="193">
        <v>0.23529411764705899</v>
      </c>
    </row>
    <row r="141" spans="1:10" x14ac:dyDescent="0.2">
      <c r="A141" s="316"/>
      <c r="B141" s="174" t="s">
        <v>374</v>
      </c>
      <c r="C141" s="213">
        <v>0</v>
      </c>
      <c r="D141" s="213">
        <v>0</v>
      </c>
      <c r="E141" s="213">
        <v>0</v>
      </c>
      <c r="F141" s="213">
        <v>0</v>
      </c>
      <c r="G141" s="213">
        <v>0</v>
      </c>
      <c r="H141" s="213">
        <v>0</v>
      </c>
      <c r="I141" s="193">
        <v>0</v>
      </c>
    </row>
    <row r="142" spans="1:10" x14ac:dyDescent="0.2">
      <c r="A142" s="316"/>
      <c r="B142" s="174" t="s">
        <v>574</v>
      </c>
      <c r="C142" s="213">
        <v>0</v>
      </c>
      <c r="D142" s="213">
        <v>0</v>
      </c>
      <c r="E142" s="213">
        <v>0</v>
      </c>
      <c r="F142" s="213">
        <v>0</v>
      </c>
      <c r="G142" s="213">
        <v>0</v>
      </c>
      <c r="H142" s="213">
        <v>0</v>
      </c>
      <c r="I142" s="193">
        <v>0</v>
      </c>
    </row>
    <row r="143" spans="1:10" x14ac:dyDescent="0.2">
      <c r="A143" s="316" t="s">
        <v>565</v>
      </c>
      <c r="B143" s="174" t="s">
        <v>573</v>
      </c>
      <c r="C143" s="213">
        <v>0</v>
      </c>
      <c r="D143" s="213">
        <v>0</v>
      </c>
      <c r="E143" s="213">
        <v>0</v>
      </c>
      <c r="F143" s="213">
        <v>0</v>
      </c>
      <c r="G143" s="213">
        <v>0</v>
      </c>
      <c r="H143" s="213">
        <v>0</v>
      </c>
      <c r="I143" s="193">
        <v>0</v>
      </c>
    </row>
    <row r="144" spans="1:10" x14ac:dyDescent="0.2">
      <c r="A144" s="316"/>
      <c r="B144" s="174" t="s">
        <v>192</v>
      </c>
      <c r="C144" s="213">
        <v>0</v>
      </c>
      <c r="D144" s="213">
        <v>0</v>
      </c>
      <c r="E144" s="213">
        <v>0</v>
      </c>
      <c r="F144" s="213">
        <v>0</v>
      </c>
      <c r="G144" s="213">
        <v>0</v>
      </c>
      <c r="H144" s="213">
        <v>0</v>
      </c>
      <c r="I144" s="193">
        <v>0</v>
      </c>
    </row>
    <row r="145" spans="1:9" x14ac:dyDescent="0.2">
      <c r="A145" s="316"/>
      <c r="B145" s="174" t="s">
        <v>374</v>
      </c>
      <c r="C145" s="213">
        <v>0</v>
      </c>
      <c r="D145" s="213">
        <v>0</v>
      </c>
      <c r="E145" s="213">
        <v>0</v>
      </c>
      <c r="F145" s="213">
        <v>0</v>
      </c>
      <c r="G145" s="213">
        <v>0</v>
      </c>
      <c r="H145" s="213">
        <v>0</v>
      </c>
      <c r="I145" s="193">
        <v>0</v>
      </c>
    </row>
    <row r="146" spans="1:9" x14ac:dyDescent="0.2">
      <c r="A146" s="316"/>
      <c r="B146" s="174" t="s">
        <v>574</v>
      </c>
      <c r="C146" s="213">
        <v>0</v>
      </c>
      <c r="D146" s="213">
        <v>0</v>
      </c>
      <c r="E146" s="213">
        <v>0</v>
      </c>
      <c r="F146" s="213">
        <v>0</v>
      </c>
      <c r="G146" s="213">
        <v>0</v>
      </c>
      <c r="H146" s="213">
        <v>0</v>
      </c>
      <c r="I146" s="193">
        <v>0</v>
      </c>
    </row>
    <row r="147" spans="1:9" ht="19" x14ac:dyDescent="0.25">
      <c r="A147" s="318" t="s">
        <v>575</v>
      </c>
      <c r="B147" s="318"/>
      <c r="C147" s="318"/>
      <c r="D147" s="318"/>
      <c r="E147" s="318"/>
      <c r="F147" s="318"/>
      <c r="G147" s="318"/>
      <c r="H147" s="318"/>
      <c r="I147" s="318"/>
    </row>
    <row r="148" spans="1:9" x14ac:dyDescent="0.2">
      <c r="A148" s="180" t="s">
        <v>36</v>
      </c>
      <c r="B148" s="174" t="s">
        <v>36</v>
      </c>
      <c r="C148" s="175">
        <v>2020</v>
      </c>
      <c r="D148" s="175">
        <v>2025</v>
      </c>
      <c r="E148" s="175">
        <v>2030</v>
      </c>
      <c r="F148" s="175">
        <v>2035</v>
      </c>
      <c r="G148" s="175">
        <v>2040</v>
      </c>
      <c r="H148" s="175">
        <v>2045</v>
      </c>
      <c r="I148" s="176">
        <v>2050</v>
      </c>
    </row>
    <row r="149" spans="1:9" x14ac:dyDescent="0.2">
      <c r="A149" s="316" t="s">
        <v>572</v>
      </c>
      <c r="B149" s="174" t="s">
        <v>573</v>
      </c>
      <c r="C149" s="213">
        <v>0.81232807061705203</v>
      </c>
      <c r="D149" s="213">
        <v>0.69070448408046803</v>
      </c>
      <c r="E149" s="213">
        <v>0.58121932538473597</v>
      </c>
      <c r="F149" s="213">
        <v>0.47324615070276999</v>
      </c>
      <c r="G149" s="213">
        <v>0.365272976020804</v>
      </c>
      <c r="H149" s="213">
        <v>0.25729980133883801</v>
      </c>
      <c r="I149" s="193">
        <v>4.7326462882118503E-2</v>
      </c>
    </row>
    <row r="150" spans="1:9" x14ac:dyDescent="0.2">
      <c r="A150" s="316"/>
      <c r="B150" s="174" t="s">
        <v>192</v>
      </c>
      <c r="C150" s="213">
        <v>5.0511543543349503E-2</v>
      </c>
      <c r="D150" s="213">
        <v>6.3989756481404203E-2</v>
      </c>
      <c r="E150" s="213">
        <v>7.8297570769764804E-2</v>
      </c>
      <c r="F150" s="213">
        <v>9.38225342940677E-2</v>
      </c>
      <c r="G150" s="213">
        <v>0.10934749781837</v>
      </c>
      <c r="H150" s="213">
        <v>0.12487246134267301</v>
      </c>
      <c r="I150" s="193">
        <v>0.147110104070304</v>
      </c>
    </row>
    <row r="151" spans="1:9" x14ac:dyDescent="0.2">
      <c r="A151" s="316"/>
      <c r="B151" s="174" t="s">
        <v>374</v>
      </c>
      <c r="C151" s="213">
        <v>0.133646787816532</v>
      </c>
      <c r="D151" s="213">
        <v>0.23825249436891499</v>
      </c>
      <c r="E151" s="213">
        <v>0.32980805978183098</v>
      </c>
      <c r="F151" s="213">
        <v>0.418734491739984</v>
      </c>
      <c r="G151" s="213">
        <v>0.50766092369813598</v>
      </c>
      <c r="H151" s="213">
        <v>0.59658735565628795</v>
      </c>
      <c r="I151" s="193">
        <v>0.78091097865099901</v>
      </c>
    </row>
    <row r="152" spans="1:9" x14ac:dyDescent="0.2">
      <c r="A152" s="316"/>
      <c r="B152" s="174" t="s">
        <v>574</v>
      </c>
      <c r="C152" s="213">
        <v>3.5135980230661902E-3</v>
      </c>
      <c r="D152" s="213">
        <v>7.0532650692127202E-3</v>
      </c>
      <c r="E152" s="213">
        <v>1.0675044063667601E-2</v>
      </c>
      <c r="F152" s="213">
        <v>1.4196823263178801E-2</v>
      </c>
      <c r="G152" s="213">
        <v>1.7718602462690001E-2</v>
      </c>
      <c r="H152" s="213">
        <v>2.1240381662201199E-2</v>
      </c>
      <c r="I152" s="193">
        <v>2.46524543965785E-2</v>
      </c>
    </row>
    <row r="153" spans="1:9" x14ac:dyDescent="0.2">
      <c r="A153" s="316" t="s">
        <v>564</v>
      </c>
      <c r="B153" s="174" t="s">
        <v>573</v>
      </c>
      <c r="C153" s="213">
        <v>0.96638655462184897</v>
      </c>
      <c r="D153" s="213">
        <v>0.93277310924369805</v>
      </c>
      <c r="E153" s="213">
        <v>0.89915966386554602</v>
      </c>
      <c r="F153" s="213">
        <v>0.86554621848739499</v>
      </c>
      <c r="G153" s="213">
        <v>0.83193277310924396</v>
      </c>
      <c r="H153" s="213">
        <v>0.79831932773109304</v>
      </c>
      <c r="I153" s="193">
        <v>0.76470588235294101</v>
      </c>
    </row>
    <row r="154" spans="1:9" x14ac:dyDescent="0.2">
      <c r="A154" s="316"/>
      <c r="B154" s="174" t="s">
        <v>192</v>
      </c>
      <c r="C154" s="213">
        <v>3.3613445378151301E-2</v>
      </c>
      <c r="D154" s="213">
        <v>6.7226890756302504E-2</v>
      </c>
      <c r="E154" s="213">
        <v>0.10084033613445401</v>
      </c>
      <c r="F154" s="213">
        <v>0.13445378151260501</v>
      </c>
      <c r="G154" s="213">
        <v>0.16806722689075601</v>
      </c>
      <c r="H154" s="213">
        <v>0.20168067226890801</v>
      </c>
      <c r="I154" s="193">
        <v>0.23529411764705899</v>
      </c>
    </row>
    <row r="155" spans="1:9" x14ac:dyDescent="0.2">
      <c r="A155" s="316"/>
      <c r="B155" s="174" t="s">
        <v>374</v>
      </c>
      <c r="C155" s="213">
        <v>0</v>
      </c>
      <c r="D155" s="213">
        <v>0</v>
      </c>
      <c r="E155" s="213">
        <v>0</v>
      </c>
      <c r="F155" s="213">
        <v>0</v>
      </c>
      <c r="G155" s="213">
        <v>0</v>
      </c>
      <c r="H155" s="213">
        <v>0</v>
      </c>
      <c r="I155" s="193">
        <v>0</v>
      </c>
    </row>
    <row r="156" spans="1:9" x14ac:dyDescent="0.2">
      <c r="A156" s="316"/>
      <c r="B156" s="174" t="s">
        <v>574</v>
      </c>
      <c r="C156" s="213">
        <v>0</v>
      </c>
      <c r="D156" s="213">
        <v>0</v>
      </c>
      <c r="E156" s="213">
        <v>0</v>
      </c>
      <c r="F156" s="213">
        <v>0</v>
      </c>
      <c r="G156" s="213">
        <v>0</v>
      </c>
      <c r="H156" s="213">
        <v>0</v>
      </c>
      <c r="I156" s="193">
        <v>0</v>
      </c>
    </row>
    <row r="157" spans="1:9" x14ac:dyDescent="0.2">
      <c r="A157" s="316" t="s">
        <v>565</v>
      </c>
      <c r="B157" s="174" t="s">
        <v>573</v>
      </c>
      <c r="C157" s="213">
        <v>0.99719887955182096</v>
      </c>
      <c r="D157" s="213">
        <v>0.99439775910364203</v>
      </c>
      <c r="E157" s="213">
        <v>0.99159663865546199</v>
      </c>
      <c r="F157" s="213">
        <v>0.98879551820728295</v>
      </c>
      <c r="G157" s="213">
        <v>0.98599439775910402</v>
      </c>
      <c r="H157" s="213">
        <v>0.98319327731092399</v>
      </c>
      <c r="I157" s="193">
        <v>0.98039215686274495</v>
      </c>
    </row>
    <row r="158" spans="1:9" x14ac:dyDescent="0.2">
      <c r="A158" s="316"/>
      <c r="B158" s="174" t="s">
        <v>192</v>
      </c>
      <c r="C158" s="213">
        <v>0</v>
      </c>
      <c r="D158" s="213">
        <v>0</v>
      </c>
      <c r="E158" s="213">
        <v>0</v>
      </c>
      <c r="F158" s="213">
        <v>0</v>
      </c>
      <c r="G158" s="213">
        <v>0</v>
      </c>
      <c r="H158" s="213">
        <v>0</v>
      </c>
      <c r="I158" s="193">
        <v>0</v>
      </c>
    </row>
    <row r="159" spans="1:9" x14ac:dyDescent="0.2">
      <c r="A159" s="316"/>
      <c r="B159" s="174" t="s">
        <v>374</v>
      </c>
      <c r="C159" s="213">
        <v>2.80112044817927E-3</v>
      </c>
      <c r="D159" s="213">
        <v>5.60224089635854E-3</v>
      </c>
      <c r="E159" s="213">
        <v>8.40336134453782E-3</v>
      </c>
      <c r="F159" s="213">
        <v>1.1204481792717101E-2</v>
      </c>
      <c r="G159" s="213">
        <v>1.4005602240896401E-2</v>
      </c>
      <c r="H159" s="213">
        <v>1.6806722689075598E-2</v>
      </c>
      <c r="I159" s="193">
        <v>1.9607843137254902E-2</v>
      </c>
    </row>
    <row r="160" spans="1:9" x14ac:dyDescent="0.2">
      <c r="A160" s="316"/>
      <c r="B160" s="174" t="s">
        <v>574</v>
      </c>
      <c r="C160" s="213">
        <v>0</v>
      </c>
      <c r="D160" s="213">
        <v>0</v>
      </c>
      <c r="E160" s="213">
        <v>0</v>
      </c>
      <c r="F160" s="213">
        <v>0</v>
      </c>
      <c r="G160" s="213">
        <v>0</v>
      </c>
      <c r="H160" s="213">
        <v>0</v>
      </c>
      <c r="I160" s="193">
        <v>0</v>
      </c>
    </row>
    <row r="161" spans="1:14" ht="16" thickBot="1" x14ac:dyDescent="0.25">
      <c r="A161" s="307" t="s">
        <v>576</v>
      </c>
      <c r="B161" s="174" t="s">
        <v>573</v>
      </c>
      <c r="C161" s="213">
        <v>0.82871083959899705</v>
      </c>
      <c r="D161" s="213">
        <v>0.69662151061126698</v>
      </c>
      <c r="E161" s="213">
        <v>0.56459726690870604</v>
      </c>
      <c r="F161" s="213">
        <v>0.43251965261780001</v>
      </c>
      <c r="G161" s="213">
        <v>0.30044203832689398</v>
      </c>
      <c r="H161" s="213">
        <v>0.168364424035988</v>
      </c>
      <c r="I161" s="193">
        <v>3.6286809745082499E-2</v>
      </c>
    </row>
    <row r="162" spans="1:14" ht="16" thickBot="1" x14ac:dyDescent="0.25">
      <c r="A162" s="307"/>
      <c r="B162" s="174" t="s">
        <v>192</v>
      </c>
      <c r="C162" s="213">
        <v>5.6965852130325803E-2</v>
      </c>
      <c r="D162" s="213">
        <v>7.5022347727485006E-2</v>
      </c>
      <c r="E162" s="213">
        <v>9.3065840221172105E-2</v>
      </c>
      <c r="F162" s="213">
        <v>0.11112339130886199</v>
      </c>
      <c r="G162" s="213">
        <v>0.12918094239655201</v>
      </c>
      <c r="H162" s="213">
        <v>0.14723849348424201</v>
      </c>
      <c r="I162" s="193">
        <v>0.165296044571933</v>
      </c>
    </row>
    <row r="163" spans="1:14" ht="16" thickBot="1" x14ac:dyDescent="0.25">
      <c r="A163" s="307"/>
      <c r="B163" s="174" t="s">
        <v>374</v>
      </c>
      <c r="C163" s="213">
        <v>0.111544486215539</v>
      </c>
      <c r="D163" s="213">
        <v>0.22279893071847101</v>
      </c>
      <c r="E163" s="213">
        <v>0.334002638521957</v>
      </c>
      <c r="F163" s="213">
        <v>0.44524461694245099</v>
      </c>
      <c r="G163" s="213">
        <v>0.55648659536294598</v>
      </c>
      <c r="H163" s="213">
        <v>0.66772857378343997</v>
      </c>
      <c r="I163" s="193">
        <v>0.77897055220393396</v>
      </c>
    </row>
    <row r="164" spans="1:14" ht="16" thickBot="1" x14ac:dyDescent="0.25">
      <c r="A164" s="307"/>
      <c r="B164" s="177" t="s">
        <v>574</v>
      </c>
      <c r="C164" s="178">
        <v>2.7788220551378398E-3</v>
      </c>
      <c r="D164" s="178">
        <v>5.5572109427766596E-3</v>
      </c>
      <c r="E164" s="178">
        <v>8.33425434816467E-3</v>
      </c>
      <c r="F164" s="178">
        <v>1.11123391308862E-2</v>
      </c>
      <c r="G164" s="178">
        <v>1.3890423913607799E-2</v>
      </c>
      <c r="H164" s="178">
        <v>1.6668508696329298E-2</v>
      </c>
      <c r="I164" s="179">
        <v>1.9446593479050901E-2</v>
      </c>
    </row>
    <row r="165" spans="1:14" s="216" customFormat="1" x14ac:dyDescent="0.2"/>
    <row r="166" spans="1:14" ht="15" customHeight="1" x14ac:dyDescent="0.2"/>
    <row r="167" spans="1:14" ht="21.75" customHeight="1" thickBot="1" x14ac:dyDescent="0.35">
      <c r="A167" s="173" t="s">
        <v>577</v>
      </c>
    </row>
    <row r="168" spans="1:14" ht="19" x14ac:dyDescent="0.25">
      <c r="A168" s="306" t="s">
        <v>317</v>
      </c>
      <c r="B168" s="306"/>
      <c r="C168" s="306"/>
      <c r="D168" s="306"/>
      <c r="E168" s="306"/>
    </row>
    <row r="169" spans="1:14" ht="85.5" customHeight="1" thickBot="1" x14ac:dyDescent="0.25">
      <c r="A169" s="319" t="s">
        <v>318</v>
      </c>
      <c r="B169" s="319"/>
      <c r="C169" s="319"/>
      <c r="D169" s="319"/>
      <c r="E169" s="319"/>
    </row>
    <row r="170" spans="1:14" s="81" customFormat="1" ht="15" customHeight="1" thickBot="1" x14ac:dyDescent="0.25"/>
    <row r="171" spans="1:14" ht="13.5" customHeight="1" thickBot="1" x14ac:dyDescent="0.25">
      <c r="A171" s="320" t="s">
        <v>319</v>
      </c>
      <c r="B171" s="217" t="s">
        <v>320</v>
      </c>
      <c r="C171" s="321">
        <v>3</v>
      </c>
      <c r="D171" s="81"/>
      <c r="F171" s="81"/>
      <c r="G171" s="81"/>
      <c r="H171" s="81"/>
      <c r="I171" s="81"/>
      <c r="J171" s="81"/>
      <c r="K171" s="139"/>
      <c r="L171" s="139"/>
      <c r="M171" s="81"/>
      <c r="N171" s="81"/>
    </row>
    <row r="172" spans="1:14" ht="16" thickBot="1" x14ac:dyDescent="0.25">
      <c r="A172" s="320"/>
      <c r="B172" s="174" t="s">
        <v>321</v>
      </c>
      <c r="C172" s="321"/>
      <c r="D172" s="141"/>
      <c r="E172" s="141"/>
      <c r="F172" s="141"/>
      <c r="G172" s="141"/>
      <c r="H172" s="141"/>
      <c r="I172" s="141"/>
      <c r="J172" s="141"/>
      <c r="K172" s="141"/>
      <c r="L172" s="141"/>
      <c r="M172" s="141"/>
      <c r="N172" s="141"/>
    </row>
    <row r="173" spans="1:14" ht="28.5" customHeight="1" thickBot="1" x14ac:dyDescent="0.25">
      <c r="A173" s="320"/>
      <c r="B173" s="177" t="s">
        <v>322</v>
      </c>
      <c r="C173" s="321"/>
      <c r="D173" s="81"/>
      <c r="E173" s="81"/>
      <c r="F173" s="81"/>
      <c r="G173" s="81"/>
      <c r="H173" s="81"/>
      <c r="I173" s="81"/>
      <c r="J173" s="81"/>
      <c r="K173" s="81"/>
      <c r="L173" s="81"/>
      <c r="M173" s="81"/>
      <c r="N173" s="81"/>
    </row>
    <row r="175" spans="1:14" ht="15.75" customHeight="1" x14ac:dyDescent="0.25">
      <c r="A175" s="306" t="s">
        <v>323</v>
      </c>
      <c r="B175" s="306"/>
      <c r="C175" s="306"/>
    </row>
    <row r="176" spans="1:14" x14ac:dyDescent="0.2">
      <c r="A176" s="180" t="s">
        <v>324</v>
      </c>
      <c r="B176" s="174" t="s">
        <v>28</v>
      </c>
      <c r="C176" s="176">
        <v>0.3</v>
      </c>
    </row>
    <row r="177" spans="1:30" ht="33" thickBot="1" x14ac:dyDescent="0.25">
      <c r="A177" s="218" t="s">
        <v>326</v>
      </c>
      <c r="B177" s="177" t="s">
        <v>327</v>
      </c>
      <c r="C177" s="211">
        <v>3.1E-2</v>
      </c>
    </row>
    <row r="178" spans="1:30" ht="15.75" customHeight="1" x14ac:dyDescent="0.25">
      <c r="A178" s="311" t="s">
        <v>578</v>
      </c>
      <c r="B178" s="311"/>
      <c r="C178" s="219" t="s">
        <v>576</v>
      </c>
      <c r="D178" s="219" t="s">
        <v>579</v>
      </c>
      <c r="E178" s="219" t="s">
        <v>362</v>
      </c>
      <c r="F178" s="219" t="s">
        <v>580</v>
      </c>
      <c r="G178" s="219" t="s">
        <v>581</v>
      </c>
      <c r="H178" s="219" t="s">
        <v>582</v>
      </c>
      <c r="I178" s="219" t="s">
        <v>583</v>
      </c>
      <c r="J178" s="219" t="s">
        <v>354</v>
      </c>
      <c r="K178" s="219" t="s">
        <v>584</v>
      </c>
      <c r="L178" s="219" t="s">
        <v>585</v>
      </c>
      <c r="M178" s="219" t="s">
        <v>586</v>
      </c>
      <c r="N178" s="219" t="s">
        <v>587</v>
      </c>
      <c r="O178" s="219" t="s">
        <v>588</v>
      </c>
      <c r="P178" s="219" t="s">
        <v>589</v>
      </c>
      <c r="Q178" s="220" t="s">
        <v>590</v>
      </c>
      <c r="R178" s="220" t="s">
        <v>338</v>
      </c>
      <c r="S178" s="220" t="s">
        <v>591</v>
      </c>
      <c r="T178" s="220" t="s">
        <v>592</v>
      </c>
      <c r="U178" s="220" t="s">
        <v>593</v>
      </c>
      <c r="V178" s="220" t="s">
        <v>594</v>
      </c>
      <c r="W178" s="220" t="s">
        <v>595</v>
      </c>
      <c r="X178" s="220" t="s">
        <v>596</v>
      </c>
      <c r="Y178" s="220" t="s">
        <v>597</v>
      </c>
      <c r="Z178" s="220" t="s">
        <v>598</v>
      </c>
      <c r="AA178" s="220" t="s">
        <v>599</v>
      </c>
      <c r="AB178" s="220" t="s">
        <v>351</v>
      </c>
      <c r="AC178" s="220" t="s">
        <v>361</v>
      </c>
      <c r="AD178" s="220" t="s">
        <v>600</v>
      </c>
    </row>
    <row r="179" spans="1:30" x14ac:dyDescent="0.2">
      <c r="A179" s="322" t="s">
        <v>374</v>
      </c>
      <c r="B179" s="322"/>
      <c r="C179" s="221">
        <v>2030</v>
      </c>
      <c r="D179" s="221">
        <v>2030</v>
      </c>
      <c r="E179" s="221">
        <v>2030</v>
      </c>
      <c r="F179" s="221">
        <v>2030</v>
      </c>
      <c r="G179" s="221">
        <v>2030</v>
      </c>
      <c r="H179" s="221">
        <v>2030</v>
      </c>
      <c r="I179" s="221">
        <v>2030</v>
      </c>
      <c r="J179" s="221">
        <v>2030</v>
      </c>
      <c r="K179" s="221">
        <v>2030</v>
      </c>
      <c r="L179" s="221">
        <v>2030</v>
      </c>
      <c r="M179" s="221">
        <v>2030</v>
      </c>
      <c r="N179" s="221">
        <v>2030</v>
      </c>
      <c r="O179" s="221">
        <v>2030</v>
      </c>
      <c r="P179" s="221">
        <v>2030</v>
      </c>
      <c r="Q179" s="222">
        <v>2030</v>
      </c>
      <c r="R179" s="222">
        <v>2030</v>
      </c>
      <c r="S179" s="222">
        <v>2030</v>
      </c>
      <c r="T179" s="222">
        <v>2030</v>
      </c>
      <c r="U179" s="222">
        <v>2030</v>
      </c>
      <c r="V179" s="222">
        <v>2030</v>
      </c>
      <c r="W179" s="222">
        <v>2030</v>
      </c>
      <c r="X179" s="222">
        <v>2030</v>
      </c>
      <c r="Y179" s="222">
        <v>2030</v>
      </c>
      <c r="Z179" s="222">
        <v>2030</v>
      </c>
      <c r="AA179" s="222">
        <v>2030</v>
      </c>
      <c r="AB179" s="222">
        <v>2030</v>
      </c>
      <c r="AC179" s="222">
        <v>2030</v>
      </c>
      <c r="AD179" s="222">
        <v>2030</v>
      </c>
    </row>
    <row r="180" spans="1:30" x14ac:dyDescent="0.2">
      <c r="A180" s="322" t="s">
        <v>375</v>
      </c>
      <c r="B180" s="322"/>
      <c r="C180" s="221">
        <v>2030</v>
      </c>
      <c r="D180" s="221">
        <v>2030</v>
      </c>
      <c r="E180" s="221">
        <v>2030</v>
      </c>
      <c r="F180" s="221">
        <v>2030</v>
      </c>
      <c r="G180" s="221">
        <v>2030</v>
      </c>
      <c r="H180" s="221">
        <v>2030</v>
      </c>
      <c r="I180" s="221">
        <v>2030</v>
      </c>
      <c r="J180" s="221">
        <v>2030</v>
      </c>
      <c r="K180" s="221">
        <v>2030</v>
      </c>
      <c r="L180" s="221">
        <v>2030</v>
      </c>
      <c r="M180" s="221">
        <v>2030</v>
      </c>
      <c r="N180" s="221">
        <v>2030</v>
      </c>
      <c r="O180" s="221">
        <v>2030</v>
      </c>
      <c r="P180" s="221">
        <v>2030</v>
      </c>
      <c r="Q180" s="222">
        <v>2030</v>
      </c>
      <c r="R180" s="222">
        <v>2030</v>
      </c>
      <c r="S180" s="222">
        <v>2030</v>
      </c>
      <c r="T180" s="222">
        <v>2030</v>
      </c>
      <c r="U180" s="222">
        <v>2030</v>
      </c>
      <c r="V180" s="222">
        <v>2030</v>
      </c>
      <c r="W180" s="222">
        <v>2030</v>
      </c>
      <c r="X180" s="222">
        <v>2030</v>
      </c>
      <c r="Y180" s="222">
        <v>2030</v>
      </c>
      <c r="Z180" s="222">
        <v>2030</v>
      </c>
      <c r="AA180" s="222">
        <v>2030</v>
      </c>
      <c r="AB180" s="222">
        <v>2030</v>
      </c>
      <c r="AC180" s="222">
        <v>2030</v>
      </c>
      <c r="AD180" s="222">
        <v>2030</v>
      </c>
    </row>
    <row r="181" spans="1:30" x14ac:dyDescent="0.2">
      <c r="A181" s="322" t="s">
        <v>376</v>
      </c>
      <c r="B181" s="322"/>
      <c r="C181" s="221">
        <v>2030</v>
      </c>
      <c r="D181" s="221">
        <v>2030</v>
      </c>
      <c r="E181" s="221">
        <v>2030</v>
      </c>
      <c r="F181" s="221">
        <v>2030</v>
      </c>
      <c r="G181" s="221">
        <v>2030</v>
      </c>
      <c r="H181" s="221">
        <v>2030</v>
      </c>
      <c r="I181" s="221">
        <v>2030</v>
      </c>
      <c r="J181" s="221">
        <v>2030</v>
      </c>
      <c r="K181" s="221">
        <v>2030</v>
      </c>
      <c r="L181" s="221">
        <v>2030</v>
      </c>
      <c r="M181" s="221">
        <v>2030</v>
      </c>
      <c r="N181" s="221">
        <v>2030</v>
      </c>
      <c r="O181" s="221">
        <v>2030</v>
      </c>
      <c r="P181" s="221">
        <v>2030</v>
      </c>
      <c r="Q181" s="222">
        <v>2030</v>
      </c>
      <c r="R181" s="222">
        <v>2030</v>
      </c>
      <c r="S181" s="222">
        <v>2030</v>
      </c>
      <c r="T181" s="222">
        <v>2030</v>
      </c>
      <c r="U181" s="222">
        <v>2030</v>
      </c>
      <c r="V181" s="222">
        <v>2030</v>
      </c>
      <c r="W181" s="222">
        <v>2030</v>
      </c>
      <c r="X181" s="222">
        <v>2030</v>
      </c>
      <c r="Y181" s="222">
        <v>2030</v>
      </c>
      <c r="Z181" s="222">
        <v>2030</v>
      </c>
      <c r="AA181" s="222">
        <v>2030</v>
      </c>
      <c r="AB181" s="222">
        <v>2030</v>
      </c>
      <c r="AC181" s="222">
        <v>2030</v>
      </c>
      <c r="AD181" s="222">
        <v>2030</v>
      </c>
    </row>
    <row r="182" spans="1:30" x14ac:dyDescent="0.2">
      <c r="A182" s="322" t="s">
        <v>377</v>
      </c>
      <c r="B182" s="322"/>
      <c r="C182" s="221">
        <v>2030</v>
      </c>
      <c r="D182" s="221">
        <v>2030</v>
      </c>
      <c r="E182" s="221">
        <v>2030</v>
      </c>
      <c r="F182" s="221">
        <v>2030</v>
      </c>
      <c r="G182" s="221">
        <v>2030</v>
      </c>
      <c r="H182" s="221">
        <v>2030</v>
      </c>
      <c r="I182" s="221">
        <v>2030</v>
      </c>
      <c r="J182" s="221">
        <v>2030</v>
      </c>
      <c r="K182" s="221">
        <v>2030</v>
      </c>
      <c r="L182" s="221">
        <v>2030</v>
      </c>
      <c r="M182" s="221">
        <v>2030</v>
      </c>
      <c r="N182" s="221">
        <v>2030</v>
      </c>
      <c r="O182" s="221">
        <v>2030</v>
      </c>
      <c r="P182" s="221">
        <v>2030</v>
      </c>
      <c r="Q182" s="222">
        <v>2030</v>
      </c>
      <c r="R182" s="222">
        <v>2030</v>
      </c>
      <c r="S182" s="222">
        <v>2030</v>
      </c>
      <c r="T182" s="222">
        <v>2030</v>
      </c>
      <c r="U182" s="222">
        <v>2030</v>
      </c>
      <c r="V182" s="222">
        <v>2030</v>
      </c>
      <c r="W182" s="222">
        <v>2030</v>
      </c>
      <c r="X182" s="222">
        <v>2030</v>
      </c>
      <c r="Y182" s="222">
        <v>2030</v>
      </c>
      <c r="Z182" s="222">
        <v>2030</v>
      </c>
      <c r="AA182" s="222">
        <v>2030</v>
      </c>
      <c r="AB182" s="222">
        <v>2030</v>
      </c>
      <c r="AC182" s="222">
        <v>2030</v>
      </c>
      <c r="AD182" s="222">
        <v>2030</v>
      </c>
    </row>
    <row r="183" spans="1:30" ht="16" thickBot="1" x14ac:dyDescent="0.25">
      <c r="A183" s="322" t="s">
        <v>378</v>
      </c>
      <c r="B183" s="322"/>
      <c r="C183" s="221">
        <v>2030</v>
      </c>
      <c r="D183" s="221">
        <v>2030</v>
      </c>
      <c r="E183" s="221">
        <v>2030</v>
      </c>
      <c r="F183" s="221">
        <v>2030</v>
      </c>
      <c r="G183" s="221">
        <v>2030</v>
      </c>
      <c r="H183" s="221">
        <v>2030</v>
      </c>
      <c r="I183" s="221">
        <v>2030</v>
      </c>
      <c r="J183" s="221">
        <v>2030</v>
      </c>
      <c r="K183" s="221">
        <v>2030</v>
      </c>
      <c r="L183" s="221">
        <v>2030</v>
      </c>
      <c r="M183" s="221">
        <v>2030</v>
      </c>
      <c r="N183" s="221">
        <v>2030</v>
      </c>
      <c r="O183" s="221">
        <v>2030</v>
      </c>
      <c r="P183" s="221">
        <v>2030</v>
      </c>
      <c r="Q183" s="222">
        <v>2030</v>
      </c>
      <c r="R183" s="222">
        <v>2030</v>
      </c>
      <c r="S183" s="222">
        <v>2030</v>
      </c>
      <c r="T183" s="222">
        <v>2030</v>
      </c>
      <c r="U183" s="222">
        <v>2030</v>
      </c>
      <c r="V183" s="222">
        <v>2030</v>
      </c>
      <c r="W183" s="222">
        <v>2030</v>
      </c>
      <c r="X183" s="222">
        <v>2030</v>
      </c>
      <c r="Y183" s="222">
        <v>2030</v>
      </c>
      <c r="Z183" s="222">
        <v>2030</v>
      </c>
      <c r="AA183" s="222">
        <v>2030</v>
      </c>
      <c r="AB183" s="222">
        <v>2030</v>
      </c>
      <c r="AC183" s="222">
        <v>2030</v>
      </c>
      <c r="AD183" s="222">
        <v>2030</v>
      </c>
    </row>
    <row r="184" spans="1:30" ht="15.75" customHeight="1" x14ac:dyDescent="0.25">
      <c r="A184" s="306" t="s">
        <v>601</v>
      </c>
      <c r="B184" s="306"/>
      <c r="C184" s="306"/>
      <c r="D184" s="306"/>
      <c r="E184" s="306"/>
      <c r="F184" s="306"/>
      <c r="G184" s="306"/>
      <c r="H184" s="306"/>
      <c r="I184" s="306"/>
      <c r="J184" s="306"/>
      <c r="K184" s="306"/>
      <c r="L184" s="306"/>
      <c r="M184" s="306"/>
      <c r="N184" s="306"/>
      <c r="O184" s="306"/>
      <c r="P184" s="306"/>
      <c r="Q184" s="306"/>
    </row>
    <row r="185" spans="1:30" x14ac:dyDescent="0.2">
      <c r="A185" s="322" t="s">
        <v>374</v>
      </c>
      <c r="B185" s="322"/>
      <c r="C185" s="221">
        <v>1</v>
      </c>
      <c r="D185" s="221">
        <v>1</v>
      </c>
      <c r="E185" s="221">
        <v>1</v>
      </c>
      <c r="F185" s="221">
        <v>1</v>
      </c>
      <c r="G185" s="221">
        <v>1</v>
      </c>
      <c r="H185" s="221">
        <v>1</v>
      </c>
      <c r="I185" s="221">
        <v>1</v>
      </c>
      <c r="J185" s="221">
        <v>1</v>
      </c>
      <c r="K185" s="221">
        <v>1</v>
      </c>
      <c r="L185" s="221">
        <v>1</v>
      </c>
      <c r="M185" s="221">
        <v>1</v>
      </c>
      <c r="N185" s="221">
        <v>1</v>
      </c>
      <c r="O185" s="221">
        <v>1</v>
      </c>
      <c r="P185" s="221">
        <v>1</v>
      </c>
      <c r="Q185" s="222">
        <v>1</v>
      </c>
      <c r="R185" s="222">
        <v>1</v>
      </c>
      <c r="S185" s="222">
        <v>1</v>
      </c>
      <c r="T185" s="222">
        <v>1</v>
      </c>
      <c r="U185" s="222">
        <v>1</v>
      </c>
      <c r="V185" s="222">
        <v>1</v>
      </c>
      <c r="W185" s="222">
        <v>1</v>
      </c>
      <c r="X185" s="222">
        <v>1</v>
      </c>
      <c r="Y185" s="222">
        <v>1</v>
      </c>
      <c r="Z185" s="222">
        <v>1</v>
      </c>
      <c r="AA185" s="222">
        <v>1</v>
      </c>
      <c r="AB185" s="222">
        <v>1</v>
      </c>
      <c r="AC185" s="222">
        <v>1</v>
      </c>
      <c r="AD185" s="222">
        <v>1</v>
      </c>
    </row>
    <row r="186" spans="1:30" x14ac:dyDescent="0.2">
      <c r="A186" s="322" t="s">
        <v>375</v>
      </c>
      <c r="B186" s="322"/>
      <c r="C186" s="221">
        <v>1</v>
      </c>
      <c r="D186" s="221">
        <v>1</v>
      </c>
      <c r="E186" s="221">
        <v>1</v>
      </c>
      <c r="F186" s="221">
        <v>1</v>
      </c>
      <c r="G186" s="221">
        <v>1</v>
      </c>
      <c r="H186" s="221">
        <v>1</v>
      </c>
      <c r="I186" s="221">
        <v>1</v>
      </c>
      <c r="J186" s="221">
        <v>1</v>
      </c>
      <c r="K186" s="221">
        <v>1</v>
      </c>
      <c r="L186" s="221">
        <v>1</v>
      </c>
      <c r="M186" s="221">
        <v>1</v>
      </c>
      <c r="N186" s="221">
        <v>1</v>
      </c>
      <c r="O186" s="221">
        <v>1</v>
      </c>
      <c r="P186" s="221">
        <v>1</v>
      </c>
      <c r="Q186" s="222">
        <v>1</v>
      </c>
      <c r="R186" s="222">
        <v>1</v>
      </c>
      <c r="S186" s="222">
        <v>1</v>
      </c>
      <c r="T186" s="222">
        <v>1</v>
      </c>
      <c r="U186" s="222">
        <v>1</v>
      </c>
      <c r="V186" s="222">
        <v>1</v>
      </c>
      <c r="W186" s="222">
        <v>1</v>
      </c>
      <c r="X186" s="222">
        <v>1</v>
      </c>
      <c r="Y186" s="222">
        <v>1</v>
      </c>
      <c r="Z186" s="222">
        <v>1</v>
      </c>
      <c r="AA186" s="222">
        <v>1</v>
      </c>
      <c r="AB186" s="222">
        <v>1</v>
      </c>
      <c r="AC186" s="222">
        <v>1</v>
      </c>
      <c r="AD186" s="222">
        <v>1</v>
      </c>
    </row>
    <row r="187" spans="1:30" x14ac:dyDescent="0.2">
      <c r="A187" s="322" t="s">
        <v>376</v>
      </c>
      <c r="B187" s="322"/>
      <c r="C187" s="221">
        <v>1</v>
      </c>
      <c r="D187" s="221">
        <v>1</v>
      </c>
      <c r="E187" s="221">
        <v>1</v>
      </c>
      <c r="F187" s="221">
        <v>1</v>
      </c>
      <c r="G187" s="221">
        <v>1</v>
      </c>
      <c r="H187" s="221">
        <v>1</v>
      </c>
      <c r="I187" s="221">
        <v>1</v>
      </c>
      <c r="J187" s="221">
        <v>1</v>
      </c>
      <c r="K187" s="221">
        <v>1</v>
      </c>
      <c r="L187" s="221">
        <v>1</v>
      </c>
      <c r="M187" s="221">
        <v>1</v>
      </c>
      <c r="N187" s="221">
        <v>1</v>
      </c>
      <c r="O187" s="221">
        <v>1</v>
      </c>
      <c r="P187" s="221">
        <v>1</v>
      </c>
      <c r="Q187" s="222">
        <v>1</v>
      </c>
      <c r="R187" s="222">
        <v>1</v>
      </c>
      <c r="S187" s="222">
        <v>1</v>
      </c>
      <c r="T187" s="222">
        <v>1</v>
      </c>
      <c r="U187" s="222">
        <v>1</v>
      </c>
      <c r="V187" s="222">
        <v>1</v>
      </c>
      <c r="W187" s="222">
        <v>1</v>
      </c>
      <c r="X187" s="222">
        <v>1</v>
      </c>
      <c r="Y187" s="222">
        <v>1</v>
      </c>
      <c r="Z187" s="222">
        <v>1</v>
      </c>
      <c r="AA187" s="222">
        <v>1</v>
      </c>
      <c r="AB187" s="222">
        <v>1</v>
      </c>
      <c r="AC187" s="222">
        <v>1</v>
      </c>
      <c r="AD187" s="222">
        <v>1</v>
      </c>
    </row>
    <row r="188" spans="1:30" x14ac:dyDescent="0.2">
      <c r="A188" s="322" t="s">
        <v>377</v>
      </c>
      <c r="B188" s="322"/>
      <c r="C188" s="221">
        <v>1</v>
      </c>
      <c r="D188" s="221">
        <v>1</v>
      </c>
      <c r="E188" s="221">
        <v>1</v>
      </c>
      <c r="F188" s="221">
        <v>1</v>
      </c>
      <c r="G188" s="221">
        <v>1</v>
      </c>
      <c r="H188" s="221">
        <v>1</v>
      </c>
      <c r="I188" s="221">
        <v>1</v>
      </c>
      <c r="J188" s="221">
        <v>1</v>
      </c>
      <c r="K188" s="221">
        <v>1</v>
      </c>
      <c r="L188" s="221">
        <v>1</v>
      </c>
      <c r="M188" s="221">
        <v>1</v>
      </c>
      <c r="N188" s="221">
        <v>1</v>
      </c>
      <c r="O188" s="221">
        <v>1</v>
      </c>
      <c r="P188" s="221">
        <v>1</v>
      </c>
      <c r="Q188" s="222">
        <v>1</v>
      </c>
      <c r="R188" s="222">
        <v>1</v>
      </c>
      <c r="S188" s="222">
        <v>1</v>
      </c>
      <c r="T188" s="222">
        <v>1</v>
      </c>
      <c r="U188" s="222">
        <v>1</v>
      </c>
      <c r="V188" s="222">
        <v>1</v>
      </c>
      <c r="W188" s="222">
        <v>1</v>
      </c>
      <c r="X188" s="222">
        <v>1</v>
      </c>
      <c r="Y188" s="222">
        <v>1</v>
      </c>
      <c r="Z188" s="222">
        <v>1</v>
      </c>
      <c r="AA188" s="222">
        <v>1</v>
      </c>
      <c r="AB188" s="222">
        <v>1</v>
      </c>
      <c r="AC188" s="222">
        <v>1</v>
      </c>
      <c r="AD188" s="222">
        <v>1</v>
      </c>
    </row>
    <row r="189" spans="1:30" ht="16" thickBot="1" x14ac:dyDescent="0.25">
      <c r="A189" s="322" t="s">
        <v>378</v>
      </c>
      <c r="B189" s="322"/>
      <c r="C189" s="221">
        <v>1</v>
      </c>
      <c r="D189" s="221">
        <v>1</v>
      </c>
      <c r="E189" s="221">
        <v>1</v>
      </c>
      <c r="F189" s="221">
        <v>1</v>
      </c>
      <c r="G189" s="221">
        <v>1</v>
      </c>
      <c r="H189" s="221">
        <v>1</v>
      </c>
      <c r="I189" s="221">
        <v>1</v>
      </c>
      <c r="J189" s="221">
        <v>1</v>
      </c>
      <c r="K189" s="221">
        <v>1</v>
      </c>
      <c r="L189" s="221">
        <v>1</v>
      </c>
      <c r="M189" s="221">
        <v>1</v>
      </c>
      <c r="N189" s="221">
        <v>1</v>
      </c>
      <c r="O189" s="221">
        <v>1</v>
      </c>
      <c r="P189" s="221">
        <v>1</v>
      </c>
      <c r="Q189" s="222">
        <v>1</v>
      </c>
      <c r="R189" s="222">
        <v>1</v>
      </c>
      <c r="S189" s="222">
        <v>1</v>
      </c>
      <c r="T189" s="222">
        <v>1</v>
      </c>
      <c r="U189" s="222">
        <v>1</v>
      </c>
      <c r="V189" s="222">
        <v>1</v>
      </c>
      <c r="W189" s="222">
        <v>1</v>
      </c>
      <c r="X189" s="222">
        <v>1</v>
      </c>
      <c r="Y189" s="222">
        <v>1</v>
      </c>
      <c r="Z189" s="222">
        <v>1</v>
      </c>
      <c r="AA189" s="222">
        <v>1</v>
      </c>
      <c r="AB189" s="222">
        <v>1</v>
      </c>
      <c r="AC189" s="222">
        <v>1</v>
      </c>
      <c r="AD189" s="222">
        <v>1</v>
      </c>
    </row>
    <row r="190" spans="1:30" ht="15.75" customHeight="1" x14ac:dyDescent="0.25">
      <c r="A190" s="306" t="s">
        <v>602</v>
      </c>
      <c r="B190" s="306"/>
      <c r="C190" s="306"/>
      <c r="D190" s="306"/>
      <c r="E190" s="306"/>
      <c r="F190" s="306"/>
      <c r="G190" s="306"/>
      <c r="H190" s="306"/>
      <c r="I190" s="306"/>
      <c r="J190" s="306"/>
      <c r="K190" s="306"/>
      <c r="L190" s="306"/>
      <c r="M190" s="306"/>
      <c r="N190" s="306"/>
      <c r="O190" s="306"/>
      <c r="P190" s="306"/>
      <c r="Q190" s="306"/>
    </row>
    <row r="191" spans="1:30" x14ac:dyDescent="0.2">
      <c r="A191" s="322" t="s">
        <v>374</v>
      </c>
      <c r="B191" s="322"/>
      <c r="C191" s="221">
        <v>2040</v>
      </c>
      <c r="D191" s="221">
        <v>2040</v>
      </c>
      <c r="E191" s="221">
        <v>2040</v>
      </c>
      <c r="F191" s="221">
        <v>2040</v>
      </c>
      <c r="G191" s="221">
        <v>2040</v>
      </c>
      <c r="H191" s="221">
        <v>2040</v>
      </c>
      <c r="I191" s="221">
        <v>2040</v>
      </c>
      <c r="J191" s="221">
        <v>2040</v>
      </c>
      <c r="K191" s="221">
        <v>2040</v>
      </c>
      <c r="L191" s="221">
        <v>2040</v>
      </c>
      <c r="M191" s="221">
        <v>2040</v>
      </c>
      <c r="N191" s="221">
        <v>2040</v>
      </c>
      <c r="O191" s="221">
        <v>2040</v>
      </c>
      <c r="P191" s="221">
        <v>2040</v>
      </c>
      <c r="Q191" s="221">
        <v>2040</v>
      </c>
      <c r="R191" s="221">
        <v>2040</v>
      </c>
      <c r="S191" s="221">
        <v>2040</v>
      </c>
      <c r="T191" s="221">
        <v>2040</v>
      </c>
      <c r="U191" s="221">
        <v>2040</v>
      </c>
      <c r="V191" s="221">
        <v>2040</v>
      </c>
      <c r="W191" s="221">
        <v>2040</v>
      </c>
      <c r="X191" s="221">
        <v>2040</v>
      </c>
      <c r="Y191" s="221">
        <v>2040</v>
      </c>
      <c r="Z191" s="221">
        <v>2040</v>
      </c>
      <c r="AA191" s="221">
        <v>2040</v>
      </c>
      <c r="AB191" s="221">
        <v>2040</v>
      </c>
      <c r="AC191" s="221">
        <v>2040</v>
      </c>
      <c r="AD191" s="221">
        <v>2040</v>
      </c>
    </row>
    <row r="192" spans="1:30" x14ac:dyDescent="0.2">
      <c r="A192" s="322" t="s">
        <v>375</v>
      </c>
      <c r="B192" s="322"/>
      <c r="C192" s="221">
        <v>2040</v>
      </c>
      <c r="D192" s="221">
        <v>2040</v>
      </c>
      <c r="E192" s="221">
        <v>2040</v>
      </c>
      <c r="F192" s="221">
        <v>2040</v>
      </c>
      <c r="G192" s="221">
        <v>2040</v>
      </c>
      <c r="H192" s="221">
        <v>2040</v>
      </c>
      <c r="I192" s="221">
        <v>2040</v>
      </c>
      <c r="J192" s="221">
        <v>2040</v>
      </c>
      <c r="K192" s="221">
        <v>2040</v>
      </c>
      <c r="L192" s="221">
        <v>2040</v>
      </c>
      <c r="M192" s="221">
        <v>2040</v>
      </c>
      <c r="N192" s="221">
        <v>2040</v>
      </c>
      <c r="O192" s="221">
        <v>2040</v>
      </c>
      <c r="P192" s="221">
        <v>2040</v>
      </c>
      <c r="Q192" s="221">
        <v>2040</v>
      </c>
      <c r="R192" s="221">
        <v>2040</v>
      </c>
      <c r="S192" s="221">
        <v>2040</v>
      </c>
      <c r="T192" s="221">
        <v>2040</v>
      </c>
      <c r="U192" s="221">
        <v>2040</v>
      </c>
      <c r="V192" s="221">
        <v>2040</v>
      </c>
      <c r="W192" s="221">
        <v>2040</v>
      </c>
      <c r="X192" s="221">
        <v>2040</v>
      </c>
      <c r="Y192" s="221">
        <v>2040</v>
      </c>
      <c r="Z192" s="221">
        <v>2040</v>
      </c>
      <c r="AA192" s="221">
        <v>2040</v>
      </c>
      <c r="AB192" s="221">
        <v>2040</v>
      </c>
      <c r="AC192" s="221">
        <v>2040</v>
      </c>
      <c r="AD192" s="221">
        <v>2040</v>
      </c>
    </row>
    <row r="193" spans="1:30" x14ac:dyDescent="0.2">
      <c r="A193" s="322" t="s">
        <v>376</v>
      </c>
      <c r="B193" s="322"/>
      <c r="C193" s="221">
        <v>2040</v>
      </c>
      <c r="D193" s="221">
        <v>2040</v>
      </c>
      <c r="E193" s="221">
        <v>2040</v>
      </c>
      <c r="F193" s="221">
        <v>2040</v>
      </c>
      <c r="G193" s="221">
        <v>2040</v>
      </c>
      <c r="H193" s="221">
        <v>2040</v>
      </c>
      <c r="I193" s="221">
        <v>2040</v>
      </c>
      <c r="J193" s="221">
        <v>2040</v>
      </c>
      <c r="K193" s="221">
        <v>2040</v>
      </c>
      <c r="L193" s="221">
        <v>2040</v>
      </c>
      <c r="M193" s="221">
        <v>2040</v>
      </c>
      <c r="N193" s="221">
        <v>2040</v>
      </c>
      <c r="O193" s="221">
        <v>2040</v>
      </c>
      <c r="P193" s="221">
        <v>2040</v>
      </c>
      <c r="Q193" s="221">
        <v>2040</v>
      </c>
      <c r="R193" s="221">
        <v>2040</v>
      </c>
      <c r="S193" s="221">
        <v>2040</v>
      </c>
      <c r="T193" s="221">
        <v>2040</v>
      </c>
      <c r="U193" s="221">
        <v>2040</v>
      </c>
      <c r="V193" s="221">
        <v>2040</v>
      </c>
      <c r="W193" s="221">
        <v>2040</v>
      </c>
      <c r="X193" s="221">
        <v>2040</v>
      </c>
      <c r="Y193" s="221">
        <v>2040</v>
      </c>
      <c r="Z193" s="221">
        <v>2040</v>
      </c>
      <c r="AA193" s="221">
        <v>2040</v>
      </c>
      <c r="AB193" s="221">
        <v>2040</v>
      </c>
      <c r="AC193" s="221">
        <v>2040</v>
      </c>
      <c r="AD193" s="221">
        <v>2040</v>
      </c>
    </row>
    <row r="194" spans="1:30" x14ac:dyDescent="0.2">
      <c r="A194" s="322" t="s">
        <v>377</v>
      </c>
      <c r="B194" s="322"/>
      <c r="C194" s="221">
        <v>2040</v>
      </c>
      <c r="D194" s="221">
        <v>2040</v>
      </c>
      <c r="E194" s="221">
        <v>2040</v>
      </c>
      <c r="F194" s="221">
        <v>2040</v>
      </c>
      <c r="G194" s="221">
        <v>2040</v>
      </c>
      <c r="H194" s="221">
        <v>2040</v>
      </c>
      <c r="I194" s="221">
        <v>2040</v>
      </c>
      <c r="J194" s="221">
        <v>2040</v>
      </c>
      <c r="K194" s="221">
        <v>2040</v>
      </c>
      <c r="L194" s="221">
        <v>2040</v>
      </c>
      <c r="M194" s="221">
        <v>2040</v>
      </c>
      <c r="N194" s="221">
        <v>2040</v>
      </c>
      <c r="O194" s="221">
        <v>2040</v>
      </c>
      <c r="P194" s="221">
        <v>2040</v>
      </c>
      <c r="Q194" s="221">
        <v>2040</v>
      </c>
      <c r="R194" s="221">
        <v>2040</v>
      </c>
      <c r="S194" s="221">
        <v>2040</v>
      </c>
      <c r="T194" s="221">
        <v>2040</v>
      </c>
      <c r="U194" s="221">
        <v>2040</v>
      </c>
      <c r="V194" s="221">
        <v>2040</v>
      </c>
      <c r="W194" s="221">
        <v>2040</v>
      </c>
      <c r="X194" s="221">
        <v>2040</v>
      </c>
      <c r="Y194" s="221">
        <v>2040</v>
      </c>
      <c r="Z194" s="221">
        <v>2040</v>
      </c>
      <c r="AA194" s="221">
        <v>2040</v>
      </c>
      <c r="AB194" s="221">
        <v>2040</v>
      </c>
      <c r="AC194" s="221">
        <v>2040</v>
      </c>
      <c r="AD194" s="221">
        <v>2040</v>
      </c>
    </row>
    <row r="195" spans="1:30" ht="16" thickBot="1" x14ac:dyDescent="0.25">
      <c r="A195" s="322" t="s">
        <v>378</v>
      </c>
      <c r="B195" s="322"/>
      <c r="C195" s="221">
        <v>2040</v>
      </c>
      <c r="D195" s="221">
        <v>2040</v>
      </c>
      <c r="E195" s="221">
        <v>2040</v>
      </c>
      <c r="F195" s="221">
        <v>2040</v>
      </c>
      <c r="G195" s="221">
        <v>2040</v>
      </c>
      <c r="H195" s="221">
        <v>2040</v>
      </c>
      <c r="I195" s="221">
        <v>2040</v>
      </c>
      <c r="J195" s="221">
        <v>2040</v>
      </c>
      <c r="K195" s="221">
        <v>2040</v>
      </c>
      <c r="L195" s="221">
        <v>2040</v>
      </c>
      <c r="M195" s="221">
        <v>2040</v>
      </c>
      <c r="N195" s="221">
        <v>2040</v>
      </c>
      <c r="O195" s="221">
        <v>2040</v>
      </c>
      <c r="P195" s="221">
        <v>2040</v>
      </c>
      <c r="Q195" s="221">
        <v>2040</v>
      </c>
      <c r="R195" s="221">
        <v>2040</v>
      </c>
      <c r="S195" s="221">
        <v>2040</v>
      </c>
      <c r="T195" s="221">
        <v>2040</v>
      </c>
      <c r="U195" s="221">
        <v>2040</v>
      </c>
      <c r="V195" s="221">
        <v>2040</v>
      </c>
      <c r="W195" s="221">
        <v>2040</v>
      </c>
      <c r="X195" s="221">
        <v>2040</v>
      </c>
      <c r="Y195" s="221">
        <v>2040</v>
      </c>
      <c r="Z195" s="221">
        <v>2040</v>
      </c>
      <c r="AA195" s="221">
        <v>2040</v>
      </c>
      <c r="AB195" s="221">
        <v>2040</v>
      </c>
      <c r="AC195" s="221">
        <v>2040</v>
      </c>
      <c r="AD195" s="221">
        <v>2040</v>
      </c>
    </row>
    <row r="196" spans="1:30" ht="15.75" customHeight="1" x14ac:dyDescent="0.25">
      <c r="A196" s="306" t="s">
        <v>603</v>
      </c>
      <c r="B196" s="306"/>
      <c r="C196" s="306"/>
      <c r="D196" s="306"/>
      <c r="E196" s="306"/>
      <c r="F196" s="306"/>
      <c r="G196" s="306"/>
      <c r="H196" s="306"/>
      <c r="I196" s="306"/>
      <c r="J196" s="306"/>
      <c r="K196" s="306"/>
      <c r="L196" s="306"/>
      <c r="M196" s="306"/>
      <c r="N196" s="306"/>
      <c r="O196" s="306"/>
      <c r="P196" s="306"/>
      <c r="Q196" s="306"/>
    </row>
    <row r="197" spans="1:30" x14ac:dyDescent="0.2">
      <c r="A197" s="322" t="s">
        <v>374</v>
      </c>
      <c r="B197" s="322"/>
      <c r="C197" s="221">
        <v>1</v>
      </c>
      <c r="D197" s="221">
        <v>1</v>
      </c>
      <c r="E197" s="221">
        <v>1</v>
      </c>
      <c r="F197" s="221">
        <v>1</v>
      </c>
      <c r="G197" s="221">
        <v>1</v>
      </c>
      <c r="H197" s="221">
        <v>1</v>
      </c>
      <c r="I197" s="221">
        <v>1</v>
      </c>
      <c r="J197" s="221">
        <v>1</v>
      </c>
      <c r="K197" s="221">
        <v>1</v>
      </c>
      <c r="L197" s="221">
        <v>1</v>
      </c>
      <c r="M197" s="221">
        <v>1</v>
      </c>
      <c r="N197" s="221">
        <v>1</v>
      </c>
      <c r="O197" s="221">
        <v>1</v>
      </c>
      <c r="P197" s="221">
        <v>1</v>
      </c>
      <c r="Q197" s="222">
        <v>1</v>
      </c>
      <c r="R197" s="222">
        <v>1</v>
      </c>
      <c r="S197" s="222">
        <v>1</v>
      </c>
      <c r="T197" s="222">
        <v>1</v>
      </c>
      <c r="U197" s="222">
        <v>1</v>
      </c>
      <c r="V197" s="222">
        <v>1</v>
      </c>
      <c r="W197" s="222">
        <v>1</v>
      </c>
      <c r="X197" s="222">
        <v>1</v>
      </c>
      <c r="Y197" s="222">
        <v>1</v>
      </c>
      <c r="Z197" s="222">
        <v>1</v>
      </c>
      <c r="AA197" s="222">
        <v>1</v>
      </c>
      <c r="AB197" s="222">
        <v>1</v>
      </c>
      <c r="AC197" s="222">
        <v>1</v>
      </c>
      <c r="AD197" s="222">
        <v>1</v>
      </c>
    </row>
    <row r="198" spans="1:30" x14ac:dyDescent="0.2">
      <c r="A198" s="322" t="s">
        <v>375</v>
      </c>
      <c r="B198" s="322"/>
      <c r="C198" s="221">
        <v>1</v>
      </c>
      <c r="D198" s="221">
        <v>1</v>
      </c>
      <c r="E198" s="221">
        <v>1</v>
      </c>
      <c r="F198" s="221">
        <v>1</v>
      </c>
      <c r="G198" s="221">
        <v>1</v>
      </c>
      <c r="H198" s="221">
        <v>1</v>
      </c>
      <c r="I198" s="221">
        <v>1</v>
      </c>
      <c r="J198" s="221">
        <v>1</v>
      </c>
      <c r="K198" s="221">
        <v>1</v>
      </c>
      <c r="L198" s="221">
        <v>1</v>
      </c>
      <c r="M198" s="221">
        <v>1</v>
      </c>
      <c r="N198" s="221">
        <v>1</v>
      </c>
      <c r="O198" s="221">
        <v>1</v>
      </c>
      <c r="P198" s="221">
        <v>1</v>
      </c>
      <c r="Q198" s="222">
        <v>1</v>
      </c>
      <c r="R198" s="222">
        <v>1</v>
      </c>
      <c r="S198" s="222">
        <v>1</v>
      </c>
      <c r="T198" s="222">
        <v>1</v>
      </c>
      <c r="U198" s="222">
        <v>1</v>
      </c>
      <c r="V198" s="222">
        <v>1</v>
      </c>
      <c r="W198" s="222">
        <v>1</v>
      </c>
      <c r="X198" s="222">
        <v>1</v>
      </c>
      <c r="Y198" s="222">
        <v>1</v>
      </c>
      <c r="Z198" s="222">
        <v>1</v>
      </c>
      <c r="AA198" s="222">
        <v>1</v>
      </c>
      <c r="AB198" s="222">
        <v>1</v>
      </c>
      <c r="AC198" s="222">
        <v>1</v>
      </c>
      <c r="AD198" s="222">
        <v>1</v>
      </c>
    </row>
    <row r="199" spans="1:30" x14ac:dyDescent="0.2">
      <c r="A199" s="322" t="s">
        <v>376</v>
      </c>
      <c r="B199" s="322"/>
      <c r="C199" s="221">
        <v>1</v>
      </c>
      <c r="D199" s="221">
        <v>1</v>
      </c>
      <c r="E199" s="221">
        <v>1</v>
      </c>
      <c r="F199" s="221">
        <v>1</v>
      </c>
      <c r="G199" s="221">
        <v>1</v>
      </c>
      <c r="H199" s="221">
        <v>1</v>
      </c>
      <c r="I199" s="221">
        <v>1</v>
      </c>
      <c r="J199" s="221">
        <v>1</v>
      </c>
      <c r="K199" s="221">
        <v>1</v>
      </c>
      <c r="L199" s="221">
        <v>1</v>
      </c>
      <c r="M199" s="221">
        <v>1</v>
      </c>
      <c r="N199" s="221">
        <v>1</v>
      </c>
      <c r="O199" s="221">
        <v>1</v>
      </c>
      <c r="P199" s="221">
        <v>1</v>
      </c>
      <c r="Q199" s="222">
        <v>1</v>
      </c>
      <c r="R199" s="222">
        <v>1</v>
      </c>
      <c r="S199" s="222">
        <v>1</v>
      </c>
      <c r="T199" s="222">
        <v>1</v>
      </c>
      <c r="U199" s="222">
        <v>1</v>
      </c>
      <c r="V199" s="222">
        <v>1</v>
      </c>
      <c r="W199" s="222">
        <v>1</v>
      </c>
      <c r="X199" s="222">
        <v>1</v>
      </c>
      <c r="Y199" s="222">
        <v>1</v>
      </c>
      <c r="Z199" s="222">
        <v>1</v>
      </c>
      <c r="AA199" s="222">
        <v>1</v>
      </c>
      <c r="AB199" s="222">
        <v>1</v>
      </c>
      <c r="AC199" s="222">
        <v>1</v>
      </c>
      <c r="AD199" s="222">
        <v>1</v>
      </c>
    </row>
    <row r="200" spans="1:30" x14ac:dyDescent="0.2">
      <c r="A200" s="322" t="s">
        <v>377</v>
      </c>
      <c r="B200" s="322"/>
      <c r="C200" s="221">
        <v>1</v>
      </c>
      <c r="D200" s="221">
        <v>1</v>
      </c>
      <c r="E200" s="221">
        <v>1</v>
      </c>
      <c r="F200" s="221">
        <v>1</v>
      </c>
      <c r="G200" s="221">
        <v>1</v>
      </c>
      <c r="H200" s="221">
        <v>1</v>
      </c>
      <c r="I200" s="221">
        <v>1</v>
      </c>
      <c r="J200" s="221">
        <v>1</v>
      </c>
      <c r="K200" s="221">
        <v>1</v>
      </c>
      <c r="L200" s="221">
        <v>1</v>
      </c>
      <c r="M200" s="221">
        <v>1</v>
      </c>
      <c r="N200" s="221">
        <v>1</v>
      </c>
      <c r="O200" s="221">
        <v>1</v>
      </c>
      <c r="P200" s="221">
        <v>1</v>
      </c>
      <c r="Q200" s="222">
        <v>1</v>
      </c>
      <c r="R200" s="222">
        <v>1</v>
      </c>
      <c r="S200" s="222">
        <v>1</v>
      </c>
      <c r="T200" s="222">
        <v>1</v>
      </c>
      <c r="U200" s="222">
        <v>1</v>
      </c>
      <c r="V200" s="222">
        <v>1</v>
      </c>
      <c r="W200" s="222">
        <v>1</v>
      </c>
      <c r="X200" s="222">
        <v>1</v>
      </c>
      <c r="Y200" s="222">
        <v>1</v>
      </c>
      <c r="Z200" s="222">
        <v>1</v>
      </c>
      <c r="AA200" s="222">
        <v>1</v>
      </c>
      <c r="AB200" s="222">
        <v>1</v>
      </c>
      <c r="AC200" s="222">
        <v>1</v>
      </c>
      <c r="AD200" s="222">
        <v>1</v>
      </c>
    </row>
    <row r="201" spans="1:30" ht="16" thickBot="1" x14ac:dyDescent="0.25">
      <c r="A201" s="322" t="s">
        <v>378</v>
      </c>
      <c r="B201" s="322"/>
      <c r="C201" s="221">
        <v>1</v>
      </c>
      <c r="D201" s="221">
        <v>1</v>
      </c>
      <c r="E201" s="221">
        <v>1</v>
      </c>
      <c r="F201" s="221">
        <v>1</v>
      </c>
      <c r="G201" s="221">
        <v>1</v>
      </c>
      <c r="H201" s="221">
        <v>1</v>
      </c>
      <c r="I201" s="221">
        <v>1</v>
      </c>
      <c r="J201" s="221">
        <v>1</v>
      </c>
      <c r="K201" s="221">
        <v>1</v>
      </c>
      <c r="L201" s="221">
        <v>1</v>
      </c>
      <c r="M201" s="221">
        <v>1</v>
      </c>
      <c r="N201" s="221">
        <v>1</v>
      </c>
      <c r="O201" s="221">
        <v>1</v>
      </c>
      <c r="P201" s="221">
        <v>1</v>
      </c>
      <c r="Q201" s="222">
        <v>1</v>
      </c>
      <c r="R201" s="222">
        <v>1</v>
      </c>
      <c r="S201" s="222">
        <v>1</v>
      </c>
      <c r="T201" s="222">
        <v>1</v>
      </c>
      <c r="U201" s="222">
        <v>1</v>
      </c>
      <c r="V201" s="222">
        <v>1</v>
      </c>
      <c r="W201" s="222">
        <v>1</v>
      </c>
      <c r="X201" s="222">
        <v>1</v>
      </c>
      <c r="Y201" s="222">
        <v>1</v>
      </c>
      <c r="Z201" s="222">
        <v>1</v>
      </c>
      <c r="AA201" s="222">
        <v>1</v>
      </c>
      <c r="AB201" s="222">
        <v>1</v>
      </c>
      <c r="AC201" s="222">
        <v>1</v>
      </c>
      <c r="AD201" s="222">
        <v>1</v>
      </c>
    </row>
    <row r="202" spans="1:30" ht="15.75" customHeight="1" x14ac:dyDescent="0.25">
      <c r="A202" s="306" t="s">
        <v>604</v>
      </c>
      <c r="B202" s="306"/>
      <c r="C202" s="306"/>
      <c r="D202" s="306"/>
      <c r="E202" s="306"/>
      <c r="F202" s="306"/>
      <c r="G202" s="306"/>
      <c r="H202" s="306"/>
      <c r="I202" s="306"/>
      <c r="J202" s="306"/>
      <c r="K202" s="306"/>
      <c r="L202" s="306"/>
      <c r="M202" s="306"/>
      <c r="N202" s="306"/>
      <c r="O202" s="306"/>
      <c r="P202" s="306"/>
      <c r="Q202" s="306"/>
    </row>
    <row r="203" spans="1:30" x14ac:dyDescent="0.2">
      <c r="A203" s="322" t="s">
        <v>374</v>
      </c>
      <c r="B203" s="322"/>
      <c r="C203" s="221">
        <v>2050</v>
      </c>
      <c r="D203" s="221">
        <v>2050</v>
      </c>
      <c r="E203" s="221">
        <v>2050</v>
      </c>
      <c r="F203" s="221">
        <v>2050</v>
      </c>
      <c r="G203" s="221">
        <v>2050</v>
      </c>
      <c r="H203" s="221">
        <v>2050</v>
      </c>
      <c r="I203" s="221">
        <v>2050</v>
      </c>
      <c r="J203" s="221">
        <v>2050</v>
      </c>
      <c r="K203" s="221">
        <v>2050</v>
      </c>
      <c r="L203" s="221">
        <v>2050</v>
      </c>
      <c r="M203" s="221">
        <v>2050</v>
      </c>
      <c r="N203" s="221">
        <v>2050</v>
      </c>
      <c r="O203" s="221">
        <v>2050</v>
      </c>
      <c r="P203" s="221">
        <v>2050</v>
      </c>
      <c r="Q203" s="222">
        <v>2050</v>
      </c>
      <c r="R203" s="222">
        <v>2050</v>
      </c>
      <c r="S203" s="222">
        <v>2050</v>
      </c>
      <c r="T203" s="222">
        <v>2050</v>
      </c>
      <c r="U203" s="222">
        <v>2050</v>
      </c>
      <c r="V203" s="222">
        <v>2050</v>
      </c>
      <c r="W203" s="222">
        <v>2050</v>
      </c>
      <c r="X203" s="222">
        <v>2050</v>
      </c>
      <c r="Y203" s="222">
        <v>2050</v>
      </c>
      <c r="Z203" s="222">
        <v>2050</v>
      </c>
      <c r="AA203" s="222">
        <v>2050</v>
      </c>
      <c r="AB203" s="222">
        <v>2050</v>
      </c>
      <c r="AC203" s="222">
        <v>2050</v>
      </c>
      <c r="AD203" s="222">
        <v>2050</v>
      </c>
    </row>
    <row r="204" spans="1:30" x14ac:dyDescent="0.2">
      <c r="A204" s="322" t="s">
        <v>375</v>
      </c>
      <c r="B204" s="322"/>
      <c r="C204" s="221">
        <v>2050</v>
      </c>
      <c r="D204" s="221">
        <v>2050</v>
      </c>
      <c r="E204" s="221">
        <v>2050</v>
      </c>
      <c r="F204" s="221">
        <v>2050</v>
      </c>
      <c r="G204" s="221">
        <v>2050</v>
      </c>
      <c r="H204" s="221">
        <v>2050</v>
      </c>
      <c r="I204" s="221">
        <v>2050</v>
      </c>
      <c r="J204" s="221">
        <v>2050</v>
      </c>
      <c r="K204" s="221">
        <v>2050</v>
      </c>
      <c r="L204" s="221">
        <v>2050</v>
      </c>
      <c r="M204" s="221">
        <v>2050</v>
      </c>
      <c r="N204" s="221">
        <v>2050</v>
      </c>
      <c r="O204" s="221">
        <v>2050</v>
      </c>
      <c r="P204" s="221">
        <v>2050</v>
      </c>
      <c r="Q204" s="222">
        <v>2050</v>
      </c>
      <c r="R204" s="222">
        <v>2050</v>
      </c>
      <c r="S204" s="222">
        <v>2050</v>
      </c>
      <c r="T204" s="222">
        <v>2050</v>
      </c>
      <c r="U204" s="222">
        <v>2050</v>
      </c>
      <c r="V204" s="222">
        <v>2050</v>
      </c>
      <c r="W204" s="222">
        <v>2050</v>
      </c>
      <c r="X204" s="222">
        <v>2050</v>
      </c>
      <c r="Y204" s="222">
        <v>2050</v>
      </c>
      <c r="Z204" s="222">
        <v>2050</v>
      </c>
      <c r="AA204" s="222">
        <v>2050</v>
      </c>
      <c r="AB204" s="222">
        <v>2050</v>
      </c>
      <c r="AC204" s="222">
        <v>2050</v>
      </c>
      <c r="AD204" s="222">
        <v>2050</v>
      </c>
    </row>
    <row r="205" spans="1:30" x14ac:dyDescent="0.2">
      <c r="A205" s="322" t="s">
        <v>376</v>
      </c>
      <c r="B205" s="322"/>
      <c r="C205" s="221">
        <v>2050</v>
      </c>
      <c r="D205" s="221">
        <v>2050</v>
      </c>
      <c r="E205" s="221">
        <v>2050</v>
      </c>
      <c r="F205" s="221">
        <v>2050</v>
      </c>
      <c r="G205" s="221">
        <v>2050</v>
      </c>
      <c r="H205" s="221">
        <v>2050</v>
      </c>
      <c r="I205" s="221">
        <v>2050</v>
      </c>
      <c r="J205" s="221">
        <v>2050</v>
      </c>
      <c r="K205" s="221">
        <v>2050</v>
      </c>
      <c r="L205" s="221">
        <v>2050</v>
      </c>
      <c r="M205" s="221">
        <v>2050</v>
      </c>
      <c r="N205" s="221">
        <v>2050</v>
      </c>
      <c r="O205" s="221">
        <v>2050</v>
      </c>
      <c r="P205" s="221">
        <v>2050</v>
      </c>
      <c r="Q205" s="222">
        <v>2050</v>
      </c>
      <c r="R205" s="222">
        <v>2050</v>
      </c>
      <c r="S205" s="222">
        <v>2050</v>
      </c>
      <c r="T205" s="222">
        <v>2050</v>
      </c>
      <c r="U205" s="222">
        <v>2050</v>
      </c>
      <c r="V205" s="222">
        <v>2050</v>
      </c>
      <c r="W205" s="222">
        <v>2050</v>
      </c>
      <c r="X205" s="222">
        <v>2050</v>
      </c>
      <c r="Y205" s="222">
        <v>2050</v>
      </c>
      <c r="Z205" s="222">
        <v>2050</v>
      </c>
      <c r="AA205" s="222">
        <v>2050</v>
      </c>
      <c r="AB205" s="222">
        <v>2050</v>
      </c>
      <c r="AC205" s="222">
        <v>2050</v>
      </c>
      <c r="AD205" s="222">
        <v>2050</v>
      </c>
    </row>
    <row r="206" spans="1:30" x14ac:dyDescent="0.2">
      <c r="A206" s="322" t="s">
        <v>377</v>
      </c>
      <c r="B206" s="322"/>
      <c r="C206" s="221">
        <v>2050</v>
      </c>
      <c r="D206" s="221">
        <v>2050</v>
      </c>
      <c r="E206" s="221">
        <v>2050</v>
      </c>
      <c r="F206" s="221">
        <v>2050</v>
      </c>
      <c r="G206" s="221">
        <v>2050</v>
      </c>
      <c r="H206" s="221">
        <v>2050</v>
      </c>
      <c r="I206" s="221">
        <v>2050</v>
      </c>
      <c r="J206" s="221">
        <v>2050</v>
      </c>
      <c r="K206" s="221">
        <v>2050</v>
      </c>
      <c r="L206" s="221">
        <v>2050</v>
      </c>
      <c r="M206" s="221">
        <v>2050</v>
      </c>
      <c r="N206" s="221">
        <v>2050</v>
      </c>
      <c r="O206" s="221">
        <v>2050</v>
      </c>
      <c r="P206" s="221">
        <v>2050</v>
      </c>
      <c r="Q206" s="222">
        <v>2050</v>
      </c>
      <c r="R206" s="222">
        <v>2050</v>
      </c>
      <c r="S206" s="222">
        <v>2050</v>
      </c>
      <c r="T206" s="222">
        <v>2050</v>
      </c>
      <c r="U206" s="222">
        <v>2050</v>
      </c>
      <c r="V206" s="222">
        <v>2050</v>
      </c>
      <c r="W206" s="222">
        <v>2050</v>
      </c>
      <c r="X206" s="222">
        <v>2050</v>
      </c>
      <c r="Y206" s="222">
        <v>2050</v>
      </c>
      <c r="Z206" s="222">
        <v>2050</v>
      </c>
      <c r="AA206" s="222">
        <v>2050</v>
      </c>
      <c r="AB206" s="222">
        <v>2050</v>
      </c>
      <c r="AC206" s="222">
        <v>2050</v>
      </c>
      <c r="AD206" s="222">
        <v>2050</v>
      </c>
    </row>
    <row r="207" spans="1:30" ht="16" thickBot="1" x14ac:dyDescent="0.25">
      <c r="A207" s="322" t="s">
        <v>378</v>
      </c>
      <c r="B207" s="322"/>
      <c r="C207" s="223">
        <v>2050</v>
      </c>
      <c r="D207" s="223">
        <v>2050</v>
      </c>
      <c r="E207" s="223">
        <v>2050</v>
      </c>
      <c r="F207" s="223">
        <v>2050</v>
      </c>
      <c r="G207" s="223">
        <v>2050</v>
      </c>
      <c r="H207" s="223">
        <v>2050</v>
      </c>
      <c r="I207" s="223">
        <v>2050</v>
      </c>
      <c r="J207" s="223">
        <v>2050</v>
      </c>
      <c r="K207" s="223">
        <v>2050</v>
      </c>
      <c r="L207" s="223">
        <v>2050</v>
      </c>
      <c r="M207" s="223">
        <v>2050</v>
      </c>
      <c r="N207" s="223">
        <v>2050</v>
      </c>
      <c r="O207" s="223">
        <v>2050</v>
      </c>
      <c r="P207" s="223">
        <v>2050</v>
      </c>
      <c r="Q207" s="224">
        <v>2050</v>
      </c>
      <c r="R207" s="224">
        <v>2050</v>
      </c>
      <c r="S207" s="224">
        <v>2050</v>
      </c>
      <c r="T207" s="224">
        <v>2050</v>
      </c>
      <c r="U207" s="224">
        <v>2050</v>
      </c>
      <c r="V207" s="224">
        <v>2050</v>
      </c>
      <c r="W207" s="224">
        <v>2050</v>
      </c>
      <c r="X207" s="224">
        <v>2050</v>
      </c>
      <c r="Y207" s="224">
        <v>2050</v>
      </c>
      <c r="Z207" s="224">
        <v>2050</v>
      </c>
      <c r="AA207" s="224">
        <v>2050</v>
      </c>
      <c r="AB207" s="224">
        <v>2050</v>
      </c>
      <c r="AC207" s="224">
        <v>2050</v>
      </c>
      <c r="AD207" s="224">
        <v>2050</v>
      </c>
    </row>
    <row r="208" spans="1:30" ht="16" thickBot="1" x14ac:dyDescent="0.25"/>
    <row r="209" spans="1:30" ht="23.25" customHeight="1" x14ac:dyDescent="0.25">
      <c r="A209" s="306" t="s">
        <v>386</v>
      </c>
      <c r="B209" s="306"/>
      <c r="C209" s="306"/>
    </row>
    <row r="210" spans="1:30" ht="15.75" customHeight="1" x14ac:dyDescent="0.2">
      <c r="A210" s="313" t="s">
        <v>387</v>
      </c>
      <c r="B210" s="225" t="s">
        <v>388</v>
      </c>
      <c r="C210" s="323">
        <v>1</v>
      </c>
    </row>
    <row r="211" spans="1:30" ht="14.25" customHeight="1" x14ac:dyDescent="0.2">
      <c r="A211" s="313"/>
      <c r="B211" s="225" t="s">
        <v>389</v>
      </c>
      <c r="C211" s="323"/>
    </row>
    <row r="212" spans="1:30" x14ac:dyDescent="0.2">
      <c r="A212" s="180" t="s">
        <v>605</v>
      </c>
      <c r="B212" s="225" t="s">
        <v>36</v>
      </c>
      <c r="C212" s="176">
        <v>2020</v>
      </c>
    </row>
    <row r="213" spans="1:30" ht="16" thickBot="1" x14ac:dyDescent="0.25">
      <c r="A213" s="227" t="s">
        <v>390</v>
      </c>
      <c r="B213" s="228" t="s">
        <v>36</v>
      </c>
      <c r="C213" s="229">
        <v>2050</v>
      </c>
    </row>
    <row r="214" spans="1:30" ht="14.25" customHeight="1" x14ac:dyDescent="0.25">
      <c r="A214" s="306" t="s">
        <v>394</v>
      </c>
      <c r="B214" s="306"/>
      <c r="C214" s="306"/>
      <c r="D214" s="306"/>
      <c r="E214" s="306"/>
      <c r="F214" s="306"/>
      <c r="G214" s="306"/>
      <c r="H214" s="306"/>
      <c r="I214" s="306"/>
      <c r="J214" s="306"/>
      <c r="K214" s="306"/>
      <c r="L214" s="306"/>
      <c r="M214" s="306"/>
      <c r="N214" s="306"/>
      <c r="O214" s="306"/>
      <c r="P214" s="306"/>
      <c r="Q214" s="306"/>
    </row>
    <row r="215" spans="1:30" x14ac:dyDescent="0.2">
      <c r="A215" s="324" t="s">
        <v>606</v>
      </c>
      <c r="B215" s="324"/>
      <c r="C215" s="219" t="s">
        <v>576</v>
      </c>
      <c r="D215" s="219" t="s">
        <v>579</v>
      </c>
      <c r="E215" s="219" t="s">
        <v>362</v>
      </c>
      <c r="F215" s="219" t="s">
        <v>580</v>
      </c>
      <c r="G215" s="219" t="s">
        <v>581</v>
      </c>
      <c r="H215" s="219" t="s">
        <v>582</v>
      </c>
      <c r="I215" s="219" t="s">
        <v>583</v>
      </c>
      <c r="J215" s="219" t="s">
        <v>354</v>
      </c>
      <c r="K215" s="219" t="s">
        <v>584</v>
      </c>
      <c r="L215" s="219" t="s">
        <v>585</v>
      </c>
      <c r="M215" s="219" t="s">
        <v>586</v>
      </c>
      <c r="N215" s="219" t="s">
        <v>587</v>
      </c>
      <c r="O215" s="219" t="s">
        <v>588</v>
      </c>
      <c r="P215" s="219" t="s">
        <v>589</v>
      </c>
      <c r="Q215" s="220" t="s">
        <v>590</v>
      </c>
      <c r="R215" s="220" t="s">
        <v>338</v>
      </c>
      <c r="S215" s="220" t="s">
        <v>591</v>
      </c>
      <c r="T215" s="220" t="s">
        <v>592</v>
      </c>
      <c r="U215" s="220" t="s">
        <v>593</v>
      </c>
      <c r="V215" s="220" t="s">
        <v>594</v>
      </c>
      <c r="W215" s="220" t="s">
        <v>595</v>
      </c>
      <c r="X215" s="220" t="s">
        <v>596</v>
      </c>
      <c r="Y215" s="220" t="s">
        <v>597</v>
      </c>
      <c r="Z215" s="220" t="s">
        <v>598</v>
      </c>
      <c r="AA215" s="220" t="s">
        <v>599</v>
      </c>
      <c r="AB215" s="220" t="s">
        <v>351</v>
      </c>
      <c r="AC215" s="220" t="s">
        <v>361</v>
      </c>
      <c r="AD215" s="220" t="s">
        <v>600</v>
      </c>
    </row>
    <row r="216" spans="1:30" x14ac:dyDescent="0.2">
      <c r="A216" s="325" t="s">
        <v>374</v>
      </c>
      <c r="B216" s="325"/>
      <c r="C216" s="230">
        <v>4.9143925982598595E-7</v>
      </c>
      <c r="D216" s="230">
        <v>3.5721808570239001E-7</v>
      </c>
      <c r="E216" s="230">
        <v>0</v>
      </c>
      <c r="F216" s="230">
        <v>1.33580538164496E-6</v>
      </c>
      <c r="G216" s="230">
        <v>1.22341908960222E-6</v>
      </c>
      <c r="H216" s="230">
        <v>4.1203327462718802E-7</v>
      </c>
      <c r="I216" s="230">
        <v>1.83490380176835E-7</v>
      </c>
      <c r="J216" s="230">
        <v>3.5107291035509198E-8</v>
      </c>
      <c r="K216" s="230">
        <v>1.4051786616190101E-6</v>
      </c>
      <c r="L216" s="230">
        <v>1.6696259798364701E-7</v>
      </c>
      <c r="M216" s="230">
        <v>3.65540334299614E-7</v>
      </c>
      <c r="N216" s="230">
        <v>7.7092106524854305E-7</v>
      </c>
      <c r="O216" s="230">
        <v>2.0251831747672099E-7</v>
      </c>
      <c r="P216" s="230">
        <v>5.5954250520850301E-7</v>
      </c>
      <c r="Q216" s="231">
        <v>9.7396226736632599E-8</v>
      </c>
      <c r="R216" s="231">
        <v>5.3705425822563295E-7</v>
      </c>
      <c r="S216" s="231">
        <v>3.6456850347543399E-7</v>
      </c>
      <c r="T216" s="231">
        <v>5.0513919712268799E-7</v>
      </c>
      <c r="U216" s="231">
        <v>4.4321358313250701E-7</v>
      </c>
      <c r="V216" s="231">
        <v>2.36045780097966E-7</v>
      </c>
      <c r="W216" s="231">
        <v>8.2108780828477797E-8</v>
      </c>
      <c r="X216" s="231">
        <v>1.79901548666926E-7</v>
      </c>
      <c r="Y216" s="231">
        <v>6.2324040568331498E-7</v>
      </c>
      <c r="Z216" s="231">
        <v>1.3116812598473099E-7</v>
      </c>
      <c r="AA216" s="231">
        <v>1.6465295194180801E-7</v>
      </c>
      <c r="AB216" s="231">
        <v>8.93692743290543E-8</v>
      </c>
      <c r="AC216" s="231">
        <v>0</v>
      </c>
      <c r="AD216" s="231">
        <v>2.6860832732300001E-7</v>
      </c>
    </row>
    <row r="217" spans="1:30" x14ac:dyDescent="0.2">
      <c r="A217" s="325" t="s">
        <v>375</v>
      </c>
      <c r="B217" s="325"/>
      <c r="C217" s="230">
        <v>2.2262237882438499E-7</v>
      </c>
      <c r="D217" s="230">
        <v>2.65109839166996E-8</v>
      </c>
      <c r="E217" s="230">
        <v>0</v>
      </c>
      <c r="F217" s="230">
        <v>9.69014368382836E-7</v>
      </c>
      <c r="G217" s="230">
        <v>6.1379927459737895E-7</v>
      </c>
      <c r="H217" s="230">
        <v>5.4986713159634699E-7</v>
      </c>
      <c r="I217" s="230">
        <v>3.5438737816317398E-8</v>
      </c>
      <c r="J217" s="230">
        <v>7.5026952565718795E-10</v>
      </c>
      <c r="K217" s="230">
        <v>1.5660938027080101E-7</v>
      </c>
      <c r="L217" s="230">
        <v>2.36960970006208E-12</v>
      </c>
      <c r="M217" s="230">
        <v>7.1388752293625604E-8</v>
      </c>
      <c r="N217" s="230">
        <v>5.3973638987257301E-8</v>
      </c>
      <c r="O217" s="230">
        <v>0</v>
      </c>
      <c r="P217" s="230">
        <v>2.7670241089604099E-7</v>
      </c>
      <c r="Q217" s="231">
        <v>8.2381631656966196E-9</v>
      </c>
      <c r="R217" s="231">
        <v>6.3673533190273198E-8</v>
      </c>
      <c r="S217" s="231">
        <v>1.3172626613462E-8</v>
      </c>
      <c r="T217" s="231">
        <v>3.3881641097946397E-8</v>
      </c>
      <c r="U217" s="231">
        <v>0</v>
      </c>
      <c r="V217" s="231">
        <v>1.7385383321602799E-7</v>
      </c>
      <c r="W217" s="231">
        <v>3.70271275272898E-10</v>
      </c>
      <c r="X217" s="231">
        <v>6.4400440646767203E-8</v>
      </c>
      <c r="Y217" s="231">
        <v>2.03105589569859E-7</v>
      </c>
      <c r="Z217" s="231">
        <v>0</v>
      </c>
      <c r="AA217" s="231">
        <v>2.1126905530360201E-8</v>
      </c>
      <c r="AB217" s="231">
        <v>1.6163219181334799E-8</v>
      </c>
      <c r="AC217" s="231">
        <v>0</v>
      </c>
      <c r="AD217" s="231">
        <v>9.5815176626217206E-8</v>
      </c>
    </row>
    <row r="218" spans="1:30" x14ac:dyDescent="0.2">
      <c r="A218" s="325" t="s">
        <v>376</v>
      </c>
      <c r="B218" s="325"/>
      <c r="C218" s="230">
        <v>3.0119512839775998E-7</v>
      </c>
      <c r="D218" s="230">
        <v>2.19312289390501E-7</v>
      </c>
      <c r="E218" s="230">
        <v>1.7274667231020499E-7</v>
      </c>
      <c r="F218" s="230">
        <v>5.2395787561884298E-8</v>
      </c>
      <c r="G218" s="230">
        <v>1.5675315938531499E-8</v>
      </c>
      <c r="H218" s="230">
        <v>0</v>
      </c>
      <c r="I218" s="230">
        <v>0</v>
      </c>
      <c r="J218" s="230">
        <v>0</v>
      </c>
      <c r="K218" s="230">
        <v>1.241724530167E-9</v>
      </c>
      <c r="L218" s="230">
        <v>0</v>
      </c>
      <c r="M218" s="230">
        <v>1.0177967991728799E-8</v>
      </c>
      <c r="N218" s="230">
        <v>6.3643201453671196E-9</v>
      </c>
      <c r="O218" s="230">
        <v>6.9703440393327596E-7</v>
      </c>
      <c r="P218" s="230">
        <v>0</v>
      </c>
      <c r="Q218" s="231">
        <v>1.6175063493079999E-9</v>
      </c>
      <c r="R218" s="231">
        <v>5.0542980711924302E-8</v>
      </c>
      <c r="S218" s="231">
        <v>3.7393457009419302E-9</v>
      </c>
      <c r="T218" s="231">
        <v>2.02426879467313E-8</v>
      </c>
      <c r="U218" s="231">
        <v>0</v>
      </c>
      <c r="V218" s="231">
        <v>4.1862682614841298E-8</v>
      </c>
      <c r="W218" s="231">
        <v>0</v>
      </c>
      <c r="X218" s="231">
        <v>3.2185652092102799E-9</v>
      </c>
      <c r="Y218" s="231">
        <v>0</v>
      </c>
      <c r="Z218" s="231">
        <v>0</v>
      </c>
      <c r="AA218" s="231">
        <v>0</v>
      </c>
      <c r="AB218" s="231">
        <v>0</v>
      </c>
      <c r="AC218" s="231">
        <v>0</v>
      </c>
      <c r="AD218" s="231">
        <v>0</v>
      </c>
    </row>
    <row r="219" spans="1:30" x14ac:dyDescent="0.2">
      <c r="A219" s="325" t="s">
        <v>377</v>
      </c>
      <c r="B219" s="325"/>
      <c r="C219" s="230">
        <v>1.7843708992307999E-7</v>
      </c>
      <c r="D219" s="230">
        <v>9.8023318076996399E-8</v>
      </c>
      <c r="E219" s="230">
        <v>0</v>
      </c>
      <c r="F219" s="230">
        <v>5.8153560461423795E-7</v>
      </c>
      <c r="G219" s="230">
        <v>1.43642819631374E-8</v>
      </c>
      <c r="H219" s="230">
        <v>0</v>
      </c>
      <c r="I219" s="230">
        <v>0</v>
      </c>
      <c r="J219" s="230">
        <v>0</v>
      </c>
      <c r="K219" s="230">
        <v>2.82005466549391E-9</v>
      </c>
      <c r="L219" s="230">
        <v>0</v>
      </c>
      <c r="M219" s="230">
        <v>1.3560210851881299E-7</v>
      </c>
      <c r="N219" s="230">
        <v>3.12693981307369E-7</v>
      </c>
      <c r="O219" s="230">
        <v>1.7926097453579201E-8</v>
      </c>
      <c r="P219" s="230">
        <v>1.60164134468073E-6</v>
      </c>
      <c r="Q219" s="231">
        <v>1.6081116951076099E-8</v>
      </c>
      <c r="R219" s="231">
        <v>6.9028836425075097E-8</v>
      </c>
      <c r="S219" s="231">
        <v>6.7895723288337694E-8</v>
      </c>
      <c r="T219" s="231">
        <v>3.25178562493753E-7</v>
      </c>
      <c r="U219" s="231">
        <v>0</v>
      </c>
      <c r="V219" s="231">
        <v>6.4781437705575904E-7</v>
      </c>
      <c r="W219" s="231">
        <v>0</v>
      </c>
      <c r="X219" s="231">
        <v>1.8513722680003E-8</v>
      </c>
      <c r="Y219" s="231">
        <v>0</v>
      </c>
      <c r="Z219" s="231">
        <v>0</v>
      </c>
      <c r="AA219" s="231">
        <v>0</v>
      </c>
      <c r="AB219" s="231">
        <v>0</v>
      </c>
      <c r="AC219" s="231">
        <v>0</v>
      </c>
      <c r="AD219" s="231">
        <v>0</v>
      </c>
    </row>
    <row r="220" spans="1:30" ht="16" thickBot="1" x14ac:dyDescent="0.25">
      <c r="A220" s="326" t="s">
        <v>378</v>
      </c>
      <c r="B220" s="326"/>
      <c r="C220" s="232">
        <v>2.8222631105657499E-7</v>
      </c>
      <c r="D220" s="233">
        <v>1.3602762647974501E-7</v>
      </c>
      <c r="E220" s="233">
        <v>0</v>
      </c>
      <c r="F220" s="233">
        <v>2.30269903439123E-7</v>
      </c>
      <c r="G220" s="233">
        <v>3.7276680033311398E-7</v>
      </c>
      <c r="H220" s="233">
        <v>0</v>
      </c>
      <c r="I220" s="233">
        <v>0</v>
      </c>
      <c r="J220" s="233">
        <v>0</v>
      </c>
      <c r="K220" s="233">
        <v>2.2944918464033101E-9</v>
      </c>
      <c r="L220" s="233">
        <v>0</v>
      </c>
      <c r="M220" s="233">
        <v>5.6037026771343998E-8</v>
      </c>
      <c r="N220" s="233">
        <v>2.1329469993534701E-7</v>
      </c>
      <c r="O220" s="233">
        <v>2.6859177391131898E-11</v>
      </c>
      <c r="P220" s="233">
        <v>0</v>
      </c>
      <c r="Q220" s="234">
        <v>1.2807016190784299E-9</v>
      </c>
      <c r="R220" s="234">
        <v>5.1284752015170201E-8</v>
      </c>
      <c r="S220" s="234">
        <v>2.0896750956327E-8</v>
      </c>
      <c r="T220" s="234">
        <v>8.8003353048795103E-7</v>
      </c>
      <c r="U220" s="234">
        <v>0</v>
      </c>
      <c r="V220" s="234">
        <v>1.66374682264879E-7</v>
      </c>
      <c r="W220" s="234">
        <v>0</v>
      </c>
      <c r="X220" s="234">
        <v>1.15240108939526E-8</v>
      </c>
      <c r="Y220" s="234">
        <v>0</v>
      </c>
      <c r="Z220" s="234">
        <v>0</v>
      </c>
      <c r="AA220" s="234">
        <v>0</v>
      </c>
      <c r="AB220" s="234">
        <v>0</v>
      </c>
      <c r="AC220" s="234">
        <v>0</v>
      </c>
      <c r="AD220" s="234">
        <v>0</v>
      </c>
    </row>
    <row r="221" spans="1:30" ht="19" x14ac:dyDescent="0.25">
      <c r="A221" s="306" t="s">
        <v>397</v>
      </c>
      <c r="B221" s="306"/>
      <c r="C221" s="306"/>
    </row>
    <row r="222" spans="1:30" ht="16" x14ac:dyDescent="0.2">
      <c r="A222" s="235" t="s">
        <v>398</v>
      </c>
      <c r="B222" s="225" t="s">
        <v>36</v>
      </c>
      <c r="C222" s="176">
        <v>2020</v>
      </c>
    </row>
    <row r="223" spans="1:30" ht="17" thickBot="1" x14ac:dyDescent="0.25">
      <c r="A223" s="218" t="s">
        <v>399</v>
      </c>
      <c r="B223" s="236" t="s">
        <v>327</v>
      </c>
      <c r="C223" s="208">
        <v>-0.3</v>
      </c>
    </row>
    <row r="225" spans="1:4" ht="14.25" customHeight="1" x14ac:dyDescent="0.25">
      <c r="A225" s="306" t="s">
        <v>400</v>
      </c>
      <c r="B225" s="306"/>
      <c r="C225" s="306"/>
    </row>
    <row r="226" spans="1:4" ht="28.5" customHeight="1" x14ac:dyDescent="0.2">
      <c r="A226" s="237" t="s">
        <v>401</v>
      </c>
      <c r="B226" s="225" t="s">
        <v>28</v>
      </c>
      <c r="C226" s="226">
        <v>1</v>
      </c>
    </row>
    <row r="227" spans="1:4" ht="14.25" customHeight="1" x14ac:dyDescent="0.2">
      <c r="A227" s="327" t="s">
        <v>403</v>
      </c>
      <c r="B227" s="225" t="s">
        <v>404</v>
      </c>
      <c r="C227" s="328">
        <v>1</v>
      </c>
    </row>
    <row r="228" spans="1:4" x14ac:dyDescent="0.2">
      <c r="A228" s="327"/>
      <c r="B228" s="225" t="s">
        <v>408</v>
      </c>
      <c r="C228" s="328"/>
    </row>
    <row r="229" spans="1:4" x14ac:dyDescent="0.2">
      <c r="A229" s="327"/>
      <c r="B229" s="225" t="s">
        <v>409</v>
      </c>
      <c r="C229" s="328"/>
    </row>
    <row r="230" spans="1:4" ht="16" x14ac:dyDescent="0.2">
      <c r="A230" s="237" t="s">
        <v>607</v>
      </c>
      <c r="B230" s="225" t="s">
        <v>608</v>
      </c>
      <c r="C230" s="176">
        <v>0.1</v>
      </c>
    </row>
    <row r="231" spans="1:4" ht="15" customHeight="1" x14ac:dyDescent="0.2">
      <c r="A231" s="327" t="s">
        <v>406</v>
      </c>
      <c r="B231" s="225" t="s">
        <v>404</v>
      </c>
      <c r="C231" s="328">
        <v>1</v>
      </c>
    </row>
    <row r="232" spans="1:4" x14ac:dyDescent="0.2">
      <c r="A232" s="327"/>
      <c r="B232" s="225" t="s">
        <v>408</v>
      </c>
      <c r="C232" s="328"/>
    </row>
    <row r="233" spans="1:4" x14ac:dyDescent="0.2">
      <c r="A233" s="327"/>
      <c r="B233" s="225" t="s">
        <v>409</v>
      </c>
      <c r="C233" s="328"/>
    </row>
    <row r="234" spans="1:4" ht="17" thickBot="1" x14ac:dyDescent="0.25">
      <c r="A234" s="238" t="s">
        <v>413</v>
      </c>
      <c r="B234" s="236" t="s">
        <v>608</v>
      </c>
      <c r="C234" s="208">
        <v>0.1</v>
      </c>
    </row>
    <row r="237" spans="1:4" ht="27" thickBot="1" x14ac:dyDescent="0.35">
      <c r="A237" s="173" t="s">
        <v>609</v>
      </c>
    </row>
    <row r="238" spans="1:4" ht="15.75" customHeight="1" x14ac:dyDescent="0.25">
      <c r="A238" s="306" t="s">
        <v>429</v>
      </c>
      <c r="B238" s="306"/>
      <c r="C238" s="306"/>
      <c r="D238" s="306"/>
    </row>
    <row r="239" spans="1:4" ht="15.75" customHeight="1" x14ac:dyDescent="0.2">
      <c r="A239" s="329" t="s">
        <v>430</v>
      </c>
      <c r="B239" s="329"/>
      <c r="C239" s="329"/>
      <c r="D239" s="329"/>
    </row>
    <row r="240" spans="1:4" ht="15" customHeight="1" x14ac:dyDescent="0.2">
      <c r="A240" s="330" t="s">
        <v>431</v>
      </c>
      <c r="B240" s="330"/>
      <c r="C240" s="330"/>
      <c r="D240" s="239">
        <v>2</v>
      </c>
    </row>
    <row r="241" spans="1:5" ht="17" thickBot="1" x14ac:dyDescent="0.25">
      <c r="A241" s="240" t="s">
        <v>432</v>
      </c>
      <c r="B241" s="241"/>
      <c r="C241" s="241"/>
      <c r="D241" s="242"/>
    </row>
    <row r="242" spans="1:5" x14ac:dyDescent="0.2">
      <c r="A242" s="243" t="s">
        <v>433</v>
      </c>
      <c r="B242" s="244">
        <v>2050</v>
      </c>
      <c r="C242" s="331"/>
      <c r="D242" s="331"/>
      <c r="E242" s="331"/>
    </row>
    <row r="243" spans="1:5" ht="16" x14ac:dyDescent="0.2">
      <c r="A243" s="245" t="s">
        <v>435</v>
      </c>
      <c r="B243" s="246">
        <v>2020</v>
      </c>
      <c r="C243" s="175"/>
      <c r="D243" s="247" t="s">
        <v>437</v>
      </c>
      <c r="E243" s="248" t="s">
        <v>438</v>
      </c>
    </row>
    <row r="244" spans="1:5" ht="13.5" customHeight="1" thickBot="1" x14ac:dyDescent="0.25">
      <c r="A244" s="332" t="s">
        <v>439</v>
      </c>
      <c r="B244" s="249" t="s">
        <v>440</v>
      </c>
      <c r="C244" s="225" t="s">
        <v>610</v>
      </c>
      <c r="D244" s="213">
        <v>0.20166666666666699</v>
      </c>
      <c r="E244" s="193">
        <v>0.60499999999999998</v>
      </c>
    </row>
    <row r="245" spans="1:5" ht="16" thickBot="1" x14ac:dyDescent="0.25">
      <c r="A245" s="332"/>
      <c r="B245" s="249" t="s">
        <v>443</v>
      </c>
      <c r="C245" s="225" t="s">
        <v>610</v>
      </c>
      <c r="D245" s="213">
        <v>0.05</v>
      </c>
      <c r="E245" s="193">
        <v>0.15</v>
      </c>
    </row>
    <row r="246" spans="1:5" ht="16" thickBot="1" x14ac:dyDescent="0.25">
      <c r="A246" s="332"/>
      <c r="B246" s="249" t="s">
        <v>444</v>
      </c>
      <c r="C246" s="225" t="s">
        <v>610</v>
      </c>
      <c r="D246" s="213">
        <v>0.19666666666666699</v>
      </c>
      <c r="E246" s="193">
        <v>0.59</v>
      </c>
    </row>
    <row r="247" spans="1:5" ht="16" thickBot="1" x14ac:dyDescent="0.25">
      <c r="A247" s="332"/>
      <c r="B247" s="249" t="s">
        <v>445</v>
      </c>
      <c r="C247" s="225" t="s">
        <v>610</v>
      </c>
      <c r="D247" s="213">
        <v>0.163333333333333</v>
      </c>
      <c r="E247" s="193">
        <v>0.49</v>
      </c>
    </row>
    <row r="248" spans="1:5" ht="16" thickBot="1" x14ac:dyDescent="0.25">
      <c r="A248" s="332"/>
      <c r="B248" s="249" t="s">
        <v>446</v>
      </c>
      <c r="C248" s="225" t="s">
        <v>610</v>
      </c>
      <c r="D248" s="213">
        <v>1.66666666666667E-3</v>
      </c>
      <c r="E248" s="193">
        <v>5.0000000000000001E-3</v>
      </c>
    </row>
    <row r="249" spans="1:5" ht="16" thickBot="1" x14ac:dyDescent="0.25">
      <c r="A249" s="332"/>
      <c r="B249" s="249" t="s">
        <v>447</v>
      </c>
      <c r="C249" s="225" t="s">
        <v>610</v>
      </c>
      <c r="D249" s="213">
        <v>6.3333333333333297E-2</v>
      </c>
      <c r="E249" s="193">
        <v>0.19</v>
      </c>
    </row>
    <row r="250" spans="1:5" ht="16" thickBot="1" x14ac:dyDescent="0.25">
      <c r="A250" s="332"/>
      <c r="B250" s="249" t="s">
        <v>448</v>
      </c>
      <c r="C250" s="225" t="s">
        <v>610</v>
      </c>
      <c r="D250" s="213">
        <v>0.25333333333333302</v>
      </c>
      <c r="E250" s="193">
        <v>0.76</v>
      </c>
    </row>
    <row r="251" spans="1:5" ht="16" thickBot="1" x14ac:dyDescent="0.25">
      <c r="A251" s="332"/>
      <c r="B251" s="249" t="s">
        <v>449</v>
      </c>
      <c r="C251" s="225" t="s">
        <v>610</v>
      </c>
      <c r="D251" s="213">
        <v>1.66666666666667E-3</v>
      </c>
      <c r="E251" s="193">
        <v>5.0000000000000001E-3</v>
      </c>
    </row>
    <row r="252" spans="1:5" ht="16" thickBot="1" x14ac:dyDescent="0.25">
      <c r="A252" s="332"/>
      <c r="B252" s="249" t="s">
        <v>450</v>
      </c>
      <c r="C252" s="225" t="s">
        <v>610</v>
      </c>
      <c r="D252" s="213">
        <v>0.13</v>
      </c>
      <c r="E252" s="193">
        <v>0.39</v>
      </c>
    </row>
    <row r="253" spans="1:5" ht="16" thickBot="1" x14ac:dyDescent="0.25">
      <c r="A253" s="332"/>
      <c r="B253" s="249" t="s">
        <v>451</v>
      </c>
      <c r="C253" s="225" t="s">
        <v>610</v>
      </c>
      <c r="D253" s="213">
        <v>0.176666666666667</v>
      </c>
      <c r="E253" s="193">
        <v>0.53</v>
      </c>
    </row>
    <row r="254" spans="1:5" ht="16" thickBot="1" x14ac:dyDescent="0.25">
      <c r="A254" s="332"/>
      <c r="B254" s="249" t="s">
        <v>452</v>
      </c>
      <c r="C254" s="225" t="s">
        <v>610</v>
      </c>
      <c r="D254" s="213">
        <v>0.116666666666667</v>
      </c>
      <c r="E254" s="193">
        <v>0.35</v>
      </c>
    </row>
    <row r="255" spans="1:5" ht="16" thickBot="1" x14ac:dyDescent="0.25">
      <c r="A255" s="332"/>
      <c r="B255" s="249" t="s">
        <v>453</v>
      </c>
      <c r="C255" s="225" t="s">
        <v>610</v>
      </c>
      <c r="D255" s="213">
        <v>0.18833333333333299</v>
      </c>
      <c r="E255" s="193">
        <v>0.56499999999999995</v>
      </c>
    </row>
    <row r="256" spans="1:5" ht="16" thickBot="1" x14ac:dyDescent="0.25">
      <c r="A256" s="332"/>
      <c r="B256" s="249" t="s">
        <v>454</v>
      </c>
      <c r="C256" s="225" t="s">
        <v>610</v>
      </c>
      <c r="D256" s="213">
        <v>0.245</v>
      </c>
      <c r="E256" s="193">
        <v>0.73499999999999999</v>
      </c>
    </row>
    <row r="257" spans="1:10" ht="16" thickBot="1" x14ac:dyDescent="0.25">
      <c r="A257" s="332"/>
      <c r="B257" s="249" t="s">
        <v>455</v>
      </c>
      <c r="C257" s="225" t="s">
        <v>610</v>
      </c>
      <c r="D257" s="213">
        <v>0.19166666666666701</v>
      </c>
      <c r="E257" s="193">
        <v>0.57499999999999996</v>
      </c>
    </row>
    <row r="258" spans="1:10" ht="16" thickBot="1" x14ac:dyDescent="0.25">
      <c r="A258" s="332"/>
      <c r="B258" s="249" t="s">
        <v>456</v>
      </c>
      <c r="C258" s="225" t="s">
        <v>610</v>
      </c>
      <c r="D258" s="213">
        <v>0.101666666666667</v>
      </c>
      <c r="E258" s="193">
        <v>0.30499999999999999</v>
      </c>
    </row>
    <row r="259" spans="1:10" ht="16" thickBot="1" x14ac:dyDescent="0.25">
      <c r="A259" s="332"/>
      <c r="B259" s="249" t="s">
        <v>457</v>
      </c>
      <c r="C259" s="225" t="s">
        <v>610</v>
      </c>
      <c r="D259" s="213">
        <v>1.66666666666667E-3</v>
      </c>
      <c r="E259" s="193">
        <v>5.0000000000000001E-3</v>
      </c>
    </row>
    <row r="260" spans="1:10" ht="16" thickBot="1" x14ac:dyDescent="0.25">
      <c r="A260" s="332"/>
      <c r="B260" s="249" t="s">
        <v>458</v>
      </c>
      <c r="C260" s="225" t="s">
        <v>610</v>
      </c>
      <c r="D260" s="213">
        <v>0.30333333333333301</v>
      </c>
      <c r="E260" s="193">
        <v>0.91</v>
      </c>
    </row>
    <row r="261" spans="1:10" ht="16" thickBot="1" x14ac:dyDescent="0.25">
      <c r="A261" s="332"/>
      <c r="B261" s="249" t="s">
        <v>459</v>
      </c>
      <c r="C261" s="225" t="s">
        <v>610</v>
      </c>
      <c r="D261" s="213">
        <v>1.66666666666667E-3</v>
      </c>
      <c r="E261" s="193">
        <v>5.0000000000000001E-3</v>
      </c>
    </row>
    <row r="262" spans="1:10" ht="16" thickBot="1" x14ac:dyDescent="0.25">
      <c r="A262" s="332"/>
      <c r="B262" s="214" t="s">
        <v>460</v>
      </c>
      <c r="C262" s="236" t="s">
        <v>610</v>
      </c>
      <c r="D262" s="178">
        <v>0.18333333333333299</v>
      </c>
      <c r="E262" s="179">
        <v>0.55000000000000004</v>
      </c>
    </row>
    <row r="263" spans="1:10" ht="15" customHeight="1" x14ac:dyDescent="0.2">
      <c r="A263" s="333" t="s">
        <v>461</v>
      </c>
      <c r="B263" s="333"/>
      <c r="C263" s="333"/>
    </row>
    <row r="264" spans="1:10" ht="32" x14ac:dyDescent="0.2">
      <c r="A264" s="237" t="s">
        <v>611</v>
      </c>
      <c r="B264" s="225" t="s">
        <v>612</v>
      </c>
      <c r="C264" s="250">
        <v>1.4E-2</v>
      </c>
    </row>
    <row r="265" spans="1:10" ht="16" x14ac:dyDescent="0.2">
      <c r="A265" s="237" t="s">
        <v>613</v>
      </c>
      <c r="B265" s="225" t="s">
        <v>423</v>
      </c>
      <c r="C265" s="176">
        <v>2020</v>
      </c>
    </row>
    <row r="266" spans="1:10" ht="16" x14ac:dyDescent="0.2">
      <c r="A266" s="237" t="s">
        <v>614</v>
      </c>
      <c r="B266" s="225" t="s">
        <v>612</v>
      </c>
      <c r="C266" s="250">
        <v>1.4E-2</v>
      </c>
    </row>
    <row r="267" spans="1:10" ht="17" thickBot="1" x14ac:dyDescent="0.25">
      <c r="A267" s="238" t="s">
        <v>615</v>
      </c>
      <c r="B267" s="236" t="s">
        <v>423</v>
      </c>
      <c r="C267" s="208">
        <v>2020</v>
      </c>
    </row>
    <row r="269" spans="1:10" ht="19" x14ac:dyDescent="0.25">
      <c r="A269" s="306" t="s">
        <v>232</v>
      </c>
      <c r="B269" s="306"/>
      <c r="C269" s="306"/>
    </row>
    <row r="270" spans="1:10" x14ac:dyDescent="0.2">
      <c r="A270" s="334" t="s">
        <v>233</v>
      </c>
      <c r="B270" s="334"/>
      <c r="C270" s="334"/>
      <c r="H270" s="58"/>
      <c r="J270" s="61"/>
    </row>
    <row r="271" spans="1:10" ht="16" x14ac:dyDescent="0.2">
      <c r="A271" s="237" t="s">
        <v>234</v>
      </c>
      <c r="B271" s="175" t="s">
        <v>28</v>
      </c>
      <c r="C271" s="251">
        <v>1</v>
      </c>
      <c r="H271" s="58"/>
      <c r="J271" s="61"/>
    </row>
    <row r="272" spans="1:10" x14ac:dyDescent="0.2">
      <c r="A272" s="334" t="s">
        <v>616</v>
      </c>
      <c r="B272" s="334"/>
      <c r="C272" s="334"/>
      <c r="H272" s="58"/>
      <c r="J272" s="61"/>
    </row>
    <row r="273" spans="1:10" ht="15" customHeight="1" thickBot="1" x14ac:dyDescent="0.25">
      <c r="A273" s="332" t="s">
        <v>617</v>
      </c>
      <c r="B273" s="225" t="s">
        <v>618</v>
      </c>
      <c r="C273" s="335">
        <v>4</v>
      </c>
      <c r="H273" s="58"/>
      <c r="J273" s="61"/>
    </row>
    <row r="274" spans="1:10" ht="16" thickBot="1" x14ac:dyDescent="0.25">
      <c r="A274" s="332"/>
      <c r="B274" s="225" t="s">
        <v>619</v>
      </c>
      <c r="C274" s="335"/>
      <c r="H274" s="58"/>
      <c r="J274" s="61"/>
    </row>
    <row r="275" spans="1:10" ht="16" thickBot="1" x14ac:dyDescent="0.25">
      <c r="A275" s="332"/>
      <c r="B275" s="225" t="s">
        <v>620</v>
      </c>
      <c r="C275" s="335"/>
      <c r="H275" s="58"/>
      <c r="J275" s="61"/>
    </row>
    <row r="276" spans="1:10" ht="16" thickBot="1" x14ac:dyDescent="0.25">
      <c r="A276" s="332"/>
      <c r="B276" s="236" t="s">
        <v>621</v>
      </c>
      <c r="C276" s="335"/>
      <c r="H276" s="58"/>
      <c r="J276" s="61"/>
    </row>
    <row r="277" spans="1:10" ht="16" thickBot="1" x14ac:dyDescent="0.25">
      <c r="H277" s="58"/>
      <c r="J277" s="61"/>
    </row>
    <row r="278" spans="1:10" x14ac:dyDescent="0.2">
      <c r="A278" s="252" t="s">
        <v>164</v>
      </c>
      <c r="B278" s="253"/>
      <c r="H278" s="58"/>
      <c r="J278" s="61"/>
    </row>
    <row r="279" spans="1:10" ht="16" thickBot="1" x14ac:dyDescent="0.25">
      <c r="A279" s="254" t="s">
        <v>165</v>
      </c>
      <c r="B279" s="255">
        <v>1</v>
      </c>
      <c r="H279" s="58"/>
      <c r="J279" s="61"/>
    </row>
    <row r="280" spans="1:10" ht="16" thickBot="1" x14ac:dyDescent="0.25">
      <c r="H280" s="58"/>
      <c r="J280" s="61"/>
    </row>
    <row r="281" spans="1:10" ht="19" x14ac:dyDescent="0.25">
      <c r="A281" s="306" t="s">
        <v>622</v>
      </c>
      <c r="B281" s="306"/>
      <c r="C281" s="306"/>
      <c r="D281" s="306"/>
      <c r="E281" s="306"/>
      <c r="F281" s="306"/>
      <c r="G281" s="306"/>
      <c r="H281" s="306"/>
      <c r="I281" s="306"/>
      <c r="J281" s="61"/>
    </row>
    <row r="282" spans="1:10" x14ac:dyDescent="0.2">
      <c r="A282" s="256" t="s">
        <v>623</v>
      </c>
      <c r="B282" s="174" t="s">
        <v>36</v>
      </c>
      <c r="C282" s="175">
        <v>2020</v>
      </c>
      <c r="D282" s="175">
        <v>2025</v>
      </c>
      <c r="E282" s="175">
        <v>2030</v>
      </c>
      <c r="F282" s="175">
        <v>2035</v>
      </c>
      <c r="G282" s="175">
        <v>2040</v>
      </c>
      <c r="H282" s="175">
        <v>2045</v>
      </c>
      <c r="I282" s="176">
        <v>2050</v>
      </c>
      <c r="J282" s="61"/>
    </row>
    <row r="283" spans="1:10" x14ac:dyDescent="0.2">
      <c r="A283" s="256" t="s">
        <v>576</v>
      </c>
      <c r="B283" s="174" t="s">
        <v>499</v>
      </c>
      <c r="C283" s="175">
        <v>0</v>
      </c>
      <c r="D283" s="175">
        <v>0</v>
      </c>
      <c r="E283" s="175">
        <v>0</v>
      </c>
      <c r="F283" s="175">
        <v>0</v>
      </c>
      <c r="G283" s="175">
        <v>0</v>
      </c>
      <c r="H283" s="175">
        <v>0</v>
      </c>
      <c r="I283" s="176">
        <v>0</v>
      </c>
      <c r="J283" s="61"/>
    </row>
    <row r="284" spans="1:10" x14ac:dyDescent="0.2">
      <c r="A284" s="256" t="s">
        <v>579</v>
      </c>
      <c r="B284" s="174" t="s">
        <v>499</v>
      </c>
      <c r="C284" s="175">
        <v>0</v>
      </c>
      <c r="D284" s="175">
        <v>0</v>
      </c>
      <c r="E284" s="175">
        <v>0</v>
      </c>
      <c r="F284" s="175">
        <v>0</v>
      </c>
      <c r="G284" s="175">
        <v>0</v>
      </c>
      <c r="H284" s="175">
        <v>0</v>
      </c>
      <c r="I284" s="176">
        <v>0</v>
      </c>
      <c r="J284" s="61"/>
    </row>
    <row r="285" spans="1:10" x14ac:dyDescent="0.2">
      <c r="A285" s="256" t="s">
        <v>362</v>
      </c>
      <c r="B285" s="174" t="s">
        <v>499</v>
      </c>
      <c r="C285" s="175">
        <v>0</v>
      </c>
      <c r="D285" s="175">
        <v>0</v>
      </c>
      <c r="E285" s="175">
        <v>0</v>
      </c>
      <c r="F285" s="175">
        <v>0</v>
      </c>
      <c r="G285" s="175">
        <v>0</v>
      </c>
      <c r="H285" s="175">
        <v>0</v>
      </c>
      <c r="I285" s="176">
        <v>0</v>
      </c>
      <c r="J285" s="61"/>
    </row>
    <row r="286" spans="1:10" x14ac:dyDescent="0.2">
      <c r="A286" s="256" t="s">
        <v>580</v>
      </c>
      <c r="B286" s="174" t="s">
        <v>499</v>
      </c>
      <c r="C286" s="175">
        <v>0</v>
      </c>
      <c r="D286" s="175">
        <v>0</v>
      </c>
      <c r="E286" s="175">
        <v>0</v>
      </c>
      <c r="F286" s="175">
        <v>0</v>
      </c>
      <c r="G286" s="175">
        <v>0</v>
      </c>
      <c r="H286" s="175">
        <v>0</v>
      </c>
      <c r="I286" s="176">
        <v>0</v>
      </c>
      <c r="J286" s="61"/>
    </row>
    <row r="287" spans="1:10" x14ac:dyDescent="0.2">
      <c r="A287" s="256" t="s">
        <v>581</v>
      </c>
      <c r="B287" s="174" t="s">
        <v>499</v>
      </c>
      <c r="C287" s="175">
        <v>0</v>
      </c>
      <c r="D287" s="175">
        <v>0</v>
      </c>
      <c r="E287" s="175">
        <v>0</v>
      </c>
      <c r="F287" s="175">
        <v>0</v>
      </c>
      <c r="G287" s="175">
        <v>0</v>
      </c>
      <c r="H287" s="175">
        <v>0</v>
      </c>
      <c r="I287" s="176">
        <v>0</v>
      </c>
      <c r="J287" s="61"/>
    </row>
    <row r="288" spans="1:10" x14ac:dyDescent="0.2">
      <c r="A288" s="256" t="s">
        <v>582</v>
      </c>
      <c r="B288" s="174" t="s">
        <v>499</v>
      </c>
      <c r="C288" s="175">
        <v>0</v>
      </c>
      <c r="D288" s="175">
        <v>0</v>
      </c>
      <c r="E288" s="175">
        <v>0</v>
      </c>
      <c r="F288" s="175">
        <v>0</v>
      </c>
      <c r="G288" s="175">
        <v>0</v>
      </c>
      <c r="H288" s="175">
        <v>0</v>
      </c>
      <c r="I288" s="176">
        <v>0</v>
      </c>
      <c r="J288" s="61"/>
    </row>
    <row r="289" spans="1:10" x14ac:dyDescent="0.2">
      <c r="A289" s="256" t="s">
        <v>583</v>
      </c>
      <c r="B289" s="174" t="s">
        <v>499</v>
      </c>
      <c r="C289" s="175">
        <v>0</v>
      </c>
      <c r="D289" s="175">
        <v>0</v>
      </c>
      <c r="E289" s="175">
        <v>0</v>
      </c>
      <c r="F289" s="175">
        <v>0</v>
      </c>
      <c r="G289" s="175">
        <v>0</v>
      </c>
      <c r="H289" s="175">
        <v>0</v>
      </c>
      <c r="I289" s="176">
        <v>0</v>
      </c>
      <c r="J289" s="61"/>
    </row>
    <row r="290" spans="1:10" x14ac:dyDescent="0.2">
      <c r="A290" s="256" t="s">
        <v>354</v>
      </c>
      <c r="B290" s="174" t="s">
        <v>499</v>
      </c>
      <c r="C290" s="175">
        <v>0</v>
      </c>
      <c r="D290" s="175">
        <v>0</v>
      </c>
      <c r="E290" s="175">
        <v>0</v>
      </c>
      <c r="F290" s="175">
        <v>0</v>
      </c>
      <c r="G290" s="175">
        <v>0</v>
      </c>
      <c r="H290" s="175">
        <v>0</v>
      </c>
      <c r="I290" s="176">
        <v>0</v>
      </c>
      <c r="J290" s="61"/>
    </row>
    <row r="291" spans="1:10" x14ac:dyDescent="0.2">
      <c r="A291" s="256" t="s">
        <v>584</v>
      </c>
      <c r="B291" s="174" t="s">
        <v>499</v>
      </c>
      <c r="C291" s="175">
        <v>0</v>
      </c>
      <c r="D291" s="175">
        <v>0</v>
      </c>
      <c r="E291" s="175">
        <v>0</v>
      </c>
      <c r="F291" s="175">
        <v>0</v>
      </c>
      <c r="G291" s="175">
        <v>0</v>
      </c>
      <c r="H291" s="175">
        <v>0</v>
      </c>
      <c r="I291" s="176">
        <v>0</v>
      </c>
      <c r="J291" s="61"/>
    </row>
    <row r="292" spans="1:10" x14ac:dyDescent="0.2">
      <c r="A292" s="256" t="s">
        <v>585</v>
      </c>
      <c r="B292" s="174" t="s">
        <v>499</v>
      </c>
      <c r="C292" s="175">
        <v>0</v>
      </c>
      <c r="D292" s="175">
        <v>0</v>
      </c>
      <c r="E292" s="175">
        <v>0</v>
      </c>
      <c r="F292" s="175">
        <v>0</v>
      </c>
      <c r="G292" s="175">
        <v>0</v>
      </c>
      <c r="H292" s="175">
        <v>0</v>
      </c>
      <c r="I292" s="176">
        <v>0</v>
      </c>
      <c r="J292" s="61"/>
    </row>
    <row r="293" spans="1:10" x14ac:dyDescent="0.2">
      <c r="A293" s="256" t="s">
        <v>586</v>
      </c>
      <c r="B293" s="174" t="s">
        <v>499</v>
      </c>
      <c r="C293" s="175">
        <v>0</v>
      </c>
      <c r="D293" s="175">
        <v>0</v>
      </c>
      <c r="E293" s="175">
        <v>0</v>
      </c>
      <c r="F293" s="175">
        <v>0</v>
      </c>
      <c r="G293" s="175">
        <v>0</v>
      </c>
      <c r="H293" s="175">
        <v>0</v>
      </c>
      <c r="I293" s="176">
        <v>0</v>
      </c>
      <c r="J293" s="61"/>
    </row>
    <row r="294" spans="1:10" x14ac:dyDescent="0.2">
      <c r="A294" s="256" t="s">
        <v>587</v>
      </c>
      <c r="B294" s="174" t="s">
        <v>499</v>
      </c>
      <c r="C294" s="175">
        <v>0</v>
      </c>
      <c r="D294" s="175">
        <v>0</v>
      </c>
      <c r="E294" s="175">
        <v>0</v>
      </c>
      <c r="F294" s="175">
        <v>0</v>
      </c>
      <c r="G294" s="175">
        <v>0</v>
      </c>
      <c r="H294" s="175">
        <v>0</v>
      </c>
      <c r="I294" s="176">
        <v>0</v>
      </c>
      <c r="J294" s="61"/>
    </row>
    <row r="295" spans="1:10" x14ac:dyDescent="0.2">
      <c r="A295" s="256" t="s">
        <v>588</v>
      </c>
      <c r="B295" s="174" t="s">
        <v>499</v>
      </c>
      <c r="C295" s="175">
        <v>0</v>
      </c>
      <c r="D295" s="175">
        <v>0</v>
      </c>
      <c r="E295" s="175">
        <v>0</v>
      </c>
      <c r="F295" s="175">
        <v>0</v>
      </c>
      <c r="G295" s="175">
        <v>0</v>
      </c>
      <c r="H295" s="175">
        <v>0</v>
      </c>
      <c r="I295" s="176">
        <v>0</v>
      </c>
      <c r="J295" s="61"/>
    </row>
    <row r="296" spans="1:10" x14ac:dyDescent="0.2">
      <c r="A296" s="256" t="s">
        <v>589</v>
      </c>
      <c r="B296" s="174" t="s">
        <v>499</v>
      </c>
      <c r="C296" s="175">
        <v>0</v>
      </c>
      <c r="D296" s="175">
        <v>0</v>
      </c>
      <c r="E296" s="175">
        <v>0</v>
      </c>
      <c r="F296" s="175">
        <v>0</v>
      </c>
      <c r="G296" s="175">
        <v>0</v>
      </c>
      <c r="H296" s="175">
        <v>0</v>
      </c>
      <c r="I296" s="176">
        <v>0</v>
      </c>
      <c r="J296" s="61"/>
    </row>
    <row r="297" spans="1:10" x14ac:dyDescent="0.2">
      <c r="A297" s="256" t="s">
        <v>590</v>
      </c>
      <c r="B297" s="174" t="s">
        <v>499</v>
      </c>
      <c r="C297" s="175">
        <v>0</v>
      </c>
      <c r="D297" s="175">
        <v>0</v>
      </c>
      <c r="E297" s="175">
        <v>0</v>
      </c>
      <c r="F297" s="175">
        <v>0</v>
      </c>
      <c r="G297" s="175">
        <v>0</v>
      </c>
      <c r="H297" s="175">
        <v>0</v>
      </c>
      <c r="I297" s="176">
        <v>0</v>
      </c>
      <c r="J297" s="61"/>
    </row>
    <row r="298" spans="1:10" x14ac:dyDescent="0.2">
      <c r="A298" s="256" t="s">
        <v>338</v>
      </c>
      <c r="B298" s="174" t="s">
        <v>499</v>
      </c>
      <c r="C298" s="175">
        <v>0</v>
      </c>
      <c r="D298" s="175">
        <v>0</v>
      </c>
      <c r="E298" s="175">
        <v>0</v>
      </c>
      <c r="F298" s="175">
        <v>0</v>
      </c>
      <c r="G298" s="175">
        <v>0</v>
      </c>
      <c r="H298" s="175">
        <v>0</v>
      </c>
      <c r="I298" s="176">
        <v>0</v>
      </c>
      <c r="J298" s="61"/>
    </row>
    <row r="299" spans="1:10" x14ac:dyDescent="0.2">
      <c r="A299" s="256" t="s">
        <v>591</v>
      </c>
      <c r="B299" s="174" t="s">
        <v>499</v>
      </c>
      <c r="C299" s="175">
        <v>0</v>
      </c>
      <c r="D299" s="175">
        <v>0</v>
      </c>
      <c r="E299" s="175">
        <v>0</v>
      </c>
      <c r="F299" s="175">
        <v>0</v>
      </c>
      <c r="G299" s="175">
        <v>0</v>
      </c>
      <c r="H299" s="175">
        <v>0</v>
      </c>
      <c r="I299" s="176">
        <v>0</v>
      </c>
      <c r="J299" s="61"/>
    </row>
    <row r="300" spans="1:10" x14ac:dyDescent="0.2">
      <c r="A300" s="256" t="s">
        <v>592</v>
      </c>
      <c r="B300" s="174" t="s">
        <v>499</v>
      </c>
      <c r="C300" s="175">
        <v>0</v>
      </c>
      <c r="D300" s="175">
        <f>$C300+(($G300-$C300)/20)*(D282-2020)</f>
        <v>1.2493511762363026E-3</v>
      </c>
      <c r="E300" s="175">
        <f>$C300+(($G300-$C300)/20)*(E282-2020)</f>
        <v>2.4987023524726051E-3</v>
      </c>
      <c r="F300" s="175">
        <f>$C300+(($G300-$C300)/20)*(F282-2020)</f>
        <v>3.7480535287089073E-3</v>
      </c>
      <c r="G300" s="175">
        <v>4.9974047049452103E-3</v>
      </c>
      <c r="H300" s="175">
        <f>G300+(I300-G300)/2</f>
        <v>5.3226795673972649E-3</v>
      </c>
      <c r="I300" s="176">
        <v>5.6479544298493204E-3</v>
      </c>
      <c r="J300" s="61"/>
    </row>
    <row r="301" spans="1:10" x14ac:dyDescent="0.2">
      <c r="A301" s="256" t="s">
        <v>593</v>
      </c>
      <c r="B301" s="174" t="s">
        <v>499</v>
      </c>
      <c r="C301" s="175">
        <v>0</v>
      </c>
      <c r="D301" s="175">
        <v>0</v>
      </c>
      <c r="E301" s="175">
        <v>0</v>
      </c>
      <c r="F301" s="175">
        <v>0</v>
      </c>
      <c r="G301" s="175">
        <v>0</v>
      </c>
      <c r="H301" s="175">
        <v>0</v>
      </c>
      <c r="I301" s="176">
        <v>0</v>
      </c>
      <c r="J301" s="61"/>
    </row>
    <row r="302" spans="1:10" x14ac:dyDescent="0.2">
      <c r="A302" s="256" t="s">
        <v>594</v>
      </c>
      <c r="B302" s="174" t="s">
        <v>499</v>
      </c>
      <c r="C302" s="175">
        <v>0</v>
      </c>
      <c r="D302" s="175">
        <v>0</v>
      </c>
      <c r="E302" s="175">
        <v>0</v>
      </c>
      <c r="F302" s="175">
        <v>0</v>
      </c>
      <c r="G302" s="175">
        <v>0</v>
      </c>
      <c r="H302" s="175">
        <v>0</v>
      </c>
      <c r="I302" s="176">
        <v>0</v>
      </c>
      <c r="J302" s="61"/>
    </row>
    <row r="303" spans="1:10" x14ac:dyDescent="0.2">
      <c r="A303" s="256" t="s">
        <v>595</v>
      </c>
      <c r="B303" s="174" t="s">
        <v>499</v>
      </c>
      <c r="C303" s="175">
        <v>0</v>
      </c>
      <c r="D303" s="175">
        <v>3.14925207737671E-3</v>
      </c>
      <c r="E303" s="175">
        <v>6.2985041547534296E-3</v>
      </c>
      <c r="F303" s="175">
        <v>9.4477562321301396E-3</v>
      </c>
      <c r="G303" s="175">
        <v>1.2597008309506901E-2</v>
      </c>
      <c r="H303" s="175">
        <v>1.4548657484219201E-2</v>
      </c>
      <c r="I303" s="176">
        <v>1.6500306658931499E-2</v>
      </c>
      <c r="J303" s="61"/>
    </row>
    <row r="304" spans="1:10" x14ac:dyDescent="0.2">
      <c r="A304" s="256" t="s">
        <v>596</v>
      </c>
      <c r="B304" s="174" t="s">
        <v>499</v>
      </c>
      <c r="C304" s="175">
        <v>0</v>
      </c>
      <c r="D304" s="175">
        <v>3.9365650967208902E-4</v>
      </c>
      <c r="E304" s="175">
        <v>7.8731301934417805E-4</v>
      </c>
      <c r="F304" s="175">
        <v>1.1809695290162701E-3</v>
      </c>
      <c r="G304" s="175">
        <v>1.57462603868836E-3</v>
      </c>
      <c r="H304" s="175">
        <v>1.8185821855274001E-3</v>
      </c>
      <c r="I304" s="176">
        <v>2.06253833236644E-3</v>
      </c>
      <c r="J304" s="61"/>
    </row>
    <row r="305" spans="1:10" x14ac:dyDescent="0.2">
      <c r="A305" s="256" t="s">
        <v>597</v>
      </c>
      <c r="B305" s="174" t="s">
        <v>499</v>
      </c>
      <c r="C305" s="175">
        <v>0</v>
      </c>
      <c r="D305" s="175">
        <v>3.9365650967208902E-4</v>
      </c>
      <c r="E305" s="175">
        <v>7.8731301934417805E-4</v>
      </c>
      <c r="F305" s="175">
        <v>1.1809695290162701E-3</v>
      </c>
      <c r="G305" s="175">
        <v>1.57462603868836E-3</v>
      </c>
      <c r="H305" s="175">
        <v>1.8185821855274001E-3</v>
      </c>
      <c r="I305" s="176">
        <v>2.06253833236644E-3</v>
      </c>
      <c r="J305" s="61"/>
    </row>
    <row r="306" spans="1:10" x14ac:dyDescent="0.2">
      <c r="A306" s="256" t="s">
        <v>598</v>
      </c>
      <c r="B306" s="174" t="s">
        <v>499</v>
      </c>
      <c r="C306" s="175">
        <v>0</v>
      </c>
      <c r="D306" s="175">
        <v>0</v>
      </c>
      <c r="E306" s="175">
        <v>0</v>
      </c>
      <c r="F306" s="175">
        <f>$C306+(($G306-$C306)/20)*(F303-2020)</f>
        <v>0</v>
      </c>
      <c r="G306" s="175">
        <v>0</v>
      </c>
      <c r="H306" s="175">
        <v>0</v>
      </c>
      <c r="I306" s="176">
        <v>0</v>
      </c>
      <c r="J306" s="61"/>
    </row>
    <row r="307" spans="1:10" x14ac:dyDescent="0.2">
      <c r="A307" s="256" t="s">
        <v>599</v>
      </c>
      <c r="B307" s="174" t="s">
        <v>499</v>
      </c>
      <c r="C307" s="175">
        <v>0</v>
      </c>
      <c r="D307" s="175">
        <v>0</v>
      </c>
      <c r="E307" s="175">
        <v>0</v>
      </c>
      <c r="F307" s="175">
        <v>0</v>
      </c>
      <c r="G307" s="175">
        <v>0</v>
      </c>
      <c r="H307" s="175">
        <v>0</v>
      </c>
      <c r="I307" s="176">
        <v>0</v>
      </c>
      <c r="J307" s="61"/>
    </row>
    <row r="308" spans="1:10" x14ac:dyDescent="0.2">
      <c r="A308" s="256" t="s">
        <v>351</v>
      </c>
      <c r="B308" s="174" t="s">
        <v>499</v>
      </c>
      <c r="C308" s="175">
        <v>0</v>
      </c>
      <c r="D308" s="175">
        <v>0</v>
      </c>
      <c r="E308" s="175">
        <v>0</v>
      </c>
      <c r="F308" s="175">
        <v>0</v>
      </c>
      <c r="G308" s="175">
        <v>0</v>
      </c>
      <c r="H308" s="175">
        <v>0</v>
      </c>
      <c r="I308" s="176">
        <v>0</v>
      </c>
      <c r="J308" s="61"/>
    </row>
    <row r="309" spans="1:10" x14ac:dyDescent="0.2">
      <c r="A309" s="256" t="s">
        <v>361</v>
      </c>
      <c r="B309" s="174" t="s">
        <v>499</v>
      </c>
      <c r="C309" s="175">
        <v>0</v>
      </c>
      <c r="D309" s="175">
        <v>0</v>
      </c>
      <c r="E309" s="175">
        <v>0</v>
      </c>
      <c r="F309" s="175">
        <v>0</v>
      </c>
      <c r="G309" s="175">
        <v>0</v>
      </c>
      <c r="H309" s="175">
        <v>0</v>
      </c>
      <c r="I309" s="176">
        <v>0</v>
      </c>
      <c r="J309" s="61"/>
    </row>
    <row r="310" spans="1:10" x14ac:dyDescent="0.2">
      <c r="A310" s="256" t="s">
        <v>600</v>
      </c>
      <c r="B310" s="174" t="s">
        <v>499</v>
      </c>
      <c r="C310" s="175">
        <v>0</v>
      </c>
      <c r="D310" s="175">
        <v>0</v>
      </c>
      <c r="E310" s="175">
        <v>0</v>
      </c>
      <c r="F310" s="175">
        <v>0</v>
      </c>
      <c r="G310" s="175">
        <v>0</v>
      </c>
      <c r="H310" s="175">
        <v>0</v>
      </c>
      <c r="I310" s="176">
        <v>0</v>
      </c>
      <c r="J310" s="61"/>
    </row>
    <row r="311" spans="1:10" x14ac:dyDescent="0.2">
      <c r="A311" s="257" t="s">
        <v>624</v>
      </c>
      <c r="B311" s="258"/>
      <c r="C311" s="258"/>
      <c r="D311" s="258"/>
      <c r="E311" s="258"/>
      <c r="F311" s="258"/>
      <c r="G311" s="258"/>
      <c r="H311" s="259"/>
      <c r="I311" s="258"/>
      <c r="J311" s="61"/>
    </row>
    <row r="312" spans="1:10" x14ac:dyDescent="0.2">
      <c r="A312" s="256" t="s">
        <v>576</v>
      </c>
      <c r="B312" s="174" t="s">
        <v>28</v>
      </c>
      <c r="C312" s="175">
        <v>0.189349112426035</v>
      </c>
      <c r="D312" s="175">
        <v>0.189349112426035</v>
      </c>
      <c r="E312" s="175">
        <v>0.189349112426035</v>
      </c>
      <c r="F312" s="175">
        <v>0.189349112426035</v>
      </c>
      <c r="G312" s="175">
        <v>0.189349112426035</v>
      </c>
      <c r="H312" s="175">
        <f t="shared" ref="H312:H339" si="2">G312+(I312-G312)/2</f>
        <v>0.23865361380464051</v>
      </c>
      <c r="I312" s="175">
        <v>0.28795811518324599</v>
      </c>
      <c r="J312" s="61"/>
    </row>
    <row r="313" spans="1:10" x14ac:dyDescent="0.2">
      <c r="A313" s="256" t="s">
        <v>579</v>
      </c>
      <c r="B313" s="174" t="s">
        <v>28</v>
      </c>
      <c r="C313" s="175">
        <v>0.189349112426035</v>
      </c>
      <c r="D313" s="175">
        <v>0.189349112426035</v>
      </c>
      <c r="E313" s="175">
        <v>0.189349112426035</v>
      </c>
      <c r="F313" s="175">
        <v>0.189349112426035</v>
      </c>
      <c r="G313" s="175">
        <v>0.189349112426035</v>
      </c>
      <c r="H313" s="175">
        <f t="shared" si="2"/>
        <v>0.23865361380464051</v>
      </c>
      <c r="I313" s="175">
        <v>0.28795811518324599</v>
      </c>
      <c r="J313" s="61"/>
    </row>
    <row r="314" spans="1:10" x14ac:dyDescent="0.2">
      <c r="A314" s="256" t="s">
        <v>362</v>
      </c>
      <c r="B314" s="174" t="s">
        <v>28</v>
      </c>
      <c r="C314" s="175">
        <v>0.189349112426035</v>
      </c>
      <c r="D314" s="175">
        <v>0.189349112426035</v>
      </c>
      <c r="E314" s="175">
        <v>0.189349112426035</v>
      </c>
      <c r="F314" s="175">
        <v>0.189349112426035</v>
      </c>
      <c r="G314" s="175">
        <v>0.189349112426035</v>
      </c>
      <c r="H314" s="175">
        <f t="shared" si="2"/>
        <v>0.23865361380464051</v>
      </c>
      <c r="I314" s="175">
        <v>0.28795811518324599</v>
      </c>
      <c r="J314" s="61"/>
    </row>
    <row r="315" spans="1:10" x14ac:dyDescent="0.2">
      <c r="A315" s="256" t="s">
        <v>580</v>
      </c>
      <c r="B315" s="174" t="s">
        <v>28</v>
      </c>
      <c r="C315" s="175">
        <v>0.189349112426035</v>
      </c>
      <c r="D315" s="175">
        <v>0.189349112426035</v>
      </c>
      <c r="E315" s="175">
        <v>0.189349112426035</v>
      </c>
      <c r="F315" s="175">
        <v>0.189349112426035</v>
      </c>
      <c r="G315" s="175">
        <v>0.189349112426035</v>
      </c>
      <c r="H315" s="175">
        <f t="shared" si="2"/>
        <v>0.23865361380464051</v>
      </c>
      <c r="I315" s="175">
        <v>0.28795811518324599</v>
      </c>
      <c r="J315" s="61"/>
    </row>
    <row r="316" spans="1:10" x14ac:dyDescent="0.2">
      <c r="A316" s="256" t="s">
        <v>581</v>
      </c>
      <c r="B316" s="174" t="s">
        <v>28</v>
      </c>
      <c r="C316" s="175">
        <v>0.189349112426035</v>
      </c>
      <c r="D316" s="175">
        <v>0.189349112426035</v>
      </c>
      <c r="E316" s="175">
        <v>0.189349112426035</v>
      </c>
      <c r="F316" s="175">
        <v>0.189349112426035</v>
      </c>
      <c r="G316" s="175">
        <v>0.189349112426035</v>
      </c>
      <c r="H316" s="175">
        <f t="shared" si="2"/>
        <v>0.23865361380464051</v>
      </c>
      <c r="I316" s="175">
        <v>0.28795811518324599</v>
      </c>
      <c r="J316" s="61"/>
    </row>
    <row r="317" spans="1:10" x14ac:dyDescent="0.2">
      <c r="A317" s="256" t="s">
        <v>582</v>
      </c>
      <c r="B317" s="174" t="s">
        <v>28</v>
      </c>
      <c r="C317" s="175">
        <v>0.189349112426035</v>
      </c>
      <c r="D317" s="175">
        <v>0.189349112426035</v>
      </c>
      <c r="E317" s="175">
        <v>0.189349112426035</v>
      </c>
      <c r="F317" s="175">
        <v>0.189349112426035</v>
      </c>
      <c r="G317" s="175">
        <v>0.189349112426035</v>
      </c>
      <c r="H317" s="175">
        <f t="shared" si="2"/>
        <v>0.23865361380464051</v>
      </c>
      <c r="I317" s="175">
        <v>0.28795811518324599</v>
      </c>
      <c r="J317" s="61"/>
    </row>
    <row r="318" spans="1:10" x14ac:dyDescent="0.2">
      <c r="A318" s="256" t="s">
        <v>583</v>
      </c>
      <c r="B318" s="174" t="s">
        <v>28</v>
      </c>
      <c r="C318" s="175">
        <v>0.189349112426035</v>
      </c>
      <c r="D318" s="175">
        <v>0.189349112426035</v>
      </c>
      <c r="E318" s="175">
        <v>0.189349112426035</v>
      </c>
      <c r="F318" s="175">
        <v>0.189349112426035</v>
      </c>
      <c r="G318" s="175">
        <v>0.189349112426035</v>
      </c>
      <c r="H318" s="175">
        <f t="shared" si="2"/>
        <v>0.23865361380464051</v>
      </c>
      <c r="I318" s="175">
        <v>0.28795811518324599</v>
      </c>
      <c r="J318" s="61"/>
    </row>
    <row r="319" spans="1:10" x14ac:dyDescent="0.2">
      <c r="A319" s="256" t="s">
        <v>354</v>
      </c>
      <c r="B319" s="174" t="s">
        <v>28</v>
      </c>
      <c r="C319" s="175">
        <v>0.189349112426035</v>
      </c>
      <c r="D319" s="175">
        <v>0.189349112426035</v>
      </c>
      <c r="E319" s="175">
        <v>0.189349112426035</v>
      </c>
      <c r="F319" s="175">
        <v>0.189349112426035</v>
      </c>
      <c r="G319" s="175">
        <v>0.189349112426035</v>
      </c>
      <c r="H319" s="175">
        <f t="shared" si="2"/>
        <v>0.23865361380464051</v>
      </c>
      <c r="I319" s="175">
        <v>0.28795811518324599</v>
      </c>
      <c r="J319" s="61"/>
    </row>
    <row r="320" spans="1:10" x14ac:dyDescent="0.2">
      <c r="A320" s="256" t="s">
        <v>584</v>
      </c>
      <c r="B320" s="174" t="s">
        <v>28</v>
      </c>
      <c r="C320" s="175">
        <v>0.189349112426035</v>
      </c>
      <c r="D320" s="175">
        <v>0.189349112426035</v>
      </c>
      <c r="E320" s="175">
        <v>0.189349112426035</v>
      </c>
      <c r="F320" s="175">
        <v>0.189349112426035</v>
      </c>
      <c r="G320" s="175">
        <v>0.189349112426035</v>
      </c>
      <c r="H320" s="175">
        <f t="shared" si="2"/>
        <v>0.23865361380464051</v>
      </c>
      <c r="I320" s="175">
        <v>0.28795811518324599</v>
      </c>
      <c r="J320" s="61"/>
    </row>
    <row r="321" spans="1:10" x14ac:dyDescent="0.2">
      <c r="A321" s="256" t="s">
        <v>585</v>
      </c>
      <c r="B321" s="174" t="s">
        <v>28</v>
      </c>
      <c r="C321" s="175">
        <v>0.189349112426035</v>
      </c>
      <c r="D321" s="175">
        <v>0.189349112426035</v>
      </c>
      <c r="E321" s="175">
        <v>0.189349112426035</v>
      </c>
      <c r="F321" s="175">
        <v>0.189349112426035</v>
      </c>
      <c r="G321" s="175">
        <v>0.189349112426035</v>
      </c>
      <c r="H321" s="175">
        <f t="shared" si="2"/>
        <v>0.23865361380464051</v>
      </c>
      <c r="I321" s="175">
        <v>0.28795811518324599</v>
      </c>
      <c r="J321" s="61"/>
    </row>
    <row r="322" spans="1:10" x14ac:dyDescent="0.2">
      <c r="A322" s="256" t="s">
        <v>586</v>
      </c>
      <c r="B322" s="174" t="s">
        <v>28</v>
      </c>
      <c r="C322" s="175">
        <v>0.189349112426035</v>
      </c>
      <c r="D322" s="175">
        <v>0.189349112426035</v>
      </c>
      <c r="E322" s="175">
        <v>0.189349112426035</v>
      </c>
      <c r="F322" s="175">
        <v>0.189349112426035</v>
      </c>
      <c r="G322" s="175">
        <v>0.189349112426035</v>
      </c>
      <c r="H322" s="175">
        <f t="shared" si="2"/>
        <v>0.23865361380464051</v>
      </c>
      <c r="I322" s="175">
        <v>0.28795811518324599</v>
      </c>
      <c r="J322" s="61"/>
    </row>
    <row r="323" spans="1:10" x14ac:dyDescent="0.2">
      <c r="A323" s="256" t="s">
        <v>587</v>
      </c>
      <c r="B323" s="174" t="s">
        <v>28</v>
      </c>
      <c r="C323" s="175">
        <v>0.189349112426035</v>
      </c>
      <c r="D323" s="175">
        <v>0.189349112426035</v>
      </c>
      <c r="E323" s="175">
        <v>0.189349112426035</v>
      </c>
      <c r="F323" s="175">
        <v>0.189349112426035</v>
      </c>
      <c r="G323" s="175">
        <v>0.189349112426035</v>
      </c>
      <c r="H323" s="175">
        <f t="shared" si="2"/>
        <v>0.23865361380464051</v>
      </c>
      <c r="I323" s="175">
        <v>0.28795811518324599</v>
      </c>
      <c r="J323" s="61"/>
    </row>
    <row r="324" spans="1:10" x14ac:dyDescent="0.2">
      <c r="A324" s="256" t="s">
        <v>588</v>
      </c>
      <c r="B324" s="174" t="s">
        <v>28</v>
      </c>
      <c r="C324" s="175">
        <v>0.189349112426035</v>
      </c>
      <c r="D324" s="175">
        <v>0.189349112426035</v>
      </c>
      <c r="E324" s="175">
        <v>0.189349112426035</v>
      </c>
      <c r="F324" s="175">
        <v>0.189349112426035</v>
      </c>
      <c r="G324" s="175">
        <v>0.189349112426035</v>
      </c>
      <c r="H324" s="175">
        <f t="shared" si="2"/>
        <v>0.23865361380464051</v>
      </c>
      <c r="I324" s="175">
        <v>0.28795811518324599</v>
      </c>
      <c r="J324" s="61"/>
    </row>
    <row r="325" spans="1:10" x14ac:dyDescent="0.2">
      <c r="A325" s="256" t="s">
        <v>589</v>
      </c>
      <c r="B325" s="174" t="s">
        <v>28</v>
      </c>
      <c r="C325" s="175">
        <v>0.189349112426035</v>
      </c>
      <c r="D325" s="175">
        <v>0.189349112426035</v>
      </c>
      <c r="E325" s="175">
        <v>0.189349112426035</v>
      </c>
      <c r="F325" s="175">
        <v>0.189349112426035</v>
      </c>
      <c r="G325" s="175">
        <v>0.189349112426035</v>
      </c>
      <c r="H325" s="175">
        <f t="shared" si="2"/>
        <v>0.23865361380464051</v>
      </c>
      <c r="I325" s="175">
        <v>0.28795811518324599</v>
      </c>
      <c r="J325" s="61"/>
    </row>
    <row r="326" spans="1:10" x14ac:dyDescent="0.2">
      <c r="A326" s="256" t="s">
        <v>590</v>
      </c>
      <c r="B326" s="174" t="s">
        <v>28</v>
      </c>
      <c r="C326" s="175">
        <v>0.189349112426035</v>
      </c>
      <c r="D326" s="175">
        <v>0.189349112426035</v>
      </c>
      <c r="E326" s="175">
        <v>0.189349112426035</v>
      </c>
      <c r="F326" s="175">
        <v>0.189349112426035</v>
      </c>
      <c r="G326" s="175">
        <v>0.189349112426035</v>
      </c>
      <c r="H326" s="175">
        <f t="shared" si="2"/>
        <v>0.23865361380464051</v>
      </c>
      <c r="I326" s="175">
        <v>0.28795811518324599</v>
      </c>
      <c r="J326" s="61"/>
    </row>
    <row r="327" spans="1:10" x14ac:dyDescent="0.2">
      <c r="A327" s="256" t="s">
        <v>338</v>
      </c>
      <c r="B327" s="174" t="s">
        <v>28</v>
      </c>
      <c r="C327" s="175">
        <v>0.189349112426035</v>
      </c>
      <c r="D327" s="175">
        <v>0.189349112426035</v>
      </c>
      <c r="E327" s="175">
        <v>0.189349112426035</v>
      </c>
      <c r="F327" s="175">
        <v>0.189349112426035</v>
      </c>
      <c r="G327" s="175">
        <v>0.189349112426035</v>
      </c>
      <c r="H327" s="175">
        <f t="shared" si="2"/>
        <v>0.23865361380464051</v>
      </c>
      <c r="I327" s="175">
        <v>0.28795811518324599</v>
      </c>
      <c r="J327" s="61"/>
    </row>
    <row r="328" spans="1:10" x14ac:dyDescent="0.2">
      <c r="A328" s="256" t="s">
        <v>591</v>
      </c>
      <c r="B328" s="174" t="s">
        <v>28</v>
      </c>
      <c r="C328" s="175">
        <v>0.189349112426035</v>
      </c>
      <c r="D328" s="175">
        <v>0.189349112426035</v>
      </c>
      <c r="E328" s="175">
        <v>0.189349112426035</v>
      </c>
      <c r="F328" s="175">
        <v>0.189349112426035</v>
      </c>
      <c r="G328" s="175">
        <v>0.189349112426035</v>
      </c>
      <c r="H328" s="175">
        <f t="shared" si="2"/>
        <v>0.23865361380464051</v>
      </c>
      <c r="I328" s="175">
        <v>0.28795811518324599</v>
      </c>
      <c r="J328" s="61"/>
    </row>
    <row r="329" spans="1:10" x14ac:dyDescent="0.2">
      <c r="A329" s="256" t="s">
        <v>592</v>
      </c>
      <c r="B329" s="174" t="s">
        <v>28</v>
      </c>
      <c r="C329" s="175">
        <v>0.189349112426035</v>
      </c>
      <c r="D329" s="175">
        <v>0.189349112426035</v>
      </c>
      <c r="E329" s="175">
        <v>0.189349112426035</v>
      </c>
      <c r="F329" s="175">
        <v>0.189349112426035</v>
      </c>
      <c r="G329" s="175">
        <v>0.189349112426035</v>
      </c>
      <c r="H329" s="175">
        <f t="shared" si="2"/>
        <v>0.23865361380464051</v>
      </c>
      <c r="I329" s="175">
        <v>0.28795811518324599</v>
      </c>
      <c r="J329" s="61"/>
    </row>
    <row r="330" spans="1:10" x14ac:dyDescent="0.2">
      <c r="A330" s="256" t="s">
        <v>593</v>
      </c>
      <c r="B330" s="174" t="s">
        <v>28</v>
      </c>
      <c r="C330" s="175">
        <v>0.189349112426035</v>
      </c>
      <c r="D330" s="175">
        <v>0.189349112426035</v>
      </c>
      <c r="E330" s="175">
        <v>0.189349112426035</v>
      </c>
      <c r="F330" s="175">
        <v>0.189349112426035</v>
      </c>
      <c r="G330" s="175">
        <v>0.189349112426035</v>
      </c>
      <c r="H330" s="175">
        <f t="shared" si="2"/>
        <v>0.1696745562130175</v>
      </c>
      <c r="I330" s="175">
        <v>0.15</v>
      </c>
      <c r="J330" s="61"/>
    </row>
    <row r="331" spans="1:10" x14ac:dyDescent="0.2">
      <c r="A331" s="256" t="s">
        <v>594</v>
      </c>
      <c r="B331" s="174" t="s">
        <v>28</v>
      </c>
      <c r="C331" s="175">
        <v>0.189349112426035</v>
      </c>
      <c r="D331" s="175">
        <v>0.189349112426035</v>
      </c>
      <c r="E331" s="175">
        <v>0.189349112426035</v>
      </c>
      <c r="F331" s="175">
        <v>0.189349112426035</v>
      </c>
      <c r="G331" s="175">
        <v>0.189349112426035</v>
      </c>
      <c r="H331" s="175">
        <f t="shared" si="2"/>
        <v>0.1696745562130175</v>
      </c>
      <c r="I331" s="175">
        <v>0.15</v>
      </c>
      <c r="J331" s="61"/>
    </row>
    <row r="332" spans="1:10" x14ac:dyDescent="0.2">
      <c r="A332" s="256" t="s">
        <v>595</v>
      </c>
      <c r="B332" s="174" t="s">
        <v>28</v>
      </c>
      <c r="C332" s="175">
        <v>0.189349112426035</v>
      </c>
      <c r="D332" s="175">
        <v>0.189349112426035</v>
      </c>
      <c r="E332" s="175">
        <v>0.189349112426035</v>
      </c>
      <c r="F332" s="175">
        <v>0.189349112426035</v>
      </c>
      <c r="G332" s="175">
        <v>0.189349112426035</v>
      </c>
      <c r="H332" s="175">
        <f t="shared" si="2"/>
        <v>0.1696745562130175</v>
      </c>
      <c r="I332" s="175">
        <v>0.15</v>
      </c>
      <c r="J332" s="61"/>
    </row>
    <row r="333" spans="1:10" x14ac:dyDescent="0.2">
      <c r="A333" s="256" t="s">
        <v>596</v>
      </c>
      <c r="B333" s="174" t="s">
        <v>28</v>
      </c>
      <c r="C333" s="175">
        <v>0.189349112426035</v>
      </c>
      <c r="D333" s="175">
        <v>0.189349112426035</v>
      </c>
      <c r="E333" s="175">
        <v>0.189349112426035</v>
      </c>
      <c r="F333" s="175">
        <v>0.189349112426035</v>
      </c>
      <c r="G333" s="175">
        <v>0.189349112426035</v>
      </c>
      <c r="H333" s="175">
        <f t="shared" si="2"/>
        <v>0.1696745562130175</v>
      </c>
      <c r="I333" s="175">
        <v>0.15</v>
      </c>
      <c r="J333" s="61"/>
    </row>
    <row r="334" spans="1:10" x14ac:dyDescent="0.2">
      <c r="A334" s="256" t="s">
        <v>597</v>
      </c>
      <c r="B334" s="174" t="s">
        <v>28</v>
      </c>
      <c r="C334" s="175">
        <v>0.189349112426035</v>
      </c>
      <c r="D334" s="175">
        <v>0.189349112426035</v>
      </c>
      <c r="E334" s="175">
        <v>0.189349112426035</v>
      </c>
      <c r="F334" s="175">
        <v>0.189349112426035</v>
      </c>
      <c r="G334" s="175">
        <v>0.189349112426035</v>
      </c>
      <c r="H334" s="175">
        <f t="shared" si="2"/>
        <v>0.1696745562130175</v>
      </c>
      <c r="I334" s="175">
        <v>0.15</v>
      </c>
      <c r="J334" s="61"/>
    </row>
    <row r="335" spans="1:10" x14ac:dyDescent="0.2">
      <c r="A335" s="256" t="s">
        <v>598</v>
      </c>
      <c r="B335" s="174" t="s">
        <v>28</v>
      </c>
      <c r="C335" s="175">
        <v>0.189349112426035</v>
      </c>
      <c r="D335" s="175">
        <v>0.189349112426035</v>
      </c>
      <c r="E335" s="175">
        <v>0.189349112426035</v>
      </c>
      <c r="F335" s="175">
        <v>0.189349112426035</v>
      </c>
      <c r="G335" s="175">
        <v>0.189349112426035</v>
      </c>
      <c r="H335" s="175">
        <f t="shared" si="2"/>
        <v>0.1696745562130175</v>
      </c>
      <c r="I335" s="175">
        <v>0.15</v>
      </c>
      <c r="J335" s="61"/>
    </row>
    <row r="336" spans="1:10" x14ac:dyDescent="0.2">
      <c r="A336" s="256" t="s">
        <v>599</v>
      </c>
      <c r="B336" s="174" t="s">
        <v>28</v>
      </c>
      <c r="C336" s="175">
        <v>0.189349112426035</v>
      </c>
      <c r="D336" s="175">
        <v>0.189349112426035</v>
      </c>
      <c r="E336" s="175">
        <v>0.189349112426035</v>
      </c>
      <c r="F336" s="175">
        <v>0.189349112426035</v>
      </c>
      <c r="G336" s="175">
        <v>0.189349112426035</v>
      </c>
      <c r="H336" s="175">
        <f t="shared" si="2"/>
        <v>0.1696745562130175</v>
      </c>
      <c r="I336" s="175">
        <v>0.15</v>
      </c>
      <c r="J336" s="61"/>
    </row>
    <row r="337" spans="1:24" x14ac:dyDescent="0.2">
      <c r="A337" s="256" t="s">
        <v>351</v>
      </c>
      <c r="B337" s="174" t="s">
        <v>28</v>
      </c>
      <c r="C337" s="175">
        <v>0.189349112426035</v>
      </c>
      <c r="D337" s="175">
        <v>0.189349112426035</v>
      </c>
      <c r="E337" s="175">
        <v>0.189349112426035</v>
      </c>
      <c r="F337" s="175">
        <v>0.189349112426035</v>
      </c>
      <c r="G337" s="175">
        <v>0.189349112426035</v>
      </c>
      <c r="H337" s="175">
        <f t="shared" si="2"/>
        <v>0.1696745562130175</v>
      </c>
      <c r="I337" s="175">
        <v>0.15</v>
      </c>
      <c r="J337" s="61"/>
    </row>
    <row r="338" spans="1:24" x14ac:dyDescent="0.2">
      <c r="A338" s="256" t="s">
        <v>361</v>
      </c>
      <c r="B338" s="174" t="s">
        <v>28</v>
      </c>
      <c r="C338" s="175">
        <v>0.189349112426035</v>
      </c>
      <c r="D338" s="175">
        <v>0.189349112426035</v>
      </c>
      <c r="E338" s="175">
        <v>0.189349112426035</v>
      </c>
      <c r="F338" s="175">
        <v>0.189349112426035</v>
      </c>
      <c r="G338" s="175">
        <v>0.189349112426035</v>
      </c>
      <c r="H338" s="175">
        <f t="shared" si="2"/>
        <v>0.1696745562130175</v>
      </c>
      <c r="I338" s="175">
        <v>0.15</v>
      </c>
      <c r="J338" s="61"/>
    </row>
    <row r="339" spans="1:24" ht="16" thickBot="1" x14ac:dyDescent="0.25">
      <c r="A339" s="256" t="s">
        <v>600</v>
      </c>
      <c r="B339" s="174" t="s">
        <v>28</v>
      </c>
      <c r="C339" s="175">
        <v>0.189349112426035</v>
      </c>
      <c r="D339" s="175">
        <v>0.189349112426035</v>
      </c>
      <c r="E339" s="175">
        <v>0.189349112426035</v>
      </c>
      <c r="F339" s="175">
        <v>0.189349112426035</v>
      </c>
      <c r="G339" s="175">
        <v>0.189349112426035</v>
      </c>
      <c r="H339" s="175">
        <f t="shared" si="2"/>
        <v>0.1696745562130175</v>
      </c>
      <c r="I339" s="175">
        <v>0.15</v>
      </c>
      <c r="J339" s="61"/>
    </row>
    <row r="340" spans="1:24" ht="18" customHeight="1" x14ac:dyDescent="0.25">
      <c r="A340" s="306" t="s">
        <v>625</v>
      </c>
      <c r="B340" s="306"/>
      <c r="C340" s="306"/>
      <c r="D340" s="306"/>
      <c r="E340" s="306"/>
      <c r="F340" s="306"/>
      <c r="G340" s="306"/>
      <c r="H340" s="306"/>
      <c r="I340" s="306"/>
    </row>
    <row r="341" spans="1:24" x14ac:dyDescent="0.2">
      <c r="A341" s="256" t="s">
        <v>626</v>
      </c>
      <c r="B341" s="190" t="s">
        <v>499</v>
      </c>
      <c r="C341" s="175">
        <v>0</v>
      </c>
      <c r="D341" s="175">
        <v>6.2534332762557102E-3</v>
      </c>
      <c r="E341" s="175">
        <v>1.25068665525114E-2</v>
      </c>
      <c r="F341" s="175">
        <v>1.35108581335616E-2</v>
      </c>
      <c r="G341" s="175">
        <v>1.4514849714611901E-2</v>
      </c>
      <c r="H341" s="175">
        <v>1.5518841295662099E-2</v>
      </c>
      <c r="I341" s="175">
        <v>1.6522832876712301E-2</v>
      </c>
    </row>
    <row r="342" spans="1:24" ht="16" thickBot="1" x14ac:dyDescent="0.25">
      <c r="H342" s="58"/>
      <c r="J342" s="61"/>
    </row>
    <row r="343" spans="1:24" ht="19" x14ac:dyDescent="0.25">
      <c r="A343" s="260" t="s">
        <v>627</v>
      </c>
      <c r="B343" s="261"/>
      <c r="C343" s="262"/>
    </row>
    <row r="344" spans="1:24" x14ac:dyDescent="0.2">
      <c r="A344" s="256" t="s">
        <v>434</v>
      </c>
      <c r="B344" s="174" t="s">
        <v>36</v>
      </c>
      <c r="C344" s="176">
        <v>2050</v>
      </c>
    </row>
    <row r="345" spans="1:24" ht="16" thickBot="1" x14ac:dyDescent="0.25">
      <c r="A345" s="263" t="s">
        <v>628</v>
      </c>
      <c r="B345" s="177" t="s">
        <v>327</v>
      </c>
      <c r="C345" s="264">
        <v>0.05</v>
      </c>
    </row>
    <row r="347" spans="1:24" ht="19" x14ac:dyDescent="0.25">
      <c r="A347" s="260" t="s">
        <v>629</v>
      </c>
      <c r="B347" s="260"/>
      <c r="C347" s="260"/>
      <c r="D347" s="260"/>
      <c r="E347" s="260"/>
      <c r="F347" s="260"/>
      <c r="G347" s="260"/>
      <c r="H347" s="260"/>
      <c r="I347" s="260"/>
    </row>
    <row r="348" spans="1:24" x14ac:dyDescent="0.2">
      <c r="A348" s="256" t="s">
        <v>630</v>
      </c>
      <c r="B348" s="174" t="s">
        <v>36</v>
      </c>
      <c r="C348" s="175">
        <v>2020</v>
      </c>
      <c r="D348" s="175">
        <f t="shared" ref="D348:I348" si="3">C348+5</f>
        <v>2025</v>
      </c>
      <c r="E348" s="175">
        <f t="shared" si="3"/>
        <v>2030</v>
      </c>
      <c r="F348" s="175">
        <f t="shared" si="3"/>
        <v>2035</v>
      </c>
      <c r="G348" s="175">
        <f t="shared" si="3"/>
        <v>2040</v>
      </c>
      <c r="H348" s="175">
        <f t="shared" si="3"/>
        <v>2045</v>
      </c>
      <c r="I348" s="175">
        <f t="shared" si="3"/>
        <v>2050</v>
      </c>
    </row>
    <row r="349" spans="1:24" x14ac:dyDescent="0.2">
      <c r="A349" s="256" t="s">
        <v>631</v>
      </c>
      <c r="B349" s="174" t="s">
        <v>632</v>
      </c>
      <c r="C349" s="175">
        <v>0</v>
      </c>
      <c r="D349" s="175">
        <v>0</v>
      </c>
      <c r="E349" s="175">
        <v>0</v>
      </c>
      <c r="F349" s="175">
        <v>0</v>
      </c>
      <c r="G349" s="175">
        <v>0</v>
      </c>
      <c r="H349" s="175">
        <v>0</v>
      </c>
      <c r="I349" s="175">
        <v>0</v>
      </c>
      <c r="M349" s="172"/>
      <c r="Q349" s="172"/>
      <c r="U349" s="172"/>
    </row>
    <row r="351" spans="1:24" ht="19" x14ac:dyDescent="0.25">
      <c r="A351" s="260" t="s">
        <v>633</v>
      </c>
      <c r="B351" s="260"/>
      <c r="C351" s="260"/>
      <c r="D351" s="260"/>
      <c r="E351" s="260"/>
      <c r="F351" s="260"/>
      <c r="G351" s="260"/>
      <c r="H351" s="260"/>
      <c r="I351" s="260"/>
      <c r="J351" s="260"/>
      <c r="K351" s="260"/>
      <c r="L351" s="260"/>
      <c r="M351" s="260"/>
      <c r="N351" s="260"/>
      <c r="O351" s="260"/>
      <c r="P351" s="260"/>
      <c r="Q351" s="260"/>
      <c r="R351" s="260"/>
      <c r="S351" s="260"/>
      <c r="T351" s="260"/>
      <c r="U351" s="260"/>
      <c r="V351" s="260"/>
      <c r="W351" s="260"/>
      <c r="X351" s="260"/>
    </row>
    <row r="352" spans="1:24" x14ac:dyDescent="0.2">
      <c r="A352" s="256" t="s">
        <v>630</v>
      </c>
      <c r="B352" s="174" t="s">
        <v>36</v>
      </c>
      <c r="C352" s="175">
        <v>1980</v>
      </c>
      <c r="D352" s="175">
        <v>2020</v>
      </c>
      <c r="E352" s="175">
        <f t="shared" ref="E352:X352" si="4">D352+5</f>
        <v>2025</v>
      </c>
      <c r="F352" s="175">
        <f t="shared" si="4"/>
        <v>2030</v>
      </c>
      <c r="G352" s="175">
        <f t="shared" si="4"/>
        <v>2035</v>
      </c>
      <c r="H352" s="175">
        <f t="shared" si="4"/>
        <v>2040</v>
      </c>
      <c r="I352" s="175">
        <f t="shared" si="4"/>
        <v>2045</v>
      </c>
      <c r="J352" s="175">
        <f t="shared" si="4"/>
        <v>2050</v>
      </c>
      <c r="K352" s="175">
        <f t="shared" si="4"/>
        <v>2055</v>
      </c>
      <c r="L352" s="175">
        <f t="shared" si="4"/>
        <v>2060</v>
      </c>
      <c r="M352" s="175">
        <f t="shared" si="4"/>
        <v>2065</v>
      </c>
      <c r="N352" s="175">
        <f t="shared" si="4"/>
        <v>2070</v>
      </c>
      <c r="O352" s="175">
        <f t="shared" si="4"/>
        <v>2075</v>
      </c>
      <c r="P352" s="175">
        <f t="shared" si="4"/>
        <v>2080</v>
      </c>
      <c r="Q352" s="175">
        <f t="shared" si="4"/>
        <v>2085</v>
      </c>
      <c r="R352" s="175">
        <f t="shared" si="4"/>
        <v>2090</v>
      </c>
      <c r="S352" s="175">
        <f t="shared" si="4"/>
        <v>2095</v>
      </c>
      <c r="T352" s="175">
        <f t="shared" si="4"/>
        <v>2100</v>
      </c>
      <c r="U352" s="175">
        <f t="shared" si="4"/>
        <v>2105</v>
      </c>
      <c r="V352" s="175">
        <f t="shared" si="4"/>
        <v>2110</v>
      </c>
      <c r="W352" s="175">
        <f t="shared" si="4"/>
        <v>2115</v>
      </c>
      <c r="X352" s="175">
        <f t="shared" si="4"/>
        <v>2120</v>
      </c>
    </row>
    <row r="353" spans="1:24" x14ac:dyDescent="0.2">
      <c r="A353" s="256" t="s">
        <v>633</v>
      </c>
      <c r="B353" s="174" t="s">
        <v>634</v>
      </c>
      <c r="C353" s="175"/>
      <c r="D353" s="175">
        <v>345</v>
      </c>
      <c r="E353" s="175"/>
      <c r="F353" s="175">
        <v>345</v>
      </c>
      <c r="G353" s="175"/>
      <c r="H353" s="175">
        <v>298</v>
      </c>
      <c r="I353" s="175"/>
      <c r="J353" s="175">
        <v>333</v>
      </c>
      <c r="K353" s="175"/>
      <c r="L353" s="175"/>
      <c r="M353" s="175"/>
      <c r="N353" s="175"/>
      <c r="O353" s="175"/>
      <c r="P353" s="175"/>
      <c r="Q353" s="175"/>
      <c r="R353" s="175"/>
      <c r="S353" s="175"/>
      <c r="T353" s="175"/>
      <c r="U353" s="175"/>
      <c r="V353" s="175"/>
      <c r="W353" s="175"/>
      <c r="X353" s="175"/>
    </row>
    <row r="354" spans="1:24" x14ac:dyDescent="0.2">
      <c r="H354" s="58"/>
      <c r="J354" s="61"/>
    </row>
    <row r="355" spans="1:24" x14ac:dyDescent="0.2">
      <c r="H355" s="58"/>
      <c r="J355" s="61"/>
    </row>
    <row r="356" spans="1:24" x14ac:dyDescent="0.2">
      <c r="H356" s="58"/>
      <c r="J356" s="61"/>
    </row>
    <row r="357" spans="1:24" x14ac:dyDescent="0.2">
      <c r="H357" s="58"/>
      <c r="J357" s="61"/>
    </row>
    <row r="358" spans="1:24" x14ac:dyDescent="0.2">
      <c r="H358" s="58"/>
      <c r="J358" s="61"/>
    </row>
    <row r="359" spans="1:24" ht="26" x14ac:dyDescent="0.3">
      <c r="A359" s="173" t="s">
        <v>635</v>
      </c>
    </row>
    <row r="362" spans="1:24" x14ac:dyDescent="0.2">
      <c r="H362" s="265"/>
    </row>
    <row r="363" spans="1:24" ht="16" thickBot="1" x14ac:dyDescent="0.25">
      <c r="H363" s="265"/>
    </row>
    <row r="364" spans="1:24" ht="19" x14ac:dyDescent="0.25">
      <c r="A364" s="306" t="s">
        <v>636</v>
      </c>
      <c r="B364" s="306"/>
      <c r="C364" s="306"/>
      <c r="D364" s="306"/>
      <c r="E364" s="306"/>
      <c r="F364" s="306"/>
      <c r="G364" s="306"/>
      <c r="H364" s="306"/>
    </row>
    <row r="365" spans="1:24" x14ac:dyDescent="0.2">
      <c r="A365" s="266" t="s">
        <v>36</v>
      </c>
      <c r="B365" s="175">
        <v>2020</v>
      </c>
      <c r="C365" s="175">
        <v>2025</v>
      </c>
      <c r="D365" s="175">
        <v>2030</v>
      </c>
      <c r="E365" s="175">
        <v>2035</v>
      </c>
      <c r="F365" s="175">
        <v>2040</v>
      </c>
      <c r="G365" s="175">
        <v>2045</v>
      </c>
      <c r="H365" s="176">
        <v>2050</v>
      </c>
    </row>
    <row r="366" spans="1:24" x14ac:dyDescent="0.2">
      <c r="A366" s="334" t="s">
        <v>472</v>
      </c>
      <c r="B366" s="334"/>
      <c r="C366" s="334"/>
      <c r="D366" s="334"/>
      <c r="E366" s="334"/>
      <c r="F366" s="334"/>
      <c r="G366" s="334"/>
      <c r="H366" s="334"/>
    </row>
    <row r="367" spans="1:24" x14ac:dyDescent="0.2">
      <c r="A367" s="267" t="s">
        <v>637</v>
      </c>
      <c r="B367" s="175">
        <v>18.8</v>
      </c>
      <c r="C367" s="175">
        <v>16.131631500000001</v>
      </c>
      <c r="D367" s="175">
        <v>13.486490999999999</v>
      </c>
      <c r="E367" s="175">
        <v>10.841350500000001</v>
      </c>
      <c r="F367" s="175">
        <v>8.1962100000000007</v>
      </c>
      <c r="G367" s="175">
        <v>5.5510694999999997</v>
      </c>
      <c r="H367" s="176">
        <v>2.9</v>
      </c>
    </row>
    <row r="368" spans="1:24" x14ac:dyDescent="0.2">
      <c r="A368" s="334" t="s">
        <v>479</v>
      </c>
      <c r="B368" s="334"/>
      <c r="C368" s="334"/>
      <c r="D368" s="334"/>
      <c r="E368" s="334"/>
      <c r="F368" s="334"/>
      <c r="G368" s="334"/>
      <c r="H368" s="334"/>
      <c r="I368" s="61"/>
    </row>
    <row r="369" spans="1:10" x14ac:dyDescent="0.2">
      <c r="A369" s="267" t="s">
        <v>637</v>
      </c>
      <c r="B369" s="175">
        <v>13.3</v>
      </c>
      <c r="C369" s="175">
        <v>11.390420000000001</v>
      </c>
      <c r="D369" s="175">
        <v>9.5290400000000002</v>
      </c>
      <c r="E369" s="175">
        <v>7.6676599999999997</v>
      </c>
      <c r="F369" s="175">
        <v>5.8062800000000001</v>
      </c>
      <c r="G369" s="175">
        <v>3.9449000000000001</v>
      </c>
      <c r="H369" s="176">
        <v>2.1</v>
      </c>
    </row>
    <row r="370" spans="1:10" x14ac:dyDescent="0.2">
      <c r="A370" s="334" t="s">
        <v>485</v>
      </c>
      <c r="B370" s="334"/>
      <c r="C370" s="334"/>
      <c r="D370" s="334"/>
      <c r="E370" s="334"/>
      <c r="F370" s="334"/>
      <c r="G370" s="334"/>
      <c r="H370" s="334"/>
      <c r="I370" s="61"/>
    </row>
    <row r="371" spans="1:10" ht="16" thickBot="1" x14ac:dyDescent="0.25">
      <c r="A371" s="268" t="s">
        <v>637</v>
      </c>
      <c r="B371" s="269">
        <v>2.4</v>
      </c>
      <c r="C371" s="269">
        <v>2.0830000000000002</v>
      </c>
      <c r="D371" s="269">
        <v>1.7689999999999999</v>
      </c>
      <c r="E371" s="269">
        <v>1.4550000000000001</v>
      </c>
      <c r="F371" s="269">
        <v>1.141</v>
      </c>
      <c r="G371" s="269">
        <v>0.82699999999999996</v>
      </c>
      <c r="H371" s="208">
        <v>0.5</v>
      </c>
    </row>
    <row r="373" spans="1:10" ht="19" x14ac:dyDescent="0.25">
      <c r="A373" s="306" t="s">
        <v>638</v>
      </c>
      <c r="B373" s="306"/>
      <c r="C373" s="306"/>
      <c r="D373" s="306"/>
      <c r="E373" s="306"/>
      <c r="F373" s="306"/>
      <c r="G373" s="306"/>
      <c r="H373" s="306"/>
      <c r="I373" s="306"/>
    </row>
    <row r="374" spans="1:10" x14ac:dyDescent="0.2">
      <c r="A374" s="270"/>
      <c r="B374" s="174" t="s">
        <v>36</v>
      </c>
      <c r="C374" s="175">
        <v>2020</v>
      </c>
      <c r="D374" s="175">
        <v>2025</v>
      </c>
      <c r="E374" s="175">
        <v>2030</v>
      </c>
      <c r="F374" s="175">
        <v>2035</v>
      </c>
      <c r="G374" s="175">
        <v>2040</v>
      </c>
      <c r="H374" s="175">
        <v>2045</v>
      </c>
      <c r="I374" s="176">
        <v>2050</v>
      </c>
    </row>
    <row r="375" spans="1:10" x14ac:dyDescent="0.2">
      <c r="A375" s="256" t="s">
        <v>639</v>
      </c>
      <c r="B375" s="174" t="s">
        <v>146</v>
      </c>
      <c r="C375" s="176">
        <v>-0.01</v>
      </c>
      <c r="D375" s="176">
        <v>-1.2999999999999999E-2</v>
      </c>
      <c r="E375" s="176">
        <v>-1.6E-2</v>
      </c>
      <c r="F375" s="176">
        <v>-1.9E-2</v>
      </c>
      <c r="G375" s="176">
        <v>-2.3E-2</v>
      </c>
      <c r="H375" s="176">
        <v>-2.5999999999999999E-2</v>
      </c>
      <c r="I375" s="176">
        <v>-2.9000000000000001E-2</v>
      </c>
    </row>
    <row r="376" spans="1:10" ht="16" thickBot="1" x14ac:dyDescent="0.25">
      <c r="A376" s="263" t="s">
        <v>640</v>
      </c>
      <c r="B376" s="177" t="s">
        <v>327</v>
      </c>
      <c r="C376" s="250">
        <v>0</v>
      </c>
      <c r="D376" s="250">
        <v>0</v>
      </c>
      <c r="E376" s="250">
        <v>0</v>
      </c>
      <c r="F376" s="250">
        <v>0</v>
      </c>
      <c r="G376" s="250">
        <v>0</v>
      </c>
      <c r="H376" s="250">
        <v>0</v>
      </c>
      <c r="I376" s="250">
        <v>0</v>
      </c>
    </row>
    <row r="380" spans="1:10" ht="27" thickBot="1" x14ac:dyDescent="0.35">
      <c r="A380" s="173" t="s">
        <v>641</v>
      </c>
      <c r="H380" s="58"/>
      <c r="J380" s="61"/>
    </row>
    <row r="381" spans="1:10" ht="19" x14ac:dyDescent="0.25">
      <c r="A381" s="306" t="s">
        <v>642</v>
      </c>
      <c r="B381" s="306"/>
      <c r="C381" s="306"/>
      <c r="H381" s="58"/>
      <c r="J381" s="61"/>
    </row>
    <row r="382" spans="1:10" x14ac:dyDescent="0.2">
      <c r="A382" s="256" t="s">
        <v>416</v>
      </c>
      <c r="B382" s="174" t="s">
        <v>28</v>
      </c>
      <c r="C382" s="176">
        <v>0</v>
      </c>
    </row>
    <row r="383" spans="1:10" x14ac:dyDescent="0.2">
      <c r="A383" s="256" t="s">
        <v>418</v>
      </c>
      <c r="B383" s="174" t="s">
        <v>125</v>
      </c>
      <c r="C383" s="176">
        <v>200</v>
      </c>
    </row>
    <row r="384" spans="1:10" x14ac:dyDescent="0.2">
      <c r="A384" s="256" t="s">
        <v>420</v>
      </c>
      <c r="B384" s="174" t="s">
        <v>643</v>
      </c>
      <c r="C384" s="271">
        <v>7.4000000000000003E-3</v>
      </c>
    </row>
    <row r="385" spans="1:38" x14ac:dyDescent="0.2">
      <c r="A385" s="256" t="s">
        <v>644</v>
      </c>
      <c r="B385" s="174" t="s">
        <v>36</v>
      </c>
      <c r="C385" s="176">
        <v>2020</v>
      </c>
    </row>
    <row r="386" spans="1:38" x14ac:dyDescent="0.2">
      <c r="A386" s="256" t="s">
        <v>424</v>
      </c>
      <c r="B386" s="174" t="s">
        <v>645</v>
      </c>
      <c r="C386" s="176">
        <v>185</v>
      </c>
    </row>
    <row r="387" spans="1:38" x14ac:dyDescent="0.2">
      <c r="A387" s="256" t="s">
        <v>427</v>
      </c>
      <c r="B387" s="174" t="s">
        <v>36</v>
      </c>
      <c r="C387" s="176">
        <v>2020</v>
      </c>
    </row>
    <row r="388" spans="1:38" ht="16" thickBot="1" x14ac:dyDescent="0.25">
      <c r="A388" s="263" t="s">
        <v>428</v>
      </c>
      <c r="B388" s="177" t="s">
        <v>36</v>
      </c>
      <c r="C388" s="208">
        <v>2050</v>
      </c>
    </row>
    <row r="390" spans="1:38" ht="14.25" customHeight="1" thickBot="1" x14ac:dyDescent="0.3">
      <c r="A390" s="336" t="s">
        <v>70</v>
      </c>
      <c r="B390" s="336"/>
      <c r="C390" s="336"/>
      <c r="F390" s="265"/>
      <c r="G390" s="265"/>
      <c r="H390" s="265"/>
      <c r="I390" s="265"/>
      <c r="J390" s="265"/>
      <c r="K390" s="265"/>
      <c r="L390" s="265"/>
      <c r="M390" s="265"/>
      <c r="N390" s="265"/>
      <c r="O390" s="265"/>
      <c r="P390" s="265"/>
      <c r="Q390" s="265"/>
      <c r="R390" s="265"/>
      <c r="S390" s="265"/>
      <c r="T390" s="265"/>
      <c r="U390" s="265"/>
      <c r="V390" s="265"/>
      <c r="W390" s="265"/>
      <c r="X390" s="265"/>
      <c r="Y390" s="265"/>
      <c r="Z390" s="265"/>
      <c r="AA390" s="265"/>
      <c r="AB390" s="265"/>
      <c r="AC390" s="265"/>
      <c r="AD390" s="265"/>
      <c r="AE390" s="265"/>
      <c r="AF390" s="265"/>
      <c r="AG390" s="265"/>
      <c r="AH390" s="265"/>
      <c r="AI390" s="265"/>
      <c r="AJ390" s="265"/>
      <c r="AK390" s="265"/>
      <c r="AL390" s="265"/>
    </row>
    <row r="391" spans="1:38" x14ac:dyDescent="0.2">
      <c r="A391" s="272" t="s">
        <v>75</v>
      </c>
      <c r="B391" s="217" t="s">
        <v>76</v>
      </c>
      <c r="C391" s="273">
        <v>135</v>
      </c>
      <c r="F391" s="265"/>
      <c r="G391" s="265"/>
      <c r="H391" s="265"/>
      <c r="I391" s="265"/>
      <c r="J391" s="265"/>
      <c r="K391" s="265"/>
      <c r="L391" s="265"/>
      <c r="M391" s="265"/>
      <c r="N391" s="265"/>
      <c r="O391" s="265"/>
      <c r="P391" s="265"/>
      <c r="Q391" s="265"/>
      <c r="R391" s="265"/>
      <c r="S391" s="265"/>
      <c r="T391" s="265"/>
      <c r="U391" s="265"/>
      <c r="V391" s="265"/>
      <c r="W391" s="265"/>
      <c r="X391" s="265"/>
      <c r="Y391" s="265"/>
      <c r="Z391" s="265"/>
      <c r="AA391" s="265"/>
      <c r="AB391" s="265"/>
      <c r="AC391" s="265"/>
      <c r="AD391" s="265"/>
      <c r="AE391" s="265"/>
      <c r="AF391" s="265"/>
      <c r="AG391" s="265"/>
      <c r="AH391" s="265"/>
      <c r="AI391" s="265"/>
      <c r="AJ391" s="265"/>
      <c r="AK391" s="265"/>
      <c r="AL391" s="265"/>
    </row>
    <row r="392" spans="1:38" x14ac:dyDescent="0.2">
      <c r="A392" s="256" t="s">
        <v>74</v>
      </c>
      <c r="B392" s="174" t="s">
        <v>28</v>
      </c>
      <c r="C392" s="176">
        <v>0.2</v>
      </c>
      <c r="F392" s="265"/>
      <c r="G392" s="265"/>
      <c r="H392" s="265"/>
      <c r="I392" s="265"/>
      <c r="J392" s="265"/>
      <c r="K392" s="265"/>
      <c r="L392" s="265"/>
      <c r="M392" s="265"/>
      <c r="N392" s="265"/>
      <c r="O392" s="265"/>
      <c r="P392" s="265"/>
      <c r="Q392" s="265"/>
      <c r="R392" s="265"/>
      <c r="S392" s="265"/>
      <c r="T392" s="265"/>
      <c r="U392" s="265"/>
      <c r="V392" s="265"/>
      <c r="W392" s="265"/>
      <c r="X392" s="265"/>
      <c r="Y392" s="265"/>
      <c r="Z392" s="265"/>
      <c r="AA392" s="265"/>
      <c r="AB392" s="265"/>
      <c r="AC392" s="265"/>
      <c r="AD392" s="265"/>
      <c r="AE392" s="265"/>
      <c r="AF392" s="265"/>
      <c r="AG392" s="265"/>
      <c r="AH392" s="265"/>
      <c r="AI392" s="265"/>
      <c r="AJ392" s="265"/>
      <c r="AK392" s="265"/>
      <c r="AL392" s="265"/>
    </row>
    <row r="393" spans="1:38" x14ac:dyDescent="0.2">
      <c r="A393" s="256" t="s">
        <v>80</v>
      </c>
      <c r="B393" s="174" t="s">
        <v>28</v>
      </c>
      <c r="C393" s="176">
        <v>2020</v>
      </c>
      <c r="F393" s="265"/>
      <c r="G393" s="265"/>
      <c r="H393" s="265"/>
      <c r="I393" s="265"/>
      <c r="J393" s="265"/>
      <c r="K393" s="265"/>
      <c r="L393" s="265"/>
      <c r="M393" s="265"/>
      <c r="N393" s="265"/>
      <c r="O393" s="265"/>
      <c r="P393" s="265"/>
      <c r="Q393" s="265"/>
      <c r="R393" s="265"/>
      <c r="S393" s="265"/>
      <c r="T393" s="265"/>
      <c r="U393" s="265"/>
      <c r="V393" s="265"/>
      <c r="W393" s="265"/>
      <c r="X393" s="265"/>
      <c r="Y393" s="265"/>
      <c r="Z393" s="265"/>
      <c r="AA393" s="265"/>
      <c r="AB393" s="265"/>
      <c r="AC393" s="265"/>
      <c r="AD393" s="265"/>
      <c r="AE393" s="265"/>
      <c r="AF393" s="265"/>
      <c r="AG393" s="265"/>
      <c r="AH393" s="265"/>
      <c r="AI393" s="265"/>
      <c r="AJ393" s="265"/>
      <c r="AK393" s="265"/>
      <c r="AL393" s="265"/>
    </row>
    <row r="394" spans="1:38" ht="16" thickBot="1" x14ac:dyDescent="0.25">
      <c r="A394" s="263" t="s">
        <v>83</v>
      </c>
      <c r="B394" s="177" t="s">
        <v>28</v>
      </c>
      <c r="C394" s="208">
        <v>2050</v>
      </c>
      <c r="F394" s="265"/>
      <c r="G394" s="265"/>
      <c r="H394" s="265"/>
      <c r="I394" s="265"/>
      <c r="J394" s="265"/>
      <c r="K394" s="265"/>
      <c r="L394" s="265"/>
      <c r="M394" s="265"/>
      <c r="N394" s="265"/>
      <c r="O394" s="265"/>
      <c r="P394" s="265"/>
      <c r="Q394" s="265"/>
      <c r="R394" s="265"/>
      <c r="S394" s="265"/>
      <c r="T394" s="265"/>
      <c r="U394" s="265"/>
      <c r="V394" s="265"/>
      <c r="W394" s="265"/>
      <c r="X394" s="265"/>
      <c r="Y394" s="265"/>
      <c r="Z394" s="265"/>
      <c r="AA394" s="265"/>
      <c r="AB394" s="265"/>
      <c r="AC394" s="265"/>
      <c r="AD394" s="265"/>
      <c r="AE394" s="265"/>
      <c r="AF394" s="265"/>
      <c r="AG394" s="265"/>
      <c r="AH394" s="265"/>
      <c r="AI394" s="265"/>
      <c r="AJ394" s="265"/>
      <c r="AK394" s="265"/>
      <c r="AL394" s="265"/>
    </row>
    <row r="397" spans="1:38" ht="19" x14ac:dyDescent="0.25">
      <c r="A397" s="336" t="s">
        <v>86</v>
      </c>
      <c r="B397" s="336"/>
      <c r="C397" s="336"/>
    </row>
    <row r="398" spans="1:38" x14ac:dyDescent="0.2">
      <c r="A398" s="256" t="s">
        <v>89</v>
      </c>
      <c r="B398" s="174" t="s">
        <v>28</v>
      </c>
      <c r="C398" s="250">
        <v>0.5</v>
      </c>
    </row>
    <row r="399" spans="1:38" x14ac:dyDescent="0.2">
      <c r="A399" s="256" t="s">
        <v>92</v>
      </c>
      <c r="B399" s="174" t="s">
        <v>28</v>
      </c>
      <c r="C399" s="250">
        <v>0.5</v>
      </c>
    </row>
    <row r="400" spans="1:38" x14ac:dyDescent="0.2">
      <c r="A400" s="256" t="s">
        <v>93</v>
      </c>
      <c r="B400" s="174" t="s">
        <v>28</v>
      </c>
      <c r="C400" s="250">
        <v>0.5</v>
      </c>
    </row>
    <row r="401" spans="1:17" ht="16" thickBot="1" x14ac:dyDescent="0.25">
      <c r="A401" s="263" t="s">
        <v>118</v>
      </c>
      <c r="B401" s="177" t="s">
        <v>28</v>
      </c>
      <c r="C401" s="274">
        <v>0.5</v>
      </c>
    </row>
    <row r="403" spans="1:17" ht="15.75" customHeight="1" x14ac:dyDescent="0.25">
      <c r="A403" s="336" t="s">
        <v>646</v>
      </c>
      <c r="B403" s="336"/>
      <c r="C403" s="275" t="s">
        <v>576</v>
      </c>
      <c r="D403" s="276" t="s">
        <v>579</v>
      </c>
      <c r="E403" s="276" t="s">
        <v>647</v>
      </c>
      <c r="F403" s="276" t="s">
        <v>648</v>
      </c>
      <c r="G403" s="276" t="s">
        <v>649</v>
      </c>
      <c r="H403" s="276" t="s">
        <v>650</v>
      </c>
      <c r="I403" s="276" t="s">
        <v>651</v>
      </c>
      <c r="J403" s="276" t="s">
        <v>652</v>
      </c>
      <c r="K403" s="276" t="s">
        <v>354</v>
      </c>
      <c r="L403" s="276" t="s">
        <v>653</v>
      </c>
      <c r="M403" s="276" t="s">
        <v>654</v>
      </c>
      <c r="N403" s="276" t="s">
        <v>655</v>
      </c>
      <c r="O403" s="276" t="s">
        <v>656</v>
      </c>
      <c r="P403" s="276" t="s">
        <v>657</v>
      </c>
      <c r="Q403" s="277" t="s">
        <v>658</v>
      </c>
    </row>
    <row r="404" spans="1:17" ht="16" thickBot="1" x14ac:dyDescent="0.25">
      <c r="A404" s="256" t="s">
        <v>659</v>
      </c>
      <c r="B404" s="337" t="s">
        <v>374</v>
      </c>
      <c r="C404" s="176" t="s">
        <v>660</v>
      </c>
      <c r="D404" s="176" t="s">
        <v>660</v>
      </c>
      <c r="E404" s="176" t="s">
        <v>660</v>
      </c>
      <c r="F404" s="176" t="s">
        <v>660</v>
      </c>
      <c r="G404" s="176" t="s">
        <v>660</v>
      </c>
      <c r="H404" s="176" t="s">
        <v>660</v>
      </c>
      <c r="I404" s="176" t="s">
        <v>660</v>
      </c>
      <c r="J404" s="176" t="s">
        <v>660</v>
      </c>
      <c r="K404" s="176" t="s">
        <v>660</v>
      </c>
      <c r="L404" s="176" t="s">
        <v>660</v>
      </c>
      <c r="M404" s="176" t="s">
        <v>660</v>
      </c>
      <c r="N404" s="176" t="s">
        <v>660</v>
      </c>
      <c r="O404" s="176" t="s">
        <v>660</v>
      </c>
      <c r="P404" s="176" t="s">
        <v>660</v>
      </c>
      <c r="Q404" s="176" t="s">
        <v>660</v>
      </c>
    </row>
    <row r="405" spans="1:17" ht="16" thickBot="1" x14ac:dyDescent="0.25">
      <c r="A405" s="256" t="s">
        <v>661</v>
      </c>
      <c r="B405" s="337"/>
      <c r="C405" s="176" t="s">
        <v>660</v>
      </c>
      <c r="D405" s="176" t="s">
        <v>660</v>
      </c>
      <c r="E405" s="176" t="s">
        <v>660</v>
      </c>
      <c r="F405" s="176" t="s">
        <v>660</v>
      </c>
      <c r="G405" s="176" t="s">
        <v>660</v>
      </c>
      <c r="H405" s="176" t="s">
        <v>660</v>
      </c>
      <c r="I405" s="176" t="s">
        <v>660</v>
      </c>
      <c r="J405" s="176" t="s">
        <v>660</v>
      </c>
      <c r="K405" s="176" t="s">
        <v>660</v>
      </c>
      <c r="L405" s="176" t="s">
        <v>660</v>
      </c>
      <c r="M405" s="176" t="s">
        <v>660</v>
      </c>
      <c r="N405" s="176" t="s">
        <v>660</v>
      </c>
      <c r="O405" s="176" t="s">
        <v>660</v>
      </c>
      <c r="P405" s="176" t="s">
        <v>660</v>
      </c>
      <c r="Q405" s="176" t="s">
        <v>660</v>
      </c>
    </row>
    <row r="406" spans="1:17" ht="16" thickBot="1" x14ac:dyDescent="0.25">
      <c r="A406" s="256" t="s">
        <v>662</v>
      </c>
      <c r="B406" s="337"/>
      <c r="C406" s="176" t="s">
        <v>660</v>
      </c>
      <c r="D406" s="176" t="s">
        <v>660</v>
      </c>
      <c r="E406" s="176" t="s">
        <v>660</v>
      </c>
      <c r="F406" s="176" t="s">
        <v>660</v>
      </c>
      <c r="G406" s="176" t="s">
        <v>660</v>
      </c>
      <c r="H406" s="176" t="s">
        <v>660</v>
      </c>
      <c r="I406" s="176" t="s">
        <v>660</v>
      </c>
      <c r="J406" s="176" t="s">
        <v>660</v>
      </c>
      <c r="K406" s="176" t="s">
        <v>660</v>
      </c>
      <c r="L406" s="176" t="s">
        <v>660</v>
      </c>
      <c r="M406" s="176" t="s">
        <v>660</v>
      </c>
      <c r="N406" s="176" t="s">
        <v>660</v>
      </c>
      <c r="O406" s="176" t="s">
        <v>660</v>
      </c>
      <c r="P406" s="176" t="s">
        <v>660</v>
      </c>
      <c r="Q406" s="176" t="s">
        <v>660</v>
      </c>
    </row>
    <row r="407" spans="1:17" ht="16" thickBot="1" x14ac:dyDescent="0.25">
      <c r="A407" s="256" t="s">
        <v>663</v>
      </c>
      <c r="B407" s="337"/>
      <c r="C407" s="176" t="s">
        <v>660</v>
      </c>
      <c r="D407" s="176" t="s">
        <v>660</v>
      </c>
      <c r="E407" s="176" t="s">
        <v>660</v>
      </c>
      <c r="F407" s="176" t="s">
        <v>660</v>
      </c>
      <c r="G407" s="176" t="s">
        <v>660</v>
      </c>
      <c r="H407" s="176" t="s">
        <v>660</v>
      </c>
      <c r="I407" s="176" t="s">
        <v>660</v>
      </c>
      <c r="J407" s="176" t="s">
        <v>660</v>
      </c>
      <c r="K407" s="176" t="s">
        <v>660</v>
      </c>
      <c r="L407" s="176" t="s">
        <v>660</v>
      </c>
      <c r="M407" s="176" t="s">
        <v>660</v>
      </c>
      <c r="N407" s="176" t="s">
        <v>660</v>
      </c>
      <c r="O407" s="176" t="s">
        <v>660</v>
      </c>
      <c r="P407" s="176" t="s">
        <v>660</v>
      </c>
      <c r="Q407" s="176" t="s">
        <v>660</v>
      </c>
    </row>
    <row r="408" spans="1:17" ht="16" thickBot="1" x14ac:dyDescent="0.25">
      <c r="A408" s="256" t="s">
        <v>664</v>
      </c>
      <c r="B408" s="337"/>
      <c r="C408" s="176" t="s">
        <v>660</v>
      </c>
      <c r="D408" s="176" t="s">
        <v>660</v>
      </c>
      <c r="E408" s="176" t="s">
        <v>660</v>
      </c>
      <c r="F408" s="176" t="s">
        <v>660</v>
      </c>
      <c r="G408" s="176" t="s">
        <v>660</v>
      </c>
      <c r="H408" s="176" t="s">
        <v>660</v>
      </c>
      <c r="I408" s="176" t="s">
        <v>660</v>
      </c>
      <c r="J408" s="176" t="s">
        <v>660</v>
      </c>
      <c r="K408" s="176" t="s">
        <v>660</v>
      </c>
      <c r="L408" s="176" t="s">
        <v>660</v>
      </c>
      <c r="M408" s="176" t="s">
        <v>660</v>
      </c>
      <c r="N408" s="176" t="s">
        <v>660</v>
      </c>
      <c r="O408" s="176" t="s">
        <v>660</v>
      </c>
      <c r="P408" s="176" t="s">
        <v>660</v>
      </c>
      <c r="Q408" s="176" t="s">
        <v>660</v>
      </c>
    </row>
    <row r="409" spans="1:17" ht="16" thickBot="1" x14ac:dyDescent="0.25">
      <c r="A409" s="256" t="s">
        <v>659</v>
      </c>
      <c r="B409" s="337" t="s">
        <v>375</v>
      </c>
      <c r="C409" s="176" t="s">
        <v>660</v>
      </c>
      <c r="D409" s="176" t="s">
        <v>660</v>
      </c>
      <c r="E409" s="176" t="s">
        <v>660</v>
      </c>
      <c r="F409" s="176" t="s">
        <v>660</v>
      </c>
      <c r="G409" s="176" t="s">
        <v>660</v>
      </c>
      <c r="H409" s="176" t="s">
        <v>660</v>
      </c>
      <c r="I409" s="176" t="s">
        <v>660</v>
      </c>
      <c r="J409" s="176" t="s">
        <v>660</v>
      </c>
      <c r="K409" s="176" t="s">
        <v>660</v>
      </c>
      <c r="L409" s="176" t="s">
        <v>660</v>
      </c>
      <c r="M409" s="176" t="s">
        <v>660</v>
      </c>
      <c r="N409" s="176" t="s">
        <v>660</v>
      </c>
      <c r="O409" s="176" t="s">
        <v>660</v>
      </c>
      <c r="P409" s="176" t="s">
        <v>660</v>
      </c>
      <c r="Q409" s="176" t="s">
        <v>660</v>
      </c>
    </row>
    <row r="410" spans="1:17" ht="16" thickBot="1" x14ac:dyDescent="0.25">
      <c r="A410" s="256" t="s">
        <v>661</v>
      </c>
      <c r="B410" s="337"/>
      <c r="C410" s="176" t="s">
        <v>660</v>
      </c>
      <c r="D410" s="176" t="s">
        <v>660</v>
      </c>
      <c r="E410" s="176" t="s">
        <v>660</v>
      </c>
      <c r="F410" s="176" t="s">
        <v>660</v>
      </c>
      <c r="G410" s="176" t="s">
        <v>660</v>
      </c>
      <c r="H410" s="176" t="s">
        <v>660</v>
      </c>
      <c r="I410" s="176" t="s">
        <v>660</v>
      </c>
      <c r="J410" s="176" t="s">
        <v>660</v>
      </c>
      <c r="K410" s="176" t="s">
        <v>660</v>
      </c>
      <c r="L410" s="176" t="s">
        <v>660</v>
      </c>
      <c r="M410" s="176" t="s">
        <v>660</v>
      </c>
      <c r="N410" s="176" t="s">
        <v>660</v>
      </c>
      <c r="O410" s="176" t="s">
        <v>660</v>
      </c>
      <c r="P410" s="176" t="s">
        <v>660</v>
      </c>
      <c r="Q410" s="176" t="s">
        <v>660</v>
      </c>
    </row>
    <row r="411" spans="1:17" ht="16" thickBot="1" x14ac:dyDescent="0.25">
      <c r="A411" s="256" t="s">
        <v>662</v>
      </c>
      <c r="B411" s="337"/>
      <c r="C411" s="176" t="s">
        <v>660</v>
      </c>
      <c r="D411" s="176" t="s">
        <v>660</v>
      </c>
      <c r="E411" s="176" t="s">
        <v>660</v>
      </c>
      <c r="F411" s="176" t="s">
        <v>660</v>
      </c>
      <c r="G411" s="176" t="s">
        <v>660</v>
      </c>
      <c r="H411" s="176" t="s">
        <v>660</v>
      </c>
      <c r="I411" s="176" t="s">
        <v>660</v>
      </c>
      <c r="J411" s="176" t="s">
        <v>660</v>
      </c>
      <c r="K411" s="176" t="s">
        <v>660</v>
      </c>
      <c r="L411" s="176" t="s">
        <v>660</v>
      </c>
      <c r="M411" s="176" t="s">
        <v>660</v>
      </c>
      <c r="N411" s="176" t="s">
        <v>660</v>
      </c>
      <c r="O411" s="176" t="s">
        <v>660</v>
      </c>
      <c r="P411" s="176" t="s">
        <v>660</v>
      </c>
      <c r="Q411" s="176" t="s">
        <v>660</v>
      </c>
    </row>
    <row r="412" spans="1:17" ht="16" thickBot="1" x14ac:dyDescent="0.25">
      <c r="A412" s="256" t="s">
        <v>663</v>
      </c>
      <c r="B412" s="337"/>
      <c r="C412" s="176" t="s">
        <v>660</v>
      </c>
      <c r="D412" s="176" t="s">
        <v>660</v>
      </c>
      <c r="E412" s="176" t="s">
        <v>660</v>
      </c>
      <c r="F412" s="176" t="s">
        <v>660</v>
      </c>
      <c r="G412" s="176" t="s">
        <v>660</v>
      </c>
      <c r="H412" s="176" t="s">
        <v>660</v>
      </c>
      <c r="I412" s="176" t="s">
        <v>660</v>
      </c>
      <c r="J412" s="176" t="s">
        <v>660</v>
      </c>
      <c r="K412" s="176" t="s">
        <v>660</v>
      </c>
      <c r="L412" s="176" t="s">
        <v>660</v>
      </c>
      <c r="M412" s="176" t="s">
        <v>660</v>
      </c>
      <c r="N412" s="176" t="s">
        <v>660</v>
      </c>
      <c r="O412" s="176" t="s">
        <v>660</v>
      </c>
      <c r="P412" s="176" t="s">
        <v>660</v>
      </c>
      <c r="Q412" s="176" t="s">
        <v>660</v>
      </c>
    </row>
    <row r="413" spans="1:17" ht="16" thickBot="1" x14ac:dyDescent="0.25">
      <c r="A413" s="256" t="s">
        <v>664</v>
      </c>
      <c r="B413" s="337"/>
      <c r="C413" s="176" t="s">
        <v>660</v>
      </c>
      <c r="D413" s="176" t="s">
        <v>660</v>
      </c>
      <c r="E413" s="176" t="s">
        <v>660</v>
      </c>
      <c r="F413" s="176" t="s">
        <v>660</v>
      </c>
      <c r="G413" s="176" t="s">
        <v>660</v>
      </c>
      <c r="H413" s="176" t="s">
        <v>660</v>
      </c>
      <c r="I413" s="176" t="s">
        <v>660</v>
      </c>
      <c r="J413" s="176" t="s">
        <v>660</v>
      </c>
      <c r="K413" s="176" t="s">
        <v>660</v>
      </c>
      <c r="L413" s="176" t="s">
        <v>660</v>
      </c>
      <c r="M413" s="176" t="s">
        <v>660</v>
      </c>
      <c r="N413" s="176" t="s">
        <v>660</v>
      </c>
      <c r="O413" s="176" t="s">
        <v>660</v>
      </c>
      <c r="P413" s="176" t="s">
        <v>660</v>
      </c>
      <c r="Q413" s="176" t="s">
        <v>660</v>
      </c>
    </row>
    <row r="414" spans="1:17" ht="16" thickBot="1" x14ac:dyDescent="0.25">
      <c r="A414" s="256" t="s">
        <v>665</v>
      </c>
      <c r="B414" s="337" t="s">
        <v>376</v>
      </c>
      <c r="C414" s="176" t="s">
        <v>660</v>
      </c>
      <c r="D414" s="176" t="s">
        <v>660</v>
      </c>
      <c r="E414" s="176" t="s">
        <v>660</v>
      </c>
      <c r="F414" s="176" t="s">
        <v>660</v>
      </c>
      <c r="G414" s="176" t="s">
        <v>660</v>
      </c>
      <c r="H414" s="176" t="s">
        <v>660</v>
      </c>
      <c r="I414" s="176" t="s">
        <v>660</v>
      </c>
      <c r="J414" s="176" t="s">
        <v>660</v>
      </c>
      <c r="K414" s="176" t="s">
        <v>660</v>
      </c>
      <c r="L414" s="176" t="s">
        <v>660</v>
      </c>
      <c r="M414" s="176" t="s">
        <v>660</v>
      </c>
      <c r="N414" s="176" t="s">
        <v>660</v>
      </c>
      <c r="O414" s="176" t="s">
        <v>660</v>
      </c>
      <c r="P414" s="176" t="s">
        <v>660</v>
      </c>
      <c r="Q414" s="176" t="s">
        <v>660</v>
      </c>
    </row>
    <row r="415" spans="1:17" ht="16" thickBot="1" x14ac:dyDescent="0.25">
      <c r="A415" s="256" t="s">
        <v>661</v>
      </c>
      <c r="B415" s="337"/>
      <c r="C415" s="176" t="s">
        <v>660</v>
      </c>
      <c r="D415" s="176" t="s">
        <v>660</v>
      </c>
      <c r="E415" s="176" t="s">
        <v>660</v>
      </c>
      <c r="F415" s="176" t="s">
        <v>660</v>
      </c>
      <c r="G415" s="176" t="s">
        <v>660</v>
      </c>
      <c r="H415" s="176" t="s">
        <v>660</v>
      </c>
      <c r="I415" s="176" t="s">
        <v>660</v>
      </c>
      <c r="J415" s="176" t="s">
        <v>660</v>
      </c>
      <c r="K415" s="176" t="s">
        <v>660</v>
      </c>
      <c r="L415" s="176" t="s">
        <v>660</v>
      </c>
      <c r="M415" s="176" t="s">
        <v>660</v>
      </c>
      <c r="N415" s="176" t="s">
        <v>660</v>
      </c>
      <c r="O415" s="176" t="s">
        <v>660</v>
      </c>
      <c r="P415" s="176" t="s">
        <v>660</v>
      </c>
      <c r="Q415" s="176" t="s">
        <v>660</v>
      </c>
    </row>
    <row r="416" spans="1:17" ht="16" thickBot="1" x14ac:dyDescent="0.25">
      <c r="A416" s="256" t="s">
        <v>662</v>
      </c>
      <c r="B416" s="337"/>
      <c r="C416" s="176" t="s">
        <v>660</v>
      </c>
      <c r="D416" s="176" t="s">
        <v>660</v>
      </c>
      <c r="E416" s="176" t="s">
        <v>660</v>
      </c>
      <c r="F416" s="176" t="s">
        <v>660</v>
      </c>
      <c r="G416" s="176" t="s">
        <v>660</v>
      </c>
      <c r="H416" s="176" t="s">
        <v>660</v>
      </c>
      <c r="I416" s="176" t="s">
        <v>660</v>
      </c>
      <c r="J416" s="176" t="s">
        <v>660</v>
      </c>
      <c r="K416" s="176" t="s">
        <v>660</v>
      </c>
      <c r="L416" s="176" t="s">
        <v>660</v>
      </c>
      <c r="M416" s="176" t="s">
        <v>660</v>
      </c>
      <c r="N416" s="176" t="s">
        <v>660</v>
      </c>
      <c r="O416" s="176" t="s">
        <v>660</v>
      </c>
      <c r="P416" s="176" t="s">
        <v>660</v>
      </c>
      <c r="Q416" s="176" t="s">
        <v>660</v>
      </c>
    </row>
    <row r="417" spans="1:17" ht="16" thickBot="1" x14ac:dyDescent="0.25">
      <c r="A417" s="256" t="s">
        <v>663</v>
      </c>
      <c r="B417" s="337"/>
      <c r="C417" s="176" t="s">
        <v>660</v>
      </c>
      <c r="D417" s="176" t="s">
        <v>660</v>
      </c>
      <c r="E417" s="176" t="s">
        <v>660</v>
      </c>
      <c r="F417" s="176" t="s">
        <v>660</v>
      </c>
      <c r="G417" s="176" t="s">
        <v>660</v>
      </c>
      <c r="H417" s="176" t="s">
        <v>660</v>
      </c>
      <c r="I417" s="176" t="s">
        <v>660</v>
      </c>
      <c r="J417" s="176" t="s">
        <v>660</v>
      </c>
      <c r="K417" s="176" t="s">
        <v>660</v>
      </c>
      <c r="L417" s="176" t="s">
        <v>660</v>
      </c>
      <c r="M417" s="176" t="s">
        <v>660</v>
      </c>
      <c r="N417" s="176" t="s">
        <v>660</v>
      </c>
      <c r="O417" s="176" t="s">
        <v>660</v>
      </c>
      <c r="P417" s="176" t="s">
        <v>660</v>
      </c>
      <c r="Q417" s="176" t="s">
        <v>660</v>
      </c>
    </row>
    <row r="418" spans="1:17" ht="16" thickBot="1" x14ac:dyDescent="0.25">
      <c r="A418" s="256" t="s">
        <v>664</v>
      </c>
      <c r="B418" s="337"/>
      <c r="C418" s="176" t="s">
        <v>660</v>
      </c>
      <c r="D418" s="176" t="s">
        <v>660</v>
      </c>
      <c r="E418" s="176" t="s">
        <v>660</v>
      </c>
      <c r="F418" s="176" t="s">
        <v>660</v>
      </c>
      <c r="G418" s="176" t="s">
        <v>660</v>
      </c>
      <c r="H418" s="176" t="s">
        <v>660</v>
      </c>
      <c r="I418" s="176" t="s">
        <v>660</v>
      </c>
      <c r="J418" s="176" t="s">
        <v>660</v>
      </c>
      <c r="K418" s="176" t="s">
        <v>660</v>
      </c>
      <c r="L418" s="176" t="s">
        <v>660</v>
      </c>
      <c r="M418" s="176" t="s">
        <v>660</v>
      </c>
      <c r="N418" s="176" t="s">
        <v>660</v>
      </c>
      <c r="O418" s="176" t="s">
        <v>660</v>
      </c>
      <c r="P418" s="176" t="s">
        <v>660</v>
      </c>
      <c r="Q418" s="176" t="s">
        <v>660</v>
      </c>
    </row>
    <row r="419" spans="1:17" ht="16" thickBot="1" x14ac:dyDescent="0.25">
      <c r="A419" s="256" t="s">
        <v>659</v>
      </c>
      <c r="B419" s="337" t="s">
        <v>377</v>
      </c>
      <c r="C419" s="176" t="s">
        <v>660</v>
      </c>
      <c r="D419" s="176" t="s">
        <v>660</v>
      </c>
      <c r="E419" s="176" t="s">
        <v>660</v>
      </c>
      <c r="F419" s="176" t="s">
        <v>660</v>
      </c>
      <c r="G419" s="176" t="s">
        <v>660</v>
      </c>
      <c r="H419" s="176" t="s">
        <v>660</v>
      </c>
      <c r="I419" s="176" t="s">
        <v>660</v>
      </c>
      <c r="J419" s="176" t="s">
        <v>660</v>
      </c>
      <c r="K419" s="176" t="s">
        <v>660</v>
      </c>
      <c r="L419" s="176" t="s">
        <v>660</v>
      </c>
      <c r="M419" s="176" t="s">
        <v>660</v>
      </c>
      <c r="N419" s="176" t="s">
        <v>660</v>
      </c>
      <c r="O419" s="176" t="s">
        <v>660</v>
      </c>
      <c r="P419" s="176" t="s">
        <v>660</v>
      </c>
      <c r="Q419" s="176" t="s">
        <v>660</v>
      </c>
    </row>
    <row r="420" spans="1:17" ht="16" thickBot="1" x14ac:dyDescent="0.25">
      <c r="A420" s="256" t="s">
        <v>661</v>
      </c>
      <c r="B420" s="337"/>
      <c r="C420" s="176" t="s">
        <v>660</v>
      </c>
      <c r="D420" s="176" t="s">
        <v>660</v>
      </c>
      <c r="E420" s="176" t="s">
        <v>660</v>
      </c>
      <c r="F420" s="176" t="s">
        <v>660</v>
      </c>
      <c r="G420" s="176" t="s">
        <v>660</v>
      </c>
      <c r="H420" s="176" t="s">
        <v>660</v>
      </c>
      <c r="I420" s="176" t="s">
        <v>660</v>
      </c>
      <c r="J420" s="176" t="s">
        <v>660</v>
      </c>
      <c r="K420" s="176" t="s">
        <v>660</v>
      </c>
      <c r="L420" s="176" t="s">
        <v>660</v>
      </c>
      <c r="M420" s="176" t="s">
        <v>660</v>
      </c>
      <c r="N420" s="176" t="s">
        <v>660</v>
      </c>
      <c r="O420" s="176" t="s">
        <v>660</v>
      </c>
      <c r="P420" s="176" t="s">
        <v>660</v>
      </c>
      <c r="Q420" s="176" t="s">
        <v>660</v>
      </c>
    </row>
    <row r="421" spans="1:17" ht="16" thickBot="1" x14ac:dyDescent="0.25">
      <c r="A421" s="256" t="s">
        <v>662</v>
      </c>
      <c r="B421" s="337"/>
      <c r="C421" s="176" t="s">
        <v>660</v>
      </c>
      <c r="D421" s="176" t="s">
        <v>660</v>
      </c>
      <c r="E421" s="176" t="s">
        <v>660</v>
      </c>
      <c r="F421" s="176" t="s">
        <v>660</v>
      </c>
      <c r="G421" s="176" t="s">
        <v>660</v>
      </c>
      <c r="H421" s="176" t="s">
        <v>660</v>
      </c>
      <c r="I421" s="176" t="s">
        <v>660</v>
      </c>
      <c r="J421" s="176" t="s">
        <v>660</v>
      </c>
      <c r="K421" s="176" t="s">
        <v>660</v>
      </c>
      <c r="L421" s="176" t="s">
        <v>660</v>
      </c>
      <c r="M421" s="176" t="s">
        <v>660</v>
      </c>
      <c r="N421" s="176" t="s">
        <v>660</v>
      </c>
      <c r="O421" s="176" t="s">
        <v>660</v>
      </c>
      <c r="P421" s="176" t="s">
        <v>660</v>
      </c>
      <c r="Q421" s="176" t="s">
        <v>660</v>
      </c>
    </row>
    <row r="422" spans="1:17" ht="16" thickBot="1" x14ac:dyDescent="0.25">
      <c r="A422" s="256" t="s">
        <v>663</v>
      </c>
      <c r="B422" s="337"/>
      <c r="C422" s="176" t="s">
        <v>660</v>
      </c>
      <c r="D422" s="176" t="s">
        <v>660</v>
      </c>
      <c r="E422" s="176" t="s">
        <v>660</v>
      </c>
      <c r="F422" s="176" t="s">
        <v>660</v>
      </c>
      <c r="G422" s="176" t="s">
        <v>660</v>
      </c>
      <c r="H422" s="176" t="s">
        <v>660</v>
      </c>
      <c r="I422" s="176" t="s">
        <v>660</v>
      </c>
      <c r="J422" s="176" t="s">
        <v>660</v>
      </c>
      <c r="K422" s="176" t="s">
        <v>660</v>
      </c>
      <c r="L422" s="176" t="s">
        <v>660</v>
      </c>
      <c r="M422" s="176" t="s">
        <v>660</v>
      </c>
      <c r="N422" s="176" t="s">
        <v>660</v>
      </c>
      <c r="O422" s="176" t="s">
        <v>660</v>
      </c>
      <c r="P422" s="176" t="s">
        <v>660</v>
      </c>
      <c r="Q422" s="176" t="s">
        <v>660</v>
      </c>
    </row>
    <row r="423" spans="1:17" ht="16" thickBot="1" x14ac:dyDescent="0.25">
      <c r="A423" s="256" t="s">
        <v>664</v>
      </c>
      <c r="B423" s="337"/>
      <c r="C423" s="176" t="s">
        <v>660</v>
      </c>
      <c r="D423" s="176" t="s">
        <v>660</v>
      </c>
      <c r="E423" s="176" t="s">
        <v>660</v>
      </c>
      <c r="F423" s="176" t="s">
        <v>660</v>
      </c>
      <c r="G423" s="176" t="s">
        <v>660</v>
      </c>
      <c r="H423" s="176" t="s">
        <v>660</v>
      </c>
      <c r="I423" s="176" t="s">
        <v>660</v>
      </c>
      <c r="J423" s="176" t="s">
        <v>660</v>
      </c>
      <c r="K423" s="176" t="s">
        <v>660</v>
      </c>
      <c r="L423" s="176" t="s">
        <v>660</v>
      </c>
      <c r="M423" s="176" t="s">
        <v>660</v>
      </c>
      <c r="N423" s="176" t="s">
        <v>660</v>
      </c>
      <c r="O423" s="176" t="s">
        <v>660</v>
      </c>
      <c r="P423" s="176" t="s">
        <v>660</v>
      </c>
      <c r="Q423" s="176" t="s">
        <v>660</v>
      </c>
    </row>
    <row r="424" spans="1:17" ht="16" thickBot="1" x14ac:dyDescent="0.25">
      <c r="A424" s="256" t="s">
        <v>659</v>
      </c>
      <c r="B424" s="337" t="s">
        <v>378</v>
      </c>
      <c r="C424" s="176" t="s">
        <v>660</v>
      </c>
      <c r="D424" s="176" t="s">
        <v>660</v>
      </c>
      <c r="E424" s="176" t="s">
        <v>660</v>
      </c>
      <c r="F424" s="176" t="s">
        <v>660</v>
      </c>
      <c r="G424" s="176" t="s">
        <v>660</v>
      </c>
      <c r="H424" s="176" t="s">
        <v>660</v>
      </c>
      <c r="I424" s="176" t="s">
        <v>660</v>
      </c>
      <c r="J424" s="176" t="s">
        <v>660</v>
      </c>
      <c r="K424" s="176" t="s">
        <v>660</v>
      </c>
      <c r="L424" s="176" t="s">
        <v>660</v>
      </c>
      <c r="M424" s="176" t="s">
        <v>660</v>
      </c>
      <c r="N424" s="176" t="s">
        <v>660</v>
      </c>
      <c r="O424" s="176" t="s">
        <v>660</v>
      </c>
      <c r="P424" s="176" t="s">
        <v>660</v>
      </c>
      <c r="Q424" s="176" t="s">
        <v>660</v>
      </c>
    </row>
    <row r="425" spans="1:17" ht="16" thickBot="1" x14ac:dyDescent="0.25">
      <c r="A425" s="256" t="s">
        <v>661</v>
      </c>
      <c r="B425" s="337"/>
      <c r="C425" s="176" t="s">
        <v>660</v>
      </c>
      <c r="D425" s="176" t="s">
        <v>660</v>
      </c>
      <c r="E425" s="176" t="s">
        <v>660</v>
      </c>
      <c r="F425" s="176" t="s">
        <v>660</v>
      </c>
      <c r="G425" s="176" t="s">
        <v>660</v>
      </c>
      <c r="H425" s="176" t="s">
        <v>660</v>
      </c>
      <c r="I425" s="176" t="s">
        <v>660</v>
      </c>
      <c r="J425" s="176" t="s">
        <v>660</v>
      </c>
      <c r="K425" s="176" t="s">
        <v>660</v>
      </c>
      <c r="L425" s="176" t="s">
        <v>660</v>
      </c>
      <c r="M425" s="176" t="s">
        <v>660</v>
      </c>
      <c r="N425" s="176" t="s">
        <v>660</v>
      </c>
      <c r="O425" s="176" t="s">
        <v>660</v>
      </c>
      <c r="P425" s="176" t="s">
        <v>660</v>
      </c>
      <c r="Q425" s="176" t="s">
        <v>660</v>
      </c>
    </row>
    <row r="426" spans="1:17" ht="16" thickBot="1" x14ac:dyDescent="0.25">
      <c r="A426" s="256" t="s">
        <v>662</v>
      </c>
      <c r="B426" s="337"/>
      <c r="C426" s="176" t="s">
        <v>660</v>
      </c>
      <c r="D426" s="176" t="s">
        <v>660</v>
      </c>
      <c r="E426" s="176" t="s">
        <v>660</v>
      </c>
      <c r="F426" s="176" t="s">
        <v>660</v>
      </c>
      <c r="G426" s="176" t="s">
        <v>660</v>
      </c>
      <c r="H426" s="176" t="s">
        <v>660</v>
      </c>
      <c r="I426" s="176" t="s">
        <v>660</v>
      </c>
      <c r="J426" s="176" t="s">
        <v>660</v>
      </c>
      <c r="K426" s="176" t="s">
        <v>660</v>
      </c>
      <c r="L426" s="176" t="s">
        <v>660</v>
      </c>
      <c r="M426" s="176" t="s">
        <v>660</v>
      </c>
      <c r="N426" s="176" t="s">
        <v>660</v>
      </c>
      <c r="O426" s="176" t="s">
        <v>660</v>
      </c>
      <c r="P426" s="176" t="s">
        <v>660</v>
      </c>
      <c r="Q426" s="176" t="s">
        <v>660</v>
      </c>
    </row>
    <row r="427" spans="1:17" ht="16" thickBot="1" x14ac:dyDescent="0.25">
      <c r="A427" s="256" t="s">
        <v>663</v>
      </c>
      <c r="B427" s="337"/>
      <c r="C427" s="176" t="s">
        <v>660</v>
      </c>
      <c r="D427" s="176" t="s">
        <v>660</v>
      </c>
      <c r="E427" s="176" t="s">
        <v>660</v>
      </c>
      <c r="F427" s="176" t="s">
        <v>660</v>
      </c>
      <c r="G427" s="176" t="s">
        <v>660</v>
      </c>
      <c r="H427" s="176" t="s">
        <v>660</v>
      </c>
      <c r="I427" s="176" t="s">
        <v>660</v>
      </c>
      <c r="J427" s="176" t="s">
        <v>660</v>
      </c>
      <c r="K427" s="176" t="s">
        <v>660</v>
      </c>
      <c r="L427" s="176" t="s">
        <v>660</v>
      </c>
      <c r="M427" s="176" t="s">
        <v>660</v>
      </c>
      <c r="N427" s="176" t="s">
        <v>660</v>
      </c>
      <c r="O427" s="176" t="s">
        <v>660</v>
      </c>
      <c r="P427" s="176" t="s">
        <v>660</v>
      </c>
      <c r="Q427" s="176" t="s">
        <v>660</v>
      </c>
    </row>
    <row r="428" spans="1:17" ht="16" thickBot="1" x14ac:dyDescent="0.25">
      <c r="A428" s="263" t="s">
        <v>664</v>
      </c>
      <c r="B428" s="337"/>
      <c r="C428" s="208" t="s">
        <v>660</v>
      </c>
      <c r="D428" s="208" t="s">
        <v>660</v>
      </c>
      <c r="E428" s="208" t="s">
        <v>660</v>
      </c>
      <c r="F428" s="208" t="s">
        <v>660</v>
      </c>
      <c r="G428" s="208" t="s">
        <v>660</v>
      </c>
      <c r="H428" s="208" t="s">
        <v>660</v>
      </c>
      <c r="I428" s="208" t="s">
        <v>660</v>
      </c>
      <c r="J428" s="208" t="s">
        <v>660</v>
      </c>
      <c r="K428" s="208" t="s">
        <v>660</v>
      </c>
      <c r="L428" s="208" t="s">
        <v>660</v>
      </c>
      <c r="M428" s="208" t="s">
        <v>660</v>
      </c>
      <c r="N428" s="208" t="s">
        <v>660</v>
      </c>
      <c r="O428" s="208" t="s">
        <v>660</v>
      </c>
      <c r="P428" s="208" t="s">
        <v>660</v>
      </c>
      <c r="Q428" s="208" t="s">
        <v>660</v>
      </c>
    </row>
  </sheetData>
  <mergeCells count="126">
    <mergeCell ref="B409:B413"/>
    <mergeCell ref="B414:B418"/>
    <mergeCell ref="B419:B423"/>
    <mergeCell ref="B424:B428"/>
    <mergeCell ref="A373:I373"/>
    <mergeCell ref="A381:C381"/>
    <mergeCell ref="A390:C390"/>
    <mergeCell ref="A397:C397"/>
    <mergeCell ref="A403:B403"/>
    <mergeCell ref="B404:B408"/>
    <mergeCell ref="A281:I281"/>
    <mergeCell ref="A340:I340"/>
    <mergeCell ref="A364:H364"/>
    <mergeCell ref="A366:H366"/>
    <mergeCell ref="A368:H368"/>
    <mergeCell ref="A370:H370"/>
    <mergeCell ref="A244:A262"/>
    <mergeCell ref="A263:C263"/>
    <mergeCell ref="A269:C269"/>
    <mergeCell ref="A270:C270"/>
    <mergeCell ref="A272:C272"/>
    <mergeCell ref="A273:A276"/>
    <mergeCell ref="C273:C276"/>
    <mergeCell ref="A231:A233"/>
    <mergeCell ref="C231:C233"/>
    <mergeCell ref="A238:D238"/>
    <mergeCell ref="A239:D239"/>
    <mergeCell ref="A240:C240"/>
    <mergeCell ref="C242:E242"/>
    <mergeCell ref="A218:B218"/>
    <mergeCell ref="A219:B219"/>
    <mergeCell ref="A220:B220"/>
    <mergeCell ref="A221:C221"/>
    <mergeCell ref="A225:C225"/>
    <mergeCell ref="A227:A229"/>
    <mergeCell ref="C227:C229"/>
    <mergeCell ref="A210:A211"/>
    <mergeCell ref="C210:C211"/>
    <mergeCell ref="A214:Q214"/>
    <mergeCell ref="A215:B215"/>
    <mergeCell ref="A216:B216"/>
    <mergeCell ref="A217:B217"/>
    <mergeCell ref="A203:B203"/>
    <mergeCell ref="A204:B204"/>
    <mergeCell ref="A205:B205"/>
    <mergeCell ref="A206:B206"/>
    <mergeCell ref="A207:B207"/>
    <mergeCell ref="A209:C209"/>
    <mergeCell ref="A197:B197"/>
    <mergeCell ref="A198:B198"/>
    <mergeCell ref="A199:B199"/>
    <mergeCell ref="A200:B200"/>
    <mergeCell ref="A201:B201"/>
    <mergeCell ref="A202:Q202"/>
    <mergeCell ref="A191:B191"/>
    <mergeCell ref="A192:B192"/>
    <mergeCell ref="A193:B193"/>
    <mergeCell ref="A194:B194"/>
    <mergeCell ref="A195:B195"/>
    <mergeCell ref="A196:Q196"/>
    <mergeCell ref="A185:B185"/>
    <mergeCell ref="A186:B186"/>
    <mergeCell ref="A187:B187"/>
    <mergeCell ref="A188:B188"/>
    <mergeCell ref="A189:B189"/>
    <mergeCell ref="A190:Q190"/>
    <mergeCell ref="A179:B179"/>
    <mergeCell ref="A180:B180"/>
    <mergeCell ref="A181:B181"/>
    <mergeCell ref="A182:B182"/>
    <mergeCell ref="A183:B183"/>
    <mergeCell ref="A184:Q184"/>
    <mergeCell ref="A168:E168"/>
    <mergeCell ref="A169:E169"/>
    <mergeCell ref="A171:A173"/>
    <mergeCell ref="C171:C173"/>
    <mergeCell ref="A175:C175"/>
    <mergeCell ref="A178:B178"/>
    <mergeCell ref="A143:A146"/>
    <mergeCell ref="A147:I147"/>
    <mergeCell ref="A149:A152"/>
    <mergeCell ref="A153:A156"/>
    <mergeCell ref="A157:A160"/>
    <mergeCell ref="A161:A164"/>
    <mergeCell ref="A123:A125"/>
    <mergeCell ref="A126:A128"/>
    <mergeCell ref="B129:B131"/>
    <mergeCell ref="A133:I133"/>
    <mergeCell ref="A135:A138"/>
    <mergeCell ref="A139:A142"/>
    <mergeCell ref="A101:C101"/>
    <mergeCell ref="A113:E113"/>
    <mergeCell ref="A114:A117"/>
    <mergeCell ref="B114:B117"/>
    <mergeCell ref="D116:E117"/>
    <mergeCell ref="A121:J121"/>
    <mergeCell ref="A87:A88"/>
    <mergeCell ref="A89:A90"/>
    <mergeCell ref="A91:A92"/>
    <mergeCell ref="A93:A94"/>
    <mergeCell ref="A95:A96"/>
    <mergeCell ref="A97:A98"/>
    <mergeCell ref="A74:A75"/>
    <mergeCell ref="A77:C77"/>
    <mergeCell ref="A79:C79"/>
    <mergeCell ref="A82:C82"/>
    <mergeCell ref="A83:A84"/>
    <mergeCell ref="A85:A86"/>
    <mergeCell ref="A44:C44"/>
    <mergeCell ref="A47:C47"/>
    <mergeCell ref="A53:C53"/>
    <mergeCell ref="A60:I60"/>
    <mergeCell ref="A70:A71"/>
    <mergeCell ref="A73:C73"/>
    <mergeCell ref="A14:I14"/>
    <mergeCell ref="A27:I27"/>
    <mergeCell ref="A30:C30"/>
    <mergeCell ref="A31:C31"/>
    <mergeCell ref="A35:C35"/>
    <mergeCell ref="A41:C41"/>
    <mergeCell ref="A1:C1"/>
    <mergeCell ref="A3:AL3"/>
    <mergeCell ref="A4:A5"/>
    <mergeCell ref="A7:AL7"/>
    <mergeCell ref="G8:AL8"/>
    <mergeCell ref="A9:A10"/>
  </mergeCells>
  <conditionalFormatting sqref="C216:AD220">
    <cfRule type="cellIs" dxfId="0" priority="1" operator="lessThan">
      <formula>0</formula>
    </cfRule>
  </conditionalFormatting>
  <pageMargins left="0.7" right="0.7" top="0.75" bottom="0.75"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AY428"/>
  <sheetViews>
    <sheetView topLeftCell="R1" zoomScaleNormal="100" workbookViewId="0">
      <selection activeCell="AO10" sqref="AO10"/>
    </sheetView>
  </sheetViews>
  <sheetFormatPr baseColWidth="10" defaultColWidth="11.5" defaultRowHeight="15" x14ac:dyDescent="0.2"/>
  <cols>
    <col min="1" max="1" width="48.6640625" customWidth="1"/>
    <col min="2" max="2" width="50" customWidth="1"/>
    <col min="3" max="3" width="59.83203125" customWidth="1"/>
    <col min="4" max="4" width="55.83203125" customWidth="1"/>
    <col min="5" max="5" width="49.33203125" customWidth="1"/>
    <col min="6" max="6" width="30.83203125" customWidth="1"/>
    <col min="7" max="7" width="34.33203125" customWidth="1"/>
    <col min="8" max="8" width="32.5" customWidth="1"/>
    <col min="9" max="9" width="21.83203125" customWidth="1"/>
    <col min="10" max="10" width="29" customWidth="1"/>
    <col min="12" max="12" width="35.5" customWidth="1"/>
    <col min="18" max="18" width="12.5" customWidth="1"/>
  </cols>
  <sheetData>
    <row r="1" spans="1:38" ht="31" x14ac:dyDescent="0.35">
      <c r="A1" s="305" t="s">
        <v>490</v>
      </c>
      <c r="B1" s="305"/>
      <c r="C1" s="305"/>
      <c r="E1" s="172"/>
    </row>
    <row r="2" spans="1:38" ht="26" x14ac:dyDescent="0.3">
      <c r="A2" s="173" t="s">
        <v>491</v>
      </c>
    </row>
    <row r="3" spans="1:38" ht="19" x14ac:dyDescent="0.25">
      <c r="A3" s="306" t="s">
        <v>48</v>
      </c>
      <c r="B3" s="306"/>
      <c r="C3" s="306"/>
      <c r="D3" s="306"/>
      <c r="E3" s="306"/>
      <c r="F3" s="306"/>
      <c r="G3" s="306"/>
      <c r="H3" s="306"/>
      <c r="I3" s="306"/>
      <c r="J3" s="306"/>
      <c r="K3" s="306"/>
      <c r="L3" s="306"/>
      <c r="M3" s="306"/>
      <c r="N3" s="306"/>
      <c r="O3" s="306"/>
      <c r="P3" s="306"/>
      <c r="Q3" s="306"/>
      <c r="R3" s="306"/>
      <c r="S3" s="306"/>
      <c r="T3" s="306"/>
      <c r="U3" s="306"/>
      <c r="V3" s="306"/>
      <c r="W3" s="306"/>
      <c r="X3" s="306"/>
      <c r="Y3" s="306"/>
      <c r="Z3" s="306"/>
      <c r="AA3" s="306"/>
      <c r="AB3" s="306"/>
      <c r="AC3" s="306"/>
      <c r="AD3" s="306"/>
      <c r="AE3" s="306"/>
      <c r="AF3" s="306"/>
      <c r="AG3" s="306"/>
      <c r="AH3" s="306"/>
      <c r="AI3" s="306"/>
      <c r="AJ3" s="306"/>
      <c r="AK3" s="306"/>
      <c r="AL3" s="306"/>
    </row>
    <row r="4" spans="1:38" x14ac:dyDescent="0.2">
      <c r="A4" s="307" t="s">
        <v>492</v>
      </c>
      <c r="B4" s="174" t="s">
        <v>36</v>
      </c>
      <c r="C4" s="175">
        <v>2015</v>
      </c>
      <c r="D4" s="175">
        <v>2016</v>
      </c>
      <c r="E4" s="175">
        <v>2017</v>
      </c>
      <c r="F4" s="175">
        <v>2018</v>
      </c>
      <c r="G4" s="175">
        <v>2019</v>
      </c>
      <c r="H4" s="175">
        <v>2020</v>
      </c>
      <c r="I4" s="175">
        <v>2021</v>
      </c>
      <c r="J4" s="175">
        <v>2022</v>
      </c>
      <c r="K4" s="175">
        <v>2023</v>
      </c>
      <c r="L4" s="175">
        <v>2024</v>
      </c>
      <c r="M4" s="175">
        <v>2025</v>
      </c>
      <c r="N4" s="175">
        <v>2026</v>
      </c>
      <c r="O4" s="175">
        <v>2027</v>
      </c>
      <c r="P4" s="175">
        <v>2028</v>
      </c>
      <c r="Q4" s="175">
        <v>2029</v>
      </c>
      <c r="R4" s="175">
        <v>2030</v>
      </c>
      <c r="S4" s="175">
        <v>2031</v>
      </c>
      <c r="T4" s="175">
        <v>2032</v>
      </c>
      <c r="U4" s="175">
        <v>2033</v>
      </c>
      <c r="V4" s="175">
        <v>2034</v>
      </c>
      <c r="W4" s="175">
        <v>2035</v>
      </c>
      <c r="X4" s="175">
        <v>2036</v>
      </c>
      <c r="Y4" s="175">
        <v>2037</v>
      </c>
      <c r="Z4" s="175">
        <v>2038</v>
      </c>
      <c r="AA4" s="175">
        <v>2039</v>
      </c>
      <c r="AB4" s="175">
        <v>2040</v>
      </c>
      <c r="AC4" s="175">
        <v>2041</v>
      </c>
      <c r="AD4" s="175">
        <v>2042</v>
      </c>
      <c r="AE4" s="175">
        <v>2043</v>
      </c>
      <c r="AF4" s="175">
        <v>2044</v>
      </c>
      <c r="AG4" s="175">
        <v>2045</v>
      </c>
      <c r="AH4" s="175">
        <v>2046</v>
      </c>
      <c r="AI4" s="175">
        <v>2047</v>
      </c>
      <c r="AJ4" s="175">
        <v>2048</v>
      </c>
      <c r="AK4" s="175">
        <v>2049</v>
      </c>
      <c r="AL4" s="176">
        <v>2050</v>
      </c>
    </row>
    <row r="5" spans="1:38" x14ac:dyDescent="0.2">
      <c r="A5" s="307"/>
      <c r="B5" s="177" t="s">
        <v>327</v>
      </c>
      <c r="C5" s="178">
        <v>2.5605205737137698E-3</v>
      </c>
      <c r="D5" s="178">
        <v>1.6447737079370701E-3</v>
      </c>
      <c r="E5" s="178">
        <v>1.51307498277967E-3</v>
      </c>
      <c r="F5" s="178">
        <v>7.8600464849444801E-4</v>
      </c>
      <c r="G5" s="178">
        <v>2.0735253829536901E-3</v>
      </c>
      <c r="H5" s="178">
        <v>1.1197581933498301E-3</v>
      </c>
      <c r="I5" s="178">
        <v>1.0102343246814901E-3</v>
      </c>
      <c r="J5" s="178">
        <v>7.23278764901663E-4</v>
      </c>
      <c r="K5" s="178">
        <v>4.3814907632701798E-4</v>
      </c>
      <c r="L5" s="178">
        <v>1.5694308012419601E-4</v>
      </c>
      <c r="M5" s="178">
        <v>8.0812903065836396E-5</v>
      </c>
      <c r="N5" s="178">
        <v>-4.96513310373826E-6</v>
      </c>
      <c r="O5" s="178">
        <v>-8.4116137412432594E-5</v>
      </c>
      <c r="P5" s="178">
        <v>-1.5725806043268001E-4</v>
      </c>
      <c r="Q5" s="178">
        <v>-2.2503538278523399E-4</v>
      </c>
      <c r="R5" s="178">
        <v>-2.8725628045343798E-4</v>
      </c>
      <c r="S5" s="178">
        <v>-3.4470279649563503E-4</v>
      </c>
      <c r="T5" s="178">
        <v>-3.9849583351838101E-4</v>
      </c>
      <c r="U5" s="178">
        <v>-4.4944828773349499E-4</v>
      </c>
      <c r="V5" s="178">
        <v>-4.9870075927057798E-4</v>
      </c>
      <c r="W5" s="178">
        <v>-5.4787942276427002E-4</v>
      </c>
      <c r="X5" s="178">
        <v>-5.9934629868387999E-4</v>
      </c>
      <c r="Y5" s="178">
        <v>-6.5506180761588798E-4</v>
      </c>
      <c r="Z5" s="178">
        <v>-7.1663422556957003E-4</v>
      </c>
      <c r="AA5" s="178">
        <v>-7.8456175389188905E-4</v>
      </c>
      <c r="AB5" s="178">
        <v>-8.5834541432437E-4</v>
      </c>
      <c r="AC5" s="178">
        <v>-9.3719936680439404E-4</v>
      </c>
      <c r="AD5" s="178">
        <v>-1.02080696975936E-3</v>
      </c>
      <c r="AE5" s="178">
        <v>-1.1079290629821101E-3</v>
      </c>
      <c r="AF5" s="178">
        <v>-1.1969211368621101E-3</v>
      </c>
      <c r="AG5" s="178">
        <v>-1.2867750672432301E-3</v>
      </c>
      <c r="AH5" s="178">
        <v>-1.37815371196277E-3</v>
      </c>
      <c r="AI5" s="178">
        <v>-1.4683932603586801E-3</v>
      </c>
      <c r="AJ5" s="178">
        <v>-1.5571676008297201E-3</v>
      </c>
      <c r="AK5" s="178">
        <v>-1.64449759391597E-3</v>
      </c>
      <c r="AL5" s="179">
        <v>-1.4775836907711399E-3</v>
      </c>
    </row>
    <row r="7" spans="1:38" ht="19" x14ac:dyDescent="0.25">
      <c r="A7" s="306" t="s">
        <v>26</v>
      </c>
      <c r="B7" s="306"/>
      <c r="C7" s="306"/>
      <c r="D7" s="306"/>
      <c r="E7" s="306"/>
      <c r="F7" s="306"/>
      <c r="G7" s="306"/>
      <c r="H7" s="306"/>
      <c r="I7" s="306"/>
      <c r="J7" s="306"/>
      <c r="K7" s="306"/>
      <c r="L7" s="306"/>
      <c r="M7" s="306"/>
      <c r="N7" s="306"/>
      <c r="O7" s="306"/>
      <c r="P7" s="306"/>
      <c r="Q7" s="306"/>
      <c r="R7" s="306"/>
      <c r="S7" s="306"/>
      <c r="T7" s="306"/>
      <c r="U7" s="306"/>
      <c r="V7" s="306"/>
      <c r="W7" s="306"/>
      <c r="X7" s="306"/>
      <c r="Y7" s="306"/>
      <c r="Z7" s="306"/>
      <c r="AA7" s="306"/>
      <c r="AB7" s="306"/>
      <c r="AC7" s="306"/>
      <c r="AD7" s="306"/>
      <c r="AE7" s="306"/>
      <c r="AF7" s="306"/>
      <c r="AG7" s="306"/>
      <c r="AH7" s="306"/>
      <c r="AI7" s="306"/>
      <c r="AJ7" s="306"/>
      <c r="AK7" s="306"/>
      <c r="AL7" s="306"/>
    </row>
    <row r="8" spans="1:38" x14ac:dyDescent="0.2">
      <c r="A8" s="180" t="s">
        <v>493</v>
      </c>
      <c r="B8" s="174" t="s">
        <v>28</v>
      </c>
      <c r="C8" s="175">
        <v>0.47359219000000002</v>
      </c>
      <c r="D8" s="181" t="s">
        <v>494</v>
      </c>
      <c r="E8" s="174" t="s">
        <v>28</v>
      </c>
      <c r="F8" s="175">
        <v>0.40700950000000002</v>
      </c>
      <c r="G8" s="308"/>
      <c r="H8" s="308"/>
      <c r="I8" s="308"/>
      <c r="J8" s="308"/>
      <c r="K8" s="308"/>
      <c r="L8" s="308"/>
      <c r="M8" s="308"/>
      <c r="N8" s="308"/>
      <c r="O8" s="308"/>
      <c r="P8" s="308"/>
      <c r="Q8" s="308"/>
      <c r="R8" s="308"/>
      <c r="S8" s="308"/>
      <c r="T8" s="308"/>
      <c r="U8" s="308"/>
      <c r="V8" s="308"/>
      <c r="W8" s="308"/>
      <c r="X8" s="308"/>
      <c r="Y8" s="308"/>
      <c r="Z8" s="308"/>
      <c r="AA8" s="308"/>
      <c r="AB8" s="308"/>
      <c r="AC8" s="308"/>
      <c r="AD8" s="308"/>
      <c r="AE8" s="308"/>
      <c r="AF8" s="308"/>
      <c r="AG8" s="308"/>
      <c r="AH8" s="308"/>
      <c r="AI8" s="308"/>
      <c r="AJ8" s="308"/>
      <c r="AK8" s="308"/>
      <c r="AL8" s="308"/>
    </row>
    <row r="9" spans="1:38" x14ac:dyDescent="0.2">
      <c r="A9" s="307" t="s">
        <v>495</v>
      </c>
      <c r="B9" s="174" t="s">
        <v>36</v>
      </c>
      <c r="C9" s="175">
        <v>2015</v>
      </c>
      <c r="D9" s="175">
        <v>2016</v>
      </c>
      <c r="E9" s="175">
        <v>2017</v>
      </c>
      <c r="F9" s="175">
        <v>2018</v>
      </c>
      <c r="G9" s="175">
        <v>2019</v>
      </c>
      <c r="H9" s="175">
        <v>2020</v>
      </c>
      <c r="I9" s="175">
        <v>2021</v>
      </c>
      <c r="J9" s="175">
        <v>2022</v>
      </c>
      <c r="K9" s="175">
        <v>2023</v>
      </c>
      <c r="L9" s="175">
        <v>2024</v>
      </c>
      <c r="M9" s="175">
        <v>2025</v>
      </c>
      <c r="N9" s="175">
        <v>2026</v>
      </c>
      <c r="O9" s="175">
        <v>2027</v>
      </c>
      <c r="P9" s="175">
        <v>2028</v>
      </c>
      <c r="Q9" s="175">
        <v>2029</v>
      </c>
      <c r="R9" s="175">
        <v>2030</v>
      </c>
      <c r="S9" s="175">
        <v>2031</v>
      </c>
      <c r="T9" s="175">
        <v>2032</v>
      </c>
      <c r="U9" s="175">
        <v>2033</v>
      </c>
      <c r="V9" s="175">
        <v>2034</v>
      </c>
      <c r="W9" s="175">
        <v>2035</v>
      </c>
      <c r="X9" s="175">
        <v>2036</v>
      </c>
      <c r="Y9" s="175">
        <v>2037</v>
      </c>
      <c r="Z9" s="175">
        <v>2038</v>
      </c>
      <c r="AA9" s="175">
        <v>2039</v>
      </c>
      <c r="AB9" s="175">
        <v>2040</v>
      </c>
      <c r="AC9" s="175">
        <v>2041</v>
      </c>
      <c r="AD9" s="175">
        <v>2042</v>
      </c>
      <c r="AE9" s="175">
        <v>2043</v>
      </c>
      <c r="AF9" s="175">
        <v>2044</v>
      </c>
      <c r="AG9" s="175">
        <v>2045</v>
      </c>
      <c r="AH9" s="175">
        <v>2046</v>
      </c>
      <c r="AI9" s="175">
        <v>2047</v>
      </c>
      <c r="AJ9" s="175">
        <v>2048</v>
      </c>
      <c r="AK9" s="175">
        <v>2049</v>
      </c>
      <c r="AL9" s="176">
        <v>2050</v>
      </c>
    </row>
    <row r="10" spans="1:38" x14ac:dyDescent="0.2">
      <c r="A10" s="307"/>
      <c r="B10" s="177" t="s">
        <v>327</v>
      </c>
      <c r="C10" s="178">
        <v>3.4236267870579401E-2</v>
      </c>
      <c r="D10" s="178">
        <v>2.54638050200073E-2</v>
      </c>
      <c r="E10" s="178">
        <v>4.0085136573252897E-2</v>
      </c>
      <c r="F10" s="178">
        <v>3.2742155525238702E-2</v>
      </c>
      <c r="G10" s="178">
        <v>3.3685601056803197E-2</v>
      </c>
      <c r="H10" s="178">
        <v>-4.1533546325878599E-2</v>
      </c>
      <c r="I10" s="178">
        <v>7.9333333333333297E-2</v>
      </c>
      <c r="J10" s="178">
        <v>3.5000000000000003E-2</v>
      </c>
      <c r="K10" s="178">
        <v>2.8118447301916299E-2</v>
      </c>
      <c r="L10" s="178">
        <v>2.7349423965407099E-2</v>
      </c>
      <c r="M10" s="178">
        <v>1.14814377510482E-2</v>
      </c>
      <c r="N10" s="178"/>
      <c r="O10" s="178"/>
      <c r="P10" s="178"/>
      <c r="Q10" s="178"/>
      <c r="R10" s="178">
        <v>1.1217229240813E-2</v>
      </c>
      <c r="S10" s="178">
        <v>1.0095506316731701E-2</v>
      </c>
      <c r="T10" s="178">
        <v>8.9737833926504008E-3</v>
      </c>
      <c r="U10" s="178">
        <v>7.8520604685691012E-3</v>
      </c>
      <c r="V10" s="178">
        <v>6.7303375444878015E-3</v>
      </c>
      <c r="W10" s="178">
        <v>5.6086146204065018E-3</v>
      </c>
      <c r="X10" s="178">
        <v>4.4868916963252022E-3</v>
      </c>
      <c r="Y10" s="178">
        <v>3.3651687722439021E-3</v>
      </c>
      <c r="Z10" s="178">
        <v>2.2434458481626019E-3</v>
      </c>
      <c r="AA10" s="178">
        <v>1.1217229240813018E-3</v>
      </c>
      <c r="AB10" s="178">
        <v>1.7347234759768071E-18</v>
      </c>
      <c r="AC10" s="178"/>
      <c r="AD10" s="178"/>
      <c r="AE10" s="178"/>
      <c r="AF10" s="178"/>
      <c r="AG10" s="178">
        <v>0</v>
      </c>
      <c r="AH10" s="178"/>
      <c r="AI10" s="178"/>
      <c r="AJ10" s="178"/>
      <c r="AK10" s="178"/>
      <c r="AL10" s="178">
        <v>0</v>
      </c>
    </row>
    <row r="12" spans="1:38" x14ac:dyDescent="0.2">
      <c r="S12" s="82"/>
      <c r="T12" s="82"/>
      <c r="U12" s="82"/>
      <c r="V12" s="82"/>
      <c r="W12" s="82"/>
      <c r="X12" s="82"/>
      <c r="Y12" s="82"/>
      <c r="Z12" s="82"/>
      <c r="AA12" s="82"/>
      <c r="AB12" s="82"/>
    </row>
    <row r="13" spans="1:38" ht="26" x14ac:dyDescent="0.3">
      <c r="A13" s="173" t="s">
        <v>496</v>
      </c>
    </row>
    <row r="14" spans="1:38" ht="19" x14ac:dyDescent="0.25">
      <c r="A14" s="306" t="s">
        <v>94</v>
      </c>
      <c r="B14" s="306"/>
      <c r="C14" s="306"/>
      <c r="D14" s="306"/>
      <c r="E14" s="306"/>
      <c r="F14" s="306"/>
      <c r="G14" s="306"/>
      <c r="H14" s="306"/>
      <c r="I14" s="306"/>
    </row>
    <row r="15" spans="1:38" x14ac:dyDescent="0.2">
      <c r="A15" s="182" t="s">
        <v>497</v>
      </c>
      <c r="B15" s="174" t="s">
        <v>36</v>
      </c>
      <c r="C15" s="175">
        <v>2020</v>
      </c>
      <c r="D15" s="175">
        <v>2025</v>
      </c>
      <c r="E15" s="175">
        <v>2030</v>
      </c>
      <c r="F15" s="175">
        <v>2035</v>
      </c>
      <c r="G15" s="175">
        <v>2040</v>
      </c>
      <c r="H15" s="175">
        <v>2045</v>
      </c>
      <c r="I15" s="176">
        <v>2050</v>
      </c>
      <c r="J15" s="84"/>
      <c r="K15" s="84"/>
      <c r="L15" s="84"/>
    </row>
    <row r="16" spans="1:38" x14ac:dyDescent="0.2">
      <c r="A16" s="182" t="s">
        <v>498</v>
      </c>
      <c r="B16" s="174" t="s">
        <v>499</v>
      </c>
      <c r="C16" s="183">
        <v>0.117609721833719</v>
      </c>
      <c r="D16" s="183">
        <v>0.12666478100790801</v>
      </c>
      <c r="E16" s="183">
        <v>0.12680502831330001</v>
      </c>
      <c r="F16" s="183">
        <v>0.135126859489025</v>
      </c>
      <c r="G16" s="183">
        <v>0.140282729162163</v>
      </c>
      <c r="H16" s="183">
        <v>0.14691683230125099</v>
      </c>
      <c r="I16" s="184">
        <v>0.148630915135189</v>
      </c>
      <c r="J16" s="84"/>
      <c r="K16" s="149"/>
      <c r="L16" s="84"/>
    </row>
    <row r="17" spans="1:17" x14ac:dyDescent="0.2">
      <c r="A17" s="182" t="s">
        <v>500</v>
      </c>
      <c r="B17" s="174" t="s">
        <v>499</v>
      </c>
      <c r="C17" s="183">
        <v>8.7847399999999996E-4</v>
      </c>
      <c r="D17" s="183">
        <v>1.1023999999999999E-3</v>
      </c>
      <c r="E17" s="183">
        <v>1.1333999999999999E-3</v>
      </c>
      <c r="F17" s="183">
        <v>2.0084823873528601E-3</v>
      </c>
      <c r="G17" s="183">
        <v>2.5763285102633998E-3</v>
      </c>
      <c r="H17" s="183">
        <v>2.9849759175701899E-3</v>
      </c>
      <c r="I17" s="184">
        <v>3.39362332487698E-3</v>
      </c>
      <c r="J17" s="84"/>
      <c r="K17" s="84"/>
      <c r="L17" s="84"/>
    </row>
    <row r="18" spans="1:17" x14ac:dyDescent="0.2">
      <c r="A18" s="182" t="s">
        <v>501</v>
      </c>
      <c r="B18" s="174" t="s">
        <v>499</v>
      </c>
      <c r="C18" s="183">
        <v>3.7452199999999998E-2</v>
      </c>
      <c r="D18" s="183">
        <v>4.3388000000000003E-2</v>
      </c>
      <c r="E18" s="183">
        <v>6.0691149999999999E-2</v>
      </c>
      <c r="F18" s="185">
        <v>8.9751650000000002E-2</v>
      </c>
      <c r="G18" s="185">
        <v>0.12725</v>
      </c>
      <c r="H18" s="185">
        <v>0.17690649999999999</v>
      </c>
      <c r="I18" s="184">
        <v>0.21185850000000001</v>
      </c>
      <c r="J18" s="84"/>
      <c r="K18" s="84"/>
      <c r="L18" s="84"/>
    </row>
    <row r="19" spans="1:17" x14ac:dyDescent="0.2">
      <c r="A19" s="182" t="s">
        <v>502</v>
      </c>
      <c r="B19" s="174" t="s">
        <v>499</v>
      </c>
      <c r="C19" s="183">
        <v>8.2990850000000003E-4</v>
      </c>
      <c r="D19" s="183">
        <v>4.4472499999999998E-3</v>
      </c>
      <c r="E19" s="183">
        <v>1.4096475000000001E-2</v>
      </c>
      <c r="F19" s="185">
        <v>2.5329250000000001E-2</v>
      </c>
      <c r="G19" s="185">
        <v>3.5816050000000002E-2</v>
      </c>
      <c r="H19" s="185">
        <v>4.635715E-2</v>
      </c>
      <c r="I19" s="184">
        <v>5.6209750000000003E-2</v>
      </c>
      <c r="J19" s="149"/>
      <c r="K19" s="84"/>
      <c r="L19" s="84"/>
    </row>
    <row r="20" spans="1:17" x14ac:dyDescent="0.2">
      <c r="A20" s="182" t="s">
        <v>503</v>
      </c>
      <c r="B20" s="174" t="s">
        <v>499</v>
      </c>
      <c r="C20" s="183">
        <v>0.14691412512684399</v>
      </c>
      <c r="D20" s="183">
        <v>0.25239406339701898</v>
      </c>
      <c r="E20" s="183">
        <v>0.35916242643610102</v>
      </c>
      <c r="F20" s="185">
        <v>0.52601522271031897</v>
      </c>
      <c r="G20" s="185">
        <v>0.67074123778229999</v>
      </c>
      <c r="H20" s="185">
        <v>0.89500098846317699</v>
      </c>
      <c r="I20" s="184">
        <v>1.0136221032222199</v>
      </c>
    </row>
    <row r="21" spans="1:17" x14ac:dyDescent="0.2">
      <c r="A21" s="182" t="s">
        <v>504</v>
      </c>
      <c r="B21" s="174" t="s">
        <v>499</v>
      </c>
      <c r="C21" s="183">
        <v>1.2102977262566801E-2</v>
      </c>
      <c r="D21" s="183">
        <v>2.9492097265481399E-2</v>
      </c>
      <c r="E21" s="183">
        <v>6.3893727199409098E-2</v>
      </c>
      <c r="F21" s="185">
        <v>0.105000218961605</v>
      </c>
      <c r="G21" s="185">
        <v>0.18685102234491399</v>
      </c>
      <c r="H21" s="185">
        <v>0.32496515717598701</v>
      </c>
      <c r="I21" s="184">
        <v>0.36298720878899499</v>
      </c>
      <c r="K21" s="84"/>
      <c r="L21" s="84"/>
    </row>
    <row r="22" spans="1:17" x14ac:dyDescent="0.2">
      <c r="A22" s="182" t="s">
        <v>505</v>
      </c>
      <c r="B22" s="174" t="s">
        <v>499</v>
      </c>
      <c r="C22" s="183">
        <v>0.125671151626567</v>
      </c>
      <c r="D22" s="183">
        <v>0.243542844662369</v>
      </c>
      <c r="E22" s="183">
        <v>0.38928583668669298</v>
      </c>
      <c r="F22" s="185">
        <v>0.54521201343152703</v>
      </c>
      <c r="G22" s="185">
        <v>0.75535138476672403</v>
      </c>
      <c r="H22" s="185">
        <v>0.97004701873674004</v>
      </c>
      <c r="I22" s="184">
        <v>1.1508685975069199</v>
      </c>
      <c r="K22" s="84"/>
      <c r="L22" s="84"/>
    </row>
    <row r="23" spans="1:17" x14ac:dyDescent="0.2">
      <c r="A23" s="182" t="s">
        <v>506</v>
      </c>
      <c r="B23" s="174" t="s">
        <v>499</v>
      </c>
      <c r="C23" s="183">
        <v>2.3287999999999998E-3</v>
      </c>
      <c r="D23" s="183">
        <v>4.9788000000000002E-3</v>
      </c>
      <c r="E23" s="183">
        <v>7.6287999999999998E-3</v>
      </c>
      <c r="F23" s="183">
        <v>9.2215999999999999E-3</v>
      </c>
      <c r="G23" s="183">
        <v>1.08144E-2</v>
      </c>
      <c r="H23" s="183">
        <v>1.24072E-2</v>
      </c>
      <c r="I23" s="186">
        <v>1.4E-2</v>
      </c>
    </row>
    <row r="24" spans="1:17" ht="15" customHeight="1" x14ac:dyDescent="0.2">
      <c r="A24" s="182" t="s">
        <v>507</v>
      </c>
      <c r="B24" s="174" t="s">
        <v>499</v>
      </c>
      <c r="C24" s="183">
        <v>4.4999999999999998E-2</v>
      </c>
      <c r="D24" s="183">
        <v>5.5E-2</v>
      </c>
      <c r="E24" s="183">
        <v>6.5000000000000002E-2</v>
      </c>
      <c r="F24" s="183">
        <v>6.5000000000000002E-2</v>
      </c>
      <c r="G24" s="183">
        <v>6.5000000000000002E-2</v>
      </c>
      <c r="H24" s="183">
        <v>6.5000000000000002E-2</v>
      </c>
      <c r="I24" s="184">
        <v>6.5000000000000002E-2</v>
      </c>
      <c r="J24" s="84"/>
      <c r="K24" s="84"/>
      <c r="L24" s="84"/>
    </row>
    <row r="25" spans="1:17" ht="15" customHeight="1" x14ac:dyDescent="0.2">
      <c r="A25" s="187" t="s">
        <v>508</v>
      </c>
      <c r="B25" s="177" t="s">
        <v>327</v>
      </c>
      <c r="C25" s="178">
        <v>0.1</v>
      </c>
      <c r="D25" s="178">
        <v>0.1</v>
      </c>
      <c r="E25" s="178">
        <v>0.09</v>
      </c>
      <c r="F25" s="178">
        <v>0.08</v>
      </c>
      <c r="G25" s="178">
        <v>7.0000000000000007E-2</v>
      </c>
      <c r="H25" s="178">
        <v>0.06</v>
      </c>
      <c r="I25" s="179">
        <v>0.05</v>
      </c>
      <c r="J25" s="84"/>
      <c r="K25" s="84"/>
      <c r="L25" s="84"/>
    </row>
    <row r="26" spans="1:17" ht="15" customHeight="1" x14ac:dyDescent="0.2">
      <c r="A26" s="187" t="s">
        <v>509</v>
      </c>
      <c r="B26" s="177" t="s">
        <v>327</v>
      </c>
      <c r="C26" s="188">
        <v>0.05</v>
      </c>
      <c r="D26" s="188">
        <v>0.05</v>
      </c>
      <c r="E26" s="188">
        <v>0.05</v>
      </c>
      <c r="F26" s="188">
        <v>0.05</v>
      </c>
      <c r="G26" s="188">
        <v>0.05</v>
      </c>
      <c r="H26" s="188">
        <v>4.4999999999999998E-2</v>
      </c>
      <c r="I26" s="188">
        <v>0.04</v>
      </c>
      <c r="J26" s="84"/>
      <c r="K26" s="84"/>
      <c r="L26" s="84"/>
    </row>
    <row r="27" spans="1:17" ht="19" x14ac:dyDescent="0.25">
      <c r="A27" s="306" t="s">
        <v>510</v>
      </c>
      <c r="B27" s="306"/>
      <c r="C27" s="306"/>
      <c r="D27" s="306"/>
      <c r="E27" s="306"/>
      <c r="F27" s="306"/>
      <c r="G27" s="306"/>
      <c r="H27" s="306"/>
      <c r="I27" s="306"/>
    </row>
    <row r="28" spans="1:17" x14ac:dyDescent="0.2">
      <c r="A28" s="189" t="s">
        <v>511</v>
      </c>
      <c r="B28" s="190" t="s">
        <v>146</v>
      </c>
      <c r="C28" s="191">
        <v>0</v>
      </c>
      <c r="D28" s="191">
        <v>0</v>
      </c>
      <c r="E28" s="191">
        <v>0</v>
      </c>
      <c r="F28" s="191">
        <v>0</v>
      </c>
      <c r="G28" s="191">
        <v>0</v>
      </c>
      <c r="H28" s="191">
        <v>0</v>
      </c>
      <c r="I28" s="191">
        <v>0</v>
      </c>
    </row>
    <row r="29" spans="1:17" x14ac:dyDescent="0.2">
      <c r="G29" s="192"/>
      <c r="I29" s="192"/>
      <c r="J29" s="84"/>
      <c r="K29" s="84"/>
      <c r="L29" s="84"/>
    </row>
    <row r="30" spans="1:17" ht="19" x14ac:dyDescent="0.25">
      <c r="A30" s="306" t="s">
        <v>129</v>
      </c>
      <c r="B30" s="306"/>
      <c r="C30" s="306"/>
      <c r="D30" s="84"/>
      <c r="E30" s="84"/>
      <c r="F30" s="84"/>
      <c r="G30" s="84"/>
      <c r="H30" s="84"/>
      <c r="I30" s="149"/>
      <c r="J30" s="84"/>
      <c r="K30" s="84"/>
      <c r="L30" s="84"/>
      <c r="M30" s="84"/>
      <c r="N30" s="84"/>
      <c r="O30" s="84"/>
      <c r="P30" s="84"/>
      <c r="Q30" s="84"/>
    </row>
    <row r="31" spans="1:17" ht="16" x14ac:dyDescent="0.2">
      <c r="A31" s="309" t="s">
        <v>512</v>
      </c>
      <c r="B31" s="309"/>
      <c r="C31" s="309"/>
      <c r="E31" s="84"/>
      <c r="F31" s="84"/>
      <c r="G31" s="84"/>
      <c r="H31" s="149"/>
      <c r="I31" s="84"/>
      <c r="L31" s="79"/>
    </row>
    <row r="32" spans="1:17" x14ac:dyDescent="0.2">
      <c r="A32" s="182" t="s">
        <v>513</v>
      </c>
      <c r="B32" s="174" t="s">
        <v>514</v>
      </c>
      <c r="C32" s="193">
        <v>0.1</v>
      </c>
      <c r="H32" s="149"/>
      <c r="K32" s="51"/>
      <c r="M32" s="84"/>
    </row>
    <row r="33" spans="1:51" x14ac:dyDescent="0.2">
      <c r="A33" s="182" t="s">
        <v>515</v>
      </c>
      <c r="B33" s="174" t="s">
        <v>36</v>
      </c>
      <c r="C33" s="176">
        <v>2035</v>
      </c>
      <c r="E33" s="84"/>
      <c r="F33" s="84"/>
      <c r="G33" s="84"/>
      <c r="H33" s="149"/>
      <c r="I33" s="84"/>
      <c r="J33" s="66"/>
    </row>
    <row r="34" spans="1:51" x14ac:dyDescent="0.2">
      <c r="A34" s="182" t="s">
        <v>516</v>
      </c>
      <c r="B34" s="174" t="s">
        <v>514</v>
      </c>
      <c r="C34" s="194">
        <v>0.25</v>
      </c>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c r="AO34" s="84"/>
      <c r="AP34" s="84"/>
      <c r="AQ34" s="84"/>
      <c r="AR34" s="84"/>
      <c r="AS34" s="84"/>
      <c r="AT34" s="84"/>
      <c r="AU34" s="84"/>
      <c r="AV34" s="84"/>
      <c r="AW34" s="84"/>
      <c r="AX34" s="84"/>
    </row>
    <row r="35" spans="1:51" ht="16" x14ac:dyDescent="0.2">
      <c r="A35" s="309" t="s">
        <v>517</v>
      </c>
      <c r="B35" s="309"/>
      <c r="C35" s="309"/>
      <c r="E35" s="84"/>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c r="AW35" s="84"/>
      <c r="AX35" s="84"/>
    </row>
    <row r="36" spans="1:51" x14ac:dyDescent="0.2">
      <c r="A36" s="182" t="s">
        <v>518</v>
      </c>
      <c r="B36" s="174" t="s">
        <v>36</v>
      </c>
      <c r="C36" s="176">
        <v>2020</v>
      </c>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84"/>
      <c r="AU36" s="84"/>
      <c r="AV36" s="84"/>
      <c r="AW36" s="84"/>
      <c r="AX36" s="84"/>
    </row>
    <row r="37" spans="1:51" x14ac:dyDescent="0.2">
      <c r="A37" s="182" t="s">
        <v>519</v>
      </c>
      <c r="B37" s="174" t="s">
        <v>28</v>
      </c>
      <c r="C37" s="176">
        <v>0.25</v>
      </c>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row>
    <row r="38" spans="1:51" x14ac:dyDescent="0.2">
      <c r="A38" s="182" t="s">
        <v>520</v>
      </c>
      <c r="B38" s="174" t="s">
        <v>514</v>
      </c>
      <c r="C38" s="194">
        <v>-6.4505437730296702E-3</v>
      </c>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84"/>
      <c r="AW38" s="84"/>
      <c r="AX38" s="84"/>
    </row>
    <row r="39" spans="1:51" x14ac:dyDescent="0.2">
      <c r="A39" s="182" t="s">
        <v>521</v>
      </c>
      <c r="B39" s="174" t="s">
        <v>36</v>
      </c>
      <c r="C39" s="176">
        <v>2020</v>
      </c>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4"/>
      <c r="AM39" s="84"/>
      <c r="AN39" s="84"/>
      <c r="AO39" s="84"/>
      <c r="AP39" s="84"/>
      <c r="AQ39" s="84"/>
      <c r="AR39" s="84"/>
      <c r="AS39" s="84"/>
      <c r="AT39" s="84"/>
      <c r="AU39" s="84"/>
      <c r="AV39" s="84"/>
      <c r="AW39" s="84"/>
      <c r="AX39" s="84"/>
    </row>
    <row r="40" spans="1:51" x14ac:dyDescent="0.2">
      <c r="A40" s="182" t="s">
        <v>522</v>
      </c>
      <c r="B40" s="174" t="s">
        <v>514</v>
      </c>
      <c r="C40" s="194">
        <v>3.4950074489999997E-2</v>
      </c>
      <c r="D40" s="84"/>
      <c r="E40" s="84"/>
      <c r="F40" s="84"/>
      <c r="G40" s="84"/>
      <c r="H40" s="84"/>
      <c r="I40" s="84"/>
      <c r="J40" s="84"/>
      <c r="K40" s="84"/>
      <c r="L40" s="84"/>
      <c r="M40" s="84"/>
      <c r="N40" s="84"/>
      <c r="O40" s="84"/>
      <c r="P40" s="84"/>
      <c r="Q40" s="84"/>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row>
    <row r="41" spans="1:51" ht="16" x14ac:dyDescent="0.2">
      <c r="A41" s="309" t="s">
        <v>143</v>
      </c>
      <c r="B41" s="309"/>
      <c r="C41" s="309"/>
      <c r="D41" s="84"/>
      <c r="E41" s="84"/>
      <c r="F41" s="84"/>
      <c r="G41" s="84"/>
      <c r="H41" s="84"/>
      <c r="I41" s="84"/>
      <c r="J41" s="84"/>
      <c r="K41" s="84"/>
      <c r="L41" s="84"/>
      <c r="M41" s="84"/>
      <c r="N41" s="84"/>
      <c r="O41" s="84"/>
      <c r="P41" s="84"/>
      <c r="Q41" s="84"/>
      <c r="R41" s="84"/>
      <c r="S41" s="84"/>
      <c r="T41" s="84"/>
      <c r="U41" s="84"/>
      <c r="V41" s="84"/>
      <c r="W41" s="84"/>
      <c r="X41" s="84"/>
      <c r="Y41" s="84"/>
      <c r="Z41" s="84"/>
      <c r="AA41" s="84"/>
      <c r="AB41" s="84"/>
      <c r="AC41" s="84"/>
      <c r="AD41" s="84"/>
      <c r="AE41" s="84"/>
      <c r="AF41" s="84"/>
      <c r="AG41" s="84"/>
      <c r="AH41" s="84"/>
      <c r="AI41" s="84"/>
      <c r="AJ41" s="84"/>
      <c r="AK41" s="84"/>
      <c r="AL41" s="84"/>
      <c r="AM41" s="84"/>
      <c r="AN41" s="84"/>
      <c r="AO41" s="84"/>
      <c r="AP41" s="84"/>
      <c r="AQ41" s="84"/>
      <c r="AR41" s="84"/>
      <c r="AS41" s="84"/>
      <c r="AT41" s="84"/>
      <c r="AU41" s="84"/>
      <c r="AV41" s="84"/>
      <c r="AW41" s="84"/>
      <c r="AX41" s="84"/>
    </row>
    <row r="42" spans="1:51" x14ac:dyDescent="0.2">
      <c r="A42" s="187" t="s">
        <v>523</v>
      </c>
      <c r="B42" s="177" t="s">
        <v>514</v>
      </c>
      <c r="C42" s="195">
        <v>0.02</v>
      </c>
      <c r="D42" s="84"/>
      <c r="E42" s="84"/>
      <c r="F42" s="84"/>
      <c r="G42" s="84"/>
      <c r="H42" s="84"/>
      <c r="I42" s="84"/>
      <c r="J42" s="84"/>
      <c r="K42" s="84"/>
      <c r="L42" s="84"/>
      <c r="M42" s="84"/>
      <c r="N42" s="84"/>
      <c r="O42" s="84"/>
      <c r="P42" s="84"/>
      <c r="Q42" s="84"/>
      <c r="R42" s="84"/>
      <c r="S42" s="84"/>
      <c r="T42" s="84"/>
      <c r="U42" s="84"/>
      <c r="V42" s="84"/>
      <c r="W42" s="84"/>
      <c r="X42" s="84"/>
      <c r="Y42" s="84"/>
      <c r="Z42" s="84"/>
      <c r="AA42" s="84"/>
      <c r="AB42" s="84"/>
      <c r="AC42" s="84"/>
      <c r="AD42" s="84"/>
      <c r="AE42" s="84"/>
      <c r="AF42" s="84"/>
      <c r="AG42" s="84"/>
      <c r="AH42" s="84"/>
      <c r="AI42" s="84"/>
      <c r="AJ42" s="84"/>
      <c r="AK42" s="84"/>
      <c r="AL42" s="84"/>
      <c r="AM42" s="84"/>
      <c r="AN42" s="84"/>
      <c r="AO42" s="84"/>
      <c r="AP42" s="84"/>
      <c r="AQ42" s="84"/>
      <c r="AR42" s="84"/>
      <c r="AS42" s="84"/>
      <c r="AT42" s="84"/>
      <c r="AU42" s="84"/>
      <c r="AV42" s="84"/>
      <c r="AW42" s="84"/>
      <c r="AX42" s="84"/>
    </row>
    <row r="44" spans="1:51" ht="19" x14ac:dyDescent="0.25">
      <c r="A44" s="306" t="s">
        <v>144</v>
      </c>
      <c r="B44" s="306"/>
      <c r="C44" s="306"/>
      <c r="D44" s="84"/>
      <c r="H44" s="84"/>
      <c r="I44" s="84"/>
      <c r="J44" s="84"/>
      <c r="K44" s="84"/>
      <c r="L44" s="84"/>
      <c r="M44" s="84"/>
      <c r="N44" s="84"/>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c r="AS44" s="84"/>
      <c r="AT44" s="84"/>
      <c r="AU44" s="84"/>
      <c r="AV44" s="84"/>
      <c r="AW44" s="84"/>
      <c r="AX44" s="84"/>
    </row>
    <row r="45" spans="1:51" x14ac:dyDescent="0.2">
      <c r="A45" s="187" t="s">
        <v>524</v>
      </c>
      <c r="B45" s="177" t="s">
        <v>514</v>
      </c>
      <c r="C45" s="195">
        <v>-1.5900000000000001E-2</v>
      </c>
      <c r="D45" s="84"/>
      <c r="E45" s="84"/>
      <c r="F45" s="84"/>
      <c r="G45" s="84"/>
      <c r="H45" s="84"/>
      <c r="I45" s="84"/>
      <c r="J45" s="84"/>
      <c r="K45" s="84"/>
      <c r="L45" s="84"/>
      <c r="M45" s="84"/>
      <c r="N45" s="84"/>
      <c r="O45" s="84"/>
      <c r="P45" s="84"/>
      <c r="Q45" s="84"/>
      <c r="R45" s="84"/>
      <c r="S45" s="84"/>
      <c r="T45" s="84"/>
      <c r="U45" s="84"/>
      <c r="V45" s="84"/>
      <c r="W45" s="84"/>
      <c r="X45" s="84"/>
      <c r="Y45" s="84"/>
      <c r="Z45" s="84"/>
      <c r="AA45" s="84"/>
      <c r="AB45" s="84"/>
      <c r="AC45" s="84"/>
      <c r="AD45" s="84"/>
      <c r="AE45" s="84"/>
      <c r="AF45" s="84"/>
      <c r="AG45" s="84"/>
      <c r="AH45" s="84"/>
      <c r="AI45" s="84"/>
      <c r="AJ45" s="84"/>
      <c r="AK45" s="84"/>
      <c r="AL45" s="84"/>
      <c r="AM45" s="84"/>
      <c r="AN45" s="84"/>
      <c r="AO45" s="84"/>
      <c r="AP45" s="84"/>
      <c r="AQ45" s="84"/>
      <c r="AR45" s="84"/>
      <c r="AS45" s="84"/>
      <c r="AT45" s="84"/>
      <c r="AU45" s="84"/>
      <c r="AV45" s="84"/>
      <c r="AW45" s="84"/>
      <c r="AX45" s="84"/>
      <c r="AY45" s="84"/>
    </row>
    <row r="47" spans="1:51" ht="19" x14ac:dyDescent="0.25">
      <c r="A47" s="306" t="s">
        <v>157</v>
      </c>
      <c r="B47" s="306"/>
      <c r="C47" s="306"/>
      <c r="D47" s="84"/>
      <c r="E47" s="84"/>
      <c r="F47" s="84"/>
      <c r="G47" s="84"/>
      <c r="H47" s="84"/>
      <c r="I47" s="84"/>
      <c r="J47" s="84"/>
      <c r="K47" s="84"/>
      <c r="L47" s="84"/>
      <c r="M47" s="84"/>
      <c r="N47" s="84"/>
      <c r="O47" s="84"/>
      <c r="P47" s="84"/>
      <c r="Q47" s="84"/>
      <c r="R47" s="84"/>
      <c r="S47" s="84"/>
      <c r="T47" s="84"/>
      <c r="U47" s="84"/>
      <c r="V47" s="84"/>
      <c r="W47" s="84"/>
      <c r="X47" s="84"/>
      <c r="Y47" s="84"/>
      <c r="Z47" s="84"/>
      <c r="AA47" s="84"/>
      <c r="AB47" s="84"/>
      <c r="AC47" s="84"/>
      <c r="AD47" s="84"/>
      <c r="AE47" s="84"/>
      <c r="AF47" s="84"/>
      <c r="AG47" s="84"/>
      <c r="AH47" s="84"/>
      <c r="AI47" s="84"/>
      <c r="AJ47" s="84"/>
      <c r="AK47" s="84"/>
      <c r="AL47" s="84"/>
      <c r="AM47" s="84"/>
      <c r="AN47" s="84"/>
      <c r="AO47" s="84"/>
      <c r="AP47" s="84"/>
      <c r="AQ47" s="84"/>
      <c r="AR47" s="84"/>
      <c r="AS47" s="84"/>
      <c r="AT47" s="84"/>
      <c r="AU47" s="84"/>
      <c r="AV47" s="84"/>
      <c r="AW47" s="84"/>
      <c r="AX47" s="84"/>
      <c r="AY47" s="84"/>
    </row>
    <row r="48" spans="1:51" x14ac:dyDescent="0.2">
      <c r="A48" s="182" t="s">
        <v>525</v>
      </c>
      <c r="B48" s="174" t="s">
        <v>36</v>
      </c>
      <c r="C48" s="176">
        <v>2020</v>
      </c>
      <c r="D48" s="84"/>
      <c r="E48" s="84"/>
      <c r="F48" s="84"/>
      <c r="G48" s="84"/>
      <c r="H48" s="84"/>
      <c r="I48" s="84"/>
      <c r="J48" s="84"/>
      <c r="K48" s="84"/>
      <c r="L48" s="84"/>
      <c r="M48" s="84"/>
      <c r="N48" s="84"/>
      <c r="O48" s="84"/>
      <c r="P48" s="84"/>
      <c r="Q48" s="84"/>
      <c r="R48" s="84"/>
      <c r="S48" s="84"/>
      <c r="T48" s="84"/>
      <c r="U48" s="84"/>
      <c r="V48" s="84"/>
      <c r="W48" s="84"/>
      <c r="X48" s="84"/>
      <c r="Y48" s="84"/>
      <c r="Z48" s="84"/>
      <c r="AA48" s="84"/>
      <c r="AB48" s="84"/>
      <c r="AC48" s="84"/>
      <c r="AD48" s="84"/>
      <c r="AE48" s="84"/>
      <c r="AF48" s="84"/>
      <c r="AG48" s="84"/>
      <c r="AH48" s="84"/>
      <c r="AI48" s="84"/>
      <c r="AJ48" s="84"/>
      <c r="AK48" s="84"/>
      <c r="AL48" s="84"/>
      <c r="AM48" s="84"/>
      <c r="AN48" s="84"/>
      <c r="AO48" s="84"/>
      <c r="AP48" s="84"/>
      <c r="AQ48" s="84"/>
      <c r="AR48" s="84"/>
      <c r="AS48" s="84"/>
      <c r="AT48" s="84"/>
      <c r="AU48" s="84"/>
      <c r="AV48" s="84"/>
      <c r="AW48" s="84"/>
      <c r="AX48" s="84"/>
      <c r="AY48" s="84"/>
    </row>
    <row r="49" spans="1:51" x14ac:dyDescent="0.2">
      <c r="A49" s="182" t="s">
        <v>526</v>
      </c>
      <c r="B49" s="174" t="s">
        <v>36</v>
      </c>
      <c r="C49" s="176">
        <v>2050</v>
      </c>
      <c r="D49" s="84"/>
      <c r="E49" s="84"/>
      <c r="F49" s="84"/>
      <c r="G49" s="84"/>
      <c r="H49" s="84"/>
      <c r="I49" s="84"/>
      <c r="J49" s="84"/>
      <c r="K49" s="84"/>
      <c r="L49" s="84"/>
      <c r="M49" s="84"/>
      <c r="N49" s="84"/>
      <c r="O49" s="84"/>
      <c r="P49" s="84"/>
      <c r="Q49" s="84"/>
      <c r="R49" s="84"/>
      <c r="S49" s="84"/>
      <c r="T49" s="84"/>
      <c r="U49" s="84"/>
      <c r="V49" s="84"/>
      <c r="W49" s="84"/>
      <c r="X49" s="84"/>
      <c r="Y49" s="84"/>
      <c r="Z49" s="84"/>
      <c r="AA49" s="84"/>
      <c r="AB49" s="84"/>
      <c r="AC49" s="84"/>
      <c r="AD49" s="84"/>
      <c r="AE49" s="84"/>
      <c r="AF49" s="84"/>
      <c r="AG49" s="84"/>
      <c r="AH49" s="84"/>
      <c r="AI49" s="84"/>
      <c r="AJ49" s="84"/>
      <c r="AK49" s="84"/>
      <c r="AL49" s="84"/>
      <c r="AM49" s="84"/>
      <c r="AN49" s="84"/>
      <c r="AO49" s="84"/>
      <c r="AP49" s="84"/>
      <c r="AQ49" s="84"/>
      <c r="AR49" s="84"/>
      <c r="AS49" s="84"/>
      <c r="AT49" s="84"/>
      <c r="AU49" s="84"/>
      <c r="AV49" s="84"/>
      <c r="AW49" s="84"/>
      <c r="AX49" s="84"/>
      <c r="AY49" s="84"/>
    </row>
    <row r="50" spans="1:51" x14ac:dyDescent="0.2">
      <c r="A50" s="182" t="s">
        <v>527</v>
      </c>
      <c r="B50" s="174" t="s">
        <v>514</v>
      </c>
      <c r="C50" s="194">
        <v>0.17150000000000001</v>
      </c>
      <c r="D50" s="84"/>
      <c r="E50" s="84"/>
      <c r="F50" s="84"/>
      <c r="G50" s="84"/>
      <c r="H50" s="84"/>
      <c r="I50" s="84"/>
      <c r="J50" s="84"/>
      <c r="K50" s="84"/>
      <c r="L50" s="84"/>
      <c r="M50" s="84"/>
      <c r="N50" s="84"/>
      <c r="O50" s="84"/>
      <c r="P50" s="84"/>
      <c r="Q50" s="84"/>
      <c r="R50" s="84"/>
      <c r="S50" s="84"/>
      <c r="T50" s="84"/>
      <c r="U50" s="84"/>
      <c r="V50" s="84"/>
      <c r="W50" s="84"/>
      <c r="X50" s="84"/>
      <c r="Y50" s="84"/>
      <c r="Z50" s="84"/>
      <c r="AA50" s="84"/>
      <c r="AB50" s="84"/>
      <c r="AC50" s="84"/>
      <c r="AD50" s="84"/>
      <c r="AE50" s="84"/>
      <c r="AF50" s="84"/>
      <c r="AG50" s="84"/>
      <c r="AH50" s="84"/>
      <c r="AI50" s="84"/>
      <c r="AJ50" s="84"/>
      <c r="AK50" s="84"/>
      <c r="AL50" s="84"/>
      <c r="AM50" s="84"/>
      <c r="AN50" s="84"/>
      <c r="AO50" s="84"/>
      <c r="AP50" s="84"/>
      <c r="AQ50" s="84"/>
      <c r="AR50" s="84"/>
      <c r="AS50" s="84"/>
      <c r="AT50" s="84"/>
      <c r="AU50" s="84"/>
      <c r="AV50" s="84"/>
      <c r="AW50" s="84"/>
      <c r="AX50" s="84"/>
      <c r="AY50" s="84"/>
    </row>
    <row r="51" spans="1:51" x14ac:dyDescent="0.2">
      <c r="A51" s="182" t="s">
        <v>528</v>
      </c>
      <c r="B51" s="174" t="s">
        <v>514</v>
      </c>
      <c r="C51" s="194">
        <v>3.8699999999999998E-2</v>
      </c>
      <c r="D51" s="84"/>
      <c r="E51" s="84"/>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c r="AL51" s="84"/>
      <c r="AM51" s="84"/>
      <c r="AN51" s="84"/>
      <c r="AO51" s="84"/>
      <c r="AP51" s="84"/>
      <c r="AQ51" s="84"/>
      <c r="AR51" s="84"/>
      <c r="AS51" s="84"/>
      <c r="AT51" s="84"/>
      <c r="AU51" s="84"/>
      <c r="AV51" s="84"/>
      <c r="AW51" s="84"/>
      <c r="AX51" s="84"/>
      <c r="AY51" s="84"/>
    </row>
    <row r="52" spans="1:51" x14ac:dyDescent="0.2">
      <c r="A52" s="187" t="s">
        <v>529</v>
      </c>
      <c r="B52" s="177" t="s">
        <v>514</v>
      </c>
      <c r="C52" s="196">
        <v>0.01</v>
      </c>
      <c r="D52" s="196">
        <v>-6.2799999999999995E-2</v>
      </c>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c r="AN52" s="84"/>
      <c r="AO52" s="84"/>
      <c r="AP52" s="84"/>
      <c r="AQ52" s="84"/>
      <c r="AR52" s="84"/>
      <c r="AS52" s="84"/>
      <c r="AT52" s="84"/>
      <c r="AU52" s="84"/>
      <c r="AV52" s="84"/>
      <c r="AW52" s="84"/>
      <c r="AX52" s="84"/>
      <c r="AY52" s="84"/>
    </row>
    <row r="53" spans="1:51" s="84" customFormat="1" ht="19" x14ac:dyDescent="0.25">
      <c r="A53" s="306" t="s">
        <v>530</v>
      </c>
      <c r="B53" s="306"/>
      <c r="C53" s="306"/>
    </row>
    <row r="54" spans="1:51" s="84" customFormat="1" x14ac:dyDescent="0.2">
      <c r="A54" s="197" t="s">
        <v>531</v>
      </c>
      <c r="B54" s="174" t="s">
        <v>36</v>
      </c>
      <c r="C54" s="175">
        <v>2050</v>
      </c>
    </row>
    <row r="55" spans="1:51" s="84" customFormat="1" x14ac:dyDescent="0.2">
      <c r="A55" s="197" t="s">
        <v>532</v>
      </c>
      <c r="B55" s="174" t="s">
        <v>533</v>
      </c>
      <c r="C55" s="198">
        <v>0</v>
      </c>
    </row>
    <row r="56" spans="1:51" s="84" customFormat="1" x14ac:dyDescent="0.2">
      <c r="A56" s="197" t="s">
        <v>534</v>
      </c>
      <c r="B56" s="174" t="s">
        <v>533</v>
      </c>
      <c r="C56" s="198">
        <v>0</v>
      </c>
    </row>
    <row r="57" spans="1:51" s="84" customFormat="1" x14ac:dyDescent="0.2">
      <c r="A57" s="197" t="s">
        <v>535</v>
      </c>
      <c r="B57" s="174" t="s">
        <v>533</v>
      </c>
      <c r="C57" s="198">
        <v>0.1</v>
      </c>
    </row>
    <row r="58" spans="1:51" s="84" customFormat="1" x14ac:dyDescent="0.2">
      <c r="A58" s="197" t="s">
        <v>536</v>
      </c>
      <c r="B58" s="174" t="s">
        <v>533</v>
      </c>
      <c r="C58" s="198">
        <v>0.5</v>
      </c>
    </row>
    <row r="59" spans="1:51" s="84" customFormat="1" x14ac:dyDescent="0.2"/>
    <row r="60" spans="1:51" ht="19" x14ac:dyDescent="0.25">
      <c r="A60" s="306" t="s">
        <v>537</v>
      </c>
      <c r="B60" s="306"/>
      <c r="C60" s="306"/>
      <c r="D60" s="306"/>
      <c r="E60" s="306"/>
      <c r="F60" s="306"/>
      <c r="G60" s="306"/>
      <c r="H60" s="306"/>
      <c r="I60" s="306"/>
    </row>
    <row r="61" spans="1:51" x14ac:dyDescent="0.2">
      <c r="A61" s="197" t="s">
        <v>36</v>
      </c>
      <c r="B61" s="174" t="s">
        <v>36</v>
      </c>
      <c r="C61" s="199">
        <v>2020</v>
      </c>
      <c r="D61" s="199">
        <v>2025</v>
      </c>
      <c r="E61" s="199">
        <v>2030</v>
      </c>
      <c r="F61" s="199">
        <v>2035</v>
      </c>
      <c r="G61" s="199">
        <v>2040</v>
      </c>
      <c r="H61" s="199">
        <v>2045</v>
      </c>
      <c r="I61" s="200">
        <v>2050</v>
      </c>
    </row>
    <row r="62" spans="1:51" x14ac:dyDescent="0.2">
      <c r="A62" s="197" t="s">
        <v>538</v>
      </c>
      <c r="B62" s="174" t="s">
        <v>146</v>
      </c>
      <c r="C62" s="201">
        <v>0</v>
      </c>
      <c r="D62" s="201">
        <v>0</v>
      </c>
      <c r="E62" s="201">
        <v>0</v>
      </c>
      <c r="F62" s="201">
        <v>0</v>
      </c>
      <c r="G62" s="201">
        <v>0</v>
      </c>
      <c r="H62" s="201">
        <v>0</v>
      </c>
      <c r="I62" s="201">
        <v>0</v>
      </c>
      <c r="J62" s="192"/>
      <c r="K62" s="192"/>
    </row>
    <row r="63" spans="1:51" x14ac:dyDescent="0.2">
      <c r="A63" s="197" t="s">
        <v>539</v>
      </c>
      <c r="B63" s="174" t="s">
        <v>146</v>
      </c>
      <c r="C63" s="201">
        <v>0</v>
      </c>
      <c r="D63" s="201">
        <v>0</v>
      </c>
      <c r="E63" s="201">
        <v>1.8914898535394901E-3</v>
      </c>
      <c r="F63" s="201">
        <v>0.48296425619859501</v>
      </c>
      <c r="G63" s="201">
        <v>1.23853129255308</v>
      </c>
      <c r="H63" s="201">
        <v>2.8614175418402801</v>
      </c>
      <c r="I63" s="201">
        <v>2.8134079979269302</v>
      </c>
      <c r="J63" s="192"/>
      <c r="K63" s="192"/>
    </row>
    <row r="64" spans="1:51" x14ac:dyDescent="0.2">
      <c r="A64" s="197" t="s">
        <v>540</v>
      </c>
      <c r="B64" s="174" t="s">
        <v>146</v>
      </c>
      <c r="C64" s="201">
        <v>4.4121707779369198E-5</v>
      </c>
      <c r="D64" s="201">
        <v>7.5182846615976103E-4</v>
      </c>
      <c r="E64" s="201">
        <v>1.52316875119172E-2</v>
      </c>
      <c r="F64" s="201">
        <v>0.138807762777472</v>
      </c>
      <c r="G64" s="201">
        <v>0.86848071918593905</v>
      </c>
      <c r="H64" s="201">
        <v>1.8786768295734799</v>
      </c>
      <c r="I64" s="201">
        <v>2.7838915669319602</v>
      </c>
    </row>
    <row r="65" spans="1:51" x14ac:dyDescent="0.2">
      <c r="A65" s="197" t="s">
        <v>541</v>
      </c>
      <c r="B65" s="174" t="s">
        <v>146</v>
      </c>
      <c r="C65" s="201">
        <v>0</v>
      </c>
      <c r="D65" s="201">
        <v>0</v>
      </c>
      <c r="E65" s="201">
        <v>0</v>
      </c>
      <c r="F65" s="201">
        <v>0</v>
      </c>
      <c r="G65" s="201">
        <v>0</v>
      </c>
      <c r="H65" s="201">
        <v>0</v>
      </c>
      <c r="I65" s="201">
        <v>0</v>
      </c>
    </row>
    <row r="66" spans="1:51" s="84" customFormat="1" x14ac:dyDescent="0.2"/>
    <row r="67" spans="1:51" s="84" customFormat="1" x14ac:dyDescent="0.2"/>
    <row r="68" spans="1:51" ht="26" x14ac:dyDescent="0.3">
      <c r="A68" s="173" t="s">
        <v>542</v>
      </c>
      <c r="D68" s="84"/>
      <c r="E68" s="84"/>
      <c r="F68" s="84"/>
      <c r="G68" s="84"/>
      <c r="H68" s="84"/>
      <c r="I68" s="84"/>
      <c r="J68" s="84"/>
      <c r="K68" s="84"/>
      <c r="L68" s="84"/>
      <c r="M68" s="84"/>
      <c r="N68" s="84"/>
      <c r="O68" s="84"/>
      <c r="P68" s="84"/>
      <c r="Q68" s="84"/>
      <c r="R68" s="84"/>
      <c r="S68" s="84"/>
      <c r="T68" s="84"/>
      <c r="U68" s="84"/>
      <c r="V68" s="84"/>
      <c r="W68" s="84"/>
      <c r="X68" s="84"/>
      <c r="Y68" s="84"/>
      <c r="Z68" s="84"/>
      <c r="AA68" s="84"/>
      <c r="AB68" s="84"/>
      <c r="AC68" s="84"/>
      <c r="AD68" s="84"/>
      <c r="AE68" s="84"/>
      <c r="AF68" s="84"/>
      <c r="AG68" s="84"/>
      <c r="AH68" s="84"/>
      <c r="AI68" s="84"/>
      <c r="AJ68" s="84"/>
      <c r="AK68" s="84"/>
      <c r="AL68" s="84"/>
      <c r="AM68" s="84"/>
      <c r="AN68" s="84"/>
      <c r="AO68" s="84"/>
      <c r="AP68" s="84"/>
      <c r="AQ68" s="84"/>
      <c r="AR68" s="84"/>
      <c r="AS68" s="84"/>
      <c r="AT68" s="84"/>
      <c r="AU68" s="84"/>
      <c r="AV68" s="84"/>
      <c r="AW68" s="84"/>
      <c r="AX68" s="84"/>
      <c r="AY68" s="84"/>
    </row>
    <row r="69" spans="1:51" ht="15.75" customHeight="1" x14ac:dyDescent="0.25">
      <c r="A69" s="202" t="s">
        <v>168</v>
      </c>
      <c r="B69" s="203"/>
      <c r="C69" s="204"/>
      <c r="D69" s="84"/>
      <c r="E69" s="84"/>
      <c r="F69" s="84"/>
      <c r="G69" s="84"/>
      <c r="H69" s="84"/>
      <c r="I69" s="84"/>
      <c r="J69" s="84"/>
      <c r="K69" s="84"/>
      <c r="L69" s="84"/>
      <c r="M69" s="84"/>
      <c r="N69" s="84"/>
      <c r="O69" s="84"/>
      <c r="P69" s="84"/>
      <c r="Q69" s="84"/>
      <c r="R69" s="84"/>
      <c r="S69" s="84"/>
      <c r="T69" s="84"/>
      <c r="U69" s="84"/>
      <c r="V69" s="84"/>
      <c r="W69" s="84"/>
      <c r="X69" s="84"/>
      <c r="Y69" s="84"/>
      <c r="Z69" s="84"/>
      <c r="AA69" s="84"/>
      <c r="AB69" s="84"/>
      <c r="AC69" s="84"/>
      <c r="AD69" s="84"/>
      <c r="AE69" s="84"/>
      <c r="AF69" s="84"/>
      <c r="AG69" s="84"/>
      <c r="AH69" s="84"/>
      <c r="AI69" s="84"/>
      <c r="AJ69" s="84"/>
      <c r="AK69" s="84"/>
      <c r="AL69" s="84"/>
      <c r="AM69" s="84"/>
      <c r="AN69" s="84"/>
      <c r="AO69" s="84"/>
      <c r="AP69" s="84"/>
      <c r="AQ69" s="84"/>
      <c r="AR69" s="84"/>
      <c r="AS69" s="84"/>
      <c r="AT69" s="84"/>
      <c r="AU69" s="84"/>
      <c r="AV69" s="84"/>
      <c r="AW69" s="84"/>
      <c r="AX69" s="84"/>
      <c r="AY69" s="84"/>
    </row>
    <row r="70" spans="1:51" ht="15" customHeight="1" x14ac:dyDescent="0.2">
      <c r="A70" s="310" t="s">
        <v>187</v>
      </c>
      <c r="B70" s="174" t="s">
        <v>169</v>
      </c>
      <c r="C70" s="176">
        <v>0</v>
      </c>
      <c r="D70" s="84"/>
      <c r="E70" s="84"/>
      <c r="F70" s="84"/>
      <c r="G70" s="84"/>
      <c r="H70" s="84"/>
      <c r="I70" s="84"/>
      <c r="J70" s="84"/>
      <c r="K70" s="84"/>
      <c r="L70" s="84"/>
      <c r="M70" s="84"/>
      <c r="N70" s="84"/>
      <c r="O70" s="84"/>
      <c r="P70" s="84"/>
      <c r="Q70" s="84"/>
      <c r="R70" s="84"/>
      <c r="S70" s="84"/>
      <c r="T70" s="84"/>
      <c r="U70" s="84"/>
      <c r="V70" s="84"/>
      <c r="W70" s="84"/>
      <c r="X70" s="84"/>
      <c r="Y70" s="84"/>
      <c r="Z70" s="84"/>
      <c r="AA70" s="84"/>
      <c r="AB70" s="84"/>
      <c r="AC70" s="84"/>
      <c r="AD70" s="84"/>
      <c r="AE70" s="84"/>
      <c r="AF70" s="84"/>
      <c r="AG70" s="84"/>
      <c r="AH70" s="84"/>
      <c r="AI70" s="84"/>
      <c r="AJ70" s="84"/>
      <c r="AK70" s="84"/>
      <c r="AL70" s="84"/>
      <c r="AM70" s="84"/>
      <c r="AN70" s="84"/>
      <c r="AO70" s="84"/>
      <c r="AP70" s="84"/>
      <c r="AQ70" s="84"/>
      <c r="AR70" s="84"/>
      <c r="AS70" s="84"/>
      <c r="AT70" s="84"/>
      <c r="AU70" s="84"/>
      <c r="AV70" s="84"/>
      <c r="AW70" s="84"/>
      <c r="AX70" s="84"/>
      <c r="AY70" s="84"/>
    </row>
    <row r="71" spans="1:51" x14ac:dyDescent="0.2">
      <c r="A71" s="310"/>
      <c r="B71" s="177" t="s">
        <v>543</v>
      </c>
      <c r="C71" s="196">
        <v>0.1</v>
      </c>
      <c r="D71" s="84"/>
      <c r="E71" s="84"/>
      <c r="F71" s="84"/>
      <c r="G71" s="84"/>
      <c r="H71" s="84"/>
      <c r="I71" s="84"/>
      <c r="J71" s="84"/>
      <c r="K71" s="84"/>
      <c r="L71" s="84"/>
      <c r="M71" s="84"/>
      <c r="N71" s="84"/>
      <c r="O71" s="84"/>
      <c r="P71" s="84"/>
      <c r="Q71" s="84"/>
      <c r="R71" s="84"/>
      <c r="S71" s="84"/>
      <c r="T71" s="84"/>
      <c r="U71" s="84"/>
      <c r="V71" s="84"/>
      <c r="W71" s="84"/>
      <c r="X71" s="84"/>
      <c r="Y71" s="84"/>
      <c r="Z71" s="84"/>
      <c r="AA71" s="84"/>
      <c r="AB71" s="84"/>
      <c r="AC71" s="84"/>
      <c r="AD71" s="84"/>
      <c r="AE71" s="84"/>
      <c r="AF71" s="84"/>
      <c r="AG71" s="84"/>
      <c r="AH71" s="84"/>
      <c r="AI71" s="84"/>
      <c r="AJ71" s="84"/>
      <c r="AK71" s="84"/>
      <c r="AL71" s="84"/>
      <c r="AM71" s="84"/>
      <c r="AN71" s="84"/>
      <c r="AO71" s="84"/>
      <c r="AP71" s="84"/>
      <c r="AQ71" s="84"/>
      <c r="AR71" s="84"/>
      <c r="AS71" s="84"/>
      <c r="AT71" s="84"/>
      <c r="AU71" s="84"/>
      <c r="AV71" s="84"/>
      <c r="AW71" s="84"/>
      <c r="AX71" s="84"/>
      <c r="AY71" s="84"/>
    </row>
    <row r="72" spans="1:51" s="84" customFormat="1" x14ac:dyDescent="0.2"/>
    <row r="73" spans="1:51" ht="15.75" customHeight="1" x14ac:dyDescent="0.25">
      <c r="A73" s="306" t="s">
        <v>192</v>
      </c>
      <c r="B73" s="306"/>
      <c r="C73" s="306"/>
      <c r="D73" s="84"/>
      <c r="E73" s="84"/>
      <c r="F73" s="84"/>
      <c r="G73" s="84"/>
      <c r="H73" s="84"/>
      <c r="I73" s="84"/>
      <c r="J73" s="84"/>
      <c r="K73" s="84"/>
      <c r="L73" s="84"/>
      <c r="M73" s="84"/>
      <c r="N73" s="84"/>
      <c r="O73" s="84"/>
      <c r="P73" s="84"/>
      <c r="Q73" s="84"/>
      <c r="R73" s="84"/>
      <c r="S73" s="84"/>
      <c r="T73" s="84"/>
      <c r="U73" s="84"/>
      <c r="V73" s="84"/>
      <c r="W73" s="84"/>
      <c r="X73" s="84"/>
      <c r="Y73" s="84"/>
      <c r="Z73" s="84"/>
      <c r="AA73" s="84"/>
      <c r="AB73" s="84"/>
      <c r="AC73" s="84"/>
      <c r="AD73" s="84"/>
      <c r="AE73" s="84"/>
      <c r="AF73" s="84"/>
      <c r="AG73" s="84"/>
      <c r="AH73" s="84"/>
      <c r="AI73" s="84"/>
      <c r="AJ73" s="84"/>
      <c r="AK73" s="84"/>
      <c r="AL73" s="84"/>
      <c r="AM73" s="84"/>
      <c r="AN73" s="84"/>
      <c r="AO73" s="84"/>
      <c r="AP73" s="84"/>
      <c r="AQ73" s="84"/>
      <c r="AR73" s="84"/>
      <c r="AS73" s="84"/>
      <c r="AT73" s="84"/>
      <c r="AU73" s="84"/>
      <c r="AV73" s="84"/>
      <c r="AW73" s="84"/>
      <c r="AX73" s="84"/>
      <c r="AY73" s="84"/>
    </row>
    <row r="74" spans="1:51" ht="15" customHeight="1" x14ac:dyDescent="0.2">
      <c r="A74" s="310" t="s">
        <v>208</v>
      </c>
      <c r="B74" s="174" t="s">
        <v>193</v>
      </c>
      <c r="C74" s="176">
        <v>0</v>
      </c>
      <c r="D74" s="84"/>
      <c r="E74" s="84"/>
      <c r="F74" s="84"/>
      <c r="G74" s="84"/>
      <c r="H74" s="84"/>
      <c r="I74" s="84"/>
      <c r="J74" s="84"/>
      <c r="K74" s="84"/>
      <c r="L74" s="84"/>
      <c r="M74" s="84"/>
      <c r="N74" s="84"/>
      <c r="O74" s="84"/>
      <c r="P74" s="84"/>
      <c r="Q74" s="84"/>
      <c r="R74" s="84"/>
      <c r="S74" s="84"/>
      <c r="T74" s="84"/>
      <c r="U74" s="84"/>
      <c r="V74" s="84"/>
      <c r="W74" s="84"/>
      <c r="X74" s="84"/>
      <c r="Y74" s="84"/>
      <c r="Z74" s="84"/>
      <c r="AA74" s="84"/>
      <c r="AB74" s="84"/>
      <c r="AC74" s="84"/>
      <c r="AD74" s="84"/>
      <c r="AE74" s="84"/>
      <c r="AF74" s="84"/>
      <c r="AG74" s="84"/>
      <c r="AH74" s="84"/>
      <c r="AI74" s="84"/>
      <c r="AJ74" s="84"/>
      <c r="AK74" s="84"/>
      <c r="AL74" s="84"/>
      <c r="AM74" s="84"/>
      <c r="AN74" s="84"/>
      <c r="AO74" s="84"/>
      <c r="AP74" s="84"/>
      <c r="AQ74" s="84"/>
      <c r="AR74" s="84"/>
      <c r="AS74" s="84"/>
      <c r="AT74" s="84"/>
      <c r="AU74" s="84"/>
      <c r="AV74" s="84"/>
      <c r="AW74" s="84"/>
      <c r="AX74" s="84"/>
      <c r="AY74" s="84"/>
    </row>
    <row r="75" spans="1:51" x14ac:dyDescent="0.2">
      <c r="A75" s="310"/>
      <c r="B75" s="177" t="s">
        <v>544</v>
      </c>
      <c r="C75" s="196">
        <v>-0.08</v>
      </c>
      <c r="E75" s="84"/>
      <c r="F75" s="84"/>
      <c r="G75" s="84"/>
      <c r="H75" s="84"/>
      <c r="I75" s="84"/>
      <c r="J75" s="84"/>
      <c r="K75" s="84"/>
      <c r="L75" s="84"/>
      <c r="M75" s="84"/>
      <c r="N75" s="84"/>
      <c r="O75" s="84"/>
      <c r="P75" s="84"/>
      <c r="Q75" s="84"/>
      <c r="R75" s="84"/>
      <c r="S75" s="84"/>
      <c r="T75" s="84"/>
      <c r="U75" s="84"/>
      <c r="V75" s="84"/>
      <c r="W75" s="84"/>
      <c r="X75" s="84"/>
      <c r="Y75" s="84"/>
      <c r="Z75" s="84"/>
      <c r="AA75" s="84"/>
      <c r="AB75" s="84"/>
      <c r="AC75" s="84"/>
      <c r="AD75" s="84"/>
      <c r="AE75" s="84"/>
      <c r="AF75" s="84"/>
      <c r="AG75" s="84"/>
      <c r="AH75" s="84"/>
      <c r="AI75" s="84"/>
      <c r="AJ75" s="84"/>
      <c r="AK75" s="84"/>
      <c r="AL75" s="84"/>
      <c r="AM75" s="84"/>
      <c r="AN75" s="84"/>
      <c r="AO75" s="84"/>
      <c r="AP75" s="84"/>
      <c r="AQ75" s="84"/>
      <c r="AR75" s="84"/>
      <c r="AS75" s="84"/>
      <c r="AT75" s="84"/>
      <c r="AU75" s="84"/>
      <c r="AV75" s="84"/>
      <c r="AW75" s="84"/>
      <c r="AX75" s="84"/>
      <c r="AY75" s="84"/>
    </row>
    <row r="76" spans="1:51" ht="14.25" customHeight="1" x14ac:dyDescent="0.2">
      <c r="A76" s="84"/>
      <c r="B76" s="84"/>
      <c r="C76" s="84"/>
      <c r="E76" s="84"/>
      <c r="F76" s="84"/>
      <c r="G76" s="84"/>
      <c r="H76" s="84"/>
      <c r="I76" s="84"/>
      <c r="J76" s="84"/>
      <c r="K76" s="84"/>
      <c r="L76" s="84"/>
      <c r="M76" s="84"/>
      <c r="N76" s="84"/>
      <c r="O76" s="84"/>
      <c r="P76" s="84"/>
      <c r="Q76" s="84"/>
      <c r="R76" s="84"/>
      <c r="S76" s="84"/>
      <c r="T76" s="84"/>
      <c r="U76" s="84"/>
      <c r="V76" s="84"/>
      <c r="W76" s="84"/>
      <c r="X76" s="84"/>
      <c r="Y76" s="84"/>
      <c r="Z76" s="84"/>
      <c r="AA76" s="84"/>
      <c r="AB76" s="84"/>
      <c r="AC76" s="84"/>
      <c r="AD76" s="84"/>
      <c r="AE76" s="84"/>
      <c r="AF76" s="84"/>
      <c r="AG76" s="84"/>
      <c r="AH76" s="84"/>
      <c r="AI76" s="84"/>
      <c r="AJ76" s="84"/>
      <c r="AK76" s="84"/>
      <c r="AL76" s="84"/>
      <c r="AM76" s="84"/>
      <c r="AN76" s="84"/>
      <c r="AO76" s="84"/>
      <c r="AP76" s="84"/>
      <c r="AQ76" s="84"/>
      <c r="AR76" s="84"/>
      <c r="AS76" s="84"/>
      <c r="AT76" s="84"/>
      <c r="AU76" s="84"/>
      <c r="AV76" s="84"/>
      <c r="AW76" s="84"/>
      <c r="AX76" s="84"/>
      <c r="AY76" s="84"/>
    </row>
    <row r="77" spans="1:51" ht="19" x14ac:dyDescent="0.25">
      <c r="A77" s="311" t="s">
        <v>228</v>
      </c>
      <c r="B77" s="311"/>
      <c r="C77" s="311"/>
      <c r="D77" s="205" t="s">
        <v>545</v>
      </c>
      <c r="E77" s="84"/>
      <c r="F77" s="84"/>
      <c r="G77" s="84"/>
      <c r="H77" s="84"/>
      <c r="I77" s="84"/>
      <c r="J77" s="84"/>
      <c r="K77" s="84"/>
      <c r="L77" s="84"/>
      <c r="M77" s="84"/>
      <c r="N77" s="84"/>
      <c r="O77" s="84"/>
      <c r="P77" s="84"/>
      <c r="Q77" s="84"/>
      <c r="R77" s="84"/>
      <c r="S77" s="84"/>
      <c r="T77" s="84"/>
      <c r="U77" s="84"/>
      <c r="V77" s="84"/>
      <c r="W77" s="84"/>
      <c r="X77" s="84"/>
      <c r="Y77" s="84"/>
      <c r="Z77" s="84"/>
      <c r="AA77" s="84"/>
      <c r="AB77" s="84"/>
      <c r="AC77" s="84"/>
      <c r="AD77" s="84"/>
      <c r="AE77" s="84"/>
      <c r="AF77" s="84"/>
      <c r="AG77" s="84"/>
      <c r="AH77" s="84"/>
      <c r="AI77" s="84"/>
      <c r="AJ77" s="84"/>
      <c r="AK77" s="84"/>
      <c r="AL77" s="84"/>
      <c r="AM77" s="84"/>
      <c r="AN77" s="84"/>
      <c r="AO77" s="84"/>
      <c r="AP77" s="84"/>
      <c r="AQ77" s="84"/>
      <c r="AR77" s="84"/>
      <c r="AS77" s="84"/>
      <c r="AT77" s="84"/>
      <c r="AU77" s="84"/>
      <c r="AV77" s="84"/>
      <c r="AW77" s="84"/>
      <c r="AX77" s="84"/>
      <c r="AY77" s="84"/>
    </row>
    <row r="78" spans="1:51" x14ac:dyDescent="0.2">
      <c r="A78" s="182" t="s">
        <v>546</v>
      </c>
      <c r="B78" s="174" t="s">
        <v>547</v>
      </c>
      <c r="C78" s="198">
        <v>0.15</v>
      </c>
      <c r="D78" s="176">
        <v>1</v>
      </c>
      <c r="E78" s="84"/>
      <c r="F78" s="84"/>
      <c r="G78" s="84"/>
      <c r="H78" s="84"/>
      <c r="I78" s="84"/>
      <c r="J78" s="84"/>
      <c r="K78" s="84"/>
      <c r="L78" s="84"/>
      <c r="M78" s="84"/>
      <c r="N78" s="84"/>
      <c r="O78" s="84"/>
      <c r="P78" s="84"/>
      <c r="Q78" s="84"/>
      <c r="R78" s="84"/>
      <c r="S78" s="84"/>
      <c r="T78" s="84"/>
      <c r="U78" s="84"/>
      <c r="V78" s="84"/>
      <c r="W78" s="84"/>
      <c r="X78" s="84"/>
      <c r="Y78" s="84"/>
      <c r="Z78" s="84"/>
      <c r="AA78" s="84"/>
      <c r="AB78" s="84"/>
      <c r="AC78" s="84"/>
      <c r="AD78" s="84"/>
      <c r="AE78" s="84"/>
      <c r="AF78" s="84"/>
      <c r="AG78" s="84"/>
      <c r="AH78" s="84"/>
      <c r="AI78" s="84"/>
      <c r="AJ78" s="84"/>
      <c r="AK78" s="84"/>
      <c r="AL78" s="84"/>
      <c r="AM78" s="84"/>
      <c r="AN78" s="84"/>
      <c r="AO78" s="84"/>
      <c r="AP78" s="84"/>
      <c r="AQ78" s="84"/>
      <c r="AR78" s="84"/>
      <c r="AS78" s="84"/>
      <c r="AT78" s="84"/>
      <c r="AU78" s="84"/>
      <c r="AV78" s="84"/>
      <c r="AW78" s="84"/>
      <c r="AX78" s="84"/>
      <c r="AY78" s="84"/>
    </row>
    <row r="79" spans="1:51" ht="19" x14ac:dyDescent="0.25">
      <c r="A79" s="312" t="s">
        <v>230</v>
      </c>
      <c r="B79" s="312"/>
      <c r="C79" s="312"/>
      <c r="D79" s="206" t="s">
        <v>548</v>
      </c>
      <c r="E79" s="84"/>
      <c r="F79" s="84"/>
      <c r="G79" s="84"/>
      <c r="H79" s="84"/>
      <c r="I79" s="84"/>
      <c r="J79" s="84"/>
      <c r="K79" s="84"/>
      <c r="L79" s="84"/>
      <c r="M79" s="84"/>
      <c r="N79" s="84"/>
      <c r="O79" s="84"/>
      <c r="P79" s="84"/>
      <c r="Q79" s="84"/>
      <c r="R79" s="84"/>
      <c r="S79" s="84"/>
      <c r="T79" s="84"/>
      <c r="U79" s="84"/>
      <c r="V79" s="84"/>
      <c r="W79" s="84"/>
      <c r="X79" s="84"/>
      <c r="Y79" s="84"/>
      <c r="Z79" s="84"/>
      <c r="AA79" s="84"/>
      <c r="AB79" s="84"/>
      <c r="AC79" s="84"/>
      <c r="AD79" s="84"/>
      <c r="AE79" s="84"/>
      <c r="AF79" s="84"/>
      <c r="AG79" s="84"/>
      <c r="AH79" s="84"/>
      <c r="AI79" s="84"/>
      <c r="AJ79" s="84"/>
      <c r="AK79" s="84"/>
      <c r="AL79" s="84"/>
      <c r="AM79" s="84"/>
      <c r="AN79" s="84"/>
      <c r="AO79" s="84"/>
      <c r="AP79" s="84"/>
      <c r="AQ79" s="84"/>
      <c r="AR79" s="84"/>
      <c r="AS79" s="84"/>
      <c r="AT79" s="84"/>
      <c r="AU79" s="84"/>
      <c r="AV79" s="84"/>
      <c r="AW79" s="84"/>
      <c r="AX79" s="84"/>
      <c r="AY79" s="84"/>
    </row>
    <row r="80" spans="1:51" ht="14.25" customHeight="1" x14ac:dyDescent="0.2">
      <c r="A80" s="187" t="s">
        <v>549</v>
      </c>
      <c r="B80" s="177" t="s">
        <v>547</v>
      </c>
      <c r="C80" s="207">
        <v>0.2</v>
      </c>
      <c r="D80" s="208">
        <v>1</v>
      </c>
      <c r="E80" s="84"/>
      <c r="F80" s="84"/>
      <c r="G80" s="84"/>
      <c r="H80" s="84"/>
      <c r="I80" s="84"/>
      <c r="J80" s="84"/>
      <c r="K80" s="84"/>
      <c r="L80" s="84"/>
      <c r="M80" s="84"/>
      <c r="N80" s="84"/>
      <c r="O80" s="84"/>
      <c r="P80" s="84"/>
      <c r="Q80" s="84"/>
      <c r="R80" s="84"/>
      <c r="S80" s="84"/>
      <c r="T80" s="84"/>
      <c r="U80" s="84"/>
      <c r="V80" s="84"/>
      <c r="W80" s="84"/>
      <c r="X80" s="84"/>
      <c r="Y80" s="84"/>
      <c r="Z80" s="84"/>
      <c r="AA80" s="84"/>
      <c r="AB80" s="84"/>
      <c r="AC80" s="84"/>
      <c r="AD80" s="84"/>
      <c r="AE80" s="84"/>
      <c r="AF80" s="84"/>
      <c r="AG80" s="84"/>
      <c r="AH80" s="84"/>
      <c r="AI80" s="84"/>
      <c r="AJ80" s="84"/>
      <c r="AK80" s="84"/>
      <c r="AL80" s="84"/>
      <c r="AM80" s="84"/>
      <c r="AN80" s="84"/>
      <c r="AO80" s="84"/>
      <c r="AP80" s="84"/>
      <c r="AQ80" s="84"/>
      <c r="AR80" s="84"/>
      <c r="AS80" s="84"/>
      <c r="AT80" s="84"/>
      <c r="AU80" s="84"/>
      <c r="AV80" s="84"/>
      <c r="AW80" s="84"/>
      <c r="AX80" s="84"/>
      <c r="AY80" s="84"/>
    </row>
    <row r="81" spans="1:20" s="84" customFormat="1" x14ac:dyDescent="0.2"/>
    <row r="82" spans="1:20" ht="19" x14ac:dyDescent="0.25">
      <c r="A82" s="306" t="s">
        <v>236</v>
      </c>
      <c r="B82" s="306"/>
      <c r="C82" s="306"/>
    </row>
    <row r="83" spans="1:20" x14ac:dyDescent="0.2">
      <c r="A83" s="313" t="s">
        <v>550</v>
      </c>
      <c r="B83" s="174" t="s">
        <v>551</v>
      </c>
      <c r="C83" s="209">
        <v>0</v>
      </c>
    </row>
    <row r="84" spans="1:20" x14ac:dyDescent="0.2">
      <c r="A84" s="313"/>
      <c r="B84" s="174" t="s">
        <v>552</v>
      </c>
      <c r="C84" s="209">
        <v>2023</v>
      </c>
    </row>
    <row r="85" spans="1:20" x14ac:dyDescent="0.2">
      <c r="A85" s="313" t="s">
        <v>237</v>
      </c>
      <c r="B85" s="174" t="s">
        <v>238</v>
      </c>
      <c r="C85" s="209">
        <v>2015</v>
      </c>
      <c r="G85" s="119"/>
      <c r="H85" s="119"/>
      <c r="I85" s="127"/>
      <c r="J85" s="127"/>
      <c r="K85" s="127"/>
      <c r="L85" s="127"/>
      <c r="M85" s="127"/>
      <c r="N85" s="127"/>
      <c r="O85" s="127"/>
      <c r="P85" s="127"/>
      <c r="Q85" s="127"/>
      <c r="R85" s="127"/>
      <c r="S85" s="127"/>
      <c r="T85" s="127"/>
    </row>
    <row r="86" spans="1:20" x14ac:dyDescent="0.2">
      <c r="A86" s="313"/>
      <c r="B86" s="174" t="s">
        <v>241</v>
      </c>
      <c r="C86" s="210">
        <v>0</v>
      </c>
      <c r="G86" s="119"/>
      <c r="H86" s="119"/>
      <c r="I86" s="127"/>
      <c r="J86" s="127"/>
      <c r="K86" s="127"/>
      <c r="L86" s="127"/>
      <c r="M86" s="127"/>
      <c r="N86" s="127"/>
      <c r="O86" s="127"/>
      <c r="P86" s="127"/>
      <c r="Q86" s="127"/>
      <c r="R86" s="127"/>
      <c r="S86" s="127"/>
      <c r="T86" s="127"/>
    </row>
    <row r="87" spans="1:20" x14ac:dyDescent="0.2">
      <c r="A87" s="313" t="s">
        <v>243</v>
      </c>
      <c r="B87" s="174" t="s">
        <v>238</v>
      </c>
      <c r="C87" s="209">
        <v>2015</v>
      </c>
    </row>
    <row r="88" spans="1:20" x14ac:dyDescent="0.2">
      <c r="A88" s="313"/>
      <c r="B88" s="174" t="s">
        <v>241</v>
      </c>
      <c r="C88" s="210">
        <v>0</v>
      </c>
    </row>
    <row r="89" spans="1:20" x14ac:dyDescent="0.2">
      <c r="A89" s="313" t="s">
        <v>244</v>
      </c>
      <c r="B89" s="174" t="s">
        <v>238</v>
      </c>
      <c r="C89" s="209">
        <v>2023</v>
      </c>
    </row>
    <row r="90" spans="1:20" x14ac:dyDescent="0.2">
      <c r="A90" s="313"/>
      <c r="B90" s="174" t="s">
        <v>241</v>
      </c>
      <c r="C90" s="210">
        <v>0</v>
      </c>
    </row>
    <row r="91" spans="1:20" x14ac:dyDescent="0.2">
      <c r="A91" s="313" t="s">
        <v>246</v>
      </c>
      <c r="B91" s="174" t="s">
        <v>238</v>
      </c>
      <c r="C91" s="209">
        <v>2023</v>
      </c>
      <c r="G91" s="132"/>
      <c r="I91" s="125"/>
      <c r="J91" s="125"/>
      <c r="K91" s="125"/>
      <c r="L91" s="125"/>
      <c r="M91" s="125"/>
      <c r="N91" s="125"/>
      <c r="O91" s="125"/>
      <c r="P91" s="125"/>
      <c r="Q91" s="125"/>
      <c r="R91" s="125"/>
      <c r="S91" s="125"/>
      <c r="T91" s="125"/>
    </row>
    <row r="92" spans="1:20" x14ac:dyDescent="0.2">
      <c r="A92" s="313"/>
      <c r="B92" s="174" t="s">
        <v>241</v>
      </c>
      <c r="C92" s="210">
        <v>0</v>
      </c>
    </row>
    <row r="93" spans="1:20" x14ac:dyDescent="0.2">
      <c r="A93" s="313" t="s">
        <v>211</v>
      </c>
      <c r="B93" s="174" t="s">
        <v>238</v>
      </c>
      <c r="C93" s="209">
        <v>2023</v>
      </c>
    </row>
    <row r="94" spans="1:20" x14ac:dyDescent="0.2">
      <c r="A94" s="313"/>
      <c r="B94" s="174" t="s">
        <v>241</v>
      </c>
      <c r="C94" s="210">
        <v>0.97</v>
      </c>
    </row>
    <row r="95" spans="1:20" x14ac:dyDescent="0.2">
      <c r="A95" s="313" t="s">
        <v>240</v>
      </c>
      <c r="B95" s="174" t="s">
        <v>238</v>
      </c>
      <c r="C95" s="209">
        <v>2023</v>
      </c>
    </row>
    <row r="96" spans="1:20" x14ac:dyDescent="0.2">
      <c r="A96" s="313"/>
      <c r="B96" s="174" t="s">
        <v>241</v>
      </c>
      <c r="C96" s="210">
        <v>0.74</v>
      </c>
    </row>
    <row r="97" spans="1:3" x14ac:dyDescent="0.2">
      <c r="A97" s="310" t="s">
        <v>245</v>
      </c>
      <c r="B97" s="174" t="s">
        <v>238</v>
      </c>
      <c r="C97" s="209">
        <v>2023</v>
      </c>
    </row>
    <row r="98" spans="1:3" x14ac:dyDescent="0.2">
      <c r="A98" s="310"/>
      <c r="B98" s="177" t="s">
        <v>241</v>
      </c>
      <c r="C98" s="211">
        <v>0.87</v>
      </c>
    </row>
    <row r="99" spans="1:3" x14ac:dyDescent="0.2">
      <c r="A99" s="133" t="s">
        <v>247</v>
      </c>
    </row>
    <row r="101" spans="1:3" ht="14.25" customHeight="1" x14ac:dyDescent="0.25">
      <c r="A101" s="306" t="s">
        <v>248</v>
      </c>
      <c r="B101" s="306"/>
      <c r="C101" s="306"/>
    </row>
    <row r="102" spans="1:3" x14ac:dyDescent="0.2">
      <c r="A102" s="182" t="s">
        <v>249</v>
      </c>
      <c r="B102" s="174" t="s">
        <v>28</v>
      </c>
      <c r="C102" s="209">
        <v>1</v>
      </c>
    </row>
    <row r="103" spans="1:3" x14ac:dyDescent="0.2">
      <c r="A103" s="182" t="s">
        <v>256</v>
      </c>
      <c r="B103" s="174" t="s">
        <v>28</v>
      </c>
      <c r="C103" s="209">
        <v>1</v>
      </c>
    </row>
    <row r="104" spans="1:3" x14ac:dyDescent="0.2">
      <c r="A104" s="182" t="s">
        <v>553</v>
      </c>
      <c r="B104" s="174" t="s">
        <v>36</v>
      </c>
      <c r="C104" s="209">
        <v>2020</v>
      </c>
    </row>
    <row r="105" spans="1:3" x14ac:dyDescent="0.2">
      <c r="A105" s="182" t="s">
        <v>554</v>
      </c>
      <c r="B105" s="174" t="s">
        <v>36</v>
      </c>
      <c r="C105" s="209">
        <v>2025</v>
      </c>
    </row>
    <row r="106" spans="1:3" x14ac:dyDescent="0.2">
      <c r="A106" s="182" t="s">
        <v>555</v>
      </c>
      <c r="B106" s="174" t="s">
        <v>36</v>
      </c>
      <c r="C106" s="209">
        <v>2035</v>
      </c>
    </row>
    <row r="107" spans="1:3" x14ac:dyDescent="0.2">
      <c r="A107" s="182" t="s">
        <v>556</v>
      </c>
      <c r="B107" s="174" t="s">
        <v>36</v>
      </c>
      <c r="C107" s="209">
        <v>2050</v>
      </c>
    </row>
    <row r="108" spans="1:3" x14ac:dyDescent="0.2">
      <c r="A108" s="182" t="s">
        <v>255</v>
      </c>
      <c r="B108" s="174" t="s">
        <v>28</v>
      </c>
      <c r="C108" s="209">
        <v>0</v>
      </c>
    </row>
    <row r="109" spans="1:3" x14ac:dyDescent="0.2">
      <c r="A109" s="182" t="s">
        <v>261</v>
      </c>
      <c r="B109" s="174" t="s">
        <v>28</v>
      </c>
      <c r="C109" s="209">
        <v>0</v>
      </c>
    </row>
    <row r="110" spans="1:3" x14ac:dyDescent="0.2">
      <c r="A110" s="182" t="s">
        <v>557</v>
      </c>
      <c r="B110" s="174"/>
      <c r="C110" s="176">
        <v>2050</v>
      </c>
    </row>
    <row r="111" spans="1:3" x14ac:dyDescent="0.2">
      <c r="A111" s="187" t="s">
        <v>558</v>
      </c>
      <c r="B111" s="177" t="s">
        <v>28</v>
      </c>
      <c r="C111" s="208">
        <v>0.8</v>
      </c>
    </row>
    <row r="112" spans="1:3" ht="14.25" customHeight="1" x14ac:dyDescent="0.2"/>
    <row r="113" spans="1:10" ht="14.25" customHeight="1" x14ac:dyDescent="0.25">
      <c r="A113" s="306" t="s">
        <v>58</v>
      </c>
      <c r="B113" s="306"/>
      <c r="C113" s="306"/>
      <c r="D113" s="306"/>
      <c r="E113" s="306"/>
    </row>
    <row r="114" spans="1:10" ht="14.25" customHeight="1" x14ac:dyDescent="0.2">
      <c r="A114" s="310" t="s">
        <v>59</v>
      </c>
      <c r="B114" s="314">
        <v>4</v>
      </c>
      <c r="C114" s="197" t="s">
        <v>60</v>
      </c>
      <c r="D114" s="174" t="s">
        <v>65</v>
      </c>
      <c r="E114" s="194">
        <v>-1.2E-2</v>
      </c>
    </row>
    <row r="115" spans="1:10" ht="14.25" customHeight="1" x14ac:dyDescent="0.2">
      <c r="A115" s="310"/>
      <c r="B115" s="314"/>
      <c r="C115" s="197" t="s">
        <v>62</v>
      </c>
      <c r="D115" s="174" t="s">
        <v>559</v>
      </c>
      <c r="E115" s="176">
        <v>2017</v>
      </c>
    </row>
    <row r="116" spans="1:10" ht="14.25" customHeight="1" x14ac:dyDescent="0.2">
      <c r="A116" s="310"/>
      <c r="B116" s="314"/>
      <c r="C116" s="197" t="s">
        <v>63</v>
      </c>
      <c r="D116" s="315"/>
      <c r="E116" s="315"/>
    </row>
    <row r="117" spans="1:10" ht="14.25" customHeight="1" x14ac:dyDescent="0.2">
      <c r="A117" s="310"/>
      <c r="B117" s="314"/>
      <c r="C117" s="212" t="s">
        <v>64</v>
      </c>
      <c r="D117" s="315"/>
      <c r="E117" s="315"/>
    </row>
    <row r="118" spans="1:10" ht="14.25" customHeight="1" x14ac:dyDescent="0.2"/>
    <row r="119" spans="1:10" ht="14.25" customHeight="1" x14ac:dyDescent="0.2"/>
    <row r="120" spans="1:10" ht="26" x14ac:dyDescent="0.3">
      <c r="A120" s="173" t="s">
        <v>560</v>
      </c>
    </row>
    <row r="121" spans="1:10" ht="19" x14ac:dyDescent="0.25">
      <c r="A121" s="306" t="s">
        <v>561</v>
      </c>
      <c r="B121" s="306"/>
      <c r="C121" s="306"/>
      <c r="D121" s="306"/>
      <c r="E121" s="306"/>
      <c r="F121" s="306"/>
      <c r="G121" s="306"/>
      <c r="H121" s="306"/>
      <c r="I121" s="306"/>
      <c r="J121" s="306"/>
    </row>
    <row r="122" spans="1:10" x14ac:dyDescent="0.2">
      <c r="A122" s="180" t="s">
        <v>36</v>
      </c>
      <c r="B122" s="175"/>
      <c r="C122" s="174" t="s">
        <v>36</v>
      </c>
      <c r="D122" s="175">
        <v>2020</v>
      </c>
      <c r="E122" s="175">
        <v>2025</v>
      </c>
      <c r="F122" s="175">
        <v>2030</v>
      </c>
      <c r="G122" s="175">
        <v>2035</v>
      </c>
      <c r="H122" s="175">
        <v>2040</v>
      </c>
      <c r="I122" s="175">
        <v>2045</v>
      </c>
      <c r="J122" s="176">
        <v>2050</v>
      </c>
    </row>
    <row r="123" spans="1:10" x14ac:dyDescent="0.2">
      <c r="A123" s="316" t="s">
        <v>562</v>
      </c>
      <c r="B123" s="175" t="s">
        <v>563</v>
      </c>
      <c r="C123" s="174" t="s">
        <v>28</v>
      </c>
      <c r="D123" s="213">
        <v>0.88472864955826702</v>
      </c>
      <c r="E123" s="213">
        <v>0.88033461250055101</v>
      </c>
      <c r="F123" s="213">
        <v>0.87534775527083197</v>
      </c>
      <c r="G123" s="213">
        <v>0.87029999999999996</v>
      </c>
      <c r="H123" s="213">
        <v>0.86509999999999998</v>
      </c>
      <c r="I123" s="213">
        <v>0.85980999999999996</v>
      </c>
      <c r="J123" s="193">
        <v>0.85438999999999998</v>
      </c>
    </row>
    <row r="124" spans="1:10" x14ac:dyDescent="0.2">
      <c r="A124" s="316"/>
      <c r="B124" s="175" t="s">
        <v>564</v>
      </c>
      <c r="C124" s="174" t="s">
        <v>28</v>
      </c>
      <c r="D124" s="213">
        <v>0.11527135044173301</v>
      </c>
      <c r="E124" s="213">
        <v>0.11966538749944899</v>
      </c>
      <c r="F124" s="213">
        <v>0.124652244729168</v>
      </c>
      <c r="G124" s="213">
        <v>0.12970000000000001</v>
      </c>
      <c r="H124" s="213">
        <v>0.13492999999999999</v>
      </c>
      <c r="I124" s="213">
        <v>0.14019999999999999</v>
      </c>
      <c r="J124" s="193">
        <v>0.14555999999999999</v>
      </c>
    </row>
    <row r="125" spans="1:10" x14ac:dyDescent="0.2">
      <c r="A125" s="316"/>
      <c r="B125" s="175" t="s">
        <v>565</v>
      </c>
      <c r="C125" s="174" t="s">
        <v>28</v>
      </c>
      <c r="D125" s="213">
        <v>0</v>
      </c>
      <c r="E125" s="213">
        <v>0</v>
      </c>
      <c r="F125" s="213">
        <v>0</v>
      </c>
      <c r="G125" s="213">
        <v>0</v>
      </c>
      <c r="H125" s="213">
        <v>0</v>
      </c>
      <c r="I125" s="213">
        <v>0</v>
      </c>
      <c r="J125" s="193">
        <v>0</v>
      </c>
    </row>
    <row r="126" spans="1:10" x14ac:dyDescent="0.2">
      <c r="A126" s="316" t="s">
        <v>566</v>
      </c>
      <c r="B126" s="175" t="s">
        <v>563</v>
      </c>
      <c r="C126" s="174" t="s">
        <v>28</v>
      </c>
      <c r="D126" s="213">
        <v>0.941542565014448</v>
      </c>
      <c r="E126" s="213">
        <v>0.90029018569834196</v>
      </c>
      <c r="F126" s="213">
        <v>0.89948594991710895</v>
      </c>
      <c r="G126" s="213">
        <v>0.89868248596732603</v>
      </c>
      <c r="H126" s="213">
        <v>0.89787979305491095</v>
      </c>
      <c r="I126" s="213">
        <v>0.89707787038664399</v>
      </c>
      <c r="J126" s="193">
        <v>0.8962</v>
      </c>
    </row>
    <row r="127" spans="1:10" x14ac:dyDescent="0.2">
      <c r="A127" s="316"/>
      <c r="B127" s="175" t="s">
        <v>564</v>
      </c>
      <c r="C127" s="174" t="s">
        <v>28</v>
      </c>
      <c r="D127" s="213">
        <v>4.2231607023783101E-3</v>
      </c>
      <c r="E127" s="213">
        <v>5.9135968943322603E-3</v>
      </c>
      <c r="F127" s="213">
        <v>6.0668008183067104E-3</v>
      </c>
      <c r="G127" s="213">
        <v>6.2248184197546998E-3</v>
      </c>
      <c r="H127" s="213">
        <v>6.38782522707298E-3</v>
      </c>
      <c r="I127" s="213">
        <v>6.4999999999999997E-3</v>
      </c>
      <c r="J127" s="193">
        <v>6.7295437502571899E-3</v>
      </c>
    </row>
    <row r="128" spans="1:10" x14ac:dyDescent="0.2">
      <c r="A128" s="316"/>
      <c r="B128" s="175" t="s">
        <v>565</v>
      </c>
      <c r="C128" s="174" t="s">
        <v>28</v>
      </c>
      <c r="D128" s="213">
        <v>5.4234274283173997E-2</v>
      </c>
      <c r="E128" s="213">
        <v>9.3796217407325494E-2</v>
      </c>
      <c r="F128" s="213">
        <v>9.4447249264584698E-2</v>
      </c>
      <c r="G128" s="213">
        <v>9.5103036725395301E-2</v>
      </c>
      <c r="H128" s="213">
        <v>9.5763616350592398E-2</v>
      </c>
      <c r="I128" s="213">
        <v>9.6429024995418E-2</v>
      </c>
      <c r="J128" s="193">
        <v>9.7099299811984396E-2</v>
      </c>
    </row>
    <row r="129" spans="1:10" x14ac:dyDescent="0.2">
      <c r="A129" s="180" t="s">
        <v>567</v>
      </c>
      <c r="B129" s="317"/>
      <c r="C129" s="174" t="s">
        <v>28</v>
      </c>
      <c r="D129" s="213">
        <v>0.86118980169971704</v>
      </c>
      <c r="E129" s="213">
        <v>0.816445790051332</v>
      </c>
      <c r="F129" s="213">
        <v>0.79737110378897602</v>
      </c>
      <c r="G129" s="213">
        <v>0.77874390621843403</v>
      </c>
      <c r="H129" s="213">
        <v>0.76055365467805502</v>
      </c>
      <c r="I129" s="213">
        <v>0.74279005596401404</v>
      </c>
      <c r="J129" s="193">
        <v>0.72544306040184203</v>
      </c>
    </row>
    <row r="130" spans="1:10" x14ac:dyDescent="0.2">
      <c r="A130" s="180" t="s">
        <v>568</v>
      </c>
      <c r="B130" s="317"/>
      <c r="C130" s="174" t="s">
        <v>569</v>
      </c>
      <c r="D130" s="209">
        <f t="shared" ref="D130:J130" si="0">SUM(D123:D125)</f>
        <v>1</v>
      </c>
      <c r="E130" s="209">
        <f t="shared" si="0"/>
        <v>1</v>
      </c>
      <c r="F130" s="209">
        <f t="shared" si="0"/>
        <v>1</v>
      </c>
      <c r="G130" s="209">
        <f t="shared" si="0"/>
        <v>1</v>
      </c>
      <c r="H130" s="209">
        <f t="shared" si="0"/>
        <v>1.00003</v>
      </c>
      <c r="I130" s="209">
        <f t="shared" si="0"/>
        <v>1.0000100000000001</v>
      </c>
      <c r="J130" s="209">
        <f t="shared" si="0"/>
        <v>0.99995000000000001</v>
      </c>
    </row>
    <row r="131" spans="1:10" x14ac:dyDescent="0.2">
      <c r="A131" s="215" t="s">
        <v>570</v>
      </c>
      <c r="B131" s="317"/>
      <c r="C131" s="177" t="s">
        <v>569</v>
      </c>
      <c r="D131" s="209">
        <f t="shared" ref="D131:J131" si="1">SUM(D126:D128)</f>
        <v>1.0000000000000002</v>
      </c>
      <c r="E131" s="209">
        <f t="shared" si="1"/>
        <v>0.99999999999999967</v>
      </c>
      <c r="F131" s="209">
        <f t="shared" si="1"/>
        <v>1.0000000000000004</v>
      </c>
      <c r="G131" s="209">
        <f t="shared" si="1"/>
        <v>1.0000103411124761</v>
      </c>
      <c r="H131" s="209">
        <f t="shared" si="1"/>
        <v>1.0000312346325764</v>
      </c>
      <c r="I131" s="209">
        <f t="shared" si="1"/>
        <v>1.000006895382062</v>
      </c>
      <c r="J131" s="209">
        <f t="shared" si="1"/>
        <v>1.0000288435622415</v>
      </c>
    </row>
    <row r="133" spans="1:10" ht="19" x14ac:dyDescent="0.25">
      <c r="A133" s="306" t="s">
        <v>571</v>
      </c>
      <c r="B133" s="306"/>
      <c r="C133" s="306"/>
      <c r="D133" s="306"/>
      <c r="E133" s="306"/>
      <c r="F133" s="306"/>
      <c r="G133" s="306"/>
      <c r="H133" s="306"/>
      <c r="I133" s="306"/>
    </row>
    <row r="134" spans="1:10" x14ac:dyDescent="0.2">
      <c r="A134" s="180" t="s">
        <v>36</v>
      </c>
      <c r="B134" s="174" t="s">
        <v>36</v>
      </c>
      <c r="C134" s="175">
        <v>2020</v>
      </c>
      <c r="D134" s="175">
        <v>2025</v>
      </c>
      <c r="E134" s="175">
        <v>2030</v>
      </c>
      <c r="F134" s="175">
        <v>2035</v>
      </c>
      <c r="G134" s="175">
        <v>2040</v>
      </c>
      <c r="H134" s="175">
        <v>2045</v>
      </c>
      <c r="I134" s="176">
        <v>2050</v>
      </c>
    </row>
    <row r="135" spans="1:10" x14ac:dyDescent="0.2">
      <c r="A135" s="316" t="s">
        <v>572</v>
      </c>
      <c r="B135" s="174" t="s">
        <v>573</v>
      </c>
      <c r="C135" s="213">
        <v>0.80689476676619099</v>
      </c>
      <c r="D135" s="213">
        <v>0.71021542176077801</v>
      </c>
      <c r="E135" s="213">
        <v>0.60650331097055998</v>
      </c>
      <c r="F135" s="213">
        <v>0.51929710152244202</v>
      </c>
      <c r="G135" s="213">
        <v>0.432090892074324</v>
      </c>
      <c r="H135" s="213">
        <v>0.34488468262620597</v>
      </c>
      <c r="I135" s="193">
        <v>0.27268180370928902</v>
      </c>
    </row>
    <row r="136" spans="1:10" x14ac:dyDescent="0.2">
      <c r="A136" s="316"/>
      <c r="B136" s="174" t="s">
        <v>192</v>
      </c>
      <c r="C136" s="213">
        <v>2.5719720127708699E-2</v>
      </c>
      <c r="D136" s="213">
        <v>5.04865457750533E-2</v>
      </c>
      <c r="E136" s="213">
        <v>7.2522641427268802E-2</v>
      </c>
      <c r="F136" s="213">
        <v>9.66968552363585E-2</v>
      </c>
      <c r="G136" s="213">
        <v>0.120871069045448</v>
      </c>
      <c r="H136" s="213">
        <v>0.14504528285453799</v>
      </c>
      <c r="I136" s="193">
        <v>0.16921949666362701</v>
      </c>
    </row>
    <row r="137" spans="1:10" x14ac:dyDescent="0.2">
      <c r="A137" s="316"/>
      <c r="B137" s="174" t="s">
        <v>374</v>
      </c>
      <c r="C137" s="213">
        <v>0.14108125388458001</v>
      </c>
      <c r="D137" s="213">
        <v>0.18766406519422801</v>
      </c>
      <c r="E137" s="213">
        <v>0.24680316432428201</v>
      </c>
      <c r="F137" s="213">
        <v>0.28511153220401497</v>
      </c>
      <c r="G137" s="213">
        <v>0.32341990008374699</v>
      </c>
      <c r="H137" s="213">
        <v>0.36172826796347901</v>
      </c>
      <c r="I137" s="193">
        <v>0.38503330531201002</v>
      </c>
    </row>
    <row r="138" spans="1:10" x14ac:dyDescent="0.2">
      <c r="A138" s="316"/>
      <c r="B138" s="174" t="s">
        <v>574</v>
      </c>
      <c r="C138" s="213">
        <v>2.6304259221520299E-2</v>
      </c>
      <c r="D138" s="213">
        <v>5.1633967269940899E-2</v>
      </c>
      <c r="E138" s="213">
        <v>7.4170883277888594E-2</v>
      </c>
      <c r="F138" s="213">
        <v>9.8894511037184801E-2</v>
      </c>
      <c r="G138" s="213">
        <v>0.12361813879648099</v>
      </c>
      <c r="H138" s="213">
        <v>0.14834176655577699</v>
      </c>
      <c r="I138" s="193">
        <v>0.17306539431507301</v>
      </c>
    </row>
    <row r="139" spans="1:10" x14ac:dyDescent="0.2">
      <c r="A139" s="316" t="s">
        <v>564</v>
      </c>
      <c r="B139" s="174" t="s">
        <v>573</v>
      </c>
      <c r="C139" s="213">
        <v>0.96638655462184897</v>
      </c>
      <c r="D139" s="213">
        <v>0.93277310924369805</v>
      </c>
      <c r="E139" s="213">
        <v>0.89915966386554602</v>
      </c>
      <c r="F139" s="213">
        <v>0.86554621848739499</v>
      </c>
      <c r="G139" s="213">
        <v>0.83193277310924396</v>
      </c>
      <c r="H139" s="213">
        <v>0.79831932773109304</v>
      </c>
      <c r="I139" s="193">
        <v>0.76470588235294101</v>
      </c>
    </row>
    <row r="140" spans="1:10" x14ac:dyDescent="0.2">
      <c r="A140" s="316"/>
      <c r="B140" s="174" t="s">
        <v>192</v>
      </c>
      <c r="C140" s="213">
        <v>3.3613445378151301E-2</v>
      </c>
      <c r="D140" s="213">
        <v>6.7226890756302504E-2</v>
      </c>
      <c r="E140" s="213">
        <v>0.10084033613445401</v>
      </c>
      <c r="F140" s="213">
        <v>0.13445378151260501</v>
      </c>
      <c r="G140" s="213">
        <v>0.16806722689075601</v>
      </c>
      <c r="H140" s="213">
        <v>0.20168067226890801</v>
      </c>
      <c r="I140" s="193">
        <v>0.23529411764705899</v>
      </c>
    </row>
    <row r="141" spans="1:10" x14ac:dyDescent="0.2">
      <c r="A141" s="316"/>
      <c r="B141" s="174" t="s">
        <v>374</v>
      </c>
      <c r="C141" s="213">
        <v>0</v>
      </c>
      <c r="D141" s="213">
        <v>0</v>
      </c>
      <c r="E141" s="213">
        <v>0</v>
      </c>
      <c r="F141" s="213">
        <v>0</v>
      </c>
      <c r="G141" s="213">
        <v>0</v>
      </c>
      <c r="H141" s="213">
        <v>0</v>
      </c>
      <c r="I141" s="193">
        <v>0</v>
      </c>
    </row>
    <row r="142" spans="1:10" x14ac:dyDescent="0.2">
      <c r="A142" s="316"/>
      <c r="B142" s="174" t="s">
        <v>574</v>
      </c>
      <c r="C142" s="213">
        <v>0</v>
      </c>
      <c r="D142" s="213">
        <v>0</v>
      </c>
      <c r="E142" s="213">
        <v>0</v>
      </c>
      <c r="F142" s="213">
        <v>0</v>
      </c>
      <c r="G142" s="213">
        <v>0</v>
      </c>
      <c r="H142" s="213">
        <v>0</v>
      </c>
      <c r="I142" s="193">
        <v>0</v>
      </c>
    </row>
    <row r="143" spans="1:10" x14ac:dyDescent="0.2">
      <c r="A143" s="316" t="s">
        <v>565</v>
      </c>
      <c r="B143" s="174" t="s">
        <v>573</v>
      </c>
      <c r="C143" s="213">
        <v>0</v>
      </c>
      <c r="D143" s="213">
        <v>0</v>
      </c>
      <c r="E143" s="213">
        <v>0</v>
      </c>
      <c r="F143" s="213">
        <v>0</v>
      </c>
      <c r="G143" s="213">
        <v>0</v>
      </c>
      <c r="H143" s="213">
        <v>0</v>
      </c>
      <c r="I143" s="193">
        <v>0</v>
      </c>
    </row>
    <row r="144" spans="1:10" x14ac:dyDescent="0.2">
      <c r="A144" s="316"/>
      <c r="B144" s="174" t="s">
        <v>192</v>
      </c>
      <c r="C144" s="213">
        <v>0</v>
      </c>
      <c r="D144" s="213">
        <v>0</v>
      </c>
      <c r="E144" s="213">
        <v>0</v>
      </c>
      <c r="F144" s="213">
        <v>0</v>
      </c>
      <c r="G144" s="213">
        <v>0</v>
      </c>
      <c r="H144" s="213">
        <v>0</v>
      </c>
      <c r="I144" s="193">
        <v>0</v>
      </c>
    </row>
    <row r="145" spans="1:9" x14ac:dyDescent="0.2">
      <c r="A145" s="316"/>
      <c r="B145" s="174" t="s">
        <v>374</v>
      </c>
      <c r="C145" s="213">
        <v>0</v>
      </c>
      <c r="D145" s="213">
        <v>0</v>
      </c>
      <c r="E145" s="213">
        <v>0</v>
      </c>
      <c r="F145" s="213">
        <v>0</v>
      </c>
      <c r="G145" s="213">
        <v>0</v>
      </c>
      <c r="H145" s="213">
        <v>0</v>
      </c>
      <c r="I145" s="193">
        <v>0</v>
      </c>
    </row>
    <row r="146" spans="1:9" x14ac:dyDescent="0.2">
      <c r="A146" s="316"/>
      <c r="B146" s="174" t="s">
        <v>574</v>
      </c>
      <c r="C146" s="213">
        <v>0</v>
      </c>
      <c r="D146" s="213">
        <v>0</v>
      </c>
      <c r="E146" s="213">
        <v>0</v>
      </c>
      <c r="F146" s="213">
        <v>0</v>
      </c>
      <c r="G146" s="213">
        <v>0</v>
      </c>
      <c r="H146" s="213">
        <v>0</v>
      </c>
      <c r="I146" s="193">
        <v>0</v>
      </c>
    </row>
    <row r="147" spans="1:9" ht="19" x14ac:dyDescent="0.25">
      <c r="A147" s="318" t="s">
        <v>575</v>
      </c>
      <c r="B147" s="318"/>
      <c r="C147" s="318"/>
      <c r="D147" s="318"/>
      <c r="E147" s="318"/>
      <c r="F147" s="318"/>
      <c r="G147" s="318"/>
      <c r="H147" s="318"/>
      <c r="I147" s="318"/>
    </row>
    <row r="148" spans="1:9" x14ac:dyDescent="0.2">
      <c r="A148" s="180" t="s">
        <v>36</v>
      </c>
      <c r="B148" s="174" t="s">
        <v>36</v>
      </c>
      <c r="C148" s="175">
        <v>2020</v>
      </c>
      <c r="D148" s="175">
        <v>2025</v>
      </c>
      <c r="E148" s="175">
        <v>2030</v>
      </c>
      <c r="F148" s="175">
        <v>2035</v>
      </c>
      <c r="G148" s="175">
        <v>2040</v>
      </c>
      <c r="H148" s="175">
        <v>2045</v>
      </c>
      <c r="I148" s="176">
        <v>2050</v>
      </c>
    </row>
    <row r="149" spans="1:9" x14ac:dyDescent="0.2">
      <c r="A149" s="316" t="s">
        <v>572</v>
      </c>
      <c r="B149" s="174" t="s">
        <v>573</v>
      </c>
      <c r="C149" s="213">
        <v>0.81232807061705203</v>
      </c>
      <c r="D149" s="213">
        <v>0.69070448408046803</v>
      </c>
      <c r="E149" s="213">
        <v>0.58121932538473597</v>
      </c>
      <c r="F149" s="213">
        <v>0.47324615070276999</v>
      </c>
      <c r="G149" s="213">
        <v>0.365272976020804</v>
      </c>
      <c r="H149" s="213">
        <v>0.25729980133883801</v>
      </c>
      <c r="I149" s="193">
        <v>4.7326462882118503E-2</v>
      </c>
    </row>
    <row r="150" spans="1:9" x14ac:dyDescent="0.2">
      <c r="A150" s="316"/>
      <c r="B150" s="174" t="s">
        <v>192</v>
      </c>
      <c r="C150" s="213">
        <v>5.0511543543349503E-2</v>
      </c>
      <c r="D150" s="213">
        <v>6.3989756481404203E-2</v>
      </c>
      <c r="E150" s="213">
        <v>7.8297570769764804E-2</v>
      </c>
      <c r="F150" s="213">
        <v>9.38225342940677E-2</v>
      </c>
      <c r="G150" s="213">
        <v>0.10934749781837</v>
      </c>
      <c r="H150" s="213">
        <v>0.12487246134267301</v>
      </c>
      <c r="I150" s="193">
        <v>0.147110104070304</v>
      </c>
    </row>
    <row r="151" spans="1:9" x14ac:dyDescent="0.2">
      <c r="A151" s="316"/>
      <c r="B151" s="174" t="s">
        <v>374</v>
      </c>
      <c r="C151" s="213">
        <v>0.133646787816532</v>
      </c>
      <c r="D151" s="213">
        <v>0.23825249436891499</v>
      </c>
      <c r="E151" s="213">
        <v>0.32980805978183098</v>
      </c>
      <c r="F151" s="213">
        <v>0.418734491739984</v>
      </c>
      <c r="G151" s="213">
        <v>0.50766092369813598</v>
      </c>
      <c r="H151" s="213">
        <v>0.59658735565628795</v>
      </c>
      <c r="I151" s="193">
        <v>0.78091097865099901</v>
      </c>
    </row>
    <row r="152" spans="1:9" x14ac:dyDescent="0.2">
      <c r="A152" s="316"/>
      <c r="B152" s="174" t="s">
        <v>574</v>
      </c>
      <c r="C152" s="213">
        <v>3.5135980230661902E-3</v>
      </c>
      <c r="D152" s="213">
        <v>7.0532650692127202E-3</v>
      </c>
      <c r="E152" s="213">
        <v>1.0675044063667601E-2</v>
      </c>
      <c r="F152" s="213">
        <v>1.4196823263178801E-2</v>
      </c>
      <c r="G152" s="213">
        <v>1.7718602462690001E-2</v>
      </c>
      <c r="H152" s="213">
        <v>2.1240381662201199E-2</v>
      </c>
      <c r="I152" s="193">
        <v>2.46524543965785E-2</v>
      </c>
    </row>
    <row r="153" spans="1:9" x14ac:dyDescent="0.2">
      <c r="A153" s="316" t="s">
        <v>564</v>
      </c>
      <c r="B153" s="174" t="s">
        <v>573</v>
      </c>
      <c r="C153" s="213">
        <v>0.96638655462184897</v>
      </c>
      <c r="D153" s="213">
        <v>0.93277310924369805</v>
      </c>
      <c r="E153" s="213">
        <v>0.89915966386554602</v>
      </c>
      <c r="F153" s="213">
        <v>0.86554621848739499</v>
      </c>
      <c r="G153" s="213">
        <v>0.83193277310924396</v>
      </c>
      <c r="H153" s="213">
        <v>0.79831932773109304</v>
      </c>
      <c r="I153" s="193">
        <v>0.76470588235294101</v>
      </c>
    </row>
    <row r="154" spans="1:9" x14ac:dyDescent="0.2">
      <c r="A154" s="316"/>
      <c r="B154" s="174" t="s">
        <v>192</v>
      </c>
      <c r="C154" s="213">
        <v>3.3613445378151301E-2</v>
      </c>
      <c r="D154" s="213">
        <v>6.7226890756302504E-2</v>
      </c>
      <c r="E154" s="213">
        <v>0.10084033613445401</v>
      </c>
      <c r="F154" s="213">
        <v>0.13445378151260501</v>
      </c>
      <c r="G154" s="213">
        <v>0.16806722689075601</v>
      </c>
      <c r="H154" s="213">
        <v>0.20168067226890801</v>
      </c>
      <c r="I154" s="193">
        <v>0.23529411764705899</v>
      </c>
    </row>
    <row r="155" spans="1:9" x14ac:dyDescent="0.2">
      <c r="A155" s="316"/>
      <c r="B155" s="174" t="s">
        <v>374</v>
      </c>
      <c r="C155" s="213">
        <v>0</v>
      </c>
      <c r="D155" s="213">
        <v>0</v>
      </c>
      <c r="E155" s="213">
        <v>0</v>
      </c>
      <c r="F155" s="213">
        <v>0</v>
      </c>
      <c r="G155" s="213">
        <v>0</v>
      </c>
      <c r="H155" s="213">
        <v>0</v>
      </c>
      <c r="I155" s="193">
        <v>0</v>
      </c>
    </row>
    <row r="156" spans="1:9" x14ac:dyDescent="0.2">
      <c r="A156" s="316"/>
      <c r="B156" s="174" t="s">
        <v>574</v>
      </c>
      <c r="C156" s="213">
        <v>0</v>
      </c>
      <c r="D156" s="213">
        <v>0</v>
      </c>
      <c r="E156" s="213">
        <v>0</v>
      </c>
      <c r="F156" s="213">
        <v>0</v>
      </c>
      <c r="G156" s="213">
        <v>0</v>
      </c>
      <c r="H156" s="213">
        <v>0</v>
      </c>
      <c r="I156" s="193">
        <v>0</v>
      </c>
    </row>
    <row r="157" spans="1:9" x14ac:dyDescent="0.2">
      <c r="A157" s="316" t="s">
        <v>565</v>
      </c>
      <c r="B157" s="174" t="s">
        <v>573</v>
      </c>
      <c r="C157" s="213">
        <v>0.99719887955182096</v>
      </c>
      <c r="D157" s="213">
        <v>0.99439775910364203</v>
      </c>
      <c r="E157" s="213">
        <v>0.99159663865546199</v>
      </c>
      <c r="F157" s="213">
        <v>0.98879551820728295</v>
      </c>
      <c r="G157" s="213">
        <v>0.98599439775910402</v>
      </c>
      <c r="H157" s="213">
        <v>0.98319327731092399</v>
      </c>
      <c r="I157" s="193">
        <v>0.98039215686274495</v>
      </c>
    </row>
    <row r="158" spans="1:9" x14ac:dyDescent="0.2">
      <c r="A158" s="316"/>
      <c r="B158" s="174" t="s">
        <v>192</v>
      </c>
      <c r="C158" s="213">
        <v>0</v>
      </c>
      <c r="D158" s="213">
        <v>0</v>
      </c>
      <c r="E158" s="213">
        <v>0</v>
      </c>
      <c r="F158" s="213">
        <v>0</v>
      </c>
      <c r="G158" s="213">
        <v>0</v>
      </c>
      <c r="H158" s="213">
        <v>0</v>
      </c>
      <c r="I158" s="193">
        <v>0</v>
      </c>
    </row>
    <row r="159" spans="1:9" x14ac:dyDescent="0.2">
      <c r="A159" s="316"/>
      <c r="B159" s="174" t="s">
        <v>374</v>
      </c>
      <c r="C159" s="213">
        <v>2.80112044817927E-3</v>
      </c>
      <c r="D159" s="213">
        <v>5.60224089635854E-3</v>
      </c>
      <c r="E159" s="213">
        <v>8.40336134453782E-3</v>
      </c>
      <c r="F159" s="213">
        <v>1.1204481792717101E-2</v>
      </c>
      <c r="G159" s="213">
        <v>1.4005602240896401E-2</v>
      </c>
      <c r="H159" s="213">
        <v>1.6806722689075598E-2</v>
      </c>
      <c r="I159" s="193">
        <v>1.9607843137254902E-2</v>
      </c>
    </row>
    <row r="160" spans="1:9" x14ac:dyDescent="0.2">
      <c r="A160" s="316"/>
      <c r="B160" s="174" t="s">
        <v>574</v>
      </c>
      <c r="C160" s="213">
        <v>0</v>
      </c>
      <c r="D160" s="213">
        <v>0</v>
      </c>
      <c r="E160" s="213">
        <v>0</v>
      </c>
      <c r="F160" s="213">
        <v>0</v>
      </c>
      <c r="G160" s="213">
        <v>0</v>
      </c>
      <c r="H160" s="213">
        <v>0</v>
      </c>
      <c r="I160" s="193">
        <v>0</v>
      </c>
    </row>
    <row r="161" spans="1:14" x14ac:dyDescent="0.2">
      <c r="A161" s="307" t="s">
        <v>576</v>
      </c>
      <c r="B161" s="174" t="s">
        <v>573</v>
      </c>
      <c r="C161" s="213">
        <v>0.82871083959899705</v>
      </c>
      <c r="D161" s="213">
        <v>0.69662151061126698</v>
      </c>
      <c r="E161" s="213">
        <v>0.56459726690870604</v>
      </c>
      <c r="F161" s="213">
        <v>0.43251965261780001</v>
      </c>
      <c r="G161" s="213">
        <v>0.30044203832689398</v>
      </c>
      <c r="H161" s="213">
        <v>0.168364424035988</v>
      </c>
      <c r="I161" s="193">
        <v>3.6286809745082499E-2</v>
      </c>
    </row>
    <row r="162" spans="1:14" x14ac:dyDescent="0.2">
      <c r="A162" s="307"/>
      <c r="B162" s="174" t="s">
        <v>192</v>
      </c>
      <c r="C162" s="213">
        <v>5.6965852130325803E-2</v>
      </c>
      <c r="D162" s="213">
        <v>7.5022347727485006E-2</v>
      </c>
      <c r="E162" s="213">
        <v>9.3065840221172105E-2</v>
      </c>
      <c r="F162" s="213">
        <v>0.11112339130886199</v>
      </c>
      <c r="G162" s="213">
        <v>0.12918094239655201</v>
      </c>
      <c r="H162" s="213">
        <v>0.14723849348424201</v>
      </c>
      <c r="I162" s="193">
        <v>0.165296044571933</v>
      </c>
    </row>
    <row r="163" spans="1:14" x14ac:dyDescent="0.2">
      <c r="A163" s="307"/>
      <c r="B163" s="174" t="s">
        <v>374</v>
      </c>
      <c r="C163" s="213">
        <v>0.111544486215539</v>
      </c>
      <c r="D163" s="213">
        <v>0.22279893071847101</v>
      </c>
      <c r="E163" s="213">
        <v>0.334002638521957</v>
      </c>
      <c r="F163" s="213">
        <v>0.44524461694245099</v>
      </c>
      <c r="G163" s="213">
        <v>0.55648659536294598</v>
      </c>
      <c r="H163" s="213">
        <v>0.66772857378343997</v>
      </c>
      <c r="I163" s="193">
        <v>0.77897055220393396</v>
      </c>
    </row>
    <row r="164" spans="1:14" x14ac:dyDescent="0.2">
      <c r="A164" s="307"/>
      <c r="B164" s="177" t="s">
        <v>574</v>
      </c>
      <c r="C164" s="178">
        <v>2.7788220551378398E-3</v>
      </c>
      <c r="D164" s="178">
        <v>5.5572109427766596E-3</v>
      </c>
      <c r="E164" s="178">
        <v>8.33425434816467E-3</v>
      </c>
      <c r="F164" s="178">
        <v>1.11123391308862E-2</v>
      </c>
      <c r="G164" s="178">
        <v>1.3890423913607799E-2</v>
      </c>
      <c r="H164" s="178">
        <v>1.6668508696329298E-2</v>
      </c>
      <c r="I164" s="179">
        <v>1.9446593479050901E-2</v>
      </c>
    </row>
    <row r="165" spans="1:14" s="216" customFormat="1" x14ac:dyDescent="0.2"/>
    <row r="166" spans="1:14" ht="15" customHeight="1" x14ac:dyDescent="0.2"/>
    <row r="167" spans="1:14" ht="21.75" customHeight="1" x14ac:dyDescent="0.3">
      <c r="A167" s="173" t="s">
        <v>577</v>
      </c>
    </row>
    <row r="168" spans="1:14" ht="19" x14ac:dyDescent="0.25">
      <c r="A168" s="306" t="s">
        <v>317</v>
      </c>
      <c r="B168" s="306"/>
      <c r="C168" s="306"/>
      <c r="D168" s="306"/>
      <c r="E168" s="306"/>
    </row>
    <row r="169" spans="1:14" ht="85.5" customHeight="1" x14ac:dyDescent="0.2">
      <c r="A169" s="319" t="s">
        <v>318</v>
      </c>
      <c r="B169" s="319"/>
      <c r="C169" s="319"/>
      <c r="D169" s="319"/>
      <c r="E169" s="319"/>
    </row>
    <row r="170" spans="1:14" s="81" customFormat="1" ht="15" customHeight="1" x14ac:dyDescent="0.2"/>
    <row r="171" spans="1:14" ht="13.5" customHeight="1" x14ac:dyDescent="0.2">
      <c r="A171" s="320" t="s">
        <v>319</v>
      </c>
      <c r="B171" s="217" t="s">
        <v>320</v>
      </c>
      <c r="C171" s="321">
        <v>3</v>
      </c>
      <c r="D171" s="81"/>
      <c r="F171" s="81"/>
      <c r="G171" s="81"/>
      <c r="H171" s="81"/>
      <c r="I171" s="81"/>
      <c r="J171" s="81"/>
      <c r="K171" s="139"/>
      <c r="L171" s="139"/>
      <c r="M171" s="81"/>
      <c r="N171" s="81"/>
    </row>
    <row r="172" spans="1:14" x14ac:dyDescent="0.2">
      <c r="A172" s="320"/>
      <c r="B172" s="174" t="s">
        <v>321</v>
      </c>
      <c r="C172" s="321"/>
      <c r="D172" s="141"/>
      <c r="E172" s="141"/>
      <c r="F172" s="141"/>
      <c r="G172" s="141"/>
      <c r="H172" s="141"/>
      <c r="I172" s="141"/>
      <c r="J172" s="141"/>
      <c r="K172" s="141"/>
      <c r="L172" s="141"/>
      <c r="M172" s="141"/>
      <c r="N172" s="141"/>
    </row>
    <row r="173" spans="1:14" ht="28.5" customHeight="1" x14ac:dyDescent="0.2">
      <c r="A173" s="320"/>
      <c r="B173" s="177" t="s">
        <v>322</v>
      </c>
      <c r="C173" s="321"/>
      <c r="D173" s="81"/>
      <c r="E173" s="81"/>
      <c r="F173" s="81"/>
      <c r="G173" s="81"/>
      <c r="H173" s="81"/>
      <c r="I173" s="81"/>
      <c r="J173" s="81"/>
      <c r="K173" s="81"/>
      <c r="L173" s="81"/>
      <c r="M173" s="81"/>
      <c r="N173" s="81"/>
    </row>
    <row r="175" spans="1:14" ht="15.75" customHeight="1" x14ac:dyDescent="0.25">
      <c r="A175" s="306" t="s">
        <v>323</v>
      </c>
      <c r="B175" s="306"/>
      <c r="C175" s="306"/>
    </row>
    <row r="176" spans="1:14" x14ac:dyDescent="0.2">
      <c r="A176" s="180" t="s">
        <v>324</v>
      </c>
      <c r="B176" s="174" t="s">
        <v>28</v>
      </c>
      <c r="C176" s="176">
        <v>0.3</v>
      </c>
    </row>
    <row r="177" spans="1:30" ht="32" x14ac:dyDescent="0.2">
      <c r="A177" s="218" t="s">
        <v>326</v>
      </c>
      <c r="B177" s="177" t="s">
        <v>327</v>
      </c>
      <c r="C177" s="211">
        <v>3.1E-2</v>
      </c>
    </row>
    <row r="178" spans="1:30" ht="15.75" customHeight="1" x14ac:dyDescent="0.25">
      <c r="A178" s="311" t="s">
        <v>578</v>
      </c>
      <c r="B178" s="311"/>
      <c r="C178" s="219" t="s">
        <v>576</v>
      </c>
      <c r="D178" s="219" t="s">
        <v>579</v>
      </c>
      <c r="E178" s="219" t="s">
        <v>362</v>
      </c>
      <c r="F178" s="219" t="s">
        <v>580</v>
      </c>
      <c r="G178" s="219" t="s">
        <v>581</v>
      </c>
      <c r="H178" s="219" t="s">
        <v>582</v>
      </c>
      <c r="I178" s="219" t="s">
        <v>583</v>
      </c>
      <c r="J178" s="219" t="s">
        <v>354</v>
      </c>
      <c r="K178" s="219" t="s">
        <v>584</v>
      </c>
      <c r="L178" s="219" t="s">
        <v>585</v>
      </c>
      <c r="M178" s="219" t="s">
        <v>586</v>
      </c>
      <c r="N178" s="219" t="s">
        <v>587</v>
      </c>
      <c r="O178" s="219" t="s">
        <v>588</v>
      </c>
      <c r="P178" s="219" t="s">
        <v>589</v>
      </c>
      <c r="Q178" s="220" t="s">
        <v>590</v>
      </c>
      <c r="R178" s="220" t="s">
        <v>338</v>
      </c>
      <c r="S178" s="220" t="s">
        <v>591</v>
      </c>
      <c r="T178" s="220" t="s">
        <v>592</v>
      </c>
      <c r="U178" s="220" t="s">
        <v>593</v>
      </c>
      <c r="V178" s="220" t="s">
        <v>594</v>
      </c>
      <c r="W178" s="220" t="s">
        <v>595</v>
      </c>
      <c r="X178" s="220" t="s">
        <v>596</v>
      </c>
      <c r="Y178" s="220" t="s">
        <v>597</v>
      </c>
      <c r="Z178" s="220" t="s">
        <v>598</v>
      </c>
      <c r="AA178" s="220" t="s">
        <v>599</v>
      </c>
      <c r="AB178" s="220" t="s">
        <v>351</v>
      </c>
      <c r="AC178" s="220" t="s">
        <v>361</v>
      </c>
      <c r="AD178" s="220" t="s">
        <v>600</v>
      </c>
    </row>
    <row r="179" spans="1:30" x14ac:dyDescent="0.2">
      <c r="A179" s="322" t="s">
        <v>374</v>
      </c>
      <c r="B179" s="322"/>
      <c r="C179" s="221">
        <v>2030</v>
      </c>
      <c r="D179" s="221">
        <v>2030</v>
      </c>
      <c r="E179" s="221">
        <v>2030</v>
      </c>
      <c r="F179" s="221">
        <v>2030</v>
      </c>
      <c r="G179" s="221">
        <v>2030</v>
      </c>
      <c r="H179" s="221">
        <v>2030</v>
      </c>
      <c r="I179" s="221">
        <v>2030</v>
      </c>
      <c r="J179" s="221">
        <v>2030</v>
      </c>
      <c r="K179" s="221">
        <v>2030</v>
      </c>
      <c r="L179" s="221">
        <v>2030</v>
      </c>
      <c r="M179" s="221">
        <v>2030</v>
      </c>
      <c r="N179" s="221">
        <v>2030</v>
      </c>
      <c r="O179" s="221">
        <v>2030</v>
      </c>
      <c r="P179" s="221">
        <v>2030</v>
      </c>
      <c r="Q179" s="222">
        <v>2030</v>
      </c>
      <c r="R179" s="222">
        <v>2030</v>
      </c>
      <c r="S179" s="222">
        <v>2030</v>
      </c>
      <c r="T179" s="222">
        <v>2030</v>
      </c>
      <c r="U179" s="222">
        <v>2030</v>
      </c>
      <c r="V179" s="222">
        <v>2030</v>
      </c>
      <c r="W179" s="222">
        <v>2030</v>
      </c>
      <c r="X179" s="222">
        <v>2030</v>
      </c>
      <c r="Y179" s="222">
        <v>2030</v>
      </c>
      <c r="Z179" s="222">
        <v>2030</v>
      </c>
      <c r="AA179" s="222">
        <v>2030</v>
      </c>
      <c r="AB179" s="222">
        <v>2030</v>
      </c>
      <c r="AC179" s="222">
        <v>2030</v>
      </c>
      <c r="AD179" s="222">
        <v>2030</v>
      </c>
    </row>
    <row r="180" spans="1:30" x14ac:dyDescent="0.2">
      <c r="A180" s="322" t="s">
        <v>375</v>
      </c>
      <c r="B180" s="322"/>
      <c r="C180" s="221">
        <v>2030</v>
      </c>
      <c r="D180" s="221">
        <v>2030</v>
      </c>
      <c r="E180" s="221">
        <v>2030</v>
      </c>
      <c r="F180" s="221">
        <v>2030</v>
      </c>
      <c r="G180" s="221">
        <v>2030</v>
      </c>
      <c r="H180" s="221">
        <v>2030</v>
      </c>
      <c r="I180" s="221">
        <v>2030</v>
      </c>
      <c r="J180" s="221">
        <v>2030</v>
      </c>
      <c r="K180" s="221">
        <v>2030</v>
      </c>
      <c r="L180" s="221">
        <v>2030</v>
      </c>
      <c r="M180" s="221">
        <v>2030</v>
      </c>
      <c r="N180" s="221">
        <v>2030</v>
      </c>
      <c r="O180" s="221">
        <v>2030</v>
      </c>
      <c r="P180" s="221">
        <v>2030</v>
      </c>
      <c r="Q180" s="222">
        <v>2030</v>
      </c>
      <c r="R180" s="222">
        <v>2030</v>
      </c>
      <c r="S180" s="222">
        <v>2030</v>
      </c>
      <c r="T180" s="222">
        <v>2030</v>
      </c>
      <c r="U180" s="222">
        <v>2030</v>
      </c>
      <c r="V180" s="222">
        <v>2030</v>
      </c>
      <c r="W180" s="222">
        <v>2030</v>
      </c>
      <c r="X180" s="222">
        <v>2030</v>
      </c>
      <c r="Y180" s="222">
        <v>2030</v>
      </c>
      <c r="Z180" s="222">
        <v>2030</v>
      </c>
      <c r="AA180" s="222">
        <v>2030</v>
      </c>
      <c r="AB180" s="222">
        <v>2030</v>
      </c>
      <c r="AC180" s="222">
        <v>2030</v>
      </c>
      <c r="AD180" s="222">
        <v>2030</v>
      </c>
    </row>
    <row r="181" spans="1:30" x14ac:dyDescent="0.2">
      <c r="A181" s="322" t="s">
        <v>376</v>
      </c>
      <c r="B181" s="322"/>
      <c r="C181" s="221">
        <v>2030</v>
      </c>
      <c r="D181" s="221">
        <v>2030</v>
      </c>
      <c r="E181" s="221">
        <v>2030</v>
      </c>
      <c r="F181" s="221">
        <v>2030</v>
      </c>
      <c r="G181" s="221">
        <v>2030</v>
      </c>
      <c r="H181" s="221">
        <v>2030</v>
      </c>
      <c r="I181" s="221">
        <v>2030</v>
      </c>
      <c r="J181" s="221">
        <v>2030</v>
      </c>
      <c r="K181" s="221">
        <v>2030</v>
      </c>
      <c r="L181" s="221">
        <v>2030</v>
      </c>
      <c r="M181" s="221">
        <v>2030</v>
      </c>
      <c r="N181" s="221">
        <v>2030</v>
      </c>
      <c r="O181" s="221">
        <v>2030</v>
      </c>
      <c r="P181" s="221">
        <v>2030</v>
      </c>
      <c r="Q181" s="222">
        <v>2030</v>
      </c>
      <c r="R181" s="222">
        <v>2030</v>
      </c>
      <c r="S181" s="222">
        <v>2030</v>
      </c>
      <c r="T181" s="222">
        <v>2030</v>
      </c>
      <c r="U181" s="222">
        <v>2030</v>
      </c>
      <c r="V181" s="222">
        <v>2030</v>
      </c>
      <c r="W181" s="222">
        <v>2030</v>
      </c>
      <c r="X181" s="222">
        <v>2030</v>
      </c>
      <c r="Y181" s="222">
        <v>2030</v>
      </c>
      <c r="Z181" s="222">
        <v>2030</v>
      </c>
      <c r="AA181" s="222">
        <v>2030</v>
      </c>
      <c r="AB181" s="222">
        <v>2030</v>
      </c>
      <c r="AC181" s="222">
        <v>2030</v>
      </c>
      <c r="AD181" s="222">
        <v>2030</v>
      </c>
    </row>
    <row r="182" spans="1:30" x14ac:dyDescent="0.2">
      <c r="A182" s="322" t="s">
        <v>377</v>
      </c>
      <c r="B182" s="322"/>
      <c r="C182" s="221">
        <v>2030</v>
      </c>
      <c r="D182" s="221">
        <v>2030</v>
      </c>
      <c r="E182" s="221">
        <v>2030</v>
      </c>
      <c r="F182" s="221">
        <v>2030</v>
      </c>
      <c r="G182" s="221">
        <v>2030</v>
      </c>
      <c r="H182" s="221">
        <v>2030</v>
      </c>
      <c r="I182" s="221">
        <v>2030</v>
      </c>
      <c r="J182" s="221">
        <v>2030</v>
      </c>
      <c r="K182" s="221">
        <v>2030</v>
      </c>
      <c r="L182" s="221">
        <v>2030</v>
      </c>
      <c r="M182" s="221">
        <v>2030</v>
      </c>
      <c r="N182" s="221">
        <v>2030</v>
      </c>
      <c r="O182" s="221">
        <v>2030</v>
      </c>
      <c r="P182" s="221">
        <v>2030</v>
      </c>
      <c r="Q182" s="222">
        <v>2030</v>
      </c>
      <c r="R182" s="222">
        <v>2030</v>
      </c>
      <c r="S182" s="222">
        <v>2030</v>
      </c>
      <c r="T182" s="222">
        <v>2030</v>
      </c>
      <c r="U182" s="222">
        <v>2030</v>
      </c>
      <c r="V182" s="222">
        <v>2030</v>
      </c>
      <c r="W182" s="222">
        <v>2030</v>
      </c>
      <c r="X182" s="222">
        <v>2030</v>
      </c>
      <c r="Y182" s="222">
        <v>2030</v>
      </c>
      <c r="Z182" s="222">
        <v>2030</v>
      </c>
      <c r="AA182" s="222">
        <v>2030</v>
      </c>
      <c r="AB182" s="222">
        <v>2030</v>
      </c>
      <c r="AC182" s="222">
        <v>2030</v>
      </c>
      <c r="AD182" s="222">
        <v>2030</v>
      </c>
    </row>
    <row r="183" spans="1:30" x14ac:dyDescent="0.2">
      <c r="A183" s="322" t="s">
        <v>378</v>
      </c>
      <c r="B183" s="322"/>
      <c r="C183" s="221">
        <v>2030</v>
      </c>
      <c r="D183" s="221">
        <v>2030</v>
      </c>
      <c r="E183" s="221">
        <v>2030</v>
      </c>
      <c r="F183" s="221">
        <v>2030</v>
      </c>
      <c r="G183" s="221">
        <v>2030</v>
      </c>
      <c r="H183" s="221">
        <v>2030</v>
      </c>
      <c r="I183" s="221">
        <v>2030</v>
      </c>
      <c r="J183" s="221">
        <v>2030</v>
      </c>
      <c r="K183" s="221">
        <v>2030</v>
      </c>
      <c r="L183" s="221">
        <v>2030</v>
      </c>
      <c r="M183" s="221">
        <v>2030</v>
      </c>
      <c r="N183" s="221">
        <v>2030</v>
      </c>
      <c r="O183" s="221">
        <v>2030</v>
      </c>
      <c r="P183" s="221">
        <v>2030</v>
      </c>
      <c r="Q183" s="222">
        <v>2030</v>
      </c>
      <c r="R183" s="222">
        <v>2030</v>
      </c>
      <c r="S183" s="222">
        <v>2030</v>
      </c>
      <c r="T183" s="222">
        <v>2030</v>
      </c>
      <c r="U183" s="222">
        <v>2030</v>
      </c>
      <c r="V183" s="222">
        <v>2030</v>
      </c>
      <c r="W183" s="222">
        <v>2030</v>
      </c>
      <c r="X183" s="222">
        <v>2030</v>
      </c>
      <c r="Y183" s="222">
        <v>2030</v>
      </c>
      <c r="Z183" s="222">
        <v>2030</v>
      </c>
      <c r="AA183" s="222">
        <v>2030</v>
      </c>
      <c r="AB183" s="222">
        <v>2030</v>
      </c>
      <c r="AC183" s="222">
        <v>2030</v>
      </c>
      <c r="AD183" s="222">
        <v>2030</v>
      </c>
    </row>
    <row r="184" spans="1:30" ht="15.75" customHeight="1" x14ac:dyDescent="0.25">
      <c r="A184" s="306" t="s">
        <v>601</v>
      </c>
      <c r="B184" s="306"/>
      <c r="C184" s="306"/>
      <c r="D184" s="306"/>
      <c r="E184" s="306"/>
      <c r="F184" s="306"/>
      <c r="G184" s="306"/>
      <c r="H184" s="306"/>
      <c r="I184" s="306"/>
      <c r="J184" s="306"/>
      <c r="K184" s="306"/>
      <c r="L184" s="306"/>
      <c r="M184" s="306"/>
      <c r="N184" s="306"/>
      <c r="O184" s="306"/>
      <c r="P184" s="306"/>
      <c r="Q184" s="306"/>
    </row>
    <row r="185" spans="1:30" x14ac:dyDescent="0.2">
      <c r="A185" s="322" t="s">
        <v>374</v>
      </c>
      <c r="B185" s="322"/>
      <c r="C185" s="221">
        <v>1</v>
      </c>
      <c r="D185" s="221">
        <v>1</v>
      </c>
      <c r="E185" s="221">
        <v>1</v>
      </c>
      <c r="F185" s="221">
        <v>1</v>
      </c>
      <c r="G185" s="221">
        <v>1</v>
      </c>
      <c r="H185" s="221">
        <v>1</v>
      </c>
      <c r="I185" s="221">
        <v>1</v>
      </c>
      <c r="J185" s="221">
        <v>1</v>
      </c>
      <c r="K185" s="221">
        <v>1</v>
      </c>
      <c r="L185" s="221">
        <v>1</v>
      </c>
      <c r="M185" s="221">
        <v>1</v>
      </c>
      <c r="N185" s="221">
        <v>1</v>
      </c>
      <c r="O185" s="221">
        <v>1</v>
      </c>
      <c r="P185" s="221">
        <v>1</v>
      </c>
      <c r="Q185" s="222">
        <v>1</v>
      </c>
      <c r="R185" s="222">
        <v>1</v>
      </c>
      <c r="S185" s="222">
        <v>1</v>
      </c>
      <c r="T185" s="222">
        <v>1</v>
      </c>
      <c r="U185" s="222">
        <v>1</v>
      </c>
      <c r="V185" s="222">
        <v>1</v>
      </c>
      <c r="W185" s="222">
        <v>1</v>
      </c>
      <c r="X185" s="222">
        <v>1</v>
      </c>
      <c r="Y185" s="222">
        <v>1</v>
      </c>
      <c r="Z185" s="222">
        <v>1</v>
      </c>
      <c r="AA185" s="222">
        <v>1</v>
      </c>
      <c r="AB185" s="222">
        <v>1</v>
      </c>
      <c r="AC185" s="222">
        <v>1</v>
      </c>
      <c r="AD185" s="222">
        <v>1</v>
      </c>
    </row>
    <row r="186" spans="1:30" x14ac:dyDescent="0.2">
      <c r="A186" s="322" t="s">
        <v>375</v>
      </c>
      <c r="B186" s="322"/>
      <c r="C186" s="221">
        <v>1</v>
      </c>
      <c r="D186" s="221">
        <v>1</v>
      </c>
      <c r="E186" s="221">
        <v>1</v>
      </c>
      <c r="F186" s="221">
        <v>1</v>
      </c>
      <c r="G186" s="221">
        <v>1</v>
      </c>
      <c r="H186" s="221">
        <v>1</v>
      </c>
      <c r="I186" s="221">
        <v>1</v>
      </c>
      <c r="J186" s="221">
        <v>1</v>
      </c>
      <c r="K186" s="221">
        <v>1</v>
      </c>
      <c r="L186" s="221">
        <v>1</v>
      </c>
      <c r="M186" s="221">
        <v>1</v>
      </c>
      <c r="N186" s="221">
        <v>1</v>
      </c>
      <c r="O186" s="221">
        <v>1</v>
      </c>
      <c r="P186" s="221">
        <v>1</v>
      </c>
      <c r="Q186" s="222">
        <v>1</v>
      </c>
      <c r="R186" s="222">
        <v>1</v>
      </c>
      <c r="S186" s="222">
        <v>1</v>
      </c>
      <c r="T186" s="222">
        <v>1</v>
      </c>
      <c r="U186" s="222">
        <v>1</v>
      </c>
      <c r="V186" s="222">
        <v>1</v>
      </c>
      <c r="W186" s="222">
        <v>1</v>
      </c>
      <c r="X186" s="222">
        <v>1</v>
      </c>
      <c r="Y186" s="222">
        <v>1</v>
      </c>
      <c r="Z186" s="222">
        <v>1</v>
      </c>
      <c r="AA186" s="222">
        <v>1</v>
      </c>
      <c r="AB186" s="222">
        <v>1</v>
      </c>
      <c r="AC186" s="222">
        <v>1</v>
      </c>
      <c r="AD186" s="222">
        <v>1</v>
      </c>
    </row>
    <row r="187" spans="1:30" x14ac:dyDescent="0.2">
      <c r="A187" s="322" t="s">
        <v>376</v>
      </c>
      <c r="B187" s="322"/>
      <c r="C187" s="221">
        <v>1</v>
      </c>
      <c r="D187" s="221">
        <v>1</v>
      </c>
      <c r="E187" s="221">
        <v>1</v>
      </c>
      <c r="F187" s="221">
        <v>1</v>
      </c>
      <c r="G187" s="221">
        <v>1</v>
      </c>
      <c r="H187" s="221">
        <v>1</v>
      </c>
      <c r="I187" s="221">
        <v>1</v>
      </c>
      <c r="J187" s="221">
        <v>1</v>
      </c>
      <c r="K187" s="221">
        <v>1</v>
      </c>
      <c r="L187" s="221">
        <v>1</v>
      </c>
      <c r="M187" s="221">
        <v>1</v>
      </c>
      <c r="N187" s="221">
        <v>1</v>
      </c>
      <c r="O187" s="221">
        <v>1</v>
      </c>
      <c r="P187" s="221">
        <v>1</v>
      </c>
      <c r="Q187" s="222">
        <v>1</v>
      </c>
      <c r="R187" s="222">
        <v>1</v>
      </c>
      <c r="S187" s="222">
        <v>1</v>
      </c>
      <c r="T187" s="222">
        <v>1</v>
      </c>
      <c r="U187" s="222">
        <v>1</v>
      </c>
      <c r="V187" s="222">
        <v>1</v>
      </c>
      <c r="W187" s="222">
        <v>1</v>
      </c>
      <c r="X187" s="222">
        <v>1</v>
      </c>
      <c r="Y187" s="222">
        <v>1</v>
      </c>
      <c r="Z187" s="222">
        <v>1</v>
      </c>
      <c r="AA187" s="222">
        <v>1</v>
      </c>
      <c r="AB187" s="222">
        <v>1</v>
      </c>
      <c r="AC187" s="222">
        <v>1</v>
      </c>
      <c r="AD187" s="222">
        <v>1</v>
      </c>
    </row>
    <row r="188" spans="1:30" x14ac:dyDescent="0.2">
      <c r="A188" s="322" t="s">
        <v>377</v>
      </c>
      <c r="B188" s="322"/>
      <c r="C188" s="221">
        <v>1</v>
      </c>
      <c r="D188" s="221">
        <v>1</v>
      </c>
      <c r="E188" s="221">
        <v>1</v>
      </c>
      <c r="F188" s="221">
        <v>1</v>
      </c>
      <c r="G188" s="221">
        <v>1</v>
      </c>
      <c r="H188" s="221">
        <v>1</v>
      </c>
      <c r="I188" s="221">
        <v>1</v>
      </c>
      <c r="J188" s="221">
        <v>1</v>
      </c>
      <c r="K188" s="221">
        <v>1</v>
      </c>
      <c r="L188" s="221">
        <v>1</v>
      </c>
      <c r="M188" s="221">
        <v>1</v>
      </c>
      <c r="N188" s="221">
        <v>1</v>
      </c>
      <c r="O188" s="221">
        <v>1</v>
      </c>
      <c r="P188" s="221">
        <v>1</v>
      </c>
      <c r="Q188" s="222">
        <v>1</v>
      </c>
      <c r="R188" s="222">
        <v>1</v>
      </c>
      <c r="S188" s="222">
        <v>1</v>
      </c>
      <c r="T188" s="222">
        <v>1</v>
      </c>
      <c r="U188" s="222">
        <v>1</v>
      </c>
      <c r="V188" s="222">
        <v>1</v>
      </c>
      <c r="W188" s="222">
        <v>1</v>
      </c>
      <c r="X188" s="222">
        <v>1</v>
      </c>
      <c r="Y188" s="222">
        <v>1</v>
      </c>
      <c r="Z188" s="222">
        <v>1</v>
      </c>
      <c r="AA188" s="222">
        <v>1</v>
      </c>
      <c r="AB188" s="222">
        <v>1</v>
      </c>
      <c r="AC188" s="222">
        <v>1</v>
      </c>
      <c r="AD188" s="222">
        <v>1</v>
      </c>
    </row>
    <row r="189" spans="1:30" x14ac:dyDescent="0.2">
      <c r="A189" s="322" t="s">
        <v>378</v>
      </c>
      <c r="B189" s="322"/>
      <c r="C189" s="221">
        <v>1</v>
      </c>
      <c r="D189" s="221">
        <v>1</v>
      </c>
      <c r="E189" s="221">
        <v>1</v>
      </c>
      <c r="F189" s="221">
        <v>1</v>
      </c>
      <c r="G189" s="221">
        <v>1</v>
      </c>
      <c r="H189" s="221">
        <v>1</v>
      </c>
      <c r="I189" s="221">
        <v>1</v>
      </c>
      <c r="J189" s="221">
        <v>1</v>
      </c>
      <c r="K189" s="221">
        <v>1</v>
      </c>
      <c r="L189" s="221">
        <v>1</v>
      </c>
      <c r="M189" s="221">
        <v>1</v>
      </c>
      <c r="N189" s="221">
        <v>1</v>
      </c>
      <c r="O189" s="221">
        <v>1</v>
      </c>
      <c r="P189" s="221">
        <v>1</v>
      </c>
      <c r="Q189" s="222">
        <v>1</v>
      </c>
      <c r="R189" s="222">
        <v>1</v>
      </c>
      <c r="S189" s="222">
        <v>1</v>
      </c>
      <c r="T189" s="222">
        <v>1</v>
      </c>
      <c r="U189" s="222">
        <v>1</v>
      </c>
      <c r="V189" s="222">
        <v>1</v>
      </c>
      <c r="W189" s="222">
        <v>1</v>
      </c>
      <c r="X189" s="222">
        <v>1</v>
      </c>
      <c r="Y189" s="222">
        <v>1</v>
      </c>
      <c r="Z189" s="222">
        <v>1</v>
      </c>
      <c r="AA189" s="222">
        <v>1</v>
      </c>
      <c r="AB189" s="222">
        <v>1</v>
      </c>
      <c r="AC189" s="222">
        <v>1</v>
      </c>
      <c r="AD189" s="222">
        <v>1</v>
      </c>
    </row>
    <row r="190" spans="1:30" ht="15.75" customHeight="1" x14ac:dyDescent="0.25">
      <c r="A190" s="306" t="s">
        <v>602</v>
      </c>
      <c r="B190" s="306"/>
      <c r="C190" s="306"/>
      <c r="D190" s="306"/>
      <c r="E190" s="306"/>
      <c r="F190" s="306"/>
      <c r="G190" s="306"/>
      <c r="H190" s="306"/>
      <c r="I190" s="306"/>
      <c r="J190" s="306"/>
      <c r="K190" s="306"/>
      <c r="L190" s="306"/>
      <c r="M190" s="306"/>
      <c r="N190" s="306"/>
      <c r="O190" s="306"/>
      <c r="P190" s="306"/>
      <c r="Q190" s="306"/>
    </row>
    <row r="191" spans="1:30" x14ac:dyDescent="0.2">
      <c r="A191" s="322" t="s">
        <v>374</v>
      </c>
      <c r="B191" s="322"/>
      <c r="C191" s="221">
        <v>2040</v>
      </c>
      <c r="D191" s="221">
        <v>2040</v>
      </c>
      <c r="E191" s="221">
        <v>2040</v>
      </c>
      <c r="F191" s="221">
        <v>2040</v>
      </c>
      <c r="G191" s="221">
        <v>2040</v>
      </c>
      <c r="H191" s="221">
        <v>2040</v>
      </c>
      <c r="I191" s="221">
        <v>2040</v>
      </c>
      <c r="J191" s="221">
        <v>2040</v>
      </c>
      <c r="K191" s="221">
        <v>2040</v>
      </c>
      <c r="L191" s="221">
        <v>2040</v>
      </c>
      <c r="M191" s="221">
        <v>2040</v>
      </c>
      <c r="N191" s="221">
        <v>2040</v>
      </c>
      <c r="O191" s="221">
        <v>2040</v>
      </c>
      <c r="P191" s="221">
        <v>2040</v>
      </c>
      <c r="Q191" s="221">
        <v>2040</v>
      </c>
      <c r="R191" s="221">
        <v>2040</v>
      </c>
      <c r="S191" s="221">
        <v>2040</v>
      </c>
      <c r="T191" s="221">
        <v>2040</v>
      </c>
      <c r="U191" s="221">
        <v>2040</v>
      </c>
      <c r="V191" s="221">
        <v>2040</v>
      </c>
      <c r="W191" s="221">
        <v>2040</v>
      </c>
      <c r="X191" s="221">
        <v>2040</v>
      </c>
      <c r="Y191" s="221">
        <v>2040</v>
      </c>
      <c r="Z191" s="221">
        <v>2040</v>
      </c>
      <c r="AA191" s="221">
        <v>2040</v>
      </c>
      <c r="AB191" s="221">
        <v>2040</v>
      </c>
      <c r="AC191" s="221">
        <v>2040</v>
      </c>
      <c r="AD191" s="221">
        <v>2040</v>
      </c>
    </row>
    <row r="192" spans="1:30" x14ac:dyDescent="0.2">
      <c r="A192" s="322" t="s">
        <v>375</v>
      </c>
      <c r="B192" s="322"/>
      <c r="C192" s="221">
        <v>2040</v>
      </c>
      <c r="D192" s="221">
        <v>2040</v>
      </c>
      <c r="E192" s="221">
        <v>2040</v>
      </c>
      <c r="F192" s="221">
        <v>2040</v>
      </c>
      <c r="G192" s="221">
        <v>2040</v>
      </c>
      <c r="H192" s="221">
        <v>2040</v>
      </c>
      <c r="I192" s="221">
        <v>2040</v>
      </c>
      <c r="J192" s="221">
        <v>2040</v>
      </c>
      <c r="K192" s="221">
        <v>2040</v>
      </c>
      <c r="L192" s="221">
        <v>2040</v>
      </c>
      <c r="M192" s="221">
        <v>2040</v>
      </c>
      <c r="N192" s="221">
        <v>2040</v>
      </c>
      <c r="O192" s="221">
        <v>2040</v>
      </c>
      <c r="P192" s="221">
        <v>2040</v>
      </c>
      <c r="Q192" s="221">
        <v>2040</v>
      </c>
      <c r="R192" s="221">
        <v>2040</v>
      </c>
      <c r="S192" s="221">
        <v>2040</v>
      </c>
      <c r="T192" s="221">
        <v>2040</v>
      </c>
      <c r="U192" s="221">
        <v>2040</v>
      </c>
      <c r="V192" s="221">
        <v>2040</v>
      </c>
      <c r="W192" s="221">
        <v>2040</v>
      </c>
      <c r="X192" s="221">
        <v>2040</v>
      </c>
      <c r="Y192" s="221">
        <v>2040</v>
      </c>
      <c r="Z192" s="221">
        <v>2040</v>
      </c>
      <c r="AA192" s="221">
        <v>2040</v>
      </c>
      <c r="AB192" s="221">
        <v>2040</v>
      </c>
      <c r="AC192" s="221">
        <v>2040</v>
      </c>
      <c r="AD192" s="221">
        <v>2040</v>
      </c>
    </row>
    <row r="193" spans="1:30" x14ac:dyDescent="0.2">
      <c r="A193" s="322" t="s">
        <v>376</v>
      </c>
      <c r="B193" s="322"/>
      <c r="C193" s="221">
        <v>2040</v>
      </c>
      <c r="D193" s="221">
        <v>2040</v>
      </c>
      <c r="E193" s="221">
        <v>2040</v>
      </c>
      <c r="F193" s="221">
        <v>2040</v>
      </c>
      <c r="G193" s="221">
        <v>2040</v>
      </c>
      <c r="H193" s="221">
        <v>2040</v>
      </c>
      <c r="I193" s="221">
        <v>2040</v>
      </c>
      <c r="J193" s="221">
        <v>2040</v>
      </c>
      <c r="K193" s="221">
        <v>2040</v>
      </c>
      <c r="L193" s="221">
        <v>2040</v>
      </c>
      <c r="M193" s="221">
        <v>2040</v>
      </c>
      <c r="N193" s="221">
        <v>2040</v>
      </c>
      <c r="O193" s="221">
        <v>2040</v>
      </c>
      <c r="P193" s="221">
        <v>2040</v>
      </c>
      <c r="Q193" s="221">
        <v>2040</v>
      </c>
      <c r="R193" s="221">
        <v>2040</v>
      </c>
      <c r="S193" s="221">
        <v>2040</v>
      </c>
      <c r="T193" s="221">
        <v>2040</v>
      </c>
      <c r="U193" s="221">
        <v>2040</v>
      </c>
      <c r="V193" s="221">
        <v>2040</v>
      </c>
      <c r="W193" s="221">
        <v>2040</v>
      </c>
      <c r="X193" s="221">
        <v>2040</v>
      </c>
      <c r="Y193" s="221">
        <v>2040</v>
      </c>
      <c r="Z193" s="221">
        <v>2040</v>
      </c>
      <c r="AA193" s="221">
        <v>2040</v>
      </c>
      <c r="AB193" s="221">
        <v>2040</v>
      </c>
      <c r="AC193" s="221">
        <v>2040</v>
      </c>
      <c r="AD193" s="221">
        <v>2040</v>
      </c>
    </row>
    <row r="194" spans="1:30" x14ac:dyDescent="0.2">
      <c r="A194" s="322" t="s">
        <v>377</v>
      </c>
      <c r="B194" s="322"/>
      <c r="C194" s="221">
        <v>2040</v>
      </c>
      <c r="D194" s="221">
        <v>2040</v>
      </c>
      <c r="E194" s="221">
        <v>2040</v>
      </c>
      <c r="F194" s="221">
        <v>2040</v>
      </c>
      <c r="G194" s="221">
        <v>2040</v>
      </c>
      <c r="H194" s="221">
        <v>2040</v>
      </c>
      <c r="I194" s="221">
        <v>2040</v>
      </c>
      <c r="J194" s="221">
        <v>2040</v>
      </c>
      <c r="K194" s="221">
        <v>2040</v>
      </c>
      <c r="L194" s="221">
        <v>2040</v>
      </c>
      <c r="M194" s="221">
        <v>2040</v>
      </c>
      <c r="N194" s="221">
        <v>2040</v>
      </c>
      <c r="O194" s="221">
        <v>2040</v>
      </c>
      <c r="P194" s="221">
        <v>2040</v>
      </c>
      <c r="Q194" s="221">
        <v>2040</v>
      </c>
      <c r="R194" s="221">
        <v>2040</v>
      </c>
      <c r="S194" s="221">
        <v>2040</v>
      </c>
      <c r="T194" s="221">
        <v>2040</v>
      </c>
      <c r="U194" s="221">
        <v>2040</v>
      </c>
      <c r="V194" s="221">
        <v>2040</v>
      </c>
      <c r="W194" s="221">
        <v>2040</v>
      </c>
      <c r="X194" s="221">
        <v>2040</v>
      </c>
      <c r="Y194" s="221">
        <v>2040</v>
      </c>
      <c r="Z194" s="221">
        <v>2040</v>
      </c>
      <c r="AA194" s="221">
        <v>2040</v>
      </c>
      <c r="AB194" s="221">
        <v>2040</v>
      </c>
      <c r="AC194" s="221">
        <v>2040</v>
      </c>
      <c r="AD194" s="221">
        <v>2040</v>
      </c>
    </row>
    <row r="195" spans="1:30" x14ac:dyDescent="0.2">
      <c r="A195" s="322" t="s">
        <v>378</v>
      </c>
      <c r="B195" s="322"/>
      <c r="C195" s="221">
        <v>2040</v>
      </c>
      <c r="D195" s="221">
        <v>2040</v>
      </c>
      <c r="E195" s="221">
        <v>2040</v>
      </c>
      <c r="F195" s="221">
        <v>2040</v>
      </c>
      <c r="G195" s="221">
        <v>2040</v>
      </c>
      <c r="H195" s="221">
        <v>2040</v>
      </c>
      <c r="I195" s="221">
        <v>2040</v>
      </c>
      <c r="J195" s="221">
        <v>2040</v>
      </c>
      <c r="K195" s="221">
        <v>2040</v>
      </c>
      <c r="L195" s="221">
        <v>2040</v>
      </c>
      <c r="M195" s="221">
        <v>2040</v>
      </c>
      <c r="N195" s="221">
        <v>2040</v>
      </c>
      <c r="O195" s="221">
        <v>2040</v>
      </c>
      <c r="P195" s="221">
        <v>2040</v>
      </c>
      <c r="Q195" s="221">
        <v>2040</v>
      </c>
      <c r="R195" s="221">
        <v>2040</v>
      </c>
      <c r="S195" s="221">
        <v>2040</v>
      </c>
      <c r="T195" s="221">
        <v>2040</v>
      </c>
      <c r="U195" s="221">
        <v>2040</v>
      </c>
      <c r="V195" s="221">
        <v>2040</v>
      </c>
      <c r="W195" s="221">
        <v>2040</v>
      </c>
      <c r="X195" s="221">
        <v>2040</v>
      </c>
      <c r="Y195" s="221">
        <v>2040</v>
      </c>
      <c r="Z195" s="221">
        <v>2040</v>
      </c>
      <c r="AA195" s="221">
        <v>2040</v>
      </c>
      <c r="AB195" s="221">
        <v>2040</v>
      </c>
      <c r="AC195" s="221">
        <v>2040</v>
      </c>
      <c r="AD195" s="221">
        <v>2040</v>
      </c>
    </row>
    <row r="196" spans="1:30" ht="15.75" customHeight="1" x14ac:dyDescent="0.25">
      <c r="A196" s="306" t="s">
        <v>603</v>
      </c>
      <c r="B196" s="306"/>
      <c r="C196" s="306"/>
      <c r="D196" s="306"/>
      <c r="E196" s="306"/>
      <c r="F196" s="306"/>
      <c r="G196" s="306"/>
      <c r="H196" s="306"/>
      <c r="I196" s="306"/>
      <c r="J196" s="306"/>
      <c r="K196" s="306"/>
      <c r="L196" s="306"/>
      <c r="M196" s="306"/>
      <c r="N196" s="306"/>
      <c r="O196" s="306"/>
      <c r="P196" s="306"/>
      <c r="Q196" s="306"/>
    </row>
    <row r="197" spans="1:30" x14ac:dyDescent="0.2">
      <c r="A197" s="322" t="s">
        <v>374</v>
      </c>
      <c r="B197" s="322"/>
      <c r="C197" s="221">
        <v>1</v>
      </c>
      <c r="D197" s="221">
        <v>1</v>
      </c>
      <c r="E197" s="221">
        <v>1</v>
      </c>
      <c r="F197" s="221">
        <v>1</v>
      </c>
      <c r="G197" s="221">
        <v>1</v>
      </c>
      <c r="H197" s="221">
        <v>1</v>
      </c>
      <c r="I197" s="221">
        <v>1</v>
      </c>
      <c r="J197" s="221">
        <v>1</v>
      </c>
      <c r="K197" s="221">
        <v>1</v>
      </c>
      <c r="L197" s="221">
        <v>1</v>
      </c>
      <c r="M197" s="221">
        <v>1</v>
      </c>
      <c r="N197" s="221">
        <v>1</v>
      </c>
      <c r="O197" s="221">
        <v>1</v>
      </c>
      <c r="P197" s="221">
        <v>1</v>
      </c>
      <c r="Q197" s="222">
        <v>1</v>
      </c>
      <c r="R197" s="222">
        <v>1</v>
      </c>
      <c r="S197" s="222">
        <v>1</v>
      </c>
      <c r="T197" s="222">
        <v>1</v>
      </c>
      <c r="U197" s="222">
        <v>1</v>
      </c>
      <c r="V197" s="222">
        <v>1</v>
      </c>
      <c r="W197" s="222">
        <v>1</v>
      </c>
      <c r="X197" s="222">
        <v>1</v>
      </c>
      <c r="Y197" s="222">
        <v>1</v>
      </c>
      <c r="Z197" s="222">
        <v>1</v>
      </c>
      <c r="AA197" s="222">
        <v>1</v>
      </c>
      <c r="AB197" s="222">
        <v>1</v>
      </c>
      <c r="AC197" s="222">
        <v>1</v>
      </c>
      <c r="AD197" s="222">
        <v>1</v>
      </c>
    </row>
    <row r="198" spans="1:30" x14ac:dyDescent="0.2">
      <c r="A198" s="322" t="s">
        <v>375</v>
      </c>
      <c r="B198" s="322"/>
      <c r="C198" s="221">
        <v>1</v>
      </c>
      <c r="D198" s="221">
        <v>1</v>
      </c>
      <c r="E198" s="221">
        <v>1</v>
      </c>
      <c r="F198" s="221">
        <v>1</v>
      </c>
      <c r="G198" s="221">
        <v>1</v>
      </c>
      <c r="H198" s="221">
        <v>1</v>
      </c>
      <c r="I198" s="221">
        <v>1</v>
      </c>
      <c r="J198" s="221">
        <v>1</v>
      </c>
      <c r="K198" s="221">
        <v>1</v>
      </c>
      <c r="L198" s="221">
        <v>1</v>
      </c>
      <c r="M198" s="221">
        <v>1</v>
      </c>
      <c r="N198" s="221">
        <v>1</v>
      </c>
      <c r="O198" s="221">
        <v>1</v>
      </c>
      <c r="P198" s="221">
        <v>1</v>
      </c>
      <c r="Q198" s="222">
        <v>1</v>
      </c>
      <c r="R198" s="222">
        <v>1</v>
      </c>
      <c r="S198" s="222">
        <v>1</v>
      </c>
      <c r="T198" s="222">
        <v>1</v>
      </c>
      <c r="U198" s="222">
        <v>1</v>
      </c>
      <c r="V198" s="222">
        <v>1</v>
      </c>
      <c r="W198" s="222">
        <v>1</v>
      </c>
      <c r="X198" s="222">
        <v>1</v>
      </c>
      <c r="Y198" s="222">
        <v>1</v>
      </c>
      <c r="Z198" s="222">
        <v>1</v>
      </c>
      <c r="AA198" s="222">
        <v>1</v>
      </c>
      <c r="AB198" s="222">
        <v>1</v>
      </c>
      <c r="AC198" s="222">
        <v>1</v>
      </c>
      <c r="AD198" s="222">
        <v>1</v>
      </c>
    </row>
    <row r="199" spans="1:30" x14ac:dyDescent="0.2">
      <c r="A199" s="322" t="s">
        <v>376</v>
      </c>
      <c r="B199" s="322"/>
      <c r="C199" s="221">
        <v>1</v>
      </c>
      <c r="D199" s="221">
        <v>1</v>
      </c>
      <c r="E199" s="221">
        <v>1</v>
      </c>
      <c r="F199" s="221">
        <v>1</v>
      </c>
      <c r="G199" s="221">
        <v>1</v>
      </c>
      <c r="H199" s="221">
        <v>1</v>
      </c>
      <c r="I199" s="221">
        <v>1</v>
      </c>
      <c r="J199" s="221">
        <v>1</v>
      </c>
      <c r="K199" s="221">
        <v>1</v>
      </c>
      <c r="L199" s="221">
        <v>1</v>
      </c>
      <c r="M199" s="221">
        <v>1</v>
      </c>
      <c r="N199" s="221">
        <v>1</v>
      </c>
      <c r="O199" s="221">
        <v>1</v>
      </c>
      <c r="P199" s="221">
        <v>1</v>
      </c>
      <c r="Q199" s="222">
        <v>1</v>
      </c>
      <c r="R199" s="222">
        <v>1</v>
      </c>
      <c r="S199" s="222">
        <v>1</v>
      </c>
      <c r="T199" s="222">
        <v>1</v>
      </c>
      <c r="U199" s="222">
        <v>1</v>
      </c>
      <c r="V199" s="222">
        <v>1</v>
      </c>
      <c r="W199" s="222">
        <v>1</v>
      </c>
      <c r="X199" s="222">
        <v>1</v>
      </c>
      <c r="Y199" s="222">
        <v>1</v>
      </c>
      <c r="Z199" s="222">
        <v>1</v>
      </c>
      <c r="AA199" s="222">
        <v>1</v>
      </c>
      <c r="AB199" s="222">
        <v>1</v>
      </c>
      <c r="AC199" s="222">
        <v>1</v>
      </c>
      <c r="AD199" s="222">
        <v>1</v>
      </c>
    </row>
    <row r="200" spans="1:30" x14ac:dyDescent="0.2">
      <c r="A200" s="322" t="s">
        <v>377</v>
      </c>
      <c r="B200" s="322"/>
      <c r="C200" s="221">
        <v>1</v>
      </c>
      <c r="D200" s="221">
        <v>1</v>
      </c>
      <c r="E200" s="221">
        <v>1</v>
      </c>
      <c r="F200" s="221">
        <v>1</v>
      </c>
      <c r="G200" s="221">
        <v>1</v>
      </c>
      <c r="H200" s="221">
        <v>1</v>
      </c>
      <c r="I200" s="221">
        <v>1</v>
      </c>
      <c r="J200" s="221">
        <v>1</v>
      </c>
      <c r="K200" s="221">
        <v>1</v>
      </c>
      <c r="L200" s="221">
        <v>1</v>
      </c>
      <c r="M200" s="221">
        <v>1</v>
      </c>
      <c r="N200" s="221">
        <v>1</v>
      </c>
      <c r="O200" s="221">
        <v>1</v>
      </c>
      <c r="P200" s="221">
        <v>1</v>
      </c>
      <c r="Q200" s="222">
        <v>1</v>
      </c>
      <c r="R200" s="222">
        <v>1</v>
      </c>
      <c r="S200" s="222">
        <v>1</v>
      </c>
      <c r="T200" s="222">
        <v>1</v>
      </c>
      <c r="U200" s="222">
        <v>1</v>
      </c>
      <c r="V200" s="222">
        <v>1</v>
      </c>
      <c r="W200" s="222">
        <v>1</v>
      </c>
      <c r="X200" s="222">
        <v>1</v>
      </c>
      <c r="Y200" s="222">
        <v>1</v>
      </c>
      <c r="Z200" s="222">
        <v>1</v>
      </c>
      <c r="AA200" s="222">
        <v>1</v>
      </c>
      <c r="AB200" s="222">
        <v>1</v>
      </c>
      <c r="AC200" s="222">
        <v>1</v>
      </c>
      <c r="AD200" s="222">
        <v>1</v>
      </c>
    </row>
    <row r="201" spans="1:30" x14ac:dyDescent="0.2">
      <c r="A201" s="322" t="s">
        <v>378</v>
      </c>
      <c r="B201" s="322"/>
      <c r="C201" s="221">
        <v>1</v>
      </c>
      <c r="D201" s="221">
        <v>1</v>
      </c>
      <c r="E201" s="221">
        <v>1</v>
      </c>
      <c r="F201" s="221">
        <v>1</v>
      </c>
      <c r="G201" s="221">
        <v>1</v>
      </c>
      <c r="H201" s="221">
        <v>1</v>
      </c>
      <c r="I201" s="221">
        <v>1</v>
      </c>
      <c r="J201" s="221">
        <v>1</v>
      </c>
      <c r="K201" s="221">
        <v>1</v>
      </c>
      <c r="L201" s="221">
        <v>1</v>
      </c>
      <c r="M201" s="221">
        <v>1</v>
      </c>
      <c r="N201" s="221">
        <v>1</v>
      </c>
      <c r="O201" s="221">
        <v>1</v>
      </c>
      <c r="P201" s="221">
        <v>1</v>
      </c>
      <c r="Q201" s="222">
        <v>1</v>
      </c>
      <c r="R201" s="222">
        <v>1</v>
      </c>
      <c r="S201" s="222">
        <v>1</v>
      </c>
      <c r="T201" s="222">
        <v>1</v>
      </c>
      <c r="U201" s="222">
        <v>1</v>
      </c>
      <c r="V201" s="222">
        <v>1</v>
      </c>
      <c r="W201" s="222">
        <v>1</v>
      </c>
      <c r="X201" s="222">
        <v>1</v>
      </c>
      <c r="Y201" s="222">
        <v>1</v>
      </c>
      <c r="Z201" s="222">
        <v>1</v>
      </c>
      <c r="AA201" s="222">
        <v>1</v>
      </c>
      <c r="AB201" s="222">
        <v>1</v>
      </c>
      <c r="AC201" s="222">
        <v>1</v>
      </c>
      <c r="AD201" s="222">
        <v>1</v>
      </c>
    </row>
    <row r="202" spans="1:30" ht="15.75" customHeight="1" x14ac:dyDescent="0.25">
      <c r="A202" s="306" t="s">
        <v>604</v>
      </c>
      <c r="B202" s="306"/>
      <c r="C202" s="306"/>
      <c r="D202" s="306"/>
      <c r="E202" s="306"/>
      <c r="F202" s="306"/>
      <c r="G202" s="306"/>
      <c r="H202" s="306"/>
      <c r="I202" s="306"/>
      <c r="J202" s="306"/>
      <c r="K202" s="306"/>
      <c r="L202" s="306"/>
      <c r="M202" s="306"/>
      <c r="N202" s="306"/>
      <c r="O202" s="306"/>
      <c r="P202" s="306"/>
      <c r="Q202" s="306"/>
    </row>
    <row r="203" spans="1:30" x14ac:dyDescent="0.2">
      <c r="A203" s="322" t="s">
        <v>374</v>
      </c>
      <c r="B203" s="322"/>
      <c r="C203" s="221">
        <v>2050</v>
      </c>
      <c r="D203" s="221">
        <v>2050</v>
      </c>
      <c r="E203" s="221">
        <v>2050</v>
      </c>
      <c r="F203" s="221">
        <v>2050</v>
      </c>
      <c r="G203" s="221">
        <v>2050</v>
      </c>
      <c r="H203" s="221">
        <v>2050</v>
      </c>
      <c r="I203" s="221">
        <v>2050</v>
      </c>
      <c r="J203" s="221">
        <v>2050</v>
      </c>
      <c r="K203" s="221">
        <v>2050</v>
      </c>
      <c r="L203" s="221">
        <v>2050</v>
      </c>
      <c r="M203" s="221">
        <v>2050</v>
      </c>
      <c r="N203" s="221">
        <v>2050</v>
      </c>
      <c r="O203" s="221">
        <v>2050</v>
      </c>
      <c r="P203" s="221">
        <v>2050</v>
      </c>
      <c r="Q203" s="222">
        <v>2050</v>
      </c>
      <c r="R203" s="222">
        <v>2050</v>
      </c>
      <c r="S203" s="222">
        <v>2050</v>
      </c>
      <c r="T203" s="222">
        <v>2050</v>
      </c>
      <c r="U203" s="222">
        <v>2050</v>
      </c>
      <c r="V203" s="222">
        <v>2050</v>
      </c>
      <c r="W203" s="222">
        <v>2050</v>
      </c>
      <c r="X203" s="222">
        <v>2050</v>
      </c>
      <c r="Y203" s="222">
        <v>2050</v>
      </c>
      <c r="Z203" s="222">
        <v>2050</v>
      </c>
      <c r="AA203" s="222">
        <v>2050</v>
      </c>
      <c r="AB203" s="222">
        <v>2050</v>
      </c>
      <c r="AC203" s="222">
        <v>2050</v>
      </c>
      <c r="AD203" s="222">
        <v>2050</v>
      </c>
    </row>
    <row r="204" spans="1:30" x14ac:dyDescent="0.2">
      <c r="A204" s="322" t="s">
        <v>375</v>
      </c>
      <c r="B204" s="322"/>
      <c r="C204" s="221">
        <v>2050</v>
      </c>
      <c r="D204" s="221">
        <v>2050</v>
      </c>
      <c r="E204" s="221">
        <v>2050</v>
      </c>
      <c r="F204" s="221">
        <v>2050</v>
      </c>
      <c r="G204" s="221">
        <v>2050</v>
      </c>
      <c r="H204" s="221">
        <v>2050</v>
      </c>
      <c r="I204" s="221">
        <v>2050</v>
      </c>
      <c r="J204" s="221">
        <v>2050</v>
      </c>
      <c r="K204" s="221">
        <v>2050</v>
      </c>
      <c r="L204" s="221">
        <v>2050</v>
      </c>
      <c r="M204" s="221">
        <v>2050</v>
      </c>
      <c r="N204" s="221">
        <v>2050</v>
      </c>
      <c r="O204" s="221">
        <v>2050</v>
      </c>
      <c r="P204" s="221">
        <v>2050</v>
      </c>
      <c r="Q204" s="222">
        <v>2050</v>
      </c>
      <c r="R204" s="222">
        <v>2050</v>
      </c>
      <c r="S204" s="222">
        <v>2050</v>
      </c>
      <c r="T204" s="222">
        <v>2050</v>
      </c>
      <c r="U204" s="222">
        <v>2050</v>
      </c>
      <c r="V204" s="222">
        <v>2050</v>
      </c>
      <c r="W204" s="222">
        <v>2050</v>
      </c>
      <c r="X204" s="222">
        <v>2050</v>
      </c>
      <c r="Y204" s="222">
        <v>2050</v>
      </c>
      <c r="Z204" s="222">
        <v>2050</v>
      </c>
      <c r="AA204" s="222">
        <v>2050</v>
      </c>
      <c r="AB204" s="222">
        <v>2050</v>
      </c>
      <c r="AC204" s="222">
        <v>2050</v>
      </c>
      <c r="AD204" s="222">
        <v>2050</v>
      </c>
    </row>
    <row r="205" spans="1:30" x14ac:dyDescent="0.2">
      <c r="A205" s="322" t="s">
        <v>376</v>
      </c>
      <c r="B205" s="322"/>
      <c r="C205" s="221">
        <v>2050</v>
      </c>
      <c r="D205" s="221">
        <v>2050</v>
      </c>
      <c r="E205" s="221">
        <v>2050</v>
      </c>
      <c r="F205" s="221">
        <v>2050</v>
      </c>
      <c r="G205" s="221">
        <v>2050</v>
      </c>
      <c r="H205" s="221">
        <v>2050</v>
      </c>
      <c r="I205" s="221">
        <v>2050</v>
      </c>
      <c r="J205" s="221">
        <v>2050</v>
      </c>
      <c r="K205" s="221">
        <v>2050</v>
      </c>
      <c r="L205" s="221">
        <v>2050</v>
      </c>
      <c r="M205" s="221">
        <v>2050</v>
      </c>
      <c r="N205" s="221">
        <v>2050</v>
      </c>
      <c r="O205" s="221">
        <v>2050</v>
      </c>
      <c r="P205" s="221">
        <v>2050</v>
      </c>
      <c r="Q205" s="222">
        <v>2050</v>
      </c>
      <c r="R205" s="222">
        <v>2050</v>
      </c>
      <c r="S205" s="222">
        <v>2050</v>
      </c>
      <c r="T205" s="222">
        <v>2050</v>
      </c>
      <c r="U205" s="222">
        <v>2050</v>
      </c>
      <c r="V205" s="222">
        <v>2050</v>
      </c>
      <c r="W205" s="222">
        <v>2050</v>
      </c>
      <c r="X205" s="222">
        <v>2050</v>
      </c>
      <c r="Y205" s="222">
        <v>2050</v>
      </c>
      <c r="Z205" s="222">
        <v>2050</v>
      </c>
      <c r="AA205" s="222">
        <v>2050</v>
      </c>
      <c r="AB205" s="222">
        <v>2050</v>
      </c>
      <c r="AC205" s="222">
        <v>2050</v>
      </c>
      <c r="AD205" s="222">
        <v>2050</v>
      </c>
    </row>
    <row r="206" spans="1:30" x14ac:dyDescent="0.2">
      <c r="A206" s="322" t="s">
        <v>377</v>
      </c>
      <c r="B206" s="322"/>
      <c r="C206" s="221">
        <v>2050</v>
      </c>
      <c r="D206" s="221">
        <v>2050</v>
      </c>
      <c r="E206" s="221">
        <v>2050</v>
      </c>
      <c r="F206" s="221">
        <v>2050</v>
      </c>
      <c r="G206" s="221">
        <v>2050</v>
      </c>
      <c r="H206" s="221">
        <v>2050</v>
      </c>
      <c r="I206" s="221">
        <v>2050</v>
      </c>
      <c r="J206" s="221">
        <v>2050</v>
      </c>
      <c r="K206" s="221">
        <v>2050</v>
      </c>
      <c r="L206" s="221">
        <v>2050</v>
      </c>
      <c r="M206" s="221">
        <v>2050</v>
      </c>
      <c r="N206" s="221">
        <v>2050</v>
      </c>
      <c r="O206" s="221">
        <v>2050</v>
      </c>
      <c r="P206" s="221">
        <v>2050</v>
      </c>
      <c r="Q206" s="222">
        <v>2050</v>
      </c>
      <c r="R206" s="222">
        <v>2050</v>
      </c>
      <c r="S206" s="222">
        <v>2050</v>
      </c>
      <c r="T206" s="222">
        <v>2050</v>
      </c>
      <c r="U206" s="222">
        <v>2050</v>
      </c>
      <c r="V206" s="222">
        <v>2050</v>
      </c>
      <c r="W206" s="222">
        <v>2050</v>
      </c>
      <c r="X206" s="222">
        <v>2050</v>
      </c>
      <c r="Y206" s="222">
        <v>2050</v>
      </c>
      <c r="Z206" s="222">
        <v>2050</v>
      </c>
      <c r="AA206" s="222">
        <v>2050</v>
      </c>
      <c r="AB206" s="222">
        <v>2050</v>
      </c>
      <c r="AC206" s="222">
        <v>2050</v>
      </c>
      <c r="AD206" s="222">
        <v>2050</v>
      </c>
    </row>
    <row r="207" spans="1:30" x14ac:dyDescent="0.2">
      <c r="A207" s="322" t="s">
        <v>378</v>
      </c>
      <c r="B207" s="322"/>
      <c r="C207" s="223">
        <v>2050</v>
      </c>
      <c r="D207" s="223">
        <v>2050</v>
      </c>
      <c r="E207" s="223">
        <v>2050</v>
      </c>
      <c r="F207" s="223">
        <v>2050</v>
      </c>
      <c r="G207" s="223">
        <v>2050</v>
      </c>
      <c r="H207" s="223">
        <v>2050</v>
      </c>
      <c r="I207" s="223">
        <v>2050</v>
      </c>
      <c r="J207" s="223">
        <v>2050</v>
      </c>
      <c r="K207" s="223">
        <v>2050</v>
      </c>
      <c r="L207" s="223">
        <v>2050</v>
      </c>
      <c r="M207" s="223">
        <v>2050</v>
      </c>
      <c r="N207" s="223">
        <v>2050</v>
      </c>
      <c r="O207" s="223">
        <v>2050</v>
      </c>
      <c r="P207" s="223">
        <v>2050</v>
      </c>
      <c r="Q207" s="224">
        <v>2050</v>
      </c>
      <c r="R207" s="224">
        <v>2050</v>
      </c>
      <c r="S207" s="224">
        <v>2050</v>
      </c>
      <c r="T207" s="224">
        <v>2050</v>
      </c>
      <c r="U207" s="224">
        <v>2050</v>
      </c>
      <c r="V207" s="224">
        <v>2050</v>
      </c>
      <c r="W207" s="224">
        <v>2050</v>
      </c>
      <c r="X207" s="224">
        <v>2050</v>
      </c>
      <c r="Y207" s="224">
        <v>2050</v>
      </c>
      <c r="Z207" s="224">
        <v>2050</v>
      </c>
      <c r="AA207" s="224">
        <v>2050</v>
      </c>
      <c r="AB207" s="224">
        <v>2050</v>
      </c>
      <c r="AC207" s="224">
        <v>2050</v>
      </c>
      <c r="AD207" s="224">
        <v>2050</v>
      </c>
    </row>
    <row r="209" spans="1:30" ht="23.25" customHeight="1" x14ac:dyDescent="0.25">
      <c r="A209" s="306" t="s">
        <v>386</v>
      </c>
      <c r="B209" s="306"/>
      <c r="C209" s="306"/>
    </row>
    <row r="210" spans="1:30" ht="15.75" customHeight="1" x14ac:dyDescent="0.2">
      <c r="A210" s="313" t="s">
        <v>387</v>
      </c>
      <c r="B210" s="225" t="s">
        <v>388</v>
      </c>
      <c r="C210" s="323">
        <v>1</v>
      </c>
    </row>
    <row r="211" spans="1:30" ht="14.25" customHeight="1" x14ac:dyDescent="0.2">
      <c r="A211" s="313"/>
      <c r="B211" s="225" t="s">
        <v>389</v>
      </c>
      <c r="C211" s="323"/>
    </row>
    <row r="212" spans="1:30" x14ac:dyDescent="0.2">
      <c r="A212" s="180" t="s">
        <v>605</v>
      </c>
      <c r="B212" s="225" t="s">
        <v>36</v>
      </c>
      <c r="C212" s="176">
        <v>2020</v>
      </c>
    </row>
    <row r="213" spans="1:30" x14ac:dyDescent="0.2">
      <c r="A213" s="227" t="s">
        <v>390</v>
      </c>
      <c r="B213" s="228" t="s">
        <v>36</v>
      </c>
      <c r="C213" s="229">
        <v>2050</v>
      </c>
    </row>
    <row r="214" spans="1:30" ht="14.25" customHeight="1" x14ac:dyDescent="0.25">
      <c r="A214" s="306" t="s">
        <v>394</v>
      </c>
      <c r="B214" s="306"/>
      <c r="C214" s="306"/>
      <c r="D214" s="306"/>
      <c r="E214" s="306"/>
      <c r="F214" s="306"/>
      <c r="G214" s="306"/>
      <c r="H214" s="306"/>
      <c r="I214" s="306"/>
      <c r="J214" s="306"/>
      <c r="K214" s="306"/>
      <c r="L214" s="306"/>
      <c r="M214" s="306"/>
      <c r="N214" s="306"/>
      <c r="O214" s="306"/>
      <c r="P214" s="306"/>
      <c r="Q214" s="306"/>
    </row>
    <row r="215" spans="1:30" x14ac:dyDescent="0.2">
      <c r="A215" s="324" t="s">
        <v>606</v>
      </c>
      <c r="B215" s="324"/>
      <c r="C215" s="219" t="s">
        <v>576</v>
      </c>
      <c r="D215" s="219" t="s">
        <v>579</v>
      </c>
      <c r="E215" s="219" t="s">
        <v>362</v>
      </c>
      <c r="F215" s="219" t="s">
        <v>580</v>
      </c>
      <c r="G215" s="219" t="s">
        <v>581</v>
      </c>
      <c r="H215" s="219" t="s">
        <v>582</v>
      </c>
      <c r="I215" s="219" t="s">
        <v>583</v>
      </c>
      <c r="J215" s="219" t="s">
        <v>354</v>
      </c>
      <c r="K215" s="219" t="s">
        <v>584</v>
      </c>
      <c r="L215" s="219" t="s">
        <v>585</v>
      </c>
      <c r="M215" s="219" t="s">
        <v>586</v>
      </c>
      <c r="N215" s="219" t="s">
        <v>587</v>
      </c>
      <c r="O215" s="219" t="s">
        <v>588</v>
      </c>
      <c r="P215" s="219" t="s">
        <v>589</v>
      </c>
      <c r="Q215" s="220" t="s">
        <v>590</v>
      </c>
      <c r="R215" s="220" t="s">
        <v>338</v>
      </c>
      <c r="S215" s="220" t="s">
        <v>591</v>
      </c>
      <c r="T215" s="220" t="s">
        <v>592</v>
      </c>
      <c r="U215" s="220" t="s">
        <v>593</v>
      </c>
      <c r="V215" s="220" t="s">
        <v>594</v>
      </c>
      <c r="W215" s="220" t="s">
        <v>595</v>
      </c>
      <c r="X215" s="220" t="s">
        <v>596</v>
      </c>
      <c r="Y215" s="220" t="s">
        <v>597</v>
      </c>
      <c r="Z215" s="220" t="s">
        <v>598</v>
      </c>
      <c r="AA215" s="220" t="s">
        <v>599</v>
      </c>
      <c r="AB215" s="220" t="s">
        <v>351</v>
      </c>
      <c r="AC215" s="220" t="s">
        <v>361</v>
      </c>
      <c r="AD215" s="220" t="s">
        <v>600</v>
      </c>
    </row>
    <row r="216" spans="1:30" x14ac:dyDescent="0.2">
      <c r="A216" s="325" t="s">
        <v>374</v>
      </c>
      <c r="B216" s="325"/>
      <c r="C216" s="230">
        <v>4.9143925982598595E-7</v>
      </c>
      <c r="D216" s="230">
        <v>3.5721808570239001E-7</v>
      </c>
      <c r="E216" s="230">
        <v>0</v>
      </c>
      <c r="F216" s="230">
        <v>1.33580538164496E-6</v>
      </c>
      <c r="G216" s="230">
        <v>1.22341908960222E-6</v>
      </c>
      <c r="H216" s="230">
        <v>4.1203327462718802E-7</v>
      </c>
      <c r="I216" s="230">
        <v>1.83490380176835E-7</v>
      </c>
      <c r="J216" s="230">
        <v>3.5107291035509198E-8</v>
      </c>
      <c r="K216" s="230">
        <v>1.4051786616190101E-6</v>
      </c>
      <c r="L216" s="230">
        <v>1.6696259798364701E-7</v>
      </c>
      <c r="M216" s="230">
        <v>3.65540334299614E-7</v>
      </c>
      <c r="N216" s="230">
        <v>7.7092106524854305E-7</v>
      </c>
      <c r="O216" s="230">
        <v>2.0251831747672099E-7</v>
      </c>
      <c r="P216" s="230">
        <v>5.5954250520850301E-7</v>
      </c>
      <c r="Q216" s="231">
        <v>9.7396226736632599E-8</v>
      </c>
      <c r="R216" s="231">
        <v>5.3705425822563295E-7</v>
      </c>
      <c r="S216" s="231">
        <v>3.6456850347543399E-7</v>
      </c>
      <c r="T216" s="231">
        <v>5.0513919712268799E-7</v>
      </c>
      <c r="U216" s="231">
        <v>4.4321358313250701E-7</v>
      </c>
      <c r="V216" s="231">
        <v>2.36045780097966E-7</v>
      </c>
      <c r="W216" s="231">
        <v>8.2108780828477797E-8</v>
      </c>
      <c r="X216" s="231">
        <v>1.79901548666926E-7</v>
      </c>
      <c r="Y216" s="231">
        <v>6.2324040568331498E-7</v>
      </c>
      <c r="Z216" s="231">
        <v>1.3116812598473099E-7</v>
      </c>
      <c r="AA216" s="231">
        <v>1.6465295194180801E-7</v>
      </c>
      <c r="AB216" s="231">
        <v>8.93692743290543E-8</v>
      </c>
      <c r="AC216" s="231">
        <v>0</v>
      </c>
      <c r="AD216" s="231">
        <v>2.6860832732300001E-7</v>
      </c>
    </row>
    <row r="217" spans="1:30" x14ac:dyDescent="0.2">
      <c r="A217" s="325" t="s">
        <v>375</v>
      </c>
      <c r="B217" s="325"/>
      <c r="C217" s="230">
        <v>2.2262237882438499E-7</v>
      </c>
      <c r="D217" s="230">
        <v>2.65109839166996E-8</v>
      </c>
      <c r="E217" s="230">
        <v>0</v>
      </c>
      <c r="F217" s="230">
        <v>9.69014368382836E-7</v>
      </c>
      <c r="G217" s="230">
        <v>6.1379927459737895E-7</v>
      </c>
      <c r="H217" s="230">
        <v>5.4986713159634699E-7</v>
      </c>
      <c r="I217" s="230">
        <v>3.5438737816317398E-8</v>
      </c>
      <c r="J217" s="230">
        <v>7.5026952565718795E-10</v>
      </c>
      <c r="K217" s="230">
        <v>1.5660938027080101E-7</v>
      </c>
      <c r="L217" s="230">
        <v>2.36960970006208E-12</v>
      </c>
      <c r="M217" s="230">
        <v>7.1388752293625604E-8</v>
      </c>
      <c r="N217" s="230">
        <v>5.3973638987257301E-8</v>
      </c>
      <c r="O217" s="230">
        <v>0</v>
      </c>
      <c r="P217" s="230">
        <v>2.7670241089604099E-7</v>
      </c>
      <c r="Q217" s="231">
        <v>8.2381631656966196E-9</v>
      </c>
      <c r="R217" s="231">
        <v>6.3673533190273198E-8</v>
      </c>
      <c r="S217" s="231">
        <v>1.3172626613462E-8</v>
      </c>
      <c r="T217" s="231">
        <v>3.3881641097946397E-8</v>
      </c>
      <c r="U217" s="231">
        <v>0</v>
      </c>
      <c r="V217" s="231">
        <v>1.7385383321602799E-7</v>
      </c>
      <c r="W217" s="231">
        <v>3.70271275272898E-10</v>
      </c>
      <c r="X217" s="231">
        <v>6.4400440646767203E-8</v>
      </c>
      <c r="Y217" s="231">
        <v>2.03105589569859E-7</v>
      </c>
      <c r="Z217" s="231">
        <v>0</v>
      </c>
      <c r="AA217" s="231">
        <v>2.1126905530360201E-8</v>
      </c>
      <c r="AB217" s="231">
        <v>1.6163219181334799E-8</v>
      </c>
      <c r="AC217" s="231">
        <v>0</v>
      </c>
      <c r="AD217" s="231">
        <v>9.5815176626217206E-8</v>
      </c>
    </row>
    <row r="218" spans="1:30" x14ac:dyDescent="0.2">
      <c r="A218" s="325" t="s">
        <v>376</v>
      </c>
      <c r="B218" s="325"/>
      <c r="C218" s="230">
        <v>3.0119512839775998E-7</v>
      </c>
      <c r="D218" s="230">
        <v>2.19312289390501E-7</v>
      </c>
      <c r="E218" s="230">
        <v>1.7274667231020499E-7</v>
      </c>
      <c r="F218" s="230">
        <v>5.2395787561884298E-8</v>
      </c>
      <c r="G218" s="230">
        <v>1.5675315938531499E-8</v>
      </c>
      <c r="H218" s="230">
        <v>0</v>
      </c>
      <c r="I218" s="230">
        <v>0</v>
      </c>
      <c r="J218" s="230">
        <v>0</v>
      </c>
      <c r="K218" s="230">
        <v>1.241724530167E-9</v>
      </c>
      <c r="L218" s="230">
        <v>0</v>
      </c>
      <c r="M218" s="230">
        <v>1.0177967991728799E-8</v>
      </c>
      <c r="N218" s="230">
        <v>6.3643201453671196E-9</v>
      </c>
      <c r="O218" s="230">
        <v>6.9703440393327596E-7</v>
      </c>
      <c r="P218" s="230">
        <v>0</v>
      </c>
      <c r="Q218" s="231">
        <v>1.6175063493079999E-9</v>
      </c>
      <c r="R218" s="231">
        <v>5.0542980711924302E-8</v>
      </c>
      <c r="S218" s="231">
        <v>3.7393457009419302E-9</v>
      </c>
      <c r="T218" s="231">
        <v>2.02426879467313E-8</v>
      </c>
      <c r="U218" s="231">
        <v>0</v>
      </c>
      <c r="V218" s="231">
        <v>4.1862682614841298E-8</v>
      </c>
      <c r="W218" s="231">
        <v>0</v>
      </c>
      <c r="X218" s="231">
        <v>3.2185652092102799E-9</v>
      </c>
      <c r="Y218" s="231">
        <v>0</v>
      </c>
      <c r="Z218" s="231">
        <v>0</v>
      </c>
      <c r="AA218" s="231">
        <v>0</v>
      </c>
      <c r="AB218" s="231">
        <v>0</v>
      </c>
      <c r="AC218" s="231">
        <v>0</v>
      </c>
      <c r="AD218" s="231">
        <v>0</v>
      </c>
    </row>
    <row r="219" spans="1:30" x14ac:dyDescent="0.2">
      <c r="A219" s="325" t="s">
        <v>377</v>
      </c>
      <c r="B219" s="325"/>
      <c r="C219" s="230">
        <v>1.7843708992307999E-7</v>
      </c>
      <c r="D219" s="230">
        <v>9.8023318076996399E-8</v>
      </c>
      <c r="E219" s="230">
        <v>0</v>
      </c>
      <c r="F219" s="230">
        <v>5.8153560461423795E-7</v>
      </c>
      <c r="G219" s="230">
        <v>1.43642819631374E-8</v>
      </c>
      <c r="H219" s="230">
        <v>0</v>
      </c>
      <c r="I219" s="230">
        <v>0</v>
      </c>
      <c r="J219" s="230">
        <v>0</v>
      </c>
      <c r="K219" s="230">
        <v>2.82005466549391E-9</v>
      </c>
      <c r="L219" s="230">
        <v>0</v>
      </c>
      <c r="M219" s="230">
        <v>1.3560210851881299E-7</v>
      </c>
      <c r="N219" s="230">
        <v>3.12693981307369E-7</v>
      </c>
      <c r="O219" s="230">
        <v>1.7926097453579201E-8</v>
      </c>
      <c r="P219" s="230">
        <v>1.60164134468073E-6</v>
      </c>
      <c r="Q219" s="231">
        <v>1.6081116951076099E-8</v>
      </c>
      <c r="R219" s="231">
        <v>6.9028836425075097E-8</v>
      </c>
      <c r="S219" s="231">
        <v>6.7895723288337694E-8</v>
      </c>
      <c r="T219" s="231">
        <v>3.25178562493753E-7</v>
      </c>
      <c r="U219" s="231">
        <v>0</v>
      </c>
      <c r="V219" s="231">
        <v>6.4781437705575904E-7</v>
      </c>
      <c r="W219" s="231">
        <v>0</v>
      </c>
      <c r="X219" s="231">
        <v>1.8513722680003E-8</v>
      </c>
      <c r="Y219" s="231">
        <v>0</v>
      </c>
      <c r="Z219" s="231">
        <v>0</v>
      </c>
      <c r="AA219" s="231">
        <v>0</v>
      </c>
      <c r="AB219" s="231">
        <v>0</v>
      </c>
      <c r="AC219" s="231">
        <v>0</v>
      </c>
      <c r="AD219" s="231">
        <v>0</v>
      </c>
    </row>
    <row r="220" spans="1:30" x14ac:dyDescent="0.2">
      <c r="A220" s="326" t="s">
        <v>378</v>
      </c>
      <c r="B220" s="326"/>
      <c r="C220" s="232">
        <v>2.8222631105657499E-7</v>
      </c>
      <c r="D220" s="233">
        <v>1.3602762647974501E-7</v>
      </c>
      <c r="E220" s="233">
        <v>0</v>
      </c>
      <c r="F220" s="233">
        <v>2.30269903439123E-7</v>
      </c>
      <c r="G220" s="233">
        <v>3.7276680033311398E-7</v>
      </c>
      <c r="H220" s="233">
        <v>0</v>
      </c>
      <c r="I220" s="233">
        <v>0</v>
      </c>
      <c r="J220" s="233">
        <v>0</v>
      </c>
      <c r="K220" s="233">
        <v>2.2944918464033101E-9</v>
      </c>
      <c r="L220" s="233">
        <v>0</v>
      </c>
      <c r="M220" s="233">
        <v>5.6037026771343998E-8</v>
      </c>
      <c r="N220" s="233">
        <v>2.1329469993534701E-7</v>
      </c>
      <c r="O220" s="233">
        <v>2.6859177391131898E-11</v>
      </c>
      <c r="P220" s="233">
        <v>0</v>
      </c>
      <c r="Q220" s="234">
        <v>1.2807016190784299E-9</v>
      </c>
      <c r="R220" s="234">
        <v>5.1284752015170201E-8</v>
      </c>
      <c r="S220" s="234">
        <v>2.0896750956327E-8</v>
      </c>
      <c r="T220" s="234">
        <v>8.8003353048795103E-7</v>
      </c>
      <c r="U220" s="234">
        <v>0</v>
      </c>
      <c r="V220" s="234">
        <v>1.66374682264879E-7</v>
      </c>
      <c r="W220" s="234">
        <v>0</v>
      </c>
      <c r="X220" s="234">
        <v>1.15240108939526E-8</v>
      </c>
      <c r="Y220" s="234">
        <v>0</v>
      </c>
      <c r="Z220" s="234">
        <v>0</v>
      </c>
      <c r="AA220" s="234">
        <v>0</v>
      </c>
      <c r="AB220" s="234">
        <v>0</v>
      </c>
      <c r="AC220" s="234">
        <v>0</v>
      </c>
      <c r="AD220" s="234">
        <v>0</v>
      </c>
    </row>
    <row r="221" spans="1:30" ht="19" x14ac:dyDescent="0.25">
      <c r="A221" s="306" t="s">
        <v>397</v>
      </c>
      <c r="B221" s="306"/>
      <c r="C221" s="306"/>
    </row>
    <row r="222" spans="1:30" ht="16" x14ac:dyDescent="0.2">
      <c r="A222" s="235" t="s">
        <v>398</v>
      </c>
      <c r="B222" s="225" t="s">
        <v>36</v>
      </c>
      <c r="C222" s="176">
        <v>2020</v>
      </c>
    </row>
    <row r="223" spans="1:30" ht="16" x14ac:dyDescent="0.2">
      <c r="A223" s="218" t="s">
        <v>399</v>
      </c>
      <c r="B223" s="236" t="s">
        <v>327</v>
      </c>
      <c r="C223" s="208">
        <v>-0.3</v>
      </c>
    </row>
    <row r="225" spans="1:4" ht="14.25" customHeight="1" x14ac:dyDescent="0.25">
      <c r="A225" s="306" t="s">
        <v>400</v>
      </c>
      <c r="B225" s="306"/>
      <c r="C225" s="306"/>
    </row>
    <row r="226" spans="1:4" ht="28.5" customHeight="1" x14ac:dyDescent="0.2">
      <c r="A226" s="237" t="s">
        <v>401</v>
      </c>
      <c r="B226" s="225" t="s">
        <v>28</v>
      </c>
      <c r="C226" s="226">
        <v>1</v>
      </c>
    </row>
    <row r="227" spans="1:4" ht="14.25" customHeight="1" x14ac:dyDescent="0.2">
      <c r="A227" s="327" t="s">
        <v>403</v>
      </c>
      <c r="B227" s="225" t="s">
        <v>404</v>
      </c>
      <c r="C227" s="328">
        <v>1</v>
      </c>
    </row>
    <row r="228" spans="1:4" x14ac:dyDescent="0.2">
      <c r="A228" s="327"/>
      <c r="B228" s="225" t="s">
        <v>408</v>
      </c>
      <c r="C228" s="328"/>
    </row>
    <row r="229" spans="1:4" x14ac:dyDescent="0.2">
      <c r="A229" s="327"/>
      <c r="B229" s="225" t="s">
        <v>409</v>
      </c>
      <c r="C229" s="328"/>
    </row>
    <row r="230" spans="1:4" ht="16" x14ac:dyDescent="0.2">
      <c r="A230" s="237" t="s">
        <v>607</v>
      </c>
      <c r="B230" s="225" t="s">
        <v>608</v>
      </c>
      <c r="C230" s="176">
        <v>0.1</v>
      </c>
    </row>
    <row r="231" spans="1:4" ht="15" customHeight="1" x14ac:dyDescent="0.2">
      <c r="A231" s="327" t="s">
        <v>406</v>
      </c>
      <c r="B231" s="225" t="s">
        <v>404</v>
      </c>
      <c r="C231" s="328">
        <v>1</v>
      </c>
    </row>
    <row r="232" spans="1:4" x14ac:dyDescent="0.2">
      <c r="A232" s="327"/>
      <c r="B232" s="225" t="s">
        <v>408</v>
      </c>
      <c r="C232" s="328"/>
    </row>
    <row r="233" spans="1:4" x14ac:dyDescent="0.2">
      <c r="A233" s="327"/>
      <c r="B233" s="225" t="s">
        <v>409</v>
      </c>
      <c r="C233" s="328"/>
    </row>
    <row r="234" spans="1:4" ht="16" x14ac:dyDescent="0.2">
      <c r="A234" s="238" t="s">
        <v>413</v>
      </c>
      <c r="B234" s="236" t="s">
        <v>608</v>
      </c>
      <c r="C234" s="208">
        <v>0.1</v>
      </c>
    </row>
    <row r="237" spans="1:4" ht="26" x14ac:dyDescent="0.3">
      <c r="A237" s="173" t="s">
        <v>609</v>
      </c>
    </row>
    <row r="238" spans="1:4" ht="15.75" customHeight="1" x14ac:dyDescent="0.25">
      <c r="A238" s="306" t="s">
        <v>429</v>
      </c>
      <c r="B238" s="306"/>
      <c r="C238" s="306"/>
      <c r="D238" s="306"/>
    </row>
    <row r="239" spans="1:4" ht="15.75" customHeight="1" x14ac:dyDescent="0.2">
      <c r="A239" s="329" t="s">
        <v>430</v>
      </c>
      <c r="B239" s="329"/>
      <c r="C239" s="329"/>
      <c r="D239" s="329"/>
    </row>
    <row r="240" spans="1:4" ht="15" customHeight="1" x14ac:dyDescent="0.2">
      <c r="A240" s="330" t="s">
        <v>431</v>
      </c>
      <c r="B240" s="330"/>
      <c r="C240" s="330"/>
      <c r="D240" s="239">
        <v>2</v>
      </c>
    </row>
    <row r="241" spans="1:5" ht="16" x14ac:dyDescent="0.2">
      <c r="A241" s="240" t="s">
        <v>432</v>
      </c>
      <c r="B241" s="241"/>
      <c r="C241" s="241"/>
      <c r="D241" s="242"/>
    </row>
    <row r="242" spans="1:5" x14ac:dyDescent="0.2">
      <c r="A242" s="243" t="s">
        <v>433</v>
      </c>
      <c r="B242" s="244">
        <v>2050</v>
      </c>
      <c r="C242" s="331"/>
      <c r="D242" s="331"/>
      <c r="E242" s="331"/>
    </row>
    <row r="243" spans="1:5" ht="16" x14ac:dyDescent="0.2">
      <c r="A243" s="245" t="s">
        <v>435</v>
      </c>
      <c r="B243" s="246">
        <v>2020</v>
      </c>
      <c r="C243" s="175"/>
      <c r="D243" s="247" t="s">
        <v>437</v>
      </c>
      <c r="E243" s="248" t="s">
        <v>438</v>
      </c>
    </row>
    <row r="244" spans="1:5" ht="13.5" customHeight="1" x14ac:dyDescent="0.2">
      <c r="A244" s="332" t="s">
        <v>439</v>
      </c>
      <c r="B244" s="249" t="s">
        <v>440</v>
      </c>
      <c r="C244" s="225" t="s">
        <v>610</v>
      </c>
      <c r="D244" s="213">
        <v>0.20166666666666699</v>
      </c>
      <c r="E244" s="193">
        <v>0.60499999999999998</v>
      </c>
    </row>
    <row r="245" spans="1:5" x14ac:dyDescent="0.2">
      <c r="A245" s="332"/>
      <c r="B245" s="249" t="s">
        <v>443</v>
      </c>
      <c r="C245" s="225" t="s">
        <v>610</v>
      </c>
      <c r="D245" s="213">
        <v>0.05</v>
      </c>
      <c r="E245" s="193">
        <v>0.15</v>
      </c>
    </row>
    <row r="246" spans="1:5" x14ac:dyDescent="0.2">
      <c r="A246" s="332"/>
      <c r="B246" s="249" t="s">
        <v>444</v>
      </c>
      <c r="C246" s="225" t="s">
        <v>610</v>
      </c>
      <c r="D246" s="213">
        <v>0.19666666666666699</v>
      </c>
      <c r="E246" s="193">
        <v>0.59</v>
      </c>
    </row>
    <row r="247" spans="1:5" x14ac:dyDescent="0.2">
      <c r="A247" s="332"/>
      <c r="B247" s="249" t="s">
        <v>445</v>
      </c>
      <c r="C247" s="225" t="s">
        <v>610</v>
      </c>
      <c r="D247" s="213">
        <v>0.163333333333333</v>
      </c>
      <c r="E247" s="193">
        <v>0.49</v>
      </c>
    </row>
    <row r="248" spans="1:5" x14ac:dyDescent="0.2">
      <c r="A248" s="332"/>
      <c r="B248" s="249" t="s">
        <v>446</v>
      </c>
      <c r="C248" s="225" t="s">
        <v>610</v>
      </c>
      <c r="D248" s="213">
        <v>1.66666666666667E-3</v>
      </c>
      <c r="E248" s="193">
        <v>5.0000000000000001E-3</v>
      </c>
    </row>
    <row r="249" spans="1:5" x14ac:dyDescent="0.2">
      <c r="A249" s="332"/>
      <c r="B249" s="249" t="s">
        <v>447</v>
      </c>
      <c r="C249" s="225" t="s">
        <v>610</v>
      </c>
      <c r="D249" s="213">
        <v>6.3333333333333297E-2</v>
      </c>
      <c r="E249" s="193">
        <v>0.19</v>
      </c>
    </row>
    <row r="250" spans="1:5" x14ac:dyDescent="0.2">
      <c r="A250" s="332"/>
      <c r="B250" s="249" t="s">
        <v>448</v>
      </c>
      <c r="C250" s="225" t="s">
        <v>610</v>
      </c>
      <c r="D250" s="213">
        <v>0.25333333333333302</v>
      </c>
      <c r="E250" s="193">
        <v>0.76</v>
      </c>
    </row>
    <row r="251" spans="1:5" x14ac:dyDescent="0.2">
      <c r="A251" s="332"/>
      <c r="B251" s="249" t="s">
        <v>449</v>
      </c>
      <c r="C251" s="225" t="s">
        <v>610</v>
      </c>
      <c r="D251" s="213">
        <v>1.66666666666667E-3</v>
      </c>
      <c r="E251" s="193">
        <v>5.0000000000000001E-3</v>
      </c>
    </row>
    <row r="252" spans="1:5" x14ac:dyDescent="0.2">
      <c r="A252" s="332"/>
      <c r="B252" s="249" t="s">
        <v>450</v>
      </c>
      <c r="C252" s="225" t="s">
        <v>610</v>
      </c>
      <c r="D252" s="213">
        <v>0.13</v>
      </c>
      <c r="E252" s="193">
        <v>0.39</v>
      </c>
    </row>
    <row r="253" spans="1:5" x14ac:dyDescent="0.2">
      <c r="A253" s="332"/>
      <c r="B253" s="249" t="s">
        <v>451</v>
      </c>
      <c r="C253" s="225" t="s">
        <v>610</v>
      </c>
      <c r="D253" s="213">
        <v>0.176666666666667</v>
      </c>
      <c r="E253" s="193">
        <v>0.53</v>
      </c>
    </row>
    <row r="254" spans="1:5" x14ac:dyDescent="0.2">
      <c r="A254" s="332"/>
      <c r="B254" s="249" t="s">
        <v>452</v>
      </c>
      <c r="C254" s="225" t="s">
        <v>610</v>
      </c>
      <c r="D254" s="213">
        <v>0.116666666666667</v>
      </c>
      <c r="E254" s="193">
        <v>0.35</v>
      </c>
    </row>
    <row r="255" spans="1:5" x14ac:dyDescent="0.2">
      <c r="A255" s="332"/>
      <c r="B255" s="249" t="s">
        <v>453</v>
      </c>
      <c r="C255" s="225" t="s">
        <v>610</v>
      </c>
      <c r="D255" s="213">
        <v>0.18833333333333299</v>
      </c>
      <c r="E255" s="193">
        <v>0.56499999999999995</v>
      </c>
    </row>
    <row r="256" spans="1:5" x14ac:dyDescent="0.2">
      <c r="A256" s="332"/>
      <c r="B256" s="249" t="s">
        <v>454</v>
      </c>
      <c r="C256" s="225" t="s">
        <v>610</v>
      </c>
      <c r="D256" s="213">
        <v>0.245</v>
      </c>
      <c r="E256" s="193">
        <v>0.73499999999999999</v>
      </c>
    </row>
    <row r="257" spans="1:10" x14ac:dyDescent="0.2">
      <c r="A257" s="332"/>
      <c r="B257" s="249" t="s">
        <v>455</v>
      </c>
      <c r="C257" s="225" t="s">
        <v>610</v>
      </c>
      <c r="D257" s="213">
        <v>0.19166666666666701</v>
      </c>
      <c r="E257" s="193">
        <v>0.57499999999999996</v>
      </c>
    </row>
    <row r="258" spans="1:10" x14ac:dyDescent="0.2">
      <c r="A258" s="332"/>
      <c r="B258" s="249" t="s">
        <v>456</v>
      </c>
      <c r="C258" s="225" t="s">
        <v>610</v>
      </c>
      <c r="D258" s="213">
        <v>0.101666666666667</v>
      </c>
      <c r="E258" s="193">
        <v>0.30499999999999999</v>
      </c>
    </row>
    <row r="259" spans="1:10" x14ac:dyDescent="0.2">
      <c r="A259" s="332"/>
      <c r="B259" s="249" t="s">
        <v>457</v>
      </c>
      <c r="C259" s="225" t="s">
        <v>610</v>
      </c>
      <c r="D259" s="213">
        <v>1.66666666666667E-3</v>
      </c>
      <c r="E259" s="193">
        <v>5.0000000000000001E-3</v>
      </c>
    </row>
    <row r="260" spans="1:10" x14ac:dyDescent="0.2">
      <c r="A260" s="332"/>
      <c r="B260" s="249" t="s">
        <v>458</v>
      </c>
      <c r="C260" s="225" t="s">
        <v>610</v>
      </c>
      <c r="D260" s="213">
        <v>0.30333333333333301</v>
      </c>
      <c r="E260" s="193">
        <v>0.91</v>
      </c>
    </row>
    <row r="261" spans="1:10" x14ac:dyDescent="0.2">
      <c r="A261" s="332"/>
      <c r="B261" s="249" t="s">
        <v>459</v>
      </c>
      <c r="C261" s="225" t="s">
        <v>610</v>
      </c>
      <c r="D261" s="213">
        <v>1.66666666666667E-3</v>
      </c>
      <c r="E261" s="193">
        <v>5.0000000000000001E-3</v>
      </c>
    </row>
    <row r="262" spans="1:10" x14ac:dyDescent="0.2">
      <c r="A262" s="332"/>
      <c r="B262" s="214" t="s">
        <v>460</v>
      </c>
      <c r="C262" s="236" t="s">
        <v>610</v>
      </c>
      <c r="D262" s="178">
        <v>0.18333333333333299</v>
      </c>
      <c r="E262" s="179">
        <v>0.55000000000000004</v>
      </c>
    </row>
    <row r="263" spans="1:10" ht="15" customHeight="1" x14ac:dyDescent="0.2">
      <c r="A263" s="333" t="s">
        <v>461</v>
      </c>
      <c r="B263" s="333"/>
      <c r="C263" s="333"/>
    </row>
    <row r="264" spans="1:10" ht="32" x14ac:dyDescent="0.2">
      <c r="A264" s="237" t="s">
        <v>611</v>
      </c>
      <c r="B264" s="225" t="s">
        <v>612</v>
      </c>
      <c r="C264" s="250">
        <v>1.4E-2</v>
      </c>
    </row>
    <row r="265" spans="1:10" ht="16" x14ac:dyDescent="0.2">
      <c r="A265" s="237" t="s">
        <v>613</v>
      </c>
      <c r="B265" s="225" t="s">
        <v>423</v>
      </c>
      <c r="C265" s="176">
        <v>2020</v>
      </c>
    </row>
    <row r="266" spans="1:10" ht="16" x14ac:dyDescent="0.2">
      <c r="A266" s="237" t="s">
        <v>614</v>
      </c>
      <c r="B266" s="225" t="s">
        <v>612</v>
      </c>
      <c r="C266" s="250">
        <v>1.4E-2</v>
      </c>
    </row>
    <row r="267" spans="1:10" ht="16" x14ac:dyDescent="0.2">
      <c r="A267" s="238" t="s">
        <v>615</v>
      </c>
      <c r="B267" s="236" t="s">
        <v>423</v>
      </c>
      <c r="C267" s="208">
        <v>2020</v>
      </c>
    </row>
    <row r="269" spans="1:10" ht="19" x14ac:dyDescent="0.25">
      <c r="A269" s="306" t="s">
        <v>232</v>
      </c>
      <c r="B269" s="306"/>
      <c r="C269" s="306"/>
    </row>
    <row r="270" spans="1:10" x14ac:dyDescent="0.2">
      <c r="A270" s="334" t="s">
        <v>233</v>
      </c>
      <c r="B270" s="334"/>
      <c r="C270" s="334"/>
      <c r="H270" s="58"/>
      <c r="J270" s="61"/>
    </row>
    <row r="271" spans="1:10" ht="16" x14ac:dyDescent="0.2">
      <c r="A271" s="237" t="s">
        <v>234</v>
      </c>
      <c r="B271" s="175" t="s">
        <v>28</v>
      </c>
      <c r="C271" s="251">
        <v>1</v>
      </c>
      <c r="H271" s="58"/>
      <c r="J271" s="61"/>
    </row>
    <row r="272" spans="1:10" x14ac:dyDescent="0.2">
      <c r="A272" s="334" t="s">
        <v>616</v>
      </c>
      <c r="B272" s="334"/>
      <c r="C272" s="334"/>
      <c r="H272" s="58"/>
      <c r="J272" s="61"/>
    </row>
    <row r="273" spans="1:10" ht="15" customHeight="1" x14ac:dyDescent="0.2">
      <c r="A273" s="332" t="s">
        <v>617</v>
      </c>
      <c r="B273" s="225" t="s">
        <v>618</v>
      </c>
      <c r="C273" s="335">
        <v>4</v>
      </c>
      <c r="H273" s="58"/>
      <c r="J273" s="61"/>
    </row>
    <row r="274" spans="1:10" x14ac:dyDescent="0.2">
      <c r="A274" s="332"/>
      <c r="B274" s="225" t="s">
        <v>619</v>
      </c>
      <c r="C274" s="335"/>
      <c r="H274" s="58"/>
      <c r="J274" s="61"/>
    </row>
    <row r="275" spans="1:10" x14ac:dyDescent="0.2">
      <c r="A275" s="332"/>
      <c r="B275" s="225" t="s">
        <v>620</v>
      </c>
      <c r="C275" s="335"/>
      <c r="H275" s="58"/>
      <c r="J275" s="61"/>
    </row>
    <row r="276" spans="1:10" x14ac:dyDescent="0.2">
      <c r="A276" s="332"/>
      <c r="B276" s="236" t="s">
        <v>621</v>
      </c>
      <c r="C276" s="335"/>
      <c r="H276" s="58"/>
      <c r="J276" s="61"/>
    </row>
    <row r="277" spans="1:10" x14ac:dyDescent="0.2">
      <c r="H277" s="58"/>
      <c r="J277" s="61"/>
    </row>
    <row r="278" spans="1:10" x14ac:dyDescent="0.2">
      <c r="A278" s="252" t="s">
        <v>164</v>
      </c>
      <c r="B278" s="253"/>
      <c r="H278" s="58"/>
      <c r="J278" s="61"/>
    </row>
    <row r="279" spans="1:10" x14ac:dyDescent="0.2">
      <c r="A279" s="254" t="s">
        <v>165</v>
      </c>
      <c r="B279" s="255">
        <v>1</v>
      </c>
      <c r="H279" s="58"/>
      <c r="J279" s="61"/>
    </row>
    <row r="280" spans="1:10" x14ac:dyDescent="0.2">
      <c r="H280" s="58"/>
      <c r="J280" s="61"/>
    </row>
    <row r="281" spans="1:10" ht="19" x14ac:dyDescent="0.25">
      <c r="A281" s="306" t="s">
        <v>622</v>
      </c>
      <c r="B281" s="306"/>
      <c r="C281" s="306"/>
      <c r="D281" s="306"/>
      <c r="E281" s="306"/>
      <c r="F281" s="306"/>
      <c r="G281" s="306"/>
      <c r="H281" s="306"/>
      <c r="I281" s="306"/>
      <c r="J281" s="61"/>
    </row>
    <row r="282" spans="1:10" x14ac:dyDescent="0.2">
      <c r="A282" s="256" t="s">
        <v>623</v>
      </c>
      <c r="B282" s="174" t="s">
        <v>36</v>
      </c>
      <c r="C282" s="175">
        <v>2020</v>
      </c>
      <c r="D282" s="175">
        <v>2025</v>
      </c>
      <c r="E282" s="175">
        <v>2030</v>
      </c>
      <c r="F282" s="175">
        <v>2035</v>
      </c>
      <c r="G282" s="175">
        <v>2040</v>
      </c>
      <c r="H282" s="175">
        <v>2045</v>
      </c>
      <c r="I282" s="176">
        <v>2050</v>
      </c>
      <c r="J282" s="61"/>
    </row>
    <row r="283" spans="1:10" x14ac:dyDescent="0.2">
      <c r="A283" s="256" t="s">
        <v>576</v>
      </c>
      <c r="B283" s="174" t="s">
        <v>499</v>
      </c>
      <c r="C283" s="175">
        <v>0</v>
      </c>
      <c r="D283" s="175">
        <v>0</v>
      </c>
      <c r="E283" s="175">
        <v>0</v>
      </c>
      <c r="F283" s="175">
        <v>0</v>
      </c>
      <c r="G283" s="175">
        <v>0</v>
      </c>
      <c r="H283" s="175">
        <v>0</v>
      </c>
      <c r="I283" s="176">
        <v>0</v>
      </c>
      <c r="J283" s="61"/>
    </row>
    <row r="284" spans="1:10" x14ac:dyDescent="0.2">
      <c r="A284" s="256" t="s">
        <v>579</v>
      </c>
      <c r="B284" s="174" t="s">
        <v>499</v>
      </c>
      <c r="C284" s="175">
        <v>0</v>
      </c>
      <c r="D284" s="175">
        <v>0</v>
      </c>
      <c r="E284" s="175">
        <v>0</v>
      </c>
      <c r="F284" s="175">
        <v>0</v>
      </c>
      <c r="G284" s="175">
        <v>0</v>
      </c>
      <c r="H284" s="175">
        <v>0</v>
      </c>
      <c r="I284" s="176">
        <v>0</v>
      </c>
      <c r="J284" s="61"/>
    </row>
    <row r="285" spans="1:10" x14ac:dyDescent="0.2">
      <c r="A285" s="256" t="s">
        <v>362</v>
      </c>
      <c r="B285" s="174" t="s">
        <v>499</v>
      </c>
      <c r="C285" s="175">
        <v>0</v>
      </c>
      <c r="D285" s="175">
        <v>0</v>
      </c>
      <c r="E285" s="175">
        <v>0</v>
      </c>
      <c r="F285" s="175">
        <v>0</v>
      </c>
      <c r="G285" s="175">
        <v>0</v>
      </c>
      <c r="H285" s="175">
        <v>0</v>
      </c>
      <c r="I285" s="176">
        <v>0</v>
      </c>
      <c r="J285" s="61"/>
    </row>
    <row r="286" spans="1:10" x14ac:dyDescent="0.2">
      <c r="A286" s="256" t="s">
        <v>580</v>
      </c>
      <c r="B286" s="174" t="s">
        <v>499</v>
      </c>
      <c r="C286" s="175">
        <v>0</v>
      </c>
      <c r="D286" s="175">
        <v>0</v>
      </c>
      <c r="E286" s="175">
        <v>0</v>
      </c>
      <c r="F286" s="175">
        <v>0</v>
      </c>
      <c r="G286" s="175">
        <v>0</v>
      </c>
      <c r="H286" s="175">
        <v>0</v>
      </c>
      <c r="I286" s="176">
        <v>0</v>
      </c>
      <c r="J286" s="61"/>
    </row>
    <row r="287" spans="1:10" x14ac:dyDescent="0.2">
      <c r="A287" s="256" t="s">
        <v>581</v>
      </c>
      <c r="B287" s="174" t="s">
        <v>499</v>
      </c>
      <c r="C287" s="175">
        <v>0</v>
      </c>
      <c r="D287" s="175">
        <v>0</v>
      </c>
      <c r="E287" s="175">
        <v>0</v>
      </c>
      <c r="F287" s="175">
        <v>0</v>
      </c>
      <c r="G287" s="175">
        <v>0</v>
      </c>
      <c r="H287" s="175">
        <v>0</v>
      </c>
      <c r="I287" s="176">
        <v>0</v>
      </c>
      <c r="J287" s="61"/>
    </row>
    <row r="288" spans="1:10" x14ac:dyDescent="0.2">
      <c r="A288" s="256" t="s">
        <v>582</v>
      </c>
      <c r="B288" s="174" t="s">
        <v>499</v>
      </c>
      <c r="C288" s="175">
        <v>0</v>
      </c>
      <c r="D288" s="175">
        <v>0</v>
      </c>
      <c r="E288" s="175">
        <v>0</v>
      </c>
      <c r="F288" s="175">
        <v>0</v>
      </c>
      <c r="G288" s="175">
        <v>0</v>
      </c>
      <c r="H288" s="175">
        <v>0</v>
      </c>
      <c r="I288" s="176">
        <v>0</v>
      </c>
      <c r="J288" s="61"/>
    </row>
    <row r="289" spans="1:10" x14ac:dyDescent="0.2">
      <c r="A289" s="256" t="s">
        <v>583</v>
      </c>
      <c r="B289" s="174" t="s">
        <v>499</v>
      </c>
      <c r="C289" s="175">
        <v>0</v>
      </c>
      <c r="D289" s="175">
        <v>0</v>
      </c>
      <c r="E289" s="175">
        <v>0</v>
      </c>
      <c r="F289" s="175">
        <v>0</v>
      </c>
      <c r="G289" s="175">
        <v>0</v>
      </c>
      <c r="H289" s="175">
        <v>0</v>
      </c>
      <c r="I289" s="176">
        <v>0</v>
      </c>
      <c r="J289" s="61"/>
    </row>
    <row r="290" spans="1:10" x14ac:dyDescent="0.2">
      <c r="A290" s="256" t="s">
        <v>354</v>
      </c>
      <c r="B290" s="174" t="s">
        <v>499</v>
      </c>
      <c r="C290" s="175">
        <v>0</v>
      </c>
      <c r="D290" s="175">
        <v>0</v>
      </c>
      <c r="E290" s="175">
        <v>0</v>
      </c>
      <c r="F290" s="175">
        <v>0</v>
      </c>
      <c r="G290" s="175">
        <v>0</v>
      </c>
      <c r="H290" s="175">
        <v>0</v>
      </c>
      <c r="I290" s="176">
        <v>0</v>
      </c>
      <c r="J290" s="61"/>
    </row>
    <row r="291" spans="1:10" x14ac:dyDescent="0.2">
      <c r="A291" s="256" t="s">
        <v>584</v>
      </c>
      <c r="B291" s="174" t="s">
        <v>499</v>
      </c>
      <c r="C291" s="175">
        <v>0</v>
      </c>
      <c r="D291" s="175">
        <v>0</v>
      </c>
      <c r="E291" s="175">
        <v>0</v>
      </c>
      <c r="F291" s="175">
        <v>0</v>
      </c>
      <c r="G291" s="175">
        <v>0</v>
      </c>
      <c r="H291" s="175">
        <v>0</v>
      </c>
      <c r="I291" s="176">
        <v>0</v>
      </c>
      <c r="J291" s="61"/>
    </row>
    <row r="292" spans="1:10" x14ac:dyDescent="0.2">
      <c r="A292" s="256" t="s">
        <v>585</v>
      </c>
      <c r="B292" s="174" t="s">
        <v>499</v>
      </c>
      <c r="C292" s="175">
        <v>0</v>
      </c>
      <c r="D292" s="175">
        <v>0</v>
      </c>
      <c r="E292" s="175">
        <v>0</v>
      </c>
      <c r="F292" s="175">
        <v>0</v>
      </c>
      <c r="G292" s="175">
        <v>0</v>
      </c>
      <c r="H292" s="175">
        <v>0</v>
      </c>
      <c r="I292" s="176">
        <v>0</v>
      </c>
      <c r="J292" s="61"/>
    </row>
    <row r="293" spans="1:10" x14ac:dyDescent="0.2">
      <c r="A293" s="256" t="s">
        <v>586</v>
      </c>
      <c r="B293" s="174" t="s">
        <v>499</v>
      </c>
      <c r="C293" s="175">
        <v>0</v>
      </c>
      <c r="D293" s="175">
        <v>0</v>
      </c>
      <c r="E293" s="175">
        <v>0</v>
      </c>
      <c r="F293" s="175">
        <v>0</v>
      </c>
      <c r="G293" s="175">
        <v>0</v>
      </c>
      <c r="H293" s="175">
        <v>0</v>
      </c>
      <c r="I293" s="176">
        <v>0</v>
      </c>
      <c r="J293" s="61"/>
    </row>
    <row r="294" spans="1:10" x14ac:dyDescent="0.2">
      <c r="A294" s="256" t="s">
        <v>587</v>
      </c>
      <c r="B294" s="174" t="s">
        <v>499</v>
      </c>
      <c r="C294" s="175">
        <v>0</v>
      </c>
      <c r="D294" s="175">
        <v>0</v>
      </c>
      <c r="E294" s="175">
        <v>0</v>
      </c>
      <c r="F294" s="175">
        <v>0</v>
      </c>
      <c r="G294" s="175">
        <v>0</v>
      </c>
      <c r="H294" s="175">
        <v>0</v>
      </c>
      <c r="I294" s="176">
        <v>0</v>
      </c>
      <c r="J294" s="61"/>
    </row>
    <row r="295" spans="1:10" x14ac:dyDescent="0.2">
      <c r="A295" s="256" t="s">
        <v>588</v>
      </c>
      <c r="B295" s="174" t="s">
        <v>499</v>
      </c>
      <c r="C295" s="175">
        <v>0</v>
      </c>
      <c r="D295" s="175">
        <v>0</v>
      </c>
      <c r="E295" s="175">
        <v>0</v>
      </c>
      <c r="F295" s="175">
        <v>0</v>
      </c>
      <c r="G295" s="175">
        <v>0</v>
      </c>
      <c r="H295" s="175">
        <v>0</v>
      </c>
      <c r="I295" s="176">
        <v>0</v>
      </c>
      <c r="J295" s="61"/>
    </row>
    <row r="296" spans="1:10" x14ac:dyDescent="0.2">
      <c r="A296" s="256" t="s">
        <v>589</v>
      </c>
      <c r="B296" s="174" t="s">
        <v>499</v>
      </c>
      <c r="C296" s="175">
        <v>0</v>
      </c>
      <c r="D296" s="175">
        <v>0</v>
      </c>
      <c r="E296" s="175">
        <v>0</v>
      </c>
      <c r="F296" s="175">
        <v>0</v>
      </c>
      <c r="G296" s="175">
        <v>0</v>
      </c>
      <c r="H296" s="175">
        <v>0</v>
      </c>
      <c r="I296" s="176">
        <v>0</v>
      </c>
      <c r="J296" s="61"/>
    </row>
    <row r="297" spans="1:10" x14ac:dyDescent="0.2">
      <c r="A297" s="256" t="s">
        <v>590</v>
      </c>
      <c r="B297" s="174" t="s">
        <v>499</v>
      </c>
      <c r="C297" s="175">
        <v>0</v>
      </c>
      <c r="D297" s="175">
        <v>0</v>
      </c>
      <c r="E297" s="175">
        <v>0</v>
      </c>
      <c r="F297" s="175">
        <v>0</v>
      </c>
      <c r="G297" s="175">
        <v>0</v>
      </c>
      <c r="H297" s="175">
        <v>0</v>
      </c>
      <c r="I297" s="176">
        <v>0</v>
      </c>
      <c r="J297" s="61"/>
    </row>
    <row r="298" spans="1:10" x14ac:dyDescent="0.2">
      <c r="A298" s="256" t="s">
        <v>338</v>
      </c>
      <c r="B298" s="174" t="s">
        <v>499</v>
      </c>
      <c r="C298" s="175">
        <v>0</v>
      </c>
      <c r="D298" s="175">
        <v>0</v>
      </c>
      <c r="E298" s="175">
        <v>0</v>
      </c>
      <c r="F298" s="175">
        <v>0</v>
      </c>
      <c r="G298" s="175">
        <v>0</v>
      </c>
      <c r="H298" s="175">
        <v>0</v>
      </c>
      <c r="I298" s="176">
        <v>0</v>
      </c>
      <c r="J298" s="61"/>
    </row>
    <row r="299" spans="1:10" x14ac:dyDescent="0.2">
      <c r="A299" s="256" t="s">
        <v>591</v>
      </c>
      <c r="B299" s="174" t="s">
        <v>499</v>
      </c>
      <c r="C299" s="175">
        <v>0</v>
      </c>
      <c r="D299" s="175">
        <v>0</v>
      </c>
      <c r="E299" s="175">
        <v>0</v>
      </c>
      <c r="F299" s="175">
        <v>0</v>
      </c>
      <c r="G299" s="175">
        <v>0</v>
      </c>
      <c r="H299" s="175">
        <v>0</v>
      </c>
      <c r="I299" s="176">
        <v>0</v>
      </c>
      <c r="J299" s="61"/>
    </row>
    <row r="300" spans="1:10" x14ac:dyDescent="0.2">
      <c r="A300" s="256" t="s">
        <v>592</v>
      </c>
      <c r="B300" s="174" t="s">
        <v>499</v>
      </c>
      <c r="C300" s="175">
        <v>0</v>
      </c>
      <c r="D300" s="175">
        <f>$C300+(($G300-$C300)/20)*(D282-2020)</f>
        <v>1.2493511762363026E-3</v>
      </c>
      <c r="E300" s="175">
        <f>$C300+(($G300-$C300)/20)*(E282-2020)</f>
        <v>2.4987023524726051E-3</v>
      </c>
      <c r="F300" s="175">
        <f>$C300+(($G300-$C300)/20)*(F282-2020)</f>
        <v>3.7480535287089073E-3</v>
      </c>
      <c r="G300" s="175">
        <v>4.9974047049452103E-3</v>
      </c>
      <c r="H300" s="175">
        <f>G300+(I300-G300)/2</f>
        <v>5.3226795673972649E-3</v>
      </c>
      <c r="I300" s="176">
        <v>5.6479544298493204E-3</v>
      </c>
      <c r="J300" s="61"/>
    </row>
    <row r="301" spans="1:10" x14ac:dyDescent="0.2">
      <c r="A301" s="256" t="s">
        <v>593</v>
      </c>
      <c r="B301" s="174" t="s">
        <v>499</v>
      </c>
      <c r="C301" s="175">
        <v>0</v>
      </c>
      <c r="D301" s="175">
        <v>0</v>
      </c>
      <c r="E301" s="175">
        <v>0</v>
      </c>
      <c r="F301" s="175">
        <v>0</v>
      </c>
      <c r="G301" s="175">
        <v>0</v>
      </c>
      <c r="H301" s="175">
        <v>0</v>
      </c>
      <c r="I301" s="176">
        <v>0</v>
      </c>
      <c r="J301" s="61"/>
    </row>
    <row r="302" spans="1:10" x14ac:dyDescent="0.2">
      <c r="A302" s="256" t="s">
        <v>594</v>
      </c>
      <c r="B302" s="174" t="s">
        <v>499</v>
      </c>
      <c r="C302" s="175">
        <v>0</v>
      </c>
      <c r="D302" s="175">
        <v>0</v>
      </c>
      <c r="E302" s="175">
        <v>0</v>
      </c>
      <c r="F302" s="175">
        <v>0</v>
      </c>
      <c r="G302" s="175">
        <v>0</v>
      </c>
      <c r="H302" s="175">
        <v>0</v>
      </c>
      <c r="I302" s="176">
        <v>0</v>
      </c>
      <c r="J302" s="61"/>
    </row>
    <row r="303" spans="1:10" x14ac:dyDescent="0.2">
      <c r="A303" s="256" t="s">
        <v>595</v>
      </c>
      <c r="B303" s="174" t="s">
        <v>499</v>
      </c>
      <c r="C303" s="175">
        <v>0</v>
      </c>
      <c r="D303" s="175">
        <v>3.14925207737671E-3</v>
      </c>
      <c r="E303" s="175">
        <v>6.2985041547534296E-3</v>
      </c>
      <c r="F303" s="175">
        <v>9.4477562321301396E-3</v>
      </c>
      <c r="G303" s="175">
        <v>1.2597008309506901E-2</v>
      </c>
      <c r="H303" s="175">
        <v>1.4548657484219201E-2</v>
      </c>
      <c r="I303" s="176">
        <v>1.6500306658931499E-2</v>
      </c>
      <c r="J303" s="61"/>
    </row>
    <row r="304" spans="1:10" x14ac:dyDescent="0.2">
      <c r="A304" s="256" t="s">
        <v>596</v>
      </c>
      <c r="B304" s="174" t="s">
        <v>499</v>
      </c>
      <c r="C304" s="175">
        <v>0</v>
      </c>
      <c r="D304" s="175">
        <v>3.9365650967208902E-4</v>
      </c>
      <c r="E304" s="175">
        <v>7.8731301934417805E-4</v>
      </c>
      <c r="F304" s="175">
        <v>1.1809695290162701E-3</v>
      </c>
      <c r="G304" s="175">
        <v>1.57462603868836E-3</v>
      </c>
      <c r="H304" s="175">
        <v>1.8185821855274001E-3</v>
      </c>
      <c r="I304" s="176">
        <v>2.06253833236644E-3</v>
      </c>
      <c r="J304" s="61"/>
    </row>
    <row r="305" spans="1:10" x14ac:dyDescent="0.2">
      <c r="A305" s="256" t="s">
        <v>597</v>
      </c>
      <c r="B305" s="174" t="s">
        <v>499</v>
      </c>
      <c r="C305" s="175">
        <v>0</v>
      </c>
      <c r="D305" s="175">
        <v>3.9365650967208902E-4</v>
      </c>
      <c r="E305" s="175">
        <v>7.8731301934417805E-4</v>
      </c>
      <c r="F305" s="175">
        <v>1.1809695290162701E-3</v>
      </c>
      <c r="G305" s="175">
        <v>1.57462603868836E-3</v>
      </c>
      <c r="H305" s="175">
        <v>1.8185821855274001E-3</v>
      </c>
      <c r="I305" s="176">
        <v>2.06253833236644E-3</v>
      </c>
      <c r="J305" s="61"/>
    </row>
    <row r="306" spans="1:10" x14ac:dyDescent="0.2">
      <c r="A306" s="256" t="s">
        <v>598</v>
      </c>
      <c r="B306" s="174" t="s">
        <v>499</v>
      </c>
      <c r="C306" s="175">
        <v>0</v>
      </c>
      <c r="D306" s="175">
        <v>0</v>
      </c>
      <c r="E306" s="175">
        <v>0</v>
      </c>
      <c r="F306" s="175">
        <f>$C306+(($G306-$C306)/20)*(F303-2020)</f>
        <v>0</v>
      </c>
      <c r="G306" s="175">
        <v>0</v>
      </c>
      <c r="H306" s="175">
        <v>0</v>
      </c>
      <c r="I306" s="176">
        <v>0</v>
      </c>
      <c r="J306" s="61"/>
    </row>
    <row r="307" spans="1:10" x14ac:dyDescent="0.2">
      <c r="A307" s="256" t="s">
        <v>599</v>
      </c>
      <c r="B307" s="174" t="s">
        <v>499</v>
      </c>
      <c r="C307" s="175">
        <v>0</v>
      </c>
      <c r="D307" s="175">
        <v>0</v>
      </c>
      <c r="E307" s="175">
        <v>0</v>
      </c>
      <c r="F307" s="175">
        <v>0</v>
      </c>
      <c r="G307" s="175">
        <v>0</v>
      </c>
      <c r="H307" s="175">
        <v>0</v>
      </c>
      <c r="I307" s="176">
        <v>0</v>
      </c>
      <c r="J307" s="61"/>
    </row>
    <row r="308" spans="1:10" x14ac:dyDescent="0.2">
      <c r="A308" s="256" t="s">
        <v>351</v>
      </c>
      <c r="B308" s="174" t="s">
        <v>499</v>
      </c>
      <c r="C308" s="175">
        <v>0</v>
      </c>
      <c r="D308" s="175">
        <v>0</v>
      </c>
      <c r="E308" s="175">
        <v>0</v>
      </c>
      <c r="F308" s="175">
        <v>0</v>
      </c>
      <c r="G308" s="175">
        <v>0</v>
      </c>
      <c r="H308" s="175">
        <v>0</v>
      </c>
      <c r="I308" s="176">
        <v>0</v>
      </c>
      <c r="J308" s="61"/>
    </row>
    <row r="309" spans="1:10" x14ac:dyDescent="0.2">
      <c r="A309" s="256" t="s">
        <v>361</v>
      </c>
      <c r="B309" s="174" t="s">
        <v>499</v>
      </c>
      <c r="C309" s="175">
        <v>0</v>
      </c>
      <c r="D309" s="175">
        <v>0</v>
      </c>
      <c r="E309" s="175">
        <v>0</v>
      </c>
      <c r="F309" s="175">
        <v>0</v>
      </c>
      <c r="G309" s="175">
        <v>0</v>
      </c>
      <c r="H309" s="175">
        <v>0</v>
      </c>
      <c r="I309" s="176">
        <v>0</v>
      </c>
      <c r="J309" s="61"/>
    </row>
    <row r="310" spans="1:10" x14ac:dyDescent="0.2">
      <c r="A310" s="256" t="s">
        <v>600</v>
      </c>
      <c r="B310" s="174" t="s">
        <v>499</v>
      </c>
      <c r="C310" s="175">
        <v>0</v>
      </c>
      <c r="D310" s="175">
        <v>0</v>
      </c>
      <c r="E310" s="175">
        <v>0</v>
      </c>
      <c r="F310" s="175">
        <v>0</v>
      </c>
      <c r="G310" s="175">
        <v>0</v>
      </c>
      <c r="H310" s="175">
        <v>0</v>
      </c>
      <c r="I310" s="176">
        <v>0</v>
      </c>
      <c r="J310" s="61"/>
    </row>
    <row r="311" spans="1:10" x14ac:dyDescent="0.2">
      <c r="A311" s="257" t="s">
        <v>624</v>
      </c>
      <c r="B311" s="258"/>
      <c r="C311" s="258"/>
      <c r="D311" s="258"/>
      <c r="E311" s="258"/>
      <c r="F311" s="258"/>
      <c r="G311" s="258"/>
      <c r="H311" s="259"/>
      <c r="I311" s="258"/>
      <c r="J311" s="61"/>
    </row>
    <row r="312" spans="1:10" x14ac:dyDescent="0.2">
      <c r="A312" s="256" t="s">
        <v>576</v>
      </c>
      <c r="B312" s="174" t="s">
        <v>28</v>
      </c>
      <c r="C312" s="175">
        <v>0.189349112426035</v>
      </c>
      <c r="D312" s="175">
        <v>0.189349112426035</v>
      </c>
      <c r="E312" s="175">
        <v>0.189349112426035</v>
      </c>
      <c r="F312" s="175">
        <v>0.189349112426035</v>
      </c>
      <c r="G312" s="175">
        <v>0.189349112426035</v>
      </c>
      <c r="H312" s="175">
        <f t="shared" ref="H312:H339" si="2">G312+(I312-G312)/2</f>
        <v>0.23865361380464051</v>
      </c>
      <c r="I312" s="175">
        <v>0.28795811518324599</v>
      </c>
      <c r="J312" s="61"/>
    </row>
    <row r="313" spans="1:10" x14ac:dyDescent="0.2">
      <c r="A313" s="256" t="s">
        <v>579</v>
      </c>
      <c r="B313" s="174" t="s">
        <v>28</v>
      </c>
      <c r="C313" s="175">
        <v>0.189349112426035</v>
      </c>
      <c r="D313" s="175">
        <v>0.189349112426035</v>
      </c>
      <c r="E313" s="175">
        <v>0.189349112426035</v>
      </c>
      <c r="F313" s="175">
        <v>0.189349112426035</v>
      </c>
      <c r="G313" s="175">
        <v>0.189349112426035</v>
      </c>
      <c r="H313" s="175">
        <f t="shared" si="2"/>
        <v>0.23865361380464051</v>
      </c>
      <c r="I313" s="175">
        <v>0.28795811518324599</v>
      </c>
      <c r="J313" s="61"/>
    </row>
    <row r="314" spans="1:10" x14ac:dyDescent="0.2">
      <c r="A314" s="256" t="s">
        <v>362</v>
      </c>
      <c r="B314" s="174" t="s">
        <v>28</v>
      </c>
      <c r="C314" s="175">
        <v>0.189349112426035</v>
      </c>
      <c r="D314" s="175">
        <v>0.189349112426035</v>
      </c>
      <c r="E314" s="175">
        <v>0.189349112426035</v>
      </c>
      <c r="F314" s="175">
        <v>0.189349112426035</v>
      </c>
      <c r="G314" s="175">
        <v>0.189349112426035</v>
      </c>
      <c r="H314" s="175">
        <f t="shared" si="2"/>
        <v>0.23865361380464051</v>
      </c>
      <c r="I314" s="175">
        <v>0.28795811518324599</v>
      </c>
      <c r="J314" s="61"/>
    </row>
    <row r="315" spans="1:10" x14ac:dyDescent="0.2">
      <c r="A315" s="256" t="s">
        <v>580</v>
      </c>
      <c r="B315" s="174" t="s">
        <v>28</v>
      </c>
      <c r="C315" s="175">
        <v>0.189349112426035</v>
      </c>
      <c r="D315" s="175">
        <v>0.189349112426035</v>
      </c>
      <c r="E315" s="175">
        <v>0.189349112426035</v>
      </c>
      <c r="F315" s="175">
        <v>0.189349112426035</v>
      </c>
      <c r="G315" s="175">
        <v>0.189349112426035</v>
      </c>
      <c r="H315" s="175">
        <f t="shared" si="2"/>
        <v>0.23865361380464051</v>
      </c>
      <c r="I315" s="175">
        <v>0.28795811518324599</v>
      </c>
      <c r="J315" s="61"/>
    </row>
    <row r="316" spans="1:10" x14ac:dyDescent="0.2">
      <c r="A316" s="256" t="s">
        <v>581</v>
      </c>
      <c r="B316" s="174" t="s">
        <v>28</v>
      </c>
      <c r="C316" s="175">
        <v>0.189349112426035</v>
      </c>
      <c r="D316" s="175">
        <v>0.189349112426035</v>
      </c>
      <c r="E316" s="175">
        <v>0.189349112426035</v>
      </c>
      <c r="F316" s="175">
        <v>0.189349112426035</v>
      </c>
      <c r="G316" s="175">
        <v>0.189349112426035</v>
      </c>
      <c r="H316" s="175">
        <f t="shared" si="2"/>
        <v>0.23865361380464051</v>
      </c>
      <c r="I316" s="175">
        <v>0.28795811518324599</v>
      </c>
      <c r="J316" s="61"/>
    </row>
    <row r="317" spans="1:10" x14ac:dyDescent="0.2">
      <c r="A317" s="256" t="s">
        <v>582</v>
      </c>
      <c r="B317" s="174" t="s">
        <v>28</v>
      </c>
      <c r="C317" s="175">
        <v>0.189349112426035</v>
      </c>
      <c r="D317" s="175">
        <v>0.189349112426035</v>
      </c>
      <c r="E317" s="175">
        <v>0.189349112426035</v>
      </c>
      <c r="F317" s="175">
        <v>0.189349112426035</v>
      </c>
      <c r="G317" s="175">
        <v>0.189349112426035</v>
      </c>
      <c r="H317" s="175">
        <f t="shared" si="2"/>
        <v>0.23865361380464051</v>
      </c>
      <c r="I317" s="175">
        <v>0.28795811518324599</v>
      </c>
      <c r="J317" s="61"/>
    </row>
    <row r="318" spans="1:10" x14ac:dyDescent="0.2">
      <c r="A318" s="256" t="s">
        <v>583</v>
      </c>
      <c r="B318" s="174" t="s">
        <v>28</v>
      </c>
      <c r="C318" s="175">
        <v>0.189349112426035</v>
      </c>
      <c r="D318" s="175">
        <v>0.189349112426035</v>
      </c>
      <c r="E318" s="175">
        <v>0.189349112426035</v>
      </c>
      <c r="F318" s="175">
        <v>0.189349112426035</v>
      </c>
      <c r="G318" s="175">
        <v>0.189349112426035</v>
      </c>
      <c r="H318" s="175">
        <f t="shared" si="2"/>
        <v>0.23865361380464051</v>
      </c>
      <c r="I318" s="175">
        <v>0.28795811518324599</v>
      </c>
      <c r="J318" s="61"/>
    </row>
    <row r="319" spans="1:10" x14ac:dyDescent="0.2">
      <c r="A319" s="256" t="s">
        <v>354</v>
      </c>
      <c r="B319" s="174" t="s">
        <v>28</v>
      </c>
      <c r="C319" s="175">
        <v>0.189349112426035</v>
      </c>
      <c r="D319" s="175">
        <v>0.189349112426035</v>
      </c>
      <c r="E319" s="175">
        <v>0.189349112426035</v>
      </c>
      <c r="F319" s="175">
        <v>0.189349112426035</v>
      </c>
      <c r="G319" s="175">
        <v>0.189349112426035</v>
      </c>
      <c r="H319" s="175">
        <f t="shared" si="2"/>
        <v>0.23865361380464051</v>
      </c>
      <c r="I319" s="175">
        <v>0.28795811518324599</v>
      </c>
      <c r="J319" s="61"/>
    </row>
    <row r="320" spans="1:10" x14ac:dyDescent="0.2">
      <c r="A320" s="256" t="s">
        <v>584</v>
      </c>
      <c r="B320" s="174" t="s">
        <v>28</v>
      </c>
      <c r="C320" s="175">
        <v>0.189349112426035</v>
      </c>
      <c r="D320" s="175">
        <v>0.189349112426035</v>
      </c>
      <c r="E320" s="175">
        <v>0.189349112426035</v>
      </c>
      <c r="F320" s="175">
        <v>0.189349112426035</v>
      </c>
      <c r="G320" s="175">
        <v>0.189349112426035</v>
      </c>
      <c r="H320" s="175">
        <f t="shared" si="2"/>
        <v>0.23865361380464051</v>
      </c>
      <c r="I320" s="175">
        <v>0.28795811518324599</v>
      </c>
      <c r="J320" s="61"/>
    </row>
    <row r="321" spans="1:10" x14ac:dyDescent="0.2">
      <c r="A321" s="256" t="s">
        <v>585</v>
      </c>
      <c r="B321" s="174" t="s">
        <v>28</v>
      </c>
      <c r="C321" s="175">
        <v>0.189349112426035</v>
      </c>
      <c r="D321" s="175">
        <v>0.189349112426035</v>
      </c>
      <c r="E321" s="175">
        <v>0.189349112426035</v>
      </c>
      <c r="F321" s="175">
        <v>0.189349112426035</v>
      </c>
      <c r="G321" s="175">
        <v>0.189349112426035</v>
      </c>
      <c r="H321" s="175">
        <f t="shared" si="2"/>
        <v>0.23865361380464051</v>
      </c>
      <c r="I321" s="175">
        <v>0.28795811518324599</v>
      </c>
      <c r="J321" s="61"/>
    </row>
    <row r="322" spans="1:10" x14ac:dyDescent="0.2">
      <c r="A322" s="256" t="s">
        <v>586</v>
      </c>
      <c r="B322" s="174" t="s">
        <v>28</v>
      </c>
      <c r="C322" s="175">
        <v>0.189349112426035</v>
      </c>
      <c r="D322" s="175">
        <v>0.189349112426035</v>
      </c>
      <c r="E322" s="175">
        <v>0.189349112426035</v>
      </c>
      <c r="F322" s="175">
        <v>0.189349112426035</v>
      </c>
      <c r="G322" s="175">
        <v>0.189349112426035</v>
      </c>
      <c r="H322" s="175">
        <f t="shared" si="2"/>
        <v>0.23865361380464051</v>
      </c>
      <c r="I322" s="175">
        <v>0.28795811518324599</v>
      </c>
      <c r="J322" s="61"/>
    </row>
    <row r="323" spans="1:10" x14ac:dyDescent="0.2">
      <c r="A323" s="256" t="s">
        <v>587</v>
      </c>
      <c r="B323" s="174" t="s">
        <v>28</v>
      </c>
      <c r="C323" s="175">
        <v>0.189349112426035</v>
      </c>
      <c r="D323" s="175">
        <v>0.189349112426035</v>
      </c>
      <c r="E323" s="175">
        <v>0.189349112426035</v>
      </c>
      <c r="F323" s="175">
        <v>0.189349112426035</v>
      </c>
      <c r="G323" s="175">
        <v>0.189349112426035</v>
      </c>
      <c r="H323" s="175">
        <f t="shared" si="2"/>
        <v>0.23865361380464051</v>
      </c>
      <c r="I323" s="175">
        <v>0.28795811518324599</v>
      </c>
      <c r="J323" s="61"/>
    </row>
    <row r="324" spans="1:10" x14ac:dyDescent="0.2">
      <c r="A324" s="256" t="s">
        <v>588</v>
      </c>
      <c r="B324" s="174" t="s">
        <v>28</v>
      </c>
      <c r="C324" s="175">
        <v>0.189349112426035</v>
      </c>
      <c r="D324" s="175">
        <v>0.189349112426035</v>
      </c>
      <c r="E324" s="175">
        <v>0.189349112426035</v>
      </c>
      <c r="F324" s="175">
        <v>0.189349112426035</v>
      </c>
      <c r="G324" s="175">
        <v>0.189349112426035</v>
      </c>
      <c r="H324" s="175">
        <f t="shared" si="2"/>
        <v>0.23865361380464051</v>
      </c>
      <c r="I324" s="175">
        <v>0.28795811518324599</v>
      </c>
      <c r="J324" s="61"/>
    </row>
    <row r="325" spans="1:10" x14ac:dyDescent="0.2">
      <c r="A325" s="256" t="s">
        <v>589</v>
      </c>
      <c r="B325" s="174" t="s">
        <v>28</v>
      </c>
      <c r="C325" s="175">
        <v>0.189349112426035</v>
      </c>
      <c r="D325" s="175">
        <v>0.189349112426035</v>
      </c>
      <c r="E325" s="175">
        <v>0.189349112426035</v>
      </c>
      <c r="F325" s="175">
        <v>0.189349112426035</v>
      </c>
      <c r="G325" s="175">
        <v>0.189349112426035</v>
      </c>
      <c r="H325" s="175">
        <f t="shared" si="2"/>
        <v>0.23865361380464051</v>
      </c>
      <c r="I325" s="175">
        <v>0.28795811518324599</v>
      </c>
      <c r="J325" s="61"/>
    </row>
    <row r="326" spans="1:10" x14ac:dyDescent="0.2">
      <c r="A326" s="256" t="s">
        <v>590</v>
      </c>
      <c r="B326" s="174" t="s">
        <v>28</v>
      </c>
      <c r="C326" s="175">
        <v>0.189349112426035</v>
      </c>
      <c r="D326" s="175">
        <v>0.189349112426035</v>
      </c>
      <c r="E326" s="175">
        <v>0.189349112426035</v>
      </c>
      <c r="F326" s="175">
        <v>0.189349112426035</v>
      </c>
      <c r="G326" s="175">
        <v>0.189349112426035</v>
      </c>
      <c r="H326" s="175">
        <f t="shared" si="2"/>
        <v>0.23865361380464051</v>
      </c>
      <c r="I326" s="175">
        <v>0.28795811518324599</v>
      </c>
      <c r="J326" s="61"/>
    </row>
    <row r="327" spans="1:10" x14ac:dyDescent="0.2">
      <c r="A327" s="256" t="s">
        <v>338</v>
      </c>
      <c r="B327" s="174" t="s">
        <v>28</v>
      </c>
      <c r="C327" s="175">
        <v>0.189349112426035</v>
      </c>
      <c r="D327" s="175">
        <v>0.189349112426035</v>
      </c>
      <c r="E327" s="175">
        <v>0.189349112426035</v>
      </c>
      <c r="F327" s="175">
        <v>0.189349112426035</v>
      </c>
      <c r="G327" s="175">
        <v>0.189349112426035</v>
      </c>
      <c r="H327" s="175">
        <f t="shared" si="2"/>
        <v>0.23865361380464051</v>
      </c>
      <c r="I327" s="175">
        <v>0.28795811518324599</v>
      </c>
      <c r="J327" s="61"/>
    </row>
    <row r="328" spans="1:10" x14ac:dyDescent="0.2">
      <c r="A328" s="256" t="s">
        <v>591</v>
      </c>
      <c r="B328" s="174" t="s">
        <v>28</v>
      </c>
      <c r="C328" s="175">
        <v>0.189349112426035</v>
      </c>
      <c r="D328" s="175">
        <v>0.189349112426035</v>
      </c>
      <c r="E328" s="175">
        <v>0.189349112426035</v>
      </c>
      <c r="F328" s="175">
        <v>0.189349112426035</v>
      </c>
      <c r="G328" s="175">
        <v>0.189349112426035</v>
      </c>
      <c r="H328" s="175">
        <f t="shared" si="2"/>
        <v>0.23865361380464051</v>
      </c>
      <c r="I328" s="175">
        <v>0.28795811518324599</v>
      </c>
      <c r="J328" s="61"/>
    </row>
    <row r="329" spans="1:10" x14ac:dyDescent="0.2">
      <c r="A329" s="256" t="s">
        <v>592</v>
      </c>
      <c r="B329" s="174" t="s">
        <v>28</v>
      </c>
      <c r="C329" s="175">
        <v>0.189349112426035</v>
      </c>
      <c r="D329" s="175">
        <v>0.189349112426035</v>
      </c>
      <c r="E329" s="175">
        <v>0.189349112426035</v>
      </c>
      <c r="F329" s="175">
        <v>0.189349112426035</v>
      </c>
      <c r="G329" s="175">
        <v>0.189349112426035</v>
      </c>
      <c r="H329" s="175">
        <f t="shared" si="2"/>
        <v>0.23865361380464051</v>
      </c>
      <c r="I329" s="175">
        <v>0.28795811518324599</v>
      </c>
      <c r="J329" s="61"/>
    </row>
    <row r="330" spans="1:10" x14ac:dyDescent="0.2">
      <c r="A330" s="256" t="s">
        <v>593</v>
      </c>
      <c r="B330" s="174" t="s">
        <v>28</v>
      </c>
      <c r="C330" s="175">
        <v>0.189349112426035</v>
      </c>
      <c r="D330" s="175">
        <v>0.189349112426035</v>
      </c>
      <c r="E330" s="175">
        <v>0.189349112426035</v>
      </c>
      <c r="F330" s="175">
        <v>0.189349112426035</v>
      </c>
      <c r="G330" s="175">
        <v>0.189349112426035</v>
      </c>
      <c r="H330" s="175">
        <f t="shared" si="2"/>
        <v>0.1696745562130175</v>
      </c>
      <c r="I330" s="175">
        <v>0.15</v>
      </c>
      <c r="J330" s="61"/>
    </row>
    <row r="331" spans="1:10" x14ac:dyDescent="0.2">
      <c r="A331" s="256" t="s">
        <v>594</v>
      </c>
      <c r="B331" s="174" t="s">
        <v>28</v>
      </c>
      <c r="C331" s="175">
        <v>0.189349112426035</v>
      </c>
      <c r="D331" s="175">
        <v>0.189349112426035</v>
      </c>
      <c r="E331" s="175">
        <v>0.189349112426035</v>
      </c>
      <c r="F331" s="175">
        <v>0.189349112426035</v>
      </c>
      <c r="G331" s="175">
        <v>0.189349112426035</v>
      </c>
      <c r="H331" s="175">
        <f t="shared" si="2"/>
        <v>0.1696745562130175</v>
      </c>
      <c r="I331" s="175">
        <v>0.15</v>
      </c>
      <c r="J331" s="61"/>
    </row>
    <row r="332" spans="1:10" x14ac:dyDescent="0.2">
      <c r="A332" s="256" t="s">
        <v>595</v>
      </c>
      <c r="B332" s="174" t="s">
        <v>28</v>
      </c>
      <c r="C332" s="175">
        <v>0.189349112426035</v>
      </c>
      <c r="D332" s="175">
        <v>0.189349112426035</v>
      </c>
      <c r="E332" s="175">
        <v>0.189349112426035</v>
      </c>
      <c r="F332" s="175">
        <v>0.189349112426035</v>
      </c>
      <c r="G332" s="175">
        <v>0.189349112426035</v>
      </c>
      <c r="H332" s="175">
        <f t="shared" si="2"/>
        <v>0.1696745562130175</v>
      </c>
      <c r="I332" s="175">
        <v>0.15</v>
      </c>
      <c r="J332" s="61"/>
    </row>
    <row r="333" spans="1:10" x14ac:dyDescent="0.2">
      <c r="A333" s="256" t="s">
        <v>596</v>
      </c>
      <c r="B333" s="174" t="s">
        <v>28</v>
      </c>
      <c r="C333" s="175">
        <v>0.189349112426035</v>
      </c>
      <c r="D333" s="175">
        <v>0.189349112426035</v>
      </c>
      <c r="E333" s="175">
        <v>0.189349112426035</v>
      </c>
      <c r="F333" s="175">
        <v>0.189349112426035</v>
      </c>
      <c r="G333" s="175">
        <v>0.189349112426035</v>
      </c>
      <c r="H333" s="175">
        <f t="shared" si="2"/>
        <v>0.1696745562130175</v>
      </c>
      <c r="I333" s="175">
        <v>0.15</v>
      </c>
      <c r="J333" s="61"/>
    </row>
    <row r="334" spans="1:10" x14ac:dyDescent="0.2">
      <c r="A334" s="256" t="s">
        <v>597</v>
      </c>
      <c r="B334" s="174" t="s">
        <v>28</v>
      </c>
      <c r="C334" s="175">
        <v>0.189349112426035</v>
      </c>
      <c r="D334" s="175">
        <v>0.189349112426035</v>
      </c>
      <c r="E334" s="175">
        <v>0.189349112426035</v>
      </c>
      <c r="F334" s="175">
        <v>0.189349112426035</v>
      </c>
      <c r="G334" s="175">
        <v>0.189349112426035</v>
      </c>
      <c r="H334" s="175">
        <f t="shared" si="2"/>
        <v>0.1696745562130175</v>
      </c>
      <c r="I334" s="175">
        <v>0.15</v>
      </c>
      <c r="J334" s="61"/>
    </row>
    <row r="335" spans="1:10" x14ac:dyDescent="0.2">
      <c r="A335" s="256" t="s">
        <v>598</v>
      </c>
      <c r="B335" s="174" t="s">
        <v>28</v>
      </c>
      <c r="C335" s="175">
        <v>0.189349112426035</v>
      </c>
      <c r="D335" s="175">
        <v>0.189349112426035</v>
      </c>
      <c r="E335" s="175">
        <v>0.189349112426035</v>
      </c>
      <c r="F335" s="175">
        <v>0.189349112426035</v>
      </c>
      <c r="G335" s="175">
        <v>0.189349112426035</v>
      </c>
      <c r="H335" s="175">
        <f t="shared" si="2"/>
        <v>0.1696745562130175</v>
      </c>
      <c r="I335" s="175">
        <v>0.15</v>
      </c>
      <c r="J335" s="61"/>
    </row>
    <row r="336" spans="1:10" x14ac:dyDescent="0.2">
      <c r="A336" s="256" t="s">
        <v>599</v>
      </c>
      <c r="B336" s="174" t="s">
        <v>28</v>
      </c>
      <c r="C336" s="175">
        <v>0.189349112426035</v>
      </c>
      <c r="D336" s="175">
        <v>0.189349112426035</v>
      </c>
      <c r="E336" s="175">
        <v>0.189349112426035</v>
      </c>
      <c r="F336" s="175">
        <v>0.189349112426035</v>
      </c>
      <c r="G336" s="175">
        <v>0.189349112426035</v>
      </c>
      <c r="H336" s="175">
        <f t="shared" si="2"/>
        <v>0.1696745562130175</v>
      </c>
      <c r="I336" s="175">
        <v>0.15</v>
      </c>
      <c r="J336" s="61"/>
    </row>
    <row r="337" spans="1:24" x14ac:dyDescent="0.2">
      <c r="A337" s="256" t="s">
        <v>351</v>
      </c>
      <c r="B337" s="174" t="s">
        <v>28</v>
      </c>
      <c r="C337" s="175">
        <v>0.189349112426035</v>
      </c>
      <c r="D337" s="175">
        <v>0.189349112426035</v>
      </c>
      <c r="E337" s="175">
        <v>0.189349112426035</v>
      </c>
      <c r="F337" s="175">
        <v>0.189349112426035</v>
      </c>
      <c r="G337" s="175">
        <v>0.189349112426035</v>
      </c>
      <c r="H337" s="175">
        <f t="shared" si="2"/>
        <v>0.1696745562130175</v>
      </c>
      <c r="I337" s="175">
        <v>0.15</v>
      </c>
      <c r="J337" s="61"/>
    </row>
    <row r="338" spans="1:24" x14ac:dyDescent="0.2">
      <c r="A338" s="256" t="s">
        <v>361</v>
      </c>
      <c r="B338" s="174" t="s">
        <v>28</v>
      </c>
      <c r="C338" s="175">
        <v>0.189349112426035</v>
      </c>
      <c r="D338" s="175">
        <v>0.189349112426035</v>
      </c>
      <c r="E338" s="175">
        <v>0.189349112426035</v>
      </c>
      <c r="F338" s="175">
        <v>0.189349112426035</v>
      </c>
      <c r="G338" s="175">
        <v>0.189349112426035</v>
      </c>
      <c r="H338" s="175">
        <f t="shared" si="2"/>
        <v>0.1696745562130175</v>
      </c>
      <c r="I338" s="175">
        <v>0.15</v>
      </c>
      <c r="J338" s="61"/>
    </row>
    <row r="339" spans="1:24" x14ac:dyDescent="0.2">
      <c r="A339" s="256" t="s">
        <v>600</v>
      </c>
      <c r="B339" s="174" t="s">
        <v>28</v>
      </c>
      <c r="C339" s="175">
        <v>0.189349112426035</v>
      </c>
      <c r="D339" s="175">
        <v>0.189349112426035</v>
      </c>
      <c r="E339" s="175">
        <v>0.189349112426035</v>
      </c>
      <c r="F339" s="175">
        <v>0.189349112426035</v>
      </c>
      <c r="G339" s="175">
        <v>0.189349112426035</v>
      </c>
      <c r="H339" s="175">
        <f t="shared" si="2"/>
        <v>0.1696745562130175</v>
      </c>
      <c r="I339" s="175">
        <v>0.15</v>
      </c>
      <c r="J339" s="61"/>
    </row>
    <row r="340" spans="1:24" ht="18" customHeight="1" x14ac:dyDescent="0.25">
      <c r="A340" s="306" t="s">
        <v>625</v>
      </c>
      <c r="B340" s="306"/>
      <c r="C340" s="306"/>
      <c r="D340" s="306"/>
      <c r="E340" s="306"/>
      <c r="F340" s="306"/>
      <c r="G340" s="306"/>
      <c r="H340" s="306"/>
      <c r="I340" s="306"/>
    </row>
    <row r="341" spans="1:24" x14ac:dyDescent="0.2">
      <c r="A341" s="256" t="s">
        <v>626</v>
      </c>
      <c r="B341" s="190" t="s">
        <v>499</v>
      </c>
      <c r="C341" s="175">
        <v>0</v>
      </c>
      <c r="D341" s="175">
        <v>6.2534332762557102E-3</v>
      </c>
      <c r="E341" s="175">
        <v>1.25068665525114E-2</v>
      </c>
      <c r="F341" s="175">
        <v>1.35108581335616E-2</v>
      </c>
      <c r="G341" s="175">
        <v>1.4514849714611901E-2</v>
      </c>
      <c r="H341" s="175">
        <v>1.5518841295662099E-2</v>
      </c>
      <c r="I341" s="175">
        <v>1.6522832876712301E-2</v>
      </c>
    </row>
    <row r="342" spans="1:24" x14ac:dyDescent="0.2">
      <c r="H342" s="58"/>
      <c r="J342" s="61"/>
    </row>
    <row r="343" spans="1:24" ht="19" x14ac:dyDescent="0.25">
      <c r="A343" s="260" t="s">
        <v>627</v>
      </c>
      <c r="B343" s="261"/>
      <c r="C343" s="262"/>
    </row>
    <row r="344" spans="1:24" x14ac:dyDescent="0.2">
      <c r="A344" s="256" t="s">
        <v>434</v>
      </c>
      <c r="B344" s="174" t="s">
        <v>36</v>
      </c>
      <c r="C344" s="176">
        <v>2050</v>
      </c>
    </row>
    <row r="345" spans="1:24" x14ac:dyDescent="0.2">
      <c r="A345" s="263" t="s">
        <v>628</v>
      </c>
      <c r="B345" s="177" t="s">
        <v>327</v>
      </c>
      <c r="C345" s="264">
        <v>0.05</v>
      </c>
    </row>
    <row r="347" spans="1:24" ht="19" x14ac:dyDescent="0.25">
      <c r="A347" s="260" t="s">
        <v>629</v>
      </c>
      <c r="B347" s="260"/>
      <c r="C347" s="260"/>
      <c r="D347" s="260"/>
      <c r="E347" s="260"/>
      <c r="F347" s="260"/>
      <c r="G347" s="260"/>
      <c r="H347" s="260"/>
      <c r="I347" s="260"/>
    </row>
    <row r="348" spans="1:24" x14ac:dyDescent="0.2">
      <c r="A348" s="256" t="s">
        <v>630</v>
      </c>
      <c r="B348" s="174" t="s">
        <v>36</v>
      </c>
      <c r="C348" s="175">
        <v>2020</v>
      </c>
      <c r="D348" s="175">
        <f t="shared" ref="D348:I348" si="3">C348+5</f>
        <v>2025</v>
      </c>
      <c r="E348" s="175">
        <f t="shared" si="3"/>
        <v>2030</v>
      </c>
      <c r="F348" s="175">
        <f t="shared" si="3"/>
        <v>2035</v>
      </c>
      <c r="G348" s="175">
        <f t="shared" si="3"/>
        <v>2040</v>
      </c>
      <c r="H348" s="175">
        <f t="shared" si="3"/>
        <v>2045</v>
      </c>
      <c r="I348" s="175">
        <f t="shared" si="3"/>
        <v>2050</v>
      </c>
    </row>
    <row r="349" spans="1:24" x14ac:dyDescent="0.2">
      <c r="A349" s="256" t="s">
        <v>631</v>
      </c>
      <c r="B349" s="174" t="s">
        <v>632</v>
      </c>
      <c r="C349" s="175">
        <v>0</v>
      </c>
      <c r="D349" s="175">
        <v>0</v>
      </c>
      <c r="E349" s="175">
        <v>0</v>
      </c>
      <c r="F349" s="175">
        <v>0</v>
      </c>
      <c r="G349" s="175">
        <v>0</v>
      </c>
      <c r="H349" s="175">
        <v>0</v>
      </c>
      <c r="I349" s="175">
        <v>0</v>
      </c>
      <c r="M349" s="172"/>
      <c r="Q349" s="172"/>
      <c r="U349" s="172"/>
    </row>
    <row r="351" spans="1:24" ht="19" x14ac:dyDescent="0.25">
      <c r="A351" s="260" t="s">
        <v>633</v>
      </c>
      <c r="B351" s="260"/>
      <c r="C351" s="260"/>
      <c r="D351" s="260"/>
      <c r="E351" s="260"/>
      <c r="F351" s="260"/>
      <c r="G351" s="260"/>
      <c r="H351" s="260"/>
      <c r="I351" s="260"/>
      <c r="J351" s="260"/>
      <c r="K351" s="260"/>
      <c r="L351" s="260"/>
      <c r="M351" s="260"/>
      <c r="N351" s="260"/>
      <c r="O351" s="260"/>
      <c r="P351" s="260"/>
      <c r="Q351" s="260"/>
      <c r="R351" s="260"/>
      <c r="S351" s="260"/>
      <c r="T351" s="260"/>
      <c r="U351" s="260"/>
      <c r="V351" s="260"/>
      <c r="W351" s="260"/>
      <c r="X351" s="260"/>
    </row>
    <row r="352" spans="1:24" x14ac:dyDescent="0.2">
      <c r="A352" s="256" t="s">
        <v>630</v>
      </c>
      <c r="B352" s="174" t="s">
        <v>36</v>
      </c>
      <c r="C352" s="175">
        <v>1980</v>
      </c>
      <c r="D352" s="175">
        <v>2020</v>
      </c>
      <c r="E352" s="175">
        <f t="shared" ref="E352:X352" si="4">D352+5</f>
        <v>2025</v>
      </c>
      <c r="F352" s="175">
        <f t="shared" si="4"/>
        <v>2030</v>
      </c>
      <c r="G352" s="175">
        <f t="shared" si="4"/>
        <v>2035</v>
      </c>
      <c r="H352" s="175">
        <f t="shared" si="4"/>
        <v>2040</v>
      </c>
      <c r="I352" s="175">
        <f t="shared" si="4"/>
        <v>2045</v>
      </c>
      <c r="J352" s="175">
        <f t="shared" si="4"/>
        <v>2050</v>
      </c>
      <c r="K352" s="175">
        <f t="shared" si="4"/>
        <v>2055</v>
      </c>
      <c r="L352" s="175">
        <f t="shared" si="4"/>
        <v>2060</v>
      </c>
      <c r="M352" s="175">
        <f t="shared" si="4"/>
        <v>2065</v>
      </c>
      <c r="N352" s="175">
        <f t="shared" si="4"/>
        <v>2070</v>
      </c>
      <c r="O352" s="175">
        <f t="shared" si="4"/>
        <v>2075</v>
      </c>
      <c r="P352" s="175">
        <f t="shared" si="4"/>
        <v>2080</v>
      </c>
      <c r="Q352" s="175">
        <f t="shared" si="4"/>
        <v>2085</v>
      </c>
      <c r="R352" s="175">
        <f t="shared" si="4"/>
        <v>2090</v>
      </c>
      <c r="S352" s="175">
        <f t="shared" si="4"/>
        <v>2095</v>
      </c>
      <c r="T352" s="175">
        <f t="shared" si="4"/>
        <v>2100</v>
      </c>
      <c r="U352" s="175">
        <f t="shared" si="4"/>
        <v>2105</v>
      </c>
      <c r="V352" s="175">
        <f t="shared" si="4"/>
        <v>2110</v>
      </c>
      <c r="W352" s="175">
        <f t="shared" si="4"/>
        <v>2115</v>
      </c>
      <c r="X352" s="175">
        <f t="shared" si="4"/>
        <v>2120</v>
      </c>
    </row>
    <row r="353" spans="1:24" x14ac:dyDescent="0.2">
      <c r="A353" s="256" t="s">
        <v>633</v>
      </c>
      <c r="B353" s="174" t="s">
        <v>634</v>
      </c>
      <c r="C353" s="175"/>
      <c r="D353" s="175">
        <v>345</v>
      </c>
      <c r="E353" s="175"/>
      <c r="F353" s="175">
        <v>345</v>
      </c>
      <c r="G353" s="175"/>
      <c r="H353" s="175">
        <v>298</v>
      </c>
      <c r="I353" s="175"/>
      <c r="J353" s="175">
        <v>333</v>
      </c>
      <c r="K353" s="175"/>
      <c r="L353" s="175"/>
      <c r="M353" s="175"/>
      <c r="N353" s="175"/>
      <c r="O353" s="175"/>
      <c r="P353" s="175"/>
      <c r="Q353" s="175"/>
      <c r="R353" s="175"/>
      <c r="S353" s="175"/>
      <c r="T353" s="175"/>
      <c r="U353" s="175"/>
      <c r="V353" s="175"/>
      <c r="W353" s="175"/>
      <c r="X353" s="175"/>
    </row>
    <row r="354" spans="1:24" x14ac:dyDescent="0.2">
      <c r="H354" s="58"/>
      <c r="J354" s="61"/>
    </row>
    <row r="355" spans="1:24" x14ac:dyDescent="0.2">
      <c r="H355" s="58"/>
      <c r="J355" s="61"/>
    </row>
    <row r="356" spans="1:24" x14ac:dyDescent="0.2">
      <c r="H356" s="58"/>
      <c r="J356" s="61"/>
    </row>
    <row r="357" spans="1:24" x14ac:dyDescent="0.2">
      <c r="H357" s="58"/>
      <c r="J357" s="61"/>
    </row>
    <row r="358" spans="1:24" x14ac:dyDescent="0.2">
      <c r="H358" s="58"/>
      <c r="J358" s="61"/>
    </row>
    <row r="359" spans="1:24" ht="26" x14ac:dyDescent="0.3">
      <c r="A359" s="173" t="s">
        <v>635</v>
      </c>
    </row>
    <row r="362" spans="1:24" x14ac:dyDescent="0.2">
      <c r="H362" s="265"/>
    </row>
    <row r="363" spans="1:24" x14ac:dyDescent="0.2">
      <c r="H363" s="265"/>
    </row>
    <row r="364" spans="1:24" ht="19" x14ac:dyDescent="0.25">
      <c r="A364" s="306" t="s">
        <v>636</v>
      </c>
      <c r="B364" s="306"/>
      <c r="C364" s="306"/>
      <c r="D364" s="306"/>
      <c r="E364" s="306"/>
      <c r="F364" s="306"/>
      <c r="G364" s="306"/>
      <c r="H364" s="306"/>
    </row>
    <row r="365" spans="1:24" x14ac:dyDescent="0.2">
      <c r="A365" s="266" t="s">
        <v>36</v>
      </c>
      <c r="B365" s="175">
        <v>2020</v>
      </c>
      <c r="C365" s="175">
        <v>2025</v>
      </c>
      <c r="D365" s="175">
        <v>2030</v>
      </c>
      <c r="E365" s="175">
        <v>2035</v>
      </c>
      <c r="F365" s="175">
        <v>2040</v>
      </c>
      <c r="G365" s="175">
        <v>2045</v>
      </c>
      <c r="H365" s="176">
        <v>2050</v>
      </c>
    </row>
    <row r="366" spans="1:24" x14ac:dyDescent="0.2">
      <c r="A366" s="334" t="s">
        <v>472</v>
      </c>
      <c r="B366" s="334"/>
      <c r="C366" s="334"/>
      <c r="D366" s="334"/>
      <c r="E366" s="334"/>
      <c r="F366" s="334"/>
      <c r="G366" s="334"/>
      <c r="H366" s="334"/>
    </row>
    <row r="367" spans="1:24" x14ac:dyDescent="0.2">
      <c r="A367" s="267" t="s">
        <v>637</v>
      </c>
      <c r="B367" s="175">
        <v>18.8</v>
      </c>
      <c r="C367" s="175">
        <v>16.131631500000001</v>
      </c>
      <c r="D367" s="175">
        <v>13.486490999999999</v>
      </c>
      <c r="E367" s="175">
        <v>10.841350500000001</v>
      </c>
      <c r="F367" s="175">
        <v>8.1962100000000007</v>
      </c>
      <c r="G367" s="175">
        <v>5.5510694999999997</v>
      </c>
      <c r="H367" s="176">
        <v>2.9</v>
      </c>
    </row>
    <row r="368" spans="1:24" x14ac:dyDescent="0.2">
      <c r="A368" s="334" t="s">
        <v>479</v>
      </c>
      <c r="B368" s="334"/>
      <c r="C368" s="334"/>
      <c r="D368" s="334"/>
      <c r="E368" s="334"/>
      <c r="F368" s="334"/>
      <c r="G368" s="334"/>
      <c r="H368" s="334"/>
      <c r="I368" s="61"/>
    </row>
    <row r="369" spans="1:10" x14ac:dyDescent="0.2">
      <c r="A369" s="267" t="s">
        <v>637</v>
      </c>
      <c r="B369" s="175">
        <v>13.3</v>
      </c>
      <c r="C369" s="175">
        <v>11.390420000000001</v>
      </c>
      <c r="D369" s="175">
        <v>9.5290400000000002</v>
      </c>
      <c r="E369" s="175">
        <v>7.6676599999999997</v>
      </c>
      <c r="F369" s="175">
        <v>5.8062800000000001</v>
      </c>
      <c r="G369" s="175">
        <v>3.9449000000000001</v>
      </c>
      <c r="H369" s="176">
        <v>2.1</v>
      </c>
    </row>
    <row r="370" spans="1:10" x14ac:dyDescent="0.2">
      <c r="A370" s="334" t="s">
        <v>485</v>
      </c>
      <c r="B370" s="334"/>
      <c r="C370" s="334"/>
      <c r="D370" s="334"/>
      <c r="E370" s="334"/>
      <c r="F370" s="334"/>
      <c r="G370" s="334"/>
      <c r="H370" s="334"/>
      <c r="I370" s="61"/>
    </row>
    <row r="371" spans="1:10" x14ac:dyDescent="0.2">
      <c r="A371" s="268" t="s">
        <v>637</v>
      </c>
      <c r="B371" s="269">
        <v>2.4</v>
      </c>
      <c r="C371" s="269">
        <v>2.0830000000000002</v>
      </c>
      <c r="D371" s="269">
        <v>1.7689999999999999</v>
      </c>
      <c r="E371" s="269">
        <v>1.4550000000000001</v>
      </c>
      <c r="F371" s="269">
        <v>1.141</v>
      </c>
      <c r="G371" s="269">
        <v>0.82699999999999996</v>
      </c>
      <c r="H371" s="208">
        <v>0.5</v>
      </c>
    </row>
    <row r="373" spans="1:10" ht="19" x14ac:dyDescent="0.25">
      <c r="A373" s="306" t="s">
        <v>638</v>
      </c>
      <c r="B373" s="306"/>
      <c r="C373" s="306"/>
      <c r="D373" s="306"/>
      <c r="E373" s="306"/>
      <c r="F373" s="306"/>
      <c r="G373" s="306"/>
      <c r="H373" s="306"/>
      <c r="I373" s="306"/>
    </row>
    <row r="374" spans="1:10" x14ac:dyDescent="0.2">
      <c r="A374" s="270"/>
      <c r="B374" s="174" t="s">
        <v>36</v>
      </c>
      <c r="C374" s="175">
        <v>2020</v>
      </c>
      <c r="D374" s="175">
        <v>2025</v>
      </c>
      <c r="E374" s="175">
        <v>2030</v>
      </c>
      <c r="F374" s="175">
        <v>2035</v>
      </c>
      <c r="G374" s="175">
        <v>2040</v>
      </c>
      <c r="H374" s="175">
        <v>2045</v>
      </c>
      <c r="I374" s="176">
        <v>2050</v>
      </c>
    </row>
    <row r="375" spans="1:10" x14ac:dyDescent="0.2">
      <c r="A375" s="256" t="s">
        <v>639</v>
      </c>
      <c r="B375" s="174" t="s">
        <v>146</v>
      </c>
      <c r="C375" s="176">
        <v>-0.01</v>
      </c>
      <c r="D375" s="176">
        <v>-1.2999999999999999E-2</v>
      </c>
      <c r="E375" s="176">
        <v>-1.6E-2</v>
      </c>
      <c r="F375" s="176">
        <v>-1.9E-2</v>
      </c>
      <c r="G375" s="176">
        <v>-2.3E-2</v>
      </c>
      <c r="H375" s="176">
        <v>-2.5999999999999999E-2</v>
      </c>
      <c r="I375" s="176">
        <v>-2.9000000000000001E-2</v>
      </c>
    </row>
    <row r="376" spans="1:10" x14ac:dyDescent="0.2">
      <c r="A376" s="263" t="s">
        <v>640</v>
      </c>
      <c r="B376" s="177" t="s">
        <v>327</v>
      </c>
      <c r="C376" s="250">
        <v>0</v>
      </c>
      <c r="D376" s="250">
        <v>0</v>
      </c>
      <c r="E376" s="250">
        <v>0</v>
      </c>
      <c r="F376" s="250">
        <v>0</v>
      </c>
      <c r="G376" s="250">
        <v>0</v>
      </c>
      <c r="H376" s="250">
        <v>0</v>
      </c>
      <c r="I376" s="250">
        <v>0</v>
      </c>
    </row>
    <row r="380" spans="1:10" ht="26" x14ac:dyDescent="0.3">
      <c r="A380" s="173" t="s">
        <v>641</v>
      </c>
      <c r="H380" s="58"/>
      <c r="J380" s="61"/>
    </row>
    <row r="381" spans="1:10" ht="19" x14ac:dyDescent="0.25">
      <c r="A381" s="306" t="s">
        <v>642</v>
      </c>
      <c r="B381" s="306"/>
      <c r="C381" s="306"/>
      <c r="H381" s="58"/>
      <c r="J381" s="61"/>
    </row>
    <row r="382" spans="1:10" x14ac:dyDescent="0.2">
      <c r="A382" s="256" t="s">
        <v>416</v>
      </c>
      <c r="B382" s="174" t="s">
        <v>28</v>
      </c>
      <c r="C382" s="176">
        <v>0</v>
      </c>
    </row>
    <row r="383" spans="1:10" x14ac:dyDescent="0.2">
      <c r="A383" s="256" t="s">
        <v>418</v>
      </c>
      <c r="B383" s="174" t="s">
        <v>125</v>
      </c>
      <c r="C383" s="176">
        <v>200</v>
      </c>
    </row>
    <row r="384" spans="1:10" x14ac:dyDescent="0.2">
      <c r="A384" s="256" t="s">
        <v>420</v>
      </c>
      <c r="B384" s="174" t="s">
        <v>643</v>
      </c>
      <c r="C384" s="271">
        <v>7.4000000000000003E-3</v>
      </c>
    </row>
    <row r="385" spans="1:38" x14ac:dyDescent="0.2">
      <c r="A385" s="256" t="s">
        <v>644</v>
      </c>
      <c r="B385" s="174" t="s">
        <v>36</v>
      </c>
      <c r="C385" s="176">
        <v>2020</v>
      </c>
    </row>
    <row r="386" spans="1:38" x14ac:dyDescent="0.2">
      <c r="A386" s="256" t="s">
        <v>424</v>
      </c>
      <c r="B386" s="174" t="s">
        <v>645</v>
      </c>
      <c r="C386" s="176">
        <v>185</v>
      </c>
    </row>
    <row r="387" spans="1:38" x14ac:dyDescent="0.2">
      <c r="A387" s="256" t="s">
        <v>427</v>
      </c>
      <c r="B387" s="174" t="s">
        <v>36</v>
      </c>
      <c r="C387" s="176">
        <v>2020</v>
      </c>
    </row>
    <row r="388" spans="1:38" x14ac:dyDescent="0.2">
      <c r="A388" s="263" t="s">
        <v>428</v>
      </c>
      <c r="B388" s="177" t="s">
        <v>36</v>
      </c>
      <c r="C388" s="208">
        <v>2050</v>
      </c>
    </row>
    <row r="390" spans="1:38" ht="14.25" customHeight="1" x14ac:dyDescent="0.25">
      <c r="A390" s="336" t="s">
        <v>70</v>
      </c>
      <c r="B390" s="336"/>
      <c r="C390" s="336"/>
      <c r="F390" s="265"/>
      <c r="G390" s="265"/>
      <c r="H390" s="265"/>
      <c r="I390" s="265"/>
      <c r="J390" s="265"/>
      <c r="K390" s="265"/>
      <c r="L390" s="265"/>
      <c r="M390" s="265"/>
      <c r="N390" s="265"/>
      <c r="O390" s="265"/>
      <c r="P390" s="265"/>
      <c r="Q390" s="265"/>
      <c r="R390" s="265"/>
      <c r="S390" s="265"/>
      <c r="T390" s="265"/>
      <c r="U390" s="265"/>
      <c r="V390" s="265"/>
      <c r="W390" s="265"/>
      <c r="X390" s="265"/>
      <c r="Y390" s="265"/>
      <c r="Z390" s="265"/>
      <c r="AA390" s="265"/>
      <c r="AB390" s="265"/>
      <c r="AC390" s="265"/>
      <c r="AD390" s="265"/>
      <c r="AE390" s="265"/>
      <c r="AF390" s="265"/>
      <c r="AG390" s="265"/>
      <c r="AH390" s="265"/>
      <c r="AI390" s="265"/>
      <c r="AJ390" s="265"/>
      <c r="AK390" s="265"/>
      <c r="AL390" s="265"/>
    </row>
    <row r="391" spans="1:38" x14ac:dyDescent="0.2">
      <c r="A391" s="272" t="s">
        <v>75</v>
      </c>
      <c r="B391" s="217" t="s">
        <v>76</v>
      </c>
      <c r="C391" s="273">
        <v>135</v>
      </c>
      <c r="F391" s="265"/>
      <c r="G391" s="265"/>
      <c r="H391" s="265"/>
      <c r="I391" s="265"/>
      <c r="J391" s="265"/>
      <c r="K391" s="265"/>
      <c r="L391" s="265"/>
      <c r="M391" s="265"/>
      <c r="N391" s="265"/>
      <c r="O391" s="265"/>
      <c r="P391" s="265"/>
      <c r="Q391" s="265"/>
      <c r="R391" s="265"/>
      <c r="S391" s="265"/>
      <c r="T391" s="265"/>
      <c r="U391" s="265"/>
      <c r="V391" s="265"/>
      <c r="W391" s="265"/>
      <c r="X391" s="265"/>
      <c r="Y391" s="265"/>
      <c r="Z391" s="265"/>
      <c r="AA391" s="265"/>
      <c r="AB391" s="265"/>
      <c r="AC391" s="265"/>
      <c r="AD391" s="265"/>
      <c r="AE391" s="265"/>
      <c r="AF391" s="265"/>
      <c r="AG391" s="265"/>
      <c r="AH391" s="265"/>
      <c r="AI391" s="265"/>
      <c r="AJ391" s="265"/>
      <c r="AK391" s="265"/>
      <c r="AL391" s="265"/>
    </row>
    <row r="392" spans="1:38" x14ac:dyDescent="0.2">
      <c r="A392" s="256" t="s">
        <v>74</v>
      </c>
      <c r="B392" s="174" t="s">
        <v>28</v>
      </c>
      <c r="C392" s="176">
        <v>0.2</v>
      </c>
      <c r="F392" s="265"/>
      <c r="G392" s="265"/>
      <c r="H392" s="265"/>
      <c r="I392" s="265"/>
      <c r="J392" s="265"/>
      <c r="K392" s="265"/>
      <c r="L392" s="265"/>
      <c r="M392" s="265"/>
      <c r="N392" s="265"/>
      <c r="O392" s="265"/>
      <c r="P392" s="265"/>
      <c r="Q392" s="265"/>
      <c r="R392" s="265"/>
      <c r="S392" s="265"/>
      <c r="T392" s="265"/>
      <c r="U392" s="265"/>
      <c r="V392" s="265"/>
      <c r="W392" s="265"/>
      <c r="X392" s="265"/>
      <c r="Y392" s="265"/>
      <c r="Z392" s="265"/>
      <c r="AA392" s="265"/>
      <c r="AB392" s="265"/>
      <c r="AC392" s="265"/>
      <c r="AD392" s="265"/>
      <c r="AE392" s="265"/>
      <c r="AF392" s="265"/>
      <c r="AG392" s="265"/>
      <c r="AH392" s="265"/>
      <c r="AI392" s="265"/>
      <c r="AJ392" s="265"/>
      <c r="AK392" s="265"/>
      <c r="AL392" s="265"/>
    </row>
    <row r="393" spans="1:38" x14ac:dyDescent="0.2">
      <c r="A393" s="256" t="s">
        <v>80</v>
      </c>
      <c r="B393" s="174" t="s">
        <v>28</v>
      </c>
      <c r="C393" s="176">
        <v>2020</v>
      </c>
      <c r="F393" s="265"/>
      <c r="G393" s="265"/>
      <c r="H393" s="265"/>
      <c r="I393" s="265"/>
      <c r="J393" s="265"/>
      <c r="K393" s="265"/>
      <c r="L393" s="265"/>
      <c r="M393" s="265"/>
      <c r="N393" s="265"/>
      <c r="O393" s="265"/>
      <c r="P393" s="265"/>
      <c r="Q393" s="265"/>
      <c r="R393" s="265"/>
      <c r="S393" s="265"/>
      <c r="T393" s="265"/>
      <c r="U393" s="265"/>
      <c r="V393" s="265"/>
      <c r="W393" s="265"/>
      <c r="X393" s="265"/>
      <c r="Y393" s="265"/>
      <c r="Z393" s="265"/>
      <c r="AA393" s="265"/>
      <c r="AB393" s="265"/>
      <c r="AC393" s="265"/>
      <c r="AD393" s="265"/>
      <c r="AE393" s="265"/>
      <c r="AF393" s="265"/>
      <c r="AG393" s="265"/>
      <c r="AH393" s="265"/>
      <c r="AI393" s="265"/>
      <c r="AJ393" s="265"/>
      <c r="AK393" s="265"/>
      <c r="AL393" s="265"/>
    </row>
    <row r="394" spans="1:38" x14ac:dyDescent="0.2">
      <c r="A394" s="263" t="s">
        <v>83</v>
      </c>
      <c r="B394" s="177" t="s">
        <v>28</v>
      </c>
      <c r="C394" s="208">
        <v>2050</v>
      </c>
      <c r="F394" s="265"/>
      <c r="G394" s="265"/>
      <c r="H394" s="265"/>
      <c r="I394" s="265"/>
      <c r="J394" s="265"/>
      <c r="K394" s="265"/>
      <c r="L394" s="265"/>
      <c r="M394" s="265"/>
      <c r="N394" s="265"/>
      <c r="O394" s="265"/>
      <c r="P394" s="265"/>
      <c r="Q394" s="265"/>
      <c r="R394" s="265"/>
      <c r="S394" s="265"/>
      <c r="T394" s="265"/>
      <c r="U394" s="265"/>
      <c r="V394" s="265"/>
      <c r="W394" s="265"/>
      <c r="X394" s="265"/>
      <c r="Y394" s="265"/>
      <c r="Z394" s="265"/>
      <c r="AA394" s="265"/>
      <c r="AB394" s="265"/>
      <c r="AC394" s="265"/>
      <c r="AD394" s="265"/>
      <c r="AE394" s="265"/>
      <c r="AF394" s="265"/>
      <c r="AG394" s="265"/>
      <c r="AH394" s="265"/>
      <c r="AI394" s="265"/>
      <c r="AJ394" s="265"/>
      <c r="AK394" s="265"/>
      <c r="AL394" s="265"/>
    </row>
    <row r="397" spans="1:38" ht="19" x14ac:dyDescent="0.25">
      <c r="A397" s="336" t="s">
        <v>86</v>
      </c>
      <c r="B397" s="336"/>
      <c r="C397" s="336"/>
    </row>
    <row r="398" spans="1:38" x14ac:dyDescent="0.2">
      <c r="A398" s="256" t="s">
        <v>89</v>
      </c>
      <c r="B398" s="174" t="s">
        <v>28</v>
      </c>
      <c r="C398" s="250">
        <v>0.5</v>
      </c>
    </row>
    <row r="399" spans="1:38" x14ac:dyDescent="0.2">
      <c r="A399" s="256" t="s">
        <v>92</v>
      </c>
      <c r="B399" s="174" t="s">
        <v>28</v>
      </c>
      <c r="C399" s="250">
        <v>0.5</v>
      </c>
    </row>
    <row r="400" spans="1:38" x14ac:dyDescent="0.2">
      <c r="A400" s="256" t="s">
        <v>93</v>
      </c>
      <c r="B400" s="174" t="s">
        <v>28</v>
      </c>
      <c r="C400" s="250">
        <v>0.5</v>
      </c>
    </row>
    <row r="401" spans="1:17" x14ac:dyDescent="0.2">
      <c r="A401" s="263" t="s">
        <v>118</v>
      </c>
      <c r="B401" s="177" t="s">
        <v>28</v>
      </c>
      <c r="C401" s="274">
        <v>0.5</v>
      </c>
    </row>
    <row r="403" spans="1:17" ht="15.75" customHeight="1" x14ac:dyDescent="0.25">
      <c r="A403" s="336" t="s">
        <v>646</v>
      </c>
      <c r="B403" s="336"/>
      <c r="C403" s="275" t="s">
        <v>576</v>
      </c>
      <c r="D403" s="276" t="s">
        <v>579</v>
      </c>
      <c r="E403" s="276" t="s">
        <v>647</v>
      </c>
      <c r="F403" s="276" t="s">
        <v>648</v>
      </c>
      <c r="G403" s="276" t="s">
        <v>649</v>
      </c>
      <c r="H403" s="276" t="s">
        <v>650</v>
      </c>
      <c r="I403" s="276" t="s">
        <v>651</v>
      </c>
      <c r="J403" s="276" t="s">
        <v>652</v>
      </c>
      <c r="K403" s="276" t="s">
        <v>354</v>
      </c>
      <c r="L403" s="276" t="s">
        <v>653</v>
      </c>
      <c r="M403" s="276" t="s">
        <v>654</v>
      </c>
      <c r="N403" s="276" t="s">
        <v>655</v>
      </c>
      <c r="O403" s="276" t="s">
        <v>656</v>
      </c>
      <c r="P403" s="276" t="s">
        <v>657</v>
      </c>
      <c r="Q403" s="277" t="s">
        <v>658</v>
      </c>
    </row>
    <row r="404" spans="1:17" x14ac:dyDescent="0.2">
      <c r="A404" s="256" t="s">
        <v>659</v>
      </c>
      <c r="B404" s="337" t="s">
        <v>374</v>
      </c>
      <c r="C404" s="176" t="s">
        <v>660</v>
      </c>
      <c r="D404" s="176" t="s">
        <v>660</v>
      </c>
      <c r="E404" s="176" t="s">
        <v>660</v>
      </c>
      <c r="F404" s="176" t="s">
        <v>660</v>
      </c>
      <c r="G404" s="176" t="s">
        <v>660</v>
      </c>
      <c r="H404" s="176" t="s">
        <v>660</v>
      </c>
      <c r="I404" s="176" t="s">
        <v>660</v>
      </c>
      <c r="J404" s="176" t="s">
        <v>660</v>
      </c>
      <c r="K404" s="176" t="s">
        <v>660</v>
      </c>
      <c r="L404" s="176" t="s">
        <v>660</v>
      </c>
      <c r="M404" s="176" t="s">
        <v>660</v>
      </c>
      <c r="N404" s="176" t="s">
        <v>660</v>
      </c>
      <c r="O404" s="176" t="s">
        <v>660</v>
      </c>
      <c r="P404" s="176" t="s">
        <v>660</v>
      </c>
      <c r="Q404" s="176" t="s">
        <v>660</v>
      </c>
    </row>
    <row r="405" spans="1:17" x14ac:dyDescent="0.2">
      <c r="A405" s="256" t="s">
        <v>661</v>
      </c>
      <c r="B405" s="337"/>
      <c r="C405" s="176" t="s">
        <v>660</v>
      </c>
      <c r="D405" s="176" t="s">
        <v>660</v>
      </c>
      <c r="E405" s="176" t="s">
        <v>660</v>
      </c>
      <c r="F405" s="176" t="s">
        <v>660</v>
      </c>
      <c r="G405" s="176" t="s">
        <v>660</v>
      </c>
      <c r="H405" s="176" t="s">
        <v>660</v>
      </c>
      <c r="I405" s="176" t="s">
        <v>660</v>
      </c>
      <c r="J405" s="176" t="s">
        <v>660</v>
      </c>
      <c r="K405" s="176" t="s">
        <v>660</v>
      </c>
      <c r="L405" s="176" t="s">
        <v>660</v>
      </c>
      <c r="M405" s="176" t="s">
        <v>660</v>
      </c>
      <c r="N405" s="176" t="s">
        <v>660</v>
      </c>
      <c r="O405" s="176" t="s">
        <v>660</v>
      </c>
      <c r="P405" s="176" t="s">
        <v>660</v>
      </c>
      <c r="Q405" s="176" t="s">
        <v>660</v>
      </c>
    </row>
    <row r="406" spans="1:17" x14ac:dyDescent="0.2">
      <c r="A406" s="256" t="s">
        <v>662</v>
      </c>
      <c r="B406" s="337"/>
      <c r="C406" s="176" t="s">
        <v>660</v>
      </c>
      <c r="D406" s="176" t="s">
        <v>660</v>
      </c>
      <c r="E406" s="176" t="s">
        <v>660</v>
      </c>
      <c r="F406" s="176" t="s">
        <v>660</v>
      </c>
      <c r="G406" s="176" t="s">
        <v>660</v>
      </c>
      <c r="H406" s="176" t="s">
        <v>660</v>
      </c>
      <c r="I406" s="176" t="s">
        <v>660</v>
      </c>
      <c r="J406" s="176" t="s">
        <v>660</v>
      </c>
      <c r="K406" s="176" t="s">
        <v>660</v>
      </c>
      <c r="L406" s="176" t="s">
        <v>660</v>
      </c>
      <c r="M406" s="176" t="s">
        <v>660</v>
      </c>
      <c r="N406" s="176" t="s">
        <v>660</v>
      </c>
      <c r="O406" s="176" t="s">
        <v>660</v>
      </c>
      <c r="P406" s="176" t="s">
        <v>660</v>
      </c>
      <c r="Q406" s="176" t="s">
        <v>660</v>
      </c>
    </row>
    <row r="407" spans="1:17" x14ac:dyDescent="0.2">
      <c r="A407" s="256" t="s">
        <v>663</v>
      </c>
      <c r="B407" s="337"/>
      <c r="C407" s="176" t="s">
        <v>660</v>
      </c>
      <c r="D407" s="176" t="s">
        <v>660</v>
      </c>
      <c r="E407" s="176" t="s">
        <v>660</v>
      </c>
      <c r="F407" s="176" t="s">
        <v>660</v>
      </c>
      <c r="G407" s="176" t="s">
        <v>660</v>
      </c>
      <c r="H407" s="176" t="s">
        <v>660</v>
      </c>
      <c r="I407" s="176" t="s">
        <v>660</v>
      </c>
      <c r="J407" s="176" t="s">
        <v>660</v>
      </c>
      <c r="K407" s="176" t="s">
        <v>660</v>
      </c>
      <c r="L407" s="176" t="s">
        <v>660</v>
      </c>
      <c r="M407" s="176" t="s">
        <v>660</v>
      </c>
      <c r="N407" s="176" t="s">
        <v>660</v>
      </c>
      <c r="O407" s="176" t="s">
        <v>660</v>
      </c>
      <c r="P407" s="176" t="s">
        <v>660</v>
      </c>
      <c r="Q407" s="176" t="s">
        <v>660</v>
      </c>
    </row>
    <row r="408" spans="1:17" x14ac:dyDescent="0.2">
      <c r="A408" s="256" t="s">
        <v>664</v>
      </c>
      <c r="B408" s="337"/>
      <c r="C408" s="176" t="s">
        <v>660</v>
      </c>
      <c r="D408" s="176" t="s">
        <v>660</v>
      </c>
      <c r="E408" s="176" t="s">
        <v>660</v>
      </c>
      <c r="F408" s="176" t="s">
        <v>660</v>
      </c>
      <c r="G408" s="176" t="s">
        <v>660</v>
      </c>
      <c r="H408" s="176" t="s">
        <v>660</v>
      </c>
      <c r="I408" s="176" t="s">
        <v>660</v>
      </c>
      <c r="J408" s="176" t="s">
        <v>660</v>
      </c>
      <c r="K408" s="176" t="s">
        <v>660</v>
      </c>
      <c r="L408" s="176" t="s">
        <v>660</v>
      </c>
      <c r="M408" s="176" t="s">
        <v>660</v>
      </c>
      <c r="N408" s="176" t="s">
        <v>660</v>
      </c>
      <c r="O408" s="176" t="s">
        <v>660</v>
      </c>
      <c r="P408" s="176" t="s">
        <v>660</v>
      </c>
      <c r="Q408" s="176" t="s">
        <v>660</v>
      </c>
    </row>
    <row r="409" spans="1:17" x14ac:dyDescent="0.2">
      <c r="A409" s="256" t="s">
        <v>659</v>
      </c>
      <c r="B409" s="337" t="s">
        <v>375</v>
      </c>
      <c r="C409" s="176" t="s">
        <v>660</v>
      </c>
      <c r="D409" s="176" t="s">
        <v>660</v>
      </c>
      <c r="E409" s="176" t="s">
        <v>660</v>
      </c>
      <c r="F409" s="176" t="s">
        <v>660</v>
      </c>
      <c r="G409" s="176" t="s">
        <v>660</v>
      </c>
      <c r="H409" s="176" t="s">
        <v>660</v>
      </c>
      <c r="I409" s="176" t="s">
        <v>660</v>
      </c>
      <c r="J409" s="176" t="s">
        <v>660</v>
      </c>
      <c r="K409" s="176" t="s">
        <v>660</v>
      </c>
      <c r="L409" s="176" t="s">
        <v>660</v>
      </c>
      <c r="M409" s="176" t="s">
        <v>660</v>
      </c>
      <c r="N409" s="176" t="s">
        <v>660</v>
      </c>
      <c r="O409" s="176" t="s">
        <v>660</v>
      </c>
      <c r="P409" s="176" t="s">
        <v>660</v>
      </c>
      <c r="Q409" s="176" t="s">
        <v>660</v>
      </c>
    </row>
    <row r="410" spans="1:17" x14ac:dyDescent="0.2">
      <c r="A410" s="256" t="s">
        <v>661</v>
      </c>
      <c r="B410" s="337"/>
      <c r="C410" s="176" t="s">
        <v>660</v>
      </c>
      <c r="D410" s="176" t="s">
        <v>660</v>
      </c>
      <c r="E410" s="176" t="s">
        <v>660</v>
      </c>
      <c r="F410" s="176" t="s">
        <v>660</v>
      </c>
      <c r="G410" s="176" t="s">
        <v>660</v>
      </c>
      <c r="H410" s="176" t="s">
        <v>660</v>
      </c>
      <c r="I410" s="176" t="s">
        <v>660</v>
      </c>
      <c r="J410" s="176" t="s">
        <v>660</v>
      </c>
      <c r="K410" s="176" t="s">
        <v>660</v>
      </c>
      <c r="L410" s="176" t="s">
        <v>660</v>
      </c>
      <c r="M410" s="176" t="s">
        <v>660</v>
      </c>
      <c r="N410" s="176" t="s">
        <v>660</v>
      </c>
      <c r="O410" s="176" t="s">
        <v>660</v>
      </c>
      <c r="P410" s="176" t="s">
        <v>660</v>
      </c>
      <c r="Q410" s="176" t="s">
        <v>660</v>
      </c>
    </row>
    <row r="411" spans="1:17" x14ac:dyDescent="0.2">
      <c r="A411" s="256" t="s">
        <v>662</v>
      </c>
      <c r="B411" s="337"/>
      <c r="C411" s="176" t="s">
        <v>660</v>
      </c>
      <c r="D411" s="176" t="s">
        <v>660</v>
      </c>
      <c r="E411" s="176" t="s">
        <v>660</v>
      </c>
      <c r="F411" s="176" t="s">
        <v>660</v>
      </c>
      <c r="G411" s="176" t="s">
        <v>660</v>
      </c>
      <c r="H411" s="176" t="s">
        <v>660</v>
      </c>
      <c r="I411" s="176" t="s">
        <v>660</v>
      </c>
      <c r="J411" s="176" t="s">
        <v>660</v>
      </c>
      <c r="K411" s="176" t="s">
        <v>660</v>
      </c>
      <c r="L411" s="176" t="s">
        <v>660</v>
      </c>
      <c r="M411" s="176" t="s">
        <v>660</v>
      </c>
      <c r="N411" s="176" t="s">
        <v>660</v>
      </c>
      <c r="O411" s="176" t="s">
        <v>660</v>
      </c>
      <c r="P411" s="176" t="s">
        <v>660</v>
      </c>
      <c r="Q411" s="176" t="s">
        <v>660</v>
      </c>
    </row>
    <row r="412" spans="1:17" x14ac:dyDescent="0.2">
      <c r="A412" s="256" t="s">
        <v>663</v>
      </c>
      <c r="B412" s="337"/>
      <c r="C412" s="176" t="s">
        <v>660</v>
      </c>
      <c r="D412" s="176" t="s">
        <v>660</v>
      </c>
      <c r="E412" s="176" t="s">
        <v>660</v>
      </c>
      <c r="F412" s="176" t="s">
        <v>660</v>
      </c>
      <c r="G412" s="176" t="s">
        <v>660</v>
      </c>
      <c r="H412" s="176" t="s">
        <v>660</v>
      </c>
      <c r="I412" s="176" t="s">
        <v>660</v>
      </c>
      <c r="J412" s="176" t="s">
        <v>660</v>
      </c>
      <c r="K412" s="176" t="s">
        <v>660</v>
      </c>
      <c r="L412" s="176" t="s">
        <v>660</v>
      </c>
      <c r="M412" s="176" t="s">
        <v>660</v>
      </c>
      <c r="N412" s="176" t="s">
        <v>660</v>
      </c>
      <c r="O412" s="176" t="s">
        <v>660</v>
      </c>
      <c r="P412" s="176" t="s">
        <v>660</v>
      </c>
      <c r="Q412" s="176" t="s">
        <v>660</v>
      </c>
    </row>
    <row r="413" spans="1:17" x14ac:dyDescent="0.2">
      <c r="A413" s="256" t="s">
        <v>664</v>
      </c>
      <c r="B413" s="337"/>
      <c r="C413" s="176" t="s">
        <v>660</v>
      </c>
      <c r="D413" s="176" t="s">
        <v>660</v>
      </c>
      <c r="E413" s="176" t="s">
        <v>660</v>
      </c>
      <c r="F413" s="176" t="s">
        <v>660</v>
      </c>
      <c r="G413" s="176" t="s">
        <v>660</v>
      </c>
      <c r="H413" s="176" t="s">
        <v>660</v>
      </c>
      <c r="I413" s="176" t="s">
        <v>660</v>
      </c>
      <c r="J413" s="176" t="s">
        <v>660</v>
      </c>
      <c r="K413" s="176" t="s">
        <v>660</v>
      </c>
      <c r="L413" s="176" t="s">
        <v>660</v>
      </c>
      <c r="M413" s="176" t="s">
        <v>660</v>
      </c>
      <c r="N413" s="176" t="s">
        <v>660</v>
      </c>
      <c r="O413" s="176" t="s">
        <v>660</v>
      </c>
      <c r="P413" s="176" t="s">
        <v>660</v>
      </c>
      <c r="Q413" s="176" t="s">
        <v>660</v>
      </c>
    </row>
    <row r="414" spans="1:17" x14ac:dyDescent="0.2">
      <c r="A414" s="256" t="s">
        <v>665</v>
      </c>
      <c r="B414" s="337" t="s">
        <v>376</v>
      </c>
      <c r="C414" s="176" t="s">
        <v>660</v>
      </c>
      <c r="D414" s="176" t="s">
        <v>660</v>
      </c>
      <c r="E414" s="176" t="s">
        <v>660</v>
      </c>
      <c r="F414" s="176" t="s">
        <v>660</v>
      </c>
      <c r="G414" s="176" t="s">
        <v>660</v>
      </c>
      <c r="H414" s="176" t="s">
        <v>660</v>
      </c>
      <c r="I414" s="176" t="s">
        <v>660</v>
      </c>
      <c r="J414" s="176" t="s">
        <v>660</v>
      </c>
      <c r="K414" s="176" t="s">
        <v>660</v>
      </c>
      <c r="L414" s="176" t="s">
        <v>660</v>
      </c>
      <c r="M414" s="176" t="s">
        <v>660</v>
      </c>
      <c r="N414" s="176" t="s">
        <v>660</v>
      </c>
      <c r="O414" s="176" t="s">
        <v>660</v>
      </c>
      <c r="P414" s="176" t="s">
        <v>660</v>
      </c>
      <c r="Q414" s="176" t="s">
        <v>660</v>
      </c>
    </row>
    <row r="415" spans="1:17" x14ac:dyDescent="0.2">
      <c r="A415" s="256" t="s">
        <v>661</v>
      </c>
      <c r="B415" s="337"/>
      <c r="C415" s="176" t="s">
        <v>660</v>
      </c>
      <c r="D415" s="176" t="s">
        <v>660</v>
      </c>
      <c r="E415" s="176" t="s">
        <v>660</v>
      </c>
      <c r="F415" s="176" t="s">
        <v>660</v>
      </c>
      <c r="G415" s="176" t="s">
        <v>660</v>
      </c>
      <c r="H415" s="176" t="s">
        <v>660</v>
      </c>
      <c r="I415" s="176" t="s">
        <v>660</v>
      </c>
      <c r="J415" s="176" t="s">
        <v>660</v>
      </c>
      <c r="K415" s="176" t="s">
        <v>660</v>
      </c>
      <c r="L415" s="176" t="s">
        <v>660</v>
      </c>
      <c r="M415" s="176" t="s">
        <v>660</v>
      </c>
      <c r="N415" s="176" t="s">
        <v>660</v>
      </c>
      <c r="O415" s="176" t="s">
        <v>660</v>
      </c>
      <c r="P415" s="176" t="s">
        <v>660</v>
      </c>
      <c r="Q415" s="176" t="s">
        <v>660</v>
      </c>
    </row>
    <row r="416" spans="1:17" x14ac:dyDescent="0.2">
      <c r="A416" s="256" t="s">
        <v>662</v>
      </c>
      <c r="B416" s="337"/>
      <c r="C416" s="176" t="s">
        <v>660</v>
      </c>
      <c r="D416" s="176" t="s">
        <v>660</v>
      </c>
      <c r="E416" s="176" t="s">
        <v>660</v>
      </c>
      <c r="F416" s="176" t="s">
        <v>660</v>
      </c>
      <c r="G416" s="176" t="s">
        <v>660</v>
      </c>
      <c r="H416" s="176" t="s">
        <v>660</v>
      </c>
      <c r="I416" s="176" t="s">
        <v>660</v>
      </c>
      <c r="J416" s="176" t="s">
        <v>660</v>
      </c>
      <c r="K416" s="176" t="s">
        <v>660</v>
      </c>
      <c r="L416" s="176" t="s">
        <v>660</v>
      </c>
      <c r="M416" s="176" t="s">
        <v>660</v>
      </c>
      <c r="N416" s="176" t="s">
        <v>660</v>
      </c>
      <c r="O416" s="176" t="s">
        <v>660</v>
      </c>
      <c r="P416" s="176" t="s">
        <v>660</v>
      </c>
      <c r="Q416" s="176" t="s">
        <v>660</v>
      </c>
    </row>
    <row r="417" spans="1:17" x14ac:dyDescent="0.2">
      <c r="A417" s="256" t="s">
        <v>663</v>
      </c>
      <c r="B417" s="337"/>
      <c r="C417" s="176" t="s">
        <v>660</v>
      </c>
      <c r="D417" s="176" t="s">
        <v>660</v>
      </c>
      <c r="E417" s="176" t="s">
        <v>660</v>
      </c>
      <c r="F417" s="176" t="s">
        <v>660</v>
      </c>
      <c r="G417" s="176" t="s">
        <v>660</v>
      </c>
      <c r="H417" s="176" t="s">
        <v>660</v>
      </c>
      <c r="I417" s="176" t="s">
        <v>660</v>
      </c>
      <c r="J417" s="176" t="s">
        <v>660</v>
      </c>
      <c r="K417" s="176" t="s">
        <v>660</v>
      </c>
      <c r="L417" s="176" t="s">
        <v>660</v>
      </c>
      <c r="M417" s="176" t="s">
        <v>660</v>
      </c>
      <c r="N417" s="176" t="s">
        <v>660</v>
      </c>
      <c r="O417" s="176" t="s">
        <v>660</v>
      </c>
      <c r="P417" s="176" t="s">
        <v>660</v>
      </c>
      <c r="Q417" s="176" t="s">
        <v>660</v>
      </c>
    </row>
    <row r="418" spans="1:17" x14ac:dyDescent="0.2">
      <c r="A418" s="256" t="s">
        <v>664</v>
      </c>
      <c r="B418" s="337"/>
      <c r="C418" s="176" t="s">
        <v>660</v>
      </c>
      <c r="D418" s="176" t="s">
        <v>660</v>
      </c>
      <c r="E418" s="176" t="s">
        <v>660</v>
      </c>
      <c r="F418" s="176" t="s">
        <v>660</v>
      </c>
      <c r="G418" s="176" t="s">
        <v>660</v>
      </c>
      <c r="H418" s="176" t="s">
        <v>660</v>
      </c>
      <c r="I418" s="176" t="s">
        <v>660</v>
      </c>
      <c r="J418" s="176" t="s">
        <v>660</v>
      </c>
      <c r="K418" s="176" t="s">
        <v>660</v>
      </c>
      <c r="L418" s="176" t="s">
        <v>660</v>
      </c>
      <c r="M418" s="176" t="s">
        <v>660</v>
      </c>
      <c r="N418" s="176" t="s">
        <v>660</v>
      </c>
      <c r="O418" s="176" t="s">
        <v>660</v>
      </c>
      <c r="P418" s="176" t="s">
        <v>660</v>
      </c>
      <c r="Q418" s="176" t="s">
        <v>660</v>
      </c>
    </row>
    <row r="419" spans="1:17" x14ac:dyDescent="0.2">
      <c r="A419" s="256" t="s">
        <v>659</v>
      </c>
      <c r="B419" s="337" t="s">
        <v>377</v>
      </c>
      <c r="C419" s="176" t="s">
        <v>660</v>
      </c>
      <c r="D419" s="176" t="s">
        <v>660</v>
      </c>
      <c r="E419" s="176" t="s">
        <v>660</v>
      </c>
      <c r="F419" s="176" t="s">
        <v>660</v>
      </c>
      <c r="G419" s="176" t="s">
        <v>660</v>
      </c>
      <c r="H419" s="176" t="s">
        <v>660</v>
      </c>
      <c r="I419" s="176" t="s">
        <v>660</v>
      </c>
      <c r="J419" s="176" t="s">
        <v>660</v>
      </c>
      <c r="K419" s="176" t="s">
        <v>660</v>
      </c>
      <c r="L419" s="176" t="s">
        <v>660</v>
      </c>
      <c r="M419" s="176" t="s">
        <v>660</v>
      </c>
      <c r="N419" s="176" t="s">
        <v>660</v>
      </c>
      <c r="O419" s="176" t="s">
        <v>660</v>
      </c>
      <c r="P419" s="176" t="s">
        <v>660</v>
      </c>
      <c r="Q419" s="176" t="s">
        <v>660</v>
      </c>
    </row>
    <row r="420" spans="1:17" x14ac:dyDescent="0.2">
      <c r="A420" s="256" t="s">
        <v>661</v>
      </c>
      <c r="B420" s="337"/>
      <c r="C420" s="176" t="s">
        <v>660</v>
      </c>
      <c r="D420" s="176" t="s">
        <v>660</v>
      </c>
      <c r="E420" s="176" t="s">
        <v>660</v>
      </c>
      <c r="F420" s="176" t="s">
        <v>660</v>
      </c>
      <c r="G420" s="176" t="s">
        <v>660</v>
      </c>
      <c r="H420" s="176" t="s">
        <v>660</v>
      </c>
      <c r="I420" s="176" t="s">
        <v>660</v>
      </c>
      <c r="J420" s="176" t="s">
        <v>660</v>
      </c>
      <c r="K420" s="176" t="s">
        <v>660</v>
      </c>
      <c r="L420" s="176" t="s">
        <v>660</v>
      </c>
      <c r="M420" s="176" t="s">
        <v>660</v>
      </c>
      <c r="N420" s="176" t="s">
        <v>660</v>
      </c>
      <c r="O420" s="176" t="s">
        <v>660</v>
      </c>
      <c r="P420" s="176" t="s">
        <v>660</v>
      </c>
      <c r="Q420" s="176" t="s">
        <v>660</v>
      </c>
    </row>
    <row r="421" spans="1:17" x14ac:dyDescent="0.2">
      <c r="A421" s="256" t="s">
        <v>662</v>
      </c>
      <c r="B421" s="337"/>
      <c r="C421" s="176" t="s">
        <v>660</v>
      </c>
      <c r="D421" s="176" t="s">
        <v>660</v>
      </c>
      <c r="E421" s="176" t="s">
        <v>660</v>
      </c>
      <c r="F421" s="176" t="s">
        <v>660</v>
      </c>
      <c r="G421" s="176" t="s">
        <v>660</v>
      </c>
      <c r="H421" s="176" t="s">
        <v>660</v>
      </c>
      <c r="I421" s="176" t="s">
        <v>660</v>
      </c>
      <c r="J421" s="176" t="s">
        <v>660</v>
      </c>
      <c r="K421" s="176" t="s">
        <v>660</v>
      </c>
      <c r="L421" s="176" t="s">
        <v>660</v>
      </c>
      <c r="M421" s="176" t="s">
        <v>660</v>
      </c>
      <c r="N421" s="176" t="s">
        <v>660</v>
      </c>
      <c r="O421" s="176" t="s">
        <v>660</v>
      </c>
      <c r="P421" s="176" t="s">
        <v>660</v>
      </c>
      <c r="Q421" s="176" t="s">
        <v>660</v>
      </c>
    </row>
    <row r="422" spans="1:17" x14ac:dyDescent="0.2">
      <c r="A422" s="256" t="s">
        <v>663</v>
      </c>
      <c r="B422" s="337"/>
      <c r="C422" s="176" t="s">
        <v>660</v>
      </c>
      <c r="D422" s="176" t="s">
        <v>660</v>
      </c>
      <c r="E422" s="176" t="s">
        <v>660</v>
      </c>
      <c r="F422" s="176" t="s">
        <v>660</v>
      </c>
      <c r="G422" s="176" t="s">
        <v>660</v>
      </c>
      <c r="H422" s="176" t="s">
        <v>660</v>
      </c>
      <c r="I422" s="176" t="s">
        <v>660</v>
      </c>
      <c r="J422" s="176" t="s">
        <v>660</v>
      </c>
      <c r="K422" s="176" t="s">
        <v>660</v>
      </c>
      <c r="L422" s="176" t="s">
        <v>660</v>
      </c>
      <c r="M422" s="176" t="s">
        <v>660</v>
      </c>
      <c r="N422" s="176" t="s">
        <v>660</v>
      </c>
      <c r="O422" s="176" t="s">
        <v>660</v>
      </c>
      <c r="P422" s="176" t="s">
        <v>660</v>
      </c>
      <c r="Q422" s="176" t="s">
        <v>660</v>
      </c>
    </row>
    <row r="423" spans="1:17" x14ac:dyDescent="0.2">
      <c r="A423" s="256" t="s">
        <v>664</v>
      </c>
      <c r="B423" s="337"/>
      <c r="C423" s="176" t="s">
        <v>660</v>
      </c>
      <c r="D423" s="176" t="s">
        <v>660</v>
      </c>
      <c r="E423" s="176" t="s">
        <v>660</v>
      </c>
      <c r="F423" s="176" t="s">
        <v>660</v>
      </c>
      <c r="G423" s="176" t="s">
        <v>660</v>
      </c>
      <c r="H423" s="176" t="s">
        <v>660</v>
      </c>
      <c r="I423" s="176" t="s">
        <v>660</v>
      </c>
      <c r="J423" s="176" t="s">
        <v>660</v>
      </c>
      <c r="K423" s="176" t="s">
        <v>660</v>
      </c>
      <c r="L423" s="176" t="s">
        <v>660</v>
      </c>
      <c r="M423" s="176" t="s">
        <v>660</v>
      </c>
      <c r="N423" s="176" t="s">
        <v>660</v>
      </c>
      <c r="O423" s="176" t="s">
        <v>660</v>
      </c>
      <c r="P423" s="176" t="s">
        <v>660</v>
      </c>
      <c r="Q423" s="176" t="s">
        <v>660</v>
      </c>
    </row>
    <row r="424" spans="1:17" x14ac:dyDescent="0.2">
      <c r="A424" s="256" t="s">
        <v>659</v>
      </c>
      <c r="B424" s="337" t="s">
        <v>378</v>
      </c>
      <c r="C424" s="176" t="s">
        <v>660</v>
      </c>
      <c r="D424" s="176" t="s">
        <v>660</v>
      </c>
      <c r="E424" s="176" t="s">
        <v>660</v>
      </c>
      <c r="F424" s="176" t="s">
        <v>660</v>
      </c>
      <c r="G424" s="176" t="s">
        <v>660</v>
      </c>
      <c r="H424" s="176" t="s">
        <v>660</v>
      </c>
      <c r="I424" s="176" t="s">
        <v>660</v>
      </c>
      <c r="J424" s="176" t="s">
        <v>660</v>
      </c>
      <c r="K424" s="176" t="s">
        <v>660</v>
      </c>
      <c r="L424" s="176" t="s">
        <v>660</v>
      </c>
      <c r="M424" s="176" t="s">
        <v>660</v>
      </c>
      <c r="N424" s="176" t="s">
        <v>660</v>
      </c>
      <c r="O424" s="176" t="s">
        <v>660</v>
      </c>
      <c r="P424" s="176" t="s">
        <v>660</v>
      </c>
      <c r="Q424" s="176" t="s">
        <v>660</v>
      </c>
    </row>
    <row r="425" spans="1:17" x14ac:dyDescent="0.2">
      <c r="A425" s="256" t="s">
        <v>661</v>
      </c>
      <c r="B425" s="337"/>
      <c r="C425" s="176" t="s">
        <v>660</v>
      </c>
      <c r="D425" s="176" t="s">
        <v>660</v>
      </c>
      <c r="E425" s="176" t="s">
        <v>660</v>
      </c>
      <c r="F425" s="176" t="s">
        <v>660</v>
      </c>
      <c r="G425" s="176" t="s">
        <v>660</v>
      </c>
      <c r="H425" s="176" t="s">
        <v>660</v>
      </c>
      <c r="I425" s="176" t="s">
        <v>660</v>
      </c>
      <c r="J425" s="176" t="s">
        <v>660</v>
      </c>
      <c r="K425" s="176" t="s">
        <v>660</v>
      </c>
      <c r="L425" s="176" t="s">
        <v>660</v>
      </c>
      <c r="M425" s="176" t="s">
        <v>660</v>
      </c>
      <c r="N425" s="176" t="s">
        <v>660</v>
      </c>
      <c r="O425" s="176" t="s">
        <v>660</v>
      </c>
      <c r="P425" s="176" t="s">
        <v>660</v>
      </c>
      <c r="Q425" s="176" t="s">
        <v>660</v>
      </c>
    </row>
    <row r="426" spans="1:17" x14ac:dyDescent="0.2">
      <c r="A426" s="256" t="s">
        <v>662</v>
      </c>
      <c r="B426" s="337"/>
      <c r="C426" s="176" t="s">
        <v>660</v>
      </c>
      <c r="D426" s="176" t="s">
        <v>660</v>
      </c>
      <c r="E426" s="176" t="s">
        <v>660</v>
      </c>
      <c r="F426" s="176" t="s">
        <v>660</v>
      </c>
      <c r="G426" s="176" t="s">
        <v>660</v>
      </c>
      <c r="H426" s="176" t="s">
        <v>660</v>
      </c>
      <c r="I426" s="176" t="s">
        <v>660</v>
      </c>
      <c r="J426" s="176" t="s">
        <v>660</v>
      </c>
      <c r="K426" s="176" t="s">
        <v>660</v>
      </c>
      <c r="L426" s="176" t="s">
        <v>660</v>
      </c>
      <c r="M426" s="176" t="s">
        <v>660</v>
      </c>
      <c r="N426" s="176" t="s">
        <v>660</v>
      </c>
      <c r="O426" s="176" t="s">
        <v>660</v>
      </c>
      <c r="P426" s="176" t="s">
        <v>660</v>
      </c>
      <c r="Q426" s="176" t="s">
        <v>660</v>
      </c>
    </row>
    <row r="427" spans="1:17" x14ac:dyDescent="0.2">
      <c r="A427" s="256" t="s">
        <v>663</v>
      </c>
      <c r="B427" s="337"/>
      <c r="C427" s="176" t="s">
        <v>660</v>
      </c>
      <c r="D427" s="176" t="s">
        <v>660</v>
      </c>
      <c r="E427" s="176" t="s">
        <v>660</v>
      </c>
      <c r="F427" s="176" t="s">
        <v>660</v>
      </c>
      <c r="G427" s="176" t="s">
        <v>660</v>
      </c>
      <c r="H427" s="176" t="s">
        <v>660</v>
      </c>
      <c r="I427" s="176" t="s">
        <v>660</v>
      </c>
      <c r="J427" s="176" t="s">
        <v>660</v>
      </c>
      <c r="K427" s="176" t="s">
        <v>660</v>
      </c>
      <c r="L427" s="176" t="s">
        <v>660</v>
      </c>
      <c r="M427" s="176" t="s">
        <v>660</v>
      </c>
      <c r="N427" s="176" t="s">
        <v>660</v>
      </c>
      <c r="O427" s="176" t="s">
        <v>660</v>
      </c>
      <c r="P427" s="176" t="s">
        <v>660</v>
      </c>
      <c r="Q427" s="176" t="s">
        <v>660</v>
      </c>
    </row>
    <row r="428" spans="1:17" x14ac:dyDescent="0.2">
      <c r="A428" s="263" t="s">
        <v>664</v>
      </c>
      <c r="B428" s="337"/>
      <c r="C428" s="208" t="s">
        <v>660</v>
      </c>
      <c r="D428" s="208" t="s">
        <v>660</v>
      </c>
      <c r="E428" s="208" t="s">
        <v>660</v>
      </c>
      <c r="F428" s="208" t="s">
        <v>660</v>
      </c>
      <c r="G428" s="208" t="s">
        <v>660</v>
      </c>
      <c r="H428" s="208" t="s">
        <v>660</v>
      </c>
      <c r="I428" s="208" t="s">
        <v>660</v>
      </c>
      <c r="J428" s="208" t="s">
        <v>660</v>
      </c>
      <c r="K428" s="208" t="s">
        <v>660</v>
      </c>
      <c r="L428" s="208" t="s">
        <v>660</v>
      </c>
      <c r="M428" s="208" t="s">
        <v>660</v>
      </c>
      <c r="N428" s="208" t="s">
        <v>660</v>
      </c>
      <c r="O428" s="208" t="s">
        <v>660</v>
      </c>
      <c r="P428" s="208" t="s">
        <v>660</v>
      </c>
      <c r="Q428" s="208" t="s">
        <v>660</v>
      </c>
    </row>
  </sheetData>
  <mergeCells count="126">
    <mergeCell ref="A381:C381"/>
    <mergeCell ref="A390:C390"/>
    <mergeCell ref="A397:C397"/>
    <mergeCell ref="A403:B403"/>
    <mergeCell ref="B404:B408"/>
    <mergeCell ref="B409:B413"/>
    <mergeCell ref="B414:B418"/>
    <mergeCell ref="B419:B423"/>
    <mergeCell ref="B424:B428"/>
    <mergeCell ref="A273:A276"/>
    <mergeCell ref="C273:C276"/>
    <mergeCell ref="A281:I281"/>
    <mergeCell ref="A340:I340"/>
    <mergeCell ref="A364:H364"/>
    <mergeCell ref="A366:H366"/>
    <mergeCell ref="A368:H368"/>
    <mergeCell ref="A370:H370"/>
    <mergeCell ref="A373:I373"/>
    <mergeCell ref="A238:D238"/>
    <mergeCell ref="A239:D239"/>
    <mergeCell ref="A240:C240"/>
    <mergeCell ref="C242:E242"/>
    <mergeCell ref="A244:A262"/>
    <mergeCell ref="A263:C263"/>
    <mergeCell ref="A269:C269"/>
    <mergeCell ref="A270:C270"/>
    <mergeCell ref="A272:C272"/>
    <mergeCell ref="A218:B218"/>
    <mergeCell ref="A219:B219"/>
    <mergeCell ref="A220:B220"/>
    <mergeCell ref="A221:C221"/>
    <mergeCell ref="A225:C225"/>
    <mergeCell ref="A227:A229"/>
    <mergeCell ref="C227:C229"/>
    <mergeCell ref="A231:A233"/>
    <mergeCell ref="C231:C233"/>
    <mergeCell ref="A206:B206"/>
    <mergeCell ref="A207:B207"/>
    <mergeCell ref="A209:C209"/>
    <mergeCell ref="A210:A211"/>
    <mergeCell ref="C210:C211"/>
    <mergeCell ref="A214:Q214"/>
    <mergeCell ref="A215:B215"/>
    <mergeCell ref="A216:B216"/>
    <mergeCell ref="A217:B217"/>
    <mergeCell ref="A197:B197"/>
    <mergeCell ref="A198:B198"/>
    <mergeCell ref="A199:B199"/>
    <mergeCell ref="A200:B200"/>
    <mergeCell ref="A201:B201"/>
    <mergeCell ref="A202:Q202"/>
    <mergeCell ref="A203:B203"/>
    <mergeCell ref="A204:B204"/>
    <mergeCell ref="A205:B205"/>
    <mergeCell ref="A188:B188"/>
    <mergeCell ref="A189:B189"/>
    <mergeCell ref="A190:Q190"/>
    <mergeCell ref="A191:B191"/>
    <mergeCell ref="A192:B192"/>
    <mergeCell ref="A193:B193"/>
    <mergeCell ref="A194:B194"/>
    <mergeCell ref="A195:B195"/>
    <mergeCell ref="A196:Q196"/>
    <mergeCell ref="A179:B179"/>
    <mergeCell ref="A180:B180"/>
    <mergeCell ref="A181:B181"/>
    <mergeCell ref="A182:B182"/>
    <mergeCell ref="A183:B183"/>
    <mergeCell ref="A184:Q184"/>
    <mergeCell ref="A185:B185"/>
    <mergeCell ref="A186:B186"/>
    <mergeCell ref="A187:B187"/>
    <mergeCell ref="A153:A156"/>
    <mergeCell ref="A157:A160"/>
    <mergeCell ref="A161:A164"/>
    <mergeCell ref="A168:E168"/>
    <mergeCell ref="A169:E169"/>
    <mergeCell ref="A171:A173"/>
    <mergeCell ref="C171:C173"/>
    <mergeCell ref="A175:C175"/>
    <mergeCell ref="A178:B178"/>
    <mergeCell ref="A123:A125"/>
    <mergeCell ref="A126:A128"/>
    <mergeCell ref="B129:B131"/>
    <mergeCell ref="A133:I133"/>
    <mergeCell ref="A135:A138"/>
    <mergeCell ref="A139:A142"/>
    <mergeCell ref="A143:A146"/>
    <mergeCell ref="A147:I147"/>
    <mergeCell ref="A149:A152"/>
    <mergeCell ref="A93:A94"/>
    <mergeCell ref="A95:A96"/>
    <mergeCell ref="A97:A98"/>
    <mergeCell ref="A101:C101"/>
    <mergeCell ref="A113:E113"/>
    <mergeCell ref="A114:A117"/>
    <mergeCell ref="B114:B117"/>
    <mergeCell ref="D116:E117"/>
    <mergeCell ref="A121:J121"/>
    <mergeCell ref="A74:A75"/>
    <mergeCell ref="A77:C77"/>
    <mergeCell ref="A79:C79"/>
    <mergeCell ref="A82:C82"/>
    <mergeCell ref="A83:A84"/>
    <mergeCell ref="A85:A86"/>
    <mergeCell ref="A87:A88"/>
    <mergeCell ref="A89:A90"/>
    <mergeCell ref="A91:A92"/>
    <mergeCell ref="A31:C31"/>
    <mergeCell ref="A35:C35"/>
    <mergeCell ref="A41:C41"/>
    <mergeCell ref="A44:C44"/>
    <mergeCell ref="A47:C47"/>
    <mergeCell ref="A53:C53"/>
    <mergeCell ref="A60:I60"/>
    <mergeCell ref="A70:A71"/>
    <mergeCell ref="A73:C73"/>
    <mergeCell ref="A1:C1"/>
    <mergeCell ref="A3:AL3"/>
    <mergeCell ref="A4:A5"/>
    <mergeCell ref="A7:AL7"/>
    <mergeCell ref="G8:AL8"/>
    <mergeCell ref="A9:A10"/>
    <mergeCell ref="A14:I14"/>
    <mergeCell ref="A27:I27"/>
    <mergeCell ref="A30:C30"/>
  </mergeCells>
  <conditionalFormatting sqref="C216:AD220">
    <cfRule type="cellIs" dxfId="3" priority="2" operator="lessThan">
      <formula>0</formula>
    </cfRule>
  </conditionalFormatting>
  <pageMargins left="0.7" right="0.7" top="0.75" bottom="0.75"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19</TotalTime>
  <Application>Microsoft Macintosh Excel</Application>
  <DocSecurity>0</DocSecurity>
  <ScaleCrop>false</ScaleCrop>
  <HeadingPairs>
    <vt:vector size="4" baseType="variant">
      <vt:variant>
        <vt:lpstr>Worksheets</vt:lpstr>
      </vt:variant>
      <vt:variant>
        <vt:i4>6</vt:i4>
      </vt:variant>
      <vt:variant>
        <vt:lpstr>Named Ranges</vt:lpstr>
      </vt:variant>
      <vt:variant>
        <vt:i4>636</vt:i4>
      </vt:variant>
    </vt:vector>
  </HeadingPairs>
  <TitlesOfParts>
    <vt:vector size="642" baseType="lpstr">
      <vt:lpstr>Readme</vt:lpstr>
      <vt:lpstr>Info input variables</vt:lpstr>
      <vt:lpstr>NZP</vt:lpstr>
      <vt:lpstr>NZP_SE</vt:lpstr>
      <vt:lpstr>NZP_CCS</vt:lpstr>
      <vt:lpstr>NZP_CCS_SE</vt:lpstr>
      <vt:lpstr>NZP!activate_afforestation_program</vt:lpstr>
      <vt:lpstr>NZP_CCS!activate_afforestation_program</vt:lpstr>
      <vt:lpstr>NZP_CCS_SE!activate_afforestation_program</vt:lpstr>
      <vt:lpstr>NZP_SE!activate_afforestation_program</vt:lpstr>
      <vt:lpstr>NZP!activate_ELF</vt:lpstr>
      <vt:lpstr>NZP_CCS!activate_ELF</vt:lpstr>
      <vt:lpstr>NZP_CCS_SE!activate_ELF</vt:lpstr>
      <vt:lpstr>NZP_SE!activate_ELF</vt:lpstr>
      <vt:lpstr>NZP!activate_policy_leaving_underground</vt:lpstr>
      <vt:lpstr>NZP_CCS!activate_policy_leaving_underground</vt:lpstr>
      <vt:lpstr>NZP_CCS_SE!activate_policy_leaving_underground</vt:lpstr>
      <vt:lpstr>NZP_SE!activate_policy_leaving_underground</vt:lpstr>
      <vt:lpstr>NZP!afforestation</vt:lpstr>
      <vt:lpstr>NZP_CCS!afforestation</vt:lpstr>
      <vt:lpstr>NZP_CCS_SE!afforestation</vt:lpstr>
      <vt:lpstr>NZP_SE!afforestation</vt:lpstr>
      <vt:lpstr>NZP!average_solar_I</vt:lpstr>
      <vt:lpstr>NZP_CCS!average_solar_I</vt:lpstr>
      <vt:lpstr>NZP_CCS_SE!average_solar_I</vt:lpstr>
      <vt:lpstr>NZP_SE!average_solar_I</vt:lpstr>
      <vt:lpstr>NZP!cell_efficiency_target_year</vt:lpstr>
      <vt:lpstr>NZP_CCS!cell_efficiency_target_year</vt:lpstr>
      <vt:lpstr>NZP_CCS_SE!cell_efficiency_target_year</vt:lpstr>
      <vt:lpstr>NZP_SE!cell_efficiency_target_year</vt:lpstr>
      <vt:lpstr>NZP!choose_energy_intensity_target_method</vt:lpstr>
      <vt:lpstr>NZP_CCS!choose_energy_intensity_target_method</vt:lpstr>
      <vt:lpstr>NZP_CCS_SE!choose_energy_intensity_target_method</vt:lpstr>
      <vt:lpstr>NZP_SE!choose_energy_intensity_target_method</vt:lpstr>
      <vt:lpstr>NZP!choose_targets_mineral_recycling_rates</vt:lpstr>
      <vt:lpstr>NZP_CCS!choose_targets_mineral_recycling_rates</vt:lpstr>
      <vt:lpstr>NZP_CCS_SE!choose_targets_mineral_recycling_rates</vt:lpstr>
      <vt:lpstr>NZP_SE!choose_targets_mineral_recycling_rates</vt:lpstr>
      <vt:lpstr>NZP!co2_luc</vt:lpstr>
      <vt:lpstr>NZP_CCS!co2_luc</vt:lpstr>
      <vt:lpstr>NZP_CCS_SE!co2_luc</vt:lpstr>
      <vt:lpstr>NZP_SE!co2_luc</vt:lpstr>
      <vt:lpstr>NZP!coal_net_flux_timeseries</vt:lpstr>
      <vt:lpstr>NZP_CCS!coal_net_flux_timeseries</vt:lpstr>
      <vt:lpstr>NZP_SE!coal_net_flux_timeseries</vt:lpstr>
      <vt:lpstr>coal_net_flux_timeseries</vt:lpstr>
      <vt:lpstr>NZP!crash_programme_CTL</vt:lpstr>
      <vt:lpstr>NZP_CCS!crash_programme_CTL</vt:lpstr>
      <vt:lpstr>NZP_CCS_SE!crash_programme_CTL</vt:lpstr>
      <vt:lpstr>NZP_SE!crash_programme_CTL</vt:lpstr>
      <vt:lpstr>NZP!crash_programme_GTL</vt:lpstr>
      <vt:lpstr>NZP_CCS!crash_programme_GTL</vt:lpstr>
      <vt:lpstr>NZP_CCS_SE!crash_programme_GTL</vt:lpstr>
      <vt:lpstr>NZP_SE!crash_programme_GTL</vt:lpstr>
      <vt:lpstr>NZP!efficiency_rate_of_substitution_electricity</vt:lpstr>
      <vt:lpstr>NZP_CCS!efficiency_rate_of_substitution_electricity</vt:lpstr>
      <vt:lpstr>NZP_CCS_SE!efficiency_rate_of_substitution_electricity</vt:lpstr>
      <vt:lpstr>NZP_SE!efficiency_rate_of_substitution_electricity</vt:lpstr>
      <vt:lpstr>NZP!efficiency_rate_of_substitution_gases</vt:lpstr>
      <vt:lpstr>NZP_CCS!efficiency_rate_of_substitution_gases</vt:lpstr>
      <vt:lpstr>NZP_CCS_SE!efficiency_rate_of_substitution_gases</vt:lpstr>
      <vt:lpstr>NZP_SE!efficiency_rate_of_substitution_gases</vt:lpstr>
      <vt:lpstr>NZP!efficiency_rate_of_substitution_heat</vt:lpstr>
      <vt:lpstr>NZP_CCS!efficiency_rate_of_substitution_heat</vt:lpstr>
      <vt:lpstr>NZP_CCS_SE!efficiency_rate_of_substitution_heat</vt:lpstr>
      <vt:lpstr>NZP_SE!efficiency_rate_of_substitution_heat</vt:lpstr>
      <vt:lpstr>NZP!efficiency_rate_of_substitution_liquids</vt:lpstr>
      <vt:lpstr>NZP_CCS!efficiency_rate_of_substitution_liquids</vt:lpstr>
      <vt:lpstr>NZP_CCS_SE!efficiency_rate_of_substitution_liquids</vt:lpstr>
      <vt:lpstr>NZP_SE!efficiency_rate_of_substitution_liquids</vt:lpstr>
      <vt:lpstr>NZP!efficiency_rate_of_substitution_solids</vt:lpstr>
      <vt:lpstr>NZP_CCS!efficiency_rate_of_substitution_solids</vt:lpstr>
      <vt:lpstr>NZP_CCS_SE!efficiency_rate_of_substitution_solids</vt:lpstr>
      <vt:lpstr>NZP_SE!efficiency_rate_of_substitution_solids</vt:lpstr>
      <vt:lpstr>NZP!energy_intensity_target</vt:lpstr>
      <vt:lpstr>NZP_CCS!energy_intensity_target</vt:lpstr>
      <vt:lpstr>NZP_CCS_SE!energy_intensity_target</vt:lpstr>
      <vt:lpstr>NZP_SE!energy_intensity_target</vt:lpstr>
      <vt:lpstr>NZP!energy_scarcity_forgetting_time</vt:lpstr>
      <vt:lpstr>NZP_CCS!energy_scarcity_forgetting_time</vt:lpstr>
      <vt:lpstr>NZP_CCS_SE!energy_scarcity_forgetting_time</vt:lpstr>
      <vt:lpstr>NZP_SE!energy_scarcity_forgetting_time</vt:lpstr>
      <vt:lpstr>NZP!energy_scarcity_forgetting_time_H</vt:lpstr>
      <vt:lpstr>NZP_CCS!energy_scarcity_forgetting_time_H</vt:lpstr>
      <vt:lpstr>NZP_CCS_SE!energy_scarcity_forgetting_time_H</vt:lpstr>
      <vt:lpstr>NZP_SE!energy_scarcity_forgetting_time_H</vt:lpstr>
      <vt:lpstr>NZP!final_year_energy_intensity_target</vt:lpstr>
      <vt:lpstr>NZP_CCS!final_year_energy_intensity_target</vt:lpstr>
      <vt:lpstr>NZP_CCS_SE!final_year_energy_intensity_target</vt:lpstr>
      <vt:lpstr>NZP_SE!final_year_energy_intensity_target</vt:lpstr>
      <vt:lpstr>NZP!forest_overexplotation</vt:lpstr>
      <vt:lpstr>NZP_CCS!forest_overexplotation</vt:lpstr>
      <vt:lpstr>NZP_CCS_SE!forest_overexplotation</vt:lpstr>
      <vt:lpstr>NZP_SE!forest_overexplotation</vt:lpstr>
      <vt:lpstr>NZP!fuel_share_air_pkm</vt:lpstr>
      <vt:lpstr>NZP_CCS!fuel_share_air_pkm</vt:lpstr>
      <vt:lpstr>NZP_CCS_SE!fuel_share_air_pkm</vt:lpstr>
      <vt:lpstr>NZP_SE!fuel_share_air_pkm</vt:lpstr>
      <vt:lpstr>NZP!fuel_share_air_tkm</vt:lpstr>
      <vt:lpstr>NZP_CCS!fuel_share_air_tkm</vt:lpstr>
      <vt:lpstr>NZP_CCS_SE!fuel_share_air_tkm</vt:lpstr>
      <vt:lpstr>NZP_SE!fuel_share_air_tkm</vt:lpstr>
      <vt:lpstr>NZP!fuel_share_households_pkm</vt:lpstr>
      <vt:lpstr>NZP_CCS!fuel_share_households_pkm</vt:lpstr>
      <vt:lpstr>NZP_CCS_SE!fuel_share_households_pkm</vt:lpstr>
      <vt:lpstr>NZP_SE!fuel_share_households_pkm</vt:lpstr>
      <vt:lpstr>NZP!fuel_share_inland_pkm</vt:lpstr>
      <vt:lpstr>NZP_CCS!fuel_share_inland_pkm</vt:lpstr>
      <vt:lpstr>NZP_CCS_SE!fuel_share_inland_pkm</vt:lpstr>
      <vt:lpstr>NZP_SE!fuel_share_inland_pkm</vt:lpstr>
      <vt:lpstr>NZP!fuel_share_inland_tkm</vt:lpstr>
      <vt:lpstr>NZP_CCS!fuel_share_inland_tkm</vt:lpstr>
      <vt:lpstr>NZP_CCS_SE!fuel_share_inland_tkm</vt:lpstr>
      <vt:lpstr>NZP_SE!fuel_share_inland_tkm</vt:lpstr>
      <vt:lpstr>NZP!fuel_share_maritime_pkm</vt:lpstr>
      <vt:lpstr>NZP_CCS!fuel_share_maritime_pkm</vt:lpstr>
      <vt:lpstr>NZP_CCS_SE!fuel_share_maritime_pkm</vt:lpstr>
      <vt:lpstr>NZP_SE!fuel_share_maritime_pkm</vt:lpstr>
      <vt:lpstr>NZP!fuel_share_maritime_tkm</vt:lpstr>
      <vt:lpstr>NZP_CCS!fuel_share_maritime_tkm</vt:lpstr>
      <vt:lpstr>NZP_CCS_SE!fuel_share_maritime_tkm</vt:lpstr>
      <vt:lpstr>NZP_SE!fuel_share_maritime_tkm</vt:lpstr>
      <vt:lpstr>NZP!gas_net_flux_timeseries</vt:lpstr>
      <vt:lpstr>NZP_CCS!gas_net_flux_timeseries</vt:lpstr>
      <vt:lpstr>NZP_SE!gas_net_flux_timeseries</vt:lpstr>
      <vt:lpstr>gas_net_flux_timeseries</vt:lpstr>
      <vt:lpstr>NZP!min_FEI_vs_initial</vt:lpstr>
      <vt:lpstr>NZP_CCS!min_FEI_vs_initial</vt:lpstr>
      <vt:lpstr>NZP_CCS_SE!min_FEI_vs_initial</vt:lpstr>
      <vt:lpstr>NZP_SE!min_FEI_vs_initial</vt:lpstr>
      <vt:lpstr>NZP!minimum_forest</vt:lpstr>
      <vt:lpstr>NZP_CCS!minimum_forest</vt:lpstr>
      <vt:lpstr>NZP_CCS_SE!minimum_forest</vt:lpstr>
      <vt:lpstr>NZP_SE!minimum_forest</vt:lpstr>
      <vt:lpstr>NZP!oil_net_flux_timeseries</vt:lpstr>
      <vt:lpstr>NZP_CCS!oil_net_flux_timeseries</vt:lpstr>
      <vt:lpstr>NZP_CCS_SE!oil_net_flux_timeseries</vt:lpstr>
      <vt:lpstr>NZP_SE!oil_net_flux_timeseries</vt:lpstr>
      <vt:lpstr>NZP!p_bioe_power</vt:lpstr>
      <vt:lpstr>NZP_CCS!p_bioe_power</vt:lpstr>
      <vt:lpstr>NZP_CCS_SE!p_bioe_power</vt:lpstr>
      <vt:lpstr>NZP_SE!p_bioe_power</vt:lpstr>
      <vt:lpstr>NZP!p_bioe_residues_growth</vt:lpstr>
      <vt:lpstr>NZP_CCS!p_bioe_residues_growth</vt:lpstr>
      <vt:lpstr>NZP_CCS_SE!p_bioe_residues_growth</vt:lpstr>
      <vt:lpstr>NZP_SE!p_bioe_residues_growth</vt:lpstr>
      <vt:lpstr>NZP!p_biofuels_2gen_land_compet</vt:lpstr>
      <vt:lpstr>NZP_CCS!p_biofuels_2gen_land_compet</vt:lpstr>
      <vt:lpstr>NZP_CCS_SE!p_biofuels_2gen_land_compet</vt:lpstr>
      <vt:lpstr>NZP_SE!p_biofuels_2gen_land_compet</vt:lpstr>
      <vt:lpstr>NZP!p_biofuels_3gen_land_compet</vt:lpstr>
      <vt:lpstr>NZP_CCS!p_biofuels_3gen_land_compet</vt:lpstr>
      <vt:lpstr>NZP_CCS_SE!p_biofuels_3gen_land_compet</vt:lpstr>
      <vt:lpstr>NZP_SE!p_biofuels_3gen_land_compet</vt:lpstr>
      <vt:lpstr>NZP!p_biofuels_marg_land_growth</vt:lpstr>
      <vt:lpstr>NZP_CCS!p_biofuels_marg_land_growth</vt:lpstr>
      <vt:lpstr>NZP_CCS_SE!p_biofuels_marg_land_growth</vt:lpstr>
      <vt:lpstr>NZP_SE!p_biofuels_marg_land_growth</vt:lpstr>
      <vt:lpstr>NZP!p_biogas_growth</vt:lpstr>
      <vt:lpstr>NZP_CCS!p_biogas_growth</vt:lpstr>
      <vt:lpstr>NZP_CCS_SE!p_biogas_growth</vt:lpstr>
      <vt:lpstr>NZP_SE!p_biogas_growth</vt:lpstr>
      <vt:lpstr>NZP!p_capital_share</vt:lpstr>
      <vt:lpstr>NZP_CCS!p_capital_share</vt:lpstr>
      <vt:lpstr>NZP_CCS_SE!p_capital_share</vt:lpstr>
      <vt:lpstr>NZP_SE!p_capital_share</vt:lpstr>
      <vt:lpstr>NZP!p_CCS</vt:lpstr>
      <vt:lpstr>NZP_CCS!p_CCS</vt:lpstr>
      <vt:lpstr>NZP_CCS_SE!p_CCS</vt:lpstr>
      <vt:lpstr>NZP_SE!p_CCS</vt:lpstr>
      <vt:lpstr>NZP!p_change_over_hist_max_variation_FEI</vt:lpstr>
      <vt:lpstr>NZP_CCS!p_change_over_hist_max_variation_FEI</vt:lpstr>
      <vt:lpstr>NZP_CCS_SE!p_change_over_hist_max_variation_FEI</vt:lpstr>
      <vt:lpstr>NZP_SE!p_change_over_hist_max_variation_FEI</vt:lpstr>
      <vt:lpstr>NZP!P_common_rr_minerals_variation_alt_techn</vt:lpstr>
      <vt:lpstr>NZP_CCS!P_common_rr_minerals_variation_alt_techn</vt:lpstr>
      <vt:lpstr>NZP_CCS_SE!P_common_rr_minerals_variation_alt_techn</vt:lpstr>
      <vt:lpstr>NZP_SE!P_common_rr_minerals_variation_alt_techn</vt:lpstr>
      <vt:lpstr>NZP!P_common_rr_minerals_variation_Rest</vt:lpstr>
      <vt:lpstr>NZP_CCS!P_common_rr_minerals_variation_Rest</vt:lpstr>
      <vt:lpstr>NZP_CCS_SE!P_common_rr_minerals_variation_Rest</vt:lpstr>
      <vt:lpstr>NZP_SE!P_common_rr_minerals_variation_Rest</vt:lpstr>
      <vt:lpstr>NZP!p_constraint_growth_unconv_gas</vt:lpstr>
      <vt:lpstr>NZP_CCS!p_constraint_growth_unconv_gas</vt:lpstr>
      <vt:lpstr>NZP_CCS_SE!p_constraint_growth_unconv_gas</vt:lpstr>
      <vt:lpstr>NZP_SE!p_constraint_growth_unconv_gas</vt:lpstr>
      <vt:lpstr>NZP!p_constraint_growth_unconv_oil</vt:lpstr>
      <vt:lpstr>NZP_CCS!p_constraint_growth_unconv_oil</vt:lpstr>
      <vt:lpstr>NZP_CCS_SE!p_constraint_growth_unconv_oil</vt:lpstr>
      <vt:lpstr>NZP_SE!p_constraint_growth_unconv_oil</vt:lpstr>
      <vt:lpstr>NZP!p_CSP_power</vt:lpstr>
      <vt:lpstr>NZP_CCS!p_CSP_power</vt:lpstr>
      <vt:lpstr>NZP_CCS_SE!p_CSP_power</vt:lpstr>
      <vt:lpstr>NZP_SE!p_CSP_power</vt:lpstr>
      <vt:lpstr>NZP!p_CTL_growth</vt:lpstr>
      <vt:lpstr>NZP_CCS!p_CTL_growth</vt:lpstr>
      <vt:lpstr>NZP_CCS_SE!p_CTL_growth</vt:lpstr>
      <vt:lpstr>NZP_SE!p_CTL_growth</vt:lpstr>
      <vt:lpstr>NZP!p_DAC</vt:lpstr>
      <vt:lpstr>NZP_CCS!p_DAC</vt:lpstr>
      <vt:lpstr>NZP_CCS_SE!p_DAC</vt:lpstr>
      <vt:lpstr>NZP_SE!p_DAC</vt:lpstr>
      <vt:lpstr>NZP!p_ETS</vt:lpstr>
      <vt:lpstr>NZP_CCS!p_ETS</vt:lpstr>
      <vt:lpstr>NZP_CCS_SE!p_ETS</vt:lpstr>
      <vt:lpstr>NZP_SE!p_ETS</vt:lpstr>
      <vt:lpstr>NZP!p_geot_heat_growth</vt:lpstr>
      <vt:lpstr>NZP_CCS!p_geot_heat_growth</vt:lpstr>
      <vt:lpstr>NZP_CCS_SE!p_geot_heat_growth</vt:lpstr>
      <vt:lpstr>NZP_SE!p_geot_heat_growth</vt:lpstr>
      <vt:lpstr>NZP!p_geot_power</vt:lpstr>
      <vt:lpstr>NZP_CCS!p_geot_power</vt:lpstr>
      <vt:lpstr>NZP_CCS_SE!p_geot_power</vt:lpstr>
      <vt:lpstr>NZP_SE!p_geot_power</vt:lpstr>
      <vt:lpstr>NZP!p_GTL_growth</vt:lpstr>
      <vt:lpstr>NZP_CCS!p_GTL_growth</vt:lpstr>
      <vt:lpstr>NZP_CCS_SE!p_GTL_growth</vt:lpstr>
      <vt:lpstr>NZP_SE!p_GTL_growth</vt:lpstr>
      <vt:lpstr>NZP!p_hydro_power</vt:lpstr>
      <vt:lpstr>NZP_CCS!p_hydro_power</vt:lpstr>
      <vt:lpstr>NZP_CCS_SE!p_hydro_power</vt:lpstr>
      <vt:lpstr>NZP_SE!p_hydro_power</vt:lpstr>
      <vt:lpstr>NZP!p_labour_share</vt:lpstr>
      <vt:lpstr>NZP_CCS!p_labour_share</vt:lpstr>
      <vt:lpstr>NZP_CCS_SE!p_labour_share</vt:lpstr>
      <vt:lpstr>NZP_SE!p_labour_share</vt:lpstr>
      <vt:lpstr>NZP!p_nuclear_scen3_4_variation</vt:lpstr>
      <vt:lpstr>NZP_CCS!p_nuclear_scen3_4_variation</vt:lpstr>
      <vt:lpstr>NZP_CCS_SE!p_nuclear_scen3_4_variation</vt:lpstr>
      <vt:lpstr>NZP_SE!p_nuclear_scen3_4_variation</vt:lpstr>
      <vt:lpstr>NZP!p_oceanic_power</vt:lpstr>
      <vt:lpstr>NZP_CCS!p_oceanic_power</vt:lpstr>
      <vt:lpstr>NZP_CCS_SE!p_oceanic_power</vt:lpstr>
      <vt:lpstr>NZP_SE!p_oceanic_power</vt:lpstr>
      <vt:lpstr>NZP!p_offshore_wind_power</vt:lpstr>
      <vt:lpstr>NZP_CCS!p_offshore_wind_power</vt:lpstr>
      <vt:lpstr>NZP_CCS_SE!p_offshore_wind_power</vt:lpstr>
      <vt:lpstr>NZP_SE!p_offshore_wind_power</vt:lpstr>
      <vt:lpstr>NZP!p_onshore_wind_power</vt:lpstr>
      <vt:lpstr>NZP_CCS!p_onshore_wind_power</vt:lpstr>
      <vt:lpstr>NZP_CCS_SE!p_onshore_wind_power</vt:lpstr>
      <vt:lpstr>NZP_SE!p_onshore_wind_power</vt:lpstr>
      <vt:lpstr>NZP!p_PHS_power</vt:lpstr>
      <vt:lpstr>NZP_CCS!p_PHS_power</vt:lpstr>
      <vt:lpstr>NZP_CCS_SE!p_PHS_power</vt:lpstr>
      <vt:lpstr>NZP_SE!p_PHS_power</vt:lpstr>
      <vt:lpstr>NZP!p_PV_power</vt:lpstr>
      <vt:lpstr>NZP_CCS!p_PV_power</vt:lpstr>
      <vt:lpstr>NZP_CCS_SE!p_PV_power</vt:lpstr>
      <vt:lpstr>NZP_SE!p_PV_power</vt:lpstr>
      <vt:lpstr>NZP!p_RES_power</vt:lpstr>
      <vt:lpstr>NZP_CCS!p_RES_power</vt:lpstr>
      <vt:lpstr>NZP_CCS_SE!p_RES_power</vt:lpstr>
      <vt:lpstr>NZP_SE!p_RES_power</vt:lpstr>
      <vt:lpstr>NZP!P_rr_minerals_alt_techn</vt:lpstr>
      <vt:lpstr>NZP_CCS!P_rr_minerals_alt_techn</vt:lpstr>
      <vt:lpstr>NZP_CCS_SE!P_rr_minerals_alt_techn</vt:lpstr>
      <vt:lpstr>NZP_SE!P_rr_minerals_alt_techn</vt:lpstr>
      <vt:lpstr>NZP!P_rr_minerals_Rest</vt:lpstr>
      <vt:lpstr>NZP_CCS!P_rr_minerals_Rest</vt:lpstr>
      <vt:lpstr>NZP_CCS_SE!P_rr_minerals_Rest</vt:lpstr>
      <vt:lpstr>NZP_SE!P_rr_minerals_Rest</vt:lpstr>
      <vt:lpstr>NZP!p_share_FEH_vs_FED</vt:lpstr>
      <vt:lpstr>NZP_CCS!p_share_FEH_vs_FED</vt:lpstr>
      <vt:lpstr>NZP_CCS_SE!p_share_FEH_vs_FED</vt:lpstr>
      <vt:lpstr>NZP_SE!p_share_FEH_vs_FED</vt:lpstr>
      <vt:lpstr>NZP!p_share_FEH_vs_FED_bioE</vt:lpstr>
      <vt:lpstr>NZP_CCS!p_share_FEH_vs_FED_bioE</vt:lpstr>
      <vt:lpstr>NZP_CCS_SE!p_share_FEH_vs_FED_bioE</vt:lpstr>
      <vt:lpstr>NZP_SE!p_share_FEH_vs_FED_bioE</vt:lpstr>
      <vt:lpstr>NZP!p_share_gas_elec</vt:lpstr>
      <vt:lpstr>NZP_CCS!p_share_gas_elec</vt:lpstr>
      <vt:lpstr>NZP_CCS_SE!p_share_gas_elec</vt:lpstr>
      <vt:lpstr>NZP_SE!p_share_gas_elec</vt:lpstr>
      <vt:lpstr>NZP!p_solar_heat</vt:lpstr>
      <vt:lpstr>NZP_CCS!p_solar_heat</vt:lpstr>
      <vt:lpstr>NZP_CCS_SE!p_solar_heat</vt:lpstr>
      <vt:lpstr>NZP_SE!p_solar_heat</vt:lpstr>
      <vt:lpstr>NZP!p_solid_bioe_heat</vt:lpstr>
      <vt:lpstr>NZP_CCS!p_solid_bioe_heat</vt:lpstr>
      <vt:lpstr>NZP_CCS_SE!p_solid_bioe_heat</vt:lpstr>
      <vt:lpstr>NZP_SE!p_solid_bioe_heat</vt:lpstr>
      <vt:lpstr>NZP!p_timeseries_gdp_growth</vt:lpstr>
      <vt:lpstr>NZP_CCS!p_timeseries_gdp_growth</vt:lpstr>
      <vt:lpstr>NZP_CCS_SE!p_timeseries_gdp_growth</vt:lpstr>
      <vt:lpstr>NZP_SE!p_timeseries_gdp_growth</vt:lpstr>
      <vt:lpstr>NZP!p_timeseries_pop_growth</vt:lpstr>
      <vt:lpstr>NZP_CCS!p_timeseries_pop_growth</vt:lpstr>
      <vt:lpstr>NZP_CCS_SE!p_timeseries_pop_growth</vt:lpstr>
      <vt:lpstr>NZP_SE!p_timeseries_pop_growth</vt:lpstr>
      <vt:lpstr>NZP!p_waste_growth</vt:lpstr>
      <vt:lpstr>NZP_CCS!p_waste_growth</vt:lpstr>
      <vt:lpstr>NZP_CCS_SE!p_waste_growth</vt:lpstr>
      <vt:lpstr>NZP_SE!p_waste_growth</vt:lpstr>
      <vt:lpstr>NZP!pct_change_energy_intensity_target</vt:lpstr>
      <vt:lpstr>NZP_CCS!pct_change_energy_intensity_target</vt:lpstr>
      <vt:lpstr>NZP_CCS_SE!pct_change_energy_intensity_target</vt:lpstr>
      <vt:lpstr>NZP_SE!pct_change_energy_intensity_target</vt:lpstr>
      <vt:lpstr>NZP!phase_out_oil_electr</vt:lpstr>
      <vt:lpstr>NZP_CCS!phase_out_oil_electr</vt:lpstr>
      <vt:lpstr>NZP_CCS_SE!phase_out_oil_electr</vt:lpstr>
      <vt:lpstr>NZP_SE!phase_out_oil_electr</vt:lpstr>
      <vt:lpstr>NZP!phase_out_oil_heat</vt:lpstr>
      <vt:lpstr>NZP_CCS!phase_out_oil_heat</vt:lpstr>
      <vt:lpstr>NZP_CCS_SE!phase_out_oil_heat</vt:lpstr>
      <vt:lpstr>NZP_SE!phase_out_oil_heat</vt:lpstr>
      <vt:lpstr>NZP!pkm_share</vt:lpstr>
      <vt:lpstr>NZP_CCS!pkm_share</vt:lpstr>
      <vt:lpstr>NZP_CCS_SE!pkm_share</vt:lpstr>
      <vt:lpstr>NZP_SE!pkm_share</vt:lpstr>
      <vt:lpstr>NZP!policy_change_energy_speed</vt:lpstr>
      <vt:lpstr>NZP_CCS!policy_change_energy_speed</vt:lpstr>
      <vt:lpstr>NZP_CCS_SE!policy_change_energy_speed</vt:lpstr>
      <vt:lpstr>NZP_SE!policy_change_energy_speed</vt:lpstr>
      <vt:lpstr>NZP!policy_improvement_process_emissions_efficiency</vt:lpstr>
      <vt:lpstr>NZP_CCS!policy_improvement_process_emissions_efficiency</vt:lpstr>
      <vt:lpstr>NZP_CCS_SE!policy_improvement_process_emissions_efficiency</vt:lpstr>
      <vt:lpstr>NZP_SE!policy_improvement_process_emissions_efficiency</vt:lpstr>
      <vt:lpstr>NZP!policy_to_improve_efficiency_speed</vt:lpstr>
      <vt:lpstr>NZP_CCS!policy_to_improve_efficiency_speed</vt:lpstr>
      <vt:lpstr>NZP_CCS_SE!policy_to_improve_efficiency_speed</vt:lpstr>
      <vt:lpstr>NZP_SE!policy_to_improve_efficiency_speed</vt:lpstr>
      <vt:lpstr>NZP!pop_growth_timeseries</vt:lpstr>
      <vt:lpstr>NZP_CCS!pop_growth_timeseries</vt:lpstr>
      <vt:lpstr>NZP_SE!pop_growth_timeseries</vt:lpstr>
      <vt:lpstr>pop_growth_timeseries</vt:lpstr>
      <vt:lpstr>NZP!RCP_GHG_emissions_select</vt:lpstr>
      <vt:lpstr>NZP_CCS!RCP_GHG_emissions_select</vt:lpstr>
      <vt:lpstr>NZP_CCS_SE!RCP_GHG_emissions_select</vt:lpstr>
      <vt:lpstr>NZP_SE!RCP_GHG_emissions_select</vt:lpstr>
      <vt:lpstr>NZP!scarcity_feedback_final_fuel_replacement_flag</vt:lpstr>
      <vt:lpstr>NZP_CCS!scarcity_feedback_final_fuel_replacement_flag</vt:lpstr>
      <vt:lpstr>NZP_CCS_SE!scarcity_feedback_final_fuel_replacement_flag</vt:lpstr>
      <vt:lpstr>NZP_SE!scarcity_feedback_final_fuel_replacement_flag</vt:lpstr>
      <vt:lpstr>NZP!sectoral_FEI_evolution_method</vt:lpstr>
      <vt:lpstr>NZP_CCS!sectoral_FEI_evolution_method</vt:lpstr>
      <vt:lpstr>NZP_CCS_SE!sectoral_FEI_evolution_method</vt:lpstr>
      <vt:lpstr>NZP_SE!sectoral_FEI_evolution_method</vt:lpstr>
      <vt:lpstr>NZP!select_nuclear_scen</vt:lpstr>
      <vt:lpstr>NZP_CCS!select_nuclear_scen</vt:lpstr>
      <vt:lpstr>NZP_CCS_SE!select_nuclear_scen</vt:lpstr>
      <vt:lpstr>NZP_SE!select_nuclear_scen</vt:lpstr>
      <vt:lpstr>NZP!sensitivity_to_scarcity_option</vt:lpstr>
      <vt:lpstr>NZP_CCS!sensitivity_to_scarcity_option</vt:lpstr>
      <vt:lpstr>NZP_CCS_SE!sensitivity_to_scarcity_option</vt:lpstr>
      <vt:lpstr>NZP_SE!sensitivity_to_scarcity_option</vt:lpstr>
      <vt:lpstr>NZP!sensitivity_to_scarcity_option_H</vt:lpstr>
      <vt:lpstr>NZP_CCS!sensitivity_to_scarcity_option_H</vt:lpstr>
      <vt:lpstr>NZP_CCS_SE!sensitivity_to_scarcity_option_H</vt:lpstr>
      <vt:lpstr>NZP_SE!sensitivity_to_scarcity_option_H</vt:lpstr>
      <vt:lpstr>NZP!separate_conv_and_unconv_gas</vt:lpstr>
      <vt:lpstr>NZP_CCS!separate_conv_and_unconv_gas</vt:lpstr>
      <vt:lpstr>NZP_CCS_SE!separate_conv_and_unconv_gas</vt:lpstr>
      <vt:lpstr>NZP_SE!separate_conv_and_unconv_gas</vt:lpstr>
      <vt:lpstr>NZP!separate_conv_and_unconv_oil</vt:lpstr>
      <vt:lpstr>NZP_CCS!separate_conv_and_unconv_oil</vt:lpstr>
      <vt:lpstr>NZP_CCS_SE!separate_conv_and_unconv_oil</vt:lpstr>
      <vt:lpstr>NZP_SE!separate_conv_and_unconv_oil</vt:lpstr>
      <vt:lpstr>NZP!share_available_roof</vt:lpstr>
      <vt:lpstr>NZP_CCS!share_available_roof</vt:lpstr>
      <vt:lpstr>NZP_CCS_SE!share_available_roof</vt:lpstr>
      <vt:lpstr>NZP_SE!share_available_roof</vt:lpstr>
      <vt:lpstr>NZP!share_available_roof_for_rooftop_PV</vt:lpstr>
      <vt:lpstr>NZP_CCS!share_available_roof_for_rooftop_PV</vt:lpstr>
      <vt:lpstr>NZP_CCS_SE!share_available_roof_for_rooftop_PV</vt:lpstr>
      <vt:lpstr>NZP_SE!share_available_roof_for_rooftop_PV</vt:lpstr>
      <vt:lpstr>NZP!share_ccs_energy</vt:lpstr>
      <vt:lpstr>NZP_CCS!share_ccs_energy</vt:lpstr>
      <vt:lpstr>NZP_SE!share_ccs_energy</vt:lpstr>
      <vt:lpstr>share_ccs_energy</vt:lpstr>
      <vt:lpstr>NZP!share_cellulosic_biof_vs_bioe_res</vt:lpstr>
      <vt:lpstr>NZP_CCS!share_cellulosic_biof_vs_bioe_res</vt:lpstr>
      <vt:lpstr>NZP_CCS_SE!share_cellulosic_biof_vs_bioe_res</vt:lpstr>
      <vt:lpstr>NZP_SE!share_cellulosic_biof_vs_bioe_res</vt:lpstr>
      <vt:lpstr>NZP!share_curtailment</vt:lpstr>
      <vt:lpstr>NZP_CCS!share_curtailment</vt:lpstr>
      <vt:lpstr>NZP_CCS_SE!share_curtailment</vt:lpstr>
      <vt:lpstr>NZP_SE!share_curtailment</vt:lpstr>
      <vt:lpstr>NZP!share_exports_electricity</vt:lpstr>
      <vt:lpstr>NZP_CCS!share_exports_electricity</vt:lpstr>
      <vt:lpstr>NZP_CCS_SE!share_exports_electricity</vt:lpstr>
      <vt:lpstr>NZP_SE!share_exports_electricity</vt:lpstr>
      <vt:lpstr>NZP!share_PV_urban_tot_PV</vt:lpstr>
      <vt:lpstr>NZP_CCS!share_PV_urban_tot_PV</vt:lpstr>
      <vt:lpstr>NZP_CCS_SE!share_PV_urban_tot_PV</vt:lpstr>
      <vt:lpstr>NZP_SE!share_PV_urban_tot_PV</vt:lpstr>
      <vt:lpstr>NZP!share_roof_solar_thermal</vt:lpstr>
      <vt:lpstr>NZP_CCS!share_roof_solar_thermal</vt:lpstr>
      <vt:lpstr>NZP_CCS_SE!share_roof_solar_thermal</vt:lpstr>
      <vt:lpstr>NZP_SE!share_roof_solar_thermal</vt:lpstr>
      <vt:lpstr>NZP!share_RURR_agg_gas_underground</vt:lpstr>
      <vt:lpstr>NZP_CCS!share_RURR_agg_gas_underground</vt:lpstr>
      <vt:lpstr>NZP_CCS_SE!share_RURR_agg_gas_underground</vt:lpstr>
      <vt:lpstr>NZP_SE!share_RURR_agg_gas_underground</vt:lpstr>
      <vt:lpstr>NZP!share_RURR_agg_oil_underground</vt:lpstr>
      <vt:lpstr>NZP_CCS!share_RURR_agg_oil_underground</vt:lpstr>
      <vt:lpstr>NZP_CCS_SE!share_RURR_agg_oil_underground</vt:lpstr>
      <vt:lpstr>NZP_SE!share_RURR_agg_oil_underground</vt:lpstr>
      <vt:lpstr>NZP!share_RURR_coal_underground</vt:lpstr>
      <vt:lpstr>NZP_CCS!share_RURR_coal_underground</vt:lpstr>
      <vt:lpstr>NZP_CCS_SE!share_RURR_coal_underground</vt:lpstr>
      <vt:lpstr>NZP_SE!share_RURR_coal_underground</vt:lpstr>
      <vt:lpstr>NZP!share_RURR_conv_gas_underground</vt:lpstr>
      <vt:lpstr>NZP_CCS!share_RURR_conv_gas_underground</vt:lpstr>
      <vt:lpstr>NZP_CCS_SE!share_RURR_conv_gas_underground</vt:lpstr>
      <vt:lpstr>NZP_SE!share_RURR_conv_gas_underground</vt:lpstr>
      <vt:lpstr>NZP!share_RURR_conv_oil_underground</vt:lpstr>
      <vt:lpstr>NZP_CCS!share_RURR_conv_oil_underground</vt:lpstr>
      <vt:lpstr>NZP_CCS_SE!share_RURR_conv_oil_underground</vt:lpstr>
      <vt:lpstr>NZP_SE!share_RURR_conv_oil_underground</vt:lpstr>
      <vt:lpstr>NZP!share_RURR_unconv_gas_underground</vt:lpstr>
      <vt:lpstr>NZP_CCS!share_RURR_unconv_gas_underground</vt:lpstr>
      <vt:lpstr>NZP_CCS_SE!share_RURR_unconv_gas_underground</vt:lpstr>
      <vt:lpstr>NZP_SE!share_RURR_unconv_gas_underground</vt:lpstr>
      <vt:lpstr>NZP!share_RURR_unconv_oil_underground</vt:lpstr>
      <vt:lpstr>NZP_CCS!share_RURR_unconv_oil_underground</vt:lpstr>
      <vt:lpstr>NZP_CCS_SE!share_RURR_unconv_oil_underground</vt:lpstr>
      <vt:lpstr>NZP_SE!share_RURR_unconv_oil_underground</vt:lpstr>
      <vt:lpstr>NZP!share_target_year_oil_for_elec</vt:lpstr>
      <vt:lpstr>NZP_CCS!share_target_year_oil_for_elec</vt:lpstr>
      <vt:lpstr>NZP_CCS_SE!share_target_year_oil_for_elec</vt:lpstr>
      <vt:lpstr>NZP_SE!share_target_year_oil_for_elec</vt:lpstr>
      <vt:lpstr>NZP!share_target_year_oil_for_heat</vt:lpstr>
      <vt:lpstr>NZP_CCS!share_target_year_oil_for_heat</vt:lpstr>
      <vt:lpstr>NZP_CCS_SE!share_target_year_oil_for_heat</vt:lpstr>
      <vt:lpstr>NZP_SE!share_target_year_oil_for_heat</vt:lpstr>
      <vt:lpstr>NZP!share_trans_loss</vt:lpstr>
      <vt:lpstr>NZP_CCS!share_trans_loss</vt:lpstr>
      <vt:lpstr>NZP_CCS_SE!share_trans_loss</vt:lpstr>
      <vt:lpstr>NZP_SE!share_trans_loss</vt:lpstr>
      <vt:lpstr>NZP!start_policy_year_agg_gas_underground</vt:lpstr>
      <vt:lpstr>NZP_CCS!start_policy_year_agg_gas_underground</vt:lpstr>
      <vt:lpstr>NZP_CCS_SE!start_policy_year_agg_gas_underground</vt:lpstr>
      <vt:lpstr>NZP_SE!start_policy_year_agg_gas_underground</vt:lpstr>
      <vt:lpstr>NZP!start_policy_year_agg_oil_underground</vt:lpstr>
      <vt:lpstr>NZP_CCS!start_policy_year_agg_oil_underground</vt:lpstr>
      <vt:lpstr>NZP_CCS_SE!start_policy_year_agg_oil_underground</vt:lpstr>
      <vt:lpstr>NZP_SE!start_policy_year_agg_oil_underground</vt:lpstr>
      <vt:lpstr>NZP!start_policy_year_coal_underground</vt:lpstr>
      <vt:lpstr>NZP_CCS!start_policy_year_coal_underground</vt:lpstr>
      <vt:lpstr>NZP_CCS_SE!start_policy_year_coal_underground</vt:lpstr>
      <vt:lpstr>NZP_SE!start_policy_year_coal_underground</vt:lpstr>
      <vt:lpstr>NZP!start_policy_year_conv_gas_underground</vt:lpstr>
      <vt:lpstr>NZP_CCS!start_policy_year_conv_gas_underground</vt:lpstr>
      <vt:lpstr>NZP_CCS_SE!start_policy_year_conv_gas_underground</vt:lpstr>
      <vt:lpstr>NZP_SE!start_policy_year_conv_gas_underground</vt:lpstr>
      <vt:lpstr>NZP!start_policy_year_conv_oil_underground</vt:lpstr>
      <vt:lpstr>NZP_CCS!start_policy_year_conv_oil_underground</vt:lpstr>
      <vt:lpstr>NZP_CCS_SE!start_policy_year_conv_oil_underground</vt:lpstr>
      <vt:lpstr>NZP_SE!start_policy_year_conv_oil_underground</vt:lpstr>
      <vt:lpstr>NZP!start_policy_year_unconv_gas_underground</vt:lpstr>
      <vt:lpstr>NZP_CCS!start_policy_year_unconv_gas_underground</vt:lpstr>
      <vt:lpstr>NZP_CCS_SE!start_policy_year_unconv_gas_underground</vt:lpstr>
      <vt:lpstr>NZP_SE!start_policy_year_unconv_gas_underground</vt:lpstr>
      <vt:lpstr>NZP!start_policy_year_unconv_oil_underground</vt:lpstr>
      <vt:lpstr>NZP_CCS!start_policy_year_unconv_oil_underground</vt:lpstr>
      <vt:lpstr>NZP_SE!start_policy_year_unconv_oil_underground</vt:lpstr>
      <vt:lpstr>start_policy_year_unconv_oil_underground</vt:lpstr>
      <vt:lpstr>NZP!start_policy_year_unconv_opil_underground</vt:lpstr>
      <vt:lpstr>NZP_CCS!start_policy_year_unconv_opil_underground</vt:lpstr>
      <vt:lpstr>NZP_CCS_SE!start_policy_year_unconv_opil_underground</vt:lpstr>
      <vt:lpstr>NZP_SE!start_policy_year_unconv_opil_underground</vt:lpstr>
      <vt:lpstr>NZP!start_year_3gen_cell_biofuels</vt:lpstr>
      <vt:lpstr>NZP_CCS!start_year_3gen_cell_biofuels</vt:lpstr>
      <vt:lpstr>NZP_CCS_SE!start_year_3gen_cell_biofuels</vt:lpstr>
      <vt:lpstr>NZP_SE!start_year_3gen_cell_biofuels</vt:lpstr>
      <vt:lpstr>NZP!start_year_bioe_residues_non_biofuels</vt:lpstr>
      <vt:lpstr>NZP_CCS!start_year_bioe_residues_non_biofuels</vt:lpstr>
      <vt:lpstr>NZP_CCS_SE!start_year_bioe_residues_non_biofuels</vt:lpstr>
      <vt:lpstr>NZP_SE!start_year_bioe_residues_non_biofuels</vt:lpstr>
      <vt:lpstr>NZP!start_year_biofuels_land_marg</vt:lpstr>
      <vt:lpstr>NZP_CCS!start_year_biofuels_land_marg</vt:lpstr>
      <vt:lpstr>NZP_CCS_SE!start_year_biofuels_land_marg</vt:lpstr>
      <vt:lpstr>NZP_SE!start_year_biofuels_land_marg</vt:lpstr>
      <vt:lpstr>NZP!start_year_cell_efficency_PV</vt:lpstr>
      <vt:lpstr>NZP_CCS!start_year_cell_efficency_PV</vt:lpstr>
      <vt:lpstr>NZP_CCS_SE!start_year_cell_efficency_PV</vt:lpstr>
      <vt:lpstr>NZP_SE!start_year_cell_efficency_PV</vt:lpstr>
      <vt:lpstr>NZP!start_year_modification_EI</vt:lpstr>
      <vt:lpstr>NZP_CCS!start_year_modification_EI</vt:lpstr>
      <vt:lpstr>NZP_CCS_SE!start_year_modification_EI</vt:lpstr>
      <vt:lpstr>NZP_SE!start_year_modification_EI</vt:lpstr>
      <vt:lpstr>NZP!start_year_nuclear_variation_scen3_4</vt:lpstr>
      <vt:lpstr>NZP_CCS!start_year_nuclear_variation_scen3_4</vt:lpstr>
      <vt:lpstr>NZP_CCS_SE!start_year_nuclear_variation_scen3_4</vt:lpstr>
      <vt:lpstr>NZP_SE!start_year_nuclear_variation_scen3_4</vt:lpstr>
      <vt:lpstr>NZP!start_year_P_common_rr_minerals_alt_techn</vt:lpstr>
      <vt:lpstr>NZP_CCS!start_year_P_common_rr_minerals_alt_techn</vt:lpstr>
      <vt:lpstr>NZP_CCS_SE!start_year_P_common_rr_minerals_alt_techn</vt:lpstr>
      <vt:lpstr>NZP_SE!start_year_P_common_rr_minerals_alt_techn</vt:lpstr>
      <vt:lpstr>NZP!start_year_P_common_rr_minerals_Rest</vt:lpstr>
      <vt:lpstr>NZP_CCS!start_year_P_common_rr_minerals_Rest</vt:lpstr>
      <vt:lpstr>NZP_CCS_SE!start_year_P_common_rr_minerals_Rest</vt:lpstr>
      <vt:lpstr>NZP_SE!start_year_P_common_rr_minerals_Rest</vt:lpstr>
      <vt:lpstr>NZP!start_year_p_growth_RES_elec</vt:lpstr>
      <vt:lpstr>NZP_CCS!start_year_p_growth_RES_elec</vt:lpstr>
      <vt:lpstr>NZP_CCS_SE!start_year_p_growth_RES_elec</vt:lpstr>
      <vt:lpstr>NZP_SE!start_year_p_growth_RES_elec</vt:lpstr>
      <vt:lpstr>NZP!start_year_p_growth_RES_heat</vt:lpstr>
      <vt:lpstr>NZP_CCS!start_year_p_growth_RES_heat</vt:lpstr>
      <vt:lpstr>NZP_CCS_SE!start_year_p_growth_RES_heat</vt:lpstr>
      <vt:lpstr>NZP_SE!start_year_p_growth_RES_heat</vt:lpstr>
      <vt:lpstr>NZP!start_year_P_rr_minerals</vt:lpstr>
      <vt:lpstr>NZP_CCS!start_year_P_rr_minerals</vt:lpstr>
      <vt:lpstr>NZP_CCS_SE!start_year_P_rr_minerals</vt:lpstr>
      <vt:lpstr>NZP_SE!start_year_P_rr_minerals</vt:lpstr>
      <vt:lpstr>NZP!start_year_P_urban_land_density</vt:lpstr>
      <vt:lpstr>NZP_CCS!start_year_P_urban_land_density</vt:lpstr>
      <vt:lpstr>NZP_CCS_SE!start_year_P_urban_land_density</vt:lpstr>
      <vt:lpstr>NZP_SE!start_year_P_urban_land_density</vt:lpstr>
      <vt:lpstr>NZP!start_year_policies_transport</vt:lpstr>
      <vt:lpstr>NZP_CCS!start_year_policies_transport</vt:lpstr>
      <vt:lpstr>NZP_CCS_SE!start_year_policies_transport</vt:lpstr>
      <vt:lpstr>NZP_SE!start_year_policies_transport</vt:lpstr>
      <vt:lpstr>NZP!start_year_policy_phase_out_oil_for_electricity</vt:lpstr>
      <vt:lpstr>NZP_CCS!start_year_policy_phase_out_oil_for_electricity</vt:lpstr>
      <vt:lpstr>NZP_CCS_SE!start_year_policy_phase_out_oil_for_electricity</vt:lpstr>
      <vt:lpstr>NZP_SE!start_year_policy_phase_out_oil_for_electricity</vt:lpstr>
      <vt:lpstr>NZP!start_year_policy_phase_out_oil_for_heat</vt:lpstr>
      <vt:lpstr>NZP_CCS!start_year_policy_phase_out_oil_for_heat</vt:lpstr>
      <vt:lpstr>NZP_CCS_SE!start_year_policy_phase_out_oil_for_heat</vt:lpstr>
      <vt:lpstr>NZP_SE!start_year_policy_phase_out_oil_for_heat</vt:lpstr>
      <vt:lpstr>NZP!start_year_variation_primary_forest</vt:lpstr>
      <vt:lpstr>NZP_CCS!start_year_variation_primary_forest</vt:lpstr>
      <vt:lpstr>NZP_CCS_SE!start_year_variation_primary_forest</vt:lpstr>
      <vt:lpstr>NZP_SE!start_year_variation_primary_forest</vt:lpstr>
      <vt:lpstr>NZP!targ_year_cell_efficiency_PV</vt:lpstr>
      <vt:lpstr>NZP_CCS!targ_year_cell_efficiency_PV</vt:lpstr>
      <vt:lpstr>NZP_CCS_SE!targ_year_cell_efficiency_PV</vt:lpstr>
      <vt:lpstr>NZP_SE!targ_year_cell_efficiency_PV</vt:lpstr>
      <vt:lpstr>NZP!target_year_p_growth_RES_heat</vt:lpstr>
      <vt:lpstr>NZP_CCS!target_year_p_growth_RES_heat</vt:lpstr>
      <vt:lpstr>NZP_CCS_SE!target_year_p_growth_RES_heat</vt:lpstr>
      <vt:lpstr>NZP_SE!target_year_p_growth_RES_heat</vt:lpstr>
      <vt:lpstr>NZP!target_year_P_rr_minerals</vt:lpstr>
      <vt:lpstr>NZP_CCS!target_year_P_rr_minerals</vt:lpstr>
      <vt:lpstr>NZP_CCS_SE!target_year_P_rr_minerals</vt:lpstr>
      <vt:lpstr>NZP_SE!target_year_P_rr_minerals</vt:lpstr>
      <vt:lpstr>NZP!target_year_P_urban_land_density</vt:lpstr>
      <vt:lpstr>NZP_CCS!target_year_P_urban_land_density</vt:lpstr>
      <vt:lpstr>NZP_CCS_SE!target_year_P_urban_land_density</vt:lpstr>
      <vt:lpstr>NZP_SE!target_year_P_urban_land_density</vt:lpstr>
      <vt:lpstr>NZP!target_year_policy_gas_electricity</vt:lpstr>
      <vt:lpstr>NZP_CCS!target_year_policy_gas_electricity</vt:lpstr>
      <vt:lpstr>NZP_CCS_SE!target_year_policy_gas_electricity</vt:lpstr>
      <vt:lpstr>NZP_SE!target_year_policy_gas_electricity</vt:lpstr>
      <vt:lpstr>NZP!target_year_policy_phase_out_oil_electricity</vt:lpstr>
      <vt:lpstr>NZP_CCS!target_year_policy_phase_out_oil_electricity</vt:lpstr>
      <vt:lpstr>NZP_CCS_SE!target_year_policy_phase_out_oil_electricity</vt:lpstr>
      <vt:lpstr>NZP_SE!target_year_policy_phase_out_oil_electricity</vt:lpstr>
      <vt:lpstr>NZP!target_year_policy_phase_out_oil_heat</vt:lpstr>
      <vt:lpstr>NZP_CCS!target_year_policy_phase_out_oil_heat</vt:lpstr>
      <vt:lpstr>NZP_CCS_SE!target_year_policy_phase_out_oil_heat</vt:lpstr>
      <vt:lpstr>NZP_SE!target_year_policy_phase_out_oil_heat</vt:lpstr>
      <vt:lpstr>NZP!target_year_process_emissions</vt:lpstr>
      <vt:lpstr>NZP_CCS!target_year_process_emissions</vt:lpstr>
      <vt:lpstr>NZP_CCS_SE!target_year_process_emissions</vt:lpstr>
      <vt:lpstr>NZP_SE!target_year_process_emissions</vt:lpstr>
      <vt:lpstr>NZP!time_afforestation</vt:lpstr>
      <vt:lpstr>NZP_CCS!time_afforestation</vt:lpstr>
      <vt:lpstr>NZP_CCS_SE!time_afforestation</vt:lpstr>
      <vt:lpstr>NZP_SE!time_afforestation</vt:lpstr>
      <vt:lpstr>NZP!tkm_share</vt:lpstr>
      <vt:lpstr>NZP_CCS!tkm_share</vt:lpstr>
      <vt:lpstr>NZP_CCS_SE!tkm_share</vt:lpstr>
      <vt:lpstr>NZP_SE!tkm_share</vt:lpstr>
      <vt:lpstr>NZP!urban_land_density</vt:lpstr>
      <vt:lpstr>NZP_CCS!urban_land_density</vt:lpstr>
      <vt:lpstr>NZP_CCS_SE!urban_land_density</vt:lpstr>
      <vt:lpstr>NZP_SE!urban_land_density</vt:lpstr>
      <vt:lpstr>NZP!variation_primary_forest</vt:lpstr>
      <vt:lpstr>NZP_CCS!variation_primary_forest</vt:lpstr>
      <vt:lpstr>NZP_CCS_SE!variation_primary_forest</vt:lpstr>
      <vt:lpstr>NZP_SE!variation_primary_forest</vt:lpstr>
      <vt:lpstr>NZP!year_change_pct_energy_intensity_target</vt:lpstr>
      <vt:lpstr>NZP_CCS!year_change_pct_energy_intensity_target</vt:lpstr>
      <vt:lpstr>NZP_CCS_SE!year_change_pct_energy_intensity_target</vt:lpstr>
      <vt:lpstr>NZP_SE!year_change_pct_energy_intensity_target</vt:lpstr>
      <vt:lpstr>NZP!year_gdp_timeseries</vt:lpstr>
      <vt:lpstr>NZP_CCS!year_gdp_timeseries</vt:lpstr>
      <vt:lpstr>NZP_CCS_SE!year_gdp_timeseries</vt:lpstr>
      <vt:lpstr>NZP_SE!year_gdp_timeseries</vt:lpstr>
      <vt:lpstr>NZP!year_net_energy_flux</vt:lpstr>
      <vt:lpstr>NZP_CCS!year_net_energy_flux</vt:lpstr>
      <vt:lpstr>NZP_CCS_SE!year_net_energy_flux</vt:lpstr>
      <vt:lpstr>NZP_SE!year_net_energy_flux</vt:lpstr>
      <vt:lpstr>NZP!year_policy_change_energy</vt:lpstr>
      <vt:lpstr>NZP_CCS!year_policy_change_energy</vt:lpstr>
      <vt:lpstr>NZP_CCS_SE!year_policy_change_energy</vt:lpstr>
      <vt:lpstr>NZP_SE!year_policy_change_energy</vt:lpstr>
      <vt:lpstr>NZP!Year_policy_share_res_heat</vt:lpstr>
      <vt:lpstr>NZP_CCS!Year_policy_share_res_heat</vt:lpstr>
      <vt:lpstr>NZP_CCS_SE!Year_policy_share_res_heat</vt:lpstr>
      <vt:lpstr>NZP_SE!Year_policy_share_res_heat</vt:lpstr>
      <vt:lpstr>NZP!year_policy_to_improve_efficiency</vt:lpstr>
      <vt:lpstr>NZP_CCS!year_policy_to_improve_efficiency</vt:lpstr>
      <vt:lpstr>NZP_CCS_SE!year_policy_to_improve_efficiency</vt:lpstr>
      <vt:lpstr>NZP_SE!year_policy_to_improve_efficiency</vt:lpstr>
      <vt:lpstr>NZP!year_pop_timeseries</vt:lpstr>
      <vt:lpstr>NZP_CCS!year_pop_timeseries</vt:lpstr>
      <vt:lpstr>NZP_CCS_SE!year_pop_timeseries</vt:lpstr>
      <vt:lpstr>NZP_SE!year_pop_timeseries</vt:lpstr>
      <vt:lpstr>NZP!year_ref_RURR</vt:lpstr>
      <vt:lpstr>NZP_CCS!year_ref_RURR</vt:lpstr>
      <vt:lpstr>NZP_SE!year_ref_RURR</vt:lpstr>
      <vt:lpstr>year_ref_RURR</vt:lpstr>
      <vt:lpstr>NZP!year_RES_power</vt:lpstr>
      <vt:lpstr>NZP_CCS!year_RES_power</vt:lpstr>
      <vt:lpstr>NZP_CCS_SE!year_RES_power</vt:lpstr>
      <vt:lpstr>NZP_SE!year_RES_power</vt:lpstr>
      <vt:lpstr>NZP!year_RURR_coal</vt:lpstr>
      <vt:lpstr>NZP_CCS!year_RURR_coal</vt:lpstr>
      <vt:lpstr>NZP_CCS_SE!year_RURR_coal</vt:lpstr>
      <vt:lpstr>NZP_SE!year_RURR_coal</vt:lpstr>
      <vt:lpstr>NZP!year_synthetic</vt:lpstr>
      <vt:lpstr>NZP_CCS!year_synthetic</vt:lpstr>
      <vt:lpstr>NZP_CCS_SE!year_synthetic</vt:lpstr>
      <vt:lpstr>NZP_SE!year_synthetic</vt:lpstr>
      <vt:lpstr>NZP!year_to_finish_energy_intensity_policies</vt:lpstr>
      <vt:lpstr>NZP_CCS!year_to_finish_energy_intensity_policies</vt:lpstr>
      <vt:lpstr>NZP_CCS_SE!year_to_finish_energy_intensity_policies</vt:lpstr>
      <vt:lpstr>NZP_SE!year_to_finish_energy_intensity_policies</vt:lpstr>
      <vt:lpstr>NZP!year_transport_fuel_share_pkm</vt:lpstr>
      <vt:lpstr>NZP_CCS!year_transport_fuel_share_pkm</vt:lpstr>
      <vt:lpstr>NZP_CCS_SE!year_transport_fuel_share_pkm</vt:lpstr>
      <vt:lpstr>NZP_SE!year_transport_fuel_share_pkm</vt:lpstr>
      <vt:lpstr>NZP!year_transport_fuel_share_tkm</vt:lpstr>
      <vt:lpstr>NZP_CCS!year_transport_fuel_share_tkm</vt:lpstr>
      <vt:lpstr>NZP_CCS_SE!year_transport_fuel_share_tkm</vt:lpstr>
      <vt:lpstr>NZP_SE!year_transport_fuel_share_tkm</vt:lpstr>
      <vt:lpstr>NZP!Year_transport_share</vt:lpstr>
      <vt:lpstr>NZP_CCS!Year_transport_share</vt:lpstr>
      <vt:lpstr>NZP_CCS_SE!Year_transport_share</vt:lpstr>
      <vt:lpstr>NZP_SE!Year_transport_share</vt:lpstr>
      <vt:lpstr>NZP!years_co2_luc</vt:lpstr>
      <vt:lpstr>NZP_CCS!years_co2_luc</vt:lpstr>
      <vt:lpstr>NZP_CCS_SE!years_co2_luc</vt:lpstr>
      <vt:lpstr>NZP_SE!years_co2_luc</vt:lpstr>
      <vt:lpstr>NZP!years_pop_growth</vt:lpstr>
      <vt:lpstr>NZP_CCS!years_pop_growth</vt:lpstr>
      <vt:lpstr>NZP_CCS_SE!years_pop_growth</vt:lpstr>
      <vt:lpstr>NZP_SE!years_pop_growth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IdB</dc:creator>
  <dc:description/>
  <cp:lastModifiedBy>Jordi Solé Ollé</cp:lastModifiedBy>
  <cp:revision>9</cp:revision>
  <dcterms:created xsi:type="dcterms:W3CDTF">2017-01-25T13:20:29Z</dcterms:created>
  <dcterms:modified xsi:type="dcterms:W3CDTF">2025-03-11T14:11:33Z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ies>
</file>