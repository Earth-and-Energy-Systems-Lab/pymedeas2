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Info input variables" sheetId="2" state="visible" r:id="rId4"/>
    <sheet name="NZP" sheetId="3" state="visible" r:id="rId5"/>
    <sheet name="PINECCAT" sheetId="4" state="visible" r:id="rId6"/>
    <sheet name="Hoja1" sheetId="5" state="visible" r:id="rId7"/>
  </sheets>
  <definedNames>
    <definedName function="false" hidden="false" name="RES" vbProcedure="false">NZP!$C$200:$AZ$204</definedName>
    <definedName function="false" hidden="false" localSheetId="2" name="activate_afforestation_program" vbProcedure="false">NZP!$C$263</definedName>
    <definedName function="false" hidden="false" localSheetId="2" name="activate_ELF" vbProcedure="false">NZP!$C$255</definedName>
    <definedName function="false" hidden="false" localSheetId="2" name="activate_inland_transp" vbProcedure="false">nzp!#ref!</definedName>
    <definedName function="false" hidden="false" localSheetId="2" name="activate_poicy_hh_transp" vbProcedure="false">nzp!#ref!</definedName>
    <definedName function="false" hidden="false" localSheetId="2" name="activate_policy_leaving_underground" vbProcedure="false">NZP!$C$69</definedName>
    <definedName function="false" hidden="false" localSheetId="2" name="asymptote_GDPpc" vbProcedure="false">nzp!#ref!</definedName>
    <definedName function="false" hidden="false" localSheetId="2" name="average_solar_irradiance" vbProcedure="false">NZP!$C$409</definedName>
    <definedName function="false" hidden="false" localSheetId="2" name="biofuels_exports" vbProcedure="false">NZP!$C$394:$I$394</definedName>
    <definedName function="false" hidden="false" localSheetId="2" name="cell_efficiency_PV_target_year" vbProcedure="false">NZP!$C$410</definedName>
    <definedName function="false" hidden="false" localSheetId="2" name="choose_energy_intensity_target_method" vbProcedure="false">NZP!$C$194</definedName>
    <definedName function="false" hidden="false" localSheetId="2" name="choose_targets_mineral_recycling_rates" vbProcedure="false">NZP!$D$224</definedName>
    <definedName function="false" hidden="false" localSheetId="2" name="coal_net_flux_timeseries" vbProcedure="false">NZP!$C$390:$I$390</definedName>
    <definedName function="false" hidden="false" localSheetId="2" name="crash_programme_CTL" vbProcedure="false">NZP!$D$57</definedName>
    <definedName function="false" hidden="false" localSheetId="2" name="crash_programme_GTL" vbProcedure="false">NZP!$D$59</definedName>
    <definedName function="false" hidden="false" localSheetId="2" name="efficiency_rate_of_substitution_electricity" vbProcedure="false">nzp!#ref!</definedName>
    <definedName function="false" hidden="false" localSheetId="2" name="efficiency_rate_of_substitution_gases" vbProcedure="false">nzp!#ref!</definedName>
    <definedName function="false" hidden="false" localSheetId="2" name="efficiency_rate_of_substitution_heat" vbProcedure="false">nzp!#ref!</definedName>
    <definedName function="false" hidden="false" localSheetId="2" name="efficiency_rate_of_substitution_liquids" vbProcedure="false">nzp!#ref!</definedName>
    <definedName function="false" hidden="false" localSheetId="2" name="efficiency_rate_of_substitution_solids" vbProcedure="false">nzp!#ref!</definedName>
    <definedName function="false" hidden="false" localSheetId="2" name="energy_intensity_target" vbProcedure="false">NZP!$C$200:$AZ$204</definedName>
    <definedName function="false" hidden="false" localSheetId="2" name="energy_scarcity_forgetting_time" vbProcedure="false">NZP!$C$214</definedName>
    <definedName function="false" hidden="false" localSheetId="2" name="energy_scarcity_forgetting_time_H" vbProcedure="false">NZP!$C$218</definedName>
    <definedName function="false" hidden="false" localSheetId="2" name="EROI_feedback_flag" vbProcedure="false">nzp!#ref!</definedName>
    <definedName function="false" hidden="false" localSheetId="2" name="final_year_energy_intensity_target" vbProcedure="false">NZP!$C$197</definedName>
    <definedName function="false" hidden="false" localSheetId="2" name="forest_overexplotation" vbProcedure="false">NZP!$C$400</definedName>
    <definedName function="false" hidden="false" localSheetId="2" name="fuel_share_air_pkm" vbProcedure="false">NZP!$C$142:$I$145</definedName>
    <definedName function="false" hidden="false" localSheetId="2" name="fuel_share_air_tkm" vbProcedure="false">NZP!$C$128:$I$131</definedName>
    <definedName function="false" hidden="false" localSheetId="2" name="fuel_share_households_pkm" vbProcedure="false">NZP!$C$146:$I$149</definedName>
    <definedName function="false" hidden="false" localSheetId="2" name="fuel_share_inland_pkm" vbProcedure="false">NZP!$C$134:$I$137</definedName>
    <definedName function="false" hidden="false" localSheetId="2" name="fuel_share_inland_tkm" vbProcedure="false">NZP!$C$120:$I$123</definedName>
    <definedName function="false" hidden="false" localSheetId="2" name="fuel_share_maritime_pkm" vbProcedure="false">NZP!$C$138:$I$141</definedName>
    <definedName function="false" hidden="false" localSheetId="2" name="fuel_share_maritime_tkm" vbProcedure="false">NZP!$C$124:$I$127</definedName>
    <definedName function="false" hidden="false" localSheetId="2" name="gas_net_flux_timeseries" vbProcedure="false">NZP!$C$389:$I$389</definedName>
    <definedName function="false" hidden="false" localSheetId="2" name="GWP_time_frame" vbProcedure="false">nzp!#ref!</definedName>
    <definedName function="false" hidden="false" localSheetId="2" name="limit_coal_imports_from_RoW" vbProcedure="false">nzp!#ref!</definedName>
    <definedName function="false" hidden="false" localSheetId="2" name="limit_nat_gas_imports_from_RoW" vbProcedure="false">nzp!#ref!</definedName>
    <definedName function="false" hidden="false" localSheetId="2" name="limit_oil_imports_from_RoW" vbProcedure="false">nzp!#ref!</definedName>
    <definedName function="false" hidden="false" localSheetId="2" name="max_PE_biogas" vbProcedure="false">nzp!#ref!</definedName>
    <definedName function="false" hidden="false" localSheetId="2" name="max_PE_waste" vbProcedure="false">nzp!#ref!</definedName>
    <definedName function="false" hidden="false" localSheetId="2" name="max_share_imports_coal" vbProcedure="false">nzp!#ref!</definedName>
    <definedName function="false" hidden="false" localSheetId="2" name="max_share_imports_nat_gas" vbProcedure="false">nzp!#ref!</definedName>
    <definedName function="false" hidden="false" localSheetId="2" name="max_share_imports_oil" vbProcedure="false">nzp!#ref!</definedName>
    <definedName function="false" hidden="false" localSheetId="2" name="minimum_forest" vbProcedure="false">NZP!$C$401</definedName>
    <definedName function="false" hidden="false" localSheetId="2" name="min_FEI_vs_initial" vbProcedure="false">NZP!$C$160</definedName>
    <definedName function="false" hidden="false" localSheetId="2" name="oil_net_flux_timeseries" vbProcedure="false">NZP!$C$388:$I$388</definedName>
    <definedName function="false" hidden="false" localSheetId="2" name="pct_change_energy_intensity_target" vbProcedure="false">NZP!$C$207</definedName>
    <definedName function="false" hidden="false" localSheetId="2" name="percent_2w_tfin_over_hh_veh" vbProcedure="false">nzp!#ref!</definedName>
    <definedName function="false" hidden="false" localSheetId="2" name="percent_electric_2w_tfin" vbProcedure="false">nzp!#ref!</definedName>
    <definedName function="false" hidden="false" localSheetId="2" name="percent_electric_light_cargo_veh_tfin" vbProcedure="false">nzp!#ref!</definedName>
    <definedName function="false" hidden="false" localSheetId="2" name="percent_electric_train_tfin" vbProcedure="false">nzp!#ref!</definedName>
    <definedName function="false" hidden="false" localSheetId="2" name="percent_electr_bus_tfin" vbProcedure="false">nzp!#ref!</definedName>
    <definedName function="false" hidden="false" localSheetId="2" name="percent_electr_hh_4w_tfin" vbProcedure="false">nzp!#ref!</definedName>
    <definedName function="false" hidden="false" localSheetId="2" name="percent_gas_heavy_veh_tfin" vbProcedure="false">nzp!#ref!</definedName>
    <definedName function="false" hidden="false" localSheetId="2" name="percent_gas_hh_veh_4w_tfin" vbProcedure="false">nzp!#ref!</definedName>
    <definedName function="false" hidden="false" localSheetId="2" name="percent_hybrid_bus_tfin" vbProcedure="false">nzp!#ref!</definedName>
    <definedName function="false" hidden="false" localSheetId="2" name="percent_hybrid_heavy_veh_tfin" vbProcedure="false">nzp!#ref!</definedName>
    <definedName function="false" hidden="false" localSheetId="2" name="percent_hybrid_hh_4w_veh_tfin" vbProcedure="false">nzp!#ref!</definedName>
    <definedName function="false" hidden="false" localSheetId="2" name="percent_hybrid_light_cargo_veh_tfin" vbProcedure="false">nzp!#ref!</definedName>
    <definedName function="false" hidden="false" localSheetId="2" name="percent_natgas_bus_tfin" vbProcedure="false">nzp!#ref!</definedName>
    <definedName function="false" hidden="false" localSheetId="2" name="percent_natgas_light_cargo_veh_tfin" vbProcedure="false">nzp!#ref!</definedName>
    <definedName function="false" hidden="false" localSheetId="2" name="phase_out_oil_electr" vbProcedure="false">NZP!$C$89</definedName>
    <definedName function="false" hidden="false" localSheetId="2" name="phase_out_oil_heat" vbProcedure="false">NZP!$C$90</definedName>
    <definedName function="false" hidden="false" localSheetId="2" name="pkm_share" vbProcedure="false">NZP!$D$112:$J$115</definedName>
    <definedName function="false" hidden="false" localSheetId="2" name="policy_change_energy_speed" vbProcedure="false">NZP!$C$181:$AZ$185</definedName>
    <definedName function="false" hidden="false" localSheetId="2" name="policy_improvement_process_emissions_efficiency" vbProcedure="false">NZP!$C$375</definedName>
    <definedName function="false" hidden="false" localSheetId="2" name="policy_to_improve_efficiency_speed" vbProcedure="false">NZP!$C$169:$AZ$173</definedName>
    <definedName function="false" hidden="false" localSheetId="2" name="p_bioe_power" vbProcedure="false">NZP!$C$18:$I$18</definedName>
    <definedName function="false" hidden="false" localSheetId="2" name="p_bioe_residues_growth" vbProcedure="false">NZP!$C$35:$I$35</definedName>
    <definedName function="false" hidden="false" localSheetId="2" name="p_biofuels_2gen_land_compet_growth" vbProcedure="false">NZP!$C$30</definedName>
    <definedName function="false" hidden="false" localSheetId="2" name="p_biofuels_3gen_land_compet_growth" vbProcedure="false">NZP!$C$32</definedName>
    <definedName function="false" hidden="false" localSheetId="2" name="p_biofuels_land_marg_growth" vbProcedure="false">NZP!$C$40</definedName>
    <definedName function="false" hidden="false" localSheetId="2" name="p_biogas_growth" vbProcedure="false">NZP!$C$42</definedName>
    <definedName function="false" hidden="false" localSheetId="2" name="p_capital_share" vbProcedure="false">NZP!$F$8</definedName>
    <definedName function="false" hidden="false" localSheetId="2" name="p_CCS" vbProcedure="false">NZP!$C$267:$I$316</definedName>
    <definedName function="false" hidden="false" localSheetId="2" name="p_change_over_hist_max_variation_FEI" vbProcedure="false">NZP!$C$161</definedName>
    <definedName function="false" hidden="false" localSheetId="2" name="P_common_rr_minerals_variation_alt_techn" vbProcedure="false">NZP!$C$248</definedName>
    <definedName function="false" hidden="false" localSheetId="2" name="P_common_rr_minerals_variation_Rest" vbProcedure="false">NZP!$C$250</definedName>
    <definedName function="false" hidden="false" localSheetId="2" name="p_constant_gdp_variation" vbProcedure="false">nzp!#ref!</definedName>
    <definedName function="false" hidden="false" localSheetId="2" name="p_constant_pop_variation" vbProcedure="false">nzp!#ref!</definedName>
    <definedName function="false" hidden="false" localSheetId="2" name="p_constraint_growth_extraction_unconv_gas" vbProcedure="false">NZP!$C$66</definedName>
    <definedName function="false" hidden="false" localSheetId="2" name="p_constraint_growth_extraction_unconv_oil" vbProcedure="false">NZP!$C$63</definedName>
    <definedName function="false" hidden="false" localSheetId="2" name="p_CSP_power" vbProcedure="false">NZP!$C$23:$I$23</definedName>
    <definedName function="false" hidden="false" localSheetId="2" name="p_CTL_growth" vbProcedure="false">NZP!$C$57</definedName>
    <definedName function="false" hidden="false" localSheetId="2" name="p_DAC" vbProcedure="false">NZP!$C$370:$I$370</definedName>
    <definedName function="false" hidden="false" localSheetId="2" name="p_geot_heat_growth" vbProcedure="false">NZP!$C$51</definedName>
    <definedName function="false" hidden="false" localSheetId="2" name="p_geot_power" vbProcedure="false">NZP!$C$17:$I$17</definedName>
    <definedName function="false" hidden="false" localSheetId="2" name="p_GTL_growth" vbProcedure="false">NZP!$C$59</definedName>
    <definedName function="false" hidden="false" localSheetId="2" name="p_hydro_power" vbProcedure="false">NZP!$C$16:$I$16</definedName>
    <definedName function="false" hidden="false" localSheetId="2" name="p_labour_share" vbProcedure="false">NZP!$C$8</definedName>
    <definedName function="false" hidden="false" localSheetId="2" name="p_nuclear_scen3_4_variation" vbProcedure="false">NZP!$E$101</definedName>
    <definedName function="false" hidden="false" localSheetId="2" name="p_oceanic_power" vbProcedure="false">NZP!$C$19:$I$19</definedName>
    <definedName function="false" hidden="false" localSheetId="2" name="p_offshore_wind_power" vbProcedure="false">NZP!$C$21:$I$21</definedName>
    <definedName function="false" hidden="false" localSheetId="2" name="p_onshore_wind_power" vbProcedure="false">NZP!$C$20:$I$20</definedName>
    <definedName function="false" hidden="false" localSheetId="2" name="p_PHS_power" vbProcedure="false">NZP!$C$24:$I$24</definedName>
    <definedName function="false" hidden="false" localSheetId="2" name="p_pop_asymptote" vbProcedure="false">nzp!#ref!</definedName>
    <definedName function="false" hidden="false" localSheetId="2" name="p_PV_power" vbProcedure="false">NZP!$C$22:$I$22</definedName>
    <definedName function="false" hidden="false" localSheetId="2" name="p_RES_power" vbProcedure="false">NZP!$C$16:$I$23</definedName>
    <definedName function="false" hidden="false" localSheetId="2" name="P_rr_minerals_alt_techn" vbProcedure="false">NZP!$D$228:$D$246</definedName>
    <definedName function="false" hidden="false" localSheetId="2" name="P_rr_minerals_Rest" vbProcedure="false">NZP!$E$228:$E$246</definedName>
    <definedName function="false" hidden="false" localSheetId="2" name="p_solar_heat" vbProcedure="false">NZP!$C$50</definedName>
    <definedName function="false" hidden="false" localSheetId="2" name="p_solid_bioE" vbProcedure="false">NZP!$C$37:$I$37</definedName>
    <definedName function="false" hidden="false" localSheetId="2" name="p_solid_bioe_heat" vbProcedure="false">NZP!$C$52</definedName>
    <definedName function="false" hidden="false" localSheetId="2" name="p_timeseries_gdp_growth" vbProcedure="false">NZP!$C$10:$AL$10</definedName>
    <definedName function="false" hidden="false" localSheetId="2" name="p_timeseries_pop_growth" vbProcedure="false">NZP!$C$5:$AL$5</definedName>
    <definedName function="false" hidden="false" localSheetId="2" name="p_waste_growth" vbProcedure="false">NZP!$C$45</definedName>
    <definedName function="false" hidden="false" localSheetId="2" name="RCP_selection" vbProcedure="false">NZP!$C$257</definedName>
    <definedName function="false" hidden="false" localSheetId="2" name="scarcity_feedback_final_fuel_replacement_flag" vbProcedure="false">NZP!$C$210</definedName>
    <definedName function="false" hidden="false" localSheetId="2" name="sectoral_FEI_evolution_method" vbProcedure="false">NZP!$C$155</definedName>
    <definedName function="false" hidden="false" localSheetId="2" name="select_gdp_evolution" vbProcedure="false">nzp!#ref!</definedName>
    <definedName function="false" hidden="false" localSheetId="2" name="select_nuclear_scen" vbProcedure="false">NZP!$C$100</definedName>
    <definedName function="false" hidden="false" localSheetId="2" name="select_pop_evolution" vbProcedure="false">nzp!#ref!</definedName>
    <definedName function="false" hidden="false" localSheetId="2" name="sensitivity_to_scarcity_option" vbProcedure="false">NZP!$C$211</definedName>
    <definedName function="false" hidden="false" localSheetId="2" name="sensitivity_to_scarcity_option_H" vbProcedure="false">NZP!$C$215</definedName>
    <definedName function="false" hidden="false" localSheetId="2" name="separate_conv_and_unconv_gas" vbProcedure="false">NZP!$C$65</definedName>
    <definedName function="false" hidden="false" localSheetId="2" name="separate_conv_and_unconv_oil" vbProcedure="false">NZP!$C$62</definedName>
    <definedName function="false" hidden="false" localSheetId="2" name="share_available_roof" vbProcedure="false">NZP!$C$417</definedName>
    <definedName function="false" hidden="false" localSheetId="2" name="share_available_roof_for_rooftop_PV" vbProcedure="false">NZP!$C$415</definedName>
    <definedName function="false" hidden="false" localSheetId="2" name="share_biogas" vbProcedure="false">NZP!$C$25:$I$25</definedName>
    <definedName function="false" hidden="false" localSheetId="2" name="share_ccs_energy" vbProcedure="false">NZP!$C$318:$I$367</definedName>
    <definedName function="false" hidden="false" localSheetId="2" name="share_cellulosic_biof_vs_bioe_res" vbProcedure="false">NZP!$C$36:$I$36</definedName>
    <definedName function="false" hidden="false" localSheetId="2" name="share_curtailment" vbProcedure="false">NZP!$C$26:$I$26</definedName>
    <definedName function="false" hidden="false" localSheetId="2" name="share_exports_electricity" vbProcedure="false">NZP!$C$395:$I$395</definedName>
    <definedName function="false" hidden="false" localSheetId="2" name="share_PV_urban_tot_PV" vbProcedure="false">NZP!$C$418</definedName>
    <definedName function="false" hidden="false" localSheetId="2" name="share_roof_solar_thermal" vbProcedure="false">NZP!$C$416</definedName>
    <definedName function="false" hidden="false" localSheetId="2" name="share_RURR_agg_gas_underground" vbProcedure="false">NZP!$C$85</definedName>
    <definedName function="false" hidden="false" localSheetId="2" name="share_RURR_agg_oil_underground" vbProcedure="false">NZP!$C$83</definedName>
    <definedName function="false" hidden="false" localSheetId="2" name="share_RURR_coal_underground" vbProcedure="false">NZP!$C$80</definedName>
    <definedName function="false" hidden="false" localSheetId="2" name="share_RURR_conv_gas_underground" vbProcedure="false">NZP!$C$76</definedName>
    <definedName function="false" hidden="false" localSheetId="2" name="share_RURR_conv_oil_underground" vbProcedure="false">NZP!$C$72</definedName>
    <definedName function="false" hidden="false" localSheetId="2" name="share_RURR_unconv_gas_underground" vbProcedure="false">NZP!$C$78</definedName>
    <definedName function="false" hidden="false" localSheetId="2" name="share_RURR_unconv_oil_underground" vbProcedure="false">NZP!$C$74</definedName>
    <definedName function="false" hidden="false" localSheetId="2" name="share_target_year_oil_for_elec" vbProcedure="false">NZP!$C$96</definedName>
    <definedName function="false" hidden="false" localSheetId="2" name="share_target_year_oil_for_heat" vbProcedure="false">NZP!$C$97</definedName>
    <definedName function="false" hidden="false" localSheetId="2" name="start_policy_year_agg_gas_underground" vbProcedure="false">NZP!$C$84</definedName>
    <definedName function="false" hidden="false" localSheetId="2" name="start_policy_year_agg_oil_underground" vbProcedure="false">NZP!$C$82</definedName>
    <definedName function="false" hidden="false" localSheetId="2" name="start_policy_year_coal_underground" vbProcedure="false">NZP!$C$79</definedName>
    <definedName function="false" hidden="false" localSheetId="2" name="start_policy_year_conv_gas_underground" vbProcedure="false">NZP!$C$75</definedName>
    <definedName function="false" hidden="false" localSheetId="2" name="start_policy_year_conv_oil_underground" vbProcedure="false">NZP!$C$71</definedName>
    <definedName function="false" hidden="false" localSheetId="2" name="start_policy_year_unconv_gas_underground" vbProcedure="false">NZP!$C$77</definedName>
    <definedName function="false" hidden="false" localSheetId="2" name="start_policy_year_unconv_oil_underground" vbProcedure="false">NZP!$C$73</definedName>
    <definedName function="false" hidden="false" localSheetId="2" name="start_year_3gen_cell_biofuels" vbProcedure="false">NZP!$C$31</definedName>
    <definedName function="false" hidden="false" localSheetId="2" name="start_year_bioe_residues_non_biofuels" vbProcedure="false">NZP!$C$34</definedName>
    <definedName function="false" hidden="false" localSheetId="2" name="start_year_biofuels_land_marg" vbProcedure="false">NZP!$C$39</definedName>
    <definedName function="false" hidden="false" localSheetId="2" name="start_year_cell_efficency_PV" vbProcedure="false">NZP!$C$411</definedName>
    <definedName function="false" hidden="false" localSheetId="2" name="start_year_modification_EI" vbProcedure="false">NZP!$C$196</definedName>
    <definedName function="false" hidden="false" localSheetId="2" name="start_year_nuclear_variation_scen3_4" vbProcedure="false">NZP!$E$100</definedName>
    <definedName function="false" hidden="false" localSheetId="2" name="start_year_policies_transport" vbProcedure="false">NZP!$D$108</definedName>
    <definedName function="false" hidden="false" localSheetId="2" name="start_year_policy_phase_out_oil_for_electricity" vbProcedure="false">NZP!$C$92</definedName>
    <definedName function="false" hidden="false" localSheetId="2" name="start_year_policy_phase_out_oil_for_heat" vbProcedure="false">NZP!$C$93</definedName>
    <definedName function="false" hidden="false" localSheetId="2" name="start_year_P_common_rr_minerals_alt_techn" vbProcedure="false">NZP!$C$249</definedName>
    <definedName function="false" hidden="false" localSheetId="2" name="start_year_P_common_rr_minerals_Rest" vbProcedure="false">NZP!$C$251</definedName>
    <definedName function="false" hidden="false" localSheetId="2" name="start_year_p_growth_RES_elec" vbProcedure="false">NZP!$C$15</definedName>
    <definedName function="false" hidden="false" localSheetId="2" name="start_year_p_growth_RES_heat" vbProcedure="false">NZP!$C$48</definedName>
    <definedName function="false" hidden="false" localSheetId="2" name="start_year_P_rr_minerals" vbProcedure="false">NZP!$B$226</definedName>
    <definedName function="false" hidden="false" localSheetId="2" name="start_year_P_urban_land_density" vbProcedure="false">NZP!$C$405</definedName>
    <definedName function="false" hidden="false" localSheetId="2" name="start_year_variation_primary_forest" vbProcedure="false">NZP!$C$403</definedName>
    <definedName function="false" hidden="false" localSheetId="2" name="target_year_asymptote_gdp" vbProcedure="false">nzp!#ref!</definedName>
    <definedName function="false" hidden="false" localSheetId="2" name="target_year_asymptote_pop" vbProcedure="false">nzp!#ref!</definedName>
    <definedName function="false" hidden="false" localSheetId="2" name="target_year_policy_phase_out_oil_electricity" vbProcedure="false">NZP!$C$94</definedName>
    <definedName function="false" hidden="false" localSheetId="2" name="target_year_policy_phase_out_oil_heat" vbProcedure="false">NZP!$C$95</definedName>
    <definedName function="false" hidden="false" localSheetId="2" name="target_year_process_emissions" vbProcedure="false">NZP!$C$374</definedName>
    <definedName function="false" hidden="false" localSheetId="2" name="target_year_p_growth_RES_heat" vbProcedure="false">NZP!$C$49</definedName>
    <definedName function="false" hidden="false" localSheetId="2" name="target_year_P_rr_minerals" vbProcedure="false">NZP!$B$227</definedName>
    <definedName function="false" hidden="false" localSheetId="2" name="target_year_P_urban_land_density" vbProcedure="false">NZP!$C$406</definedName>
    <definedName function="false" hidden="false" localSheetId="2" name="targ_year_cell_efficiency_PV" vbProcedure="false">NZP!$C$412</definedName>
    <definedName function="false" hidden="false" localSheetId="2" name="tfin_policy_hh_veh" vbProcedure="false">nzp!#ref!</definedName>
    <definedName function="false" hidden="false" localSheetId="2" name="tfin_policy_inland_transp_veh" vbProcedure="false">nzp!#ref!</definedName>
    <definedName function="false" hidden="false" localSheetId="2" name="tini_policy_hh_veh" vbProcedure="false">nzp!#ref!</definedName>
    <definedName function="false" hidden="false" localSheetId="2" name="tini_policy_inland_transp_veh" vbProcedure="false">nzp!#ref!</definedName>
    <definedName function="false" hidden="false" localSheetId="2" name="tkm_share" vbProcedure="false">NZP!$D$109:$J$111</definedName>
    <definedName function="false" hidden="false" localSheetId="2" name="unlimited_coal" vbProcedure="false">nzp!#ref!</definedName>
    <definedName function="false" hidden="false" localSheetId="2" name="unlimited_gas" vbProcedure="false">nzp!#ref!</definedName>
    <definedName function="false" hidden="false" localSheetId="2" name="unlimited_NRE" vbProcedure="false">nzp!#ref!</definedName>
    <definedName function="false" hidden="false" localSheetId="2" name="unlimited_oil" vbProcedure="false">nzp!#ref!</definedName>
    <definedName function="false" hidden="false" localSheetId="2" name="unlimited_uranium" vbProcedure="false">nzp!#ref!</definedName>
    <definedName function="false" hidden="false" localSheetId="2" name="urban_land_density" vbProcedure="false">NZP!$C$404</definedName>
    <definedName function="false" hidden="false" localSheetId="2" name="variation_primary_forest" vbProcedure="false">NZP!$C$402</definedName>
    <definedName function="false" hidden="false" localSheetId="2" name="year_change_pct_energy_intensity_target" vbProcedure="false">NZP!$C$206</definedName>
    <definedName function="false" hidden="false" localSheetId="2" name="year_customized_gdp_evol" vbProcedure="false">nzp!#ref!</definedName>
    <definedName function="false" hidden="false" localSheetId="2" name="year_customized_pop_evol" vbProcedure="false">nzp!#ref!</definedName>
    <definedName function="false" hidden="false" localSheetId="2" name="year_gdp_timeseries" vbProcedure="false">NZP!$C$9:$AL$9</definedName>
    <definedName function="false" hidden="false" localSheetId="2" name="year_net_energy_flux" vbProcedure="false">NZP!$C$387:$I$387</definedName>
    <definedName function="false" hidden="false" localSheetId="2" name="year_policy_change_energy" vbProcedure="false">NZP!$C$175:$AZ$179</definedName>
    <definedName function="false" hidden="false" localSheetId="2" name="year_policy_to_improve_efficiency" vbProcedure="false">NZP!$C$163:$AZ$167</definedName>
    <definedName function="false" hidden="false" localSheetId="2" name="year_pop_timeseries" vbProcedure="false">NZP!$C$4:$AL$4</definedName>
    <definedName function="false" hidden="false" localSheetId="2" name="year_ref_RURR" vbProcedure="false">NZP!$C$70</definedName>
    <definedName function="false" hidden="false" localSheetId="2" name="year_RES_heat" vbProcedure="false">NZP!$C$48</definedName>
    <definedName function="false" hidden="false" localSheetId="2" name="year_RES_power" vbProcedure="false">NZP!$C$15:$I$15</definedName>
    <definedName function="false" hidden="false" localSheetId="2" name="year_to_finish_energy_intensity_policies" vbProcedure="false">NZP!$C$187:$AZ$191</definedName>
    <definedName function="false" hidden="false" localSheetId="2" name="year_transport_fuel_share_pkm" vbProcedure="false">NZP!$C$133:$I$133</definedName>
    <definedName function="false" hidden="false" localSheetId="2" name="year_transport_fuel_share_tkm" vbProcedure="false">NZP!$C$119:$I$119</definedName>
    <definedName function="false" hidden="false" localSheetId="2" name="Year_transport_share" vbProcedure="false">NZP!$D$108:$J$108</definedName>
    <definedName function="false" hidden="false" localSheetId="3" name="activate_afforestation_program" vbProcedure="false">PINECCAT!$C$263</definedName>
    <definedName function="false" hidden="false" localSheetId="3" name="activate_ELF" vbProcedure="false">PINECCAT!$C$255</definedName>
    <definedName function="false" hidden="false" localSheetId="3" name="activate_inland_transp" vbProcedure="false">nzp!#ref!</definedName>
    <definedName function="false" hidden="false" localSheetId="3" name="activate_poicy_hh_transp" vbProcedure="false">nzp!#ref!</definedName>
    <definedName function="false" hidden="false" localSheetId="3" name="activate_policy_leaving_underground" vbProcedure="false">PINECCAT!$C$69</definedName>
    <definedName function="false" hidden="false" localSheetId="3" name="asymptote_GDPpc" vbProcedure="false">nzp!#ref!</definedName>
    <definedName function="false" hidden="false" localSheetId="3" name="average_solar_irradiance" vbProcedure="false">PINECCAT!$C$409</definedName>
    <definedName function="false" hidden="false" localSheetId="3" name="biofuels_exports" vbProcedure="false">PINECCAT!$C$394:$I$394</definedName>
    <definedName function="false" hidden="false" localSheetId="3" name="cell_efficiency_PV_target_year" vbProcedure="false">PINECCAT!$C$410</definedName>
    <definedName function="false" hidden="false" localSheetId="3" name="choose_energy_intensity_target_method" vbProcedure="false">PINECCAT!$C$194</definedName>
    <definedName function="false" hidden="false" localSheetId="3" name="choose_targets_mineral_recycling_rates" vbProcedure="false">PINECCAT!$D$224</definedName>
    <definedName function="false" hidden="false" localSheetId="3" name="coal_net_flux_timeseries" vbProcedure="false">PINECCAT!$C$390:$I$390</definedName>
    <definedName function="false" hidden="false" localSheetId="3" name="crash_programme_CTL" vbProcedure="false">PINECCAT!$D$57</definedName>
    <definedName function="false" hidden="false" localSheetId="3" name="crash_programme_GTL" vbProcedure="false">PINECCAT!$D$59</definedName>
    <definedName function="false" hidden="false" localSheetId="3" name="efficiency_rate_of_substitution_electricity" vbProcedure="false">nzp!#ref!</definedName>
    <definedName function="false" hidden="false" localSheetId="3" name="efficiency_rate_of_substitution_gases" vbProcedure="false">nzp!#ref!</definedName>
    <definedName function="false" hidden="false" localSheetId="3" name="efficiency_rate_of_substitution_heat" vbProcedure="false">nzp!#ref!</definedName>
    <definedName function="false" hidden="false" localSheetId="3" name="efficiency_rate_of_substitution_liquids" vbProcedure="false">nzp!#ref!</definedName>
    <definedName function="false" hidden="false" localSheetId="3" name="efficiency_rate_of_substitution_solids" vbProcedure="false">nzp!#ref!</definedName>
    <definedName function="false" hidden="false" localSheetId="3" name="energy_intensity_target" vbProcedure="false">PINECCAT!$C$200:$AZ$204</definedName>
    <definedName function="false" hidden="false" localSheetId="3" name="energy_scarcity_forgetting_time" vbProcedure="false">PINECCAT!$C$214</definedName>
    <definedName function="false" hidden="false" localSheetId="3" name="energy_scarcity_forgetting_time_H" vbProcedure="false">PINECCAT!$C$218</definedName>
    <definedName function="false" hidden="false" localSheetId="3" name="EROI_feedback_flag" vbProcedure="false">nzp!#ref!</definedName>
    <definedName function="false" hidden="false" localSheetId="3" name="final_year_energy_intensity_target" vbProcedure="false">PINECCAT!$C$197</definedName>
    <definedName function="false" hidden="false" localSheetId="3" name="forest_overexplotation" vbProcedure="false">PINECCAT!$C$400</definedName>
    <definedName function="false" hidden="false" localSheetId="3" name="fuel_share_air_pkm" vbProcedure="false">PINECCAT!$C$142:$I$145</definedName>
    <definedName function="false" hidden="false" localSheetId="3" name="fuel_share_air_tkm" vbProcedure="false">PINECCAT!$C$128:$I$131</definedName>
    <definedName function="false" hidden="false" localSheetId="3" name="fuel_share_households_pkm" vbProcedure="false">PINECCAT!$C$146:$I$149</definedName>
    <definedName function="false" hidden="false" localSheetId="3" name="fuel_share_inland_pkm" vbProcedure="false">PINECCAT!$C$134:$I$137</definedName>
    <definedName function="false" hidden="false" localSheetId="3" name="fuel_share_inland_tkm" vbProcedure="false">PINECCAT!$C$120:$I$123</definedName>
    <definedName function="false" hidden="false" localSheetId="3" name="fuel_share_maritime_pkm" vbProcedure="false">PINECCAT!$C$138:$I$141</definedName>
    <definedName function="false" hidden="false" localSheetId="3" name="fuel_share_maritime_tkm" vbProcedure="false">PINECCAT!$C$124:$I$127</definedName>
    <definedName function="false" hidden="false" localSheetId="3" name="gas_net_flux_timeseries" vbProcedure="false">PINECCAT!$C$389:$I$389</definedName>
    <definedName function="false" hidden="false" localSheetId="3" name="GWP_time_frame" vbProcedure="false">nzp!#ref!</definedName>
    <definedName function="false" hidden="false" localSheetId="3" name="limit_coal_imports_from_RoW" vbProcedure="false">nzp!#ref!</definedName>
    <definedName function="false" hidden="false" localSheetId="3" name="limit_nat_gas_imports_from_RoW" vbProcedure="false">nzp!#ref!</definedName>
    <definedName function="false" hidden="false" localSheetId="3" name="limit_oil_imports_from_RoW" vbProcedure="false">nzp!#ref!</definedName>
    <definedName function="false" hidden="false" localSheetId="3" name="max_PE_biogas" vbProcedure="false">nzp!#ref!</definedName>
    <definedName function="false" hidden="false" localSheetId="3" name="max_PE_waste" vbProcedure="false">nzp!#ref!</definedName>
    <definedName function="false" hidden="false" localSheetId="3" name="max_share_imports_coal" vbProcedure="false">nzp!#ref!</definedName>
    <definedName function="false" hidden="false" localSheetId="3" name="max_share_imports_nat_gas" vbProcedure="false">nzp!#ref!</definedName>
    <definedName function="false" hidden="false" localSheetId="3" name="max_share_imports_oil" vbProcedure="false">nzp!#ref!</definedName>
    <definedName function="false" hidden="false" localSheetId="3" name="minimum_forest" vbProcedure="false">PINECCAT!$C$401</definedName>
    <definedName function="false" hidden="false" localSheetId="3" name="min_FEI_vs_initial" vbProcedure="false">PINECCAT!$C$160</definedName>
    <definedName function="false" hidden="false" localSheetId="3" name="oil_net_flux_timeseries" vbProcedure="false">PINECCAT!$C$388:$I$388</definedName>
    <definedName function="false" hidden="false" localSheetId="3" name="pct_change_energy_intensity_target" vbProcedure="false">PINECCAT!$C$207</definedName>
    <definedName function="false" hidden="false" localSheetId="3" name="percent_2w_tfin_over_hh_veh" vbProcedure="false">nzp!#ref!</definedName>
    <definedName function="false" hidden="false" localSheetId="3" name="percent_electric_2w_tfin" vbProcedure="false">nzp!#ref!</definedName>
    <definedName function="false" hidden="false" localSheetId="3" name="percent_electric_light_cargo_veh_tfin" vbProcedure="false">nzp!#ref!</definedName>
    <definedName function="false" hidden="false" localSheetId="3" name="percent_electric_train_tfin" vbProcedure="false">nzp!#ref!</definedName>
    <definedName function="false" hidden="false" localSheetId="3" name="percent_electr_bus_tfin" vbProcedure="false">nzp!#ref!</definedName>
    <definedName function="false" hidden="false" localSheetId="3" name="percent_electr_hh_4w_tfin" vbProcedure="false">nzp!#ref!</definedName>
    <definedName function="false" hidden="false" localSheetId="3" name="percent_gas_heavy_veh_tfin" vbProcedure="false">nzp!#ref!</definedName>
    <definedName function="false" hidden="false" localSheetId="3" name="percent_gas_hh_veh_4w_tfin" vbProcedure="false">nzp!#ref!</definedName>
    <definedName function="false" hidden="false" localSheetId="3" name="percent_hybrid_bus_tfin" vbProcedure="false">nzp!#ref!</definedName>
    <definedName function="false" hidden="false" localSheetId="3" name="percent_hybrid_heavy_veh_tfin" vbProcedure="false">nzp!#ref!</definedName>
    <definedName function="false" hidden="false" localSheetId="3" name="percent_hybrid_hh_4w_veh_tfin" vbProcedure="false">nzp!#ref!</definedName>
    <definedName function="false" hidden="false" localSheetId="3" name="percent_hybrid_light_cargo_veh_tfin" vbProcedure="false">nzp!#ref!</definedName>
    <definedName function="false" hidden="false" localSheetId="3" name="percent_natgas_bus_tfin" vbProcedure="false">nzp!#ref!</definedName>
    <definedName function="false" hidden="false" localSheetId="3" name="percent_natgas_light_cargo_veh_tfin" vbProcedure="false">nzp!#ref!</definedName>
    <definedName function="false" hidden="false" localSheetId="3" name="phase_out_oil_electr" vbProcedure="false">PINECCAT!$C$89</definedName>
    <definedName function="false" hidden="false" localSheetId="3" name="phase_out_oil_heat" vbProcedure="false">PINECCAT!$C$90</definedName>
    <definedName function="false" hidden="false" localSheetId="3" name="pkm_share" vbProcedure="false">PINECCAT!$D$112:$J$115</definedName>
    <definedName function="false" hidden="false" localSheetId="3" name="policy_change_energy_speed" vbProcedure="false">PINECCAT!$C$181:$AZ$185</definedName>
    <definedName function="false" hidden="false" localSheetId="3" name="policy_improvement_process_emissions_efficiency" vbProcedure="false">PINECCAT!$C$375</definedName>
    <definedName function="false" hidden="false" localSheetId="3" name="policy_to_improve_efficiency_speed" vbProcedure="false">PINECCAT!$C$169:$AZ$173</definedName>
    <definedName function="false" hidden="false" localSheetId="3" name="p_bioe_power" vbProcedure="false">PINECCAT!$C$18:$I$18</definedName>
    <definedName function="false" hidden="false" localSheetId="3" name="p_bioe_residues_growth" vbProcedure="false">PINECCAT!$C$35:$I$35</definedName>
    <definedName function="false" hidden="false" localSheetId="3" name="p_biofuels_2gen_land_compet_growth" vbProcedure="false">PINECCAT!$C$30</definedName>
    <definedName function="false" hidden="false" localSheetId="3" name="p_biofuels_3gen_land_compet_growth" vbProcedure="false">PINECCAT!$C$32</definedName>
    <definedName function="false" hidden="false" localSheetId="3" name="p_biofuels_land_marg_growth" vbProcedure="false">PINECCAT!$C$40</definedName>
    <definedName function="false" hidden="false" localSheetId="3" name="p_biogas_growth" vbProcedure="false">PINECCAT!$C$42</definedName>
    <definedName function="false" hidden="false" localSheetId="3" name="p_capital_share" vbProcedure="false">PINECCAT!$F$8</definedName>
    <definedName function="false" hidden="false" localSheetId="3" name="p_CCS" vbProcedure="false">PINECCAT!$C$267:$I$316</definedName>
    <definedName function="false" hidden="false" localSheetId="3" name="p_change_over_hist_max_variation_FEI" vbProcedure="false">PINECCAT!$C$161</definedName>
    <definedName function="false" hidden="false" localSheetId="3" name="P_common_rr_minerals_variation_alt_techn" vbProcedure="false">PINECCAT!$C$248</definedName>
    <definedName function="false" hidden="false" localSheetId="3" name="P_common_rr_minerals_variation_Rest" vbProcedure="false">PINECCAT!$C$250</definedName>
    <definedName function="false" hidden="false" localSheetId="3" name="p_constant_gdp_variation" vbProcedure="false">nzp!#ref!</definedName>
    <definedName function="false" hidden="false" localSheetId="3" name="p_constant_pop_variation" vbProcedure="false">nzp!#ref!</definedName>
    <definedName function="false" hidden="false" localSheetId="3" name="p_constraint_growth_extraction_unconv_gas" vbProcedure="false">PINECCAT!$C$66</definedName>
    <definedName function="false" hidden="false" localSheetId="3" name="p_constraint_growth_extraction_unconv_oil" vbProcedure="false">PINECCAT!$C$63</definedName>
    <definedName function="false" hidden="false" localSheetId="3" name="p_CSP_power" vbProcedure="false">PINECCAT!$C$23:$I$23</definedName>
    <definedName function="false" hidden="false" localSheetId="3" name="p_CTL_growth" vbProcedure="false">PINECCAT!$C$57</definedName>
    <definedName function="false" hidden="false" localSheetId="3" name="p_DAC" vbProcedure="false">PINECCAT!$C$370:$I$370</definedName>
    <definedName function="false" hidden="false" localSheetId="3" name="p_geot_heat_growth" vbProcedure="false">PINECCAT!$C$51</definedName>
    <definedName function="false" hidden="false" localSheetId="3" name="p_geot_power" vbProcedure="false">PINECCAT!$C$17:$I$17</definedName>
    <definedName function="false" hidden="false" localSheetId="3" name="p_GTL_growth" vbProcedure="false">PINECCAT!$C$59</definedName>
    <definedName function="false" hidden="false" localSheetId="3" name="p_hydro_power" vbProcedure="false">PINECCAT!$C$16:$I$16</definedName>
    <definedName function="false" hidden="false" localSheetId="3" name="p_labour_share" vbProcedure="false">PINECCAT!$C$8</definedName>
    <definedName function="false" hidden="false" localSheetId="3" name="p_nuclear_scen3_4_variation" vbProcedure="false">PINECCAT!$E$101</definedName>
    <definedName function="false" hidden="false" localSheetId="3" name="p_oceanic_power" vbProcedure="false">PINECCAT!$C$19:$I$19</definedName>
    <definedName function="false" hidden="false" localSheetId="3" name="p_offshore_wind_power" vbProcedure="false">PINECCAT!$C$21:$I$21</definedName>
    <definedName function="false" hidden="false" localSheetId="3" name="p_onshore_wind_power" vbProcedure="false">PINECCAT!$C$20:$I$20</definedName>
    <definedName function="false" hidden="false" localSheetId="3" name="p_PHS_power" vbProcedure="false">PINECCAT!$C$24:$I$24</definedName>
    <definedName function="false" hidden="false" localSheetId="3" name="p_pop_asymptote" vbProcedure="false">nzp!#ref!</definedName>
    <definedName function="false" hidden="false" localSheetId="3" name="p_PV_power" vbProcedure="false">PINECCAT!$C$22:$I$22</definedName>
    <definedName function="false" hidden="false" localSheetId="3" name="p_RES_power" vbProcedure="false">PINECCAT!$C$16:$I$23</definedName>
    <definedName function="false" hidden="false" localSheetId="3" name="P_rr_minerals_alt_techn" vbProcedure="false">PINECCAT!$D$228:$D$246</definedName>
    <definedName function="false" hidden="false" localSheetId="3" name="P_rr_minerals_Rest" vbProcedure="false">PINECCAT!$E$228:$E$246</definedName>
    <definedName function="false" hidden="false" localSheetId="3" name="p_solar_heat" vbProcedure="false">PINECCAT!$C$50</definedName>
    <definedName function="false" hidden="false" localSheetId="3" name="p_solid_bioE" vbProcedure="false">PINECCAT!$C$37:$I$37</definedName>
    <definedName function="false" hidden="false" localSheetId="3" name="p_solid_bioe_heat" vbProcedure="false">PINECCAT!$C$52</definedName>
    <definedName function="false" hidden="false" localSheetId="3" name="p_timeseries_gdp_growth" vbProcedure="false">PINECCAT!$C$10:$AL$10</definedName>
    <definedName function="false" hidden="false" localSheetId="3" name="p_timeseries_pop_growth" vbProcedure="false">PINECCAT!$C$5:$AL$5</definedName>
    <definedName function="false" hidden="false" localSheetId="3" name="p_waste_growth" vbProcedure="false">PINECCAT!$C$45</definedName>
    <definedName function="false" hidden="false" localSheetId="3" name="RCP_selection" vbProcedure="false">PINECCAT!$C$257</definedName>
    <definedName function="false" hidden="false" localSheetId="3" name="RES" vbProcedure="false">PINECCAT!$C$200:$AZ$204</definedName>
    <definedName function="false" hidden="false" localSheetId="3" name="scarcity_feedback_final_fuel_replacement_flag" vbProcedure="false">PINECCAT!$C$210</definedName>
    <definedName function="false" hidden="false" localSheetId="3" name="sectoral_FEI_evolution_method" vbProcedure="false">PINECCAT!$C$155</definedName>
    <definedName function="false" hidden="false" localSheetId="3" name="select_gdp_evolution" vbProcedure="false">nzp!#ref!</definedName>
    <definedName function="false" hidden="false" localSheetId="3" name="select_nuclear_scen" vbProcedure="false">PINECCAT!$C$100</definedName>
    <definedName function="false" hidden="false" localSheetId="3" name="select_pop_evolution" vbProcedure="false">nzp!#ref!</definedName>
    <definedName function="false" hidden="false" localSheetId="3" name="sensitivity_to_scarcity_option" vbProcedure="false">PINECCAT!$C$211</definedName>
    <definedName function="false" hidden="false" localSheetId="3" name="sensitivity_to_scarcity_option_H" vbProcedure="false">PINECCAT!$C$215</definedName>
    <definedName function="false" hidden="false" localSheetId="3" name="separate_conv_and_unconv_gas" vbProcedure="false">PINECCAT!$C$65</definedName>
    <definedName function="false" hidden="false" localSheetId="3" name="separate_conv_and_unconv_oil" vbProcedure="false">PINECCAT!$C$62</definedName>
    <definedName function="false" hidden="false" localSheetId="3" name="share_available_roof" vbProcedure="false">PINECCAT!$C$417</definedName>
    <definedName function="false" hidden="false" localSheetId="3" name="share_available_roof_for_rooftop_PV" vbProcedure="false">PINECCAT!$C$415</definedName>
    <definedName function="false" hidden="false" localSheetId="3" name="share_biogas" vbProcedure="false">PINECCAT!$C$25:$I$25</definedName>
    <definedName function="false" hidden="false" localSheetId="3" name="share_ccs_energy" vbProcedure="false">PINECCAT!$C$318:$I$367</definedName>
    <definedName function="false" hidden="false" localSheetId="3" name="share_cellulosic_biof_vs_bioe_res" vbProcedure="false">PINECCAT!$C$36:$I$36</definedName>
    <definedName function="false" hidden="false" localSheetId="3" name="share_curtailment" vbProcedure="false">PINECCAT!$C$26:$I$26</definedName>
    <definedName function="false" hidden="false" localSheetId="3" name="share_exports_electricity" vbProcedure="false">PINECCAT!$C$395:$I$395</definedName>
    <definedName function="false" hidden="false" localSheetId="3" name="share_PV_urban_tot_PV" vbProcedure="false">PINECCAT!$C$418</definedName>
    <definedName function="false" hidden="false" localSheetId="3" name="share_roof_solar_thermal" vbProcedure="false">PINECCAT!$C$416</definedName>
    <definedName function="false" hidden="false" localSheetId="3" name="share_RURR_agg_gas_underground" vbProcedure="false">PINECCAT!$C$85</definedName>
    <definedName function="false" hidden="false" localSheetId="3" name="share_RURR_agg_oil_underground" vbProcedure="false">PINECCAT!$C$83</definedName>
    <definedName function="false" hidden="false" localSheetId="3" name="share_RURR_coal_underground" vbProcedure="false">PINECCAT!$C$80</definedName>
    <definedName function="false" hidden="false" localSheetId="3" name="share_RURR_conv_gas_underground" vbProcedure="false">PINECCAT!$C$76</definedName>
    <definedName function="false" hidden="false" localSheetId="3" name="share_RURR_conv_oil_underground" vbProcedure="false">PINECCAT!$C$72</definedName>
    <definedName function="false" hidden="false" localSheetId="3" name="share_RURR_unconv_gas_underground" vbProcedure="false">PINECCAT!$C$78</definedName>
    <definedName function="false" hidden="false" localSheetId="3" name="share_RURR_unconv_oil_underground" vbProcedure="false">PINECCAT!$C$74</definedName>
    <definedName function="false" hidden="false" localSheetId="3" name="share_target_year_oil_for_elec" vbProcedure="false">PINECCAT!$C$96</definedName>
    <definedName function="false" hidden="false" localSheetId="3" name="share_target_year_oil_for_heat" vbProcedure="false">PINECCAT!$C$97</definedName>
    <definedName function="false" hidden="false" localSheetId="3" name="start_policy_year_agg_gas_underground" vbProcedure="false">PINECCAT!$C$84</definedName>
    <definedName function="false" hidden="false" localSheetId="3" name="start_policy_year_agg_oil_underground" vbProcedure="false">PINECCAT!$C$82</definedName>
    <definedName function="false" hidden="false" localSheetId="3" name="start_policy_year_coal_underground" vbProcedure="false">PINECCAT!$C$79</definedName>
    <definedName function="false" hidden="false" localSheetId="3" name="start_policy_year_conv_gas_underground" vbProcedure="false">PINECCAT!$C$75</definedName>
    <definedName function="false" hidden="false" localSheetId="3" name="start_policy_year_conv_oil_underground" vbProcedure="false">PINECCAT!$C$71</definedName>
    <definedName function="false" hidden="false" localSheetId="3" name="start_policy_year_unconv_gas_underground" vbProcedure="false">PINECCAT!$C$77</definedName>
    <definedName function="false" hidden="false" localSheetId="3" name="start_policy_year_unconv_oil_underground" vbProcedure="false">PINECCAT!$C$73</definedName>
    <definedName function="false" hidden="false" localSheetId="3" name="start_year_3gen_cell_biofuels" vbProcedure="false">PINECCAT!$C$31</definedName>
    <definedName function="false" hidden="false" localSheetId="3" name="start_year_bioe_residues_non_biofuels" vbProcedure="false">PINECCAT!$C$34</definedName>
    <definedName function="false" hidden="false" localSheetId="3" name="start_year_biofuels_land_marg" vbProcedure="false">PINECCAT!$C$39</definedName>
    <definedName function="false" hidden="false" localSheetId="3" name="start_year_cell_efficency_PV" vbProcedure="false">PINECCAT!$C$411</definedName>
    <definedName function="false" hidden="false" localSheetId="3" name="start_year_modification_EI" vbProcedure="false">PINECCAT!$C$196</definedName>
    <definedName function="false" hidden="false" localSheetId="3" name="start_year_nuclear_variation_scen3_4" vbProcedure="false">PINECCAT!$E$100</definedName>
    <definedName function="false" hidden="false" localSheetId="3" name="start_year_policies_transport" vbProcedure="false">PINECCAT!$D$108</definedName>
    <definedName function="false" hidden="false" localSheetId="3" name="start_year_policy_phase_out_oil_for_electricity" vbProcedure="false">PINECCAT!$C$92</definedName>
    <definedName function="false" hidden="false" localSheetId="3" name="start_year_policy_phase_out_oil_for_heat" vbProcedure="false">PINECCAT!$C$93</definedName>
    <definedName function="false" hidden="false" localSheetId="3" name="start_year_P_common_rr_minerals_alt_techn" vbProcedure="false">PINECCAT!$C$249</definedName>
    <definedName function="false" hidden="false" localSheetId="3" name="start_year_P_common_rr_minerals_Rest" vbProcedure="false">PINECCAT!$C$251</definedName>
    <definedName function="false" hidden="false" localSheetId="3" name="start_year_p_growth_RES_elec" vbProcedure="false">PINECCAT!$C$15</definedName>
    <definedName function="false" hidden="false" localSheetId="3" name="start_year_p_growth_RES_heat" vbProcedure="false">PINECCAT!$C$48</definedName>
    <definedName function="false" hidden="false" localSheetId="3" name="start_year_P_rr_minerals" vbProcedure="false">PINECCAT!$B$226</definedName>
    <definedName function="false" hidden="false" localSheetId="3" name="start_year_P_urban_land_density" vbProcedure="false">PINECCAT!$C$405</definedName>
    <definedName function="false" hidden="false" localSheetId="3" name="start_year_variation_primary_forest" vbProcedure="false">PINECCAT!$C$403</definedName>
    <definedName function="false" hidden="false" localSheetId="3" name="target_year_asymptote_gdp" vbProcedure="false">nzp!#ref!</definedName>
    <definedName function="false" hidden="false" localSheetId="3" name="target_year_asymptote_pop" vbProcedure="false">nzp!#ref!</definedName>
    <definedName function="false" hidden="false" localSheetId="3" name="target_year_policy_phase_out_oil_electricity" vbProcedure="false">PINECCAT!$C$94</definedName>
    <definedName function="false" hidden="false" localSheetId="3" name="target_year_policy_phase_out_oil_heat" vbProcedure="false">PINECCAT!$C$95</definedName>
    <definedName function="false" hidden="false" localSheetId="3" name="target_year_process_emissions" vbProcedure="false">PINECCAT!$C$374</definedName>
    <definedName function="false" hidden="false" localSheetId="3" name="target_year_p_growth_RES_heat" vbProcedure="false">PINECCAT!$C$49</definedName>
    <definedName function="false" hidden="false" localSheetId="3" name="target_year_P_rr_minerals" vbProcedure="false">PINECCAT!$B$227</definedName>
    <definedName function="false" hidden="false" localSheetId="3" name="target_year_P_urban_land_density" vbProcedure="false">PINECCAT!$C$406</definedName>
    <definedName function="false" hidden="false" localSheetId="3" name="targ_year_cell_efficiency_PV" vbProcedure="false">PINECCAT!$C$412</definedName>
    <definedName function="false" hidden="false" localSheetId="3" name="tfin_policy_hh_veh" vbProcedure="false">nzp!#ref!</definedName>
    <definedName function="false" hidden="false" localSheetId="3" name="tfin_policy_inland_transp_veh" vbProcedure="false">nzp!#ref!</definedName>
    <definedName function="false" hidden="false" localSheetId="3" name="tini_policy_hh_veh" vbProcedure="false">nzp!#ref!</definedName>
    <definedName function="false" hidden="false" localSheetId="3" name="tini_policy_inland_transp_veh" vbProcedure="false">nzp!#ref!</definedName>
    <definedName function="false" hidden="false" localSheetId="3" name="tkm_share" vbProcedure="false">PINECCAT!$D$109:$J$111</definedName>
    <definedName function="false" hidden="false" localSheetId="3" name="unlimited_coal" vbProcedure="false">nzp!#ref!</definedName>
    <definedName function="false" hidden="false" localSheetId="3" name="unlimited_gas" vbProcedure="false">nzp!#ref!</definedName>
    <definedName function="false" hidden="false" localSheetId="3" name="unlimited_NRE" vbProcedure="false">nzp!#ref!</definedName>
    <definedName function="false" hidden="false" localSheetId="3" name="unlimited_oil" vbProcedure="false">nzp!#ref!</definedName>
    <definedName function="false" hidden="false" localSheetId="3" name="unlimited_uranium" vbProcedure="false">nzp!#ref!</definedName>
    <definedName function="false" hidden="false" localSheetId="3" name="urban_land_density" vbProcedure="false">PINECCAT!$C$404</definedName>
    <definedName function="false" hidden="false" localSheetId="3" name="variation_primary_forest" vbProcedure="false">PINECCAT!$C$402</definedName>
    <definedName function="false" hidden="false" localSheetId="3" name="year_change_pct_energy_intensity_target" vbProcedure="false">PINECCAT!$C$206</definedName>
    <definedName function="false" hidden="false" localSheetId="3" name="year_customized_gdp_evol" vbProcedure="false">nzp!#ref!</definedName>
    <definedName function="false" hidden="false" localSheetId="3" name="year_customized_pop_evol" vbProcedure="false">nzp!#ref!</definedName>
    <definedName function="false" hidden="false" localSheetId="3" name="year_gdp_timeseries" vbProcedure="false">PINECCAT!$C$9:$AL$9</definedName>
    <definedName function="false" hidden="false" localSheetId="3" name="year_net_energy_flux" vbProcedure="false">PINECCAT!$C$387:$I$387</definedName>
    <definedName function="false" hidden="false" localSheetId="3" name="year_policy_change_energy" vbProcedure="false">PINECCAT!$C$175:$AZ$179</definedName>
    <definedName function="false" hidden="false" localSheetId="3" name="year_policy_to_improve_efficiency" vbProcedure="false">PINECCAT!$C$163:$AZ$167</definedName>
    <definedName function="false" hidden="false" localSheetId="3" name="year_pop_timeseries" vbProcedure="false">PINECCAT!$C$4:$AL$4</definedName>
    <definedName function="false" hidden="false" localSheetId="3" name="year_ref_RURR" vbProcedure="false">PINECCAT!$C$70</definedName>
    <definedName function="false" hidden="false" localSheetId="3" name="year_RES_heat" vbProcedure="false">PINECCAT!$C$48</definedName>
    <definedName function="false" hidden="false" localSheetId="3" name="year_RES_power" vbProcedure="false">PINECCAT!$C$15:$I$15</definedName>
    <definedName function="false" hidden="false" localSheetId="3" name="year_to_finish_energy_intensity_policies" vbProcedure="false">PINECCAT!$C$187:$AZ$191</definedName>
    <definedName function="false" hidden="false" localSheetId="3" name="year_transport_fuel_share_pkm" vbProcedure="false">PINECCAT!$C$133:$I$133</definedName>
    <definedName function="false" hidden="false" localSheetId="3" name="year_transport_fuel_share_tkm" vbProcedure="false">PINECCAT!$C$119:$I$119</definedName>
    <definedName function="false" hidden="false" localSheetId="3" name="Year_transport_share" vbProcedure="false">PINECCAT!$D$108:$J$108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Autoria desconeguda</author>
  </authors>
  <commentList>
    <comment ref="A135" authorId="0">
      <text>
        <r>
          <rPr>
            <sz val="10"/>
            <rFont val="Arial"/>
            <family val="2"/>
          </rPr>
          <t xml:space="preserve">Iñigo:
Policies to reduce oil contribution in electricity linearly following linear decreasing trend</t>
        </r>
      </text>
    </comment>
    <comment ref="A136" authorId="0">
      <text>
        <r>
          <rPr>
            <sz val="10"/>
            <rFont val="Arial"/>
            <family val="2"/>
          </rPr>
          <t xml:space="preserve">Iñigo:
Policies to reduce oil contribution in heat linearly following linear decreasing trend</t>
        </r>
      </text>
    </comment>
    <comment ref="A247" authorId="0">
      <text>
        <r>
          <rPr>
            <sz val="10"/>
            <rFont val="Arial"/>
            <family val="2"/>
          </rPr>
          <t xml:space="preserve">By default energy instensities of the year 2009</t>
        </r>
      </text>
    </comment>
    <comment ref="A256" authorId="0">
      <text>
        <r>
          <rPr>
            <sz val="10"/>
            <rFont val="Arial"/>
            <family val="2"/>
          </rPr>
          <t xml:space="preserve">Iñigo:
To activate scarcity feedback PRMIARY fuel replacement: "switch scarcity-PS substit"To activate scarcity feedback PRMIARY fuel replacement: "switch scarcity-PS substit"</t>
        </r>
      </text>
    </comment>
    <comment ref="FP207" authorId="0">
      <text>
        <r>
          <rPr>
            <sz val="10"/>
            <rFont val="Arial"/>
            <family val="2"/>
          </rPr>
          <t xml:space="preserve">Iñigo:
For the initial intensity, WIOD reports 0; however we have included the arbitrary low value "0.001" so this sector also reacts to potential energy scarcities.</t>
        </r>
      </text>
    </comment>
  </commentList>
</comments>
</file>

<file path=xl/comments3.xml><?xml version="1.0" encoding="utf-8"?>
<comments xmlns="http://schemas.openxmlformats.org/spreadsheetml/2006/main" xmlns:xdr="http://schemas.openxmlformats.org/drawingml/2006/spreadsheetDrawing">
  <authors>
    <author>Autoria desconeguda</author>
  </authors>
  <commentList>
    <comment ref="A3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Això hauria de ser FES of solids bioE</t>
        </r>
      </text>
    </comment>
    <comment ref="A210" authorId="0">
      <text>
        <r>
          <rPr>
            <sz val="10"/>
            <rFont val="Arial"/>
            <family val="2"/>
          </rPr>
          <t xml:space="preserve">Iñigo:
To activate scarcity feedback PRMIARY fuel replacement: "switch scarcity-PS substit"To activate scarcity feedback PRMIARY fuel replacement: "switch scarcity-PS substit"</t>
        </r>
      </text>
    </comment>
    <comment ref="A409" authorId="0">
      <text>
        <r>
          <rPr>
            <sz val="10"/>
            <rFont val="Arial"/>
            <family val="2"/>
          </rPr>
          <t xml:space="preserve">Iñigo:
Reference: Capellán-Pérez et al (2017)
http://www.sciencedirect.com/science/article/pii/S1364032117304720</t>
        </r>
      </text>
    </comment>
    <comment ref="C22" authorId="0">
      <text>
        <r>
          <rPr>
            <sz val="10"/>
            <rFont val="Arial"/>
            <family val="2"/>
          </rPr>
          <t xml:space="preserve">Enric:
Dada històrica (ICAEN)</t>
        </r>
      </text>
    </comment>
    <comment ref="D227" authorId="0">
      <text>
        <r>
          <rPr>
            <sz val="10"/>
            <rFont val="Arial"/>
            <family val="2"/>
          </rPr>
          <t xml:space="preserve">Eneko Martin:
Assumed to be 1/3 of the rest of the economy rr materials</t>
        </r>
      </text>
    </comment>
  </commentList>
</comments>
</file>

<file path=xl/comments4.xml><?xml version="1.0" encoding="utf-8"?>
<comments xmlns="http://schemas.openxmlformats.org/spreadsheetml/2006/main" xmlns:xdr="http://schemas.openxmlformats.org/drawingml/2006/spreadsheetDrawing">
  <authors>
    <author>Autoria desconeguda</author>
  </authors>
  <commentList>
    <comment ref="A37" authorId="0">
      <text>
        <r>
          <rPr>
            <sz val="10"/>
            <rFont val="Arial"/>
            <family val="2"/>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Això hauria de ser FES of solids bioE</t>
        </r>
      </text>
    </comment>
    <comment ref="A210" authorId="0">
      <text>
        <r>
          <rPr>
            <sz val="10"/>
            <rFont val="Arial"/>
            <family val="2"/>
          </rPr>
          <t xml:space="preserve">Iñigo:
To activate scarcity feedback PRMIARY fuel replacement: "switch scarcity-PS substit"To activate scarcity feedback PRMIARY fuel replacement: "switch scarcity-PS substit"</t>
        </r>
      </text>
    </comment>
    <comment ref="A409" authorId="0">
      <text>
        <r>
          <rPr>
            <sz val="10"/>
            <rFont val="Arial"/>
            <family val="2"/>
          </rPr>
          <t xml:space="preserve">Iñigo:
Reference: Capellán-Pérez et al (2017)
http://www.sciencedirect.com/science/article/pii/S1364032117304720</t>
        </r>
      </text>
    </comment>
    <comment ref="C22" authorId="0">
      <text>
        <r>
          <rPr>
            <sz val="10"/>
            <rFont val="Arial"/>
            <family val="2"/>
          </rPr>
          <t xml:space="preserve">Enric:
</t>
        </r>
        <r>
          <rPr>
            <sz val="9"/>
            <color rgb="FF000000"/>
            <rFont val="Tahoma"/>
            <family val="2"/>
            <charset val="1"/>
          </rPr>
          <t xml:space="preserve">Dada històrica (ICAEN)</t>
        </r>
      </text>
    </comment>
    <comment ref="D227" authorId="0">
      <text>
        <r>
          <rPr>
            <sz val="10"/>
            <rFont val="Arial"/>
            <family val="2"/>
          </rPr>
          <t xml:space="preserve">Eneko Martin:
Assumed to be 1/3 of the rest of the economy rr materials</t>
        </r>
      </text>
    </comment>
  </commentList>
</comments>
</file>

<file path=xl/comments5.xml><?xml version="1.0" encoding="utf-8"?>
<comments xmlns="http://schemas.openxmlformats.org/spreadsheetml/2006/main" xmlns:xdr="http://schemas.openxmlformats.org/drawingml/2006/spreadsheetDrawing">
  <authors>
    <author>Autoria desconeguda</author>
  </authors>
  <commentList>
    <comment ref="L9" authorId="0">
      <text>
        <r>
          <rPr>
            <sz val="10"/>
            <rFont val="Arial"/>
            <family val="2"/>
          </rPr>
          <t xml:space="preserve">Enric:
Dada històrica (ICAEN)</t>
        </r>
      </text>
    </comment>
  </commentList>
</comments>
</file>

<file path=xl/sharedStrings.xml><?xml version="1.0" encoding="utf-8"?>
<sst xmlns="http://schemas.openxmlformats.org/spreadsheetml/2006/main" count="2587" uniqueCount="657">
  <si>
    <t xml:space="preserve">This excel file contains the input data to run the MEDEAS model as documented in:</t>
  </si>
  <si>
    <t xml:space="preserve">David Álvarez Antelo, Ignacio de Blas, Iñigo Capellán-Pérez, Oscar Carpintero, Carlos de Castro, Fernando Frechoso, Luis Fernando Lobejón, Pedro L. Lomas Huertas, Margarita Mediavilla, Luis Javier Miguel, Jaime Nieto, Gonzalo Parrado, Paula Rodrigo González. D4.3. MEDEAS model implementation at country level. Case studies for TIMES and LEAP , 05-06/2018. MEDEAS project (http://www.medeas.eu/)</t>
  </si>
  <si>
    <t xml:space="preserve">Info input variables</t>
  </si>
  <si>
    <t xml:space="preserve">Brief description of each variable which is changeable in the scenarios.</t>
  </si>
  <si>
    <t xml:space="preserve">BAU</t>
  </si>
  <si>
    <t xml:space="preserve">Corresponds to BAU storyline/scenario in Capellán-Pérez et al., (2014; 2017) [attention when copying all the information from other sheets since there are some tables at A134 and beyond.</t>
  </si>
  <si>
    <t xml:space="preserve">User defined</t>
  </si>
  <si>
    <t xml:space="preserve">User defined parameters</t>
  </si>
  <si>
    <t xml:space="preserve">Name of simulated scenario</t>
  </si>
  <si>
    <t xml:space="preserve">Trend demand (all sectors)</t>
  </si>
  <si>
    <t xml:space="preserve">P labor share 2050</t>
  </si>
  <si>
    <t xml:space="preserve">Dmnl</t>
  </si>
  <si>
    <t xml:space="preserve">Labour share in 2050</t>
  </si>
  <si>
    <t xml:space="preserve">P GDP</t>
  </si>
  <si>
    <t xml:space="preserve">P desired annual GDPpc growth rate select option</t>
  </si>
  <si>
    <t xml:space="preserve">Selection of GDPpc growth option</t>
  </si>
  <si>
    <t xml:space="preserve">1. Timeseries</t>
  </si>
  <si>
    <t xml:space="preserve">Year</t>
  </si>
  <si>
    <t xml:space="preserve">1/Year</t>
  </si>
  <si>
    <t xml:space="preserve">GDPpc growth annual timeseries option</t>
  </si>
  <si>
    <t xml:space="preserve">2. From customized year, set annual constant variation</t>
  </si>
  <si>
    <t xml:space="preserve">From year:</t>
  </si>
  <si>
    <t xml:space="preserve">Year start constant GDPpc growth</t>
  </si>
  <si>
    <t xml:space="preserve">Constant annual variation (1/Year):</t>
  </si>
  <si>
    <t xml:space="preserve">GDPpc growth</t>
  </si>
  <si>
    <t xml:space="preserve">Population</t>
  </si>
  <si>
    <t xml:space="preserve">P annual population growth rate select option</t>
  </si>
  <si>
    <t xml:space="preserve">Selection of population frowth option</t>
  </si>
  <si>
    <t xml:space="preserve">Population growth annual timseries option</t>
  </si>
  <si>
    <t xml:space="preserve">Year start constant population growth</t>
  </si>
  <si>
    <t xml:space="preserve">Population growth</t>
  </si>
  <si>
    <t xml:space="preserve">Nuclear</t>
  </si>
  <si>
    <t xml:space="preserve">Selection of nuclear scenario</t>
  </si>
  <si>
    <t xml:space="preserve">1. Constant power capacity at current levels</t>
  </si>
  <si>
    <t xml:space="preserve">Selection of the nuclear scenario in "inputs.xlsx"</t>
  </si>
  <si>
    <t xml:space="preserve">2. No more nuclear installed, current capacity depreciates</t>
  </si>
  <si>
    <t xml:space="preserve">3. Growth of nuclear power</t>
  </si>
  <si>
    <t xml:space="preserve">4. Phase-out of nuclear power</t>
  </si>
  <si>
    <t xml:space="preserve">P nuclear scen3-4 (%annual variation)</t>
  </si>
  <si>
    <t xml:space="preserve">Annual variation of new nuclear power plants (scenarios 3 and 4 of nuclear evolution) from the year "start year nuclear growth scen3-4".</t>
  </si>
  <si>
    <t xml:space="preserve">start year nuclear variation scen3-4</t>
  </si>
  <si>
    <t xml:space="preserve">Start year of variation of nuclear power plants (Nuclear scenarios 3 and 4).</t>
  </si>
  <si>
    <t xml:space="preserve">Techno-ecological potential electric RES</t>
  </si>
  <si>
    <t xml:space="preserve">Solar PV efficiency</t>
  </si>
  <si>
    <t xml:space="preserve">max hydro </t>
  </si>
  <si>
    <t xml:space="preserve">TWe</t>
  </si>
  <si>
    <t xml:space="preserve">Techno-ecological potential of hydro </t>
  </si>
  <si>
    <t xml:space="preserve">Cell efficiency solar PV in target year</t>
  </si>
  <si>
    <t xml:space="preserve">Average solar irradiance</t>
  </si>
  <si>
    <t xml:space="preserve">We/m2</t>
  </si>
  <si>
    <t xml:space="preserve">max PE geot-elec</t>
  </si>
  <si>
    <t xml:space="preserve">TWth</t>
  </si>
  <si>
    <t xml:space="preserve">Share of geothermal for electricity in relation to the total potential of geothermal (including thermal uses).</t>
  </si>
  <si>
    <t xml:space="preserve">Start year cell efficiency solar PV</t>
  </si>
  <si>
    <t xml:space="preserve">max potential PHS</t>
  </si>
  <si>
    <t xml:space="preserve">Techno-ecological potential of PHS</t>
  </si>
  <si>
    <t xml:space="preserve">Target year cell efficiency solar PV</t>
  </si>
  <si>
    <t xml:space="preserve">max oceanic </t>
  </si>
  <si>
    <t xml:space="preserve">Techno-ecological potential of oceanic</t>
  </si>
  <si>
    <t xml:space="preserve">Solar PV and heat potential in urban areas</t>
  </si>
  <si>
    <t xml:space="preserve">max onshore wind </t>
  </si>
  <si>
    <t xml:space="preserve">Techno-ecological potential of onshore wind</t>
  </si>
  <si>
    <t xml:space="preserve">share available roof over total urban land</t>
  </si>
  <si>
    <t xml:space="preserve">max offshore wind </t>
  </si>
  <si>
    <t xml:space="preserve">Techno-ecological potential of offshore wind</t>
  </si>
  <si>
    <t xml:space="preserve">share of available roof for rooftop PV</t>
  </si>
  <si>
    <t xml:space="preserve">max solar on land (PV and CSP)</t>
  </si>
  <si>
    <t xml:space="preserve">Mha</t>
  </si>
  <si>
    <t xml:space="preserve">Assumed land availability for solar power plants.</t>
  </si>
  <si>
    <t xml:space="preserve">share of available roof for solar thermal</t>
  </si>
  <si>
    <t xml:space="preserve">Projection electric RES</t>
  </si>
  <si>
    <t xml:space="preserve">Efficiency improvement RES elec</t>
  </si>
  <si>
    <t xml:space="preserve">P hydro growth</t>
  </si>
  <si>
    <t xml:space="preserve">annual growth%</t>
  </si>
  <si>
    <t xml:space="preserve">Annual growth in energy output demand depending on the policy of the scenario.</t>
  </si>
  <si>
    <t xml:space="preserve">Start year P growth RES elec</t>
  </si>
  <si>
    <t xml:space="preserve">Start year of growth in renewable electric sources</t>
  </si>
  <si>
    <t xml:space="preserve">Cell efficiency of solar PV in the target year marked below</t>
  </si>
  <si>
    <t xml:space="preserve">P geot-elec growth</t>
  </si>
  <si>
    <t xml:space="preserve">Target year P growth RES elec</t>
  </si>
  <si>
    <t xml:space="preserve">Targe year in RES electric growth defined by scenario</t>
  </si>
  <si>
    <t xml:space="preserve">Start year variation cell efficiency solar PV</t>
  </si>
  <si>
    <t xml:space="preserve">P solid bioE-elec growth</t>
  </si>
  <si>
    <t xml:space="preserve">Target year variation cell efficiency solar PV</t>
  </si>
  <si>
    <t xml:space="preserve">P oceanic</t>
  </si>
  <si>
    <t xml:space="preserve">P share installed PV urban vs tot PV</t>
  </si>
  <si>
    <t xml:space="preserve">P onshore wind</t>
  </si>
  <si>
    <t xml:space="preserve">Share of available roof over total urban area</t>
  </si>
  <si>
    <t xml:space="preserve">P wind offshore</t>
  </si>
  <si>
    <t xml:space="preserve">P PHS</t>
  </si>
  <si>
    <t xml:space="preserve">share of available roof for rooftops for PV</t>
  </si>
  <si>
    <t xml:space="preserve">Share of avaiable roof for PV panels over total available roof</t>
  </si>
  <si>
    <t xml:space="preserve">P solar PV</t>
  </si>
  <si>
    <t xml:space="preserve">P CSP</t>
  </si>
  <si>
    <t xml:space="preserve">share installed PV urban vs tot PV</t>
  </si>
  <si>
    <t xml:space="preserve">Share of installed PV in urban areas in relation to the total PV installled</t>
  </si>
  <si>
    <t xml:space="preserve">Techno-ecological potential BioEnergy</t>
  </si>
  <si>
    <t xml:space="preserve">Max potential NPP bioE conventional</t>
  </si>
  <si>
    <t xml:space="preserve">EJ/Year</t>
  </si>
  <si>
    <t xml:space="preserve">Sustainable potential NPP of conventional bioenergy for heat. Source: Technical Report.</t>
  </si>
  <si>
    <t xml:space="preserve">Max NPP potential BioE residues</t>
  </si>
  <si>
    <t xml:space="preserve">Sustainable potential NPP residues of bioenergy for other uses than biofuels.</t>
  </si>
  <si>
    <t xml:space="preserve">Max additional potential land for biofuels (land competition)</t>
  </si>
  <si>
    <t xml:space="preserve">share of Agricultural Land</t>
  </si>
  <si>
    <t xml:space="preserve">Available land for biofuels in competition with other uses depending on the scenario.</t>
  </si>
  <si>
    <t xml:space="preserve">Potential marginal land available for biofuels</t>
  </si>
  <si>
    <t xml:space="preserve">Marginal land available forbiofuels without competing with other uses depending on the scenario.</t>
  </si>
  <si>
    <t xml:space="preserve">Projection BioEnergy</t>
  </si>
  <si>
    <t xml:space="preserve">P biofuels 2gen land compet</t>
  </si>
  <si>
    <t xml:space="preserve">Annual growth in energy hectares occupied depending on the policy of the scenario.</t>
  </si>
  <si>
    <t xml:space="preserve">start year biofuels land marg </t>
  </si>
  <si>
    <t xml:space="preserve">First year when the technology "P biofuels land marg" is available.</t>
  </si>
  <si>
    <t xml:space="preserve">start year 3gen cellulosic biofuels</t>
  </si>
  <si>
    <t xml:space="preserve">First year when 3rd generation biofuels are available.</t>
  </si>
  <si>
    <t xml:space="preserve">P biofuels land marg</t>
  </si>
  <si>
    <t xml:space="preserve">P biofuels 3gen land compet</t>
  </si>
  <si>
    <t xml:space="preserve">start year BioE residues for non-biofuels</t>
  </si>
  <si>
    <t xml:space="preserve">First year when the technology is available.</t>
  </si>
  <si>
    <t xml:space="preserve">share residues for cellulosic biofuels vs non-biofuels</t>
  </si>
  <si>
    <t xml:space="preserve">Share bioenergy residues potential allocated to cellulosic biofuels production.</t>
  </si>
  <si>
    <t xml:space="preserve">P bioE residues</t>
  </si>
  <si>
    <t xml:space="preserve">Biogas</t>
  </si>
  <si>
    <t xml:space="preserve">Waste</t>
  </si>
  <si>
    <t xml:space="preserve">Max PE biogas</t>
  </si>
  <si>
    <t xml:space="preserve">EJ</t>
  </si>
  <si>
    <t xml:space="preserve">Techno-ecological potential of biogas</t>
  </si>
  <si>
    <t xml:space="preserve">max PE waste</t>
  </si>
  <si>
    <t xml:space="preserve">Techno-ecological potential of waste</t>
  </si>
  <si>
    <t xml:space="preserve">P biogas</t>
  </si>
  <si>
    <t xml:space="preserve">P waste change</t>
  </si>
  <si>
    <t xml:space="preserve">Techno-ecological potential RES for heat</t>
  </si>
  <si>
    <t xml:space="preserve">FE solar thermal potential</t>
  </si>
  <si>
    <t xml:space="preserve">Techno-ecological potential of solar thermal</t>
  </si>
  <si>
    <t xml:space="preserve">Geot PE potential for heat TWth</t>
  </si>
  <si>
    <t xml:space="preserve">Techno-ecological potential of geot heat thermal</t>
  </si>
  <si>
    <t xml:space="preserve">Projection RES for heat</t>
  </si>
  <si>
    <t xml:space="preserve">Start year P growth RES heat</t>
  </si>
  <si>
    <t xml:space="preserve">Start year of growth in renewable heat sources</t>
  </si>
  <si>
    <t xml:space="preserve">Target year P growth RES heat</t>
  </si>
  <si>
    <t xml:space="preserve">P solar for heat</t>
  </si>
  <si>
    <t xml:space="preserve">P geothermal for heat</t>
  </si>
  <si>
    <t xml:space="preserve">P solid bioE for heat</t>
  </si>
  <si>
    <t xml:space="preserve">Afforestation</t>
  </si>
  <si>
    <t xml:space="preserve">Activate afforestation program (1=Y;0=N)</t>
  </si>
  <si>
    <t xml:space="preserve">1. Activated; 2. Not activated.</t>
  </si>
  <si>
    <t xml:space="preserve">Resources</t>
  </si>
  <si>
    <t xml:space="preserve">Oil</t>
  </si>
  <si>
    <t xml:space="preserve">Separate conv and unconv oil? (1=Y;0=N)</t>
  </si>
  <si>
    <t xml:space="preserve">Switch to disaggregate between conventional and unconventional fuel: "1" = disaggregation, "0" = conv+unconv aggregated (all the oil flows then through the right side of this view, i.e. the "conventional oil" modelling side).</t>
  </si>
  <si>
    <t xml:space="preserve">Unlimited oil? (1=Y;0=N)</t>
  </si>
  <si>
    <t xml:space="preserve">Switch to consider if oil is unlimited (1), or if it is limited (0). If limited then the available depletion curves are considered.</t>
  </si>
  <si>
    <t xml:space="preserve">Selection of conv oil curve
</t>
  </si>
  <si>
    <t xml:space="preserve">1. Maggio12 middle</t>
  </si>
  <si>
    <t xml:space="preserve">Select from the left</t>
  </si>
  <si>
    <t xml:space="preserve">2. Maggio12 High</t>
  </si>
  <si>
    <t xml:space="preserve">3. Maggio12 Low</t>
  </si>
  <si>
    <t xml:space="preserve">4. User defined in '139A'</t>
  </si>
  <si>
    <t xml:space="preserve">Selection of unconv oil curve</t>
  </si>
  <si>
    <t xml:space="preserve">1. Mohr15 BG</t>
  </si>
  <si>
    <t xml:space="preserve">2. Mohr15 Low</t>
  </si>
  <si>
    <t xml:space="preserve">3. Mohr15 High</t>
  </si>
  <si>
    <t xml:space="preserve">4. User defined in '141A'</t>
  </si>
  <si>
    <t xml:space="preserve">Selection of total oil curve</t>
  </si>
  <si>
    <t xml:space="preserve">1.Laherrère 2006</t>
  </si>
  <si>
    <t xml:space="preserve">2.User defined in '143A'</t>
  </si>
  <si>
    <t xml:space="preserve">Selection constraint extraction unconv oil</t>
  </si>
  <si>
    <t xml:space="preserve">1. User constant (annual growth%)</t>
  </si>
  <si>
    <t xml:space="preserve">User-defined annual extraction growth constraint path as a function of time for unconventional oil.</t>
  </si>
  <si>
    <t xml:space="preserve">Write "1" or "2"</t>
  </si>
  <si>
    <t xml:space="preserve">2. User defined as function of time '161A'</t>
  </si>
  <si>
    <t xml:space="preserve">Gas</t>
  </si>
  <si>
    <t xml:space="preserve">Separate conv and unconv gas? (1=Y;0=N)</t>
  </si>
  <si>
    <t xml:space="preserve">Switch to disaggregate between conventional and unconventional fuel: "1" = disaggregation, "0" = conv+unconv aggregated (all the gas flows then through the right side of this view, i.e. the "conventional gas" modelling side).</t>
  </si>
  <si>
    <t xml:space="preserve">Unlimited gas? (1=Y;0=N)</t>
  </si>
  <si>
    <t xml:space="preserve">Switch to consider if gas is unlimited (1), or if it is limited (0). If limited then the available depletion curves are considered.</t>
  </si>
  <si>
    <t xml:space="preserve">Selection of conv gas curve
</t>
  </si>
  <si>
    <t xml:space="preserve">1. BG Mohr15</t>
  </si>
  <si>
    <t xml:space="preserve">2. Low Mohr15</t>
  </si>
  <si>
    <t xml:space="preserve">3. High Mohr15</t>
  </si>
  <si>
    <t xml:space="preserve">4. User defined in '146A'</t>
  </si>
  <si>
    <t xml:space="preserve">Selection of unconv gas curve</t>
  </si>
  <si>
    <t xml:space="preserve">4. User defined in '148A'</t>
  </si>
  <si>
    <t xml:space="preserve">Selection of total gas curve</t>
  </si>
  <si>
    <t xml:space="preserve">1.Laherrére10</t>
  </si>
  <si>
    <t xml:space="preserve">2.Mohr12 BG</t>
  </si>
  <si>
    <t xml:space="preserve">3.User defined in '150A'</t>
  </si>
  <si>
    <t xml:space="preserve">Selection constraint extraction unconv gas</t>
  </si>
  <si>
    <t xml:space="preserve">User-defined annual extraction growth constraint path as a function of time for unconventional gas.</t>
  </si>
  <si>
    <t xml:space="preserve">2. User defined as function of time '163A'</t>
  </si>
  <si>
    <t xml:space="preserve">Coal</t>
  </si>
  <si>
    <t xml:space="preserve">Unlimited coal? (1=Y;0=N)</t>
  </si>
  <si>
    <t xml:space="preserve">Switch to consider if coal is unlimited (1), or if it is limited (0). If limited then the available depletion curves are considered.</t>
  </si>
  <si>
    <t xml:space="preserve">Selection of coal curve</t>
  </si>
  <si>
    <t xml:space="preserve">1. Mohr12 high</t>
  </si>
  <si>
    <t xml:space="preserve">5. User defined in '153A'</t>
  </si>
  <si>
    <t xml:space="preserve">Select from the right</t>
  </si>
  <si>
    <t xml:space="preserve">2. Mohr15 low</t>
  </si>
  <si>
    <t xml:space="preserve">3. Mohr15 BG</t>
  </si>
  <si>
    <t xml:space="preserve">4. Mohr15 high</t>
  </si>
  <si>
    <t xml:space="preserve">Uranium</t>
  </si>
  <si>
    <t xml:space="preserve">Unlimited uranium? (1=Y;0=N)</t>
  </si>
  <si>
    <t xml:space="preserve">Switch to consider if uranium is unlimited (1), or if it is limited (0). If limited then the available depletion curves are considered.</t>
  </si>
  <si>
    <t xml:space="preserve">Selection of uranium curve</t>
  </si>
  <si>
    <t xml:space="preserve">1.EWG13</t>
  </si>
  <si>
    <t xml:space="preserve">2.Zittel12</t>
  </si>
  <si>
    <t xml:space="preserve">3.User defined in '156A'</t>
  </si>
  <si>
    <t xml:space="preserve">CTL</t>
  </si>
  <si>
    <t xml:space="preserve">P CTL (annual growth%)</t>
  </si>
  <si>
    <t xml:space="preserve">GTL</t>
  </si>
  <si>
    <t xml:space="preserve">P GTL (annual growth%)</t>
  </si>
  <si>
    <t xml:space="preserve">Climate</t>
  </si>
  <si>
    <t xml:space="preserve">CC impacts</t>
  </si>
  <si>
    <t xml:space="preserve">Activate ELF?  (1=Y;0=N)</t>
  </si>
  <si>
    <t xml:space="preserve">Active/deactivate the energy loss function: (1) activate; (0) not active</t>
  </si>
  <si>
    <t xml:space="preserve">Warning: leaving fossil fuels in the ground*</t>
  </si>
  <si>
    <t xml:space="preserve">Conventional oil</t>
  </si>
  <si>
    <t xml:space="preserve">Start policy (Year)</t>
  </si>
  <si>
    <t xml:space="preserve">Year start policy of leaving fossil fuels in the ground</t>
  </si>
  <si>
    <t xml:space="preserve">Total aggregated oil</t>
  </si>
  <si>
    <t xml:space="preserve">RURR to leave underground (as a share of RURR in 2015)</t>
  </si>
  <si>
    <t xml:space="preserve">Share of RURR to leave underground vs RURR in 2015</t>
  </si>
  <si>
    <t xml:space="preserve">Unconventional oil</t>
  </si>
  <si>
    <t xml:space="preserve">Conventional gas</t>
  </si>
  <si>
    <t xml:space="preserve">Total aggregated gas</t>
  </si>
  <si>
    <t xml:space="preserve">Unconventional gas</t>
  </si>
  <si>
    <t xml:space="preserve">*If oil is modeled at aggregated level (conventional + unconventional), then the restriction should be placed only for conventional oil. The same applies for gas.</t>
  </si>
  <si>
    <t xml:space="preserve">Policies to reduce oil contribution in heat and electricity linearly</t>
  </si>
  <si>
    <t xml:space="preserve">Phase-out oil for electricity? (1: YES; 0: constant current share)</t>
  </si>
  <si>
    <t xml:space="preserve">Select yes or no policies to reduce oil contribution in heat and electricity linearly following linear decreasing trend</t>
  </si>
  <si>
    <t xml:space="preserve">start year policy phase-out oil for electricity</t>
  </si>
  <si>
    <t xml:space="preserve">Year start policy phase-out for electricity</t>
  </si>
  <si>
    <t xml:space="preserve">target year policy phase-out oil for electricity</t>
  </si>
  <si>
    <t xml:space="preserve">Year target policy phase-out for electricity</t>
  </si>
  <si>
    <t xml:space="preserve">Share in target year oil for elec</t>
  </si>
  <si>
    <t xml:space="preserve">Phase-out oil for heat? (1: YES; 0: constant current share)</t>
  </si>
  <si>
    <t xml:space="preserve">start year policy phase-out oil for heat</t>
  </si>
  <si>
    <t xml:space="preserve">Year start policy phase-out for heat</t>
  </si>
  <si>
    <t xml:space="preserve">target year policy phase-out oil for heat</t>
  </si>
  <si>
    <t xml:space="preserve">Year target policy phase-out for heat</t>
  </si>
  <si>
    <t xml:space="preserve">Share in target year oil for heat</t>
  </si>
  <si>
    <t xml:space="preserve">Transportation</t>
  </si>
  <si>
    <t xml:space="preserve">Activate policy HOUSEHOLDS transport </t>
  </si>
  <si>
    <t xml:space="preserve">Activate policy of alternative transport in households starting in T ini ending in T fin (1=YES /0= NO)</t>
  </si>
  <si>
    <t xml:space="preserve">Activate policy INLAND transport </t>
  </si>
  <si>
    <t xml:space="preserve">Activate policy of alternative transport in inland transportation starting in T ini ending in T fin (1=YES /0= NO)</t>
  </si>
  <si>
    <t xml:space="preserve">T ini policy HOUSEHOLDS vehcicles</t>
  </si>
  <si>
    <t xml:space="preserve">Year when policy of alternative households transport starts</t>
  </si>
  <si>
    <t xml:space="preserve">T fin policy HOUSEHOLD vehicles </t>
  </si>
  <si>
    <t xml:space="preserve">Year when policy of alternative househods transport finishes and policy is reached</t>
  </si>
  <si>
    <t xml:space="preserve">T ini policy INLAND transp vehicles</t>
  </si>
  <si>
    <t xml:space="preserve">Year when policy of alternative inland transport starts</t>
  </si>
  <si>
    <t xml:space="preserve">T fin policy INLAND transp vehicles</t>
  </si>
  <si>
    <t xml:space="preserve">Year when policy of alternative inland transport finishes and policy is reached</t>
  </si>
  <si>
    <t xml:space="preserve">Households transport policies, desired share of each vehicle  in T fin relative to its type (2w or 4w)  (alternative 4wheelers policies must add &lt;=1, 2wheeler electric policy must be&lt;=1)</t>
  </si>
  <si>
    <t xml:space="preserve">Policy electric household 4wheeler vehicle Tfin</t>
  </si>
  <si>
    <t xml:space="preserve">desired share of electric 4wheeler vehicles in Tfin relative to its type</t>
  </si>
  <si>
    <t xml:space="preserve">TYPES OF HOUSEHOLD VEHICLES</t>
  </si>
  <si>
    <t xml:space="preserve">Policy hybrid household 4w vehicle Tfin</t>
  </si>
  <si>
    <t xml:space="preserve">desired share of hybrid 4wheeler vehicles in Tfin relative to its type</t>
  </si>
  <si>
    <t xml:space="preserve">4wheeler electric= batery electric vehicles+plug in hybrids</t>
  </si>
  <si>
    <t xml:space="preserve">Policy gas household vehicle 4w Tfin</t>
  </si>
  <si>
    <t xml:space="preserve">desired share of gas 4wheeler vehicles in Tfin relative to its type</t>
  </si>
  <si>
    <t xml:space="preserve">4wheeler hybrid= non plug in hybrids</t>
  </si>
  <si>
    <t xml:space="preserve">Policy electric 2wheeler h. Tfin</t>
  </si>
  <si>
    <t xml:space="preserve">desired share of electric 2wheeler vehicles in Tfin relative to its type</t>
  </si>
  <si>
    <t xml:space="preserve">4wheeler gas= natural gas and LPG vehicles</t>
  </si>
  <si>
    <t xml:space="preserve">Policy change to 2wheeler h. Tfin</t>
  </si>
  <si>
    <t xml:space="preserve">desired share of 2wheels household vehicles in Tfin </t>
  </si>
  <si>
    <t xml:space="preserve">2wheeler elec= electric 2 and 2 wheelers</t>
  </si>
  <si>
    <t xml:space="preserve">Inland transport sector policies, desired share of each alternative vehicle  in T fin  relative to its type (HV, LV, bus, train)</t>
  </si>
  <si>
    <t xml:space="preserve">Every type maximun share =1</t>
  </si>
  <si>
    <t xml:space="preserve">Policy hybrid HV Tfin</t>
  </si>
  <si>
    <t xml:space="preserve">desired share of hibrid HV vehicles in Tfin relative to its type</t>
  </si>
  <si>
    <t xml:space="preserve">TYPES OF INLAND TRANSPORT SECTOR VEHICLES</t>
  </si>
  <si>
    <t xml:space="preserve">Policy gas HV Tfin</t>
  </si>
  <si>
    <t xml:space="preserve">desired share of gas HV vehicles in Tfin  relative to its type</t>
  </si>
  <si>
    <t xml:space="preserve">HV= heavy vehicles</t>
  </si>
  <si>
    <t xml:space="preserve">Policy electric LV Tfin</t>
  </si>
  <si>
    <t xml:space="preserve">desired share of electric LV vehicles in Tfin relative to its type</t>
  </si>
  <si>
    <t xml:space="preserve">LV= light cargo vehicles</t>
  </si>
  <si>
    <t xml:space="preserve">Policy hybrid LV Tfin</t>
  </si>
  <si>
    <t xml:space="preserve">desired share of hibrid LV vehicles in Tfin relative to its type</t>
  </si>
  <si>
    <t xml:space="preserve">bus= buses and coaches (urban and non urban)</t>
  </si>
  <si>
    <t xml:space="preserve">Policy gas LV Tfin</t>
  </si>
  <si>
    <t xml:space="preserve">desired share of gas LV vehicles in Tfin relative to its type</t>
  </si>
  <si>
    <t xml:space="preserve">trains= all railway vehicles</t>
  </si>
  <si>
    <t xml:space="preserve">Policy electric bus Tfin</t>
  </si>
  <si>
    <t xml:space="preserve">desired share of electric bus vehicles in Tfin  relative to its type</t>
  </si>
  <si>
    <t xml:space="preserve">Policy hybrid bus Tfin</t>
  </si>
  <si>
    <t xml:space="preserve">desired share of hibrid bus vehicles in Tfin relative to its type</t>
  </si>
  <si>
    <t xml:space="preserve">Clasitfications based on 'International Energy Agency (2016), Energy Technology Perspectives 2016, OECD/IEA, Paris'</t>
  </si>
  <si>
    <t xml:space="preserve">Policy gas bus Tfin</t>
  </si>
  <si>
    <t xml:space="preserve">desired share of gas bus vehicles in Tfin relative to its type</t>
  </si>
  <si>
    <t xml:space="preserve">Policy electric train Tfin</t>
  </si>
  <si>
    <t xml:space="preserve">desired share of electric train vehicles in Tfin relative to its type</t>
  </si>
  <si>
    <t xml:space="preserve">Sectoral final energy intensities by final fuel</t>
  </si>
  <si>
    <t xml:space="preserve">3 methods are available to set the future evolution of sectoral final energy intensities. By default, the "Dynamic evolution &amp; policies" (option 2) is selected. In this option, on top of the dynamic evolution, the user can select different policies. These policies can be projected individually for each sector or uniformly (same policies for all sectors); switch "'per sector (1) / sector-uniform (0)". Households are always considered separately. "Start year policy" refers to the year when the policy starts and "Speed policy" refers to the speed of the implementation of the policies (1-rapid/2-medium/3-slow) which is attained at 100% in "Target year energy intensity changes". In the case of the substitution of final energy sources by other final sources, the relative "efficiency rate of substitution" for each combination of final fuels must be specified. For example, if an internal combustion car is replaced by an electric car, the efficiency rate is 1/3 (i.e. for every EJ of diesel/gasoline saved, 0.33 EJ of electricity are consumed). 
The bottom-up approach is activated with "1" on the right of the name of the sector (currently only available in Inland transport). By default the top-down (TD) approach is used.  </t>
  </si>
  <si>
    <t xml:space="preserve">Final sectoral energy intensities evolution method</t>
  </si>
  <si>
    <t xml:space="preserve">1- Constant at 2009 levels</t>
  </si>
  <si>
    <t xml:space="preserve">2- Dynamic evolution &amp; policies</t>
  </si>
  <si>
    <t xml:space="preserve">3- Sectoral final energy intensity targets in target year defined by user</t>
  </si>
  <si>
    <t xml:space="preserve">2- DYNAMIC EVOLUTION &amp; POLICIES</t>
  </si>
  <si>
    <t xml:space="preserve">Min final energy intensity vs initial</t>
  </si>
  <si>
    <t xml:space="preserve">Minimin of energy intensity vs initial</t>
  </si>
  <si>
    <t xml:space="preserve">% of change over the historic maximun variation of final energy intensities</t>
  </si>
  <si>
    <t xml:space="preserve">%</t>
  </si>
  <si>
    <t xml:space="preserve">POLICIES</t>
  </si>
  <si>
    <t xml:space="preserve">per sector (1) / sector-uniform (0)</t>
  </si>
  <si>
    <t xml:space="preserve">Select evolution of the intensities between global or by sectors</t>
  </si>
  <si>
    <t xml:space="preserve">Target year energy intensity changes sectors</t>
  </si>
  <si>
    <t xml:space="preserve">Year target for the energy intensity policies for sectors</t>
  </si>
  <si>
    <t xml:space="preserve">Target year energy intensity changes households</t>
  </si>
  <si>
    <t xml:space="preserve">Year target for the energy intensity policies for hosueholds</t>
  </si>
  <si>
    <t xml:space="preserve">PER SECTOR</t>
  </si>
  <si>
    <t xml:space="preserve">FINAL ENERGY INTENSITIES</t>
  </si>
  <si>
    <t xml:space="preserve">Agriculture, Hunting, Forestry and Fishing</t>
  </si>
  <si>
    <t xml:space="preserve">Mining and Quarrying</t>
  </si>
  <si>
    <t xml:space="preserve">Food, Beverages and Tobacco</t>
  </si>
  <si>
    <t xml:space="preserve">Textiles and Textile Products</t>
  </si>
  <si>
    <t xml:space="preserve">Leather, Leather and Footwear</t>
  </si>
  <si>
    <t xml:space="preserve">Wood and Products of Wood and Cork</t>
  </si>
  <si>
    <t xml:space="preserve">Pulp, Paper, Paper , Printing and Publishing</t>
  </si>
  <si>
    <t xml:space="preserve">Coke, Refined Petroleum and Nuclear Fuel</t>
  </si>
  <si>
    <t xml:space="preserve">Chemicals and Chemical Products</t>
  </si>
  <si>
    <t xml:space="preserve">Rubber and Plastics</t>
  </si>
  <si>
    <t xml:space="preserve">Other Non-Metallic Mineral</t>
  </si>
  <si>
    <t xml:space="preserve">Basic Metals and Fabricated Metal</t>
  </si>
  <si>
    <t xml:space="preserve">Machinery, Nec</t>
  </si>
  <si>
    <t xml:space="preserve">Electrical and Optical Equipment</t>
  </si>
  <si>
    <t xml:space="preserve">Transport Equipment</t>
  </si>
  <si>
    <t xml:space="preserve">Manufacturing, Nec; Recycling</t>
  </si>
  <si>
    <t xml:space="preserve">Electricity, Gas and Water Supply</t>
  </si>
  <si>
    <t xml:space="preserve">Construction</t>
  </si>
  <si>
    <t xml:space="preserve">Sale, Maintenance and Repair of Motor Vehicles and Motorcycles; Retail Sale of Fuel</t>
  </si>
  <si>
    <t xml:space="preserve">Wholesale Trade and Commission Trade, Except of Motor Vehicles and Motorcycles</t>
  </si>
  <si>
    <t xml:space="preserve">Retail Trade, Except of Motor Vehicles and Motorcycles; Repair of Household Goods</t>
  </si>
  <si>
    <t xml:space="preserve">Hotels and Restaurants</t>
  </si>
  <si>
    <t xml:space="preserve">Inland Transport</t>
  </si>
  <si>
    <t xml:space="preserve">Activate bottom-up approach (Y=1;N=0)</t>
  </si>
  <si>
    <t xml:space="preserve">Water Transport</t>
  </si>
  <si>
    <t xml:space="preserve">Air Transport</t>
  </si>
  <si>
    <t xml:space="preserve">Other Supporting and Auxiliary Transport Activities; Activities of Travel Agencies</t>
  </si>
  <si>
    <t xml:space="preserve">Post and Telecommunications</t>
  </si>
  <si>
    <t xml:space="preserve">Financial Intermediation</t>
  </si>
  <si>
    <t xml:space="preserve">Real Estate Activities</t>
  </si>
  <si>
    <t xml:space="preserve">Renting of M&amp;Eq and Other Business Activities</t>
  </si>
  <si>
    <t xml:space="preserve">Public Admin and Defence; Compulsory Social Security</t>
  </si>
  <si>
    <t xml:space="preserve">Education</t>
  </si>
  <si>
    <t xml:space="preserve">Health and Social Work</t>
  </si>
  <si>
    <t xml:space="preserve">Other Community, Social and Personal Services</t>
  </si>
  <si>
    <t xml:space="preserve">Private Households with Employed Persons</t>
  </si>
  <si>
    <t xml:space="preserve">Final consumption expenditure by households</t>
  </si>
  <si>
    <t xml:space="preserve">Electricity</t>
  </si>
  <si>
    <t xml:space="preserve">Heat</t>
  </si>
  <si>
    <t xml:space="preserve">Liquids</t>
  </si>
  <si>
    <t xml:space="preserve">Gases</t>
  </si>
  <si>
    <t xml:space="preserve">Solids</t>
  </si>
  <si>
    <t xml:space="preserve">Improvement of efficiency policies</t>
  </si>
  <si>
    <t xml:space="preserve">Start year policy (Year)</t>
  </si>
  <si>
    <t xml:space="preserve">Speed policy (1-rapid/2-medium/3-slow)</t>
  </si>
  <si>
    <t xml:space="preserve">Technological change in final sources</t>
  </si>
  <si>
    <t xml:space="preserve">Efficiency rate of substitution</t>
  </si>
  <si>
    <t xml:space="preserve">SECTOR-UNIFORM</t>
  </si>
  <si>
    <t xml:space="preserve">All sectors</t>
  </si>
  <si>
    <t xml:space="preserve">3- SECTORAL FINAL ENERGY INTENSITY TARGET IN TARGET YEAR </t>
  </si>
  <si>
    <t xml:space="preserve">Choose final energy intensity target method</t>
  </si>
  <si>
    <t xml:space="preserve">1- Energy intensity target defined by user</t>
  </si>
  <si>
    <t xml:space="preserve">2- Variation in energy intensity over the intensity in defined year</t>
  </si>
  <si>
    <t xml:space="preserve">Final year energy intensity target</t>
  </si>
  <si>
    <t xml:space="preserve">Year target for the energy intensity </t>
  </si>
  <si>
    <t xml:space="preserve">start year modification EI</t>
  </si>
  <si>
    <t xml:space="preserve">Year in which the energy intensity modification starts</t>
  </si>
  <si>
    <t xml:space="preserve">1- Final energy intensity target defined by user</t>
  </si>
  <si>
    <t xml:space="preserve">FINAL ENERGY INTENSITY TARGET</t>
  </si>
  <si>
    <t xml:space="preserve">Target (EJ/T$ US1995)</t>
  </si>
  <si>
    <t xml:space="preserve">2- Variation in final energy intensity over the intensity in defined year</t>
  </si>
  <si>
    <t xml:space="preserve">Year over which the final energy intensities target is calculated</t>
  </si>
  <si>
    <t xml:space="preserve">Pct of change in final energy intensities over the given year</t>
  </si>
  <si>
    <t xml:space="preserve">Final fuel replacement driven by biophysical scarcity</t>
  </si>
  <si>
    <t xml:space="preserve">Activate scarcity feedback final fuel replacement? (1=Y;0=N)</t>
  </si>
  <si>
    <t xml:space="preserve">Select activate fuel replacement feedback or no</t>
  </si>
  <si>
    <t xml:space="preserve">Sensitivity to scarcity economic sectors</t>
  </si>
  <si>
    <t xml:space="preserve">1-Low</t>
  </si>
  <si>
    <t xml:space="preserve">Select the sentivity of scarcity for sectors (1,2 or 3)</t>
  </si>
  <si>
    <t xml:space="preserve">Sensitivity to scarcity Households</t>
  </si>
  <si>
    <t xml:space="preserve">Select the sentivity of scarcity for househols (1,2 or 3)</t>
  </si>
  <si>
    <t xml:space="preserve">2-Medium</t>
  </si>
  <si>
    <t xml:space="preserve">3-High</t>
  </si>
  <si>
    <t xml:space="preserve">Energy scarcity forgetting factor sectors</t>
  </si>
  <si>
    <t xml:space="preserve">years</t>
  </si>
  <si>
    <t xml:space="preserve">Time that society takes to forget the percepticon of scarcity for economic sectors.</t>
  </si>
  <si>
    <t xml:space="preserve">Energy scarcity forgetting factor Households</t>
  </si>
  <si>
    <t xml:space="preserve">Time that society takes to forget the percepticon of scarcity for households.</t>
  </si>
  <si>
    <t xml:space="preserve">Land</t>
  </si>
  <si>
    <t xml:space="preserve">P forest overxplotation</t>
  </si>
  <si>
    <t xml:space="preserve">Percent of unsustainable forest extraction allowed (0= only sustainable extraction allowed, 1=100% more than sustainable allowed)</t>
  </si>
  <si>
    <t xml:space="preserve">P minimum forest</t>
  </si>
  <si>
    <t xml:space="preserve">Policy target to avoid reducing forest area below this value</t>
  </si>
  <si>
    <t xml:space="preserve">P variation primary forest</t>
  </si>
  <si>
    <t xml:space="preserve">annual variation (%)</t>
  </si>
  <si>
    <t xml:space="preserve">Annual variation (%) of surface occupied by primary forest</t>
  </si>
  <si>
    <t xml:space="preserve">From the year:</t>
  </si>
  <si>
    <t xml:space="preserve">P urban land density</t>
  </si>
  <si>
    <t xml:space="preserve">m2/person</t>
  </si>
  <si>
    <t xml:space="preserve">Urban land vs total population</t>
  </si>
  <si>
    <t xml:space="preserve">Initial year urban land density</t>
  </si>
  <si>
    <t xml:space="preserve">Target year urban land density</t>
  </si>
  <si>
    <t xml:space="preserve">Minerals</t>
  </si>
  <si>
    <t xml:space="preserve">Minerals recycling rates</t>
  </si>
  <si>
    <t xml:space="preserve">Disaggregated by mineral (1) or common annual variation for all minerals (2)?</t>
  </si>
  <si>
    <t xml:space="preserve">Disaggregated by mineral (1):</t>
  </si>
  <si>
    <t xml:space="preserve">In the target year:</t>
  </si>
  <si>
    <t xml:space="preserve">Target year</t>
  </si>
  <si>
    <t xml:space="preserve">Starting in the year:</t>
  </si>
  <si>
    <t xml:space="preserve">Star year</t>
  </si>
  <si>
    <t xml:space="preserve">Alternative technologies (RES elec &amp; elec storage)</t>
  </si>
  <si>
    <t xml:space="preserve">Rest of the economy</t>
  </si>
  <si>
    <t xml:space="preserve">List of minerals</t>
  </si>
  <si>
    <t xml:space="preserve">Aluminium (Al)</t>
  </si>
  <si>
    <t xml:space="preserve">share </t>
  </si>
  <si>
    <t xml:space="preserve">share in target year</t>
  </si>
  <si>
    <t xml:space="preserve">Cadmium (Cd)</t>
  </si>
  <si>
    <t xml:space="preserve">Chromium (Cr)</t>
  </si>
  <si>
    <t xml:space="preserve">Copper (Cu)</t>
  </si>
  <si>
    <t xml:space="preserve">Galium (Ga)</t>
  </si>
  <si>
    <t xml:space="preserve">Indium (In)</t>
  </si>
  <si>
    <t xml:space="preserve">Iron (Fe)</t>
  </si>
  <si>
    <t xml:space="preserve">Lithium (Li)</t>
  </si>
  <si>
    <t xml:space="preserve">Magnesium (Mg)</t>
  </si>
  <si>
    <t xml:space="preserve">Manganese (Mn)</t>
  </si>
  <si>
    <t xml:space="preserve">Molybdenum (Mo)</t>
  </si>
  <si>
    <t xml:space="preserve">Nickel (Ni)</t>
  </si>
  <si>
    <t xml:space="preserve">Lead (Pb)</t>
  </si>
  <si>
    <t xml:space="preserve">Silver (Ag)</t>
  </si>
  <si>
    <t xml:space="preserve">Tin (Sn)</t>
  </si>
  <si>
    <t xml:space="preserve">Tellurium (Te)</t>
  </si>
  <si>
    <t xml:space="preserve">Titanium (Ti)</t>
  </si>
  <si>
    <t xml:space="preserve">Vanadium (V)</t>
  </si>
  <si>
    <t xml:space="preserve">Zinc (Zn)</t>
  </si>
  <si>
    <t xml:space="preserve">Common annual variation for all minerals (2):</t>
  </si>
  <si>
    <t xml:space="preserve">P recycling minerals Rest</t>
  </si>
  <si>
    <t xml:space="preserve">annual recycling rate variation (%)</t>
  </si>
  <si>
    <t xml:space="preserve">annual recycling rate for the rest of economy</t>
  </si>
  <si>
    <t xml:space="preserve">start year P recycling minerals Rest</t>
  </si>
  <si>
    <t xml:space="preserve">start year recycling mineralsfor the rest of economy</t>
  </si>
  <si>
    <t xml:space="preserve">P recycling minerals alternative technologies (RES elec &amp; EV batteries)</t>
  </si>
  <si>
    <t xml:space="preserve">annual recycling rate alternative technologies</t>
  </si>
  <si>
    <t xml:space="preserve">start year P recycling minerals alt technologies</t>
  </si>
  <si>
    <t xml:space="preserve">start year recycling minerals alternative technologies</t>
  </si>
  <si>
    <t xml:space="preserve">Energy Imports</t>
  </si>
  <si>
    <t xml:space="preserve">OIL</t>
  </si>
  <si>
    <t xml:space="preserve">Selection of the method to limit oil imports</t>
  </si>
  <si>
    <t xml:space="preserve">1. No limit in oil imports</t>
  </si>
  <si>
    <t xml:space="preserve">2. Oil imports limited by the share of oil imports in 2016</t>
  </si>
  <si>
    <t xml:space="preserve">3. Oil imports limited by the user</t>
  </si>
  <si>
    <t xml:space="preserve">Share vs world total extraction oil import by EU</t>
  </si>
  <si>
    <t xml:space="preserve">Share vs world total extraction</t>
  </si>
  <si>
    <t xml:space="preserve">NATURAL GAS</t>
  </si>
  <si>
    <t xml:space="preserve">Selection of the method to limit nat. gas imports</t>
  </si>
  <si>
    <t xml:space="preserve">1. No limit in nat. gas imports</t>
  </si>
  <si>
    <t xml:space="preserve">2. Nat. gas imports limited by the share of nat. gas imports in 2016</t>
  </si>
  <si>
    <t xml:space="preserve">3. Nat. gas imports limited by the user</t>
  </si>
  <si>
    <t xml:space="preserve">Share vs world total extraction nat. gas import by EU</t>
  </si>
  <si>
    <t xml:space="preserve">COAL</t>
  </si>
  <si>
    <t xml:space="preserve">Selection of the method to limit coal imports</t>
  </si>
  <si>
    <t xml:space="preserve">2. Coal imports limited by the share of coal imports in 2016</t>
  </si>
  <si>
    <t xml:space="preserve">3. Coal imports limited by the user</t>
  </si>
  <si>
    <t xml:space="preserve">Share vs world total extraction coal import by EU</t>
  </si>
  <si>
    <t xml:space="preserve">Net Zero Pathway</t>
  </si>
  <si>
    <t xml:space="preserve">1. PARAMETERS</t>
  </si>
  <si>
    <t xml:space="preserve">Population annual growth</t>
  </si>
  <si>
    <t xml:space="preserve">Policy labor share 2050</t>
  </si>
  <si>
    <t xml:space="preserve">Policy capital share 2050</t>
  </si>
  <si>
    <t xml:space="preserve">Desired annual GDPpc growth rate select option</t>
  </si>
  <si>
    <t xml:space="preserve">2. RENEWABLE ENERGY SOURCES</t>
  </si>
  <si>
    <t xml:space="preserve">Year intalled power RES elec</t>
  </si>
  <si>
    <t xml:space="preserve">Policy hydro installed power</t>
  </si>
  <si>
    <t xml:space="preserve">TW</t>
  </si>
  <si>
    <t xml:space="preserve">Policy geot-elec installed power</t>
  </si>
  <si>
    <t xml:space="preserve">Policy solid bioE-elec installed power</t>
  </si>
  <si>
    <t xml:space="preserve">Policy oceanic installed power</t>
  </si>
  <si>
    <t xml:space="preserve">Policy onshore wind installed power</t>
  </si>
  <si>
    <t xml:space="preserve">Policy wind offshore installed power</t>
  </si>
  <si>
    <t xml:space="preserve">Policy solar PV installed power</t>
  </si>
  <si>
    <t xml:space="preserve">Policy CSP installed power</t>
  </si>
  <si>
    <t xml:space="preserve">Policy PHS installed power</t>
  </si>
  <si>
    <t xml:space="preserve">Policy share biogas electricity</t>
  </si>
  <si>
    <t xml:space="preserve">Policy curtailment and storage share variable RES</t>
  </si>
  <si>
    <t xml:space="preserve">2nd and 3rd generation biofuels</t>
  </si>
  <si>
    <t xml:space="preserve">Policy biofuels 2gen land compet</t>
  </si>
  <si>
    <t xml:space="preserve">Annual growth (%)</t>
  </si>
  <si>
    <t xml:space="preserve">Start year 3gen cellulosic biofuels</t>
  </si>
  <si>
    <t xml:space="preserve">*Assumir policies Europa</t>
  </si>
  <si>
    <t xml:space="preserve">Policy biofuels 3gen land compet</t>
  </si>
  <si>
    <t xml:space="preserve">Cellulosic biofuels and BioE residues </t>
  </si>
  <si>
    <t xml:space="preserve">Start year BioE residues for non-biofuels</t>
  </si>
  <si>
    <t xml:space="preserve">PES of bioE residues</t>
  </si>
  <si>
    <t xml:space="preserve">Share residues for cellulosic biofuels vs non-biofuels</t>
  </si>
  <si>
    <t xml:space="preserve">PES of solid bioE</t>
  </si>
  <si>
    <t xml:space="preserve">Start year biofuels land marg </t>
  </si>
  <si>
    <t xml:space="preserve">Policy biofuels land marg</t>
  </si>
  <si>
    <t xml:space="preserve">Policy solar for heat growth</t>
  </si>
  <si>
    <t xml:space="preserve">Policy geothermal for heat growth</t>
  </si>
  <si>
    <t xml:space="preserve">Policy solid bioE for heat growth</t>
  </si>
  <si>
    <t xml:space="preserve">3. NON RENEWABLE RESOURCES</t>
  </si>
  <si>
    <t xml:space="preserve">Crash programme CTL? (1=Y;0=N)</t>
  </si>
  <si>
    <t xml:space="preserve">Policy CTL growth</t>
  </si>
  <si>
    <t xml:space="preserve">Crash programme GTL? (1=Y;0=N)</t>
  </si>
  <si>
    <t xml:space="preserve">Policy GTL growth</t>
  </si>
  <si>
    <t xml:space="preserve">1. User constant (Annual growth (%))</t>
  </si>
  <si>
    <t xml:space="preserve">Leaving fossil fuels in the ground*</t>
  </si>
  <si>
    <t xml:space="preserve">Force leaving underground? </t>
  </si>
  <si>
    <t xml:space="preserve">Select option (1=Y,0=N)</t>
  </si>
  <si>
    <t xml:space="preserve">Reference year RURR</t>
  </si>
  <si>
    <t xml:space="preserve"> </t>
  </si>
  <si>
    <t xml:space="preserve">Phase-out FF for electricity? (1: YES; 0: constant current share)</t>
  </si>
  <si>
    <t xml:space="preserve">Start year policy phase-out FF for electricity</t>
  </si>
  <si>
    <t xml:space="preserve">Start year policy phase-out oil for heat</t>
  </si>
  <si>
    <t xml:space="preserve">Target year policy phase-out FF for electricity</t>
  </si>
  <si>
    <t xml:space="preserve">Target year policy phase-out oil for heat</t>
  </si>
  <si>
    <t xml:space="preserve">Share in target year FF for elec</t>
  </si>
  <si>
    <t xml:space="preserve">Start year nuclear variation (scenarios 3-4)</t>
  </si>
  <si>
    <t xml:space="preserve">P nuclear scen3-4 (% annual variation)</t>
  </si>
  <si>
    <t xml:space="preserve">4. TRANSPORT POLICIES</t>
  </si>
  <si>
    <t xml:space="preserve">Transport mode shares</t>
  </si>
  <si>
    <t xml:space="preserve">tkm mode shares</t>
  </si>
  <si>
    <t xml:space="preserve">Inland</t>
  </si>
  <si>
    <t xml:space="preserve">Maritime</t>
  </si>
  <si>
    <t xml:space="preserve">Air</t>
  </si>
  <si>
    <t xml:space="preserve">pkm mode shares</t>
  </si>
  <si>
    <t xml:space="preserve">pkm households share  (share of inland transport) </t>
  </si>
  <si>
    <t xml:space="preserve">Sum pkm</t>
  </si>
  <si>
    <t xml:space="preserve">Dmnl (must be 1)</t>
  </si>
  <si>
    <t xml:space="preserve">Sum tkm</t>
  </si>
  <si>
    <t xml:space="preserve">Fuel shares shares tkm</t>
  </si>
  <si>
    <t xml:space="preserve">Inland </t>
  </si>
  <si>
    <t xml:space="preserve">Liquid</t>
  </si>
  <si>
    <t xml:space="preserve">Hybrid</t>
  </si>
  <si>
    <t xml:space="preserve">Fuel shares shares pkm</t>
  </si>
  <si>
    <t xml:space="preserve">Households</t>
  </si>
  <si>
    <t xml:space="preserve">5. ENERGY INTENSITIES </t>
  </si>
  <si>
    <t xml:space="preserve">Year policy to improve efficiency (year)</t>
  </si>
  <si>
    <t xml:space="preserve">Accommodation, food and beverage services</t>
  </si>
  <si>
    <t xml:space="preserve">Activities of membership organisations</t>
  </si>
  <si>
    <t xml:space="preserve">Agriculture, livestock and related services</t>
  </si>
  <si>
    <t xml:space="preserve">Air transport</t>
  </si>
  <si>
    <t xml:space="preserve">Chemical industry</t>
  </si>
  <si>
    <t xml:space="preserve">Coke and petroleum refineries</t>
  </si>
  <si>
    <t xml:space="preserve">Computer activities and information services</t>
  </si>
  <si>
    <t xml:space="preserve">Electricity, gas, steam and air‑conditioning supply</t>
  </si>
  <si>
    <t xml:space="preserve">Extractive industries, mining and quarrying</t>
  </si>
  <si>
    <t xml:space="preserve">Financial intermediation</t>
  </si>
  <si>
    <t xml:space="preserve">Fishing and aquaculture</t>
  </si>
  <si>
    <t xml:space="preserve">Food, beverages and tobacco industries</t>
  </si>
  <si>
    <t xml:space="preserve">Forestry and logging</t>
  </si>
  <si>
    <t xml:space="preserve">Graphic arts and recorded media</t>
  </si>
  <si>
    <t xml:space="preserve">Healthcare and social work activities</t>
  </si>
  <si>
    <t xml:space="preserve">Insurance and pension funds</t>
  </si>
  <si>
    <t xml:space="preserve">Land transport; pipeline transport</t>
  </si>
  <si>
    <t xml:space="preserve">Manufacture of computer, electronic and optical products</t>
  </si>
  <si>
    <t xml:space="preserve">Manufacture of electrical equipment</t>
  </si>
  <si>
    <t xml:space="preserve">Manufacture of fabricated metal products, except machinery and equipment</t>
  </si>
  <si>
    <t xml:space="preserve">Manufacture of furniture; manufacturing n.e.c.</t>
  </si>
  <si>
    <t xml:space="preserve">Manufacture of machinery and equipment n.e.c.</t>
  </si>
  <si>
    <t xml:space="preserve">Manufacture of motor vehicles, trailers and semi‑trailers</t>
  </si>
  <si>
    <t xml:space="preserve">Manufacture of other non‑metallic mineral products</t>
  </si>
  <si>
    <t xml:space="preserve">Manufacture of other transport equipment</t>
  </si>
  <si>
    <t xml:space="preserve">Manufacture of rubber and plastic products</t>
  </si>
  <si>
    <t xml:space="preserve">Maritime and inland water transport</t>
  </si>
  <si>
    <t xml:space="preserve">Metallurgy</t>
  </si>
  <si>
    <t xml:space="preserve">Other business activities</t>
  </si>
  <si>
    <t xml:space="preserve">Other personal service activities</t>
  </si>
  <si>
    <t xml:space="preserve">Paper and paper products industry</t>
  </si>
  <si>
    <t xml:space="preserve">Postal and telecomunication activities</t>
  </si>
  <si>
    <t xml:space="preserve">Private households with employed persons</t>
  </si>
  <si>
    <t xml:space="preserve">Public administration, defense and compulsory social security</t>
  </si>
  <si>
    <t xml:space="preserve">Real estate activities</t>
  </si>
  <si>
    <t xml:space="preserve">Recreational, cultural and sporting activities</t>
  </si>
  <si>
    <t xml:space="preserve">Rental activities</t>
  </si>
  <si>
    <t xml:space="preserve">Research and development</t>
  </si>
  <si>
    <t xml:space="preserve">Retail trade, except motor vehicles and motorcycles</t>
  </si>
  <si>
    <t xml:space="preserve">Sale and repair of motor vehicles and motorcycles</t>
  </si>
  <si>
    <t xml:space="preserve">Sanitation, waste management and decontamination activities</t>
  </si>
  <si>
    <t xml:space="preserve">Support activities for financial intermediation and insurance</t>
  </si>
  <si>
    <t xml:space="preserve">Textile, clothing, leather and footwear industries</t>
  </si>
  <si>
    <t xml:space="preserve">Warehousing and support activities for transportation</t>
  </si>
  <si>
    <t xml:space="preserve">Water collection, treatment and supply</t>
  </si>
  <si>
    <t xml:space="preserve">Wholesale trade and intermediation, except motor vehicles</t>
  </si>
  <si>
    <t xml:space="preserve">Wood and cork industry</t>
  </si>
  <si>
    <t xml:space="preserve">Policy to improve efficiency  speed (1-rapid/2-medium/3-slow)</t>
  </si>
  <si>
    <t xml:space="preserve">Year policy change energy (year)</t>
  </si>
  <si>
    <t xml:space="preserve">Policy change energy  speed (1-rapid/2-medium/3-slow)</t>
  </si>
  <si>
    <t xml:space="preserve">Year to finish energy intensity policies (year)</t>
  </si>
  <si>
    <t xml:space="preserve">Start year modification EI</t>
  </si>
  <si>
    <t xml:space="preserve">Energy intensity target (EJ/T$ US1995)</t>
  </si>
  <si>
    <t xml:space="preserve">Percentage of change in final energy intensities over the given year</t>
  </si>
  <si>
    <t xml:space="preserve">Years</t>
  </si>
  <si>
    <t xml:space="preserve">6. CLIMATE AND ENVIRONMENT</t>
  </si>
  <si>
    <t xml:space="preserve">Recycling rates</t>
  </si>
  <si>
    <t xml:space="preserve">Percentage share in target year (%)</t>
  </si>
  <si>
    <t xml:space="preserve">Policy recycling minerals alternative technologies (RES elec &amp; EV batteries)</t>
  </si>
  <si>
    <t xml:space="preserve">Annual recycling rate variation (%)</t>
  </si>
  <si>
    <t xml:space="preserve">Start year P recycling minerals alt technologies</t>
  </si>
  <si>
    <t xml:space="preserve">Policy recycling minerals Rest</t>
  </si>
  <si>
    <t xml:space="preserve">Start year P recycling minerals Rest</t>
  </si>
  <si>
    <t xml:space="preserve">Climate change impacts</t>
  </si>
  <si>
    <t xml:space="preserve">Other GHG emissions than CO2 emissions:</t>
  </si>
  <si>
    <t xml:space="preserve">Exogenous other GHG emissions: selection of RCP </t>
  </si>
  <si>
    <t xml:space="preserve">1.  RCP 2.6</t>
  </si>
  <si>
    <t xml:space="preserve">2. RCP 4.5</t>
  </si>
  <si>
    <t xml:space="preserve">3. RCP 6.0</t>
  </si>
  <si>
    <t xml:space="preserve">4. RCP 8.5</t>
  </si>
  <si>
    <t xml:space="preserve">CCS</t>
  </si>
  <si>
    <t xml:space="preserve">Year carbon capture capacity</t>
  </si>
  <si>
    <t xml:space="preserve">Share energy emissions related CCS</t>
  </si>
  <si>
    <t xml:space="preserve">DACC</t>
  </si>
  <si>
    <t xml:space="preserve">Installed capacity</t>
  </si>
  <si>
    <t xml:space="preserve">Policy Improvement process intensity</t>
  </si>
  <si>
    <t xml:space="preserve">Improvement</t>
  </si>
  <si>
    <t xml:space="preserve">7. ENERGY IMPORTS</t>
  </si>
  <si>
    <t xml:space="preserve">Net energy flux</t>
  </si>
  <si>
    <t xml:space="preserve">Oil imported from Rest of the World</t>
  </si>
  <si>
    <t xml:space="preserve">Natural gas imported from Rest of the World</t>
  </si>
  <si>
    <t xml:space="preserve">Coal imported from Rest of the World</t>
  </si>
  <si>
    <t xml:space="preserve">Imports-exports </t>
  </si>
  <si>
    <t xml:space="preserve">Net flux biofuels </t>
  </si>
  <si>
    <t xml:space="preserve">Net flux Electricity </t>
  </si>
  <si>
    <t xml:space="preserve">8. LAND USE</t>
  </si>
  <si>
    <t xml:space="preserve">Land-use</t>
  </si>
  <si>
    <t xml:space="preserve">Policy forest overxplotation</t>
  </si>
  <si>
    <t xml:space="preserve">Policy minimum forest</t>
  </si>
  <si>
    <t xml:space="preserve">Policy variation primary forest</t>
  </si>
  <si>
    <t xml:space="preserve">Annual variation (%)</t>
  </si>
  <si>
    <t xml:space="preserve">Start year variation primary forest</t>
  </si>
  <si>
    <t xml:space="preserve">Policy urban land density</t>
  </si>
  <si>
    <t xml:space="preserve">m2/people</t>
  </si>
  <si>
    <t xml:space="preserve">Share of available roof for rooftop PV</t>
  </si>
  <si>
    <t xml:space="preserve">Share of available roof for solar thermal</t>
  </si>
  <si>
    <t xml:space="preserve">Share available roof over total urban land</t>
  </si>
  <si>
    <t xml:space="preserve">Share installed PV urban vs tot PV</t>
  </si>
  <si>
    <t xml:space="preserve">Percentatge de canvi</t>
  </si>
  <si>
    <t xml:space="preserve">Annual growth%</t>
  </si>
  <si>
    <t xml:space="preserve">Eòlica (MW)</t>
  </si>
  <si>
    <t xml:space="preserve">Solar fotovoltaica (MW)</t>
  </si>
  <si>
    <t xml:space="preserve">Solar termoelèctrica (MW)</t>
  </si>
  <si>
    <t xml:space="preserve">Hidràulica (MW)</t>
  </si>
  <si>
    <t xml:space="preserve">Biogàs (MW)</t>
  </si>
  <si>
    <t xml:space="preserve">Policy bioE residues</t>
  </si>
  <si>
    <t xml:space="preserve">Altres renovables (MW)</t>
  </si>
  <si>
    <t xml:space="preserve">Biomassa (MW)</t>
  </si>
  <si>
    <t xml:space="preserve">Carbó (MW)</t>
  </si>
  <si>
    <t xml:space="preserve">#DIV/0!</t>
  </si>
  <si>
    <t xml:space="preserve">Cicle combinat (MW)</t>
  </si>
  <si>
    <t xml:space="preserve">Cogeneració (MW)</t>
  </si>
  <si>
    <t xml:space="preserve">Residus i altres (MW)</t>
  </si>
  <si>
    <t xml:space="preserve">Nuclear (MW)</t>
  </si>
  <si>
    <t xml:space="preserve">Emmagatzematge (MW)</t>
  </si>
</sst>
</file>

<file path=xl/styles.xml><?xml version="1.0" encoding="utf-8"?>
<styleSheet xmlns="http://schemas.openxmlformats.org/spreadsheetml/2006/main">
  <numFmts count="14">
    <numFmt numFmtId="164" formatCode="General"/>
    <numFmt numFmtId="165" formatCode="_-* #,##0.00\ _€_-;\-* #,##0.00\ _€_-;_-* \-??\ _€_-;_-@_-"/>
    <numFmt numFmtId="166" formatCode="#,##0.00&quot;   &quot;;\-#,##0.00&quot;   &quot;;&quot; -&quot;00&quot;   &quot;;@\ "/>
    <numFmt numFmtId="167" formatCode="0%"/>
    <numFmt numFmtId="168" formatCode="#,##0.00\ [$€-407];[RED]\-#,##0.00\ [$€-407]"/>
    <numFmt numFmtId="169" formatCode="0.0%"/>
    <numFmt numFmtId="170" formatCode="0.00%"/>
    <numFmt numFmtId="171" formatCode="#,##0.000"/>
    <numFmt numFmtId="172" formatCode="#,##0.0000"/>
    <numFmt numFmtId="173" formatCode="0"/>
    <numFmt numFmtId="174" formatCode="0.000000"/>
    <numFmt numFmtId="175" formatCode="0.00"/>
    <numFmt numFmtId="176" formatCode="0.00E+00"/>
    <numFmt numFmtId="177" formatCode="#,##0"/>
  </numFmts>
  <fonts count="50">
    <font>
      <sz val="11"/>
      <color rgb="FF000000"/>
      <name val="Calibri"/>
      <family val="0"/>
      <charset val="1"/>
    </font>
    <font>
      <sz val="10"/>
      <name val="Arial"/>
      <family val="0"/>
    </font>
    <font>
      <sz val="10"/>
      <name val="Arial"/>
      <family val="0"/>
    </font>
    <font>
      <sz val="10"/>
      <name val="Arial"/>
      <family val="0"/>
    </font>
    <font>
      <sz val="11"/>
      <color rgb="FFFFFFFF"/>
      <name val="Calibri"/>
      <family val="0"/>
      <charset val="1"/>
    </font>
    <font>
      <sz val="11"/>
      <color rgb="FF006100"/>
      <name val="Calibri"/>
      <family val="0"/>
      <charset val="1"/>
    </font>
    <font>
      <b val="true"/>
      <sz val="11"/>
      <color rgb="FFFFFFFF"/>
      <name val="Calibri"/>
      <family val="0"/>
      <charset val="1"/>
    </font>
    <font>
      <sz val="11"/>
      <color rgb="FFFA7D00"/>
      <name val="Calibri"/>
      <family val="0"/>
      <charset val="1"/>
    </font>
    <font>
      <b val="true"/>
      <sz val="11"/>
      <color rgb="FFFA7D00"/>
      <name val="Calibri"/>
      <family val="0"/>
      <charset val="1"/>
    </font>
    <font>
      <b val="true"/>
      <sz val="15"/>
      <color rgb="FF44546A"/>
      <name val="Calibri"/>
      <family val="0"/>
      <charset val="1"/>
    </font>
    <font>
      <b val="true"/>
      <sz val="11"/>
      <color rgb="FF44546A"/>
      <name val="Calibri"/>
      <family val="0"/>
      <charset val="1"/>
    </font>
    <font>
      <sz val="11"/>
      <color rgb="FF3F3F76"/>
      <name val="Calibri"/>
      <family val="0"/>
      <charset val="1"/>
    </font>
    <font>
      <b val="true"/>
      <i val="true"/>
      <sz val="16"/>
      <color rgb="FF000000"/>
      <name val="Calibri"/>
      <family val="0"/>
      <charset val="1"/>
    </font>
    <font>
      <sz val="11"/>
      <color rgb="FF9C0006"/>
      <name val="Calibri"/>
      <family val="0"/>
      <charset val="1"/>
    </font>
    <font>
      <sz val="11"/>
      <color rgb="FF9C6500"/>
      <name val="Calibri"/>
      <family val="0"/>
      <charset val="1"/>
    </font>
    <font>
      <sz val="11"/>
      <color rgb="FF993300"/>
      <name val="Calibri"/>
      <family val="0"/>
      <charset val="1"/>
    </font>
    <font>
      <sz val="10"/>
      <name val="Arial"/>
      <family val="0"/>
      <charset val="1"/>
    </font>
    <font>
      <sz val="10"/>
      <color rgb="FF000000"/>
      <name val="Arial"/>
      <family val="0"/>
      <charset val="1"/>
    </font>
    <font>
      <sz val="11"/>
      <name val="Arial"/>
      <family val="0"/>
      <charset val="1"/>
    </font>
    <font>
      <b val="true"/>
      <i val="true"/>
      <u val="single"/>
      <sz val="11"/>
      <color rgb="FF000000"/>
      <name val="Calibri"/>
      <family val="0"/>
      <charset val="1"/>
    </font>
    <font>
      <b val="true"/>
      <sz val="11"/>
      <color rgb="FF3F3F3F"/>
      <name val="Calibri"/>
      <family val="0"/>
      <charset val="1"/>
    </font>
    <font>
      <sz val="11"/>
      <color rgb="FFFF0000"/>
      <name val="Calibri"/>
      <family val="0"/>
      <charset val="1"/>
    </font>
    <font>
      <i val="true"/>
      <sz val="11"/>
      <color rgb="FF7F7F7F"/>
      <name val="Calibri"/>
      <family val="0"/>
      <charset val="1"/>
    </font>
    <font>
      <b val="true"/>
      <sz val="11"/>
      <color rgb="FF000000"/>
      <name val="Calibri"/>
      <family val="0"/>
      <charset val="1"/>
    </font>
    <font>
      <b val="true"/>
      <sz val="13"/>
      <color rgb="FF44546A"/>
      <name val="Calibri"/>
      <family val="0"/>
      <charset val="1"/>
    </font>
    <font>
      <sz val="18"/>
      <color rgb="FF44546A"/>
      <name val="Calibri Light"/>
      <family val="0"/>
      <charset val="1"/>
    </font>
    <font>
      <b val="true"/>
      <i val="true"/>
      <sz val="11"/>
      <color rgb="FF000000"/>
      <name val="Calibri"/>
      <family val="0"/>
      <charset val="1"/>
    </font>
    <font>
      <sz val="11"/>
      <name val="Calibri"/>
      <family val="0"/>
      <charset val="1"/>
    </font>
    <font>
      <sz val="24"/>
      <color rgb="FF000000"/>
      <name val="Calibri"/>
      <family val="0"/>
      <charset val="1"/>
    </font>
    <font>
      <b val="true"/>
      <sz val="11"/>
      <name val="Calibri"/>
      <family val="0"/>
      <charset val="1"/>
    </font>
    <font>
      <i val="true"/>
      <sz val="11"/>
      <color rgb="FF000000"/>
      <name val="Calibri"/>
      <family val="0"/>
      <charset val="1"/>
    </font>
    <font>
      <sz val="10"/>
      <name val="Arial"/>
      <family val="2"/>
    </font>
    <font>
      <b val="true"/>
      <sz val="24"/>
      <color rgb="FF000000"/>
      <name val="Calibri"/>
      <family val="0"/>
      <charset val="1"/>
    </font>
    <font>
      <b val="true"/>
      <sz val="20"/>
      <color rgb="FF000000"/>
      <name val="Calibri"/>
      <family val="0"/>
      <charset val="1"/>
    </font>
    <font>
      <b val="true"/>
      <sz val="14"/>
      <color rgb="FF000000"/>
      <name val="Calibri"/>
      <family val="0"/>
      <charset val="1"/>
    </font>
    <font>
      <b val="true"/>
      <sz val="12"/>
      <color rgb="FF000000"/>
      <name val="Calibri"/>
      <family val="0"/>
      <charset val="1"/>
    </font>
    <font>
      <sz val="10"/>
      <color rgb="FF000000"/>
      <name val="Calibri"/>
      <family val="0"/>
      <charset val="1"/>
    </font>
    <font>
      <b val="true"/>
      <i val="true"/>
      <sz val="12"/>
      <color rgb="FF000000"/>
      <name val="Calibri"/>
      <family val="0"/>
      <charset val="1"/>
    </font>
    <font>
      <sz val="11"/>
      <color theme="1"/>
      <name val="Calibri"/>
      <family val="0"/>
      <charset val="1"/>
    </font>
    <font>
      <u val="single"/>
      <sz val="11"/>
      <color rgb="FF000000"/>
      <name val="Calibri"/>
      <family val="0"/>
      <charset val="1"/>
    </font>
    <font>
      <b val="true"/>
      <sz val="10"/>
      <name val="Arial"/>
      <family val="0"/>
      <charset val="1"/>
    </font>
    <font>
      <sz val="11"/>
      <color rgb="FF3F3F76"/>
      <name val="Calibri"/>
      <family val="2"/>
      <charset val="1"/>
    </font>
    <font>
      <b val="true"/>
      <sz val="13.5"/>
      <color rgb="FF000000"/>
      <name val="Calibri"/>
      <family val="2"/>
      <charset val="1"/>
    </font>
    <font>
      <sz val="10"/>
      <color rgb="FF000000"/>
      <name val="Calibri"/>
      <family val="2"/>
      <charset val="1"/>
    </font>
    <font>
      <u val="single"/>
      <sz val="10"/>
      <color rgb="FF000000"/>
      <name val="Calibri"/>
      <family val="2"/>
      <charset val="1"/>
    </font>
    <font>
      <sz val="10"/>
      <color rgb="FF000000"/>
      <name val="Verdana"/>
      <family val="0"/>
      <charset val="1"/>
    </font>
    <font>
      <sz val="7.5"/>
      <color rgb="FF000000"/>
      <name val="Verdana"/>
      <family val="0"/>
      <charset val="1"/>
    </font>
    <font>
      <sz val="11"/>
      <name val="Calibri"/>
      <family val="2"/>
      <charset val="1"/>
    </font>
    <font>
      <sz val="9"/>
      <color rgb="FF000000"/>
      <name val="Tahoma"/>
      <family val="2"/>
      <charset val="1"/>
    </font>
    <font>
      <b val="true"/>
      <sz val="10"/>
      <color rgb="FF000000"/>
      <name val="Arial"/>
      <family val="0"/>
      <charset val="1"/>
    </font>
  </fonts>
  <fills count="55">
    <fill>
      <patternFill patternType="none"/>
    </fill>
    <fill>
      <patternFill patternType="gray125"/>
    </fill>
    <fill>
      <patternFill patternType="solid">
        <fgColor rgb="FFD9E1F2"/>
        <bgColor rgb="FFDDEBF7"/>
      </patternFill>
    </fill>
    <fill>
      <patternFill patternType="solid">
        <fgColor rgb="FFFCE4D6"/>
        <bgColor rgb="FFFFF2CC"/>
      </patternFill>
    </fill>
    <fill>
      <patternFill patternType="solid">
        <fgColor rgb="FFEDEDED"/>
        <bgColor rgb="FFF2F2F2"/>
      </patternFill>
    </fill>
    <fill>
      <patternFill patternType="solid">
        <fgColor rgb="FFFFF2CC"/>
        <bgColor rgb="FFF6F9D4"/>
      </patternFill>
    </fill>
    <fill>
      <patternFill patternType="solid">
        <fgColor rgb="FFDDEBF7"/>
        <bgColor rgb="FFDEEBF7"/>
      </patternFill>
    </fill>
    <fill>
      <patternFill patternType="solid">
        <fgColor rgb="FFE2EFDA"/>
        <bgColor rgb="FFEBF1DE"/>
      </patternFill>
    </fill>
    <fill>
      <patternFill patternType="solid">
        <fgColor rgb="FFB4C6E7"/>
        <bgColor rgb="FF9DC3E6"/>
      </patternFill>
    </fill>
    <fill>
      <patternFill patternType="solid">
        <fgColor rgb="FFF8CBAD"/>
        <bgColor rgb="FFFFCC99"/>
      </patternFill>
    </fill>
    <fill>
      <patternFill patternType="solid">
        <fgColor rgb="FFDBDBDB"/>
        <bgColor rgb="FFD9D9D9"/>
      </patternFill>
    </fill>
    <fill>
      <patternFill patternType="solid">
        <fgColor rgb="FFFFE699"/>
        <bgColor rgb="FFFFEB9C"/>
      </patternFill>
    </fill>
    <fill>
      <patternFill patternType="solid">
        <fgColor rgb="FFBDD7EE"/>
        <bgColor rgb="FFB7DEE8"/>
      </patternFill>
    </fill>
    <fill>
      <patternFill patternType="solid">
        <fgColor rgb="FFC6E0B4"/>
        <bgColor rgb="FFD7E4BD"/>
      </patternFill>
    </fill>
    <fill>
      <patternFill patternType="solid">
        <fgColor rgb="FF8EA9DB"/>
        <bgColor rgb="FF77AFDD"/>
      </patternFill>
    </fill>
    <fill>
      <patternFill patternType="solid">
        <fgColor rgb="FFF4B084"/>
        <bgColor rgb="FFFAC090"/>
      </patternFill>
    </fill>
    <fill>
      <patternFill patternType="solid">
        <fgColor rgb="FFC9C9C9"/>
        <bgColor rgb="FFCCCCCC"/>
      </patternFill>
    </fill>
    <fill>
      <patternFill patternType="solid">
        <fgColor rgb="FFFFD966"/>
        <bgColor rgb="FFFFE699"/>
      </patternFill>
    </fill>
    <fill>
      <patternFill patternType="solid">
        <fgColor rgb="FF9CC2E6"/>
        <bgColor rgb="FF9DC3E6"/>
      </patternFill>
    </fill>
    <fill>
      <patternFill patternType="darkGray">
        <fgColor rgb="FFA9D18E"/>
        <bgColor rgb="FFAFD095"/>
      </patternFill>
    </fill>
    <fill>
      <patternFill patternType="solid">
        <fgColor rgb="FFC6EFCE"/>
        <bgColor rgb="FFD7E4BD"/>
      </patternFill>
    </fill>
    <fill>
      <patternFill patternType="solid">
        <fgColor rgb="FFA7A7A7"/>
        <bgColor rgb="FF8EA9DB"/>
      </patternFill>
    </fill>
    <fill>
      <patternFill patternType="solid">
        <fgColor rgb="FFF2F2F2"/>
        <bgColor rgb="FFEDEDED"/>
      </patternFill>
    </fill>
    <fill>
      <patternFill patternType="solid">
        <fgColor rgb="FFFFCC99"/>
        <bgColor rgb="FFF8CBAD"/>
      </patternFill>
    </fill>
    <fill>
      <patternFill patternType="solid">
        <fgColor rgb="FFFFC7CE"/>
        <bgColor rgb="FFF8CBAD"/>
      </patternFill>
    </fill>
    <fill>
      <patternFill patternType="solid">
        <fgColor rgb="FFFFEB9C"/>
        <bgColor rgb="FFFFE699"/>
      </patternFill>
    </fill>
    <fill>
      <patternFill patternType="solid">
        <fgColor rgb="FFFFFFCC"/>
        <bgColor rgb="FFF6F9D4"/>
      </patternFill>
    </fill>
    <fill>
      <patternFill patternType="solid">
        <fgColor rgb="FF4472C4"/>
        <bgColor rgb="FF44546A"/>
      </patternFill>
    </fill>
    <fill>
      <patternFill patternType="solid">
        <fgColor rgb="FFED7D31"/>
        <bgColor rgb="FFFA7D00"/>
      </patternFill>
    </fill>
    <fill>
      <patternFill patternType="solid">
        <fgColor rgb="FFFFC000"/>
        <bgColor rgb="FFF8F200"/>
      </patternFill>
    </fill>
    <fill>
      <patternFill patternType="darkGray">
        <fgColor rgb="FF77AFDD"/>
        <bgColor rgb="FF8EA9DB"/>
      </patternFill>
    </fill>
    <fill>
      <patternFill patternType="solid">
        <fgColor rgb="FF7C8578"/>
        <bgColor rgb="FFA7A7A7"/>
      </patternFill>
    </fill>
    <fill>
      <patternFill patternType="solid">
        <fgColor rgb="FFF8F200"/>
        <bgColor rgb="FFFFFF00"/>
      </patternFill>
    </fill>
    <fill>
      <patternFill patternType="solid">
        <fgColor rgb="FFFF0000"/>
        <bgColor rgb="FF9C0802"/>
      </patternFill>
    </fill>
    <fill>
      <patternFill patternType="solid">
        <fgColor rgb="FF00B050"/>
        <bgColor rgb="FF00FF00"/>
      </patternFill>
    </fill>
    <fill>
      <patternFill patternType="solid">
        <fgColor rgb="FF66FF33"/>
        <bgColor rgb="FF00FF00"/>
      </patternFill>
    </fill>
    <fill>
      <patternFill patternType="solid">
        <fgColor rgb="FFFFFF00"/>
        <bgColor rgb="FFF8F200"/>
      </patternFill>
    </fill>
    <fill>
      <patternFill patternType="solid">
        <fgColor rgb="FFBFBFBF"/>
        <bgColor rgb="FFC9C9C9"/>
      </patternFill>
    </fill>
    <fill>
      <patternFill patternType="solid">
        <fgColor rgb="FF00FF00"/>
        <bgColor rgb="FF66FF33"/>
      </patternFill>
    </fill>
    <fill>
      <patternFill patternType="solid">
        <fgColor rgb="FFD9D9D9"/>
        <bgColor rgb="FFDBDBDB"/>
      </patternFill>
    </fill>
    <fill>
      <patternFill patternType="solid">
        <fgColor rgb="FF9DC3E6"/>
        <bgColor rgb="FF9CC2E6"/>
      </patternFill>
    </fill>
    <fill>
      <patternFill patternType="solid">
        <fgColor rgb="FFA9D18E"/>
        <bgColor rgb="FFAFD095"/>
      </patternFill>
    </fill>
    <fill>
      <patternFill patternType="solid">
        <fgColor rgb="FF000000"/>
        <bgColor rgb="FF3F3F5B"/>
      </patternFill>
    </fill>
    <fill>
      <patternFill patternType="solid">
        <fgColor rgb="FF77AFDD"/>
        <bgColor rgb="FF8EA9DB"/>
      </patternFill>
    </fill>
    <fill>
      <patternFill patternType="solid">
        <fgColor rgb="FFC3D69B"/>
        <bgColor rgb="FFC6E0B4"/>
      </patternFill>
    </fill>
    <fill>
      <patternFill patternType="solid">
        <fgColor rgb="FFB7DEE8"/>
        <bgColor rgb="FFBDD7EE"/>
      </patternFill>
    </fill>
    <fill>
      <patternFill patternType="solid">
        <fgColor rgb="FFEBF1DE"/>
        <bgColor rgb="FFE2EFDA"/>
      </patternFill>
    </fill>
    <fill>
      <patternFill patternType="solid">
        <fgColor theme="2" tint="-0.25"/>
        <bgColor rgb="FFBFBFBF"/>
      </patternFill>
    </fill>
    <fill>
      <patternFill patternType="solid">
        <fgColor rgb="FFD7E4BD"/>
        <bgColor rgb="FFC6E0B4"/>
      </patternFill>
    </fill>
    <fill>
      <patternFill patternType="solid">
        <fgColor rgb="FFFFFFFF"/>
        <bgColor rgb="FFF2F2F2"/>
      </patternFill>
    </fill>
    <fill>
      <patternFill patternType="solid">
        <fgColor rgb="FFCCCCCC"/>
        <bgColor rgb="FFC9C9C9"/>
      </patternFill>
    </fill>
    <fill>
      <patternFill patternType="solid">
        <fgColor rgb="FFAFD095"/>
        <bgColor rgb="FFA9D18E"/>
      </patternFill>
    </fill>
    <fill>
      <patternFill patternType="solid">
        <fgColor rgb="FFF6F9D4"/>
        <bgColor rgb="FFFFFFCC"/>
      </patternFill>
    </fill>
    <fill>
      <patternFill patternType="solid">
        <fgColor rgb="FFFAC090"/>
        <bgColor rgb="FFFFCC99"/>
      </patternFill>
    </fill>
    <fill>
      <patternFill patternType="solid">
        <fgColor rgb="FFDEEBF7"/>
        <bgColor rgb="FFDDEBF7"/>
      </patternFill>
    </fill>
  </fills>
  <borders count="84">
    <border diagonalUp="false" diagonalDown="false">
      <left/>
      <right/>
      <top/>
      <bottom/>
      <diagonal/>
    </border>
    <border diagonalUp="false" diagonalDown="false">
      <left style="double">
        <color rgb="FF006100"/>
      </left>
      <right style="double">
        <color rgb="FF006100"/>
      </right>
      <top style="double">
        <color rgb="FF006100"/>
      </top>
      <bottom style="double">
        <color rgb="FF006100"/>
      </bottom>
      <diagonal/>
    </border>
    <border diagonalUp="false" diagonalDown="false">
      <left/>
      <right/>
      <top/>
      <bottom style="double">
        <color rgb="FFFA7D00"/>
      </bottom>
      <diagonal/>
    </border>
    <border diagonalUp="false" diagonalDown="false">
      <left style="thin">
        <color rgb="FF7C8578"/>
      </left>
      <right style="thin">
        <color rgb="FF7C8578"/>
      </right>
      <top style="thin">
        <color rgb="FF7C8578"/>
      </top>
      <bottom style="thin">
        <color rgb="FF7C8578"/>
      </bottom>
      <diagonal/>
    </border>
    <border diagonalUp="false" diagonalDown="false">
      <left/>
      <right/>
      <top/>
      <bottom style="thick">
        <color rgb="FF4472C4"/>
      </bottom>
      <diagonal/>
    </border>
    <border diagonalUp="false" diagonalDown="false">
      <left style="thin">
        <color rgb="FFA7A7A7"/>
      </left>
      <right style="thin">
        <color rgb="FFA7A7A7"/>
      </right>
      <top style="thin">
        <color rgb="FFA7A7A7"/>
      </top>
      <bottom style="thin">
        <color rgb="FFA7A7A7"/>
      </bottom>
      <diagonal/>
    </border>
    <border diagonalUp="false" diagonalDown="false">
      <left style="thin">
        <color rgb="FF006100"/>
      </left>
      <right style="thin">
        <color rgb="FF006100"/>
      </right>
      <top style="thin">
        <color rgb="FF006100"/>
      </top>
      <bottom style="thin">
        <color rgb="FF006100"/>
      </bottom>
      <diagonal/>
    </border>
    <border diagonalUp="false" diagonalDown="false">
      <left/>
      <right/>
      <top style="thin">
        <color rgb="FF3F3F5B"/>
      </top>
      <bottom style="double">
        <color rgb="FF3F3F5B"/>
      </bottom>
      <diagonal/>
    </border>
    <border diagonalUp="false" diagonalDown="false">
      <left/>
      <right/>
      <top style="thin">
        <color rgb="FF4472C4"/>
      </top>
      <bottom style="double">
        <color rgb="FF4472C4"/>
      </bottom>
      <diagonal/>
    </border>
    <border diagonalUp="false" diagonalDown="false">
      <left/>
      <right/>
      <top/>
      <bottom style="thick">
        <color rgb="FF9CC2E6"/>
      </bottom>
      <diagonal/>
    </border>
    <border diagonalUp="false" diagonalDown="false">
      <left/>
      <right/>
      <top/>
      <bottom style="medium">
        <color rgb="FF8EA9DB"/>
      </bottom>
      <diagonal/>
    </border>
    <border diagonalUp="false" diagonalDown="false">
      <left style="thin"/>
      <right style="thin"/>
      <top style="thin"/>
      <bottom style="thin"/>
      <diagonal/>
    </border>
    <border diagonalUp="false" diagonalDown="false">
      <left/>
      <right/>
      <top style="medium"/>
      <bottom/>
      <diagonal/>
    </border>
    <border diagonalUp="false" diagonalDown="false">
      <left style="medium"/>
      <right/>
      <top style="medium"/>
      <bottom/>
      <diagonal/>
    </border>
    <border diagonalUp="false" diagonalDown="false">
      <left/>
      <right style="medium"/>
      <top style="medium"/>
      <bottom/>
      <diagonal/>
    </border>
    <border diagonalUp="false" diagonalDown="false">
      <left style="medium"/>
      <right/>
      <top/>
      <bottom style="thin"/>
      <diagonal/>
    </border>
    <border diagonalUp="false" diagonalDown="false">
      <left/>
      <right/>
      <top style="thin"/>
      <bottom/>
      <diagonal/>
    </border>
    <border diagonalUp="false" diagonalDown="false">
      <left/>
      <right/>
      <top style="thin"/>
      <bottom style="thin"/>
      <diagonal/>
    </border>
    <border diagonalUp="false" diagonalDown="false">
      <left/>
      <right style="medium"/>
      <top style="thin"/>
      <bottom style="thin"/>
      <diagonal/>
    </border>
    <border diagonalUp="false" diagonalDown="false">
      <left/>
      <right/>
      <top style="thin"/>
      <bottom style="medium"/>
      <diagonal/>
    </border>
    <border diagonalUp="false" diagonalDown="false">
      <left/>
      <right style="thin"/>
      <top style="thin"/>
      <bottom style="thin"/>
      <diagonal/>
    </border>
    <border diagonalUp="false" diagonalDown="false">
      <left style="thin"/>
      <right/>
      <top style="thin"/>
      <bottom style="thin"/>
      <diagonal/>
    </border>
    <border diagonalUp="false" diagonalDown="false">
      <left style="thin"/>
      <right style="medium"/>
      <top style="thin"/>
      <bottom style="thin"/>
      <diagonal/>
    </border>
    <border diagonalUp="false" diagonalDown="false">
      <left style="thin"/>
      <right/>
      <top/>
      <bottom/>
      <diagonal/>
    </border>
    <border diagonalUp="false" diagonalDown="false">
      <left style="medium"/>
      <right/>
      <top style="thin"/>
      <bottom style="thin"/>
      <diagonal/>
    </border>
    <border diagonalUp="false" diagonalDown="false">
      <left/>
      <right/>
      <top/>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style="thin"/>
      <top/>
      <bottom style="thin"/>
      <diagonal/>
    </border>
    <border diagonalUp="false" diagonalDown="false">
      <left style="thin"/>
      <right/>
      <top/>
      <bottom style="thin"/>
      <diagonal/>
    </border>
    <border diagonalUp="false" diagonalDown="false">
      <left style="medium"/>
      <right style="thin"/>
      <top style="thin"/>
      <bottom style="thin"/>
      <diagonal/>
    </border>
    <border diagonalUp="false" diagonalDown="false">
      <left/>
      <right style="medium"/>
      <top style="thin"/>
      <bottom/>
      <diagonal/>
    </border>
    <border diagonalUp="false" diagonalDown="false">
      <left/>
      <right style="medium"/>
      <top/>
      <bottom style="thin"/>
      <diagonal/>
    </border>
    <border diagonalUp="false" diagonalDown="false">
      <left/>
      <right style="medium"/>
      <top/>
      <bottom/>
      <diagonal/>
    </border>
    <border diagonalUp="false" diagonalDown="false">
      <left/>
      <right style="thin"/>
      <top/>
      <bottom style="thin"/>
      <diagonal/>
    </border>
    <border diagonalUp="false" diagonalDown="false">
      <left/>
      <right/>
      <top/>
      <bottom style="medium"/>
      <diagonal/>
    </border>
    <border diagonalUp="false" diagonalDown="false">
      <left/>
      <right style="thin"/>
      <top style="thin"/>
      <bottom/>
      <diagonal/>
    </border>
    <border diagonalUp="false" diagonalDown="false">
      <left/>
      <right style="thin"/>
      <top/>
      <bottom/>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medium"/>
      <right style="medium"/>
      <top style="medium"/>
      <bottom/>
      <diagonal/>
    </border>
    <border diagonalUp="false" diagonalDown="false">
      <left style="medium"/>
      <right style="thin"/>
      <top/>
      <bottom style="medium"/>
      <diagonal/>
    </border>
    <border diagonalUp="false" diagonalDown="false">
      <left/>
      <right style="thin"/>
      <top style="thin"/>
      <bottom style="medium"/>
      <diagonal/>
    </border>
    <border diagonalUp="false" diagonalDown="false">
      <left style="medium"/>
      <right style="medium"/>
      <top style="medium"/>
      <bottom style="thin"/>
      <diagonal/>
    </border>
    <border diagonalUp="false" diagonalDown="false">
      <left style="thin"/>
      <right style="medium"/>
      <top style="thin"/>
      <bottom/>
      <diagonal/>
    </border>
    <border diagonalUp="false" diagonalDown="false">
      <left style="medium"/>
      <right style="medium"/>
      <top style="medium"/>
      <bottom style="medium"/>
      <diagonal/>
    </border>
    <border diagonalUp="false" diagonalDown="false">
      <left style="medium"/>
      <right style="medium"/>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medium"/>
      <diagonal/>
    </border>
    <border diagonalUp="false" diagonalDown="false">
      <left style="medium"/>
      <right style="medium"/>
      <top/>
      <bottom style="thin"/>
      <diagonal/>
    </border>
    <border diagonalUp="false" diagonalDown="false">
      <left style="thin"/>
      <right style="medium"/>
      <top/>
      <bottom style="medium"/>
      <diagonal/>
    </border>
    <border diagonalUp="false" diagonalDown="false">
      <left style="medium"/>
      <right/>
      <top/>
      <bottom style="medium"/>
      <diagonal/>
    </border>
    <border diagonalUp="false" diagonalDown="false">
      <left/>
      <right style="medium"/>
      <top/>
      <bottom style="medium"/>
      <diagonal/>
    </border>
    <border diagonalUp="false" diagonalDown="false">
      <left style="medium"/>
      <right/>
      <top style="medium"/>
      <bottom style="thin"/>
      <diagonal/>
    </border>
    <border diagonalUp="false" diagonalDown="false">
      <left style="thin"/>
      <right/>
      <top/>
      <bottom style="mediu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bottom/>
      <diagonal/>
    </border>
    <border diagonalUp="false" diagonalDown="false">
      <left style="medium"/>
      <right style="thin"/>
      <top/>
      <bottom style="thin"/>
      <diagonal/>
    </border>
    <border diagonalUp="false" diagonalDown="false">
      <left style="thin"/>
      <right/>
      <top style="thin"/>
      <bottom style="medium"/>
      <diagonal/>
    </border>
    <border diagonalUp="false" diagonalDown="false">
      <left style="medium"/>
      <right style="thin"/>
      <top style="medium"/>
      <bottom style="medium"/>
      <diagonal/>
    </border>
    <border diagonalUp="false" diagonalDown="false">
      <left style="thin"/>
      <right style="medium"/>
      <top style="medium"/>
      <bottom style="medium"/>
      <diagonal/>
    </border>
    <border diagonalUp="false" diagonalDown="false">
      <left/>
      <right style="thin"/>
      <top style="medium"/>
      <bottom style="thin"/>
      <diagonal/>
    </border>
    <border diagonalUp="false" diagonalDown="false">
      <left style="thin"/>
      <right style="thin"/>
      <top style="thin"/>
      <bottom style="thin">
        <color rgb="FF7C8578"/>
      </bottom>
      <diagonal/>
    </border>
    <border diagonalUp="false" diagonalDown="false">
      <left/>
      <right style="medium"/>
      <top style="thin"/>
      <bottom style="medium"/>
      <diagonal/>
    </border>
    <border diagonalUp="false" diagonalDown="false">
      <left style="thick"/>
      <right style="medium"/>
      <top style="thick"/>
      <bottom style="medium"/>
      <diagonal/>
    </border>
    <border diagonalUp="false" diagonalDown="false">
      <left style="medium"/>
      <right style="medium"/>
      <top style="thick"/>
      <bottom style="medium"/>
      <diagonal/>
    </border>
    <border diagonalUp="false" diagonalDown="false">
      <left style="medium"/>
      <right style="thick"/>
      <top style="thick"/>
      <bottom style="medium"/>
      <diagonal/>
    </border>
    <border diagonalUp="false" diagonalDown="false">
      <left style="thick"/>
      <right style="medium"/>
      <top style="medium"/>
      <bottom style="medium"/>
      <diagonal/>
    </border>
    <border diagonalUp="false" diagonalDown="false">
      <left style="medium"/>
      <right style="thick"/>
      <top style="medium"/>
      <bottom style="medium"/>
      <diagonal/>
    </border>
    <border diagonalUp="false" diagonalDown="false">
      <left style="thick"/>
      <right style="medium"/>
      <top style="medium"/>
      <bottom style="thick"/>
      <diagonal/>
    </border>
    <border diagonalUp="false" diagonalDown="false">
      <left style="medium"/>
      <right style="medium"/>
      <top style="medium"/>
      <bottom style="thick"/>
      <diagonal/>
    </border>
    <border diagonalUp="false" diagonalDown="false">
      <left style="medium"/>
      <right style="thick"/>
      <top style="medium"/>
      <bottom style="thick"/>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medium"/>
      <right/>
      <top style="thin"/>
      <bottom/>
      <diagonal/>
    </border>
    <border diagonalUp="false" diagonalDown="false">
      <left style="thin"/>
      <right style="thin"/>
      <top/>
      <bottom style="medium"/>
      <diagonal/>
    </border>
    <border diagonalUp="false" diagonalDown="false">
      <left style="thin"/>
      <right style="medium"/>
      <top/>
      <bottom style="thin"/>
      <diagonal/>
    </border>
  </borders>
  <cellStyleXfs count="9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xf numFmtId="164" fontId="0" fillId="5" borderId="0" applyFont="true" applyBorder="false" applyAlignment="true" applyProtection="false">
      <alignment horizontal="general" vertical="bottom" textRotation="0" wrapText="false" indent="0" shrinkToFit="false"/>
    </xf>
    <xf numFmtId="164" fontId="0" fillId="6" borderId="0" applyFont="true" applyBorder="false" applyAlignment="true" applyProtection="false">
      <alignment horizontal="general" vertical="bottom" textRotation="0" wrapText="false" indent="0" shrinkToFit="false"/>
    </xf>
    <xf numFmtId="164" fontId="0" fillId="7" borderId="0" applyFont="true" applyBorder="false" applyAlignment="true" applyProtection="false">
      <alignment horizontal="general" vertical="bottom" textRotation="0" wrapText="false" indent="0" shrinkToFit="false"/>
    </xf>
    <xf numFmtId="164" fontId="0" fillId="8" borderId="0" applyFont="true" applyBorder="false" applyAlignment="true" applyProtection="false">
      <alignment horizontal="general" vertical="bottom" textRotation="0" wrapText="false" indent="0" shrinkToFit="false"/>
    </xf>
    <xf numFmtId="164" fontId="0" fillId="9" borderId="0" applyFont="true" applyBorder="false" applyAlignment="true" applyProtection="false">
      <alignment horizontal="general" vertical="bottom" textRotation="0" wrapText="false" indent="0" shrinkToFit="false"/>
    </xf>
    <xf numFmtId="164" fontId="0" fillId="10" borderId="0" applyFont="true" applyBorder="false" applyAlignment="true" applyProtection="false">
      <alignment horizontal="general" vertical="bottom" textRotation="0" wrapText="false" indent="0" shrinkToFit="false"/>
    </xf>
    <xf numFmtId="164" fontId="0" fillId="11" borderId="0" applyFont="true" applyBorder="false" applyAlignment="true" applyProtection="false">
      <alignment horizontal="general" vertical="bottom" textRotation="0" wrapText="false" indent="0" shrinkToFit="false"/>
    </xf>
    <xf numFmtId="164" fontId="0" fillId="12" borderId="0" applyFont="true" applyBorder="false" applyAlignment="true" applyProtection="false">
      <alignment horizontal="general" vertical="bottom" textRotation="0" wrapText="false" indent="0" shrinkToFit="false"/>
    </xf>
    <xf numFmtId="164" fontId="0" fillId="13" borderId="0" applyFont="true" applyBorder="false" applyAlignment="true" applyProtection="false">
      <alignment horizontal="general" vertical="bottom" textRotation="0" wrapText="false" indent="0" shrinkToFit="false"/>
    </xf>
    <xf numFmtId="164" fontId="4" fillId="14" borderId="0" applyFont="true" applyBorder="false" applyAlignment="true" applyProtection="false">
      <alignment horizontal="general" vertical="bottom" textRotation="0" wrapText="false" indent="0" shrinkToFit="false"/>
    </xf>
    <xf numFmtId="164" fontId="4" fillId="15" borderId="0" applyFont="true" applyBorder="false" applyAlignment="true" applyProtection="false">
      <alignment horizontal="general" vertical="bottom" textRotation="0" wrapText="false" indent="0" shrinkToFit="false"/>
    </xf>
    <xf numFmtId="164" fontId="4" fillId="16" borderId="0" applyFont="true" applyBorder="false" applyAlignment="true" applyProtection="false">
      <alignment horizontal="general" vertical="bottom" textRotation="0" wrapText="false" indent="0" shrinkToFit="false"/>
    </xf>
    <xf numFmtId="164" fontId="4" fillId="17" borderId="0" applyFont="true" applyBorder="false" applyAlignment="true" applyProtection="false">
      <alignment horizontal="general" vertical="bottom" textRotation="0" wrapText="false" indent="0" shrinkToFit="false"/>
    </xf>
    <xf numFmtId="164" fontId="4" fillId="18" borderId="0" applyFont="true" applyBorder="false" applyAlignment="true" applyProtection="false">
      <alignment horizontal="general" vertical="bottom" textRotation="0" wrapText="false" indent="0" shrinkToFit="false"/>
    </xf>
    <xf numFmtId="164" fontId="4" fillId="19" borderId="0" applyFont="true" applyBorder="false" applyAlignment="true" applyProtection="false">
      <alignment horizontal="general" vertical="bottom" textRotation="0" wrapText="false" indent="0" shrinkToFit="false"/>
    </xf>
    <xf numFmtId="164" fontId="5" fillId="20" borderId="0" applyFont="true" applyBorder="false" applyAlignment="true" applyProtection="false">
      <alignment horizontal="general" vertical="bottom" textRotation="0" wrapText="false" indent="0" shrinkToFit="false"/>
    </xf>
    <xf numFmtId="164" fontId="6" fillId="21" borderId="1" applyFont="true" applyBorder="true" applyAlignment="true" applyProtection="false">
      <alignment horizontal="general" vertical="bottom" textRotation="0" wrapText="false" indent="0" shrinkToFit="false"/>
    </xf>
    <xf numFmtId="164" fontId="7" fillId="0" borderId="2" applyFont="true" applyBorder="true" applyAlignment="true" applyProtection="false">
      <alignment horizontal="general" vertical="bottom" textRotation="0" wrapText="false" indent="0" shrinkToFit="false"/>
    </xf>
    <xf numFmtId="164" fontId="8" fillId="22" borderId="3" applyFont="true" applyBorder="true" applyAlignment="true" applyProtection="false">
      <alignment horizontal="general" vertical="bottom" textRotation="0" wrapText="false" indent="0" shrinkToFit="false"/>
    </xf>
    <xf numFmtId="164" fontId="9" fillId="0" borderId="4" applyFont="true" applyBorder="tru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23" borderId="3" applyFont="true" applyBorder="true" applyAlignment="true" applyProtection="false">
      <alignment horizontal="general" vertical="bottom" textRotation="0" wrapText="false" indent="0" shrinkToFit="false"/>
    </xf>
    <xf numFmtId="164" fontId="12" fillId="0" borderId="0" applyFont="true" applyBorder="false" applyAlignment="true" applyProtection="false">
      <alignment horizontal="center" vertical="bottom" textRotation="90" wrapText="false" indent="0" shrinkToFit="false"/>
    </xf>
    <xf numFmtId="164" fontId="12" fillId="0" borderId="0" applyFont="true" applyBorder="false" applyAlignment="true" applyProtection="false">
      <alignment horizontal="center" vertical="bottom" textRotation="0" wrapText="false" indent="0" shrinkToFit="false"/>
    </xf>
    <xf numFmtId="164" fontId="13" fillId="24" borderId="0" applyFont="true" applyBorder="false" applyAlignment="true" applyProtection="false">
      <alignment horizontal="general" vertical="bottom" textRotation="0" wrapText="false" indent="0" shrinkToFit="false"/>
    </xf>
    <xf numFmtId="164" fontId="11" fillId="23" borderId="3" applyFont="true" applyBorder="true" applyAlignment="true" applyProtection="true">
      <alignment horizontal="general" vertical="bottom" textRotation="0" wrapText="false" indent="0" shrinkToFit="false"/>
      <protection locked="true" hidden="false"/>
    </xf>
    <xf numFmtId="164" fontId="11" fillId="23" borderId="3" applyFont="true" applyBorder="true" applyAlignment="true" applyProtection="true">
      <alignment horizontal="general" vertical="bottom" textRotation="0" wrapText="false" indent="0" shrinkToFit="false"/>
      <protection locked="true" hidden="false"/>
    </xf>
    <xf numFmtId="165" fontId="0" fillId="0" borderId="0" applyFont="true" applyBorder="false" applyAlignment="true" applyProtection="false">
      <alignment horizontal="general" vertical="bottom" textRotation="0" wrapText="false" indent="0" shrinkToFit="false"/>
    </xf>
    <xf numFmtId="166"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14" fillId="25" borderId="0" applyFont="true" applyBorder="false" applyAlignment="true" applyProtection="false">
      <alignment horizontal="general" vertical="bottom" textRotation="0" wrapText="false" indent="0" shrinkToFit="false"/>
    </xf>
    <xf numFmtId="164" fontId="15" fillId="25" borderId="0" applyFont="true" applyBorder="false" applyAlignment="true" applyProtection="false">
      <alignment horizontal="general" vertical="bottom" textRotation="0" wrapText="false" indent="0" shrinkToFit="false"/>
    </xf>
    <xf numFmtId="164" fontId="16"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16" fillId="0" borderId="0" applyFont="true" applyBorder="true" applyAlignment="true" applyProtection="true">
      <alignment horizontal="general" vertical="bottom" textRotation="0" wrapText="false" indent="0" shrinkToFit="false"/>
      <protection locked="true" hidden="false"/>
    </xf>
    <xf numFmtId="164" fontId="16"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16" fillId="0" borderId="0" applyFont="true" applyBorder="true" applyAlignment="true" applyProtection="true">
      <alignment horizontal="general" vertical="bottom" textRotation="0" wrapText="false" indent="0" shrinkToFit="false"/>
      <protection locked="true" hidden="false"/>
    </xf>
    <xf numFmtId="164" fontId="17" fillId="0" borderId="0" applyFont="true" applyBorder="false" applyAlignment="true" applyProtection="false">
      <alignment horizontal="general" vertical="bottom" textRotation="0" wrapText="false" indent="0" shrinkToFit="false"/>
    </xf>
    <xf numFmtId="164" fontId="17"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18" fillId="0" borderId="0" applyFont="true" applyBorder="true" applyAlignment="true" applyProtection="true">
      <alignment horizontal="general" vertical="bottom" textRotation="0" wrapText="false" indent="0" shrinkToFit="false"/>
      <protection locked="true" hidden="false"/>
    </xf>
    <xf numFmtId="164" fontId="0" fillId="26" borderId="5" applyFont="true" applyBorder="true" applyAlignment="true" applyProtection="false">
      <alignment horizontal="general" vertical="bottom" textRotation="0" wrapText="false" indent="0" shrinkToFit="false"/>
    </xf>
    <xf numFmtId="167" fontId="0" fillId="0" borderId="0" applyFont="true" applyBorder="false" applyAlignment="true" applyProtection="false">
      <alignment horizontal="general" vertical="bottom" textRotation="0" wrapText="false" indent="0" shrinkToFit="false"/>
    </xf>
    <xf numFmtId="164" fontId="19" fillId="0" borderId="0" applyFont="true" applyBorder="false" applyAlignment="true" applyProtection="false">
      <alignment horizontal="general" vertical="bottom" textRotation="0" wrapText="false" indent="0" shrinkToFit="false"/>
    </xf>
    <xf numFmtId="168" fontId="19" fillId="0" borderId="0" applyFont="true" applyBorder="false" applyAlignment="true" applyProtection="false">
      <alignment horizontal="general" vertical="bottom" textRotation="0" wrapText="false" indent="0" shrinkToFit="false"/>
    </xf>
    <xf numFmtId="164" fontId="20" fillId="22" borderId="6" applyFont="true" applyBorder="true" applyAlignment="true" applyProtection="false">
      <alignment horizontal="general" vertical="bottom" textRotation="0" wrapText="false" indent="0" shrinkToFit="false"/>
    </xf>
    <xf numFmtId="164" fontId="21" fillId="0" borderId="0" applyFont="true" applyBorder="false" applyAlignment="true" applyProtection="false">
      <alignment horizontal="general" vertical="bottom" textRotation="0" wrapText="false" indent="0" shrinkToFit="false"/>
    </xf>
    <xf numFmtId="164" fontId="22" fillId="0" borderId="0" applyFont="true" applyBorder="false" applyAlignment="true" applyProtection="false">
      <alignment horizontal="general" vertical="bottom" textRotation="0" wrapText="false" indent="0" shrinkToFit="false"/>
    </xf>
    <xf numFmtId="164" fontId="23" fillId="0" borderId="7" applyFont="true" applyBorder="true" applyAlignment="true" applyProtection="false">
      <alignment horizontal="general" vertical="bottom" textRotation="0" wrapText="false" indent="0" shrinkToFit="false"/>
    </xf>
    <xf numFmtId="164" fontId="23" fillId="0" borderId="8" applyFont="true" applyBorder="true" applyAlignment="true" applyProtection="false">
      <alignment horizontal="general" vertical="bottom" textRotation="0" wrapText="false" indent="0" shrinkToFit="false"/>
    </xf>
    <xf numFmtId="164" fontId="24" fillId="0" borderId="9" applyFont="true" applyBorder="true" applyAlignment="true" applyProtection="false">
      <alignment horizontal="general" vertical="bottom" textRotation="0" wrapText="false" indent="0" shrinkToFit="false"/>
    </xf>
    <xf numFmtId="164" fontId="10" fillId="0" borderId="10" applyFont="true" applyBorder="true" applyAlignment="true" applyProtection="false">
      <alignment horizontal="general" vertical="bottom" textRotation="0" wrapText="false" indent="0" shrinkToFit="false"/>
    </xf>
    <xf numFmtId="164" fontId="25" fillId="0" borderId="0" applyFont="true" applyBorder="false" applyAlignment="true" applyProtection="false">
      <alignment horizontal="general" vertical="bottom" textRotation="0" wrapText="false" indent="0" shrinkToFit="false"/>
    </xf>
    <xf numFmtId="164" fontId="4" fillId="27" borderId="0" applyFont="true" applyBorder="false" applyAlignment="true" applyProtection="false">
      <alignment horizontal="general" vertical="bottom" textRotation="0" wrapText="false" indent="0" shrinkToFit="false"/>
    </xf>
    <xf numFmtId="164" fontId="4" fillId="28" borderId="0" applyFont="true" applyBorder="false" applyAlignment="true" applyProtection="false">
      <alignment horizontal="general" vertical="bottom" textRotation="0" wrapText="false" indent="0" shrinkToFit="false"/>
    </xf>
    <xf numFmtId="164" fontId="4" fillId="21" borderId="0" applyFont="true" applyBorder="false" applyAlignment="true" applyProtection="false">
      <alignment horizontal="general" vertical="bottom" textRotation="0" wrapText="false" indent="0" shrinkToFit="false"/>
    </xf>
    <xf numFmtId="164" fontId="4" fillId="29" borderId="0" applyFont="true" applyBorder="false" applyAlignment="true" applyProtection="false">
      <alignment horizontal="general" vertical="bottom" textRotation="0" wrapText="false" indent="0" shrinkToFit="false"/>
    </xf>
    <xf numFmtId="164" fontId="4" fillId="30" borderId="0" applyFont="true" applyBorder="false" applyAlignment="true" applyProtection="false">
      <alignment horizontal="general" vertical="bottom" textRotation="0" wrapText="false" indent="0" shrinkToFit="false"/>
    </xf>
    <xf numFmtId="164" fontId="4" fillId="31" borderId="0" applyFont="true" applyBorder="false" applyAlignment="true" applyProtection="false">
      <alignment horizontal="general" vertical="bottom" textRotation="0" wrapText="false" indent="0" shrinkToFit="false"/>
    </xf>
  </cellStyleXfs>
  <cellXfs count="4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true" indent="0" shrinkToFit="false"/>
      <protection locked="true" hidden="false"/>
    </xf>
    <xf numFmtId="164" fontId="26" fillId="0" borderId="0"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27" fillId="11" borderId="11" xfId="0" applyFont="true" applyBorder="true" applyAlignment="true" applyProtection="true">
      <alignment horizontal="general" vertical="bottom" textRotation="0" wrapText="true" indent="0" shrinkToFit="false"/>
      <protection locked="true" hidden="false"/>
    </xf>
    <xf numFmtId="164" fontId="0" fillId="0" borderId="11" xfId="0" applyFont="true" applyBorder="true" applyAlignment="true" applyProtection="true">
      <alignment horizontal="general" vertical="bottom" textRotation="0" wrapText="true" indent="0" shrinkToFit="false"/>
      <protection locked="true" hidden="false"/>
    </xf>
    <xf numFmtId="164" fontId="0" fillId="29" borderId="11" xfId="0" applyFont="true" applyBorder="true" applyAlignment="true" applyProtection="true">
      <alignment horizontal="general" vertical="bottom" textRotation="0" wrapText="true" indent="0" shrinkToFit="false"/>
      <protection locked="true" hidden="false"/>
    </xf>
    <xf numFmtId="164" fontId="0" fillId="32" borderId="11" xfId="0" applyFont="true" applyBorder="true" applyAlignment="true" applyProtection="true">
      <alignment horizontal="general" vertical="bottom" textRotation="0" wrapText="true" indent="0" shrinkToFit="false"/>
      <protection locked="true" hidden="false"/>
    </xf>
    <xf numFmtId="164" fontId="28" fillId="33" borderId="12" xfId="0" applyFont="true" applyBorder="true" applyAlignment="true" applyProtection="true">
      <alignment horizontal="general" vertical="bottom" textRotation="0" wrapText="false" indent="0" shrinkToFit="false"/>
      <protection locked="true" hidden="false"/>
    </xf>
    <xf numFmtId="164" fontId="0" fillId="33" borderId="0" xfId="0" applyFont="false" applyBorder="false" applyAlignment="true" applyProtection="true">
      <alignment horizontal="general" vertical="bottom" textRotation="0" wrapText="false" indent="0" shrinkToFit="false"/>
      <protection locked="true" hidden="false"/>
    </xf>
    <xf numFmtId="164" fontId="0" fillId="0" borderId="12" xfId="0" applyFont="false" applyBorder="true" applyAlignment="true" applyProtection="true">
      <alignment horizontal="general" vertical="bottom" textRotation="0" wrapText="false" indent="0" shrinkToFit="false"/>
      <protection locked="true" hidden="false"/>
    </xf>
    <xf numFmtId="164" fontId="23" fillId="34" borderId="13" xfId="0" applyFont="true" applyBorder="true" applyAlignment="true" applyProtection="true">
      <alignment horizontal="general" vertical="bottom" textRotation="0" wrapText="false" indent="0" shrinkToFit="false"/>
      <protection locked="true" hidden="false"/>
    </xf>
    <xf numFmtId="164" fontId="0" fillId="34" borderId="12" xfId="0" applyFont="false" applyBorder="true" applyAlignment="true" applyProtection="true">
      <alignment horizontal="general" vertical="bottom" textRotation="0" wrapText="false" indent="0" shrinkToFit="false"/>
      <protection locked="true" hidden="false"/>
    </xf>
    <xf numFmtId="164" fontId="0" fillId="34" borderId="14" xfId="0" applyFont="false" applyBorder="true" applyAlignment="true" applyProtection="true">
      <alignment horizontal="general" vertical="bottom" textRotation="0" wrapText="false" indent="0" shrinkToFit="false"/>
      <protection locked="true" hidden="false"/>
    </xf>
    <xf numFmtId="164" fontId="27" fillId="35" borderId="11" xfId="0" applyFont="true" applyBorder="true" applyAlignment="true" applyProtection="true">
      <alignment horizontal="general" vertical="bottom" textRotation="0" wrapText="false" indent="0" shrinkToFit="false"/>
      <protection locked="true" hidden="false"/>
    </xf>
    <xf numFmtId="164" fontId="27" fillId="36" borderId="11" xfId="0" applyFont="true" applyBorder="true" applyAlignment="true" applyProtection="true">
      <alignment horizontal="general" vertical="bottom" textRotation="0" wrapText="false" indent="0" shrinkToFit="false"/>
      <protection locked="true" hidden="false"/>
    </xf>
    <xf numFmtId="164" fontId="27" fillId="35" borderId="15" xfId="0" applyFont="true" applyBorder="true" applyAlignment="true" applyProtection="true">
      <alignment horizontal="general" vertical="bottom" textRotation="0" wrapText="false" indent="0" shrinkToFit="false"/>
      <protection locked="true" hidden="false"/>
    </xf>
    <xf numFmtId="164" fontId="0" fillId="0" borderId="16" xfId="0" applyFont="false" applyBorder="true" applyAlignment="true" applyProtection="true">
      <alignment horizontal="general" vertical="bottom" textRotation="0" wrapText="false" indent="0" shrinkToFit="false"/>
      <protection locked="true" hidden="false"/>
    </xf>
    <xf numFmtId="164" fontId="0" fillId="0" borderId="17" xfId="0" applyFont="false" applyBorder="true" applyAlignment="true" applyProtection="true">
      <alignment horizontal="general" vertical="bottom" textRotation="0" wrapText="false" indent="0" shrinkToFit="fals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27" fillId="35" borderId="17" xfId="0" applyFont="true" applyBorder="true" applyAlignment="true" applyProtection="true">
      <alignment horizontal="center" vertical="center" textRotation="0" wrapText="false" indent="0" shrinkToFit="false"/>
      <protection locked="true" hidden="false"/>
    </xf>
    <xf numFmtId="164" fontId="27" fillId="36" borderId="19" xfId="0" applyFont="true" applyBorder="true" applyAlignment="true" applyProtection="true">
      <alignment horizontal="center" vertical="center" textRotation="0" wrapText="false" indent="0" shrinkToFit="false"/>
      <protection locked="true" hidden="false"/>
    </xf>
    <xf numFmtId="164" fontId="0" fillId="37" borderId="0" xfId="0" applyFont="false" applyBorder="false" applyAlignment="true" applyProtection="true">
      <alignment horizontal="center" vertical="bottom" textRotation="0" wrapText="false" indent="0" shrinkToFit="false"/>
      <protection locked="true" hidden="false"/>
    </xf>
    <xf numFmtId="164" fontId="0" fillId="36" borderId="20" xfId="0" applyFont="false" applyBorder="true" applyAlignment="true" applyProtection="true">
      <alignment horizontal="general" vertical="bottom" textRotation="0" wrapText="false" indent="0" shrinkToFit="false"/>
      <protection locked="true" hidden="false"/>
    </xf>
    <xf numFmtId="164" fontId="0" fillId="37" borderId="11" xfId="0" applyFont="true" applyBorder="true" applyAlignment="true" applyProtection="true">
      <alignment horizontal="center" vertical="center" textRotation="0" wrapText="false" indent="0" shrinkToFit="false"/>
      <protection locked="true" hidden="false"/>
    </xf>
    <xf numFmtId="164" fontId="0" fillId="35" borderId="17" xfId="0" applyFont="true" applyBorder="true" applyAlignment="true" applyProtection="true">
      <alignment horizontal="general" vertical="bottom" textRotation="0" wrapText="false" indent="0" shrinkToFit="false"/>
      <protection locked="true" hidden="false"/>
    </xf>
    <xf numFmtId="164" fontId="0" fillId="0" borderId="11" xfId="0" applyFont="false" applyBorder="true" applyAlignment="true" applyProtection="true">
      <alignment horizontal="general" vertical="bottom" textRotation="0" wrapText="false" indent="0" shrinkToFit="false"/>
      <protection locked="true" hidden="false"/>
    </xf>
    <xf numFmtId="164" fontId="0" fillId="36" borderId="11" xfId="0" applyFont="true" applyBorder="true" applyAlignment="true" applyProtection="true">
      <alignment horizontal="general" vertical="bottom" textRotation="0" wrapText="false" indent="0" shrinkToFit="false"/>
      <protection locked="true" hidden="false"/>
    </xf>
    <xf numFmtId="164" fontId="23" fillId="34" borderId="21" xfId="0" applyFont="true" applyBorder="true" applyAlignment="true" applyProtection="true">
      <alignment horizontal="general" vertical="bottom" textRotation="0" wrapText="false" indent="0" shrinkToFit="false"/>
      <protection locked="true" hidden="false"/>
    </xf>
    <xf numFmtId="164" fontId="27" fillId="35" borderId="11" xfId="0" applyFont="true" applyBorder="true" applyAlignment="true" applyProtection="true">
      <alignment horizontal="center" vertical="center" textRotation="0" wrapText="false" indent="0" shrinkToFit="false"/>
      <protection locked="true" hidden="false"/>
    </xf>
    <xf numFmtId="164" fontId="27" fillId="36" borderId="11" xfId="0" applyFont="true" applyBorder="true" applyAlignment="true" applyProtection="true">
      <alignment horizontal="center" vertical="center" textRotation="0" wrapText="false" indent="0" shrinkToFit="false"/>
      <protection locked="true" hidden="false"/>
    </xf>
    <xf numFmtId="164" fontId="27" fillId="37" borderId="11" xfId="0" applyFont="true" applyBorder="true" applyAlignment="true" applyProtection="true">
      <alignment horizontal="center" vertical="bottom"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0" fillId="0" borderId="22" xfId="0" applyFont="false" applyBorder="true" applyAlignment="true" applyProtection="true">
      <alignment horizontal="general" vertical="bottom" textRotation="0" wrapText="false" indent="0" shrinkToFit="false"/>
      <protection locked="true" hidden="false"/>
    </xf>
    <xf numFmtId="164" fontId="0" fillId="0" borderId="23" xfId="0" applyFont="false" applyBorder="true" applyAlignment="true" applyProtection="true">
      <alignment horizontal="general" vertical="bottom" textRotation="0" wrapText="false" indent="0" shrinkToFit="false"/>
      <protection locked="true" hidden="false"/>
    </xf>
    <xf numFmtId="164" fontId="0" fillId="36" borderId="22" xfId="0" applyFont="false" applyBorder="true" applyAlignment="true" applyProtection="true">
      <alignment horizontal="general" vertical="bottom" textRotation="0" wrapText="false" indent="0" shrinkToFit="false"/>
      <protection locked="true" hidden="false"/>
    </xf>
    <xf numFmtId="164" fontId="0" fillId="36" borderId="23" xfId="0" applyFont="false" applyBorder="true" applyAlignment="true" applyProtection="true">
      <alignment horizontal="general" vertical="bottom" textRotation="0" wrapText="false" indent="0" shrinkToFit="false"/>
      <protection locked="true" hidden="false"/>
    </xf>
    <xf numFmtId="164" fontId="23" fillId="0" borderId="0" xfId="0" applyFont="true" applyBorder="false" applyAlignment="true" applyProtection="true">
      <alignment horizontal="general" vertical="bottom" textRotation="0" wrapText="false" indent="0" shrinkToFit="false"/>
      <protection locked="true" hidden="false"/>
    </xf>
    <xf numFmtId="164" fontId="27" fillId="0" borderId="0" xfId="0" applyFont="true" applyBorder="false" applyAlignment="true" applyProtection="true">
      <alignment horizontal="general" vertical="bottom" textRotation="0" wrapText="false" indent="0" shrinkToFit="false"/>
      <protection locked="true" hidden="false"/>
    </xf>
    <xf numFmtId="167" fontId="27" fillId="0" borderId="0" xfId="0" applyFont="true" applyBorder="false" applyAlignment="true" applyProtection="true">
      <alignment horizontal="general" vertical="bottom" textRotation="0" wrapText="false" indent="0" shrinkToFit="false"/>
      <protection locked="true" hidden="false"/>
    </xf>
    <xf numFmtId="164" fontId="23" fillId="34" borderId="24" xfId="0" applyFont="true" applyBorder="true" applyAlignment="true" applyProtection="true">
      <alignment horizontal="general" vertical="bottom" textRotation="0" wrapText="false" indent="0" shrinkToFit="false"/>
      <protection locked="true" hidden="false"/>
    </xf>
    <xf numFmtId="164" fontId="0" fillId="34" borderId="17" xfId="0" applyFont="false" applyBorder="true" applyAlignment="true" applyProtection="true">
      <alignment horizontal="general" vertical="bottom" textRotation="0" wrapText="false" indent="0" shrinkToFit="false"/>
      <protection locked="true" hidden="false"/>
    </xf>
    <xf numFmtId="164" fontId="0" fillId="34" borderId="25" xfId="0" applyFont="false" applyBorder="true" applyAlignment="true" applyProtection="true">
      <alignment horizontal="general" vertical="bottom" textRotation="0" wrapText="false" indent="0" shrinkToFit="false"/>
      <protection locked="true" hidden="false"/>
    </xf>
    <xf numFmtId="164" fontId="0" fillId="34" borderId="18" xfId="0" applyFont="false" applyBorder="true" applyAlignment="true" applyProtection="true">
      <alignment horizontal="general" vertical="bottom" textRotation="0" wrapText="false" indent="0" shrinkToFit="false"/>
      <protection locked="true" hidden="false"/>
    </xf>
    <xf numFmtId="164" fontId="0" fillId="35" borderId="26" xfId="0" applyFont="true" applyBorder="true" applyAlignment="true" applyProtection="true">
      <alignment horizontal="center" vertical="center" textRotation="0" wrapText="true" indent="0" shrinkToFit="false"/>
      <protection locked="true" hidden="false"/>
    </xf>
    <xf numFmtId="164" fontId="0" fillId="16" borderId="11" xfId="0" applyFont="true" applyBorder="true" applyAlignment="true" applyProtection="true">
      <alignment horizontal="general" vertical="bottom" textRotation="0" wrapText="false" indent="0" shrinkToFit="false"/>
      <protection locked="true" hidden="false"/>
    </xf>
    <xf numFmtId="164" fontId="0" fillId="36" borderId="11" xfId="0" applyFont="true" applyBorder="true" applyAlignment="true" applyProtection="true">
      <alignment horizontal="center" vertical="center" textRotation="0" wrapText="true" indent="0" shrinkToFit="false"/>
      <protection locked="true" hidden="false"/>
    </xf>
    <xf numFmtId="164" fontId="27" fillId="0" borderId="0" xfId="0" applyFont="true" applyBorder="false" applyAlignment="true" applyProtection="true">
      <alignment horizontal="center" vertical="center" textRotation="0" wrapText="false" indent="0" shrinkToFit="false"/>
      <protection locked="true" hidden="false"/>
    </xf>
    <xf numFmtId="164" fontId="27" fillId="35" borderId="20" xfId="0" applyFont="true" applyBorder="true" applyAlignment="true" applyProtection="true">
      <alignment horizontal="general" vertical="bottom" textRotation="0" wrapText="false" indent="0" shrinkToFit="false"/>
      <protection locked="true" hidden="false"/>
    </xf>
    <xf numFmtId="169" fontId="27" fillId="36" borderId="17" xfId="19" applyFont="true" applyBorder="true" applyAlignment="true" applyProtection="true">
      <alignment horizontal="general" vertical="bottom" textRotation="0" wrapText="false" indent="0" shrinkToFit="false"/>
      <protection locked="true" hidden="false"/>
    </xf>
    <xf numFmtId="164" fontId="0" fillId="38" borderId="11" xfId="0" applyFont="true" applyBorder="true" applyAlignment="true" applyProtection="true">
      <alignment horizontal="general" vertical="bottom" textRotation="0" wrapText="false" indent="0" shrinkToFit="false"/>
      <protection locked="true" hidden="false"/>
    </xf>
    <xf numFmtId="164" fontId="0" fillId="36" borderId="0" xfId="0" applyFont="false" applyBorder="false" applyAlignment="true" applyProtection="true">
      <alignment horizontal="general" vertical="bottom" textRotation="0" wrapText="false" indent="0" shrinkToFit="false"/>
      <protection locked="true" hidden="false"/>
    </xf>
    <xf numFmtId="164" fontId="0" fillId="0" borderId="25" xfId="0" applyFont="false" applyBorder="true" applyAlignment="true" applyProtection="true">
      <alignment horizontal="center" vertical="center" textRotation="0" wrapText="false" indent="0" shrinkToFit="false"/>
      <protection locked="true" hidden="false"/>
    </xf>
    <xf numFmtId="164" fontId="27" fillId="36" borderId="27" xfId="0" applyFont="true" applyBorder="true" applyAlignment="true" applyProtection="true">
      <alignment horizontal="general" vertical="bottom" textRotation="0" wrapText="false" indent="0" shrinkToFit="false"/>
      <protection locked="true" hidden="false"/>
    </xf>
    <xf numFmtId="164" fontId="27" fillId="0" borderId="11" xfId="0" applyFont="true" applyBorder="true" applyAlignment="true" applyProtection="true">
      <alignment horizontal="general" vertical="bottom" textRotation="0" wrapText="false" indent="0" shrinkToFit="false"/>
      <protection locked="true" hidden="false"/>
    </xf>
    <xf numFmtId="164" fontId="27" fillId="32" borderId="11" xfId="0" applyFont="true" applyBorder="true" applyAlignment="true" applyProtection="true">
      <alignment horizontal="general" vertical="bottom" textRotation="0" wrapText="false" indent="0" shrinkToFit="false"/>
      <protection locked="true" hidden="false"/>
    </xf>
    <xf numFmtId="164" fontId="27" fillId="32" borderId="17" xfId="0" applyFont="true" applyBorder="true" applyAlignment="true" applyProtection="true">
      <alignment horizontal="general" vertical="bottom" textRotation="0" wrapText="false" indent="0" shrinkToFit="false"/>
      <protection locked="true" hidden="false"/>
    </xf>
    <xf numFmtId="164" fontId="27" fillId="36" borderId="28" xfId="0" applyFont="true" applyBorder="true" applyAlignment="true" applyProtection="true">
      <alignment horizontal="general" vertical="bottom" textRotation="0" wrapText="false" indent="0" shrinkToFit="false"/>
      <protection locked="true" hidden="false"/>
    </xf>
    <xf numFmtId="170" fontId="0" fillId="36" borderId="11" xfId="0" applyFont="false" applyBorder="true" applyAlignment="true" applyProtection="true">
      <alignment horizontal="general" vertical="bottom" textRotation="0" wrapText="false" indent="0" shrinkToFit="false"/>
      <protection locked="true" hidden="false"/>
    </xf>
    <xf numFmtId="167" fontId="27" fillId="36" borderId="11" xfId="0" applyFont="true" applyBorder="true" applyAlignment="true" applyProtection="true">
      <alignment horizontal="general" vertical="bottom" textRotation="0" wrapText="false" indent="0" shrinkToFit="false"/>
      <protection locked="true" hidden="false"/>
    </xf>
    <xf numFmtId="164" fontId="27" fillId="36" borderId="29" xfId="0" applyFont="true" applyBorder="true" applyAlignment="true" applyProtection="true">
      <alignment horizontal="general" vertical="bottom" textRotation="0" wrapText="false" indent="0" shrinkToFit="false"/>
      <protection locked="true" hidden="false"/>
    </xf>
    <xf numFmtId="167" fontId="27" fillId="36" borderId="27" xfId="0" applyFont="true" applyBorder="true" applyAlignment="true" applyProtection="true">
      <alignment horizontal="general" vertical="bottom" textRotation="0" wrapText="false" indent="0" shrinkToFit="false"/>
      <protection locked="true" hidden="false"/>
    </xf>
    <xf numFmtId="164" fontId="0" fillId="34" borderId="0" xfId="0" applyFont="false" applyBorder="false" applyAlignment="true" applyProtection="true">
      <alignment horizontal="general" vertical="bottom" textRotation="0" wrapText="false" indent="0" shrinkToFit="false"/>
      <protection locked="true" hidden="false"/>
    </xf>
    <xf numFmtId="164" fontId="0" fillId="34" borderId="16" xfId="0" applyFont="false" applyBorder="true" applyAlignment="true" applyProtection="true">
      <alignment horizontal="general" vertical="bottom" textRotation="0" wrapText="false" indent="0" shrinkToFit="false"/>
      <protection locked="true" hidden="false"/>
    </xf>
    <xf numFmtId="167" fontId="27" fillId="32" borderId="11" xfId="19" applyFont="true" applyBorder="tru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67" fontId="0" fillId="36" borderId="11" xfId="0" applyFont="true" applyBorder="true" applyAlignment="true" applyProtection="true">
      <alignment horizontal="general" vertical="bottom" textRotation="0" wrapText="false" indent="0" shrinkToFit="false"/>
      <protection locked="true" hidden="false"/>
    </xf>
    <xf numFmtId="167" fontId="0" fillId="36" borderId="11" xfId="0" applyFont="false" applyBorder="true" applyAlignment="true" applyProtection="true">
      <alignment horizontal="general" vertical="bottom" textRotation="0" wrapText="false" indent="0" shrinkToFit="false"/>
      <protection locked="true" hidden="false"/>
    </xf>
    <xf numFmtId="167" fontId="0" fillId="36" borderId="21" xfId="0" applyFont="false" applyBorder="tru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4" fontId="23" fillId="34" borderId="17" xfId="0" applyFont="true" applyBorder="true" applyAlignment="true" applyProtection="true">
      <alignment horizontal="general" vertical="bottom" textRotation="0" wrapText="false" indent="0" shrinkToFit="false"/>
      <protection locked="true" hidden="false"/>
    </xf>
    <xf numFmtId="164" fontId="27" fillId="35" borderId="29" xfId="0" applyFont="true" applyBorder="true" applyAlignment="true" applyProtection="true">
      <alignment horizontal="general" vertical="bottom" textRotation="0" wrapText="false" indent="0" shrinkToFit="false"/>
      <protection locked="true" hidden="false"/>
    </xf>
    <xf numFmtId="164" fontId="27" fillId="0" borderId="29" xfId="0" applyFont="true" applyBorder="true" applyAlignment="true" applyProtection="true">
      <alignment horizontal="general" vertical="bottom" textRotation="0" wrapText="false" indent="0" shrinkToFit="false"/>
      <protection locked="true" hidden="false"/>
    </xf>
    <xf numFmtId="164" fontId="27" fillId="0" borderId="21" xfId="0" applyFont="true" applyBorder="true" applyAlignment="true" applyProtection="true">
      <alignment horizontal="general" vertical="bottom" textRotation="0" wrapText="false" indent="0" shrinkToFit="false"/>
      <protection locked="true" hidden="false"/>
    </xf>
    <xf numFmtId="167" fontId="27" fillId="0" borderId="0" xfId="19" applyFont="true" applyBorder="true" applyAlignment="true" applyProtection="true">
      <alignment horizontal="general" vertical="bottom" textRotation="0" wrapText="false" indent="0" shrinkToFit="false"/>
      <protection locked="true" hidden="false"/>
    </xf>
    <xf numFmtId="164" fontId="0" fillId="0" borderId="21" xfId="0" applyFont="true" applyBorder="true" applyAlignment="true" applyProtection="true">
      <alignment horizontal="general" vertical="bottom" textRotation="0" wrapText="false" indent="0" shrinkToFit="false"/>
      <protection locked="true" hidden="false"/>
    </xf>
    <xf numFmtId="164" fontId="0" fillId="0" borderId="30" xfId="0" applyFont="true" applyBorder="true" applyAlignment="true" applyProtection="true">
      <alignment horizontal="general" vertical="bottom" textRotation="0" wrapText="false" indent="0" shrinkToFit="false"/>
      <protection locked="true" hidden="false"/>
    </xf>
    <xf numFmtId="167" fontId="27" fillId="32" borderId="27" xfId="19" applyFont="true" applyBorder="true" applyAlignment="true" applyProtection="true">
      <alignment horizontal="general" vertical="bottom" textRotation="0" wrapText="false" indent="0" shrinkToFit="false"/>
      <protection locked="true" hidden="false"/>
    </xf>
    <xf numFmtId="164" fontId="0" fillId="32" borderId="11" xfId="0" applyFont="true" applyBorder="true" applyAlignment="true" applyProtection="true">
      <alignment horizontal="general" vertical="bottom" textRotation="0" wrapText="false" indent="0" shrinkToFit="false"/>
      <protection locked="true" hidden="false"/>
    </xf>
    <xf numFmtId="164" fontId="0" fillId="36" borderId="27" xfId="0" applyFont="true" applyBorder="true" applyAlignment="true" applyProtection="true">
      <alignment horizontal="general" vertical="bottom" textRotation="0" wrapText="false" indent="0" shrinkToFit="false"/>
      <protection locked="true" hidden="false"/>
    </xf>
    <xf numFmtId="164" fontId="23" fillId="34" borderId="31" xfId="0" applyFont="true" applyBorder="true" applyAlignment="true" applyProtection="true">
      <alignment horizontal="general" vertical="bottom" textRotation="0" wrapText="false" indent="0" shrinkToFit="false"/>
      <protection locked="true" hidden="false"/>
    </xf>
    <xf numFmtId="164" fontId="0" fillId="34" borderId="32" xfId="0" applyFont="false" applyBorder="true" applyAlignment="true" applyProtection="true">
      <alignment horizontal="general" vertical="bottom" textRotation="0" wrapText="false" indent="0" shrinkToFit="false"/>
      <protection locked="true" hidden="false"/>
    </xf>
    <xf numFmtId="164" fontId="27" fillId="36" borderId="21" xfId="0" applyFont="true" applyBorder="true" applyAlignment="true" applyProtection="true">
      <alignment horizontal="general" vertical="bottom" textRotation="0" wrapText="false" indent="0" shrinkToFit="false"/>
      <protection locked="true" hidden="false"/>
    </xf>
    <xf numFmtId="164" fontId="0" fillId="36" borderId="21" xfId="0" applyFont="true" applyBorder="true" applyAlignment="true" applyProtection="true">
      <alignment horizontal="general" vertical="bottom" textRotation="0" wrapText="false" indent="0" shrinkToFit="false"/>
      <protection locked="true" hidden="false"/>
    </xf>
    <xf numFmtId="167" fontId="27" fillId="32" borderId="21" xfId="19" applyFont="true" applyBorder="true" applyAlignment="true" applyProtection="true">
      <alignment horizontal="general" vertical="bottom" textRotation="0" wrapText="false" indent="0" shrinkToFit="false"/>
      <protection locked="true" hidden="false"/>
    </xf>
    <xf numFmtId="167" fontId="27" fillId="36" borderId="21" xfId="19" applyFont="true" applyBorder="true" applyAlignment="true" applyProtection="true">
      <alignment horizontal="general" vertical="bottom" textRotation="0" wrapText="false" indent="0" shrinkToFit="false"/>
      <protection locked="true" hidden="false"/>
    </xf>
    <xf numFmtId="164" fontId="0" fillId="34" borderId="33" xfId="0" applyFont="false" applyBorder="true" applyAlignment="true" applyProtection="true">
      <alignment horizontal="general" vertical="bottom" textRotation="0" wrapText="false" indent="0" shrinkToFit="false"/>
      <protection locked="true" hidden="false"/>
    </xf>
    <xf numFmtId="164" fontId="0" fillId="0" borderId="25" xfId="0" applyFont="false" applyBorder="true" applyAlignment="true" applyProtection="true">
      <alignment horizontal="general" vertical="bottom" textRotation="0" wrapText="false" indent="0" shrinkToFit="false"/>
      <protection locked="true" hidden="false"/>
    </xf>
    <xf numFmtId="164" fontId="29" fillId="34" borderId="26" xfId="0" applyFont="true" applyBorder="true" applyAlignment="true" applyProtection="true">
      <alignment horizontal="general" vertical="bottom" textRotation="0" wrapText="false" indent="0" shrinkToFit="false"/>
      <protection locked="true" hidden="false"/>
    </xf>
    <xf numFmtId="164" fontId="27" fillId="34" borderId="24" xfId="0" applyFont="true" applyBorder="true" applyAlignment="true" applyProtection="true">
      <alignment horizontal="general" vertical="bottom" textRotation="0" wrapText="false" indent="0" shrinkToFit="false"/>
      <protection locked="true" hidden="false"/>
    </xf>
    <xf numFmtId="164" fontId="0" fillId="34" borderId="21" xfId="0" applyFont="true" applyBorder="true" applyAlignment="true" applyProtection="true">
      <alignment horizontal="general" vertical="bottom" textRotation="0" wrapText="false" indent="0" shrinkToFit="false"/>
      <protection locked="true" hidden="false"/>
    </xf>
    <xf numFmtId="164" fontId="0" fillId="32" borderId="17" xfId="0" applyFont="false" applyBorder="true" applyAlignment="true" applyProtection="true">
      <alignment horizontal="general" vertical="bottom" textRotation="0" wrapText="false" indent="0" shrinkToFit="false"/>
      <protection locked="true" hidden="false"/>
    </xf>
    <xf numFmtId="164" fontId="0" fillId="32" borderId="20" xfId="0" applyFont="false" applyBorder="true" applyAlignment="true" applyProtection="true">
      <alignment horizontal="general" vertical="bottom" textRotation="0" wrapText="false" indent="0" shrinkToFit="false"/>
      <protection locked="true" hidden="false"/>
    </xf>
    <xf numFmtId="164" fontId="0" fillId="34" borderId="34" xfId="0" applyFont="false" applyBorder="true" applyAlignment="true" applyProtection="true">
      <alignment horizontal="general" vertical="bottom" textRotation="0" wrapText="false" indent="0" shrinkToFit="false"/>
      <protection locked="true" hidden="false"/>
    </xf>
    <xf numFmtId="164" fontId="0" fillId="35" borderId="11" xfId="0" applyFont="true" applyBorder="true" applyAlignment="true" applyProtection="true">
      <alignment horizontal="center" vertical="center" textRotation="0" wrapText="true" indent="0" shrinkToFit="false"/>
      <protection locked="true" hidden="false"/>
    </xf>
    <xf numFmtId="164" fontId="0" fillId="36" borderId="29" xfId="0" applyFont="true" applyBorder="true" applyAlignment="true" applyProtection="true">
      <alignment horizontal="center" vertical="center" textRotation="0" wrapText="false" indent="0" shrinkToFit="false"/>
      <protection locked="true" hidden="false"/>
    </xf>
    <xf numFmtId="164" fontId="0" fillId="36" borderId="11" xfId="0" applyFont="true" applyBorder="true" applyAlignment="true" applyProtection="true">
      <alignment horizontal="center" vertical="center" textRotation="0" wrapText="false" indent="0" shrinkToFit="false"/>
      <protection locked="true" hidden="false"/>
    </xf>
    <xf numFmtId="164" fontId="0" fillId="16" borderId="27" xfId="0" applyFont="true" applyBorder="true" applyAlignment="true" applyProtection="true">
      <alignment horizontal="general" vertical="bottom" textRotation="0" wrapText="false" indent="0" shrinkToFit="false"/>
      <protection locked="true" hidden="false"/>
    </xf>
    <xf numFmtId="167" fontId="0" fillId="36" borderId="27" xfId="19" applyFont="true" applyBorder="true" applyAlignment="true" applyProtection="true">
      <alignment horizontal="left" vertical="center" textRotation="0" wrapText="false" indent="0" shrinkToFit="false"/>
      <protection locked="true" hidden="false"/>
    </xf>
    <xf numFmtId="164" fontId="0" fillId="16" borderId="21" xfId="0" applyFont="true" applyBorder="true" applyAlignment="true" applyProtection="true">
      <alignment horizontal="general" vertical="center" textRotation="0" wrapText="false" indent="0" shrinkToFit="false"/>
      <protection locked="true" hidden="false"/>
    </xf>
    <xf numFmtId="164" fontId="0" fillId="16" borderId="20" xfId="0" applyFont="false" applyBorder="true" applyAlignment="true" applyProtection="true">
      <alignment horizontal="general" vertical="bottom" textRotation="0" wrapText="false" indent="0" shrinkToFit="false"/>
      <protection locked="true" hidden="false"/>
    </xf>
    <xf numFmtId="164" fontId="0" fillId="16" borderId="30" xfId="0" applyFont="false" applyBorder="true" applyAlignment="true" applyProtection="true">
      <alignment horizontal="general" vertical="bottom" textRotation="0" wrapText="false" indent="0" shrinkToFit="false"/>
      <protection locked="true" hidden="false"/>
    </xf>
    <xf numFmtId="164" fontId="0" fillId="16" borderId="35" xfId="0" applyFont="false" applyBorder="true" applyAlignment="true" applyProtection="true">
      <alignment horizontal="general" vertical="bottom" textRotation="0" wrapText="false" indent="0" shrinkToFit="false"/>
      <protection locked="true" hidden="false"/>
    </xf>
    <xf numFmtId="164" fontId="0" fillId="34" borderId="24" xfId="0" applyFont="true" applyBorder="true" applyAlignment="true" applyProtection="true">
      <alignment horizontal="general" vertical="bottom" textRotation="0" wrapText="false" indent="0" shrinkToFit="false"/>
      <protection locked="true" hidden="false"/>
    </xf>
    <xf numFmtId="164" fontId="0" fillId="16" borderId="21" xfId="0" applyFont="false" applyBorder="true" applyAlignment="true" applyProtection="true">
      <alignment horizontal="general" vertical="bottom" textRotation="0" wrapText="false" indent="0" shrinkToFit="false"/>
      <protection locked="true" hidden="false"/>
    </xf>
    <xf numFmtId="164" fontId="0" fillId="36" borderId="17" xfId="0" applyFont="false" applyBorder="true" applyAlignment="true" applyProtection="true">
      <alignment horizontal="general" vertical="bottom" textRotation="0" wrapText="false" indent="0" shrinkToFit="false"/>
      <protection locked="true" hidden="false"/>
    </xf>
    <xf numFmtId="164" fontId="0" fillId="16" borderId="29" xfId="0" applyFont="true" applyBorder="true" applyAlignment="true" applyProtection="true">
      <alignment horizontal="general" vertical="bottom" textRotation="0" wrapText="false" indent="0" shrinkToFit="false"/>
      <protection locked="true" hidden="false"/>
    </xf>
    <xf numFmtId="164" fontId="0" fillId="0" borderId="36" xfId="0" applyFont="fals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34" borderId="20" xfId="0" applyFont="false" applyBorder="true" applyAlignment="true" applyProtection="true">
      <alignment horizontal="general" vertical="bottom" textRotation="0" wrapText="false" indent="0" shrinkToFit="false"/>
      <protection locked="true" hidden="false"/>
    </xf>
    <xf numFmtId="164" fontId="0" fillId="34" borderId="29" xfId="0" applyFont="false" applyBorder="true" applyAlignment="true" applyProtection="true">
      <alignment horizontal="general" vertical="bottom" textRotation="0" wrapText="false" indent="0" shrinkToFit="false"/>
      <protection locked="true" hidden="false"/>
    </xf>
    <xf numFmtId="164" fontId="0" fillId="0" borderId="29" xfId="0" applyFont="false" applyBorder="true" applyAlignment="true" applyProtection="true">
      <alignment horizontal="general" vertical="bottom" textRotation="0" wrapText="false" indent="0" shrinkToFit="false"/>
      <protection locked="true" hidden="false"/>
    </xf>
    <xf numFmtId="164" fontId="0" fillId="36" borderId="29" xfId="0" applyFont="false" applyBorder="true" applyAlignment="true" applyProtection="true">
      <alignment horizontal="general" vertical="bottom" textRotation="0" wrapText="false" indent="0" shrinkToFit="false"/>
      <protection locked="true" hidden="false"/>
    </xf>
    <xf numFmtId="164" fontId="0" fillId="34" borderId="37" xfId="0" applyFont="false" applyBorder="true" applyAlignment="true" applyProtection="true">
      <alignment horizontal="general" vertical="bottom" textRotation="0" wrapText="false" indent="0" shrinkToFit="false"/>
      <protection locked="true" hidden="false"/>
    </xf>
    <xf numFmtId="169" fontId="0" fillId="36" borderId="20" xfId="19" applyFont="true" applyBorder="tru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7" fontId="0" fillId="0" borderId="0" xfId="19" applyFont="true" applyBorder="true" applyAlignment="true" applyProtection="true">
      <alignment horizontal="center" vertical="bottom" textRotation="0" wrapText="false" indent="0" shrinkToFit="false"/>
      <protection locked="true" hidden="false"/>
    </xf>
    <xf numFmtId="172" fontId="0" fillId="0" borderId="0" xfId="0" applyFont="false" applyBorder="false" applyAlignment="true" applyProtection="true">
      <alignment horizontal="center" vertical="bottom" textRotation="0" wrapText="false" indent="0" shrinkToFit="false"/>
      <protection locked="true" hidden="false"/>
    </xf>
    <xf numFmtId="164" fontId="0" fillId="35" borderId="11" xfId="0" applyFont="true" applyBorder="true" applyAlignment="true" applyProtection="true">
      <alignment horizontal="center" vertical="center" textRotation="0" wrapText="false" indent="0" shrinkToFit="false"/>
      <protection locked="true" hidden="false"/>
    </xf>
    <xf numFmtId="164" fontId="0" fillId="0" borderId="11" xfId="0" applyFont="true" applyBorder="true" applyAlignment="true" applyProtection="true">
      <alignment horizontal="center" vertical="bottom" textRotation="0" wrapText="false" indent="0" shrinkToFit="false"/>
      <protection locked="true" hidden="false"/>
    </xf>
    <xf numFmtId="164" fontId="0" fillId="36" borderId="11" xfId="0" applyFont="true" applyBorder="true" applyAlignment="true" applyProtection="true">
      <alignment horizontal="left" vertical="bottom" textRotation="0" wrapText="false" indent="0" shrinkToFit="false"/>
      <protection locked="true" hidden="false"/>
    </xf>
    <xf numFmtId="164" fontId="0" fillId="35" borderId="29" xfId="0" applyFont="true" applyBorder="true" applyAlignment="true" applyProtection="true">
      <alignment horizontal="center" vertical="center" textRotation="0" wrapText="false" indent="0" shrinkToFit="false"/>
      <protection locked="true" hidden="false"/>
    </xf>
    <xf numFmtId="167" fontId="0" fillId="0" borderId="29" xfId="19" applyFont="true" applyBorder="true" applyAlignment="true" applyProtection="true">
      <alignment horizontal="center" vertical="center" textRotation="0" wrapText="false" indent="0" shrinkToFit="false"/>
      <protection locked="true" hidden="false"/>
    </xf>
    <xf numFmtId="164" fontId="0" fillId="0" borderId="11" xfId="0" applyFont="true" applyBorder="true" applyAlignment="true" applyProtection="true">
      <alignment horizontal="center" vertical="bottom" textRotation="0" wrapText="true" indent="0" shrinkToFit="false"/>
      <protection locked="true" hidden="false"/>
    </xf>
    <xf numFmtId="167" fontId="0" fillId="36" borderId="11" xfId="0" applyFont="true" applyBorder="true" applyAlignment="true" applyProtection="true">
      <alignment horizontal="left" vertical="bottom" textRotation="0" wrapText="false" indent="0" shrinkToFit="false"/>
      <protection locked="true" hidden="false"/>
    </xf>
    <xf numFmtId="167" fontId="0" fillId="0" borderId="11" xfId="19" applyFont="true" applyBorder="true" applyAlignment="true" applyProtection="true">
      <alignment horizontal="center" vertical="center" textRotation="0" wrapText="false" indent="0" shrinkToFit="false"/>
      <protection locked="true" hidden="false"/>
    </xf>
    <xf numFmtId="167" fontId="0" fillId="36" borderId="11" xfId="0" applyFont="true" applyBorder="true" applyAlignment="true" applyProtection="true">
      <alignment horizontal="center" vertical="center" textRotation="0" wrapText="false" indent="0" shrinkToFit="false"/>
      <protection locked="true" hidden="false"/>
    </xf>
    <xf numFmtId="167" fontId="0" fillId="36" borderId="29"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30" fillId="0" borderId="0" xfId="0" applyFont="true" applyBorder="false" applyAlignment="true" applyProtection="true">
      <alignment horizontal="general" vertical="bottom" textRotation="0" wrapText="false" indent="0" shrinkToFit="false"/>
      <protection locked="true" hidden="false"/>
    </xf>
    <xf numFmtId="164" fontId="0" fillId="36" borderId="29" xfId="0" applyFont="true" applyBorder="true" applyAlignment="true" applyProtection="true">
      <alignment horizontal="general" vertical="bottom" textRotation="0" wrapText="false" indent="0" shrinkToFit="false"/>
      <protection locked="true" hidden="false"/>
    </xf>
    <xf numFmtId="164" fontId="0" fillId="35" borderId="29" xfId="0" applyFont="true" applyBorder="true" applyAlignment="true" applyProtection="true">
      <alignment horizontal="general" vertical="bottom" textRotation="0" wrapText="false" indent="0" shrinkToFit="false"/>
      <protection locked="true" hidden="false"/>
    </xf>
    <xf numFmtId="164" fontId="0" fillId="35" borderId="11" xfId="0" applyFont="true" applyBorder="true" applyAlignment="true" applyProtection="true">
      <alignment horizontal="center" vertical="bottom" textRotation="0" wrapText="false" indent="0" shrinkToFit="false"/>
      <protection locked="true" hidden="false"/>
    </xf>
    <xf numFmtId="164" fontId="0" fillId="35" borderId="11" xfId="0" applyFont="true" applyBorder="true" applyAlignment="true" applyProtection="true">
      <alignment horizontal="general" vertical="bottom" textRotation="0" wrapText="false" indent="0" shrinkToFit="false"/>
      <protection locked="true" hidden="false"/>
    </xf>
    <xf numFmtId="164" fontId="0" fillId="34" borderId="11" xfId="0" applyFont="true" applyBorder="true" applyAlignment="true" applyProtection="true">
      <alignment horizontal="general" vertical="bottom" textRotation="0" wrapText="false" indent="0" shrinkToFit="false"/>
      <protection locked="true" hidden="false"/>
    </xf>
    <xf numFmtId="164" fontId="23" fillId="34" borderId="0" xfId="0" applyFont="true" applyBorder="false" applyAlignment="true" applyProtection="true">
      <alignment horizontal="general" vertical="bottom" textRotation="0" wrapText="true" indent="0" shrinkToFit="false"/>
      <protection locked="true" hidden="false"/>
    </xf>
    <xf numFmtId="164" fontId="0" fillId="39" borderId="0" xfId="0" applyFont="true" applyBorder="true" applyAlignment="true" applyProtection="true">
      <alignment horizontal="left" vertical="bottom" textRotation="0" wrapText="true" indent="0" shrinkToFit="false"/>
      <protection locked="true" hidden="false"/>
    </xf>
    <xf numFmtId="164" fontId="0" fillId="35" borderId="27" xfId="0" applyFont="true" applyBorder="true" applyAlignment="true" applyProtection="true">
      <alignment horizontal="center" vertical="center" textRotation="0" wrapText="true" indent="0" shrinkToFit="false"/>
      <protection locked="true" hidden="false"/>
    </xf>
    <xf numFmtId="164" fontId="0" fillId="36" borderId="27" xfId="0" applyFont="true" applyBorder="true" applyAlignment="true" applyProtection="true">
      <alignment horizontal="center" vertical="center" textRotation="0" wrapText="true" indent="0" shrinkToFit="false"/>
      <protection locked="true" hidden="false"/>
    </xf>
    <xf numFmtId="170" fontId="0" fillId="0" borderId="0" xfId="0" applyFont="false" applyBorder="false" applyAlignment="true" applyProtection="true">
      <alignment horizontal="general" vertical="bottom" textRotation="0" wrapText="true" indent="0" shrinkToFit="false"/>
      <protection locked="true" hidden="false"/>
    </xf>
    <xf numFmtId="164" fontId="0" fillId="16" borderId="11"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top" textRotation="0" wrapText="true" indent="0" shrinkToFit="false"/>
      <protection locked="true" hidden="false"/>
    </xf>
    <xf numFmtId="164" fontId="0" fillId="16" borderId="27" xfId="0" applyFont="true" applyBorder="true" applyAlignment="true" applyProtection="true">
      <alignment horizontal="general" vertical="bottom" textRotation="0" wrapText="true" indent="0" shrinkToFit="false"/>
      <protection locked="true" hidden="false"/>
    </xf>
    <xf numFmtId="164" fontId="0" fillId="34" borderId="0" xfId="0" applyFont="true" applyBorder="true" applyAlignment="true" applyProtection="true">
      <alignment horizontal="general" vertical="bottom" textRotation="0" wrapText="true" indent="0" shrinkToFit="false"/>
      <protection locked="true" hidden="false"/>
    </xf>
    <xf numFmtId="164" fontId="0" fillId="34" borderId="0" xfId="0" applyFont="false" applyBorder="false" applyAlignment="true" applyProtection="true">
      <alignment horizontal="general" vertical="bottom" textRotation="0" wrapText="true" indent="0" shrinkToFit="false"/>
      <protection locked="true" hidden="false"/>
    </xf>
    <xf numFmtId="164" fontId="27" fillId="35" borderId="11" xfId="0" applyFont="true" applyBorder="true" applyAlignment="true" applyProtection="true">
      <alignment horizontal="general" vertical="bottom" textRotation="0" wrapText="true" indent="0" shrinkToFit="false"/>
      <protection locked="true" hidden="false"/>
    </xf>
    <xf numFmtId="164" fontId="0" fillId="35" borderId="11" xfId="0" applyFont="true" applyBorder="true" applyAlignment="true" applyProtection="true">
      <alignment horizontal="general" vertical="center" textRotation="0" wrapText="true" indent="0" shrinkToFit="false"/>
      <protection locked="true" hidden="false"/>
    </xf>
    <xf numFmtId="167" fontId="27" fillId="36" borderId="11" xfId="19" applyFont="true" applyBorder="true" applyAlignment="true" applyProtection="true">
      <alignment horizontal="general" vertical="bottom" textRotation="0" wrapText="false" indent="0" shrinkToFit="false"/>
      <protection locked="true" hidden="false"/>
    </xf>
    <xf numFmtId="167" fontId="0" fillId="36" borderId="20" xfId="0" applyFont="false" applyBorder="true" applyAlignment="true" applyProtection="true">
      <alignment horizontal="left" vertical="bottom" textRotation="0" wrapText="true" indent="0" shrinkToFit="false"/>
      <protection locked="true" hidden="false"/>
    </xf>
    <xf numFmtId="164" fontId="0" fillId="0" borderId="0" xfId="0" applyFont="false" applyBorder="false" applyAlignment="true" applyProtection="true">
      <alignment horizontal="left" vertical="bottom" textRotation="0" wrapText="true" indent="0" shrinkToFit="false"/>
      <protection locked="true" hidden="false"/>
    </xf>
    <xf numFmtId="165" fontId="0" fillId="0" borderId="0" xfId="15" applyFont="true" applyBorder="true" applyAlignment="true" applyProtection="true">
      <alignment horizontal="general" vertical="bottom" textRotation="0" wrapText="false" indent="0" shrinkToFit="false"/>
      <protection locked="true" hidden="false"/>
    </xf>
    <xf numFmtId="164" fontId="0" fillId="34" borderId="27" xfId="0" applyFont="true" applyBorder="true" applyAlignment="true" applyProtection="true">
      <alignment horizontal="general" vertical="bottom" textRotation="0" wrapText="true" indent="0" shrinkToFit="false"/>
      <protection locked="true" hidden="false"/>
    </xf>
    <xf numFmtId="164" fontId="27" fillId="35" borderId="29" xfId="0" applyFont="true" applyBorder="true" applyAlignment="true" applyProtection="true">
      <alignment horizontal="general" vertical="bottom" textRotation="0" wrapText="true" indent="0" shrinkToFit="false"/>
      <protection locked="true" hidden="false"/>
    </xf>
    <xf numFmtId="164" fontId="0" fillId="33" borderId="0" xfId="0" applyFont="true" applyBorder="false" applyAlignment="true" applyProtection="true">
      <alignment horizontal="general" vertical="bottom" textRotation="0" wrapText="true" indent="0" shrinkToFit="false"/>
      <protection locked="true" hidden="false"/>
    </xf>
    <xf numFmtId="164" fontId="0" fillId="34" borderId="11" xfId="0" applyFont="true" applyBorder="true" applyAlignment="true" applyProtection="true">
      <alignment horizontal="general" vertical="bottom" textRotation="0" wrapText="true" indent="0" shrinkToFit="false"/>
      <protection locked="true" hidden="false"/>
    </xf>
    <xf numFmtId="164" fontId="16" fillId="40" borderId="11" xfId="70" applyFont="true" applyBorder="true" applyAlignment="true" applyProtection="true">
      <alignment horizontal="center" vertical="center" textRotation="0" wrapText="true" indent="0" shrinkToFit="false"/>
      <protection locked="true" hidden="false"/>
    </xf>
    <xf numFmtId="164" fontId="16" fillId="40" borderId="21" xfId="70" applyFont="true" applyBorder="true" applyAlignment="true" applyProtection="true">
      <alignment horizontal="center" vertical="center" textRotation="0" wrapText="true" indent="0" shrinkToFit="false"/>
      <protection locked="true" hidden="false"/>
    </xf>
    <xf numFmtId="164" fontId="16" fillId="40" borderId="20" xfId="70" applyFont="true" applyBorder="true" applyAlignment="true" applyProtection="true">
      <alignment horizontal="center" vertical="center" textRotation="0" wrapText="true" indent="0" shrinkToFit="false"/>
      <protection locked="true" hidden="false"/>
    </xf>
    <xf numFmtId="164" fontId="0" fillId="35" borderId="11" xfId="0" applyFont="true" applyBorder="true" applyAlignment="true" applyProtection="true">
      <alignment horizontal="general" vertical="bottom" textRotation="0" wrapText="true" indent="0" shrinkToFit="false"/>
      <protection locked="true" hidden="false"/>
    </xf>
    <xf numFmtId="164" fontId="0" fillId="41" borderId="11" xfId="0" applyFont="true" applyBorder="true" applyAlignment="true" applyProtection="true">
      <alignment horizontal="general" vertical="bottom" textRotation="0" wrapText="true" indent="0" shrinkToFit="false"/>
      <protection locked="true" hidden="false"/>
    </xf>
    <xf numFmtId="164" fontId="0" fillId="42" borderId="11" xfId="0" applyFont="false" applyBorder="true" applyAlignment="true" applyProtection="true">
      <alignment horizontal="general" vertical="bottom" textRotation="0" wrapText="false" indent="0" shrinkToFit="false"/>
      <protection locked="true" hidden="false"/>
    </xf>
    <xf numFmtId="164" fontId="0" fillId="41" borderId="11" xfId="0" applyFont="false" applyBorder="true" applyAlignment="true" applyProtection="true">
      <alignment horizontal="general" vertical="bottom" textRotation="0" wrapText="false" indent="0" shrinkToFit="false"/>
      <protection locked="true" hidden="false"/>
    </xf>
    <xf numFmtId="164" fontId="0" fillId="34" borderId="11" xfId="0" applyFont="false" applyBorder="true" applyAlignment="true" applyProtection="true">
      <alignment horizontal="general" vertical="bottom" textRotation="0" wrapText="false" indent="0" shrinkToFit="false"/>
      <protection locked="true" hidden="false"/>
    </xf>
    <xf numFmtId="164" fontId="0" fillId="38" borderId="16" xfId="0" applyFont="true" applyBorder="true" applyAlignment="true" applyProtection="true">
      <alignment horizontal="left" vertical="center" textRotation="0" wrapText="true" indent="0" shrinkToFit="false"/>
      <protection locked="true" hidden="false"/>
    </xf>
    <xf numFmtId="164" fontId="0" fillId="38" borderId="11" xfId="0" applyFont="true" applyBorder="true" applyAlignment="true" applyProtection="true">
      <alignment horizontal="general" vertical="bottom" textRotation="0" wrapText="true" indent="0" shrinkToFit="false"/>
      <protection locked="true" hidden="false"/>
    </xf>
    <xf numFmtId="164" fontId="0" fillId="37" borderId="11" xfId="0" applyFont="true" applyBorder="true" applyAlignment="true" applyProtection="true">
      <alignment horizontal="general" vertical="bottom" textRotation="0" wrapText="false" indent="0" shrinkToFit="false"/>
      <protection locked="true" hidden="false"/>
    </xf>
    <xf numFmtId="164" fontId="0" fillId="41" borderId="0" xfId="0" applyFont="true" applyBorder="false" applyAlignment="true" applyProtection="true">
      <alignment horizontal="general" vertical="bottom" textRotation="0" wrapText="true" indent="0" shrinkToFit="false"/>
      <protection locked="true" hidden="false"/>
    </xf>
    <xf numFmtId="167" fontId="0" fillId="36" borderId="11" xfId="19" applyFont="true" applyBorder="true" applyAlignment="true" applyProtection="true">
      <alignment horizontal="general" vertical="bottom" textRotation="0" wrapText="false" indent="0" shrinkToFit="false"/>
      <protection locked="true" hidden="false"/>
    </xf>
    <xf numFmtId="164" fontId="23" fillId="34" borderId="21" xfId="0" applyFont="true" applyBorder="true" applyAlignment="true" applyProtection="true">
      <alignment horizontal="general" vertical="bottom" textRotation="0" wrapText="true" indent="0" shrinkToFit="false"/>
      <protection locked="true" hidden="false"/>
    </xf>
    <xf numFmtId="164" fontId="0" fillId="34" borderId="20" xfId="0" applyFont="false" applyBorder="true" applyAlignment="true" applyProtection="true">
      <alignment horizontal="general" vertical="bottom" textRotation="0" wrapText="true" indent="0" shrinkToFit="false"/>
      <protection locked="true" hidden="false"/>
    </xf>
    <xf numFmtId="164" fontId="0" fillId="38" borderId="29" xfId="0" applyFont="true" applyBorder="tru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true">
      <alignment horizontal="left" vertical="center" textRotation="0" wrapText="true" indent="0" shrinkToFit="false"/>
      <protection locked="true" hidden="false"/>
    </xf>
    <xf numFmtId="164" fontId="0" fillId="38" borderId="29" xfId="0" applyFont="true" applyBorder="true" applyAlignment="true" applyProtection="true">
      <alignment horizontal="left" vertical="center" textRotation="0" wrapText="true" indent="0" shrinkToFit="false"/>
      <protection locked="true" hidden="false"/>
    </xf>
    <xf numFmtId="164" fontId="0" fillId="38" borderId="11" xfId="0" applyFont="true" applyBorder="true" applyAlignment="true" applyProtection="true">
      <alignment horizontal="left" vertical="center" textRotation="0" wrapText="true" indent="0" shrinkToFit="false"/>
      <protection locked="true" hidden="false"/>
    </xf>
    <xf numFmtId="164" fontId="0" fillId="36" borderId="11" xfId="0" applyFont="true" applyBorder="true" applyAlignment="true" applyProtection="true">
      <alignment horizontal="general" vertical="bottom" textRotation="0" wrapText="true" indent="0" shrinkToFit="false"/>
      <protection locked="true" hidden="false"/>
    </xf>
    <xf numFmtId="164" fontId="23" fillId="34" borderId="0" xfId="0" applyFont="true" applyBorder="false" applyAlignment="true" applyProtection="true">
      <alignment horizontal="general" vertical="bottom" textRotation="0" wrapText="false" indent="0" shrinkToFit="false"/>
      <protection locked="true" hidden="false"/>
    </xf>
    <xf numFmtId="164" fontId="0" fillId="35" borderId="38" xfId="0" applyFont="true" applyBorder="true" applyAlignment="true" applyProtection="true">
      <alignment horizontal="general" vertical="bottom" textRotation="0" wrapText="false" indent="0" shrinkToFit="false"/>
      <protection locked="true" hidden="false"/>
    </xf>
    <xf numFmtId="173" fontId="27" fillId="36" borderId="11" xfId="0" applyFont="true" applyBorder="true" applyAlignment="true" applyProtection="true">
      <alignment horizontal="general" vertical="bottom" textRotation="0" wrapText="false" indent="0" shrinkToFit="false"/>
      <protection locked="true" hidden="false"/>
    </xf>
    <xf numFmtId="173" fontId="27" fillId="34" borderId="0" xfId="0" applyFont="true" applyBorder="false" applyAlignment="true" applyProtection="true">
      <alignment horizontal="general" vertical="bottom" textRotation="0" wrapText="false" indent="0" shrinkToFit="false"/>
      <protection locked="true" hidden="false"/>
    </xf>
    <xf numFmtId="164" fontId="0" fillId="35" borderId="27" xfId="0" applyFont="true" applyBorder="true" applyAlignment="true" applyProtection="true">
      <alignment horizontal="general" vertical="bottom" textRotation="0" wrapText="false" indent="0" shrinkToFit="false"/>
      <protection locked="true" hidden="false"/>
    </xf>
    <xf numFmtId="173" fontId="27" fillId="36" borderId="27" xfId="0" applyFont="true" applyBorder="true" applyAlignment="true" applyProtection="true">
      <alignment horizontal="general" vertical="bottom" textRotation="0" wrapText="false" indent="0" shrinkToFit="false"/>
      <protection locked="true" hidden="false"/>
    </xf>
    <xf numFmtId="164" fontId="0" fillId="35" borderId="37" xfId="0" applyFont="true" applyBorder="true" applyAlignment="true" applyProtection="true">
      <alignment horizontal="center" vertical="center" textRotation="0" wrapText="true" indent="0" shrinkToFit="false"/>
      <protection locked="true" hidden="false"/>
    </xf>
    <xf numFmtId="164" fontId="0" fillId="35" borderId="11" xfId="0" applyFont="true" applyBorder="true" applyAlignment="true" applyProtection="true">
      <alignment horizontal="left" vertical="center" textRotation="0" wrapText="true" indent="0" shrinkToFit="false"/>
      <protection locked="true" hidden="false"/>
    </xf>
    <xf numFmtId="164" fontId="0" fillId="16" borderId="11" xfId="0" applyFont="true" applyBorder="true" applyAlignment="true" applyProtection="true">
      <alignment horizontal="left" vertical="bottom" textRotation="0" wrapText="false" indent="0" shrinkToFit="false"/>
      <protection locked="true" hidden="false"/>
    </xf>
    <xf numFmtId="164" fontId="0" fillId="36" borderId="20" xfId="0" applyFont="true" applyBorder="true" applyAlignment="true" applyProtection="true">
      <alignment horizontal="center" vertical="center" textRotation="0" wrapText="false" indent="0" shrinkToFit="false"/>
      <protection locked="true" hidden="false"/>
    </xf>
    <xf numFmtId="164" fontId="0" fillId="16" borderId="11" xfId="0" applyFont="true" applyBorder="true" applyAlignment="true" applyProtection="true">
      <alignment horizontal="left" vertical="center" textRotation="0" wrapText="false" indent="0" shrinkToFit="false"/>
      <protection locked="true" hidden="false"/>
    </xf>
    <xf numFmtId="164" fontId="32" fillId="43" borderId="0" xfId="0" applyFont="true" applyBorder="true" applyAlignment="true" applyProtection="true">
      <alignment horizontal="left" vertical="bottom" textRotation="0" wrapText="fals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4" fontId="34" fillId="44" borderId="13" xfId="0" applyFont="true" applyBorder="true" applyAlignment="true" applyProtection="true">
      <alignment horizontal="general" vertical="bottom" textRotation="0" wrapText="false" indent="0" shrinkToFit="false"/>
      <protection locked="true" hidden="false"/>
    </xf>
    <xf numFmtId="164" fontId="35" fillId="44" borderId="12" xfId="0" applyFont="true" applyBorder="true" applyAlignment="true" applyProtection="true">
      <alignment horizontal="general" vertical="bottom" textRotation="0" wrapText="false" indent="0" shrinkToFit="false"/>
      <protection locked="true" hidden="false"/>
    </xf>
    <xf numFmtId="164" fontId="35" fillId="44" borderId="39" xfId="0" applyFont="true" applyBorder="true" applyAlignment="true" applyProtection="true">
      <alignment horizontal="general" vertical="bottom" textRotation="0" wrapText="false" indent="0" shrinkToFit="false"/>
      <protection locked="true" hidden="false"/>
    </xf>
    <xf numFmtId="164" fontId="35" fillId="44" borderId="40" xfId="0" applyFont="true" applyBorder="true" applyAlignment="true" applyProtection="true">
      <alignment horizontal="general" vertical="bottom" textRotation="0" wrapText="false" indent="0" shrinkToFit="false"/>
      <protection locked="true" hidden="false"/>
    </xf>
    <xf numFmtId="164" fontId="27" fillId="39" borderId="41" xfId="0" applyFont="true" applyBorder="true" applyAlignment="true" applyProtection="true">
      <alignment horizontal="center" vertical="center" textRotation="0" wrapText="false" indent="0" shrinkToFit="false"/>
      <protection locked="true" hidden="false"/>
    </xf>
    <xf numFmtId="164" fontId="0" fillId="45" borderId="11" xfId="0" applyFont="true" applyBorder="true" applyAlignment="true" applyProtection="true">
      <alignment horizontal="general" vertical="bottom" textRotation="0" wrapText="false" indent="0" shrinkToFit="false"/>
      <protection locked="true" hidden="false"/>
    </xf>
    <xf numFmtId="164" fontId="0" fillId="46" borderId="11" xfId="0" applyFont="false" applyBorder="true" applyAlignment="true" applyProtection="true">
      <alignment horizontal="general" vertical="bottom" textRotation="0" wrapText="false" indent="0" shrinkToFit="false"/>
      <protection locked="true" hidden="false"/>
    </xf>
    <xf numFmtId="164" fontId="0" fillId="46" borderId="22" xfId="0" applyFont="false" applyBorder="true" applyAlignment="true" applyProtection="true">
      <alignment horizontal="general" vertical="bottom" textRotation="0" wrapText="false" indent="0" shrinkToFit="false"/>
      <protection locked="true" hidden="false"/>
    </xf>
    <xf numFmtId="164" fontId="0" fillId="45" borderId="42" xfId="0" applyFont="true" applyBorder="true" applyAlignment="true" applyProtection="true">
      <alignment horizontal="general" vertical="bottom" textRotation="0" wrapText="false" indent="0" shrinkToFit="false"/>
      <protection locked="true" hidden="false"/>
    </xf>
    <xf numFmtId="170" fontId="17" fillId="46" borderId="42" xfId="0" applyFont="true" applyBorder="true" applyAlignment="true" applyProtection="true">
      <alignment horizontal="general" vertical="bottom" textRotation="0" wrapText="false" indent="0" shrinkToFit="false"/>
      <protection locked="true" hidden="false"/>
    </xf>
    <xf numFmtId="170" fontId="17" fillId="46" borderId="43" xfId="0" applyFont="true" applyBorder="true" applyAlignment="true" applyProtection="true">
      <alignment horizontal="general" vertical="bottom" textRotation="0" wrapText="false" indent="0" shrinkToFit="false"/>
      <protection locked="true" hidden="false"/>
    </xf>
    <xf numFmtId="164" fontId="34" fillId="44" borderId="44" xfId="0" applyFont="true" applyBorder="true" applyAlignment="true" applyProtection="true">
      <alignment horizontal="left" vertical="bottom" textRotation="0" wrapText="false" indent="0" shrinkToFit="false"/>
      <protection locked="true" hidden="false"/>
    </xf>
    <xf numFmtId="164" fontId="0" fillId="39" borderId="11" xfId="0" applyFont="true" applyBorder="true" applyAlignment="true" applyProtection="true">
      <alignment horizontal="center" vertical="bottom" textRotation="0" wrapText="false" indent="0" shrinkToFit="false"/>
      <protection locked="true" hidden="false"/>
    </xf>
    <xf numFmtId="164" fontId="0" fillId="39" borderId="11" xfId="0" applyFont="true" applyBorder="true" applyAlignment="true" applyProtection="true">
      <alignment horizontal="general" vertical="bottom" textRotation="0" wrapText="false" indent="0" shrinkToFit="false"/>
      <protection locked="true" hidden="false"/>
    </xf>
    <xf numFmtId="164" fontId="0" fillId="47" borderId="0" xfId="0" applyFont="false" applyBorder="false" applyAlignment="true" applyProtection="true">
      <alignment horizontal="general" vertical="bottom" textRotation="0" wrapText="false" indent="0" shrinkToFit="false"/>
      <protection locked="true" hidden="false"/>
    </xf>
    <xf numFmtId="164" fontId="0" fillId="47" borderId="34" xfId="0" applyFont="false" applyBorder="true" applyAlignment="true" applyProtection="true">
      <alignment horizontal="general" vertical="bottom" textRotation="0" wrapText="false" indent="0" shrinkToFit="false"/>
      <protection locked="true" hidden="false"/>
    </xf>
    <xf numFmtId="164" fontId="27" fillId="39" borderId="45" xfId="0" applyFont="true" applyBorder="true" applyAlignment="true" applyProtection="true">
      <alignment horizontal="center" vertical="center" textRotation="0" wrapText="false" indent="0" shrinkToFit="false"/>
      <protection locked="true" hidden="false"/>
    </xf>
    <xf numFmtId="164" fontId="0" fillId="45" borderId="35" xfId="0" applyFont="true" applyBorder="true" applyAlignment="true" applyProtection="true">
      <alignment horizontal="general" vertical="bottom" textRotation="0" wrapText="false" indent="0" shrinkToFit="false"/>
      <protection locked="true" hidden="false"/>
    </xf>
    <xf numFmtId="164" fontId="0" fillId="46" borderId="29" xfId="0" applyFont="false" applyBorder="true" applyAlignment="true" applyProtection="true">
      <alignment horizontal="general" vertical="bottom" textRotation="0" wrapText="false" indent="0" shrinkToFit="false"/>
      <protection locked="true" hidden="false"/>
    </xf>
    <xf numFmtId="164" fontId="0" fillId="45" borderId="46" xfId="0" applyFont="true" applyBorder="true" applyAlignment="true" applyProtection="true">
      <alignment horizontal="general" vertical="bottom" textRotation="0" wrapText="false" indent="0" shrinkToFit="false"/>
      <protection locked="true" hidden="false"/>
    </xf>
    <xf numFmtId="170" fontId="0" fillId="46" borderId="42" xfId="0" applyFont="false" applyBorder="true" applyAlignment="true" applyProtection="true">
      <alignment horizontal="general" vertical="bottom" textRotation="0" wrapText="false" indent="0" shrinkToFit="false"/>
      <protection locked="true" hidden="false"/>
    </xf>
    <xf numFmtId="170" fontId="0" fillId="46" borderId="42" xfId="0" applyFont="false" applyBorder="true" applyAlignment="true" applyProtection="true">
      <alignment horizontal="general" vertical="bottom" textRotation="0" wrapText="true" indent="0" shrinkToFit="false"/>
      <protection locked="true" hidden="false"/>
    </xf>
    <xf numFmtId="164" fontId="34" fillId="44" borderId="47" xfId="0" applyFont="true" applyBorder="true" applyAlignment="true" applyProtection="true">
      <alignment horizontal="left" vertical="bottom" textRotation="0" wrapText="false" indent="0" shrinkToFit="false"/>
      <protection locked="true" hidden="false"/>
    </xf>
    <xf numFmtId="164" fontId="27" fillId="39" borderId="31" xfId="0" applyFont="true" applyBorder="true" applyAlignment="true" applyProtection="true">
      <alignment horizontal="general" vertical="bottom" textRotation="0" wrapText="false" indent="0" shrinkToFit="false"/>
      <protection locked="true" hidden="false"/>
    </xf>
    <xf numFmtId="164" fontId="23" fillId="46" borderId="11" xfId="0" applyFont="true" applyBorder="true" applyAlignment="true" applyProtection="true">
      <alignment horizontal="general" vertical="bottom" textRotation="0" wrapText="false" indent="0" shrinkToFit="false"/>
      <protection locked="true" hidden="false"/>
    </xf>
    <xf numFmtId="164" fontId="23" fillId="46" borderId="22" xfId="0" applyFont="true" applyBorder="true" applyAlignment="true" applyProtection="true">
      <alignment horizontal="general" vertical="bottom" textRotation="0" wrapText="false" indent="0" shrinkToFit="false"/>
      <protection locked="true" hidden="false"/>
    </xf>
    <xf numFmtId="164" fontId="27" fillId="46" borderId="22" xfId="0" applyFont="true" applyBorder="true" applyAlignment="true" applyProtection="true">
      <alignment horizontal="general" vertical="bottom" textRotation="0" wrapText="false" indent="0" shrinkToFit="false"/>
      <protection locked="true" hidden="false"/>
    </xf>
    <xf numFmtId="164" fontId="0" fillId="46" borderId="27" xfId="0" applyFont="false" applyBorder="true" applyAlignment="true" applyProtection="true">
      <alignment horizontal="general" vertical="bottom" textRotation="0" wrapText="false" indent="0" shrinkToFit="false"/>
      <protection locked="true" hidden="false"/>
    </xf>
    <xf numFmtId="164" fontId="27" fillId="46" borderId="48" xfId="0" applyFont="true" applyBorder="true" applyAlignment="true" applyProtection="true">
      <alignment horizontal="general" vertical="bottom" textRotation="0" wrapText="false" indent="0" shrinkToFit="false"/>
      <protection locked="true" hidden="false"/>
    </xf>
    <xf numFmtId="164" fontId="27" fillId="39" borderId="26" xfId="0" applyFont="true" applyBorder="true" applyAlignment="true" applyProtection="true">
      <alignment horizontal="general" vertical="bottom" textRotation="0" wrapText="false" indent="0" shrinkToFit="false"/>
      <protection locked="true" hidden="false"/>
    </xf>
    <xf numFmtId="164" fontId="0" fillId="45" borderId="27" xfId="0" applyFont="true" applyBorder="true" applyAlignment="true" applyProtection="true">
      <alignment horizontal="general" vertical="bottom" textRotation="0" wrapText="false" indent="0" shrinkToFit="false"/>
      <protection locked="true" hidden="false"/>
    </xf>
    <xf numFmtId="164" fontId="0" fillId="0" borderId="49" xfId="0" applyFont="false" applyBorder="tru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right" vertical="bottom" textRotation="0" wrapText="true" indent="0" shrinkToFit="false"/>
      <protection locked="true" hidden="false"/>
    </xf>
    <xf numFmtId="164" fontId="37" fillId="48" borderId="50" xfId="0" applyFont="true" applyBorder="true" applyAlignment="true" applyProtection="true">
      <alignment horizontal="left" vertical="bottom" textRotation="0" wrapText="false" indent="0" shrinkToFit="false"/>
      <protection locked="true" hidden="false"/>
    </xf>
    <xf numFmtId="170" fontId="0" fillId="46" borderId="22" xfId="0" applyFont="false" applyBorder="true" applyAlignment="true" applyProtection="true">
      <alignment horizontal="general" vertical="bottom" textRotation="0" wrapText="false" indent="0" shrinkToFit="false"/>
      <protection locked="true" hidden="false"/>
    </xf>
    <xf numFmtId="170" fontId="27" fillId="46" borderId="22" xfId="19" applyFont="true" applyBorder="true" applyAlignment="true" applyProtection="true">
      <alignment horizontal="general" vertical="bottom" textRotation="0" wrapText="false" indent="0" shrinkToFit="false"/>
      <protection locked="true" hidden="false"/>
    </xf>
    <xf numFmtId="164" fontId="0" fillId="46" borderId="48" xfId="0" applyFont="false" applyBorder="true" applyAlignment="true" applyProtection="true">
      <alignment horizontal="general" vertical="bottom" textRotation="0" wrapText="false" indent="0" shrinkToFit="false"/>
      <protection locked="true" hidden="false"/>
    </xf>
    <xf numFmtId="164" fontId="27" fillId="39" borderId="51" xfId="0" applyFont="true" applyBorder="true" applyAlignment="true" applyProtection="true">
      <alignment horizontal="general" vertical="bottom" textRotation="0" wrapText="false" indent="0" shrinkToFit="false"/>
      <protection locked="true" hidden="false"/>
    </xf>
    <xf numFmtId="164" fontId="0" fillId="45" borderId="52" xfId="0" applyFont="true" applyBorder="true" applyAlignment="true" applyProtection="true">
      <alignment horizontal="general" vertical="bottom" textRotation="0" wrapText="false" indent="0" shrinkToFit="false"/>
      <protection locked="true" hidden="false"/>
    </xf>
    <xf numFmtId="170" fontId="0" fillId="46" borderId="53" xfId="0" applyFont="false" applyBorder="true" applyAlignment="true" applyProtection="true">
      <alignment horizontal="general" vertical="bottom" textRotation="0" wrapText="false" indent="0" shrinkToFit="false"/>
      <protection locked="true" hidden="false"/>
    </xf>
    <xf numFmtId="170" fontId="0" fillId="46" borderId="52" xfId="0" applyFont="false" applyBorder="true" applyAlignment="true" applyProtection="true">
      <alignment horizontal="general" vertical="bottom" textRotation="0" wrapText="false" indent="0" shrinkToFit="false"/>
      <protection locked="true" hidden="false"/>
    </xf>
    <xf numFmtId="170" fontId="0" fillId="46" borderId="11" xfId="0" applyFont="false" applyBorder="true" applyAlignment="true" applyProtection="true">
      <alignment horizontal="general" vertical="bottom" textRotation="0" wrapText="false" indent="0" shrinkToFit="false"/>
      <protection locked="true" hidden="false"/>
    </xf>
    <xf numFmtId="164" fontId="27" fillId="39" borderId="54" xfId="0" applyFont="true" applyBorder="true" applyAlignment="true" applyProtection="true">
      <alignment horizontal="general" vertical="bottom" textRotation="0" wrapText="false" indent="0" shrinkToFit="false"/>
      <protection locked="true" hidden="false"/>
    </xf>
    <xf numFmtId="164" fontId="0" fillId="46" borderId="43" xfId="0" applyFont="false" applyBorder="true" applyAlignment="true" applyProtection="true">
      <alignment horizontal="general" vertical="bottom" textRotation="0" wrapText="false" indent="0" shrinkToFit="false"/>
      <protection locked="true" hidden="false"/>
    </xf>
    <xf numFmtId="164" fontId="0" fillId="46" borderId="42" xfId="0" applyFont="false" applyBorder="true" applyAlignment="true" applyProtection="true">
      <alignment horizontal="general" vertical="bottom" textRotation="0" wrapText="false" indent="0" shrinkToFit="false"/>
      <protection locked="true" hidden="false"/>
    </xf>
    <xf numFmtId="164" fontId="37" fillId="48" borderId="55" xfId="0" applyFont="true" applyBorder="true" applyAlignment="true" applyProtection="true">
      <alignment horizontal="left" vertical="bottom" textRotation="0" wrapText="false" indent="0" shrinkToFit="false"/>
      <protection locked="true" hidden="false"/>
    </xf>
    <xf numFmtId="167" fontId="27" fillId="46" borderId="22" xfId="19" applyFont="true" applyBorder="true" applyAlignment="true" applyProtection="true">
      <alignment horizontal="general" vertical="bottom" textRotation="0" wrapText="false" indent="0" shrinkToFit="false"/>
      <protection locked="true" hidden="false"/>
    </xf>
    <xf numFmtId="167" fontId="27" fillId="46" borderId="56" xfId="0" applyFont="true" applyBorder="true" applyAlignment="true" applyProtection="true">
      <alignment horizontal="general" vertical="bottom" textRotation="0" wrapText="false" indent="0" shrinkToFit="false"/>
      <protection locked="tru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0" fillId="0" borderId="58" xfId="0" applyFont="false" applyBorder="true" applyAlignment="true" applyProtection="true">
      <alignment horizontal="general" vertical="bottom" textRotation="0" wrapText="false" indent="0" shrinkToFit="false"/>
      <protection locked="true" hidden="false"/>
    </xf>
    <xf numFmtId="164" fontId="34" fillId="44" borderId="55" xfId="0" applyFont="true" applyBorder="true" applyAlignment="true" applyProtection="true">
      <alignment horizontal="left" vertical="bottom" textRotation="0" wrapText="false" indent="0" shrinkToFit="false"/>
      <protection locked="true" hidden="false"/>
    </xf>
    <xf numFmtId="170" fontId="27" fillId="46" borderId="43" xfId="19" applyFont="true" applyBorder="true" applyAlignment="true" applyProtection="true">
      <alignment horizontal="general" vertical="bottom" textRotation="0" wrapText="false" indent="0" shrinkToFit="false"/>
      <protection locked="true" hidden="false"/>
    </xf>
    <xf numFmtId="164" fontId="34" fillId="44" borderId="59" xfId="0" applyFont="true" applyBorder="true" applyAlignment="true" applyProtection="true">
      <alignment horizontal="left" vertical="bottom" textRotation="0" wrapText="false" indent="0" shrinkToFit="false"/>
      <protection locked="true" hidden="false"/>
    </xf>
    <xf numFmtId="164" fontId="27" fillId="39" borderId="49" xfId="0" applyFont="true" applyBorder="true" applyAlignment="true" applyProtection="true">
      <alignment horizontal="general" vertical="bottom" textRotation="0" wrapText="false" indent="0" shrinkToFit="false"/>
      <protection locked="true" hidden="false"/>
    </xf>
    <xf numFmtId="167" fontId="27" fillId="46" borderId="60" xfId="0" applyFont="true" applyBorder="true" applyAlignment="true" applyProtection="true">
      <alignment horizontal="general" vertical="bottom" textRotation="0" wrapText="false" indent="0" shrinkToFit="false"/>
      <protection locked="true" hidden="false"/>
    </xf>
    <xf numFmtId="167" fontId="27" fillId="46" borderId="61" xfId="0" applyFont="true" applyBorder="true" applyAlignment="true" applyProtection="true">
      <alignment horizontal="general" vertical="bottom" textRotation="0" wrapText="false" indent="0" shrinkToFit="false"/>
      <protection locked="true" hidden="false"/>
    </xf>
    <xf numFmtId="164" fontId="27" fillId="39" borderId="62" xfId="0" applyFont="true" applyBorder="true" applyAlignment="true" applyProtection="true">
      <alignment horizontal="general" vertical="bottom" textRotation="0" wrapText="false" indent="0" shrinkToFit="false"/>
      <protection locked="true" hidden="false"/>
    </xf>
    <xf numFmtId="164" fontId="0" fillId="39" borderId="31" xfId="0" applyFont="true" applyBorder="true" applyAlignment="true" applyProtection="true">
      <alignment horizontal="center" vertical="center" textRotation="0" wrapText="false" indent="0" shrinkToFit="false"/>
      <protection locked="true" hidden="false"/>
    </xf>
    <xf numFmtId="164" fontId="0" fillId="48" borderId="22" xfId="0" applyFont="false" applyBorder="true" applyAlignment="true" applyProtection="true">
      <alignment horizontal="right" vertical="bottom" textRotation="0" wrapText="false" indent="0" shrinkToFit="false"/>
      <protection locked="true" hidden="false"/>
    </xf>
    <xf numFmtId="169" fontId="0" fillId="36" borderId="48" xfId="19" applyFont="true" applyBorder="true" applyAlignment="true" applyProtection="true">
      <alignment horizontal="right" vertical="center" textRotation="0" wrapText="false" indent="0" shrinkToFit="false"/>
      <protection locked="true" hidden="false"/>
    </xf>
    <xf numFmtId="167" fontId="0" fillId="48" borderId="22" xfId="0" applyFont="false" applyBorder="true" applyAlignment="true" applyProtection="true">
      <alignment horizontal="right" vertical="bottom" textRotation="0" wrapText="false" indent="0" shrinkToFit="false"/>
      <protection locked="true" hidden="false"/>
    </xf>
    <xf numFmtId="164" fontId="0" fillId="45" borderId="11" xfId="0" applyFont="true" applyBorder="true" applyAlignment="true" applyProtection="true">
      <alignment horizontal="left" vertical="bottom" textRotation="0" wrapText="false" indent="0" shrinkToFit="false"/>
      <protection locked="true" hidden="false"/>
    </xf>
    <xf numFmtId="164" fontId="0" fillId="45" borderId="11" xfId="0" applyFont="true" applyBorder="true" applyAlignment="true" applyProtection="true">
      <alignment horizontal="left" vertical="bottom" textRotation="0" wrapText="true" indent="0" shrinkToFit="false"/>
      <protection locked="true" hidden="false"/>
    </xf>
    <xf numFmtId="164" fontId="0" fillId="39" borderId="54" xfId="0" applyFont="true" applyBorder="true" applyAlignment="true" applyProtection="true">
      <alignment horizontal="center" vertical="center" textRotation="0" wrapText="false" indent="0" shrinkToFit="false"/>
      <protection locked="true" hidden="false"/>
    </xf>
    <xf numFmtId="164" fontId="0" fillId="45" borderId="42" xfId="0" applyFont="true" applyBorder="true" applyAlignment="true" applyProtection="true">
      <alignment horizontal="left" vertical="bottom" textRotation="0" wrapText="true" indent="0" shrinkToFit="false"/>
      <protection locked="true" hidden="false"/>
    </xf>
    <xf numFmtId="167" fontId="0" fillId="48" borderId="43" xfId="0" applyFont="false" applyBorder="true" applyAlignment="true" applyProtection="true">
      <alignment horizontal="right" vertical="bottom" textRotation="0" wrapText="false" indent="0" shrinkToFit="false"/>
      <protection locked="true" hidden="false"/>
    </xf>
    <xf numFmtId="164" fontId="0" fillId="22" borderId="63" xfId="0" applyFont="false" applyBorder="true" applyAlignment="true" applyProtection="true">
      <alignment horizontal="general" vertical="bottom" textRotation="0" wrapText="false" indent="0" shrinkToFit="false"/>
      <protection locked="true" hidden="false"/>
    </xf>
    <xf numFmtId="164" fontId="0" fillId="22" borderId="0" xfId="0" applyFont="false" applyBorder="false" applyAlignment="true" applyProtection="true">
      <alignment horizontal="general" vertical="bottom" textRotation="0" wrapText="false" indent="0" shrinkToFit="false"/>
      <protection locked="true" hidden="false"/>
    </xf>
    <xf numFmtId="164" fontId="0" fillId="22" borderId="34" xfId="0" applyFont="false" applyBorder="true" applyAlignment="true" applyProtection="true">
      <alignment horizontal="general" vertical="bottom" textRotation="0" wrapText="false" indent="0" shrinkToFit="false"/>
      <protection locked="true" hidden="false"/>
    </xf>
    <xf numFmtId="164" fontId="0" fillId="39" borderId="51" xfId="0" applyFont="true" applyBorder="true" applyAlignment="true" applyProtection="true">
      <alignment horizontal="center" vertical="center" textRotation="0" wrapText="false" indent="0" shrinkToFit="false"/>
      <protection locked="true" hidden="false"/>
    </xf>
    <xf numFmtId="167" fontId="0" fillId="45" borderId="52" xfId="19" applyFont="true" applyBorder="true" applyAlignment="true" applyProtection="true">
      <alignment horizontal="left" vertical="center" textRotation="0" wrapText="false" indent="0" shrinkToFit="false"/>
      <protection locked="true" hidden="false"/>
    </xf>
    <xf numFmtId="164" fontId="0" fillId="48" borderId="53" xfId="0" applyFont="false" applyBorder="true" applyAlignment="true" applyProtection="true">
      <alignment horizontal="right" vertical="bottom" textRotation="0" wrapText="false" indent="0" shrinkToFit="false"/>
      <protection locked="true" hidden="false"/>
    </xf>
    <xf numFmtId="167" fontId="0" fillId="45" borderId="11" xfId="19" applyFont="true" applyBorder="true" applyAlignment="true" applyProtection="true">
      <alignment horizontal="left" vertical="center" textRotation="0" wrapText="false" indent="0" shrinkToFit="false"/>
      <protection locked="true" hidden="false"/>
    </xf>
    <xf numFmtId="167" fontId="0" fillId="45" borderId="42" xfId="19" applyFont="true" applyBorder="true" applyAlignment="true" applyProtection="true">
      <alignment horizontal="left" vertical="center"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0" shrinkToFit="false"/>
      <protection locked="true" hidden="false"/>
    </xf>
    <xf numFmtId="164" fontId="27" fillId="39" borderId="45" xfId="0" applyFont="true" applyBorder="true" applyAlignment="true" applyProtection="true">
      <alignment horizontal="general" vertical="bottom" textRotation="0" wrapText="false" indent="0" shrinkToFit="false"/>
      <protection locked="true" hidden="false"/>
    </xf>
    <xf numFmtId="164" fontId="0" fillId="45" borderId="60" xfId="0" applyFont="true" applyBorder="true" applyAlignment="true" applyProtection="true">
      <alignment horizontal="general" vertical="bottom" textRotation="0" wrapText="false" indent="0" shrinkToFit="false"/>
      <protection locked="true" hidden="false"/>
    </xf>
    <xf numFmtId="164" fontId="0" fillId="48" borderId="56" xfId="0" applyFont="false" applyBorder="true" applyAlignment="true" applyProtection="true">
      <alignment horizontal="general" vertical="bottom" textRotation="0" wrapText="false" indent="0" shrinkToFit="false"/>
      <protection locked="true" hidden="false"/>
    </xf>
    <xf numFmtId="164" fontId="0" fillId="22" borderId="13" xfId="0" applyFont="false" applyBorder="true" applyAlignment="true" applyProtection="true">
      <alignment horizontal="general" vertical="bottom" textRotation="0" wrapText="false" indent="0" shrinkToFit="false"/>
      <protection locked="true" hidden="false"/>
    </xf>
    <xf numFmtId="164" fontId="0" fillId="22" borderId="14" xfId="0" applyFont="false" applyBorder="true" applyAlignment="true" applyProtection="true">
      <alignment horizontal="center" vertical="bottom" textRotation="0" wrapText="false" indent="0" shrinkToFit="false"/>
      <protection locked="true" hidden="false"/>
    </xf>
    <xf numFmtId="164" fontId="27" fillId="39" borderId="64" xfId="0" applyFont="true" applyBorder="true" applyAlignment="true" applyProtection="true">
      <alignment horizontal="general" vertical="bottom" textRotation="0" wrapText="false" indent="0" shrinkToFit="false"/>
      <protection locked="true" hidden="false"/>
    </xf>
    <xf numFmtId="164" fontId="0" fillId="48" borderId="43" xfId="0" applyFont="false" applyBorder="true" applyAlignment="true" applyProtection="true">
      <alignment horizontal="right" vertical="bottom" textRotation="0" wrapText="false" indent="0" shrinkToFit="false"/>
      <protection locked="true" hidden="false"/>
    </xf>
    <xf numFmtId="164" fontId="34" fillId="44" borderId="59" xfId="0" applyFont="true" applyBorder="true" applyAlignment="true" applyProtection="true">
      <alignment horizontal="general" vertical="bottom" textRotation="0" wrapText="false" indent="0" shrinkToFit="false"/>
      <protection locked="true" hidden="false"/>
    </xf>
    <xf numFmtId="164" fontId="34" fillId="44" borderId="39" xfId="0" applyFont="true" applyBorder="true" applyAlignment="true" applyProtection="true">
      <alignment horizontal="general" vertical="bottom" textRotation="0" wrapText="false" indent="0" shrinkToFit="false"/>
      <protection locked="true" hidden="false"/>
    </xf>
    <xf numFmtId="164" fontId="34" fillId="44" borderId="40" xfId="0" applyFont="true" applyBorder="true" applyAlignment="true" applyProtection="true">
      <alignment horizontal="general" vertical="bottom" textRotation="0" wrapText="false" indent="0" shrinkToFit="false"/>
      <protection locked="true" hidden="false"/>
    </xf>
    <xf numFmtId="164" fontId="27" fillId="39" borderId="54" xfId="0" applyFont="true" applyBorder="true" applyAlignment="true" applyProtection="true">
      <alignment horizontal="center" vertical="center" textRotation="0" wrapText="false" indent="0" shrinkToFit="false"/>
      <protection locked="true" hidden="false"/>
    </xf>
    <xf numFmtId="164" fontId="0" fillId="45" borderId="21" xfId="0" applyFont="true" applyBorder="true" applyAlignment="true" applyProtection="true">
      <alignment horizontal="general" vertical="bottom" textRotation="0" wrapText="false" indent="0" shrinkToFit="false"/>
      <protection locked="true" hidden="false"/>
    </xf>
    <xf numFmtId="164" fontId="0" fillId="48" borderId="43" xfId="0" applyFont="false" applyBorder="true" applyAlignment="true" applyProtection="true">
      <alignment horizontal="center" vertical="center" textRotation="0" wrapText="false" indent="0" shrinkToFit="false"/>
      <protection locked="true" hidden="false"/>
    </xf>
    <xf numFmtId="164" fontId="27" fillId="45" borderId="20" xfId="0" applyFont="true" applyBorder="true" applyAlignment="true" applyProtection="true">
      <alignment horizontal="general" vertical="bottom" textRotation="0" wrapText="false" indent="0" shrinkToFit="false"/>
      <protection locked="true" hidden="false"/>
    </xf>
    <xf numFmtId="164" fontId="0" fillId="0" borderId="34" xfId="0" applyFont="false" applyBorder="true" applyAlignment="true" applyProtection="true">
      <alignment horizontal="general" vertical="bottom" textRotation="0" wrapText="false" indent="0" shrinkToFit="false"/>
      <protection locked="true" hidden="false"/>
    </xf>
    <xf numFmtId="164" fontId="0" fillId="45" borderId="65" xfId="0" applyFont="true" applyBorder="true" applyAlignment="true" applyProtection="true">
      <alignment horizontal="general" vertical="bottom" textRotation="0" wrapText="false" indent="0" shrinkToFit="false"/>
      <protection locked="true" hidden="false"/>
    </xf>
    <xf numFmtId="164" fontId="27" fillId="39" borderId="11" xfId="0" applyFont="true" applyBorder="true" applyAlignment="true" applyProtection="true">
      <alignment horizontal="general" vertical="bottom" textRotation="0" wrapText="false" indent="0" shrinkToFit="false"/>
      <protection locked="true" hidden="false"/>
    </xf>
    <xf numFmtId="164" fontId="0" fillId="48" borderId="11" xfId="0" applyFont="false" applyBorder="true" applyAlignment="true" applyProtection="true">
      <alignment horizontal="right" vertical="bottom" textRotation="0" wrapText="false" indent="0" shrinkToFit="false"/>
      <protection locked="true" hidden="false"/>
    </xf>
    <xf numFmtId="164" fontId="27" fillId="39" borderId="31" xfId="0" applyFont="true" applyBorder="true" applyAlignment="true" applyProtection="true">
      <alignment horizontal="left" vertical="center" textRotation="0" wrapText="false" indent="0" shrinkToFit="false"/>
      <protection locked="true" hidden="false"/>
    </xf>
    <xf numFmtId="174" fontId="0" fillId="46" borderId="11" xfId="0" applyFont="false" applyBorder="true" applyAlignment="true" applyProtection="true">
      <alignment horizontal="general" vertical="bottom" textRotation="0" wrapText="false" indent="0" shrinkToFit="false"/>
      <protection locked="true" hidden="false"/>
    </xf>
    <xf numFmtId="174" fontId="0" fillId="46" borderId="22" xfId="0" applyFont="false" applyBorder="true" applyAlignment="true" applyProtection="true">
      <alignment horizontal="general" vertical="bottom" textRotation="0" wrapText="false" indent="0" shrinkToFit="false"/>
      <protection locked="true" hidden="false"/>
    </xf>
    <xf numFmtId="164" fontId="27" fillId="47" borderId="42" xfId="0" applyFont="true" applyBorder="true" applyAlignment="true" applyProtection="true">
      <alignment horizontal="center" vertical="bottom" textRotation="0" wrapText="false" indent="0" shrinkToFit="false"/>
      <protection locked="true" hidden="false"/>
    </xf>
    <xf numFmtId="164" fontId="38" fillId="33" borderId="11" xfId="0" applyFont="true" applyBorder="true" applyAlignment="true" applyProtection="true">
      <alignment horizontal="general" vertical="bottom" textRotation="0" wrapText="false" indent="0" shrinkToFit="false"/>
      <protection locked="true" hidden="false"/>
    </xf>
    <xf numFmtId="174" fontId="38" fillId="33" borderId="11" xfId="0" applyFont="true" applyBorder="true" applyAlignment="true" applyProtection="true">
      <alignment horizontal="general" vertical="bottom" textRotation="0" wrapText="false" indent="0" shrinkToFit="false"/>
      <protection locked="true" hidden="false"/>
    </xf>
    <xf numFmtId="164" fontId="38" fillId="33" borderId="42" xfId="0" applyFont="true" applyBorder="true" applyAlignment="true" applyProtection="true">
      <alignment horizontal="general" vertical="bottom" textRotation="0" wrapText="false" indent="0" shrinkToFit="false"/>
      <protection locked="true" hidden="false"/>
    </xf>
    <xf numFmtId="174" fontId="38" fillId="33" borderId="42" xfId="0" applyFont="true" applyBorder="true" applyAlignment="true" applyProtection="true">
      <alignment horizontal="general" vertical="bottom" textRotation="0" wrapText="false" indent="0" shrinkToFit="false"/>
      <protection locked="true" hidden="false"/>
    </xf>
    <xf numFmtId="164" fontId="27" fillId="39" borderId="54" xfId="0" applyFont="true" applyBorder="true" applyAlignment="true" applyProtection="true">
      <alignment horizontal="left" vertical="center" textRotation="0" wrapText="false" indent="0" shrinkToFit="false"/>
      <protection locked="true" hidden="false"/>
    </xf>
    <xf numFmtId="174" fontId="0" fillId="46" borderId="42" xfId="0" applyFont="false" applyBorder="true" applyAlignment="true" applyProtection="true">
      <alignment horizontal="general" vertical="bottom" textRotation="0" wrapText="false" indent="0" shrinkToFit="false"/>
      <protection locked="true" hidden="false"/>
    </xf>
    <xf numFmtId="174" fontId="0" fillId="46" borderId="43" xfId="0" applyFont="false" applyBorder="true" applyAlignment="true" applyProtection="true">
      <alignment horizontal="general" vertical="bottom" textRotation="0" wrapText="false" indent="0" shrinkToFit="false"/>
      <protection locked="true" hidden="false"/>
    </xf>
    <xf numFmtId="164" fontId="0" fillId="49" borderId="0" xfId="0" applyFont="false" applyBorder="false" applyAlignment="true" applyProtection="true">
      <alignment horizontal="center" vertical="center" textRotation="0" wrapText="false" indent="0" shrinkToFit="false"/>
      <protection locked="true" hidden="false"/>
    </xf>
    <xf numFmtId="164" fontId="0" fillId="49" borderId="0" xfId="0" applyFont="false" applyBorder="false" applyAlignment="true" applyProtection="true">
      <alignment horizontal="general" vertical="bottom" textRotation="0" wrapText="false" indent="0" shrinkToFit="false"/>
      <protection locked="true" hidden="false"/>
    </xf>
    <xf numFmtId="164" fontId="0" fillId="39" borderId="61" xfId="0" applyFont="true" applyBorder="true" applyAlignment="true" applyProtection="true">
      <alignment horizontal="left" vertical="bottom" textRotation="0" wrapText="true" indent="0" shrinkToFit="false"/>
      <protection locked="true" hidden="false"/>
    </xf>
    <xf numFmtId="164" fontId="27" fillId="39" borderId="66" xfId="0" applyFont="true" applyBorder="true" applyAlignment="true" applyProtection="true">
      <alignment horizontal="center" vertical="center" textRotation="0" wrapText="false" indent="0" shrinkToFit="false"/>
      <protection locked="true" hidden="false"/>
    </xf>
    <xf numFmtId="164" fontId="0" fillId="46" borderId="67" xfId="0" applyFont="false" applyBorder="true" applyAlignment="true" applyProtection="true">
      <alignment horizontal="center" vertical="center" textRotation="0" wrapText="tru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75" fontId="0" fillId="46" borderId="22" xfId="0" applyFont="false" applyBorder="true" applyAlignment="true" applyProtection="true">
      <alignment horizontal="general" vertical="bottom" textRotation="0" wrapText="false" indent="0" shrinkToFit="false"/>
      <protection locked="true" hidden="false"/>
    </xf>
    <xf numFmtId="164" fontId="34" fillId="44" borderId="51" xfId="0" applyFont="true" applyBorder="true" applyAlignment="true" applyProtection="true">
      <alignment horizontal="left" vertical="bottom" textRotation="0" wrapText="false" indent="0" shrinkToFit="false"/>
      <protection locked="true" hidden="false"/>
    </xf>
    <xf numFmtId="164" fontId="34" fillId="44" borderId="51" xfId="0" applyFont="true" applyBorder="true" applyAlignment="true" applyProtection="true">
      <alignment horizontal="general" vertical="bottom" textRotation="0" wrapText="false" indent="0" shrinkToFit="false"/>
      <protection locked="true" hidden="false"/>
    </xf>
    <xf numFmtId="164" fontId="34" fillId="44" borderId="68" xfId="0" applyFont="true" applyBorder="true" applyAlignment="true" applyProtection="true">
      <alignment horizontal="general" vertical="bottom" textRotation="0" wrapText="false" indent="0" shrinkToFit="false"/>
      <protection locked="true" hidden="false"/>
    </xf>
    <xf numFmtId="164" fontId="34" fillId="44" borderId="52" xfId="0" applyFont="true" applyBorder="true" applyAlignment="true" applyProtection="true">
      <alignment horizontal="general" vertical="bottom" textRotation="0" wrapText="false" indent="0" shrinkToFit="false"/>
      <protection locked="true" hidden="false"/>
    </xf>
    <xf numFmtId="164" fontId="34" fillId="44" borderId="52" xfId="0" applyFont="true" applyBorder="true" applyAlignment="true" applyProtection="true">
      <alignment horizontal="left" vertical="bottom" textRotation="0" wrapText="false" indent="0" shrinkToFit="false"/>
      <protection locked="true" hidden="false"/>
    </xf>
    <xf numFmtId="164" fontId="0" fillId="45" borderId="11" xfId="0" applyFont="true" applyBorder="true" applyAlignment="true" applyProtection="true">
      <alignment horizontal="center" vertical="bottom" textRotation="0" wrapText="false" indent="0" shrinkToFit="false"/>
      <protection locked="true" hidden="false"/>
    </xf>
    <xf numFmtId="164" fontId="16" fillId="46" borderId="11" xfId="0" applyFont="true" applyBorder="true" applyAlignment="true" applyProtection="true">
      <alignment horizontal="general" vertical="bottom" textRotation="0" wrapText="false" indent="0" shrinkToFit="false"/>
      <protection locked="true" hidden="false"/>
    </xf>
    <xf numFmtId="164" fontId="16" fillId="46" borderId="22" xfId="0" applyFont="true" applyBorder="true" applyAlignment="true" applyProtection="true">
      <alignment horizontal="general" vertical="bottom" textRotation="0" wrapText="false" indent="0" shrinkToFit="false"/>
      <protection locked="true" hidden="false"/>
    </xf>
    <xf numFmtId="164" fontId="34" fillId="44" borderId="40" xfId="0" applyFont="true" applyBorder="true" applyAlignment="true" applyProtection="true">
      <alignment horizontal="left" vertical="bottom" textRotation="0" wrapText="false" indent="0" shrinkToFit="false"/>
      <protection locked="true" hidden="false"/>
    </xf>
    <xf numFmtId="164" fontId="16" fillId="46" borderId="42" xfId="0" applyFont="true" applyBorder="true" applyAlignment="true" applyProtection="true">
      <alignment horizontal="general" vertical="bottom" textRotation="0" wrapText="false" indent="0" shrinkToFit="false"/>
      <protection locked="true" hidden="false"/>
    </xf>
    <xf numFmtId="164" fontId="16" fillId="46" borderId="43" xfId="0" applyFont="true" applyBorder="true" applyAlignment="true" applyProtection="true">
      <alignment horizontal="general" vertical="bottom" textRotation="0" wrapText="false" indent="0" shrinkToFit="false"/>
      <protection locked="true" hidden="false"/>
    </xf>
    <xf numFmtId="164" fontId="0" fillId="46" borderId="22" xfId="0" applyFont="false" applyBorder="true" applyAlignment="true" applyProtection="true">
      <alignment horizontal="right" vertical="center" textRotation="0" wrapText="false" indent="0" shrinkToFit="false"/>
      <protection locked="true" hidden="false"/>
    </xf>
    <xf numFmtId="164" fontId="0" fillId="39" borderId="31" xfId="0" applyFont="true" applyBorder="true" applyAlignment="true" applyProtection="true">
      <alignment horizontal="center" vertical="bottom" textRotation="0" wrapText="false" indent="0" shrinkToFit="false"/>
      <protection locked="true" hidden="false"/>
    </xf>
    <xf numFmtId="164" fontId="0" fillId="39" borderId="26" xfId="0" applyFont="true" applyBorder="true" applyAlignment="true" applyProtection="true">
      <alignment horizontal="center" vertical="bottom" textRotation="0" wrapText="false" indent="0" shrinkToFit="false"/>
      <protection locked="true" hidden="false"/>
    </xf>
    <xf numFmtId="164" fontId="0" fillId="45" borderId="27" xfId="0" applyFont="true" applyBorder="true" applyAlignment="true" applyProtection="true">
      <alignment horizontal="left" vertical="bottom" textRotation="0" wrapText="false" indent="0" shrinkToFit="false"/>
      <protection locked="true" hidden="false"/>
    </xf>
    <xf numFmtId="164" fontId="40" fillId="47" borderId="31" xfId="0" applyFont="true" applyBorder="true" applyAlignment="true" applyProtection="true">
      <alignment horizontal="center" vertical="center" textRotation="0" wrapText="false" indent="0" shrinkToFit="false"/>
      <protection locked="true" hidden="false"/>
    </xf>
    <xf numFmtId="164" fontId="0" fillId="47" borderId="11" xfId="0" applyFont="true" applyBorder="true" applyAlignment="true" applyProtection="true">
      <alignment horizontal="left" vertical="bottom" textRotation="0" wrapText="false" indent="0" shrinkToFit="false"/>
      <protection locked="true" hidden="false"/>
    </xf>
    <xf numFmtId="164" fontId="36" fillId="47" borderId="11" xfId="0" applyFont="true" applyBorder="true" applyAlignment="true" applyProtection="true">
      <alignment horizontal="left" vertical="center" textRotation="0" wrapText="false" indent="0" shrinkToFit="false"/>
      <protection locked="true" hidden="false"/>
    </xf>
    <xf numFmtId="164" fontId="0" fillId="45" borderId="31" xfId="0" applyFont="true" applyBorder="true" applyAlignment="true" applyProtection="true">
      <alignment horizontal="center" vertical="bottom" textRotation="0" wrapText="false" indent="0" shrinkToFit="false"/>
      <protection locked="true" hidden="false"/>
    </xf>
    <xf numFmtId="164" fontId="41" fillId="46" borderId="11" xfId="48" applyFont="true" applyBorder="true" applyAlignment="true" applyProtection="true">
      <alignment horizontal="general" vertical="center" textRotation="0" wrapText="false" indent="0" shrinkToFit="false"/>
      <protection locked="true" hidden="false"/>
    </xf>
    <xf numFmtId="164" fontId="41" fillId="46" borderId="22" xfId="48" applyFont="true" applyBorder="true" applyAlignment="true" applyProtection="true">
      <alignment horizontal="general" vertical="center" textRotation="0" wrapText="false" indent="0" shrinkToFit="false"/>
      <protection locked="true" hidden="false"/>
    </xf>
    <xf numFmtId="176" fontId="11" fillId="46" borderId="11" xfId="48" applyFont="true" applyBorder="true" applyAlignment="true" applyProtection="true">
      <alignment horizontal="general" vertical="center" textRotation="0" wrapText="false" indent="0" shrinkToFit="false"/>
      <protection locked="true" hidden="false"/>
    </xf>
    <xf numFmtId="164" fontId="11" fillId="46" borderId="11" xfId="48" applyFont="true" applyBorder="true" applyAlignment="true" applyProtection="true">
      <alignment horizontal="general" vertical="center" textRotation="0" wrapText="false" indent="0" shrinkToFit="false"/>
      <protection locked="true" hidden="false"/>
    </xf>
    <xf numFmtId="164" fontId="0" fillId="45" borderId="26" xfId="0" applyFont="true" applyBorder="true" applyAlignment="true" applyProtection="true">
      <alignment horizontal="center" vertical="bottom" textRotation="0" wrapText="false" indent="0" shrinkToFit="false"/>
      <protection locked="true" hidden="false"/>
    </xf>
    <xf numFmtId="164" fontId="41" fillId="46" borderId="27" xfId="48" applyFont="true" applyBorder="true" applyAlignment="true" applyProtection="true">
      <alignment horizontal="general" vertical="center" textRotation="0" wrapText="false" indent="0" shrinkToFit="false"/>
      <protection locked="true" hidden="false"/>
    </xf>
    <xf numFmtId="164" fontId="41" fillId="46" borderId="42" xfId="48" applyFont="true" applyBorder="true" applyAlignment="true" applyProtection="true">
      <alignment horizontal="general" vertical="center" textRotation="0" wrapText="false" indent="0" shrinkToFit="false"/>
      <protection locked="true" hidden="false"/>
    </xf>
    <xf numFmtId="164" fontId="41" fillId="46" borderId="43" xfId="48" applyFont="true" applyBorder="true" applyAlignment="true" applyProtection="true">
      <alignment horizontal="general" vertical="center" textRotation="0" wrapText="false" indent="0" shrinkToFit="false"/>
      <protection locked="true" hidden="false"/>
    </xf>
    <xf numFmtId="176" fontId="11" fillId="46" borderId="27" xfId="48" applyFont="true" applyBorder="true" applyAlignment="true" applyProtection="true">
      <alignment horizontal="general" vertical="center" textRotation="0" wrapText="false" indent="0" shrinkToFit="false"/>
      <protection locked="true" hidden="false"/>
    </xf>
    <xf numFmtId="164" fontId="11" fillId="46" borderId="27" xfId="48" applyFont="true" applyBorder="true" applyAlignment="true" applyProtection="true">
      <alignment horizontal="general" vertical="center" textRotation="0" wrapText="false" indent="0" shrinkToFit="false"/>
      <protection locked="true" hidden="false"/>
    </xf>
    <xf numFmtId="164" fontId="11" fillId="46" borderId="42" xfId="48" applyFont="true" applyBorder="true" applyAlignment="true" applyProtection="true">
      <alignment horizontal="general" vertical="center" textRotation="0" wrapText="false" indent="0" shrinkToFit="false"/>
      <protection locked="true" hidden="false"/>
    </xf>
    <xf numFmtId="176" fontId="11" fillId="46" borderId="42" xfId="48" applyFont="true" applyBorder="true" applyAlignment="true" applyProtection="true">
      <alignment horizontal="general" vertical="center" textRotation="0" wrapText="false" indent="0" shrinkToFit="false"/>
      <protection locked="true" hidden="false"/>
    </xf>
    <xf numFmtId="164" fontId="0" fillId="39" borderId="31" xfId="0" applyFont="true" applyBorder="true" applyAlignment="true" applyProtection="true">
      <alignment horizontal="center" vertical="bottom" textRotation="0" wrapText="true" indent="0" shrinkToFit="false"/>
      <protection locked="true" hidden="false"/>
    </xf>
    <xf numFmtId="164" fontId="0" fillId="39" borderId="54" xfId="0" applyFont="true" applyBorder="true" applyAlignment="true" applyProtection="true">
      <alignment horizontal="center" vertical="bottom" textRotation="0" wrapText="true" indent="0" shrinkToFit="false"/>
      <protection locked="true" hidden="false"/>
    </xf>
    <xf numFmtId="164" fontId="0" fillId="45" borderId="42" xfId="0" applyFont="true" applyBorder="true" applyAlignment="true" applyProtection="true">
      <alignment horizontal="left" vertical="bottom" textRotation="0" wrapText="false" indent="0" shrinkToFit="false"/>
      <protection locked="true" hidden="false"/>
    </xf>
    <xf numFmtId="164" fontId="0" fillId="39" borderId="31" xfId="0" applyFont="true" applyBorder="true" applyAlignment="true" applyProtection="true">
      <alignment horizontal="left" vertical="bottom" textRotation="0" wrapText="true" indent="0" shrinkToFit="false"/>
      <protection locked="true" hidden="false"/>
    </xf>
    <xf numFmtId="164" fontId="0" fillId="39" borderId="31" xfId="0" applyFont="true" applyBorder="true" applyAlignment="true" applyProtection="true">
      <alignment horizontal="left" vertical="center" textRotation="0" wrapText="true" indent="0" shrinkToFit="false"/>
      <protection locked="true" hidden="false"/>
    </xf>
    <xf numFmtId="164" fontId="0" fillId="46" borderId="22" xfId="0" applyFont="false" applyBorder="true" applyAlignment="true" applyProtection="true">
      <alignment horizontal="right" vertical="center" textRotation="0" wrapText="true" indent="0" shrinkToFit="false"/>
      <protection locked="true" hidden="false"/>
    </xf>
    <xf numFmtId="164" fontId="11" fillId="46" borderId="69" xfId="48" applyFont="true" applyBorder="true" applyAlignment="true" applyProtection="true">
      <alignment horizontal="general" vertical="center" textRotation="0" wrapText="false" indent="0" shrinkToFit="false"/>
      <protection locked="true" hidden="false"/>
    </xf>
    <xf numFmtId="164" fontId="0" fillId="39" borderId="54" xfId="0" applyFont="true" applyBorder="true" applyAlignment="true" applyProtection="true">
      <alignment horizontal="left" vertical="bottom" textRotation="0" wrapText="true" indent="0" shrinkToFit="false"/>
      <protection locked="true" hidden="false"/>
    </xf>
    <xf numFmtId="164" fontId="27" fillId="39" borderId="31" xfId="0" applyFont="true" applyBorder="true" applyAlignment="true" applyProtection="true">
      <alignment horizontal="left" vertical="bottom" textRotation="0" wrapText="false" indent="0" shrinkToFit="false"/>
      <protection locked="true" hidden="false"/>
    </xf>
    <xf numFmtId="173" fontId="27" fillId="45" borderId="42" xfId="0" applyFont="true" applyBorder="true" applyAlignment="true" applyProtection="true">
      <alignment horizontal="general" vertical="bottom" textRotation="0" wrapText="false" indent="0" shrinkToFit="false"/>
      <protection locked="true" hidden="false"/>
    </xf>
    <xf numFmtId="173" fontId="27" fillId="45" borderId="58" xfId="0" applyFont="true" applyBorder="true" applyAlignment="true" applyProtection="true">
      <alignment horizontal="general" vertical="bottom" textRotation="0" wrapText="false" indent="0" shrinkToFit="false"/>
      <protection locked="true" hidden="false"/>
    </xf>
    <xf numFmtId="173" fontId="27" fillId="46" borderId="22" xfId="0" applyFont="true" applyBorder="true" applyAlignment="true" applyProtection="true">
      <alignment horizontal="general" vertical="bottom" textRotation="0" wrapText="false" indent="0" shrinkToFit="false"/>
      <protection locked="true" hidden="false"/>
    </xf>
    <xf numFmtId="173" fontId="27" fillId="46" borderId="29" xfId="0" applyFont="true" applyBorder="true" applyAlignment="true" applyProtection="true">
      <alignment horizontal="general" vertical="bottom" textRotation="0" wrapText="false" indent="0" shrinkToFit="false"/>
      <protection locked="true" hidden="false"/>
    </xf>
    <xf numFmtId="164" fontId="0" fillId="22" borderId="52" xfId="0" applyFont="false" applyBorder="true" applyAlignment="true" applyProtection="true">
      <alignment horizontal="center" vertical="bottom" textRotation="0" wrapText="false" indent="0" shrinkToFit="false"/>
      <protection locked="true" hidden="false"/>
    </xf>
    <xf numFmtId="164" fontId="0" fillId="39" borderId="52" xfId="0" applyFont="true" applyBorder="true" applyAlignment="true" applyProtection="true">
      <alignment horizontal="center" vertical="bottom" textRotation="0" wrapText="false" indent="0" shrinkToFit="false"/>
      <protection locked="true" hidden="false"/>
    </xf>
    <xf numFmtId="164" fontId="0" fillId="39" borderId="53" xfId="0" applyFont="true" applyBorder="true" applyAlignment="true" applyProtection="true">
      <alignment horizontal="center" vertical="bottom" textRotation="0" wrapText="false" indent="0" shrinkToFit="false"/>
      <protection locked="true" hidden="false"/>
    </xf>
    <xf numFmtId="164" fontId="0" fillId="39" borderId="26" xfId="0" applyFont="true" applyBorder="true" applyAlignment="true" applyProtection="true">
      <alignment horizontal="center" vertical="center" textRotation="0" wrapText="true" indent="0" shrinkToFit="false"/>
      <protection locked="true" hidden="false"/>
    </xf>
    <xf numFmtId="164" fontId="0" fillId="39" borderId="27" xfId="0" applyFont="true" applyBorder="true" applyAlignment="true" applyProtection="true">
      <alignment horizontal="general" vertical="bottom" textRotation="0" wrapText="false" indent="0" shrinkToFit="false"/>
      <protection locked="true" hidden="false"/>
    </xf>
    <xf numFmtId="170" fontId="0" fillId="46" borderId="43" xfId="0" applyFont="false" applyBorder="true" applyAlignment="true" applyProtection="true">
      <alignment horizontal="general" vertical="bottom" textRotation="0" wrapText="false" indent="0" shrinkToFit="false"/>
      <protection locked="true" hidden="false"/>
    </xf>
    <xf numFmtId="167" fontId="27" fillId="46" borderId="22" xfId="0" applyFont="true" applyBorder="true" applyAlignment="true" applyProtection="true">
      <alignment horizontal="general" vertical="bottom" textRotation="0" wrapText="false" indent="0" shrinkToFit="false"/>
      <protection locked="true" hidden="false"/>
    </xf>
    <xf numFmtId="164" fontId="0" fillId="46" borderId="18" xfId="0" applyFont="false" applyBorder="true" applyAlignment="true" applyProtection="true">
      <alignment horizontal="general" vertical="bottom" textRotation="0" wrapText="false" indent="0" shrinkToFit="false"/>
      <protection locked="true" hidden="false"/>
    </xf>
    <xf numFmtId="164" fontId="0" fillId="45" borderId="70" xfId="0" applyFont="true" applyBorder="true" applyAlignment="true" applyProtection="true">
      <alignment horizontal="general" vertical="bottom" textRotation="0" wrapText="false" indent="0" shrinkToFit="false"/>
      <protection locked="true" hidden="false"/>
    </xf>
    <xf numFmtId="164" fontId="0" fillId="46" borderId="70" xfId="0" applyFont="false" applyBorder="true" applyAlignment="true" applyProtection="true">
      <alignment horizontal="general" vertical="bottom" textRotation="0" wrapText="false" indent="0" shrinkToFit="false"/>
      <protection locked="true" hidden="false"/>
    </xf>
    <xf numFmtId="164" fontId="0" fillId="47" borderId="50" xfId="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0" fillId="46" borderId="11" xfId="0" applyFont="true" applyBorder="true" applyAlignment="true" applyProtection="true">
      <alignment horizontal="general" vertical="bottom" textRotation="0" wrapText="false" indent="0" shrinkToFit="false"/>
      <protection locked="true" hidden="false"/>
    </xf>
    <xf numFmtId="164" fontId="0" fillId="46" borderId="22" xfId="0" applyFont="false" applyBorder="true" applyAlignment="true" applyProtection="true">
      <alignment horizontal="center" vertical="bottom" textRotation="0" wrapText="false" indent="0" shrinkToFit="false"/>
      <protection locked="true" hidden="false"/>
    </xf>
    <xf numFmtId="164" fontId="0" fillId="39" borderId="54" xfId="0" applyFont="true" applyBorder="true" applyAlignment="true" applyProtection="true">
      <alignment horizontal="center" vertical="center" textRotation="0" wrapText="true" indent="0" shrinkToFit="false"/>
      <protection locked="true" hidden="false"/>
    </xf>
    <xf numFmtId="164" fontId="0" fillId="46" borderId="43" xfId="0" applyFont="false" applyBorder="true" applyAlignment="true" applyProtection="true">
      <alignment horizontal="center" vertical="center" textRotation="0" wrapText="false" indent="0" shrinkToFit="false"/>
      <protection locked="true" hidden="false"/>
    </xf>
    <xf numFmtId="164" fontId="23" fillId="47" borderId="0" xfId="0" applyFont="true" applyBorder="false" applyAlignment="true" applyProtection="true">
      <alignment horizontal="general" vertical="bottom" textRotation="0" wrapText="false" indent="0" shrinkToFit="false"/>
      <protection locked="true" hidden="false"/>
    </xf>
    <xf numFmtId="164" fontId="27" fillId="47" borderId="0" xfId="0" applyFont="true" applyBorder="false" applyAlignment="true" applyProtection="true">
      <alignment horizontal="center" vertical="center" textRotation="0" wrapText="false" indent="0" shrinkToFit="false"/>
      <protection locked="true" hidden="false"/>
    </xf>
    <xf numFmtId="164" fontId="0" fillId="45" borderId="0" xfId="0" applyFont="true" applyBorder="false" applyAlignment="true" applyProtection="true">
      <alignment horizontal="general" vertical="bottom" textRotation="0" wrapText="false" indent="0" shrinkToFit="false"/>
      <protection locked="true" hidden="false"/>
    </xf>
    <xf numFmtId="164" fontId="42" fillId="44" borderId="71" xfId="0" applyFont="true" applyBorder="true" applyAlignment="true" applyProtection="false">
      <alignment horizontal="left" vertical="bottom" textRotation="0" wrapText="true" indent="0" shrinkToFit="false"/>
      <protection locked="true" hidden="false"/>
    </xf>
    <xf numFmtId="164" fontId="42" fillId="44" borderId="72" xfId="0" applyFont="true" applyBorder="true" applyAlignment="true" applyProtection="false">
      <alignment horizontal="left" vertical="bottom" textRotation="0" wrapText="true" indent="0" shrinkToFit="false"/>
      <protection locked="true" hidden="false"/>
    </xf>
    <xf numFmtId="164" fontId="42" fillId="44" borderId="73" xfId="0" applyFont="true" applyBorder="true" applyAlignment="true" applyProtection="false">
      <alignment horizontal="left" vertical="bottom" textRotation="0" wrapText="true" indent="0" shrinkToFit="false"/>
      <protection locked="true" hidden="false"/>
    </xf>
    <xf numFmtId="164" fontId="43" fillId="39" borderId="74" xfId="0" applyFont="true" applyBorder="true" applyAlignment="true" applyProtection="false">
      <alignment horizontal="left" vertical="bottom" textRotation="0" wrapText="true" indent="0" shrinkToFit="false"/>
      <protection locked="true" hidden="false"/>
    </xf>
    <xf numFmtId="164" fontId="43" fillId="45" borderId="49" xfId="0" applyFont="true" applyBorder="true" applyAlignment="true" applyProtection="false">
      <alignment horizontal="left" vertical="bottom" textRotation="0" wrapText="true" indent="0" shrinkToFit="false"/>
      <protection locked="true" hidden="false"/>
    </xf>
    <xf numFmtId="164" fontId="44" fillId="46" borderId="75" xfId="0" applyFont="true" applyBorder="true" applyAlignment="true" applyProtection="false">
      <alignment horizontal="right" vertical="bottom" textRotation="0" wrapText="true" indent="0" shrinkToFit="false"/>
      <protection locked="true" hidden="false"/>
    </xf>
    <xf numFmtId="164" fontId="43" fillId="39" borderId="76" xfId="0" applyFont="true" applyBorder="true" applyAlignment="true" applyProtection="false">
      <alignment horizontal="left" vertical="bottom" textRotation="0" wrapText="true" indent="0" shrinkToFit="false"/>
      <protection locked="true" hidden="false"/>
    </xf>
    <xf numFmtId="164" fontId="43" fillId="45" borderId="77" xfId="0" applyFont="true" applyBorder="true" applyAlignment="true" applyProtection="false">
      <alignment horizontal="left" vertical="bottom" textRotation="0" wrapText="true" indent="0" shrinkToFit="false"/>
      <protection locked="true" hidden="false"/>
    </xf>
    <xf numFmtId="170" fontId="43" fillId="46" borderId="78" xfId="0" applyFont="true" applyBorder="true" applyAlignment="true" applyProtection="false">
      <alignment horizontal="right" vertical="bottom" textRotation="0" wrapText="true" indent="0" shrinkToFit="false"/>
      <protection locked="true" hidden="false"/>
    </xf>
    <xf numFmtId="164" fontId="23" fillId="47" borderId="31" xfId="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45" fillId="0" borderId="0" xfId="0" applyFont="true" applyBorder="false" applyAlignment="true" applyProtection="true">
      <alignment horizontal="right" vertical="bottom" textRotation="0" wrapText="true" indent="0" shrinkToFit="false"/>
      <protection locked="true" hidden="false"/>
    </xf>
    <xf numFmtId="164" fontId="46" fillId="49" borderId="0" xfId="0" applyFont="true" applyBorder="false" applyAlignment="true" applyProtection="true">
      <alignment horizontal="right" vertical="bottom" textRotation="0" wrapText="true" indent="0" shrinkToFit="false"/>
      <protection locked="true" hidden="false"/>
    </xf>
    <xf numFmtId="170" fontId="27" fillId="46" borderId="22" xfId="0" applyFont="true" applyBorder="tru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0" fillId="46" borderId="53" xfId="0" applyFont="false" applyBorder="true" applyAlignment="true" applyProtection="true">
      <alignment horizontal="general" vertical="bottom" textRotation="0" wrapText="false" indent="0" shrinkToFit="false"/>
      <protection locked="true" hidden="false"/>
    </xf>
    <xf numFmtId="167" fontId="27" fillId="46" borderId="43" xfId="0" applyFont="true" applyBorder="true" applyAlignment="true" applyProtection="true">
      <alignment horizontal="general" vertical="bottom" textRotation="0" wrapText="false" indent="0" shrinkToFit="false"/>
      <protection locked="true" hidden="false"/>
    </xf>
    <xf numFmtId="164" fontId="47" fillId="46" borderId="22" xfId="0" applyFont="true" applyBorder="true" applyAlignment="true" applyProtection="true">
      <alignment horizontal="general" vertical="bottom" textRotation="0" wrapText="false" indent="0" shrinkToFit="false"/>
      <protection locked="true" hidden="false"/>
    </xf>
    <xf numFmtId="164" fontId="47" fillId="46" borderId="48" xfId="0" applyFont="true" applyBorder="true" applyAlignment="true" applyProtection="true">
      <alignment horizontal="general" vertical="bottom" textRotation="0" wrapText="false" indent="0" shrinkToFit="false"/>
      <protection locked="true" hidden="false"/>
    </xf>
    <xf numFmtId="164" fontId="35" fillId="3" borderId="59" xfId="0" applyFont="true" applyBorder="true" applyAlignment="true" applyProtection="true">
      <alignment horizontal="general" vertical="bottom" textRotation="0" wrapText="false" indent="0" shrinkToFit="false"/>
      <protection locked="true" hidden="false"/>
    </xf>
    <xf numFmtId="164" fontId="0" fillId="3" borderId="39" xfId="0" applyFont="false" applyBorder="true" applyAlignment="true" applyProtection="true">
      <alignment horizontal="general" vertical="bottom" textRotation="0" wrapText="false" indent="0" shrinkToFit="false"/>
      <protection locked="true" hidden="false"/>
    </xf>
    <xf numFmtId="164" fontId="0" fillId="3" borderId="40" xfId="0" applyFont="false" applyBorder="true" applyAlignment="true" applyProtection="true">
      <alignment horizontal="general" vertical="bottom" textRotation="0" wrapText="false" indent="0" shrinkToFit="false"/>
      <protection locked="true" hidden="false"/>
    </xf>
    <xf numFmtId="164" fontId="17" fillId="0" borderId="49" xfId="0" applyFont="true" applyBorder="true" applyAlignment="true" applyProtection="true">
      <alignment horizontal="left" vertical="bottom" textRotation="0" wrapText="true" indent="0" shrinkToFit="false"/>
      <protection locked="true" hidden="false"/>
    </xf>
    <xf numFmtId="164" fontId="49" fillId="50" borderId="79" xfId="0" applyFont="true" applyBorder="true" applyAlignment="true" applyProtection="true">
      <alignment horizontal="center" vertical="bottom" textRotation="0" wrapText="true" indent="0" shrinkToFit="false"/>
      <protection locked="true" hidden="false"/>
    </xf>
    <xf numFmtId="164" fontId="49" fillId="50" borderId="80" xfId="0" applyFont="true" applyBorder="true" applyAlignment="true" applyProtection="true">
      <alignment horizontal="center" vertical="bottom" textRotation="0" wrapText="true" indent="0" shrinkToFit="false"/>
      <protection locked="true" hidden="false"/>
    </xf>
    <xf numFmtId="164" fontId="37" fillId="3" borderId="81" xfId="0" applyFont="true" applyBorder="true" applyAlignment="true" applyProtection="true">
      <alignment horizontal="left" vertical="bottom" textRotation="0" wrapText="false" indent="0" shrinkToFit="false"/>
      <protection locked="true" hidden="false"/>
    </xf>
    <xf numFmtId="164" fontId="49" fillId="51" borderId="49" xfId="0" applyFont="true" applyBorder="true" applyAlignment="true" applyProtection="true">
      <alignment horizontal="center" vertical="bottom" textRotation="0" wrapText="true" indent="0" shrinkToFit="false"/>
      <protection locked="true" hidden="false"/>
    </xf>
    <xf numFmtId="164" fontId="23" fillId="36" borderId="11" xfId="0" applyFont="true" applyBorder="true" applyAlignment="true" applyProtection="true">
      <alignment horizontal="general" vertical="bottom" textRotation="0" wrapText="false" indent="0" shrinkToFit="false"/>
      <protection locked="true" hidden="false"/>
    </xf>
    <xf numFmtId="164" fontId="27" fillId="3" borderId="64" xfId="0" applyFont="true" applyBorder="true" applyAlignment="true" applyProtection="true">
      <alignment horizontal="general" vertical="bottom" textRotation="0" wrapText="false" indent="0" shrinkToFit="false"/>
      <protection locked="true" hidden="false"/>
    </xf>
    <xf numFmtId="164" fontId="0" fillId="3" borderId="11" xfId="0" applyFont="true" applyBorder="true" applyAlignment="true" applyProtection="true">
      <alignment horizontal="general" vertical="bottom" textRotation="0" wrapText="false" indent="0" shrinkToFit="false"/>
      <protection locked="true" hidden="false"/>
    </xf>
    <xf numFmtId="167" fontId="27" fillId="3" borderId="22" xfId="0" applyFont="true" applyBorder="true" applyAlignment="true" applyProtection="true">
      <alignment horizontal="general" vertical="bottom" textRotation="0" wrapText="false" indent="0" shrinkToFit="false"/>
      <protection locked="true" hidden="false"/>
    </xf>
    <xf numFmtId="164" fontId="49" fillId="50" borderId="49" xfId="0" applyFont="true" applyBorder="true" applyAlignment="true" applyProtection="true">
      <alignment horizontal="left" vertical="bottom" textRotation="0" wrapText="true" indent="0" shrinkToFit="false"/>
      <protection locked="true" hidden="false"/>
    </xf>
    <xf numFmtId="170" fontId="17" fillId="52" borderId="49" xfId="0" applyFont="true" applyBorder="true" applyAlignment="true" applyProtection="true">
      <alignment horizontal="center" vertical="bottom" textRotation="0" wrapText="true" indent="0" shrinkToFit="false"/>
      <protection locked="true" hidden="false"/>
    </xf>
    <xf numFmtId="164" fontId="27" fillId="3" borderId="31" xfId="0" applyFont="true" applyBorder="true" applyAlignment="true" applyProtection="true">
      <alignment horizontal="general" vertical="bottom" textRotation="0" wrapText="false" indent="0" shrinkToFit="false"/>
      <protection locked="true" hidden="false"/>
    </xf>
    <xf numFmtId="164" fontId="0" fillId="3" borderId="21" xfId="0" applyFont="true" applyBorder="true" applyAlignment="true" applyProtection="true">
      <alignment horizontal="general" vertical="bottom" textRotation="0" wrapText="false" indent="0" shrinkToFit="false"/>
      <protection locked="true" hidden="false"/>
    </xf>
    <xf numFmtId="164" fontId="27" fillId="3" borderId="22" xfId="0" applyFont="true" applyBorder="true" applyAlignment="true" applyProtection="true">
      <alignment horizontal="general" vertical="bottom" textRotation="0" wrapText="false" indent="0" shrinkToFit="false"/>
      <protection locked="true" hidden="false"/>
    </xf>
    <xf numFmtId="164" fontId="37" fillId="3" borderId="24" xfId="0" applyFont="true" applyBorder="true" applyAlignment="true" applyProtection="true">
      <alignment horizontal="left" vertical="bottom" textRotation="0" wrapText="false" indent="0" shrinkToFit="false"/>
      <protection locked="true" hidden="false"/>
    </xf>
    <xf numFmtId="164" fontId="0" fillId="3" borderId="22" xfId="0" applyFont="false" applyBorder="true" applyAlignment="true" applyProtection="true">
      <alignment horizontal="general" vertical="bottom" textRotation="0" wrapText="false" indent="0" shrinkToFit="false"/>
      <protection locked="true" hidden="false"/>
    </xf>
    <xf numFmtId="164" fontId="27" fillId="3" borderId="26" xfId="0" applyFont="true" applyBorder="true" applyAlignment="true" applyProtection="true">
      <alignment horizontal="general" vertical="bottom" textRotation="0" wrapText="false" indent="0" shrinkToFit="false"/>
      <protection locked="true" hidden="false"/>
    </xf>
    <xf numFmtId="164" fontId="0" fillId="3" borderId="27" xfId="0" applyFont="true" applyBorder="true" applyAlignment="true" applyProtection="true">
      <alignment horizontal="general" vertical="bottom" textRotation="0" wrapText="false" indent="0" shrinkToFit="false"/>
      <protection locked="true" hidden="false"/>
    </xf>
    <xf numFmtId="167" fontId="27" fillId="3" borderId="48" xfId="0" applyFont="true" applyBorder="true" applyAlignment="true" applyProtection="true">
      <alignment horizontal="general" vertical="bottom" textRotation="0" wrapText="false" indent="0" shrinkToFit="false"/>
      <protection locked="true" hidden="false"/>
    </xf>
    <xf numFmtId="176" fontId="0" fillId="53" borderId="11" xfId="0" applyFont="false" applyBorder="true" applyAlignment="true" applyProtection="true">
      <alignment horizontal="general" vertical="bottom" textRotation="0" wrapText="false" indent="0" shrinkToFit="false"/>
      <protection locked="true" hidden="false"/>
    </xf>
    <xf numFmtId="164" fontId="0" fillId="3" borderId="63"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3" borderId="34" xfId="0" applyFont="false" applyBorder="true" applyAlignment="true" applyProtection="true">
      <alignment horizontal="general" vertical="bottom" textRotation="0" wrapText="false" indent="0" shrinkToFit="false"/>
      <protection locked="true" hidden="false"/>
    </xf>
    <xf numFmtId="176" fontId="0" fillId="36" borderId="27" xfId="0" applyFont="false" applyBorder="true" applyAlignment="true" applyProtection="true">
      <alignment horizontal="general" vertical="bottom" textRotation="0" wrapText="false" indent="0" shrinkToFit="false"/>
      <protection locked="true" hidden="false"/>
    </xf>
    <xf numFmtId="170" fontId="0" fillId="53" borderId="42" xfId="0" applyFont="false" applyBorder="true" applyAlignment="true" applyProtection="true">
      <alignment horizontal="general" vertical="bottom" textRotation="0" wrapText="false" indent="0" shrinkToFit="false"/>
      <protection locked="true" hidden="false"/>
    </xf>
    <xf numFmtId="170" fontId="27" fillId="53" borderId="43" xfId="0" applyFont="true" applyBorder="true" applyAlignment="true" applyProtection="true">
      <alignment horizontal="general" vertical="bottom" textRotation="0" wrapText="false" indent="0" shrinkToFit="false"/>
      <protection locked="true" hidden="false"/>
    </xf>
    <xf numFmtId="164" fontId="37" fillId="5" borderId="31" xfId="0" applyFont="true" applyBorder="true" applyAlignment="true" applyProtection="true">
      <alignment horizontal="left" vertical="bottom" textRotation="0" wrapText="false" indent="0" shrinkToFit="false"/>
      <protection locked="true" hidden="false"/>
    </xf>
    <xf numFmtId="164" fontId="27" fillId="5" borderId="45" xfId="0" applyFont="true" applyBorder="true" applyAlignment="true" applyProtection="true">
      <alignment horizontal="general" vertical="bottom" textRotation="0" wrapText="false" indent="0" shrinkToFit="false"/>
      <protection locked="true" hidden="false"/>
    </xf>
    <xf numFmtId="164" fontId="0" fillId="5" borderId="82" xfId="0" applyFont="true" applyBorder="true" applyAlignment="true" applyProtection="true">
      <alignment horizontal="general" vertical="bottom" textRotation="0" wrapText="false" indent="0" shrinkToFit="false"/>
      <protection locked="true" hidden="false"/>
    </xf>
    <xf numFmtId="167" fontId="27" fillId="5" borderId="56" xfId="0" applyFont="true" applyBorder="true" applyAlignment="true" applyProtection="true">
      <alignment horizontal="general" vertical="bottom" textRotation="0" wrapText="false" indent="0" shrinkToFit="false"/>
      <protection locked="true" hidden="false"/>
    </xf>
    <xf numFmtId="164" fontId="17" fillId="52" borderId="49" xfId="0" applyFont="true" applyBorder="true" applyAlignment="true" applyProtection="true">
      <alignment horizontal="center" vertical="bottom" textRotation="0" wrapText="true" indent="0" shrinkToFit="false"/>
      <protection locked="true" hidden="false"/>
    </xf>
    <xf numFmtId="164" fontId="35" fillId="5" borderId="59" xfId="0" applyFont="true" applyBorder="true" applyAlignment="true" applyProtection="true">
      <alignment horizontal="general" vertical="bottom" textRotation="0" wrapText="false" indent="0" shrinkToFit="false"/>
      <protection locked="true" hidden="false"/>
    </xf>
    <xf numFmtId="164" fontId="0" fillId="5" borderId="39" xfId="0" applyFont="false" applyBorder="true" applyAlignment="true" applyProtection="true">
      <alignment horizontal="general" vertical="bottom" textRotation="0" wrapText="false" indent="0" shrinkToFit="false"/>
      <protection locked="true" hidden="false"/>
    </xf>
    <xf numFmtId="164" fontId="0" fillId="5" borderId="40" xfId="0" applyFont="false" applyBorder="true" applyAlignment="true" applyProtection="true">
      <alignment horizontal="general" vertical="bottom" textRotation="0" wrapText="false" indent="0" shrinkToFit="false"/>
      <protection locked="true" hidden="false"/>
    </xf>
    <xf numFmtId="177" fontId="17" fillId="52" borderId="49" xfId="0" applyFont="true" applyBorder="true" applyAlignment="true" applyProtection="true">
      <alignment horizontal="center" vertical="bottom" textRotation="0" wrapText="true" indent="0" shrinkToFit="false"/>
      <protection locked="true" hidden="false"/>
    </xf>
    <xf numFmtId="164" fontId="27" fillId="5" borderId="54" xfId="0" applyFont="true" applyBorder="true" applyAlignment="true" applyProtection="true">
      <alignment horizontal="general" vertical="bottom" textRotation="0" wrapText="false" indent="0" shrinkToFit="false"/>
      <protection locked="true" hidden="false"/>
    </xf>
    <xf numFmtId="164" fontId="0" fillId="5" borderId="42" xfId="0" applyFont="true" applyBorder="true" applyAlignment="true" applyProtection="true">
      <alignment horizontal="general" vertical="bottom" textRotation="0" wrapText="false" indent="0" shrinkToFit="false"/>
      <protection locked="true" hidden="false"/>
    </xf>
    <xf numFmtId="170" fontId="27" fillId="5" borderId="43" xfId="0" applyFont="true" applyBorder="true" applyAlignment="true" applyProtection="true">
      <alignment horizontal="general" vertical="bottom" textRotation="0" wrapText="false" indent="0" shrinkToFit="false"/>
      <protection locked="true" hidden="false"/>
    </xf>
    <xf numFmtId="164" fontId="46" fillId="54" borderId="0" xfId="0" applyFont="true" applyBorder="false" applyAlignment="true" applyProtection="true">
      <alignment horizontal="right" vertical="bottom" textRotation="0" wrapText="true" indent="0" shrinkToFit="false"/>
      <protection locked="true" hidden="false"/>
    </xf>
    <xf numFmtId="164" fontId="0" fillId="3" borderId="14" xfId="0" applyFont="false" applyBorder="true" applyAlignment="true" applyProtection="true">
      <alignment horizontal="general" vertical="bottom" textRotation="0" wrapText="false" indent="0" shrinkToFit="false"/>
      <protection locked="true" hidden="false"/>
    </xf>
    <xf numFmtId="164" fontId="27" fillId="5" borderId="31" xfId="0" applyFont="true" applyBorder="true" applyAlignment="true" applyProtection="true">
      <alignment horizontal="general" vertical="bottom" textRotation="0" wrapText="false" indent="0" shrinkToFit="false"/>
      <protection locked="true" hidden="false"/>
    </xf>
    <xf numFmtId="164" fontId="0" fillId="5" borderId="11" xfId="0" applyFont="true" applyBorder="true" applyAlignment="true" applyProtection="true">
      <alignment horizontal="general" vertical="bottom" textRotation="0" wrapText="false" indent="0" shrinkToFit="false"/>
      <protection locked="true" hidden="false"/>
    </xf>
    <xf numFmtId="164" fontId="23" fillId="5" borderId="22" xfId="0" applyFont="true" applyBorder="true" applyAlignment="true" applyProtection="true">
      <alignment horizontal="general" vertical="bottom" textRotation="0" wrapText="false" indent="0" shrinkToFit="false"/>
      <protection locked="true" hidden="false"/>
    </xf>
    <xf numFmtId="164" fontId="27" fillId="7" borderId="31" xfId="0" applyFont="true" applyBorder="true" applyAlignment="true" applyProtection="true">
      <alignment horizontal="general" vertical="bottom" textRotation="0" wrapText="false" indent="0" shrinkToFit="false"/>
      <protection locked="true" hidden="false"/>
    </xf>
    <xf numFmtId="164" fontId="0" fillId="7" borderId="11" xfId="0" applyFont="true" applyBorder="true" applyAlignment="true" applyProtection="true">
      <alignment horizontal="general" vertical="bottom" textRotation="0" wrapText="false" indent="0" shrinkToFit="false"/>
      <protection locked="true" hidden="false"/>
    </xf>
    <xf numFmtId="164" fontId="0" fillId="7" borderId="22" xfId="0" applyFont="false" applyBorder="true" applyAlignment="true" applyProtection="true">
      <alignment horizontal="general" vertical="bottom" textRotation="0" wrapText="true" indent="0" shrinkToFit="false"/>
      <protection locked="true" hidden="false"/>
    </xf>
    <xf numFmtId="170" fontId="27" fillId="7" borderId="22" xfId="0" applyFont="true" applyBorder="true" applyAlignment="true" applyProtection="true">
      <alignment horizontal="general" vertical="bottom" textRotation="0" wrapText="true" indent="0" shrinkToFit="false"/>
      <protection locked="true" hidden="false"/>
    </xf>
    <xf numFmtId="164" fontId="27" fillId="3" borderId="48" xfId="0" applyFont="true" applyBorder="true" applyAlignment="true" applyProtection="true">
      <alignment horizontal="general" vertical="bottom" textRotation="0" wrapText="true" indent="0" shrinkToFit="false"/>
      <protection locked="true" hidden="false"/>
    </xf>
    <xf numFmtId="164" fontId="27" fillId="3" borderId="83" xfId="0" applyFont="true" applyBorder="true" applyAlignment="true" applyProtection="true">
      <alignment horizontal="general" vertical="bottom" textRotation="0" wrapText="true" indent="0" shrinkToFit="false"/>
      <protection locked="true" hidden="false"/>
    </xf>
    <xf numFmtId="164" fontId="27" fillId="7" borderId="54" xfId="0" applyFont="true" applyBorder="true" applyAlignment="true" applyProtection="true">
      <alignment horizontal="general" vertical="bottom" textRotation="0" wrapText="false" indent="0" shrinkToFit="false"/>
      <protection locked="true" hidden="false"/>
    </xf>
    <xf numFmtId="164" fontId="0" fillId="7" borderId="42" xfId="0" applyFont="true" applyBorder="true" applyAlignment="true" applyProtection="true">
      <alignment horizontal="general" vertical="bottom" textRotation="0" wrapText="false" indent="0" shrinkToFit="false"/>
      <protection locked="true" hidden="false"/>
    </xf>
    <xf numFmtId="170" fontId="27" fillId="7" borderId="43" xfId="0" applyFont="true" applyBorder="true" applyAlignment="true" applyProtection="true">
      <alignment horizontal="general" vertical="bottom" textRotation="0" wrapText="true" indent="0" shrinkToFit="false"/>
      <protection locked="true" hidden="false"/>
    </xf>
    <xf numFmtId="176" fontId="11" fillId="36" borderId="11" xfId="48" applyFont="true" applyBorder="true" applyAlignment="true" applyProtection="true">
      <alignment horizontal="general" vertical="center" textRotation="0" wrapText="false" indent="0" shrinkToFit="false"/>
      <protection locked="true" hidden="false"/>
    </xf>
    <xf numFmtId="176" fontId="11" fillId="36" borderId="43" xfId="48" applyFont="true" applyBorder="true" applyAlignment="true" applyProtection="true">
      <alignment horizontal="general" vertical="center" textRotation="0" wrapText="false" indent="0" shrinkToFit="false"/>
      <protection locked="true" hidden="false"/>
    </xf>
    <xf numFmtId="176" fontId="0" fillId="0" borderId="0" xfId="0" applyFont="false" applyBorder="false" applyAlignment="true" applyProtection="true">
      <alignment horizontal="general" vertical="bottom" textRotation="0" wrapText="false" indent="0" shrinkToFit="false"/>
      <protection locked="true" hidden="false"/>
    </xf>
  </cellXfs>
  <cellStyles count="80">
    <cellStyle name="Normal" xfId="0" builtinId="0"/>
    <cellStyle name="Comma" xfId="15" builtinId="3"/>
    <cellStyle name="Comma [0]" xfId="16" builtinId="6"/>
    <cellStyle name="Currency" xfId="17" builtinId="4"/>
    <cellStyle name="Currency [0]" xfId="18" builtinId="7"/>
    <cellStyle name="Percent" xfId="19" builtinId="5"/>
    <cellStyle name="20% - Énfasis1 2" xfId="20"/>
    <cellStyle name="20% - Énfasis2 2" xfId="21"/>
    <cellStyle name="20% - Énfasis3 2" xfId="22"/>
    <cellStyle name="20% - Énfasis4 2" xfId="23"/>
    <cellStyle name="20% - Énfasis5 2" xfId="24"/>
    <cellStyle name="20% - Énfasis6 2" xfId="25"/>
    <cellStyle name="40% - Énfasis1 2" xfId="26"/>
    <cellStyle name="40% - Énfasis2 2" xfId="27"/>
    <cellStyle name="40% - Énfasis3 2" xfId="28"/>
    <cellStyle name="40% - Énfasis4 2" xfId="29"/>
    <cellStyle name="40% - Énfasis5 2" xfId="30"/>
    <cellStyle name="40% - Énfasis6 2" xfId="31"/>
    <cellStyle name="60% - Énfasis1 2" xfId="32"/>
    <cellStyle name="60% - Énfasis2 2" xfId="33"/>
    <cellStyle name="60% - Énfasis3 2" xfId="34"/>
    <cellStyle name="60% - Énfasis4 2" xfId="35"/>
    <cellStyle name="60% - Énfasis5 2" xfId="36"/>
    <cellStyle name="60% - Énfasis6 2" xfId="37"/>
    <cellStyle name="Bueno 2" xfId="38"/>
    <cellStyle name="Celda de comprobación 2" xfId="39"/>
    <cellStyle name="Celda vinculada 2" xfId="40"/>
    <cellStyle name="Cálculo 2" xfId="41"/>
    <cellStyle name="Encabezado 1 2" xfId="42"/>
    <cellStyle name="Encabezado 4 2" xfId="43"/>
    <cellStyle name="Entrada 2" xfId="44"/>
    <cellStyle name="Heading 1 1" xfId="45"/>
    <cellStyle name="Heading 3" xfId="46"/>
    <cellStyle name="Incorrecto 2" xfId="47"/>
    <cellStyle name="Input 2" xfId="48"/>
    <cellStyle name="Input 2 2" xfId="49"/>
    <cellStyle name="Millares 2" xfId="50"/>
    <cellStyle name="Millares 2 2" xfId="51"/>
    <cellStyle name="Millares 2 3" xfId="52"/>
    <cellStyle name="Millares 2 4" xfId="53"/>
    <cellStyle name="Millares 3" xfId="54"/>
    <cellStyle name="Millares 4" xfId="55"/>
    <cellStyle name="Neutral 2" xfId="56"/>
    <cellStyle name="Neutral 3" xfId="57"/>
    <cellStyle name="Normal 2" xfId="58"/>
    <cellStyle name="Normal 2 2" xfId="59"/>
    <cellStyle name="Normal 2 2 2" xfId="60"/>
    <cellStyle name="Normal 2 2 2 2" xfId="61"/>
    <cellStyle name="Normal 2 2 2 3" xfId="62"/>
    <cellStyle name="Normal 2 2 3" xfId="63"/>
    <cellStyle name="Normal 2 2 4" xfId="64"/>
    <cellStyle name="Normal 2 3" xfId="65"/>
    <cellStyle name="Normal 2 4" xfId="66"/>
    <cellStyle name="Normal 2 5" xfId="67"/>
    <cellStyle name="Normal 2 6" xfId="68"/>
    <cellStyle name="Normal 3" xfId="69"/>
    <cellStyle name="Normal 4" xfId="70"/>
    <cellStyle name="Normal 4 2" xfId="71"/>
    <cellStyle name="Normal 4 3" xfId="72"/>
    <cellStyle name="Normal 5" xfId="73"/>
    <cellStyle name="Normal 5 2" xfId="74"/>
    <cellStyle name="Normal 6" xfId="75"/>
    <cellStyle name="Notas 2" xfId="76"/>
    <cellStyle name="Porcentaje 2" xfId="77"/>
    <cellStyle name="Result 4" xfId="78"/>
    <cellStyle name="Resultat2" xfId="79"/>
    <cellStyle name="Salida 2" xfId="80"/>
    <cellStyle name="Texto de advertencia 2" xfId="81"/>
    <cellStyle name="Texto explicativo 2" xfId="82"/>
    <cellStyle name="Total 2" xfId="83"/>
    <cellStyle name="Total 3" xfId="84"/>
    <cellStyle name="Título 2 2" xfId="85"/>
    <cellStyle name="Título 3 2" xfId="86"/>
    <cellStyle name="Título 4" xfId="87"/>
    <cellStyle name="Énfasis1 2" xfId="88"/>
    <cellStyle name="Énfasis2 2" xfId="89"/>
    <cellStyle name="Énfasis3 2" xfId="90"/>
    <cellStyle name="Énfasis4 2" xfId="91"/>
    <cellStyle name="Énfasis5 2" xfId="92"/>
    <cellStyle name="Énfasis6 2" xfId="93"/>
  </cellStyles>
  <dxfs count="3">
    <dxf>
      <font>
        <color rgb="FF006100"/>
      </font>
      <fill>
        <patternFill>
          <bgColor rgb="FFC6EF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EBF1DE"/>
      <rgbColor rgb="FFFFFF00"/>
      <rgbColor rgb="FFFFC7CE"/>
      <rgbColor rgb="FF66FF33"/>
      <rgbColor rgb="FF9C0802"/>
      <rgbColor rgb="FF006100"/>
      <rgbColor rgb="FFFFF2CC"/>
      <rgbColor rgb="FFC4BD97"/>
      <rgbColor rgb="FFD9E1F2"/>
      <rgbColor rgb="FFAFD095"/>
      <rgbColor rgb="FFBFBFBF"/>
      <rgbColor rgb="FF7C8578"/>
      <rgbColor rgb="FF8EA9DB"/>
      <rgbColor rgb="FFC9C9C9"/>
      <rgbColor rgb="FFFFFFCC"/>
      <rgbColor rgb="FFDDEBF7"/>
      <rgbColor rgb="FFFFE699"/>
      <rgbColor rgb="FFED7D31"/>
      <rgbColor rgb="FFC6E0B4"/>
      <rgbColor rgb="FFBDD7EE"/>
      <rgbColor rgb="FFF6F9D4"/>
      <rgbColor rgb="FFDBDBDB"/>
      <rgbColor rgb="FFF8F200"/>
      <rgbColor rgb="FFB7DEE8"/>
      <rgbColor rgb="FFFCE4D6"/>
      <rgbColor rgb="FFEDEDED"/>
      <rgbColor rgb="FFC3D69B"/>
      <rgbColor rgb="FFF2F2F2"/>
      <rgbColor rgb="FF9CC2E6"/>
      <rgbColor rgb="FFDEEBF7"/>
      <rgbColor rgb="FFC6EFCE"/>
      <rgbColor rgb="FFFFEB9C"/>
      <rgbColor rgb="FF9DC3E6"/>
      <rgbColor rgb="FFF4B084"/>
      <rgbColor rgb="FFB4C6E7"/>
      <rgbColor rgb="FFFFCC99"/>
      <rgbColor rgb="FF4472C4"/>
      <rgbColor rgb="FF77AFDD"/>
      <rgbColor rgb="FFA9D18E"/>
      <rgbColor rgb="FFFFC000"/>
      <rgbColor rgb="FFFAC090"/>
      <rgbColor rgb="FFFA7D00"/>
      <rgbColor rgb="FF44546A"/>
      <rgbColor rgb="FFA7A7A7"/>
      <rgbColor rgb="FFD7E4BD"/>
      <rgbColor rgb="FF00B050"/>
      <rgbColor rgb="FFE2EFDA"/>
      <rgbColor rgb="FFFFD966"/>
      <rgbColor rgb="FFF8CBAD"/>
      <rgbColor rgb="FFCCCCCC"/>
      <rgbColor rgb="FFD9D9D9"/>
      <rgbColor rgb="FF3F3F5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FF"/>
    <pageSetUpPr fitToPage="false"/>
  </sheetPr>
  <dimension ref="A2:B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7" activeCellId="0" sqref="A7"/>
    </sheetView>
  </sheetViews>
  <sheetFormatPr defaultColWidth="11.4296875" defaultRowHeight="15" customHeight="true" zeroHeight="false" outlineLevelRow="0" outlineLevelCol="0"/>
  <cols>
    <col collapsed="false" customWidth="true" hidden="false" outlineLevel="0" max="1" min="1" style="1" width="18.29"/>
    <col collapsed="false" customWidth="true" hidden="false" outlineLevel="0" max="2" min="2" style="1" width="113.3"/>
  </cols>
  <sheetData>
    <row r="2" customFormat="false" ht="14.25" hidden="false" customHeight="true" outlineLevel="0" collapsed="false">
      <c r="A2" s="2" t="s">
        <v>0</v>
      </c>
      <c r="B2" s="2"/>
    </row>
    <row r="3" customFormat="false" ht="45" hidden="false" customHeight="true" outlineLevel="0" collapsed="false">
      <c r="A3" s="3" t="s">
        <v>1</v>
      </c>
      <c r="B3" s="3"/>
    </row>
    <row r="4" customFormat="false" ht="15" hidden="false" customHeight="false" outlineLevel="0" collapsed="false">
      <c r="A4" s="4"/>
    </row>
    <row r="5" customFormat="false" ht="16.4" hidden="false" customHeight="false" outlineLevel="0" collapsed="false">
      <c r="A5" s="5" t="s">
        <v>2</v>
      </c>
      <c r="B5" s="6" t="s">
        <v>3</v>
      </c>
    </row>
    <row r="6" customFormat="false" ht="31.3" hidden="false" customHeight="false" outlineLevel="0" collapsed="false">
      <c r="A6" s="7" t="s">
        <v>4</v>
      </c>
      <c r="B6" s="6" t="s">
        <v>5</v>
      </c>
    </row>
    <row r="7" customFormat="false" ht="16.4" hidden="false" customHeight="false" outlineLevel="0" collapsed="false">
      <c r="A7" s="8" t="s">
        <v>6</v>
      </c>
      <c r="B7" s="6" t="s">
        <v>7</v>
      </c>
    </row>
  </sheetData>
  <mergeCells count="2">
    <mergeCell ref="A2:B2"/>
    <mergeCell ref="A3:B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E699"/>
    <pageSetUpPr fitToPage="false"/>
  </sheetPr>
  <dimension ref="A1:FY327"/>
  <sheetViews>
    <sheetView showFormulas="false" showGridLines="true" showRowColHeaders="true" showZeros="true" rightToLeft="false" tabSelected="false" showOutlineSymbols="true" defaultGridColor="true" view="normal" topLeftCell="A1" colorId="64" zoomScale="95" zoomScaleNormal="95" zoomScalePageLayoutView="100" workbookViewId="0">
      <selection pane="topLeft" activeCell="A1" activeCellId="0" sqref="A1"/>
    </sheetView>
  </sheetViews>
  <sheetFormatPr defaultColWidth="11.4296875" defaultRowHeight="15" customHeight="true" zeroHeight="false" outlineLevelRow="0" outlineLevelCol="0"/>
  <cols>
    <col collapsed="false" customWidth="true" hidden="false" outlineLevel="0" max="1" min="1" style="1" width="44.86"/>
    <col collapsed="false" customWidth="true" hidden="false" outlineLevel="0" max="2" min="2" style="1" width="35.28"/>
    <col collapsed="false" customWidth="true" hidden="false" outlineLevel="0" max="3" min="3" style="1" width="80"/>
    <col collapsed="false" customWidth="true" hidden="false" outlineLevel="0" max="4" min="4" style="1" width="56.72"/>
    <col collapsed="false" customWidth="true" hidden="false" outlineLevel="0" max="5" min="5" style="1" width="39.43"/>
    <col collapsed="false" customWidth="true" hidden="false" outlineLevel="0" max="6" min="6" style="1" width="68.43"/>
    <col collapsed="false" customWidth="true" hidden="false" outlineLevel="0" max="7" min="7" style="1" width="34.29"/>
    <col collapsed="false" customWidth="true" hidden="false" outlineLevel="0" max="8" min="8" style="1" width="32.43"/>
    <col collapsed="false" customWidth="true" hidden="false" outlineLevel="0" max="9" min="9" style="1" width="20.29"/>
    <col collapsed="false" customWidth="true" hidden="false" outlineLevel="0" max="17" min="17" style="1" width="35.57"/>
  </cols>
  <sheetData>
    <row r="1" customFormat="false" ht="29.15" hidden="false" customHeight="false" outlineLevel="0" collapsed="false">
      <c r="A1" s="9" t="s">
        <v>8</v>
      </c>
      <c r="B1" s="10"/>
      <c r="C1" s="11"/>
      <c r="D1" s="11"/>
    </row>
    <row r="2" customFormat="false" ht="15" hidden="false" customHeight="false" outlineLevel="0" collapsed="false">
      <c r="A2" s="12" t="s">
        <v>9</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4"/>
    </row>
    <row r="3" customFormat="false" ht="15" hidden="false" customHeight="false" outlineLevel="0" collapsed="false">
      <c r="A3" s="15" t="s">
        <v>10</v>
      </c>
      <c r="B3" s="1" t="s">
        <v>11</v>
      </c>
      <c r="C3" s="16" t="s">
        <v>12</v>
      </c>
      <c r="D3" s="17" t="s">
        <v>13</v>
      </c>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c r="BI3" s="18"/>
      <c r="BJ3" s="18"/>
      <c r="BK3" s="18"/>
      <c r="BL3" s="18"/>
      <c r="BM3" s="18"/>
      <c r="BN3" s="18"/>
      <c r="BO3" s="18"/>
      <c r="BP3" s="18"/>
      <c r="BQ3" s="18"/>
      <c r="BR3" s="18"/>
      <c r="BS3" s="18"/>
      <c r="BT3" s="18"/>
      <c r="BU3" s="18"/>
      <c r="BV3" s="18"/>
      <c r="BW3" s="18"/>
      <c r="BX3" s="18"/>
      <c r="BY3" s="18"/>
      <c r="BZ3" s="18"/>
      <c r="CA3" s="18"/>
      <c r="CB3" s="18"/>
      <c r="CC3" s="18"/>
      <c r="CD3" s="18"/>
      <c r="CE3" s="18"/>
      <c r="CF3" s="18"/>
      <c r="CG3" s="18"/>
      <c r="CH3" s="18"/>
      <c r="CI3" s="19"/>
      <c r="CJ3" s="19"/>
      <c r="CK3" s="19"/>
      <c r="CL3" s="20"/>
    </row>
    <row r="4" customFormat="false" ht="15" hidden="false" customHeight="false" outlineLevel="0" collapsed="false">
      <c r="A4" s="21" t="s">
        <v>14</v>
      </c>
      <c r="B4" s="22" t="s">
        <v>15</v>
      </c>
      <c r="C4" s="23"/>
      <c r="D4" s="24"/>
    </row>
    <row r="5" customFormat="false" ht="15" hidden="false" customHeight="false" outlineLevel="0" collapsed="false">
      <c r="A5" s="21"/>
      <c r="B5" s="21"/>
      <c r="C5" s="25" t="s">
        <v>16</v>
      </c>
      <c r="D5" s="26" t="s">
        <v>17</v>
      </c>
      <c r="E5" s="27" t="n">
        <v>2015</v>
      </c>
      <c r="F5" s="27" t="n">
        <v>2016</v>
      </c>
      <c r="G5" s="27" t="n">
        <v>2017</v>
      </c>
      <c r="H5" s="27" t="n">
        <v>2018</v>
      </c>
      <c r="I5" s="27" t="n">
        <v>2019</v>
      </c>
      <c r="J5" s="27" t="n">
        <v>2020</v>
      </c>
      <c r="K5" s="27" t="n">
        <v>2021</v>
      </c>
      <c r="L5" s="27" t="n">
        <v>2022</v>
      </c>
      <c r="M5" s="27" t="n">
        <v>2023</v>
      </c>
      <c r="N5" s="27" t="n">
        <v>2024</v>
      </c>
      <c r="O5" s="27" t="n">
        <v>2025</v>
      </c>
      <c r="P5" s="27" t="n">
        <v>2026</v>
      </c>
      <c r="Q5" s="27" t="n">
        <v>2027</v>
      </c>
      <c r="R5" s="27" t="n">
        <v>2028</v>
      </c>
      <c r="S5" s="27" t="n">
        <v>2029</v>
      </c>
      <c r="T5" s="27" t="n">
        <v>2030</v>
      </c>
      <c r="U5" s="27" t="n">
        <v>2031</v>
      </c>
      <c r="V5" s="27" t="n">
        <v>2032</v>
      </c>
      <c r="W5" s="27" t="n">
        <v>2033</v>
      </c>
      <c r="X5" s="27" t="n">
        <v>2034</v>
      </c>
      <c r="Y5" s="27" t="n">
        <v>2035</v>
      </c>
      <c r="Z5" s="27" t="n">
        <v>2036</v>
      </c>
      <c r="AA5" s="27" t="n">
        <v>2037</v>
      </c>
      <c r="AB5" s="27" t="n">
        <v>2038</v>
      </c>
      <c r="AC5" s="27" t="n">
        <v>2039</v>
      </c>
      <c r="AD5" s="27" t="n">
        <v>2040</v>
      </c>
      <c r="AE5" s="27" t="n">
        <v>2041</v>
      </c>
      <c r="AF5" s="27" t="n">
        <v>2042</v>
      </c>
      <c r="AG5" s="27" t="n">
        <v>2043</v>
      </c>
      <c r="AH5" s="27" t="n">
        <v>2044</v>
      </c>
      <c r="AI5" s="27" t="n">
        <v>2045</v>
      </c>
      <c r="AJ5" s="27" t="n">
        <v>2046</v>
      </c>
      <c r="AK5" s="27" t="n">
        <v>2047</v>
      </c>
      <c r="AL5" s="27" t="n">
        <v>2048</v>
      </c>
      <c r="AM5" s="27" t="n">
        <v>2049</v>
      </c>
      <c r="AN5" s="27" t="n">
        <v>2050</v>
      </c>
      <c r="AO5" s="27" t="n">
        <v>2051</v>
      </c>
      <c r="AP5" s="27" t="n">
        <v>2052</v>
      </c>
      <c r="AQ5" s="27" t="n">
        <v>2053</v>
      </c>
      <c r="AR5" s="27" t="n">
        <v>2054</v>
      </c>
      <c r="AS5" s="27" t="n">
        <v>2055</v>
      </c>
      <c r="AT5" s="27" t="n">
        <v>2056</v>
      </c>
      <c r="AU5" s="27" t="n">
        <v>2057</v>
      </c>
      <c r="AV5" s="27" t="n">
        <v>2058</v>
      </c>
      <c r="AW5" s="27" t="n">
        <v>2059</v>
      </c>
      <c r="AX5" s="27" t="n">
        <v>2060</v>
      </c>
      <c r="AY5" s="27" t="n">
        <v>2061</v>
      </c>
      <c r="AZ5" s="27" t="n">
        <v>2062</v>
      </c>
      <c r="BA5" s="27" t="n">
        <v>2063</v>
      </c>
      <c r="BB5" s="27" t="n">
        <v>2064</v>
      </c>
      <c r="BC5" s="27" t="n">
        <v>2065</v>
      </c>
      <c r="BD5" s="27" t="n">
        <v>2066</v>
      </c>
      <c r="BE5" s="27" t="n">
        <v>2067</v>
      </c>
      <c r="BF5" s="27" t="n">
        <v>2068</v>
      </c>
      <c r="BG5" s="27" t="n">
        <v>2069</v>
      </c>
      <c r="BH5" s="27" t="n">
        <v>2070</v>
      </c>
      <c r="BI5" s="27" t="n">
        <v>2071</v>
      </c>
      <c r="BJ5" s="27" t="n">
        <v>2072</v>
      </c>
      <c r="BK5" s="27" t="n">
        <v>2073</v>
      </c>
      <c r="BL5" s="27" t="n">
        <v>2074</v>
      </c>
      <c r="BM5" s="27" t="n">
        <v>2075</v>
      </c>
      <c r="BN5" s="27" t="n">
        <v>2076</v>
      </c>
      <c r="BO5" s="27" t="n">
        <v>2077</v>
      </c>
      <c r="BP5" s="27" t="n">
        <v>2078</v>
      </c>
      <c r="BQ5" s="27" t="n">
        <v>2079</v>
      </c>
      <c r="BR5" s="27" t="n">
        <v>2080</v>
      </c>
      <c r="BS5" s="27" t="n">
        <v>2081</v>
      </c>
      <c r="BT5" s="27" t="n">
        <v>2082</v>
      </c>
      <c r="BU5" s="27" t="n">
        <v>2083</v>
      </c>
      <c r="BV5" s="27" t="n">
        <v>2084</v>
      </c>
      <c r="BW5" s="27" t="n">
        <v>2085</v>
      </c>
      <c r="BX5" s="27" t="n">
        <v>2086</v>
      </c>
      <c r="BY5" s="27" t="n">
        <v>2087</v>
      </c>
      <c r="BZ5" s="27" t="n">
        <v>2088</v>
      </c>
      <c r="CA5" s="27" t="n">
        <v>2089</v>
      </c>
      <c r="CB5" s="27" t="n">
        <v>2090</v>
      </c>
      <c r="CC5" s="27" t="n">
        <v>2091</v>
      </c>
      <c r="CD5" s="27" t="n">
        <v>2092</v>
      </c>
      <c r="CE5" s="27" t="n">
        <v>2093</v>
      </c>
      <c r="CF5" s="27" t="n">
        <v>2094</v>
      </c>
      <c r="CG5" s="27" t="n">
        <v>2095</v>
      </c>
      <c r="CH5" s="27" t="n">
        <v>2096</v>
      </c>
      <c r="CI5" s="27" t="n">
        <v>2097</v>
      </c>
      <c r="CJ5" s="27" t="n">
        <v>2098</v>
      </c>
      <c r="CK5" s="27" t="n">
        <v>2099</v>
      </c>
      <c r="CL5" s="27" t="n">
        <v>2100</v>
      </c>
    </row>
    <row r="6" customFormat="false" ht="15" hidden="false" customHeight="false" outlineLevel="0" collapsed="false">
      <c r="A6" s="21"/>
      <c r="B6" s="21"/>
      <c r="C6" s="25"/>
      <c r="D6" s="26" t="s">
        <v>18</v>
      </c>
      <c r="E6" s="28" t="s">
        <v>19</v>
      </c>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row>
    <row r="7" customFormat="false" ht="15" hidden="false" customHeight="false" outlineLevel="0" collapsed="false">
      <c r="A7" s="21"/>
      <c r="B7" s="22"/>
      <c r="C7" s="25" t="s">
        <v>20</v>
      </c>
      <c r="D7" s="15" t="s">
        <v>21</v>
      </c>
      <c r="E7" s="24" t="s">
        <v>22</v>
      </c>
      <c r="F7" s="15" t="s">
        <v>23</v>
      </c>
      <c r="G7" s="24" t="s">
        <v>24</v>
      </c>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9"/>
      <c r="BG7" s="19"/>
      <c r="BH7" s="19"/>
      <c r="BI7" s="19"/>
      <c r="BJ7" s="19"/>
      <c r="BK7" s="19"/>
      <c r="BL7" s="19"/>
      <c r="BM7" s="19"/>
      <c r="BN7" s="19"/>
      <c r="BO7" s="19"/>
      <c r="BP7" s="19"/>
      <c r="BQ7" s="19"/>
      <c r="BR7" s="19"/>
      <c r="BS7" s="19"/>
      <c r="BT7" s="19"/>
      <c r="BU7" s="19"/>
      <c r="BV7" s="19"/>
      <c r="BW7" s="19"/>
      <c r="BX7" s="19"/>
      <c r="BY7" s="19"/>
      <c r="BZ7" s="19"/>
      <c r="CA7" s="19"/>
      <c r="CB7" s="19"/>
      <c r="CC7" s="19"/>
      <c r="CD7" s="19"/>
      <c r="CE7" s="19"/>
      <c r="CF7" s="19"/>
      <c r="CG7" s="19"/>
      <c r="CH7" s="19"/>
      <c r="CI7" s="19"/>
      <c r="CJ7" s="19"/>
      <c r="CK7" s="19"/>
      <c r="CL7" s="19"/>
    </row>
    <row r="8" customFormat="false" ht="15" hidden="false" customHeight="false" outlineLevel="0" collapsed="false">
      <c r="A8" s="29" t="s">
        <v>25</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4"/>
    </row>
    <row r="9" customFormat="false" ht="15" hidden="false" customHeight="false" outlineLevel="0" collapsed="false">
      <c r="A9" s="30" t="s">
        <v>26</v>
      </c>
      <c r="B9" s="31" t="s">
        <v>27</v>
      </c>
      <c r="C9" s="32"/>
      <c r="D9" s="24"/>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33"/>
    </row>
    <row r="10" customFormat="false" ht="15" hidden="false" customHeight="false" outlineLevel="0" collapsed="false">
      <c r="A10" s="30"/>
      <c r="B10" s="31"/>
      <c r="C10" s="25" t="s">
        <v>16</v>
      </c>
      <c r="D10" s="26" t="s">
        <v>17</v>
      </c>
      <c r="E10" s="27" t="n">
        <v>2015</v>
      </c>
      <c r="F10" s="27" t="n">
        <v>2016</v>
      </c>
      <c r="G10" s="27" t="n">
        <v>2017</v>
      </c>
      <c r="H10" s="27" t="n">
        <v>2018</v>
      </c>
      <c r="I10" s="27" t="n">
        <v>2019</v>
      </c>
      <c r="J10" s="27" t="n">
        <v>2020</v>
      </c>
      <c r="K10" s="27" t="n">
        <v>2021</v>
      </c>
      <c r="L10" s="27" t="n">
        <v>2022</v>
      </c>
      <c r="M10" s="27" t="n">
        <v>2023</v>
      </c>
      <c r="N10" s="27" t="n">
        <v>2024</v>
      </c>
      <c r="O10" s="27" t="n">
        <v>2025</v>
      </c>
      <c r="P10" s="27" t="n">
        <v>2026</v>
      </c>
      <c r="Q10" s="27" t="n">
        <v>2027</v>
      </c>
      <c r="R10" s="27" t="n">
        <v>2028</v>
      </c>
      <c r="S10" s="27" t="n">
        <v>2029</v>
      </c>
      <c r="T10" s="27" t="n">
        <v>2030</v>
      </c>
      <c r="U10" s="27" t="n">
        <v>2031</v>
      </c>
      <c r="V10" s="27" t="n">
        <v>2032</v>
      </c>
      <c r="W10" s="27" t="n">
        <v>2033</v>
      </c>
      <c r="X10" s="27" t="n">
        <v>2034</v>
      </c>
      <c r="Y10" s="27" t="n">
        <v>2035</v>
      </c>
      <c r="Z10" s="27" t="n">
        <v>2036</v>
      </c>
      <c r="AA10" s="27" t="n">
        <v>2037</v>
      </c>
      <c r="AB10" s="27" t="n">
        <v>2038</v>
      </c>
      <c r="AC10" s="27" t="n">
        <v>2039</v>
      </c>
      <c r="AD10" s="27" t="n">
        <v>2040</v>
      </c>
      <c r="AE10" s="27" t="n">
        <v>2041</v>
      </c>
      <c r="AF10" s="27" t="n">
        <v>2042</v>
      </c>
      <c r="AG10" s="27" t="n">
        <v>2043</v>
      </c>
      <c r="AH10" s="27" t="n">
        <v>2044</v>
      </c>
      <c r="AI10" s="27" t="n">
        <v>2045</v>
      </c>
      <c r="AJ10" s="27" t="n">
        <v>2046</v>
      </c>
      <c r="AK10" s="27" t="n">
        <v>2047</v>
      </c>
      <c r="AL10" s="27" t="n">
        <v>2048</v>
      </c>
      <c r="AM10" s="27" t="n">
        <v>2049</v>
      </c>
      <c r="AN10" s="27" t="n">
        <v>2050</v>
      </c>
      <c r="AO10" s="27" t="n">
        <v>2051</v>
      </c>
      <c r="AP10" s="27" t="n">
        <v>2052</v>
      </c>
      <c r="AQ10" s="27" t="n">
        <v>2053</v>
      </c>
      <c r="AR10" s="27" t="n">
        <v>2054</v>
      </c>
      <c r="AS10" s="27" t="n">
        <v>2055</v>
      </c>
      <c r="AT10" s="27" t="n">
        <v>2056</v>
      </c>
      <c r="AU10" s="27" t="n">
        <v>2057</v>
      </c>
      <c r="AV10" s="27" t="n">
        <v>2058</v>
      </c>
      <c r="AW10" s="27" t="n">
        <v>2059</v>
      </c>
      <c r="AX10" s="27" t="n">
        <v>2060</v>
      </c>
      <c r="AY10" s="27" t="n">
        <v>2061</v>
      </c>
      <c r="AZ10" s="27" t="n">
        <v>2062</v>
      </c>
      <c r="BA10" s="27" t="n">
        <v>2063</v>
      </c>
      <c r="BB10" s="27" t="n">
        <v>2064</v>
      </c>
      <c r="BC10" s="27" t="n">
        <v>2065</v>
      </c>
      <c r="BD10" s="27" t="n">
        <v>2066</v>
      </c>
      <c r="BE10" s="27" t="n">
        <v>2067</v>
      </c>
      <c r="BF10" s="27" t="n">
        <v>2068</v>
      </c>
      <c r="BG10" s="27" t="n">
        <v>2069</v>
      </c>
      <c r="BH10" s="27" t="n">
        <v>2070</v>
      </c>
      <c r="BI10" s="27" t="n">
        <v>2071</v>
      </c>
      <c r="BJ10" s="27" t="n">
        <v>2072</v>
      </c>
      <c r="BK10" s="27" t="n">
        <v>2073</v>
      </c>
      <c r="BL10" s="27" t="n">
        <v>2074</v>
      </c>
      <c r="BM10" s="27" t="n">
        <v>2075</v>
      </c>
      <c r="BN10" s="27" t="n">
        <v>2076</v>
      </c>
      <c r="BO10" s="27" t="n">
        <v>2077</v>
      </c>
      <c r="BP10" s="27" t="n">
        <v>2078</v>
      </c>
      <c r="BQ10" s="27" t="n">
        <v>2079</v>
      </c>
      <c r="BR10" s="27" t="n">
        <v>2080</v>
      </c>
      <c r="BS10" s="27" t="n">
        <v>2081</v>
      </c>
      <c r="BT10" s="27" t="n">
        <v>2082</v>
      </c>
      <c r="BU10" s="27" t="n">
        <v>2083</v>
      </c>
      <c r="BV10" s="27" t="n">
        <v>2084</v>
      </c>
      <c r="BW10" s="27" t="n">
        <v>2085</v>
      </c>
      <c r="BX10" s="27" t="n">
        <v>2086</v>
      </c>
      <c r="BY10" s="27" t="n">
        <v>2087</v>
      </c>
      <c r="BZ10" s="27" t="n">
        <v>2088</v>
      </c>
      <c r="CA10" s="27" t="n">
        <v>2089</v>
      </c>
      <c r="CB10" s="27" t="n">
        <v>2090</v>
      </c>
      <c r="CC10" s="27" t="n">
        <v>2091</v>
      </c>
      <c r="CD10" s="27" t="n">
        <v>2092</v>
      </c>
      <c r="CE10" s="27" t="n">
        <v>2093</v>
      </c>
      <c r="CF10" s="27" t="n">
        <v>2094</v>
      </c>
      <c r="CG10" s="27" t="n">
        <v>2095</v>
      </c>
      <c r="CH10" s="27" t="n">
        <v>2096</v>
      </c>
      <c r="CI10" s="27" t="n">
        <v>2097</v>
      </c>
      <c r="CJ10" s="27" t="n">
        <v>2098</v>
      </c>
      <c r="CK10" s="27" t="n">
        <v>2099</v>
      </c>
      <c r="CL10" s="34" t="n">
        <v>2100</v>
      </c>
      <c r="CM10" s="35" t="n">
        <v>2101</v>
      </c>
    </row>
    <row r="11" customFormat="false" ht="15" hidden="false" customHeight="false" outlineLevel="0" collapsed="false">
      <c r="A11" s="30"/>
      <c r="B11" s="31"/>
      <c r="C11" s="25"/>
      <c r="D11" s="26" t="s">
        <v>18</v>
      </c>
      <c r="E11" s="28" t="s">
        <v>28</v>
      </c>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36"/>
      <c r="CM11" s="37"/>
    </row>
    <row r="12" customFormat="false" ht="15" hidden="false" customHeight="false" outlineLevel="0" collapsed="false">
      <c r="A12" s="30"/>
      <c r="B12" s="31"/>
      <c r="C12" s="25" t="s">
        <v>20</v>
      </c>
      <c r="D12" s="15" t="s">
        <v>21</v>
      </c>
      <c r="E12" s="24" t="s">
        <v>29</v>
      </c>
      <c r="F12" s="15" t="s">
        <v>23</v>
      </c>
      <c r="G12" s="24" t="s">
        <v>30</v>
      </c>
    </row>
    <row r="15" customFormat="false" ht="15" hidden="false" customHeight="false" outlineLevel="0" collapsed="false">
      <c r="A15" s="38"/>
    </row>
    <row r="16" customFormat="false" ht="15" hidden="false" customHeight="false" outlineLevel="0" collapsed="false">
      <c r="A16" s="39"/>
      <c r="C16" s="40"/>
    </row>
    <row r="17" customFormat="false" ht="15" hidden="false" customHeight="false" outlineLevel="0" collapsed="false">
      <c r="A17" s="39"/>
      <c r="C17" s="40"/>
    </row>
    <row r="18" customFormat="false" ht="15" hidden="false" customHeight="false" outlineLevel="0" collapsed="false">
      <c r="A18" s="41" t="s">
        <v>31</v>
      </c>
      <c r="B18" s="42"/>
      <c r="C18" s="43"/>
      <c r="D18" s="43"/>
      <c r="E18" s="43"/>
      <c r="F18" s="43"/>
      <c r="G18" s="43"/>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c r="AG18" s="42"/>
      <c r="AH18" s="42"/>
      <c r="AI18" s="42"/>
      <c r="AJ18" s="42"/>
      <c r="AK18" s="42"/>
      <c r="AL18" s="42"/>
      <c r="AM18" s="42"/>
      <c r="AN18" s="42"/>
      <c r="AO18" s="42"/>
      <c r="AP18" s="42"/>
      <c r="AQ18" s="42"/>
      <c r="AR18" s="42"/>
      <c r="AS18" s="42"/>
      <c r="AT18" s="42"/>
      <c r="AU18" s="42"/>
      <c r="AV18" s="42"/>
      <c r="AW18" s="42"/>
      <c r="AX18" s="42"/>
      <c r="AY18" s="42"/>
      <c r="AZ18" s="42"/>
      <c r="BA18" s="42"/>
      <c r="BB18" s="42"/>
      <c r="BC18" s="42"/>
      <c r="BD18" s="42"/>
      <c r="BE18" s="42"/>
      <c r="BF18" s="42"/>
      <c r="BG18" s="42"/>
      <c r="BH18" s="42"/>
      <c r="BI18" s="42"/>
      <c r="BJ18" s="42"/>
      <c r="BK18" s="42"/>
      <c r="BL18" s="42"/>
      <c r="BM18" s="42"/>
      <c r="BN18" s="42"/>
      <c r="BO18" s="42"/>
      <c r="BP18" s="42"/>
      <c r="BQ18" s="42"/>
      <c r="BR18" s="42"/>
      <c r="BS18" s="42"/>
      <c r="BT18" s="42"/>
      <c r="BU18" s="42"/>
      <c r="BV18" s="42"/>
      <c r="BW18" s="42"/>
      <c r="BX18" s="42"/>
      <c r="BY18" s="42"/>
      <c r="BZ18" s="42"/>
      <c r="CA18" s="42"/>
      <c r="CB18" s="42"/>
      <c r="CC18" s="42"/>
      <c r="CD18" s="42"/>
      <c r="CE18" s="42"/>
      <c r="CF18" s="42"/>
      <c r="CG18" s="42"/>
      <c r="CH18" s="42"/>
      <c r="CI18" s="42"/>
      <c r="CJ18" s="42"/>
      <c r="CK18" s="42"/>
      <c r="CL18" s="44"/>
    </row>
    <row r="19" customFormat="false" ht="14.25" hidden="false" customHeight="true" outlineLevel="0" collapsed="false">
      <c r="A19" s="45" t="s">
        <v>32</v>
      </c>
      <c r="B19" s="46" t="s">
        <v>33</v>
      </c>
      <c r="C19" s="46"/>
      <c r="D19" s="47" t="s">
        <v>34</v>
      </c>
      <c r="G19" s="48"/>
    </row>
    <row r="20" customFormat="false" ht="15" hidden="false" customHeight="false" outlineLevel="0" collapsed="false">
      <c r="A20" s="45"/>
      <c r="B20" s="46" t="s">
        <v>35</v>
      </c>
      <c r="C20" s="46"/>
      <c r="D20" s="47"/>
      <c r="G20" s="48"/>
    </row>
    <row r="21" customFormat="false" ht="15" hidden="false" customHeight="false" outlineLevel="0" collapsed="false">
      <c r="A21" s="45"/>
      <c r="B21" s="46" t="s">
        <v>36</v>
      </c>
      <c r="C21" s="46"/>
      <c r="D21" s="47"/>
      <c r="G21" s="48"/>
    </row>
    <row r="22" customFormat="false" ht="15" hidden="false" customHeight="false" outlineLevel="0" collapsed="false">
      <c r="A22" s="45"/>
      <c r="B22" s="46" t="s">
        <v>37</v>
      </c>
      <c r="C22" s="46"/>
      <c r="D22" s="47"/>
      <c r="E22" s="49" t="s">
        <v>38</v>
      </c>
      <c r="F22" s="50" t="s">
        <v>39</v>
      </c>
      <c r="G22" s="51" t="s">
        <v>40</v>
      </c>
      <c r="H22" s="28" t="s">
        <v>41</v>
      </c>
      <c r="I22" s="52"/>
      <c r="L22" s="53"/>
      <c r="M22" s="39"/>
    </row>
    <row r="23" customFormat="false" ht="15" hidden="false" customHeight="false" outlineLevel="0" collapsed="false">
      <c r="A23" s="41" t="s">
        <v>42</v>
      </c>
      <c r="B23" s="42"/>
      <c r="C23" s="42"/>
      <c r="D23" s="42"/>
      <c r="E23" s="41" t="s">
        <v>43</v>
      </c>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c r="AG23" s="42"/>
      <c r="AH23" s="42"/>
      <c r="AI23" s="42"/>
      <c r="AJ23" s="42"/>
      <c r="AK23" s="42"/>
      <c r="AL23" s="42"/>
      <c r="AM23" s="42"/>
      <c r="AN23" s="42"/>
      <c r="AO23" s="42"/>
      <c r="AP23" s="42"/>
      <c r="AQ23" s="42"/>
      <c r="AR23" s="42"/>
      <c r="AS23" s="42"/>
      <c r="AT23" s="42"/>
      <c r="AU23" s="42"/>
      <c r="AV23" s="42"/>
      <c r="AW23" s="42"/>
      <c r="AX23" s="42"/>
      <c r="AY23" s="42"/>
      <c r="AZ23" s="42"/>
      <c r="BA23" s="42"/>
      <c r="BB23" s="42"/>
      <c r="BC23" s="42"/>
      <c r="BD23" s="42"/>
      <c r="BE23" s="42"/>
      <c r="BF23" s="42"/>
      <c r="BG23" s="42"/>
      <c r="BH23" s="42"/>
      <c r="BI23" s="42"/>
      <c r="BJ23" s="42"/>
      <c r="BK23" s="42"/>
      <c r="BL23" s="42"/>
      <c r="BM23" s="42"/>
      <c r="BN23" s="42"/>
      <c r="BO23" s="42"/>
      <c r="BP23" s="42"/>
      <c r="BQ23" s="42"/>
      <c r="BR23" s="42"/>
      <c r="BS23" s="42"/>
      <c r="BT23" s="42"/>
      <c r="BU23" s="42"/>
      <c r="BV23" s="42"/>
      <c r="BW23" s="42"/>
      <c r="BX23" s="42"/>
      <c r="BY23" s="42"/>
      <c r="BZ23" s="42"/>
      <c r="CA23" s="42"/>
      <c r="CB23" s="42"/>
      <c r="CC23" s="42"/>
      <c r="CD23" s="42"/>
      <c r="CE23" s="42"/>
      <c r="CF23" s="42"/>
      <c r="CG23" s="42"/>
      <c r="CH23" s="42"/>
      <c r="CI23" s="42"/>
      <c r="CJ23" s="42"/>
      <c r="CK23" s="42"/>
      <c r="CL23" s="44"/>
    </row>
    <row r="24" customFormat="false" ht="15" hidden="false" customHeight="true" outlineLevel="0" collapsed="false">
      <c r="A24" s="15" t="s">
        <v>44</v>
      </c>
      <c r="B24" s="27" t="s">
        <v>45</v>
      </c>
      <c r="C24" s="54" t="s">
        <v>46</v>
      </c>
      <c r="D24" s="39"/>
      <c r="E24" s="15" t="s">
        <v>47</v>
      </c>
      <c r="F24" s="55" t="s">
        <v>11</v>
      </c>
      <c r="G24" s="16"/>
      <c r="I24" s="15" t="s">
        <v>48</v>
      </c>
      <c r="J24" s="27" t="s">
        <v>49</v>
      </c>
      <c r="K24" s="16"/>
    </row>
    <row r="25" customFormat="false" ht="15" hidden="false" customHeight="false" outlineLevel="0" collapsed="false">
      <c r="A25" s="15" t="s">
        <v>50</v>
      </c>
      <c r="B25" s="27" t="s">
        <v>51</v>
      </c>
      <c r="C25" s="56" t="s">
        <v>52</v>
      </c>
      <c r="D25" s="57"/>
      <c r="E25" s="15" t="s">
        <v>53</v>
      </c>
      <c r="F25" s="55" t="s">
        <v>11</v>
      </c>
      <c r="G25" s="16"/>
    </row>
    <row r="26" customFormat="false" ht="14.25" hidden="false" customHeight="true" outlineLevel="0" collapsed="false">
      <c r="A26" s="15" t="s">
        <v>54</v>
      </c>
      <c r="B26" s="27" t="s">
        <v>45</v>
      </c>
      <c r="C26" s="58" t="s">
        <v>55</v>
      </c>
      <c r="D26" s="39"/>
      <c r="E26" s="15" t="s">
        <v>56</v>
      </c>
      <c r="F26" s="55" t="s">
        <v>11</v>
      </c>
      <c r="G26" s="16"/>
    </row>
    <row r="27" customFormat="false" ht="15" hidden="false" customHeight="false" outlineLevel="0" collapsed="false">
      <c r="A27" s="15" t="s">
        <v>57</v>
      </c>
      <c r="B27" s="27" t="s">
        <v>45</v>
      </c>
      <c r="C27" s="58" t="s">
        <v>58</v>
      </c>
      <c r="D27" s="39"/>
      <c r="E27" s="41" t="s">
        <v>59</v>
      </c>
    </row>
    <row r="28" customFormat="false" ht="15" hidden="false" customHeight="false" outlineLevel="0" collapsed="false">
      <c r="A28" s="15" t="s">
        <v>60</v>
      </c>
      <c r="B28" s="27" t="s">
        <v>45</v>
      </c>
      <c r="C28" s="56" t="s">
        <v>61</v>
      </c>
      <c r="D28" s="39"/>
      <c r="E28" s="15" t="s">
        <v>62</v>
      </c>
      <c r="F28" s="55" t="s">
        <v>11</v>
      </c>
      <c r="G28" s="59"/>
    </row>
    <row r="29" customFormat="false" ht="15" hidden="false" customHeight="false" outlineLevel="0" collapsed="false">
      <c r="A29" s="15" t="s">
        <v>63</v>
      </c>
      <c r="B29" s="27" t="s">
        <v>45</v>
      </c>
      <c r="C29" s="56" t="s">
        <v>64</v>
      </c>
      <c r="D29" s="39"/>
      <c r="E29" s="15" t="s">
        <v>65</v>
      </c>
      <c r="F29" s="55" t="s">
        <v>11</v>
      </c>
      <c r="G29" s="60"/>
    </row>
    <row r="30" customFormat="false" ht="15" hidden="false" customHeight="false" outlineLevel="0" collapsed="false">
      <c r="A30" s="15" t="s">
        <v>66</v>
      </c>
      <c r="B30" s="27" t="s">
        <v>67</v>
      </c>
      <c r="C30" s="61" t="s">
        <v>68</v>
      </c>
      <c r="D30" s="39"/>
      <c r="E30" s="15" t="s">
        <v>69</v>
      </c>
      <c r="F30" s="55" t="s">
        <v>11</v>
      </c>
      <c r="G30" s="62"/>
    </row>
    <row r="31" customFormat="false" ht="15" hidden="false" customHeight="false" outlineLevel="0" collapsed="false">
      <c r="A31" s="41" t="s">
        <v>70</v>
      </c>
      <c r="B31" s="42"/>
      <c r="C31" s="42"/>
      <c r="D31" s="43"/>
      <c r="E31" s="63"/>
      <c r="F31" s="64"/>
      <c r="G31" s="64"/>
      <c r="H31" s="41" t="s">
        <v>71</v>
      </c>
      <c r="I31" s="42"/>
      <c r="J31" s="42"/>
      <c r="K31" s="42"/>
      <c r="L31" s="42"/>
      <c r="M31" s="42"/>
      <c r="N31" s="42"/>
      <c r="O31" s="42"/>
      <c r="P31" s="64"/>
      <c r="Q31" s="42"/>
      <c r="R31" s="42"/>
      <c r="S31" s="42"/>
      <c r="T31" s="42"/>
      <c r="U31" s="42"/>
      <c r="V31" s="42"/>
      <c r="W31" s="42"/>
      <c r="X31" s="42"/>
      <c r="Y31" s="42"/>
      <c r="Z31" s="42"/>
      <c r="AA31" s="42"/>
      <c r="AB31" s="42"/>
      <c r="AC31" s="42"/>
      <c r="AD31" s="42"/>
      <c r="AE31" s="42"/>
      <c r="AF31" s="42"/>
      <c r="AG31" s="42"/>
      <c r="AH31" s="42"/>
      <c r="AI31" s="42"/>
      <c r="AJ31" s="42"/>
      <c r="AK31" s="42"/>
      <c r="AL31" s="42"/>
      <c r="AM31" s="42"/>
      <c r="AN31" s="42"/>
      <c r="AO31" s="42"/>
      <c r="AP31" s="42"/>
      <c r="AQ31" s="42"/>
      <c r="AR31" s="42"/>
      <c r="AS31" s="42"/>
      <c r="AT31" s="42"/>
      <c r="AU31" s="42"/>
      <c r="AV31" s="42"/>
      <c r="AW31" s="42"/>
      <c r="AX31" s="42"/>
      <c r="AY31" s="42"/>
      <c r="AZ31" s="42"/>
      <c r="BA31" s="42"/>
      <c r="BB31" s="42"/>
      <c r="BC31" s="42"/>
      <c r="BD31" s="42"/>
      <c r="BE31" s="42"/>
      <c r="BF31" s="42"/>
      <c r="BG31" s="42"/>
      <c r="BH31" s="42"/>
      <c r="BI31" s="42"/>
      <c r="BJ31" s="42"/>
      <c r="BK31" s="42"/>
      <c r="BL31" s="42"/>
      <c r="BM31" s="42"/>
      <c r="BN31" s="42"/>
      <c r="BO31" s="42"/>
      <c r="BP31" s="42"/>
      <c r="BQ31" s="42"/>
      <c r="BR31" s="42"/>
      <c r="BS31" s="42"/>
      <c r="BT31" s="42"/>
      <c r="BU31" s="42"/>
      <c r="BV31" s="42"/>
      <c r="BW31" s="42"/>
      <c r="BX31" s="42"/>
      <c r="BY31" s="42"/>
      <c r="BZ31" s="42"/>
      <c r="CA31" s="42"/>
      <c r="CB31" s="42"/>
      <c r="CC31" s="42"/>
      <c r="CD31" s="42"/>
      <c r="CE31" s="42"/>
      <c r="CF31" s="42"/>
      <c r="CG31" s="42"/>
      <c r="CH31" s="42"/>
      <c r="CI31" s="42"/>
      <c r="CJ31" s="42"/>
      <c r="CK31" s="42"/>
      <c r="CL31" s="44"/>
    </row>
    <row r="32" customFormat="false" ht="15" hidden="false" customHeight="false" outlineLevel="0" collapsed="false">
      <c r="A32" s="15" t="s">
        <v>72</v>
      </c>
      <c r="B32" s="27" t="s">
        <v>73</v>
      </c>
      <c r="C32" s="65" t="s">
        <v>74</v>
      </c>
      <c r="D32" s="15" t="s">
        <v>75</v>
      </c>
      <c r="E32" s="27" t="s">
        <v>17</v>
      </c>
      <c r="F32" s="28" t="s">
        <v>76</v>
      </c>
      <c r="G32" s="66"/>
      <c r="H32" s="15" t="s">
        <v>47</v>
      </c>
      <c r="I32" s="55" t="s">
        <v>11</v>
      </c>
      <c r="J32" s="67" t="s">
        <v>77</v>
      </c>
      <c r="K32" s="67"/>
      <c r="L32" s="67"/>
      <c r="M32" s="67"/>
      <c r="N32" s="67"/>
      <c r="O32" s="67"/>
      <c r="P32" s="39"/>
      <c r="Q32" s="66"/>
      <c r="R32" s="66"/>
      <c r="S32" s="66"/>
    </row>
    <row r="33" customFormat="false" ht="15" hidden="false" customHeight="false" outlineLevel="0" collapsed="false">
      <c r="A33" s="15" t="s">
        <v>78</v>
      </c>
      <c r="B33" s="27" t="s">
        <v>73</v>
      </c>
      <c r="C33" s="65" t="s">
        <v>74</v>
      </c>
      <c r="D33" s="15" t="s">
        <v>79</v>
      </c>
      <c r="E33" s="27" t="s">
        <v>17</v>
      </c>
      <c r="F33" s="65" t="s">
        <v>80</v>
      </c>
      <c r="G33" s="66"/>
      <c r="H33" s="15" t="s">
        <v>53</v>
      </c>
      <c r="I33" s="55" t="s">
        <v>11</v>
      </c>
      <c r="J33" s="67" t="s">
        <v>81</v>
      </c>
      <c r="K33" s="67"/>
      <c r="L33" s="67"/>
      <c r="M33" s="67"/>
      <c r="N33" s="67"/>
      <c r="O33" s="67"/>
      <c r="P33" s="39"/>
      <c r="Q33" s="66"/>
      <c r="R33" s="66"/>
      <c r="S33" s="66"/>
    </row>
    <row r="34" customFormat="false" ht="15" hidden="false" customHeight="false" outlineLevel="0" collapsed="false">
      <c r="A34" s="15" t="s">
        <v>82</v>
      </c>
      <c r="B34" s="27" t="s">
        <v>73</v>
      </c>
      <c r="C34" s="65" t="s">
        <v>74</v>
      </c>
      <c r="D34" s="66"/>
      <c r="E34" s="66"/>
      <c r="F34" s="66"/>
      <c r="G34" s="66"/>
      <c r="H34" s="15" t="s">
        <v>56</v>
      </c>
      <c r="I34" s="55" t="s">
        <v>11</v>
      </c>
      <c r="J34" s="67" t="s">
        <v>83</v>
      </c>
      <c r="K34" s="67"/>
      <c r="L34" s="67"/>
      <c r="M34" s="67"/>
      <c r="N34" s="67"/>
      <c r="O34" s="67"/>
      <c r="P34" s="39"/>
      <c r="Q34" s="66"/>
      <c r="R34" s="66"/>
      <c r="S34" s="66"/>
    </row>
    <row r="35" customFormat="false" ht="15" hidden="false" customHeight="false" outlineLevel="0" collapsed="false">
      <c r="A35" s="15" t="s">
        <v>84</v>
      </c>
      <c r="B35" s="27" t="s">
        <v>73</v>
      </c>
      <c r="C35" s="65" t="s">
        <v>74</v>
      </c>
      <c r="D35" s="15" t="s">
        <v>85</v>
      </c>
      <c r="E35" s="55" t="s">
        <v>11</v>
      </c>
      <c r="F35" s="68" t="n">
        <v>0.5</v>
      </c>
      <c r="J35" s="69"/>
      <c r="K35" s="69"/>
      <c r="L35" s="69"/>
      <c r="M35" s="69"/>
      <c r="N35" s="69"/>
      <c r="O35" s="69"/>
    </row>
    <row r="36" customFormat="false" ht="15" hidden="false" customHeight="false" outlineLevel="0" collapsed="false">
      <c r="A36" s="15" t="s">
        <v>86</v>
      </c>
      <c r="B36" s="27" t="s">
        <v>73</v>
      </c>
      <c r="C36" s="65" t="s">
        <v>74</v>
      </c>
      <c r="D36" s="66"/>
      <c r="E36" s="66"/>
      <c r="F36" s="4"/>
      <c r="H36" s="15" t="s">
        <v>62</v>
      </c>
      <c r="I36" s="55" t="s">
        <v>11</v>
      </c>
      <c r="J36" s="67" t="s">
        <v>87</v>
      </c>
      <c r="K36" s="67"/>
      <c r="L36" s="67"/>
      <c r="M36" s="67"/>
      <c r="N36" s="67"/>
      <c r="O36" s="67"/>
      <c r="P36" s="70"/>
    </row>
    <row r="37" customFormat="false" ht="15" hidden="false" customHeight="false" outlineLevel="0" collapsed="false">
      <c r="A37" s="15" t="s">
        <v>88</v>
      </c>
      <c r="B37" s="27" t="s">
        <v>73</v>
      </c>
      <c r="C37" s="65" t="s">
        <v>74</v>
      </c>
      <c r="D37" s="15" t="s">
        <v>89</v>
      </c>
      <c r="E37" s="27" t="s">
        <v>73</v>
      </c>
      <c r="F37" s="65" t="s">
        <v>74</v>
      </c>
      <c r="H37" s="15" t="s">
        <v>90</v>
      </c>
      <c r="I37" s="55" t="s">
        <v>11</v>
      </c>
      <c r="J37" s="67" t="s">
        <v>91</v>
      </c>
      <c r="K37" s="67"/>
      <c r="L37" s="67"/>
      <c r="M37" s="67"/>
      <c r="N37" s="67"/>
      <c r="O37" s="67"/>
      <c r="P37" s="40"/>
      <c r="Q37" s="15" t="s">
        <v>69</v>
      </c>
      <c r="R37" s="55" t="s">
        <v>11</v>
      </c>
      <c r="S37" s="60" t="n">
        <v>0.5</v>
      </c>
    </row>
    <row r="38" customFormat="false" ht="15" hidden="false" customHeight="false" outlineLevel="0" collapsed="false">
      <c r="A38" s="15" t="s">
        <v>92</v>
      </c>
      <c r="B38" s="27" t="s">
        <v>73</v>
      </c>
      <c r="C38" s="65" t="s">
        <v>74</v>
      </c>
      <c r="D38" s="15" t="s">
        <v>93</v>
      </c>
      <c r="E38" s="27" t="s">
        <v>73</v>
      </c>
      <c r="F38" s="65" t="s">
        <v>74</v>
      </c>
      <c r="H38" s="15" t="s">
        <v>94</v>
      </c>
      <c r="I38" s="55" t="s">
        <v>11</v>
      </c>
      <c r="J38" s="67" t="s">
        <v>95</v>
      </c>
      <c r="K38" s="67"/>
      <c r="L38" s="67"/>
      <c r="M38" s="67"/>
      <c r="N38" s="67"/>
      <c r="O38" s="67"/>
    </row>
    <row r="39" customFormat="false" ht="15" hidden="false" customHeight="false" outlineLevel="0" collapsed="false">
      <c r="A39" s="71" t="s">
        <v>96</v>
      </c>
      <c r="B39" s="42"/>
      <c r="C39" s="42"/>
      <c r="D39" s="64"/>
      <c r="E39" s="64"/>
      <c r="F39" s="64"/>
      <c r="G39" s="42"/>
      <c r="H39" s="64"/>
      <c r="I39" s="64"/>
      <c r="J39" s="64"/>
      <c r="K39" s="64"/>
      <c r="L39" s="64"/>
      <c r="M39" s="64"/>
      <c r="N39" s="64"/>
      <c r="O39" s="42"/>
      <c r="P39" s="42"/>
      <c r="Q39" s="42"/>
      <c r="R39" s="42"/>
      <c r="S39" s="42"/>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4"/>
    </row>
    <row r="40" customFormat="false" ht="15" hidden="false" customHeight="false" outlineLevel="0" collapsed="false">
      <c r="A40" s="72" t="s">
        <v>97</v>
      </c>
      <c r="B40" s="73" t="s">
        <v>98</v>
      </c>
      <c r="C40" s="56" t="s">
        <v>99</v>
      </c>
      <c r="H40" s="39"/>
    </row>
    <row r="41" customFormat="false" ht="15" hidden="false" customHeight="false" outlineLevel="0" collapsed="false">
      <c r="A41" s="15" t="s">
        <v>100</v>
      </c>
      <c r="B41" s="55" t="s">
        <v>98</v>
      </c>
      <c r="C41" s="56" t="s">
        <v>101</v>
      </c>
      <c r="D41" s="39"/>
      <c r="F41" s="39"/>
      <c r="H41" s="39"/>
    </row>
    <row r="42" customFormat="false" ht="15" hidden="false" customHeight="false" outlineLevel="0" collapsed="false">
      <c r="A42" s="15" t="s">
        <v>102</v>
      </c>
      <c r="B42" s="74" t="s">
        <v>103</v>
      </c>
      <c r="C42" s="56" t="s">
        <v>104</v>
      </c>
      <c r="D42" s="39"/>
      <c r="E42" s="39"/>
      <c r="F42" s="39"/>
      <c r="H42" s="39"/>
      <c r="J42" s="75"/>
    </row>
    <row r="43" customFormat="false" ht="15" hidden="false" customHeight="false" outlineLevel="0" collapsed="false">
      <c r="A43" s="15" t="s">
        <v>105</v>
      </c>
      <c r="B43" s="76" t="s">
        <v>67</v>
      </c>
      <c r="C43" s="16" t="s">
        <v>106</v>
      </c>
    </row>
    <row r="44" customFormat="false" ht="15" hidden="false" customHeight="false" outlineLevel="0" collapsed="false">
      <c r="A44" s="71" t="s">
        <v>107</v>
      </c>
      <c r="B44" s="42"/>
      <c r="C44" s="42"/>
      <c r="D44" s="63"/>
      <c r="E44" s="63"/>
      <c r="F44" s="63"/>
      <c r="H44" s="39"/>
    </row>
    <row r="45" customFormat="false" ht="15" hidden="false" customHeight="false" outlineLevel="0" collapsed="false">
      <c r="A45" s="72" t="s">
        <v>108</v>
      </c>
      <c r="B45" s="77" t="s">
        <v>73</v>
      </c>
      <c r="C45" s="78" t="s">
        <v>109</v>
      </c>
      <c r="D45" s="15" t="s">
        <v>110</v>
      </c>
      <c r="E45" s="76" t="s">
        <v>17</v>
      </c>
      <c r="F45" s="79" t="s">
        <v>111</v>
      </c>
      <c r="H45" s="39"/>
    </row>
    <row r="46" customFormat="false" ht="15" hidden="false" customHeight="false" outlineLevel="0" collapsed="false">
      <c r="A46" s="15" t="s">
        <v>112</v>
      </c>
      <c r="B46" s="76" t="s">
        <v>17</v>
      </c>
      <c r="C46" s="54" t="s">
        <v>113</v>
      </c>
      <c r="D46" s="15" t="s">
        <v>114</v>
      </c>
      <c r="E46" s="27" t="s">
        <v>73</v>
      </c>
      <c r="F46" s="78" t="s">
        <v>74</v>
      </c>
      <c r="H46" s="39"/>
    </row>
    <row r="47" customFormat="false" ht="15" hidden="false" customHeight="false" outlineLevel="0" collapsed="false">
      <c r="A47" s="15" t="s">
        <v>115</v>
      </c>
      <c r="B47" s="76" t="s">
        <v>73</v>
      </c>
      <c r="C47" s="78" t="s">
        <v>109</v>
      </c>
    </row>
    <row r="48" customFormat="false" ht="15" hidden="false" customHeight="false" outlineLevel="0" collapsed="false">
      <c r="A48" s="15" t="s">
        <v>116</v>
      </c>
      <c r="B48" s="76" t="s">
        <v>17</v>
      </c>
      <c r="C48" s="80" t="s">
        <v>117</v>
      </c>
    </row>
    <row r="49" customFormat="false" ht="15" hidden="false" customHeight="false" outlineLevel="0" collapsed="false">
      <c r="A49" s="15" t="s">
        <v>118</v>
      </c>
      <c r="B49" s="76" t="s">
        <v>11</v>
      </c>
      <c r="C49" s="28" t="s">
        <v>119</v>
      </c>
    </row>
    <row r="50" customFormat="false" ht="15" hidden="false" customHeight="false" outlineLevel="0" collapsed="false">
      <c r="A50" s="15" t="s">
        <v>120</v>
      </c>
      <c r="B50" s="76" t="s">
        <v>73</v>
      </c>
      <c r="C50" s="65" t="s">
        <v>74</v>
      </c>
      <c r="D50" s="39"/>
      <c r="F50" s="39"/>
    </row>
    <row r="51" customFormat="false" ht="15" hidden="false" customHeight="false" outlineLevel="0" collapsed="false">
      <c r="A51" s="41" t="s">
        <v>121</v>
      </c>
      <c r="B51" s="42"/>
      <c r="C51" s="42"/>
      <c r="D51" s="81" t="s">
        <v>122</v>
      </c>
      <c r="E51" s="42"/>
      <c r="F51" s="42"/>
      <c r="G51" s="42"/>
      <c r="H51" s="43"/>
      <c r="I51" s="43"/>
      <c r="J51" s="43"/>
      <c r="K51" s="43"/>
      <c r="L51" s="43"/>
      <c r="M51" s="43"/>
      <c r="N51" s="43"/>
      <c r="O51" s="42"/>
      <c r="P51" s="42"/>
      <c r="Q51" s="42"/>
      <c r="R51" s="42"/>
      <c r="S51" s="42"/>
      <c r="T51" s="42"/>
      <c r="U51" s="42"/>
      <c r="V51" s="42"/>
      <c r="W51" s="42"/>
      <c r="X51" s="42"/>
      <c r="Y51" s="42"/>
      <c r="Z51" s="42"/>
      <c r="AA51" s="42"/>
      <c r="AB51" s="42"/>
      <c r="AC51" s="42"/>
      <c r="AD51" s="42"/>
      <c r="AE51" s="42"/>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4"/>
    </row>
    <row r="52" customFormat="false" ht="15" hidden="false" customHeight="false" outlineLevel="0" collapsed="false">
      <c r="A52" s="15" t="s">
        <v>123</v>
      </c>
      <c r="B52" s="27" t="s">
        <v>124</v>
      </c>
      <c r="C52" s="16" t="s">
        <v>125</v>
      </c>
      <c r="D52" s="15" t="s">
        <v>126</v>
      </c>
      <c r="E52" s="27" t="s">
        <v>124</v>
      </c>
      <c r="F52" s="16" t="s">
        <v>127</v>
      </c>
      <c r="G52" s="39"/>
      <c r="H52" s="39"/>
      <c r="I52" s="39"/>
      <c r="J52" s="39"/>
      <c r="K52" s="39"/>
      <c r="L52" s="39"/>
      <c r="M52" s="39"/>
      <c r="N52" s="39"/>
      <c r="O52" s="39"/>
      <c r="P52" s="39"/>
      <c r="Q52" s="39"/>
      <c r="R52" s="39"/>
      <c r="S52" s="39"/>
      <c r="T52" s="39"/>
      <c r="U52" s="39"/>
      <c r="V52" s="39"/>
      <c r="W52" s="39"/>
      <c r="X52" s="39"/>
      <c r="Y52" s="39"/>
      <c r="Z52" s="39"/>
      <c r="AA52" s="39"/>
      <c r="AB52" s="39"/>
      <c r="AC52" s="39"/>
      <c r="AD52" s="39"/>
      <c r="AE52" s="39"/>
      <c r="AF52" s="39"/>
      <c r="AG52" s="39"/>
      <c r="AH52" s="39"/>
      <c r="AI52" s="39"/>
      <c r="AJ52" s="39"/>
      <c r="AK52" s="39"/>
      <c r="AL52" s="39"/>
      <c r="AM52" s="39"/>
      <c r="AN52" s="39"/>
      <c r="AO52" s="39"/>
      <c r="AP52" s="39"/>
      <c r="AQ52" s="39"/>
      <c r="AR52" s="39"/>
      <c r="AS52" s="39"/>
      <c r="AT52" s="39"/>
      <c r="AU52" s="39"/>
      <c r="AV52" s="39"/>
      <c r="AW52" s="39"/>
      <c r="AX52" s="39"/>
      <c r="AY52" s="39"/>
      <c r="AZ52" s="39"/>
      <c r="BA52" s="39"/>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4"/>
    </row>
    <row r="53" customFormat="false" ht="15" hidden="false" customHeight="false" outlineLevel="0" collapsed="false">
      <c r="A53" s="15" t="s">
        <v>128</v>
      </c>
      <c r="B53" s="27" t="s">
        <v>73</v>
      </c>
      <c r="C53" s="65" t="s">
        <v>74</v>
      </c>
      <c r="D53" s="15" t="s">
        <v>129</v>
      </c>
      <c r="E53" s="27" t="s">
        <v>73</v>
      </c>
      <c r="F53" s="65" t="s">
        <v>74</v>
      </c>
      <c r="G53" s="39"/>
      <c r="H53" s="39"/>
      <c r="I53" s="39"/>
      <c r="J53" s="39"/>
      <c r="K53" s="39"/>
      <c r="L53" s="39"/>
      <c r="M53" s="39"/>
      <c r="N53" s="39"/>
      <c r="O53" s="39"/>
      <c r="P53" s="39"/>
      <c r="Q53" s="39"/>
      <c r="R53" s="39"/>
      <c r="S53" s="39"/>
      <c r="T53" s="39"/>
      <c r="U53" s="39"/>
      <c r="V53" s="39"/>
      <c r="W53" s="39"/>
      <c r="X53" s="39"/>
      <c r="Y53" s="39"/>
      <c r="Z53" s="39"/>
      <c r="AA53" s="39"/>
      <c r="AB53" s="39"/>
      <c r="AC53" s="39"/>
      <c r="AD53" s="39"/>
      <c r="AE53" s="39"/>
      <c r="AF53" s="39"/>
      <c r="AG53" s="39"/>
      <c r="AH53" s="39"/>
      <c r="AI53" s="39"/>
      <c r="AJ53" s="39"/>
      <c r="AK53" s="39"/>
      <c r="AL53" s="39"/>
      <c r="AM53" s="39"/>
      <c r="AN53" s="39"/>
      <c r="AO53" s="39"/>
      <c r="AP53" s="39"/>
      <c r="AQ53" s="39"/>
      <c r="AR53" s="39"/>
      <c r="AS53" s="39"/>
      <c r="AT53" s="39"/>
      <c r="AU53" s="39"/>
      <c r="AV53" s="39"/>
      <c r="AW53" s="39"/>
      <c r="AX53" s="39"/>
      <c r="AY53" s="39"/>
      <c r="AZ53" s="39"/>
      <c r="BA53" s="39"/>
    </row>
    <row r="54" customFormat="false" ht="15" hidden="false" customHeight="false" outlineLevel="0" collapsed="false">
      <c r="A54" s="81" t="s">
        <v>130</v>
      </c>
      <c r="B54" s="42"/>
      <c r="C54" s="42"/>
      <c r="D54" s="64"/>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4"/>
      <c r="BK54" s="64"/>
      <c r="BL54" s="64"/>
      <c r="BM54" s="64"/>
      <c r="BN54" s="64"/>
      <c r="BO54" s="64"/>
      <c r="BP54" s="64"/>
      <c r="BQ54" s="64"/>
      <c r="BR54" s="64"/>
      <c r="BS54" s="64"/>
      <c r="BT54" s="64"/>
      <c r="BU54" s="64"/>
      <c r="BV54" s="64"/>
      <c r="BW54" s="64"/>
      <c r="BX54" s="64"/>
      <c r="BY54" s="64"/>
      <c r="BZ54" s="64"/>
      <c r="CA54" s="64"/>
      <c r="CB54" s="64"/>
      <c r="CC54" s="64"/>
      <c r="CD54" s="64"/>
      <c r="CE54" s="64"/>
      <c r="CF54" s="64"/>
      <c r="CG54" s="64"/>
      <c r="CH54" s="64"/>
      <c r="CI54" s="64"/>
      <c r="CJ54" s="64"/>
      <c r="CK54" s="64"/>
      <c r="CL54" s="82"/>
    </row>
    <row r="55" customFormat="false" ht="15" hidden="false" customHeight="false" outlineLevel="0" collapsed="false">
      <c r="A55" s="15" t="s">
        <v>131</v>
      </c>
      <c r="B55" s="27" t="s">
        <v>98</v>
      </c>
      <c r="C55" s="83" t="s">
        <v>132</v>
      </c>
      <c r="D55" s="39"/>
      <c r="E55" s="39"/>
      <c r="F55" s="39"/>
      <c r="G55" s="39"/>
      <c r="H55" s="39"/>
      <c r="I55" s="39"/>
      <c r="J55" s="39"/>
      <c r="K55" s="39"/>
      <c r="L55" s="39"/>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39"/>
      <c r="AU55" s="39"/>
      <c r="AV55" s="39"/>
      <c r="AW55" s="39"/>
      <c r="AX55" s="39"/>
      <c r="AY55" s="39"/>
      <c r="AZ55" s="39"/>
      <c r="BA55" s="39"/>
    </row>
    <row r="56" customFormat="false" ht="15" hidden="false" customHeight="false" outlineLevel="0" collapsed="false">
      <c r="A56" s="15" t="s">
        <v>133</v>
      </c>
      <c r="B56" s="27" t="s">
        <v>51</v>
      </c>
      <c r="C56" s="83" t="s">
        <v>134</v>
      </c>
      <c r="D56" s="39"/>
      <c r="E56" s="39"/>
      <c r="F56" s="39"/>
    </row>
    <row r="57" customFormat="false" ht="15" hidden="false" customHeight="false" outlineLevel="0" collapsed="false">
      <c r="A57" s="81" t="s">
        <v>135</v>
      </c>
      <c r="B57" s="42"/>
      <c r="C57" s="42"/>
    </row>
    <row r="58" customFormat="false" ht="15" hidden="false" customHeight="false" outlineLevel="0" collapsed="false">
      <c r="A58" s="15" t="s">
        <v>136</v>
      </c>
      <c r="B58" s="1" t="s">
        <v>17</v>
      </c>
      <c r="C58" s="84" t="s">
        <v>137</v>
      </c>
    </row>
    <row r="59" customFormat="false" ht="15" hidden="false" customHeight="false" outlineLevel="0" collapsed="false">
      <c r="A59" s="15" t="s">
        <v>138</v>
      </c>
      <c r="B59" s="27" t="s">
        <v>17</v>
      </c>
      <c r="C59" s="85" t="s">
        <v>80</v>
      </c>
    </row>
    <row r="60" customFormat="false" ht="15" hidden="false" customHeight="false" outlineLevel="0" collapsed="false">
      <c r="A60" s="15" t="s">
        <v>139</v>
      </c>
      <c r="B60" s="27" t="s">
        <v>73</v>
      </c>
      <c r="C60" s="86" t="s">
        <v>74</v>
      </c>
      <c r="D60" s="39"/>
    </row>
    <row r="61" customFormat="false" ht="15" hidden="false" customHeight="false" outlineLevel="0" collapsed="false">
      <c r="A61" s="15" t="s">
        <v>140</v>
      </c>
      <c r="B61" s="27" t="s">
        <v>73</v>
      </c>
      <c r="C61" s="86" t="s">
        <v>74</v>
      </c>
      <c r="D61" s="75"/>
    </row>
    <row r="62" customFormat="false" ht="15" hidden="false" customHeight="false" outlineLevel="0" collapsed="false">
      <c r="A62" s="15" t="s">
        <v>141</v>
      </c>
      <c r="B62" s="27" t="s">
        <v>73</v>
      </c>
      <c r="C62" s="86" t="s">
        <v>74</v>
      </c>
      <c r="D62" s="75"/>
    </row>
    <row r="63" customFormat="false" ht="15" hidden="false" customHeight="false" outlineLevel="0" collapsed="false">
      <c r="A63" s="15"/>
      <c r="B63" s="27"/>
      <c r="C63" s="86"/>
      <c r="D63" s="75"/>
    </row>
    <row r="64" customFormat="false" ht="15" hidden="false" customHeight="false" outlineLevel="0" collapsed="false">
      <c r="A64" s="81" t="s">
        <v>142</v>
      </c>
      <c r="B64" s="42"/>
      <c r="C64" s="42"/>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c r="CK64" s="43"/>
      <c r="CL64" s="87"/>
    </row>
    <row r="65" customFormat="false" ht="15" hidden="false" customHeight="false" outlineLevel="0" collapsed="false">
      <c r="A65" s="15" t="s">
        <v>143</v>
      </c>
      <c r="B65" s="28" t="s">
        <v>144</v>
      </c>
      <c r="C65" s="77"/>
      <c r="D65" s="88"/>
      <c r="E65" s="88"/>
      <c r="F65" s="88"/>
      <c r="G65" s="88"/>
    </row>
    <row r="66" customFormat="false" ht="15" hidden="false" customHeight="false" outlineLevel="0" collapsed="false">
      <c r="A66" s="89" t="s">
        <v>145</v>
      </c>
      <c r="B66" s="64"/>
      <c r="C66" s="63"/>
      <c r="D66" s="43"/>
      <c r="E66" s="43"/>
      <c r="F66" s="43"/>
      <c r="G66" s="43"/>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P66" s="42"/>
      <c r="AQ66" s="42"/>
      <c r="AR66" s="42"/>
      <c r="AS66" s="42"/>
      <c r="AT66" s="42"/>
      <c r="AU66" s="42"/>
      <c r="AV66" s="42"/>
      <c r="AW66" s="42"/>
      <c r="AX66" s="42"/>
      <c r="AY66" s="42"/>
      <c r="AZ66" s="42"/>
      <c r="BA66" s="42"/>
      <c r="BB66" s="42"/>
      <c r="BC66" s="42"/>
      <c r="BD66" s="42"/>
      <c r="BE66" s="42"/>
      <c r="BF66" s="42"/>
      <c r="BG66" s="42"/>
      <c r="BH66" s="42"/>
      <c r="BI66" s="42"/>
      <c r="BJ66" s="42"/>
      <c r="BK66" s="42"/>
      <c r="BL66" s="42"/>
      <c r="BM66" s="42"/>
      <c r="BN66" s="42"/>
      <c r="BO66" s="42"/>
      <c r="BP66" s="42"/>
      <c r="BQ66" s="42"/>
      <c r="BR66" s="42"/>
      <c r="BS66" s="42"/>
      <c r="BT66" s="42"/>
      <c r="BU66" s="42"/>
      <c r="BV66" s="42"/>
      <c r="BW66" s="42"/>
      <c r="BX66" s="42"/>
      <c r="BY66" s="42"/>
      <c r="BZ66" s="42"/>
      <c r="CA66" s="42"/>
      <c r="CB66" s="42"/>
      <c r="CC66" s="42"/>
      <c r="CD66" s="42"/>
      <c r="CE66" s="42"/>
      <c r="CF66" s="42"/>
      <c r="CG66" s="42"/>
      <c r="CH66" s="42"/>
      <c r="CI66" s="42"/>
      <c r="CJ66" s="42"/>
      <c r="CK66" s="42"/>
      <c r="CL66" s="44"/>
    </row>
    <row r="67" customFormat="false" ht="15" hidden="false" customHeight="false" outlineLevel="0" collapsed="false">
      <c r="A67" s="90" t="s">
        <v>146</v>
      </c>
      <c r="B67" s="91" t="s">
        <v>147</v>
      </c>
      <c r="C67" s="79" t="s">
        <v>148</v>
      </c>
      <c r="D67" s="15" t="s">
        <v>149</v>
      </c>
      <c r="E67" s="24" t="s">
        <v>150</v>
      </c>
      <c r="F67" s="92"/>
      <c r="G67" s="92"/>
      <c r="H67" s="93"/>
      <c r="I67" s="63"/>
      <c r="J67" s="63"/>
      <c r="K67" s="63"/>
      <c r="L67" s="63"/>
      <c r="M67" s="63"/>
      <c r="N67" s="63"/>
      <c r="O67" s="63"/>
      <c r="P67" s="63"/>
      <c r="Q67" s="63"/>
      <c r="R67" s="63"/>
      <c r="S67" s="63"/>
      <c r="T67" s="63"/>
      <c r="U67" s="63"/>
      <c r="V67" s="63"/>
      <c r="W67" s="63"/>
      <c r="X67" s="63"/>
      <c r="Y67" s="63"/>
      <c r="Z67" s="63"/>
      <c r="AA67" s="63"/>
      <c r="AB67" s="63"/>
      <c r="AC67" s="63"/>
      <c r="AD67" s="63"/>
      <c r="AE67" s="63"/>
      <c r="AF67" s="63"/>
      <c r="AG67" s="63"/>
      <c r="AH67" s="63"/>
      <c r="AI67" s="63"/>
      <c r="AJ67" s="63"/>
      <c r="AK67" s="63"/>
      <c r="AL67" s="63"/>
      <c r="AM67" s="63"/>
      <c r="AN67" s="63"/>
      <c r="AO67" s="63"/>
      <c r="AP67" s="63"/>
      <c r="AQ67" s="63"/>
      <c r="AR67" s="63"/>
      <c r="AS67" s="63"/>
      <c r="AT67" s="63"/>
      <c r="AU67" s="63"/>
      <c r="AV67" s="63"/>
      <c r="AW67" s="63"/>
      <c r="AX67" s="63"/>
      <c r="AY67" s="63"/>
      <c r="AZ67" s="63"/>
      <c r="BA67" s="63"/>
      <c r="BB67" s="63"/>
      <c r="BC67" s="63"/>
      <c r="BD67" s="63"/>
      <c r="BE67" s="63"/>
      <c r="BF67" s="63"/>
      <c r="BG67" s="63"/>
      <c r="BH67" s="63"/>
      <c r="BI67" s="63"/>
      <c r="BJ67" s="63"/>
      <c r="BK67" s="63"/>
      <c r="BL67" s="63"/>
      <c r="BM67" s="63"/>
      <c r="BN67" s="63"/>
      <c r="BO67" s="63"/>
      <c r="BP67" s="63"/>
      <c r="BQ67" s="63"/>
      <c r="BR67" s="63"/>
      <c r="BS67" s="63"/>
      <c r="BT67" s="63"/>
      <c r="BU67" s="63"/>
      <c r="BV67" s="63"/>
      <c r="BW67" s="63"/>
      <c r="BX67" s="63"/>
      <c r="BY67" s="63"/>
      <c r="BZ67" s="63"/>
      <c r="CA67" s="63"/>
      <c r="CB67" s="63"/>
      <c r="CC67" s="63"/>
      <c r="CD67" s="63"/>
      <c r="CE67" s="63"/>
      <c r="CF67" s="63"/>
      <c r="CG67" s="63"/>
      <c r="CH67" s="63"/>
      <c r="CI67" s="63"/>
      <c r="CJ67" s="63"/>
      <c r="CK67" s="63"/>
      <c r="CL67" s="94"/>
    </row>
    <row r="68" customFormat="false" ht="14.25" hidden="false" customHeight="true" outlineLevel="0" collapsed="false">
      <c r="A68" s="95" t="s">
        <v>151</v>
      </c>
      <c r="B68" s="46" t="s">
        <v>152</v>
      </c>
      <c r="C68" s="46"/>
      <c r="D68" s="96" t="s">
        <v>153</v>
      </c>
    </row>
    <row r="69" customFormat="false" ht="15" hidden="false" customHeight="false" outlineLevel="0" collapsed="false">
      <c r="A69" s="95"/>
      <c r="B69" s="46" t="s">
        <v>154</v>
      </c>
      <c r="C69" s="46"/>
      <c r="D69" s="96"/>
    </row>
    <row r="70" customFormat="false" ht="15" hidden="false" customHeight="false" outlineLevel="0" collapsed="false">
      <c r="A70" s="95"/>
      <c r="B70" s="46" t="s">
        <v>155</v>
      </c>
      <c r="C70" s="46"/>
      <c r="D70" s="96"/>
    </row>
    <row r="71" customFormat="false" ht="15" hidden="false" customHeight="false" outlineLevel="0" collapsed="false">
      <c r="A71" s="95"/>
      <c r="B71" s="46" t="s">
        <v>156</v>
      </c>
      <c r="C71" s="46"/>
      <c r="D71" s="96"/>
    </row>
    <row r="72" customFormat="false" ht="14.25" hidden="false" customHeight="true" outlineLevel="0" collapsed="false">
      <c r="A72" s="95" t="s">
        <v>157</v>
      </c>
      <c r="B72" s="46" t="s">
        <v>158</v>
      </c>
      <c r="C72" s="46"/>
      <c r="D72" s="97" t="s">
        <v>153</v>
      </c>
    </row>
    <row r="73" customFormat="false" ht="15" hidden="false" customHeight="false" outlineLevel="0" collapsed="false">
      <c r="A73" s="95"/>
      <c r="B73" s="46" t="s">
        <v>159</v>
      </c>
      <c r="C73" s="46"/>
      <c r="D73" s="97"/>
    </row>
    <row r="74" customFormat="false" ht="15" hidden="false" customHeight="false" outlineLevel="0" collapsed="false">
      <c r="A74" s="95"/>
      <c r="B74" s="46" t="s">
        <v>160</v>
      </c>
      <c r="C74" s="46"/>
      <c r="D74" s="97"/>
    </row>
    <row r="75" customFormat="false" ht="15" hidden="false" customHeight="false" outlineLevel="0" collapsed="false">
      <c r="A75" s="95"/>
      <c r="B75" s="46" t="s">
        <v>161</v>
      </c>
      <c r="C75" s="46"/>
      <c r="D75" s="97"/>
    </row>
    <row r="76" customFormat="false" ht="14.25" hidden="false" customHeight="true" outlineLevel="0" collapsed="false">
      <c r="A76" s="95" t="s">
        <v>162</v>
      </c>
      <c r="B76" s="46" t="s">
        <v>163</v>
      </c>
      <c r="C76" s="46"/>
      <c r="D76" s="97" t="s">
        <v>153</v>
      </c>
    </row>
    <row r="77" customFormat="false" ht="15" hidden="false" customHeight="false" outlineLevel="0" collapsed="false">
      <c r="A77" s="95"/>
      <c r="B77" s="46" t="s">
        <v>164</v>
      </c>
      <c r="C77" s="46"/>
      <c r="D77" s="97"/>
    </row>
    <row r="78" customFormat="false" ht="15" hidden="false" customHeight="false" outlineLevel="0" collapsed="false">
      <c r="A78" s="95"/>
      <c r="B78" s="46"/>
      <c r="C78" s="46"/>
      <c r="D78" s="97"/>
    </row>
    <row r="79" customFormat="false" ht="15" hidden="false" customHeight="false" outlineLevel="0" collapsed="false">
      <c r="A79" s="95"/>
      <c r="B79" s="46"/>
      <c r="C79" s="46"/>
      <c r="D79" s="97"/>
    </row>
    <row r="80" customFormat="false" ht="14.25" hidden="false" customHeight="true" outlineLevel="0" collapsed="false">
      <c r="A80" s="95" t="s">
        <v>165</v>
      </c>
      <c r="B80" s="98" t="s">
        <v>166</v>
      </c>
      <c r="C80" s="99" t="s">
        <v>167</v>
      </c>
      <c r="D80" s="97" t="s">
        <v>168</v>
      </c>
    </row>
    <row r="81" customFormat="false" ht="15" hidden="false" customHeight="false" outlineLevel="0" collapsed="false">
      <c r="A81" s="95"/>
      <c r="B81" s="100" t="s">
        <v>169</v>
      </c>
      <c r="C81" s="101"/>
      <c r="D81" s="97"/>
    </row>
    <row r="82" customFormat="false" ht="15" hidden="false" customHeight="false" outlineLevel="0" collapsed="false">
      <c r="A82" s="95"/>
      <c r="B82" s="102"/>
      <c r="C82" s="103"/>
      <c r="D82" s="97"/>
    </row>
    <row r="83" customFormat="false" ht="15" hidden="false" customHeight="false" outlineLevel="0" collapsed="false">
      <c r="A83" s="104" t="s">
        <v>170</v>
      </c>
      <c r="B83" s="91" t="s">
        <v>171</v>
      </c>
      <c r="C83" s="79" t="s">
        <v>172</v>
      </c>
      <c r="D83" s="15" t="s">
        <v>173</v>
      </c>
      <c r="E83" s="24" t="s">
        <v>174</v>
      </c>
      <c r="F83" s="92"/>
      <c r="G83" s="92"/>
      <c r="H83" s="93"/>
      <c r="I83" s="42"/>
      <c r="J83" s="42"/>
      <c r="K83" s="42"/>
      <c r="L83" s="42"/>
      <c r="M83" s="42"/>
      <c r="N83" s="42"/>
      <c r="O83" s="42"/>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P83" s="42"/>
      <c r="AQ83" s="42"/>
      <c r="AR83" s="42"/>
      <c r="AS83" s="42"/>
      <c r="AT83" s="42"/>
      <c r="AU83" s="42"/>
      <c r="AV83" s="42"/>
      <c r="AW83" s="42"/>
      <c r="AX83" s="42"/>
      <c r="AY83" s="42"/>
      <c r="AZ83" s="42"/>
      <c r="BA83" s="42"/>
      <c r="BB83" s="42"/>
      <c r="BC83" s="42"/>
      <c r="BD83" s="42"/>
      <c r="BE83" s="42"/>
      <c r="BF83" s="42"/>
      <c r="BG83" s="42"/>
      <c r="BH83" s="42"/>
      <c r="BI83" s="42"/>
      <c r="BJ83" s="42"/>
      <c r="BK83" s="42"/>
      <c r="BL83" s="42"/>
      <c r="BM83" s="42"/>
      <c r="BN83" s="42"/>
      <c r="BO83" s="42"/>
      <c r="BP83" s="42"/>
      <c r="BQ83" s="42"/>
      <c r="BR83" s="42"/>
      <c r="BS83" s="42"/>
      <c r="BT83" s="42"/>
      <c r="BU83" s="42"/>
      <c r="BV83" s="42"/>
      <c r="BW83" s="42"/>
      <c r="BX83" s="42"/>
      <c r="BY83" s="42"/>
      <c r="BZ83" s="42"/>
      <c r="CA83" s="42"/>
      <c r="CB83" s="42"/>
      <c r="CC83" s="42"/>
      <c r="CD83" s="42"/>
      <c r="CE83" s="42"/>
      <c r="CF83" s="42"/>
      <c r="CG83" s="42"/>
      <c r="CH83" s="42"/>
      <c r="CI83" s="42"/>
      <c r="CJ83" s="42"/>
      <c r="CK83" s="42"/>
      <c r="CL83" s="44"/>
    </row>
    <row r="84" customFormat="false" ht="14.25" hidden="false" customHeight="true" outlineLevel="0" collapsed="false">
      <c r="A84" s="95" t="s">
        <v>175</v>
      </c>
      <c r="B84" s="46" t="s">
        <v>176</v>
      </c>
      <c r="C84" s="46"/>
      <c r="D84" s="97" t="s">
        <v>153</v>
      </c>
    </row>
    <row r="85" customFormat="false" ht="15" hidden="false" customHeight="false" outlineLevel="0" collapsed="false">
      <c r="A85" s="95"/>
      <c r="B85" s="46" t="s">
        <v>177</v>
      </c>
      <c r="C85" s="46"/>
      <c r="D85" s="97"/>
    </row>
    <row r="86" customFormat="false" ht="15" hidden="false" customHeight="false" outlineLevel="0" collapsed="false">
      <c r="A86" s="95"/>
      <c r="B86" s="46" t="s">
        <v>178</v>
      </c>
      <c r="C86" s="46"/>
      <c r="D86" s="97"/>
    </row>
    <row r="87" customFormat="false" ht="15" hidden="false" customHeight="false" outlineLevel="0" collapsed="false">
      <c r="A87" s="95"/>
      <c r="B87" s="46" t="s">
        <v>179</v>
      </c>
      <c r="C87" s="46"/>
      <c r="D87" s="97"/>
    </row>
    <row r="88" customFormat="false" ht="14.25" hidden="false" customHeight="true" outlineLevel="0" collapsed="false">
      <c r="A88" s="95" t="s">
        <v>180</v>
      </c>
      <c r="B88" s="46" t="s">
        <v>158</v>
      </c>
      <c r="C88" s="46"/>
      <c r="D88" s="97" t="s">
        <v>153</v>
      </c>
    </row>
    <row r="89" customFormat="false" ht="15" hidden="false" customHeight="false" outlineLevel="0" collapsed="false">
      <c r="A89" s="95"/>
      <c r="B89" s="46" t="s">
        <v>159</v>
      </c>
      <c r="C89" s="46"/>
      <c r="D89" s="97"/>
    </row>
    <row r="90" customFormat="false" ht="15" hidden="false" customHeight="false" outlineLevel="0" collapsed="false">
      <c r="A90" s="95"/>
      <c r="B90" s="46" t="s">
        <v>160</v>
      </c>
      <c r="C90" s="46"/>
      <c r="D90" s="97"/>
    </row>
    <row r="91" customFormat="false" ht="15" hidden="false" customHeight="false" outlineLevel="0" collapsed="false">
      <c r="A91" s="95"/>
      <c r="B91" s="46" t="s">
        <v>181</v>
      </c>
      <c r="C91" s="46"/>
      <c r="D91" s="97"/>
    </row>
    <row r="92" customFormat="false" ht="14.25" hidden="false" customHeight="true" outlineLevel="0" collapsed="false">
      <c r="A92" s="95" t="s">
        <v>182</v>
      </c>
      <c r="B92" s="46" t="s">
        <v>183</v>
      </c>
      <c r="C92" s="46"/>
      <c r="D92" s="97" t="s">
        <v>153</v>
      </c>
    </row>
    <row r="93" customFormat="false" ht="15" hidden="false" customHeight="false" outlineLevel="0" collapsed="false">
      <c r="A93" s="95"/>
      <c r="B93" s="46" t="s">
        <v>184</v>
      </c>
      <c r="C93" s="46"/>
      <c r="D93" s="97"/>
    </row>
    <row r="94" customFormat="false" ht="15" hidden="false" customHeight="false" outlineLevel="0" collapsed="false">
      <c r="A94" s="95"/>
      <c r="B94" s="46" t="s">
        <v>185</v>
      </c>
      <c r="C94" s="46"/>
      <c r="D94" s="97"/>
    </row>
    <row r="95" customFormat="false" ht="15" hidden="false" customHeight="false" outlineLevel="0" collapsed="false">
      <c r="A95" s="95"/>
      <c r="B95" s="46"/>
      <c r="C95" s="46"/>
      <c r="D95" s="97"/>
    </row>
    <row r="96" customFormat="false" ht="14.25" hidden="false" customHeight="true" outlineLevel="0" collapsed="false">
      <c r="A96" s="95" t="s">
        <v>186</v>
      </c>
      <c r="B96" s="98" t="s">
        <v>166</v>
      </c>
      <c r="C96" s="99" t="s">
        <v>187</v>
      </c>
      <c r="D96" s="97" t="s">
        <v>168</v>
      </c>
    </row>
    <row r="97" customFormat="false" ht="15" hidden="false" customHeight="false" outlineLevel="0" collapsed="false">
      <c r="A97" s="95"/>
      <c r="B97" s="100" t="s">
        <v>188</v>
      </c>
      <c r="C97" s="101"/>
      <c r="D97" s="97"/>
    </row>
    <row r="98" customFormat="false" ht="15" hidden="false" customHeight="false" outlineLevel="0" collapsed="false">
      <c r="A98" s="95"/>
      <c r="B98" s="105"/>
      <c r="C98" s="101"/>
      <c r="D98" s="97"/>
    </row>
    <row r="99" customFormat="false" ht="15" hidden="false" customHeight="false" outlineLevel="0" collapsed="false">
      <c r="A99" s="104" t="s">
        <v>189</v>
      </c>
      <c r="B99" s="43"/>
      <c r="C99" s="43"/>
      <c r="D99" s="15" t="s">
        <v>190</v>
      </c>
      <c r="E99" s="24" t="s">
        <v>191</v>
      </c>
      <c r="F99" s="106"/>
      <c r="G99" s="106"/>
      <c r="H99" s="106"/>
      <c r="I99" s="42"/>
      <c r="J99" s="42"/>
      <c r="K99" s="42"/>
      <c r="L99" s="42"/>
      <c r="M99" s="42"/>
      <c r="N99" s="42"/>
      <c r="O99" s="42"/>
      <c r="P99" s="42"/>
      <c r="Q99" s="42"/>
      <c r="R99" s="42"/>
      <c r="S99" s="42"/>
      <c r="T99" s="42"/>
      <c r="U99" s="42"/>
      <c r="V99" s="42"/>
      <c r="W99" s="42"/>
      <c r="X99" s="42"/>
      <c r="Y99" s="42"/>
      <c r="Z99" s="42"/>
      <c r="AA99" s="42"/>
      <c r="AB99" s="42"/>
      <c r="AC99" s="42"/>
      <c r="AD99" s="42"/>
      <c r="AE99" s="42"/>
      <c r="AF99" s="42"/>
      <c r="AG99" s="42"/>
      <c r="AH99" s="42"/>
      <c r="AI99" s="42"/>
      <c r="AJ99" s="42"/>
      <c r="AK99" s="42"/>
      <c r="AL99" s="42"/>
      <c r="AM99" s="42"/>
      <c r="AN99" s="42"/>
      <c r="AO99" s="42"/>
      <c r="AP99" s="42"/>
      <c r="AQ99" s="42"/>
      <c r="AR99" s="42"/>
      <c r="AS99" s="42"/>
      <c r="AT99" s="42"/>
      <c r="AU99" s="42"/>
      <c r="AV99" s="42"/>
      <c r="AW99" s="42"/>
      <c r="AX99" s="42"/>
      <c r="AY99" s="42"/>
      <c r="AZ99" s="42"/>
      <c r="BA99" s="42"/>
      <c r="BB99" s="42"/>
      <c r="BC99" s="42"/>
      <c r="BD99" s="42"/>
      <c r="BE99" s="42"/>
      <c r="BF99" s="42"/>
      <c r="BG99" s="42"/>
      <c r="BH99" s="42"/>
      <c r="BI99" s="42"/>
      <c r="BJ99" s="42"/>
      <c r="BK99" s="42"/>
      <c r="BL99" s="42"/>
      <c r="BM99" s="42"/>
      <c r="BN99" s="42"/>
      <c r="BO99" s="42"/>
      <c r="BP99" s="42"/>
      <c r="BQ99" s="42"/>
      <c r="BR99" s="42"/>
      <c r="BS99" s="42"/>
      <c r="BT99" s="42"/>
      <c r="BU99" s="42"/>
      <c r="BV99" s="42"/>
      <c r="BW99" s="42"/>
      <c r="BX99" s="42"/>
      <c r="BY99" s="42"/>
      <c r="BZ99" s="42"/>
      <c r="CA99" s="42"/>
      <c r="CB99" s="42"/>
      <c r="CC99" s="42"/>
      <c r="CD99" s="42"/>
      <c r="CE99" s="42"/>
      <c r="CF99" s="42"/>
      <c r="CG99" s="42"/>
      <c r="CH99" s="42"/>
      <c r="CI99" s="42"/>
      <c r="CJ99" s="42"/>
      <c r="CK99" s="42"/>
      <c r="CL99" s="44"/>
    </row>
    <row r="100" customFormat="false" ht="14.25" hidden="false" customHeight="true" outlineLevel="0" collapsed="false">
      <c r="A100" s="95" t="s">
        <v>192</v>
      </c>
      <c r="B100" s="46" t="s">
        <v>193</v>
      </c>
      <c r="C100" s="46" t="s">
        <v>194</v>
      </c>
      <c r="D100" s="97" t="s">
        <v>195</v>
      </c>
    </row>
    <row r="101" customFormat="false" ht="15" hidden="false" customHeight="false" outlineLevel="0" collapsed="false">
      <c r="A101" s="95"/>
      <c r="B101" s="46" t="s">
        <v>196</v>
      </c>
      <c r="C101" s="46"/>
      <c r="D101" s="97"/>
    </row>
    <row r="102" customFormat="false" ht="15" hidden="false" customHeight="false" outlineLevel="0" collapsed="false">
      <c r="A102" s="95"/>
      <c r="B102" s="46" t="s">
        <v>197</v>
      </c>
      <c r="C102" s="46"/>
      <c r="D102" s="97"/>
    </row>
    <row r="103" customFormat="false" ht="15" hidden="false" customHeight="false" outlineLevel="0" collapsed="false">
      <c r="A103" s="95"/>
      <c r="B103" s="46" t="s">
        <v>198</v>
      </c>
      <c r="C103" s="46"/>
      <c r="D103" s="97"/>
    </row>
    <row r="104" customFormat="false" ht="15" hidden="false" customHeight="false" outlineLevel="0" collapsed="false">
      <c r="A104" s="104" t="s">
        <v>199</v>
      </c>
      <c r="B104" s="42"/>
      <c r="C104" s="42"/>
      <c r="D104" s="15" t="s">
        <v>200</v>
      </c>
      <c r="E104" s="24" t="s">
        <v>201</v>
      </c>
      <c r="F104" s="106"/>
      <c r="G104" s="106"/>
      <c r="H104" s="106"/>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c r="AG104" s="42"/>
      <c r="AH104" s="42"/>
      <c r="AI104" s="42"/>
      <c r="AJ104" s="42"/>
      <c r="AK104" s="42"/>
      <c r="AL104" s="42"/>
      <c r="AM104" s="42"/>
      <c r="AN104" s="42"/>
      <c r="AO104" s="42"/>
      <c r="AP104" s="42"/>
      <c r="AQ104" s="42"/>
      <c r="AR104" s="42"/>
      <c r="AS104" s="42"/>
      <c r="AT104" s="42"/>
      <c r="AU104" s="42"/>
      <c r="AV104" s="42"/>
      <c r="AW104" s="42"/>
      <c r="AX104" s="42"/>
      <c r="AY104" s="42"/>
      <c r="AZ104" s="42"/>
      <c r="BA104" s="42"/>
      <c r="BB104" s="42"/>
      <c r="BC104" s="42"/>
      <c r="BD104" s="42"/>
      <c r="BE104" s="42"/>
      <c r="BF104" s="42"/>
      <c r="BG104" s="42"/>
      <c r="BH104" s="42"/>
      <c r="BI104" s="42"/>
      <c r="BJ104" s="42"/>
      <c r="BK104" s="42"/>
      <c r="BL104" s="42"/>
      <c r="BM104" s="42"/>
      <c r="BN104" s="42"/>
      <c r="BO104" s="42"/>
      <c r="BP104" s="42"/>
      <c r="BQ104" s="42"/>
      <c r="BR104" s="42"/>
      <c r="BS104" s="42"/>
      <c r="BT104" s="42"/>
      <c r="BU104" s="42"/>
      <c r="BV104" s="42"/>
      <c r="BW104" s="42"/>
      <c r="BX104" s="42"/>
      <c r="BY104" s="42"/>
      <c r="BZ104" s="42"/>
      <c r="CA104" s="42"/>
      <c r="CB104" s="42"/>
      <c r="CC104" s="42"/>
      <c r="CD104" s="42"/>
      <c r="CE104" s="42"/>
      <c r="CF104" s="42"/>
      <c r="CG104" s="42"/>
      <c r="CH104" s="42"/>
      <c r="CI104" s="42"/>
      <c r="CJ104" s="42"/>
      <c r="CK104" s="42"/>
      <c r="CL104" s="44"/>
    </row>
    <row r="105" customFormat="false" ht="14.25" hidden="false" customHeight="true" outlineLevel="0" collapsed="false">
      <c r="A105" s="95" t="s">
        <v>202</v>
      </c>
      <c r="B105" s="46" t="s">
        <v>203</v>
      </c>
      <c r="C105" s="46"/>
      <c r="D105" s="97" t="s">
        <v>195</v>
      </c>
    </row>
    <row r="106" customFormat="false" ht="15" hidden="false" customHeight="false" outlineLevel="0" collapsed="false">
      <c r="A106" s="95"/>
      <c r="B106" s="107" t="s">
        <v>204</v>
      </c>
      <c r="C106" s="46"/>
      <c r="D106" s="97"/>
    </row>
    <row r="107" customFormat="false" ht="15" hidden="false" customHeight="false" outlineLevel="0" collapsed="false">
      <c r="A107" s="95"/>
      <c r="B107" s="46" t="s">
        <v>205</v>
      </c>
      <c r="C107" s="46"/>
      <c r="D107" s="97"/>
    </row>
    <row r="108" customFormat="false" ht="15" hidden="false" customHeight="false" outlineLevel="0" collapsed="false">
      <c r="A108" s="95"/>
      <c r="B108" s="27"/>
      <c r="C108" s="46"/>
      <c r="D108" s="97"/>
      <c r="H108" s="108"/>
      <c r="I108" s="108"/>
      <c r="J108" s="108"/>
      <c r="K108" s="108"/>
      <c r="L108" s="108"/>
      <c r="M108" s="108"/>
      <c r="N108" s="108"/>
      <c r="O108" s="108"/>
      <c r="P108" s="108"/>
      <c r="Q108" s="108"/>
      <c r="R108" s="108"/>
      <c r="S108" s="108"/>
      <c r="T108" s="108"/>
      <c r="U108" s="108"/>
      <c r="V108" s="108"/>
      <c r="W108" s="108"/>
      <c r="X108" s="108"/>
      <c r="Y108" s="108"/>
      <c r="Z108" s="108"/>
      <c r="AA108" s="108"/>
      <c r="AB108" s="108"/>
      <c r="AC108" s="108"/>
      <c r="AD108" s="108"/>
      <c r="AE108" s="108"/>
      <c r="AF108" s="108"/>
      <c r="AG108" s="108"/>
      <c r="AH108" s="108"/>
      <c r="AI108" s="108"/>
      <c r="AJ108" s="108"/>
      <c r="AK108" s="108"/>
      <c r="AL108" s="108"/>
      <c r="AM108" s="108"/>
      <c r="AN108" s="108"/>
      <c r="AO108" s="108"/>
      <c r="AP108" s="108"/>
      <c r="AQ108" s="108"/>
      <c r="AR108" s="108"/>
      <c r="AS108" s="108"/>
      <c r="AT108" s="108"/>
      <c r="AU108" s="108"/>
      <c r="AV108" s="108"/>
      <c r="AW108" s="108"/>
      <c r="AX108" s="108"/>
      <c r="AY108" s="108"/>
      <c r="AZ108" s="108"/>
      <c r="BA108" s="108"/>
      <c r="BB108" s="108"/>
      <c r="BC108" s="108"/>
      <c r="BD108" s="108"/>
      <c r="BE108" s="108"/>
      <c r="BF108" s="108"/>
      <c r="BG108" s="108"/>
      <c r="BH108" s="108"/>
      <c r="BI108" s="108"/>
      <c r="BJ108" s="108"/>
      <c r="BK108" s="108"/>
      <c r="BL108" s="108"/>
      <c r="BM108" s="108"/>
      <c r="BN108" s="108"/>
      <c r="BO108" s="108"/>
      <c r="BP108" s="108"/>
      <c r="BQ108" s="108"/>
      <c r="BR108" s="108"/>
      <c r="BS108" s="108"/>
      <c r="BT108" s="108"/>
      <c r="BU108" s="108"/>
      <c r="BV108" s="108"/>
      <c r="BW108" s="108"/>
      <c r="BX108" s="108"/>
      <c r="BY108" s="108"/>
      <c r="BZ108" s="108"/>
      <c r="CA108" s="108"/>
      <c r="CB108" s="108"/>
      <c r="CC108" s="108"/>
      <c r="CD108" s="108"/>
      <c r="CE108" s="108"/>
      <c r="CF108" s="108"/>
      <c r="CG108" s="108"/>
      <c r="CH108" s="108"/>
      <c r="CI108" s="108"/>
    </row>
    <row r="109" customFormat="false" ht="15" hidden="false" customHeight="false" outlineLevel="0" collapsed="false">
      <c r="A109" s="104" t="s">
        <v>206</v>
      </c>
      <c r="B109" s="43"/>
      <c r="C109" s="43"/>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A109" s="42"/>
      <c r="BB109" s="42"/>
      <c r="BC109" s="42"/>
      <c r="BD109" s="42"/>
      <c r="BE109" s="42"/>
      <c r="BF109" s="42"/>
      <c r="BG109" s="42"/>
      <c r="BH109" s="42"/>
      <c r="BI109" s="42"/>
      <c r="BJ109" s="42"/>
      <c r="BK109" s="42"/>
      <c r="BL109" s="42"/>
      <c r="BM109" s="42"/>
      <c r="BN109" s="42"/>
      <c r="BO109" s="42"/>
      <c r="BP109" s="42"/>
      <c r="BQ109" s="42"/>
      <c r="BR109" s="42"/>
      <c r="BS109" s="42"/>
      <c r="BT109" s="42"/>
      <c r="BU109" s="42"/>
      <c r="BV109" s="42"/>
      <c r="BW109" s="42"/>
      <c r="BX109" s="42"/>
      <c r="BY109" s="42"/>
      <c r="BZ109" s="42"/>
      <c r="CA109" s="42"/>
      <c r="CB109" s="42"/>
      <c r="CC109" s="42"/>
      <c r="CD109" s="42"/>
      <c r="CE109" s="42"/>
      <c r="CF109" s="42"/>
      <c r="CG109" s="42"/>
      <c r="CH109" s="42"/>
      <c r="CI109" s="42"/>
      <c r="CJ109" s="42"/>
      <c r="CK109" s="42"/>
      <c r="CL109" s="44"/>
    </row>
    <row r="110" customFormat="false" ht="15" hidden="false" customHeight="false" outlineLevel="0" collapsed="false">
      <c r="A110" s="15" t="s">
        <v>207</v>
      </c>
      <c r="B110" s="27" t="s">
        <v>73</v>
      </c>
      <c r="C110" s="65" t="s">
        <v>74</v>
      </c>
      <c r="D110" s="93"/>
      <c r="K110" s="109"/>
      <c r="L110" s="109"/>
      <c r="M110" s="109"/>
      <c r="N110" s="109"/>
    </row>
    <row r="111" customFormat="false" ht="15" hidden="false" customHeight="false" outlineLevel="0" collapsed="false">
      <c r="A111" s="104" t="s">
        <v>208</v>
      </c>
      <c r="B111" s="43"/>
      <c r="C111" s="43"/>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A111" s="42"/>
      <c r="BB111" s="42"/>
      <c r="BC111" s="42"/>
      <c r="BD111" s="42"/>
      <c r="BE111" s="42"/>
      <c r="BF111" s="42"/>
      <c r="BG111" s="42"/>
      <c r="BH111" s="42"/>
      <c r="BI111" s="42"/>
      <c r="BJ111" s="42"/>
      <c r="BK111" s="42"/>
      <c r="BL111" s="42"/>
      <c r="BM111" s="42"/>
      <c r="BN111" s="42"/>
      <c r="BO111" s="42"/>
      <c r="BP111" s="42"/>
      <c r="BQ111" s="42"/>
      <c r="BR111" s="42"/>
      <c r="BS111" s="42"/>
      <c r="BT111" s="42"/>
      <c r="BU111" s="42"/>
      <c r="BV111" s="42"/>
      <c r="BW111" s="42"/>
      <c r="BX111" s="42"/>
      <c r="BY111" s="42"/>
      <c r="BZ111" s="42"/>
      <c r="CA111" s="42"/>
      <c r="CB111" s="42"/>
      <c r="CC111" s="42"/>
      <c r="CD111" s="42"/>
      <c r="CE111" s="42"/>
      <c r="CF111" s="42"/>
      <c r="CG111" s="42"/>
      <c r="CH111" s="42"/>
      <c r="CI111" s="42"/>
      <c r="CJ111" s="42"/>
      <c r="CK111" s="42"/>
      <c r="CL111" s="44"/>
    </row>
    <row r="112" customFormat="false" ht="15" hidden="false" customHeight="false" outlineLevel="0" collapsed="false">
      <c r="A112" s="15" t="s">
        <v>209</v>
      </c>
      <c r="B112" s="27" t="s">
        <v>73</v>
      </c>
      <c r="C112" s="65" t="s">
        <v>74</v>
      </c>
      <c r="D112" s="93"/>
      <c r="K112" s="109"/>
      <c r="L112" s="109"/>
      <c r="M112" s="109"/>
      <c r="N112" s="109"/>
    </row>
    <row r="114" customFormat="false" ht="15" hidden="false" customHeight="false" outlineLevel="0" collapsed="false">
      <c r="A114" s="91" t="s">
        <v>210</v>
      </c>
      <c r="B114" s="42"/>
      <c r="C114" s="42"/>
      <c r="D114" s="42"/>
      <c r="E114" s="110"/>
      <c r="K114" s="109"/>
      <c r="L114" s="109"/>
      <c r="M114" s="109"/>
      <c r="N114" s="109"/>
      <c r="O114" s="109"/>
    </row>
    <row r="115" customFormat="false" ht="15" hidden="false" customHeight="false" outlineLevel="0" collapsed="false">
      <c r="A115" s="111"/>
      <c r="B115" s="111"/>
      <c r="C115" s="111"/>
      <c r="D115" s="111"/>
      <c r="E115" s="111"/>
    </row>
    <row r="116" customFormat="false" ht="15" hidden="false" customHeight="false" outlineLevel="0" collapsed="false">
      <c r="A116" s="72"/>
      <c r="B116" s="112"/>
      <c r="C116" s="113"/>
      <c r="D116" s="113"/>
      <c r="E116" s="113"/>
    </row>
    <row r="117" customFormat="false" ht="15" hidden="false" customHeight="false" outlineLevel="0" collapsed="false">
      <c r="C117" s="109"/>
      <c r="D117" s="109"/>
      <c r="E117" s="109"/>
      <c r="F117" s="109"/>
    </row>
    <row r="118" customFormat="false" ht="15" hidden="false" customHeight="false" outlineLevel="0" collapsed="false">
      <c r="A118" s="91" t="s">
        <v>211</v>
      </c>
      <c r="B118" s="42"/>
      <c r="C118" s="64"/>
      <c r="D118" s="64"/>
      <c r="E118" s="114"/>
      <c r="F118" s="109"/>
      <c r="G118" s="109"/>
      <c r="H118" s="109"/>
      <c r="I118" s="109"/>
      <c r="J118" s="109"/>
      <c r="K118" s="109"/>
      <c r="L118" s="109"/>
      <c r="M118" s="109"/>
      <c r="N118" s="109"/>
      <c r="O118" s="109"/>
      <c r="P118" s="109"/>
      <c r="Q118" s="109"/>
      <c r="R118" s="109"/>
      <c r="S118" s="109"/>
      <c r="T118" s="109"/>
    </row>
    <row r="119" customFormat="false" ht="15" hidden="false" customHeight="false" outlineLevel="0" collapsed="false">
      <c r="A119" s="72" t="s">
        <v>212</v>
      </c>
      <c r="B119" s="77" t="s">
        <v>11</v>
      </c>
      <c r="C119" s="84" t="s">
        <v>213</v>
      </c>
      <c r="D119" s="84"/>
      <c r="E119" s="115"/>
      <c r="F119" s="109"/>
      <c r="G119" s="109"/>
      <c r="H119" s="109"/>
      <c r="I119" s="116"/>
      <c r="J119" s="116"/>
      <c r="K119" s="116"/>
      <c r="L119" s="116"/>
      <c r="M119" s="116"/>
      <c r="N119" s="116"/>
      <c r="O119" s="116"/>
      <c r="P119" s="116"/>
      <c r="Q119" s="116"/>
      <c r="R119" s="116"/>
      <c r="S119" s="116"/>
      <c r="T119" s="116"/>
    </row>
    <row r="120" customFormat="false" ht="15" hidden="false" customHeight="false" outlineLevel="0" collapsed="false">
      <c r="B120" s="109"/>
      <c r="C120" s="109"/>
      <c r="D120" s="109"/>
      <c r="E120" s="117"/>
      <c r="F120" s="109"/>
      <c r="G120" s="109"/>
      <c r="H120" s="109"/>
      <c r="I120" s="118"/>
      <c r="J120" s="118"/>
      <c r="K120" s="118"/>
      <c r="L120" s="118"/>
      <c r="M120" s="118"/>
      <c r="N120" s="118"/>
      <c r="O120" s="118"/>
      <c r="P120" s="118"/>
      <c r="Q120" s="118"/>
      <c r="R120" s="118"/>
      <c r="S120" s="118"/>
    </row>
    <row r="121" customFormat="false" ht="15" hidden="false" customHeight="false" outlineLevel="0" collapsed="false">
      <c r="A121" s="91" t="s">
        <v>214</v>
      </c>
      <c r="B121" s="42"/>
      <c r="C121" s="42"/>
      <c r="D121" s="42"/>
      <c r="E121" s="42"/>
      <c r="F121" s="114"/>
      <c r="G121" s="109"/>
      <c r="H121" s="109"/>
      <c r="I121" s="118"/>
      <c r="J121" s="118"/>
      <c r="K121" s="118"/>
      <c r="L121" s="118"/>
      <c r="M121" s="118"/>
      <c r="N121" s="118"/>
      <c r="O121" s="118"/>
      <c r="P121" s="118"/>
      <c r="Q121" s="118"/>
      <c r="R121" s="118"/>
      <c r="S121" s="118"/>
      <c r="T121" s="118"/>
    </row>
    <row r="122" customFormat="false" ht="15" hidden="false" customHeight="false" outlineLevel="0" collapsed="false">
      <c r="A122" s="119" t="s">
        <v>215</v>
      </c>
      <c r="B122" s="120" t="s">
        <v>216</v>
      </c>
      <c r="C122" s="121" t="s">
        <v>217</v>
      </c>
      <c r="D122" s="122" t="s">
        <v>218</v>
      </c>
      <c r="E122" s="123" t="s">
        <v>216</v>
      </c>
      <c r="F122" s="97" t="s">
        <v>217</v>
      </c>
      <c r="G122" s="97"/>
    </row>
    <row r="123" customFormat="false" ht="31.3" hidden="false" customHeight="false" outlineLevel="0" collapsed="false">
      <c r="A123" s="119"/>
      <c r="B123" s="124" t="s">
        <v>219</v>
      </c>
      <c r="C123" s="125" t="s">
        <v>220</v>
      </c>
      <c r="D123" s="122"/>
      <c r="E123" s="123"/>
      <c r="F123" s="97"/>
      <c r="G123" s="97"/>
    </row>
    <row r="124" customFormat="false" ht="15" hidden="false" customHeight="false" outlineLevel="0" collapsed="false">
      <c r="A124" s="119" t="s">
        <v>221</v>
      </c>
      <c r="B124" s="120" t="s">
        <v>216</v>
      </c>
      <c r="C124" s="121" t="s">
        <v>217</v>
      </c>
      <c r="D124" s="122"/>
      <c r="E124" s="126" t="s">
        <v>219</v>
      </c>
      <c r="F124" s="127" t="s">
        <v>220</v>
      </c>
      <c r="G124" s="127"/>
    </row>
    <row r="125" customFormat="false" ht="31.3" hidden="false" customHeight="false" outlineLevel="0" collapsed="false">
      <c r="A125" s="119"/>
      <c r="B125" s="124" t="s">
        <v>219</v>
      </c>
      <c r="C125" s="125" t="s">
        <v>220</v>
      </c>
      <c r="D125" s="122"/>
      <c r="E125" s="126"/>
      <c r="F125" s="127"/>
      <c r="G125" s="127"/>
    </row>
    <row r="126" customFormat="false" ht="15" hidden="false" customHeight="false" outlineLevel="0" collapsed="false">
      <c r="A126" s="119" t="s">
        <v>222</v>
      </c>
      <c r="B126" s="120" t="s">
        <v>216</v>
      </c>
      <c r="C126" s="121" t="s">
        <v>217</v>
      </c>
      <c r="D126" s="119" t="s">
        <v>223</v>
      </c>
      <c r="E126" s="126" t="s">
        <v>216</v>
      </c>
      <c r="F126" s="97" t="s">
        <v>217</v>
      </c>
      <c r="G126" s="97"/>
      <c r="I126" s="116"/>
      <c r="J126" s="116"/>
      <c r="K126" s="116"/>
      <c r="L126" s="116"/>
      <c r="M126" s="116"/>
      <c r="N126" s="116"/>
      <c r="O126" s="116"/>
      <c r="P126" s="116"/>
      <c r="Q126" s="116"/>
      <c r="R126" s="116"/>
      <c r="S126" s="116"/>
    </row>
    <row r="127" customFormat="false" ht="31.3" hidden="false" customHeight="false" outlineLevel="0" collapsed="false">
      <c r="A127" s="119"/>
      <c r="B127" s="124" t="s">
        <v>219</v>
      </c>
      <c r="C127" s="125" t="s">
        <v>220</v>
      </c>
      <c r="D127" s="119"/>
      <c r="E127" s="126"/>
      <c r="F127" s="97"/>
      <c r="G127" s="97"/>
      <c r="I127" s="116"/>
      <c r="J127" s="116"/>
      <c r="K127" s="116"/>
      <c r="L127" s="116"/>
      <c r="M127" s="116"/>
      <c r="N127" s="116"/>
      <c r="O127" s="116"/>
      <c r="P127" s="116"/>
      <c r="Q127" s="116"/>
      <c r="R127" s="116"/>
      <c r="S127" s="116"/>
    </row>
    <row r="128" customFormat="false" ht="15" hidden="false" customHeight="false" outlineLevel="0" collapsed="false">
      <c r="A128" s="119" t="s">
        <v>224</v>
      </c>
      <c r="B128" s="120" t="s">
        <v>216</v>
      </c>
      <c r="C128" s="121" t="s">
        <v>217</v>
      </c>
      <c r="D128" s="119"/>
      <c r="E128" s="126" t="s">
        <v>219</v>
      </c>
      <c r="F128" s="128" t="s">
        <v>220</v>
      </c>
      <c r="G128" s="128"/>
      <c r="I128" s="116"/>
      <c r="J128" s="116"/>
      <c r="K128" s="116"/>
      <c r="L128" s="116"/>
      <c r="M128" s="116"/>
      <c r="N128" s="116"/>
      <c r="O128" s="116"/>
      <c r="P128" s="116"/>
      <c r="Q128" s="116"/>
      <c r="R128" s="116"/>
      <c r="S128" s="116"/>
    </row>
    <row r="129" customFormat="false" ht="31.3" hidden="false" customHeight="false" outlineLevel="0" collapsed="false">
      <c r="A129" s="119"/>
      <c r="B129" s="124" t="s">
        <v>219</v>
      </c>
      <c r="C129" s="125" t="s">
        <v>220</v>
      </c>
      <c r="D129" s="119"/>
      <c r="E129" s="126"/>
      <c r="F129" s="128"/>
      <c r="G129" s="128"/>
      <c r="I129" s="116"/>
      <c r="J129" s="116"/>
      <c r="K129" s="116"/>
      <c r="L129" s="116"/>
      <c r="M129" s="116"/>
      <c r="N129" s="116"/>
      <c r="O129" s="116"/>
      <c r="P129" s="116"/>
      <c r="Q129" s="116"/>
      <c r="R129" s="116"/>
      <c r="S129" s="116"/>
    </row>
    <row r="130" customFormat="false" ht="15" hidden="false" customHeight="false" outlineLevel="0" collapsed="false">
      <c r="A130" s="119" t="s">
        <v>189</v>
      </c>
      <c r="B130" s="120" t="s">
        <v>216</v>
      </c>
      <c r="C130" s="28" t="s">
        <v>217</v>
      </c>
      <c r="D130" s="24"/>
      <c r="G130" s="129"/>
      <c r="I130" s="116"/>
      <c r="J130" s="116"/>
      <c r="K130" s="116"/>
      <c r="L130" s="116"/>
      <c r="M130" s="116"/>
      <c r="N130" s="116"/>
      <c r="O130" s="116"/>
      <c r="P130" s="116"/>
      <c r="Q130" s="116"/>
    </row>
    <row r="131" customFormat="false" ht="31.3" hidden="false" customHeight="false" outlineLevel="0" collapsed="false">
      <c r="A131" s="119"/>
      <c r="B131" s="124" t="s">
        <v>219</v>
      </c>
      <c r="C131" s="28" t="s">
        <v>220</v>
      </c>
      <c r="D131" s="24"/>
    </row>
    <row r="132" customFormat="false" ht="15" hidden="false" customHeight="false" outlineLevel="0" collapsed="false">
      <c r="A132" s="130" t="s">
        <v>225</v>
      </c>
    </row>
    <row r="134" customFormat="false" ht="15" hidden="true" customHeight="false" outlineLevel="0" collapsed="false"/>
    <row r="135" customFormat="false" ht="15" hidden="true" customHeight="false" outlineLevel="0" collapsed="false"/>
    <row r="136" customFormat="false" ht="15" hidden="true" customHeight="false" outlineLevel="0" collapsed="false"/>
    <row r="137" customFormat="false" ht="15" hidden="true" customHeight="false" outlineLevel="0" collapsed="false"/>
    <row r="138" customFormat="false" ht="15" hidden="true" customHeight="false" outlineLevel="0" collapsed="false"/>
    <row r="139" customFormat="false" ht="15" hidden="true" customHeight="false" outlineLevel="0" collapsed="false"/>
    <row r="140" customFormat="false" ht="15" hidden="true" customHeight="false" outlineLevel="0" collapsed="false"/>
    <row r="141" customFormat="false" ht="15" hidden="true" customHeight="false" outlineLevel="0" collapsed="false"/>
    <row r="142" customFormat="false" ht="15" hidden="true" customHeight="false" outlineLevel="0" collapsed="false"/>
    <row r="143" customFormat="false" ht="15" hidden="true" customHeight="false" outlineLevel="0" collapsed="false"/>
    <row r="144" customFormat="false" ht="15" hidden="true" customHeight="false" outlineLevel="0" collapsed="false"/>
    <row r="145" customFormat="false" ht="15" hidden="true" customHeight="false" outlineLevel="0" collapsed="false"/>
    <row r="146" customFormat="false" ht="15" hidden="true" customHeight="false" outlineLevel="0" collapsed="false"/>
    <row r="147" customFormat="false" ht="15" hidden="true" customHeight="false" outlineLevel="0" collapsed="false"/>
    <row r="148" customFormat="false" ht="15" hidden="true" customHeight="false" outlineLevel="0" collapsed="false"/>
    <row r="149" customFormat="false" ht="15" hidden="true" customHeight="false" outlineLevel="0" collapsed="false"/>
    <row r="150" customFormat="false" ht="15" hidden="true" customHeight="false" outlineLevel="0" collapsed="false"/>
    <row r="151" customFormat="false" ht="15" hidden="true" customHeight="false" outlineLevel="0" collapsed="false"/>
    <row r="152" customFormat="false" ht="15" hidden="true" customHeight="false" outlineLevel="0" collapsed="false"/>
    <row r="153" customFormat="false" ht="15" hidden="true" customHeight="false" outlineLevel="0" collapsed="false"/>
    <row r="154" customFormat="false" ht="15" hidden="true" customHeight="false" outlineLevel="0" collapsed="false"/>
    <row r="155" customFormat="false" ht="15" hidden="true" customHeight="false" outlineLevel="0" collapsed="false"/>
    <row r="156" customFormat="false" ht="15" hidden="true" customHeight="false" outlineLevel="0" collapsed="false"/>
    <row r="157" customFormat="false" ht="15" hidden="true" customHeight="false" outlineLevel="0" collapsed="false"/>
    <row r="158" customFormat="false" ht="15" hidden="true" customHeight="false" outlineLevel="0" collapsed="false"/>
    <row r="159" customFormat="false" ht="15" hidden="true" customHeight="false" outlineLevel="0" collapsed="false"/>
    <row r="160" customFormat="false" ht="15" hidden="true" customHeight="false" outlineLevel="0" collapsed="false"/>
    <row r="161" customFormat="false" ht="15" hidden="true" customHeight="false" outlineLevel="0" collapsed="false"/>
    <row r="162" customFormat="false" ht="15" hidden="true" customHeight="false" outlineLevel="0" collapsed="false"/>
    <row r="163" customFormat="false" ht="15" hidden="true" customHeight="false" outlineLevel="0" collapsed="false"/>
    <row r="164" customFormat="false" ht="15" hidden="true" customHeight="false" outlineLevel="0" collapsed="false"/>
    <row r="166" s="42" customFormat="true" ht="15" hidden="false" customHeight="false" outlineLevel="0" collapsed="false">
      <c r="A166" s="91" t="s">
        <v>226</v>
      </c>
      <c r="E166" s="110"/>
    </row>
    <row r="167" customFormat="false" ht="15" hidden="false" customHeight="false" outlineLevel="0" collapsed="false">
      <c r="A167" s="72" t="s">
        <v>227</v>
      </c>
      <c r="B167" s="77" t="s">
        <v>11</v>
      </c>
      <c r="C167" s="131" t="s">
        <v>228</v>
      </c>
      <c r="D167" s="132" t="s">
        <v>229</v>
      </c>
      <c r="E167" s="24" t="s">
        <v>230</v>
      </c>
      <c r="F167" s="132" t="s">
        <v>231</v>
      </c>
      <c r="G167" s="24" t="s">
        <v>232</v>
      </c>
      <c r="H167" s="133" t="s">
        <v>233</v>
      </c>
      <c r="I167" s="24" t="s">
        <v>233</v>
      </c>
      <c r="J167" s="52"/>
    </row>
    <row r="168" customFormat="false" ht="15" hidden="false" customHeight="false" outlineLevel="0" collapsed="false">
      <c r="A168" s="72" t="s">
        <v>234</v>
      </c>
      <c r="B168" s="77" t="s">
        <v>11</v>
      </c>
      <c r="C168" s="131" t="s">
        <v>228</v>
      </c>
      <c r="D168" s="134" t="s">
        <v>235</v>
      </c>
      <c r="E168" s="24" t="s">
        <v>236</v>
      </c>
      <c r="F168" s="134" t="s">
        <v>237</v>
      </c>
      <c r="G168" s="24" t="s">
        <v>238</v>
      </c>
      <c r="H168" s="133" t="s">
        <v>239</v>
      </c>
      <c r="I168" s="24" t="s">
        <v>239</v>
      </c>
      <c r="J168" s="52"/>
    </row>
    <row r="169" customFormat="false" ht="16.5" hidden="false" customHeight="true" outlineLevel="0" collapsed="false">
      <c r="A169" s="135" t="s">
        <v>240</v>
      </c>
      <c r="B169" s="135"/>
      <c r="C169" s="135"/>
      <c r="D169" s="63"/>
    </row>
    <row r="170" customFormat="false" ht="15" hidden="false" customHeight="false" outlineLevel="0" collapsed="false">
      <c r="A170" s="134" t="s">
        <v>241</v>
      </c>
      <c r="B170" s="27" t="s">
        <v>11</v>
      </c>
      <c r="C170" s="28" t="s">
        <v>242</v>
      </c>
      <c r="D170" s="24"/>
    </row>
    <row r="171" customFormat="false" ht="15" hidden="false" customHeight="false" outlineLevel="0" collapsed="false">
      <c r="A171" s="134" t="s">
        <v>243</v>
      </c>
      <c r="B171" s="27" t="s">
        <v>11</v>
      </c>
      <c r="C171" s="28" t="s">
        <v>244</v>
      </c>
      <c r="D171" s="24"/>
    </row>
    <row r="172" customFormat="false" ht="15" hidden="false" customHeight="false" outlineLevel="0" collapsed="false">
      <c r="A172" s="134" t="s">
        <v>245</v>
      </c>
      <c r="B172" s="27" t="s">
        <v>17</v>
      </c>
      <c r="C172" s="28" t="s">
        <v>246</v>
      </c>
      <c r="D172" s="24"/>
    </row>
    <row r="173" customFormat="false" ht="15" hidden="false" customHeight="false" outlineLevel="0" collapsed="false">
      <c r="A173" s="134" t="s">
        <v>247</v>
      </c>
      <c r="B173" s="27" t="s">
        <v>17</v>
      </c>
      <c r="C173" s="28" t="s">
        <v>248</v>
      </c>
      <c r="D173" s="24"/>
    </row>
    <row r="174" customFormat="false" ht="15" hidden="false" customHeight="false" outlineLevel="0" collapsed="false">
      <c r="A174" s="134" t="s">
        <v>249</v>
      </c>
      <c r="B174" s="27" t="s">
        <v>17</v>
      </c>
      <c r="C174" s="28" t="s">
        <v>250</v>
      </c>
      <c r="D174" s="24"/>
    </row>
    <row r="175" customFormat="false" ht="15" hidden="false" customHeight="false" outlineLevel="0" collapsed="false">
      <c r="A175" s="134" t="s">
        <v>251</v>
      </c>
      <c r="B175" s="27" t="s">
        <v>17</v>
      </c>
      <c r="C175" s="28" t="s">
        <v>252</v>
      </c>
      <c r="D175" s="24"/>
    </row>
    <row r="176" customFormat="false" ht="15" hidden="false" customHeight="false" outlineLevel="0" collapsed="false">
      <c r="A176" s="135" t="s">
        <v>253</v>
      </c>
      <c r="B176" s="135"/>
      <c r="C176" s="63"/>
      <c r="D176" s="63"/>
    </row>
    <row r="177" customFormat="false" ht="15" hidden="false" customHeight="false" outlineLevel="0" collapsed="false">
      <c r="A177" s="134" t="s">
        <v>254</v>
      </c>
      <c r="B177" s="27" t="s">
        <v>11</v>
      </c>
      <c r="C177" s="28" t="s">
        <v>255</v>
      </c>
      <c r="D177" s="24"/>
      <c r="E177" s="1" t="s">
        <v>256</v>
      </c>
    </row>
    <row r="178" customFormat="false" ht="15" hidden="false" customHeight="false" outlineLevel="0" collapsed="false">
      <c r="A178" s="134" t="s">
        <v>257</v>
      </c>
      <c r="B178" s="27" t="s">
        <v>11</v>
      </c>
      <c r="C178" s="28" t="s">
        <v>258</v>
      </c>
      <c r="D178" s="24"/>
      <c r="E178" s="1" t="s">
        <v>259</v>
      </c>
    </row>
    <row r="179" customFormat="false" ht="15" hidden="false" customHeight="false" outlineLevel="0" collapsed="false">
      <c r="A179" s="134" t="s">
        <v>260</v>
      </c>
      <c r="B179" s="27" t="s">
        <v>11</v>
      </c>
      <c r="C179" s="28" t="s">
        <v>261</v>
      </c>
      <c r="D179" s="24"/>
      <c r="E179" s="1" t="s">
        <v>262</v>
      </c>
    </row>
    <row r="180" customFormat="false" ht="15" hidden="false" customHeight="false" outlineLevel="0" collapsed="false">
      <c r="A180" s="134" t="s">
        <v>263</v>
      </c>
      <c r="B180" s="27" t="s">
        <v>11</v>
      </c>
      <c r="C180" s="28" t="s">
        <v>264</v>
      </c>
      <c r="D180" s="24"/>
      <c r="E180" s="1" t="s">
        <v>265</v>
      </c>
    </row>
    <row r="181" customFormat="false" ht="15" hidden="false" customHeight="false" outlineLevel="0" collapsed="false">
      <c r="A181" s="134" t="s">
        <v>266</v>
      </c>
      <c r="B181" s="27" t="s">
        <v>11</v>
      </c>
      <c r="C181" s="28" t="s">
        <v>267</v>
      </c>
      <c r="D181" s="24"/>
      <c r="E181" s="1" t="s">
        <v>268</v>
      </c>
    </row>
    <row r="182" customFormat="false" ht="15" hidden="false" customHeight="false" outlineLevel="0" collapsed="false">
      <c r="A182" s="135" t="s">
        <v>269</v>
      </c>
      <c r="B182" s="135"/>
      <c r="C182" s="135" t="s">
        <v>270</v>
      </c>
      <c r="D182" s="63"/>
    </row>
    <row r="183" customFormat="false" ht="15" hidden="false" customHeight="false" outlineLevel="0" collapsed="false">
      <c r="A183" s="134" t="s">
        <v>271</v>
      </c>
      <c r="B183" s="27" t="s">
        <v>11</v>
      </c>
      <c r="C183" s="28" t="s">
        <v>272</v>
      </c>
      <c r="D183" s="24"/>
      <c r="E183" s="1" t="s">
        <v>273</v>
      </c>
    </row>
    <row r="184" customFormat="false" ht="15" hidden="false" customHeight="false" outlineLevel="0" collapsed="false">
      <c r="A184" s="134" t="s">
        <v>274</v>
      </c>
      <c r="B184" s="27" t="s">
        <v>11</v>
      </c>
      <c r="C184" s="28" t="s">
        <v>275</v>
      </c>
      <c r="D184" s="24"/>
      <c r="E184" s="1" t="s">
        <v>276</v>
      </c>
    </row>
    <row r="185" customFormat="false" ht="15" hidden="false" customHeight="false" outlineLevel="0" collapsed="false">
      <c r="A185" s="134" t="s">
        <v>277</v>
      </c>
      <c r="B185" s="27" t="s">
        <v>11</v>
      </c>
      <c r="C185" s="28" t="s">
        <v>278</v>
      </c>
      <c r="D185" s="24"/>
      <c r="E185" s="1" t="s">
        <v>279</v>
      </c>
    </row>
    <row r="186" customFormat="false" ht="15" hidden="false" customHeight="false" outlineLevel="0" collapsed="false">
      <c r="A186" s="134" t="s">
        <v>280</v>
      </c>
      <c r="B186" s="27" t="s">
        <v>11</v>
      </c>
      <c r="C186" s="28" t="s">
        <v>281</v>
      </c>
      <c r="D186" s="24"/>
      <c r="E186" s="1" t="s">
        <v>282</v>
      </c>
    </row>
    <row r="187" customFormat="false" ht="15" hidden="false" customHeight="false" outlineLevel="0" collapsed="false">
      <c r="A187" s="134" t="s">
        <v>283</v>
      </c>
      <c r="B187" s="27" t="s">
        <v>11</v>
      </c>
      <c r="C187" s="28" t="s">
        <v>284</v>
      </c>
      <c r="D187" s="24"/>
      <c r="E187" s="1" t="s">
        <v>285</v>
      </c>
    </row>
    <row r="188" customFormat="false" ht="15" hidden="false" customHeight="false" outlineLevel="0" collapsed="false">
      <c r="A188" s="134" t="s">
        <v>286</v>
      </c>
      <c r="B188" s="27" t="s">
        <v>11</v>
      </c>
      <c r="C188" s="28" t="s">
        <v>287</v>
      </c>
      <c r="D188" s="24"/>
    </row>
    <row r="189" customFormat="false" ht="15" hidden="false" customHeight="false" outlineLevel="0" collapsed="false">
      <c r="A189" s="134" t="s">
        <v>288</v>
      </c>
      <c r="B189" s="27" t="s">
        <v>11</v>
      </c>
      <c r="C189" s="28" t="s">
        <v>289</v>
      </c>
      <c r="D189" s="24"/>
      <c r="E189" s="1" t="s">
        <v>290</v>
      </c>
    </row>
    <row r="190" customFormat="false" ht="15" hidden="false" customHeight="false" outlineLevel="0" collapsed="false">
      <c r="A190" s="134" t="s">
        <v>291</v>
      </c>
      <c r="B190" s="27" t="s">
        <v>11</v>
      </c>
      <c r="C190" s="28" t="s">
        <v>292</v>
      </c>
      <c r="D190" s="24"/>
    </row>
    <row r="191" customFormat="false" ht="15" hidden="false" customHeight="false" outlineLevel="0" collapsed="false">
      <c r="A191" s="134" t="s">
        <v>293</v>
      </c>
      <c r="B191" s="112" t="s">
        <v>11</v>
      </c>
      <c r="C191" s="28" t="s">
        <v>294</v>
      </c>
      <c r="D191" s="24"/>
    </row>
    <row r="193" customFormat="false" ht="16.4" hidden="false" customHeight="false" outlineLevel="0" collapsed="false">
      <c r="A193" s="136" t="s">
        <v>295</v>
      </c>
      <c r="B193" s="63"/>
      <c r="C193" s="63"/>
      <c r="D193" s="63"/>
      <c r="E193" s="63"/>
    </row>
    <row r="194" customFormat="false" ht="84.75" hidden="false" customHeight="true" outlineLevel="0" collapsed="false">
      <c r="A194" s="137" t="s">
        <v>296</v>
      </c>
      <c r="B194" s="137"/>
      <c r="C194" s="137"/>
      <c r="D194" s="137"/>
      <c r="E194" s="137"/>
    </row>
    <row r="195" customFormat="false" ht="13.5" hidden="false" customHeight="true" outlineLevel="0" collapsed="false">
      <c r="A195" s="138" t="s">
        <v>297</v>
      </c>
      <c r="B195" s="46" t="s">
        <v>298</v>
      </c>
      <c r="C195" s="139" t="s">
        <v>153</v>
      </c>
      <c r="D195" s="4"/>
      <c r="F195" s="4"/>
      <c r="G195" s="4"/>
      <c r="H195" s="4"/>
      <c r="I195" s="4"/>
      <c r="J195" s="4"/>
      <c r="K195" s="140"/>
      <c r="L195" s="140"/>
      <c r="M195" s="4"/>
    </row>
    <row r="196" customFormat="false" ht="16.4" hidden="false" customHeight="false" outlineLevel="0" collapsed="false">
      <c r="A196" s="138"/>
      <c r="B196" s="141" t="s">
        <v>299</v>
      </c>
      <c r="C196" s="139"/>
      <c r="D196" s="142"/>
      <c r="E196" s="142"/>
      <c r="F196" s="142"/>
      <c r="G196" s="142"/>
      <c r="H196" s="142"/>
      <c r="I196" s="142"/>
      <c r="J196" s="142"/>
      <c r="K196" s="142"/>
      <c r="L196" s="142"/>
      <c r="M196" s="142"/>
      <c r="N196" s="142"/>
    </row>
    <row r="197" customFormat="false" ht="28.5" hidden="false" customHeight="true" outlineLevel="0" collapsed="false">
      <c r="A197" s="138"/>
      <c r="B197" s="143" t="s">
        <v>300</v>
      </c>
      <c r="C197" s="139"/>
      <c r="D197" s="4"/>
      <c r="E197" s="4"/>
      <c r="F197" s="4"/>
      <c r="G197" s="4"/>
      <c r="H197" s="4"/>
      <c r="I197" s="4"/>
      <c r="J197" s="4"/>
      <c r="K197" s="4"/>
      <c r="L197" s="4"/>
      <c r="M197" s="4"/>
      <c r="N197" s="4"/>
    </row>
    <row r="198" customFormat="false" ht="13.5" hidden="false" customHeight="true" outlineLevel="0" collapsed="false">
      <c r="A198" s="144" t="s">
        <v>301</v>
      </c>
      <c r="B198" s="144"/>
      <c r="C198" s="144"/>
      <c r="D198" s="145"/>
      <c r="E198" s="145"/>
      <c r="F198" s="145"/>
      <c r="G198" s="145"/>
      <c r="H198" s="145"/>
      <c r="I198" s="145"/>
      <c r="J198" s="145"/>
      <c r="K198" s="145"/>
      <c r="L198" s="145"/>
      <c r="M198" s="145"/>
      <c r="N198" s="145"/>
      <c r="O198" s="145"/>
      <c r="P198" s="145"/>
      <c r="Q198" s="145"/>
      <c r="R198" s="145"/>
      <c r="S198" s="145"/>
      <c r="T198" s="145"/>
      <c r="U198" s="145"/>
      <c r="V198" s="145"/>
      <c r="W198" s="145"/>
      <c r="X198" s="145"/>
      <c r="Y198" s="145"/>
      <c r="Z198" s="145"/>
      <c r="AA198" s="145"/>
      <c r="AB198" s="145"/>
      <c r="AC198" s="145"/>
      <c r="AD198" s="145"/>
      <c r="AE198" s="145"/>
      <c r="AF198" s="145"/>
      <c r="AG198" s="145"/>
      <c r="AH198" s="145"/>
      <c r="AI198" s="145"/>
      <c r="AJ198" s="145"/>
      <c r="AK198" s="145"/>
      <c r="AL198" s="145"/>
      <c r="AM198" s="145"/>
      <c r="AN198" s="145"/>
      <c r="AO198" s="145"/>
      <c r="AP198" s="145"/>
      <c r="AQ198" s="145"/>
      <c r="AR198" s="145"/>
      <c r="AS198" s="145"/>
      <c r="AT198" s="145"/>
      <c r="AU198" s="145"/>
      <c r="AV198" s="145"/>
      <c r="AW198" s="145"/>
      <c r="AX198" s="145"/>
      <c r="AY198" s="145"/>
      <c r="AZ198" s="145"/>
      <c r="BA198" s="145"/>
      <c r="BB198" s="145"/>
      <c r="BC198" s="145"/>
      <c r="BD198" s="145"/>
      <c r="BE198" s="145"/>
      <c r="BF198" s="145"/>
      <c r="BG198" s="145"/>
      <c r="BH198" s="145"/>
      <c r="BI198" s="145"/>
      <c r="BJ198" s="145"/>
      <c r="BK198" s="145"/>
      <c r="BL198" s="145"/>
      <c r="BM198" s="145"/>
      <c r="BN198" s="145"/>
      <c r="BO198" s="145"/>
      <c r="BP198" s="145"/>
      <c r="BQ198" s="145"/>
      <c r="BR198" s="145"/>
      <c r="BS198" s="145"/>
      <c r="BT198" s="145"/>
      <c r="BU198" s="145"/>
      <c r="BV198" s="145"/>
      <c r="BW198" s="145"/>
      <c r="BX198" s="145"/>
      <c r="BY198" s="145"/>
      <c r="BZ198" s="145"/>
      <c r="CA198" s="145"/>
      <c r="CB198" s="145"/>
      <c r="CC198" s="145"/>
      <c r="CD198" s="145"/>
      <c r="CE198" s="145"/>
      <c r="CF198" s="145"/>
      <c r="CG198" s="145"/>
      <c r="CH198" s="145"/>
      <c r="CI198" s="145"/>
      <c r="CJ198" s="145"/>
      <c r="CK198" s="145"/>
      <c r="CL198" s="145"/>
      <c r="CM198" s="145"/>
      <c r="CN198" s="145"/>
      <c r="CO198" s="145"/>
      <c r="CP198" s="145"/>
      <c r="CQ198" s="145"/>
      <c r="CR198" s="145"/>
      <c r="CS198" s="145"/>
      <c r="CT198" s="145"/>
      <c r="CU198" s="145"/>
      <c r="CV198" s="145"/>
      <c r="CW198" s="145"/>
      <c r="CX198" s="145"/>
      <c r="CY198" s="145"/>
      <c r="CZ198" s="145"/>
      <c r="DA198" s="145"/>
      <c r="DB198" s="145"/>
      <c r="DC198" s="145"/>
      <c r="DD198" s="145"/>
      <c r="DE198" s="145"/>
      <c r="DF198" s="145"/>
      <c r="DG198" s="145"/>
      <c r="DH198" s="145"/>
      <c r="DI198" s="145"/>
      <c r="DJ198" s="145"/>
      <c r="DK198" s="145"/>
      <c r="DL198" s="145"/>
      <c r="DM198" s="145"/>
      <c r="DN198" s="145"/>
      <c r="DO198" s="145"/>
      <c r="DP198" s="145"/>
      <c r="DQ198" s="145"/>
      <c r="DR198" s="145"/>
      <c r="DS198" s="145"/>
      <c r="DT198" s="145"/>
      <c r="DU198" s="145"/>
      <c r="DV198" s="145"/>
      <c r="DW198" s="145"/>
      <c r="DX198" s="145"/>
      <c r="DY198" s="145"/>
      <c r="DZ198" s="145"/>
      <c r="EA198" s="145"/>
      <c r="EB198" s="145"/>
      <c r="EC198" s="145"/>
      <c r="ED198" s="145"/>
      <c r="EE198" s="145"/>
      <c r="EF198" s="145"/>
      <c r="EG198" s="145"/>
      <c r="EH198" s="145"/>
      <c r="EI198" s="145"/>
      <c r="EJ198" s="145"/>
      <c r="EK198" s="145"/>
      <c r="EL198" s="145"/>
      <c r="EM198" s="145"/>
      <c r="EN198" s="145"/>
      <c r="EO198" s="145"/>
      <c r="EP198" s="145"/>
      <c r="EQ198" s="145"/>
      <c r="ER198" s="145"/>
      <c r="ES198" s="145"/>
      <c r="ET198" s="145"/>
      <c r="EU198" s="145"/>
      <c r="EV198" s="145"/>
      <c r="EW198" s="145"/>
      <c r="EX198" s="145"/>
      <c r="EY198" s="145"/>
      <c r="EZ198" s="145"/>
      <c r="FA198" s="145"/>
      <c r="FB198" s="145"/>
      <c r="FC198" s="145"/>
      <c r="FD198" s="145"/>
      <c r="FE198" s="145"/>
      <c r="FF198" s="145"/>
      <c r="FG198" s="145"/>
      <c r="FH198" s="145"/>
      <c r="FI198" s="145"/>
      <c r="FJ198" s="145"/>
      <c r="FK198" s="145"/>
      <c r="FL198" s="145"/>
      <c r="FM198" s="145"/>
      <c r="FN198" s="145"/>
      <c r="FO198" s="145"/>
      <c r="FP198" s="145"/>
      <c r="FQ198" s="145"/>
      <c r="FR198" s="145"/>
      <c r="FS198" s="145"/>
      <c r="FT198" s="145"/>
      <c r="FU198" s="145"/>
      <c r="FV198" s="145"/>
      <c r="FW198" s="145"/>
      <c r="FX198" s="145"/>
      <c r="FY198" s="145"/>
    </row>
    <row r="199" customFormat="false" ht="16.4" hidden="false" customHeight="false" outlineLevel="0" collapsed="false">
      <c r="A199" s="146" t="s">
        <v>302</v>
      </c>
      <c r="B199" s="27" t="s">
        <v>11</v>
      </c>
      <c r="C199" s="54" t="s">
        <v>303</v>
      </c>
    </row>
    <row r="200" customFormat="false" ht="31.3" hidden="false" customHeight="false" outlineLevel="0" collapsed="false">
      <c r="A200" s="147" t="s">
        <v>304</v>
      </c>
      <c r="B200" s="27" t="s">
        <v>305</v>
      </c>
      <c r="C200" s="148" t="s">
        <v>304</v>
      </c>
      <c r="D200" s="149"/>
      <c r="E200" s="150"/>
      <c r="F200" s="150"/>
      <c r="G200" s="150"/>
      <c r="H200" s="150"/>
      <c r="I200" s="150"/>
      <c r="J200" s="150"/>
      <c r="K200" s="150"/>
      <c r="L200" s="150"/>
      <c r="M200" s="150"/>
      <c r="N200" s="150"/>
    </row>
    <row r="201" customFormat="false" ht="15" hidden="false" customHeight="false" outlineLevel="0" collapsed="false">
      <c r="A201" s="4"/>
      <c r="B201" s="27"/>
      <c r="C201" s="151"/>
    </row>
    <row r="202" customFormat="false" ht="16.4" hidden="false" customHeight="false" outlineLevel="0" collapsed="false">
      <c r="A202" s="152" t="s">
        <v>306</v>
      </c>
    </row>
    <row r="203" customFormat="false" ht="16.4" hidden="false" customHeight="false" outlineLevel="0" collapsed="false">
      <c r="A203" s="146" t="s">
        <v>307</v>
      </c>
      <c r="B203" s="28" t="s">
        <v>308</v>
      </c>
      <c r="C203" s="24"/>
    </row>
    <row r="204" customFormat="false" ht="16.4" hidden="false" customHeight="false" outlineLevel="0" collapsed="false">
      <c r="A204" s="153" t="s">
        <v>309</v>
      </c>
      <c r="B204" s="27" t="s">
        <v>17</v>
      </c>
      <c r="C204" s="28" t="s">
        <v>310</v>
      </c>
      <c r="D204" s="24"/>
    </row>
    <row r="205" customFormat="false" ht="15" hidden="false" customHeight="false" outlineLevel="0" collapsed="false">
      <c r="A205" s="72" t="s">
        <v>311</v>
      </c>
      <c r="B205" s="27" t="s">
        <v>17</v>
      </c>
      <c r="C205" s="28" t="s">
        <v>312</v>
      </c>
      <c r="D205" s="24"/>
    </row>
    <row r="206" customFormat="false" ht="16.4" hidden="false" customHeight="false" outlineLevel="0" collapsed="false">
      <c r="A206" s="154" t="s">
        <v>313</v>
      </c>
    </row>
    <row r="207" customFormat="false" ht="52.5" hidden="false" customHeight="true" outlineLevel="0" collapsed="false">
      <c r="A207" s="155" t="s">
        <v>314</v>
      </c>
      <c r="B207" s="156" t="s">
        <v>315</v>
      </c>
      <c r="C207" s="156"/>
      <c r="D207" s="156"/>
      <c r="E207" s="156"/>
      <c r="F207" s="156"/>
      <c r="G207" s="156" t="s">
        <v>316</v>
      </c>
      <c r="H207" s="156"/>
      <c r="I207" s="156"/>
      <c r="J207" s="156"/>
      <c r="K207" s="156"/>
      <c r="L207" s="156" t="s">
        <v>317</v>
      </c>
      <c r="M207" s="156"/>
      <c r="N207" s="156"/>
      <c r="O207" s="156"/>
      <c r="P207" s="156"/>
      <c r="Q207" s="156" t="s">
        <v>318</v>
      </c>
      <c r="R207" s="156"/>
      <c r="S207" s="156"/>
      <c r="T207" s="156"/>
      <c r="U207" s="156"/>
      <c r="V207" s="156" t="s">
        <v>319</v>
      </c>
      <c r="W207" s="156"/>
      <c r="X207" s="156"/>
      <c r="Y207" s="156"/>
      <c r="Z207" s="156"/>
      <c r="AA207" s="156" t="s">
        <v>320</v>
      </c>
      <c r="AB207" s="156"/>
      <c r="AC207" s="156"/>
      <c r="AD207" s="156"/>
      <c r="AE207" s="156"/>
      <c r="AF207" s="156" t="s">
        <v>321</v>
      </c>
      <c r="AG207" s="156"/>
      <c r="AH207" s="156"/>
      <c r="AI207" s="156"/>
      <c r="AJ207" s="156"/>
      <c r="AK207" s="156" t="s">
        <v>322</v>
      </c>
      <c r="AL207" s="156"/>
      <c r="AM207" s="156"/>
      <c r="AN207" s="156"/>
      <c r="AO207" s="156"/>
      <c r="AP207" s="156" t="s">
        <v>323</v>
      </c>
      <c r="AQ207" s="156"/>
      <c r="AR207" s="156"/>
      <c r="AS207" s="156"/>
      <c r="AT207" s="156"/>
      <c r="AU207" s="156" t="s">
        <v>324</v>
      </c>
      <c r="AV207" s="156"/>
      <c r="AW207" s="156"/>
      <c r="AX207" s="156"/>
      <c r="AY207" s="156"/>
      <c r="AZ207" s="156" t="s">
        <v>325</v>
      </c>
      <c r="BA207" s="156"/>
      <c r="BB207" s="156"/>
      <c r="BC207" s="156"/>
      <c r="BD207" s="156"/>
      <c r="BE207" s="156" t="s">
        <v>326</v>
      </c>
      <c r="BF207" s="156"/>
      <c r="BG207" s="156"/>
      <c r="BH207" s="156"/>
      <c r="BI207" s="156"/>
      <c r="BJ207" s="156" t="s">
        <v>327</v>
      </c>
      <c r="BK207" s="156"/>
      <c r="BL207" s="156"/>
      <c r="BM207" s="156"/>
      <c r="BN207" s="156"/>
      <c r="BO207" s="156" t="s">
        <v>328</v>
      </c>
      <c r="BP207" s="156"/>
      <c r="BQ207" s="156"/>
      <c r="BR207" s="156"/>
      <c r="BS207" s="156"/>
      <c r="BT207" s="156" t="s">
        <v>329</v>
      </c>
      <c r="BU207" s="156"/>
      <c r="BV207" s="156"/>
      <c r="BW207" s="156"/>
      <c r="BX207" s="156"/>
      <c r="BY207" s="156" t="s">
        <v>330</v>
      </c>
      <c r="BZ207" s="156"/>
      <c r="CA207" s="156"/>
      <c r="CB207" s="156"/>
      <c r="CC207" s="156"/>
      <c r="CD207" s="156" t="s">
        <v>331</v>
      </c>
      <c r="CE207" s="156"/>
      <c r="CF207" s="156"/>
      <c r="CG207" s="156"/>
      <c r="CH207" s="156"/>
      <c r="CI207" s="156" t="s">
        <v>332</v>
      </c>
      <c r="CJ207" s="156"/>
      <c r="CK207" s="156"/>
      <c r="CL207" s="156"/>
      <c r="CM207" s="156"/>
      <c r="CN207" s="156" t="s">
        <v>333</v>
      </c>
      <c r="CO207" s="156"/>
      <c r="CP207" s="156"/>
      <c r="CQ207" s="156"/>
      <c r="CR207" s="156"/>
      <c r="CS207" s="156" t="s">
        <v>334</v>
      </c>
      <c r="CT207" s="156"/>
      <c r="CU207" s="156"/>
      <c r="CV207" s="156"/>
      <c r="CW207" s="156"/>
      <c r="CX207" s="156" t="s">
        <v>335</v>
      </c>
      <c r="CY207" s="156"/>
      <c r="CZ207" s="156"/>
      <c r="DA207" s="156"/>
      <c r="DB207" s="156"/>
      <c r="DC207" s="156" t="s">
        <v>336</v>
      </c>
      <c r="DD207" s="156"/>
      <c r="DE207" s="156"/>
      <c r="DF207" s="156"/>
      <c r="DG207" s="156"/>
      <c r="DH207" s="157" t="s">
        <v>337</v>
      </c>
      <c r="DI207" s="157"/>
      <c r="DJ207" s="157"/>
      <c r="DK207" s="158" t="s">
        <v>338</v>
      </c>
      <c r="DL207" s="158" t="n">
        <v>1</v>
      </c>
      <c r="DM207" s="156" t="s">
        <v>339</v>
      </c>
      <c r="DN207" s="156"/>
      <c r="DO207" s="156"/>
      <c r="DP207" s="156"/>
      <c r="DQ207" s="156"/>
      <c r="DR207" s="156" t="s">
        <v>340</v>
      </c>
      <c r="DS207" s="156"/>
      <c r="DT207" s="156"/>
      <c r="DU207" s="156"/>
      <c r="DV207" s="156"/>
      <c r="DW207" s="156" t="s">
        <v>341</v>
      </c>
      <c r="DX207" s="156"/>
      <c r="DY207" s="156"/>
      <c r="DZ207" s="156"/>
      <c r="EA207" s="156"/>
      <c r="EB207" s="156" t="s">
        <v>342</v>
      </c>
      <c r="EC207" s="156"/>
      <c r="ED207" s="156"/>
      <c r="EE207" s="156"/>
      <c r="EF207" s="156"/>
      <c r="EG207" s="156" t="s">
        <v>343</v>
      </c>
      <c r="EH207" s="156"/>
      <c r="EI207" s="156"/>
      <c r="EJ207" s="156"/>
      <c r="EK207" s="156"/>
      <c r="EL207" s="156" t="s">
        <v>344</v>
      </c>
      <c r="EM207" s="156"/>
      <c r="EN207" s="156"/>
      <c r="EO207" s="156"/>
      <c r="EP207" s="156"/>
      <c r="EQ207" s="156" t="s">
        <v>345</v>
      </c>
      <c r="ER207" s="156"/>
      <c r="ES207" s="156"/>
      <c r="ET207" s="156"/>
      <c r="EU207" s="156"/>
      <c r="EV207" s="156" t="s">
        <v>346</v>
      </c>
      <c r="EW207" s="156"/>
      <c r="EX207" s="156"/>
      <c r="EY207" s="156"/>
      <c r="EZ207" s="156"/>
      <c r="FA207" s="156" t="s">
        <v>347</v>
      </c>
      <c r="FB207" s="156"/>
      <c r="FC207" s="156"/>
      <c r="FD207" s="156"/>
      <c r="FE207" s="156"/>
      <c r="FF207" s="156" t="s">
        <v>348</v>
      </c>
      <c r="FG207" s="156"/>
      <c r="FH207" s="156"/>
      <c r="FI207" s="156"/>
      <c r="FJ207" s="156"/>
      <c r="FK207" s="156" t="s">
        <v>349</v>
      </c>
      <c r="FL207" s="156"/>
      <c r="FM207" s="156"/>
      <c r="FN207" s="156"/>
      <c r="FO207" s="156"/>
      <c r="FP207" s="156" t="s">
        <v>350</v>
      </c>
      <c r="FQ207" s="156"/>
      <c r="FR207" s="156"/>
      <c r="FS207" s="156"/>
      <c r="FT207" s="156"/>
      <c r="FU207" s="157" t="s">
        <v>351</v>
      </c>
      <c r="FV207" s="157"/>
      <c r="FW207" s="157"/>
      <c r="FX207" s="158" t="s">
        <v>338</v>
      </c>
      <c r="FY207" s="158" t="n">
        <v>1</v>
      </c>
    </row>
    <row r="208" customFormat="false" ht="15" hidden="false" customHeight="false" outlineLevel="0" collapsed="false">
      <c r="A208" s="4"/>
      <c r="B208" s="28" t="s">
        <v>352</v>
      </c>
      <c r="C208" s="28" t="s">
        <v>353</v>
      </c>
      <c r="D208" s="28" t="s">
        <v>354</v>
      </c>
      <c r="E208" s="28" t="s">
        <v>355</v>
      </c>
      <c r="F208" s="28" t="s">
        <v>356</v>
      </c>
      <c r="G208" s="28" t="s">
        <v>352</v>
      </c>
      <c r="H208" s="28" t="s">
        <v>353</v>
      </c>
      <c r="I208" s="28" t="s">
        <v>354</v>
      </c>
      <c r="J208" s="28" t="s">
        <v>355</v>
      </c>
      <c r="K208" s="28" t="s">
        <v>356</v>
      </c>
      <c r="L208" s="28" t="s">
        <v>352</v>
      </c>
      <c r="M208" s="28" t="s">
        <v>353</v>
      </c>
      <c r="N208" s="28" t="s">
        <v>354</v>
      </c>
      <c r="O208" s="28" t="s">
        <v>355</v>
      </c>
      <c r="P208" s="28" t="s">
        <v>356</v>
      </c>
      <c r="Q208" s="28" t="s">
        <v>352</v>
      </c>
      <c r="R208" s="28" t="s">
        <v>353</v>
      </c>
      <c r="S208" s="28" t="s">
        <v>354</v>
      </c>
      <c r="T208" s="28" t="s">
        <v>355</v>
      </c>
      <c r="U208" s="28" t="s">
        <v>356</v>
      </c>
      <c r="V208" s="28" t="s">
        <v>352</v>
      </c>
      <c r="W208" s="28" t="s">
        <v>353</v>
      </c>
      <c r="X208" s="28" t="s">
        <v>354</v>
      </c>
      <c r="Y208" s="28" t="s">
        <v>355</v>
      </c>
      <c r="Z208" s="28" t="s">
        <v>356</v>
      </c>
      <c r="AA208" s="28" t="s">
        <v>352</v>
      </c>
      <c r="AB208" s="28" t="s">
        <v>353</v>
      </c>
      <c r="AC208" s="28" t="s">
        <v>354</v>
      </c>
      <c r="AD208" s="28" t="s">
        <v>355</v>
      </c>
      <c r="AE208" s="28" t="s">
        <v>356</v>
      </c>
      <c r="AF208" s="28" t="s">
        <v>352</v>
      </c>
      <c r="AG208" s="28" t="s">
        <v>353</v>
      </c>
      <c r="AH208" s="28" t="s">
        <v>354</v>
      </c>
      <c r="AI208" s="28" t="s">
        <v>355</v>
      </c>
      <c r="AJ208" s="28" t="s">
        <v>356</v>
      </c>
      <c r="AK208" s="28" t="s">
        <v>352</v>
      </c>
      <c r="AL208" s="28" t="s">
        <v>353</v>
      </c>
      <c r="AM208" s="28" t="s">
        <v>354</v>
      </c>
      <c r="AN208" s="28" t="s">
        <v>355</v>
      </c>
      <c r="AO208" s="28" t="s">
        <v>356</v>
      </c>
      <c r="AP208" s="28" t="s">
        <v>352</v>
      </c>
      <c r="AQ208" s="28" t="s">
        <v>353</v>
      </c>
      <c r="AR208" s="28" t="s">
        <v>354</v>
      </c>
      <c r="AS208" s="28" t="s">
        <v>355</v>
      </c>
      <c r="AT208" s="28" t="s">
        <v>356</v>
      </c>
      <c r="AU208" s="28" t="s">
        <v>352</v>
      </c>
      <c r="AV208" s="28" t="s">
        <v>353</v>
      </c>
      <c r="AW208" s="28" t="s">
        <v>354</v>
      </c>
      <c r="AX208" s="28" t="s">
        <v>355</v>
      </c>
      <c r="AY208" s="28" t="s">
        <v>356</v>
      </c>
      <c r="AZ208" s="28" t="s">
        <v>352</v>
      </c>
      <c r="BA208" s="28" t="s">
        <v>353</v>
      </c>
      <c r="BB208" s="28" t="s">
        <v>354</v>
      </c>
      <c r="BC208" s="28" t="s">
        <v>355</v>
      </c>
      <c r="BD208" s="28" t="s">
        <v>356</v>
      </c>
      <c r="BE208" s="28" t="s">
        <v>352</v>
      </c>
      <c r="BF208" s="28" t="s">
        <v>353</v>
      </c>
      <c r="BG208" s="28" t="s">
        <v>354</v>
      </c>
      <c r="BH208" s="28" t="s">
        <v>355</v>
      </c>
      <c r="BI208" s="28" t="s">
        <v>356</v>
      </c>
      <c r="BJ208" s="28" t="s">
        <v>352</v>
      </c>
      <c r="BK208" s="28" t="s">
        <v>353</v>
      </c>
      <c r="BL208" s="28" t="s">
        <v>354</v>
      </c>
      <c r="BM208" s="28" t="s">
        <v>355</v>
      </c>
      <c r="BN208" s="28" t="s">
        <v>356</v>
      </c>
      <c r="BO208" s="28" t="s">
        <v>352</v>
      </c>
      <c r="BP208" s="28" t="s">
        <v>353</v>
      </c>
      <c r="BQ208" s="28" t="s">
        <v>354</v>
      </c>
      <c r="BR208" s="28" t="s">
        <v>355</v>
      </c>
      <c r="BS208" s="28" t="s">
        <v>356</v>
      </c>
      <c r="BT208" s="28" t="s">
        <v>352</v>
      </c>
      <c r="BU208" s="28" t="s">
        <v>353</v>
      </c>
      <c r="BV208" s="28" t="s">
        <v>354</v>
      </c>
      <c r="BW208" s="28" t="s">
        <v>355</v>
      </c>
      <c r="BX208" s="28" t="s">
        <v>356</v>
      </c>
      <c r="BY208" s="28" t="s">
        <v>352</v>
      </c>
      <c r="BZ208" s="28" t="s">
        <v>353</v>
      </c>
      <c r="CA208" s="28" t="s">
        <v>354</v>
      </c>
      <c r="CB208" s="28" t="s">
        <v>355</v>
      </c>
      <c r="CC208" s="28" t="s">
        <v>356</v>
      </c>
      <c r="CD208" s="28" t="s">
        <v>352</v>
      </c>
      <c r="CE208" s="28" t="s">
        <v>353</v>
      </c>
      <c r="CF208" s="28" t="s">
        <v>354</v>
      </c>
      <c r="CG208" s="28" t="s">
        <v>355</v>
      </c>
      <c r="CH208" s="28" t="s">
        <v>356</v>
      </c>
      <c r="CI208" s="28" t="s">
        <v>352</v>
      </c>
      <c r="CJ208" s="28" t="s">
        <v>353</v>
      </c>
      <c r="CK208" s="28" t="s">
        <v>354</v>
      </c>
      <c r="CL208" s="28" t="s">
        <v>355</v>
      </c>
      <c r="CM208" s="28" t="s">
        <v>356</v>
      </c>
      <c r="CN208" s="28" t="s">
        <v>352</v>
      </c>
      <c r="CO208" s="28" t="s">
        <v>353</v>
      </c>
      <c r="CP208" s="28" t="s">
        <v>354</v>
      </c>
      <c r="CQ208" s="28" t="s">
        <v>355</v>
      </c>
      <c r="CR208" s="28" t="s">
        <v>356</v>
      </c>
      <c r="CS208" s="28" t="s">
        <v>352</v>
      </c>
      <c r="CT208" s="28" t="s">
        <v>353</v>
      </c>
      <c r="CU208" s="28" t="s">
        <v>354</v>
      </c>
      <c r="CV208" s="28" t="s">
        <v>355</v>
      </c>
      <c r="CW208" s="28" t="s">
        <v>356</v>
      </c>
      <c r="CX208" s="28" t="s">
        <v>352</v>
      </c>
      <c r="CY208" s="28" t="s">
        <v>353</v>
      </c>
      <c r="CZ208" s="28" t="s">
        <v>354</v>
      </c>
      <c r="DA208" s="28" t="s">
        <v>355</v>
      </c>
      <c r="DB208" s="28" t="s">
        <v>356</v>
      </c>
      <c r="DC208" s="28" t="s">
        <v>352</v>
      </c>
      <c r="DD208" s="28" t="s">
        <v>353</v>
      </c>
      <c r="DE208" s="28" t="s">
        <v>354</v>
      </c>
      <c r="DF208" s="28" t="s">
        <v>355</v>
      </c>
      <c r="DG208" s="28" t="s">
        <v>356</v>
      </c>
      <c r="DH208" s="131" t="s">
        <v>352</v>
      </c>
      <c r="DI208" s="131" t="s">
        <v>353</v>
      </c>
      <c r="DJ208" s="131" t="s">
        <v>354</v>
      </c>
      <c r="DK208" s="131" t="s">
        <v>355</v>
      </c>
      <c r="DL208" s="28" t="s">
        <v>356</v>
      </c>
      <c r="DM208" s="28" t="s">
        <v>352</v>
      </c>
      <c r="DN208" s="28" t="s">
        <v>353</v>
      </c>
      <c r="DO208" s="28" t="s">
        <v>354</v>
      </c>
      <c r="DP208" s="28" t="s">
        <v>355</v>
      </c>
      <c r="DQ208" s="28" t="s">
        <v>356</v>
      </c>
      <c r="DR208" s="28" t="s">
        <v>352</v>
      </c>
      <c r="DS208" s="28" t="s">
        <v>353</v>
      </c>
      <c r="DT208" s="28" t="s">
        <v>354</v>
      </c>
      <c r="DU208" s="28" t="s">
        <v>355</v>
      </c>
      <c r="DV208" s="28" t="s">
        <v>356</v>
      </c>
      <c r="DW208" s="28" t="s">
        <v>352</v>
      </c>
      <c r="DX208" s="28" t="s">
        <v>353</v>
      </c>
      <c r="DY208" s="28" t="s">
        <v>354</v>
      </c>
      <c r="DZ208" s="28" t="s">
        <v>355</v>
      </c>
      <c r="EA208" s="28" t="s">
        <v>356</v>
      </c>
      <c r="EB208" s="28" t="s">
        <v>352</v>
      </c>
      <c r="EC208" s="28" t="s">
        <v>353</v>
      </c>
      <c r="ED208" s="28" t="s">
        <v>354</v>
      </c>
      <c r="EE208" s="28" t="s">
        <v>355</v>
      </c>
      <c r="EF208" s="28" t="s">
        <v>356</v>
      </c>
      <c r="EG208" s="28" t="s">
        <v>352</v>
      </c>
      <c r="EH208" s="28" t="s">
        <v>353</v>
      </c>
      <c r="EI208" s="28" t="s">
        <v>354</v>
      </c>
      <c r="EJ208" s="28" t="s">
        <v>355</v>
      </c>
      <c r="EK208" s="28" t="s">
        <v>356</v>
      </c>
      <c r="EL208" s="28" t="s">
        <v>352</v>
      </c>
      <c r="EM208" s="28" t="s">
        <v>353</v>
      </c>
      <c r="EN208" s="28" t="s">
        <v>354</v>
      </c>
      <c r="EO208" s="28" t="s">
        <v>355</v>
      </c>
      <c r="EP208" s="28" t="s">
        <v>356</v>
      </c>
      <c r="EQ208" s="28" t="s">
        <v>352</v>
      </c>
      <c r="ER208" s="28" t="s">
        <v>353</v>
      </c>
      <c r="ES208" s="28" t="s">
        <v>354</v>
      </c>
      <c r="ET208" s="28" t="s">
        <v>355</v>
      </c>
      <c r="EU208" s="28" t="s">
        <v>356</v>
      </c>
      <c r="EV208" s="28" t="s">
        <v>352</v>
      </c>
      <c r="EW208" s="28" t="s">
        <v>353</v>
      </c>
      <c r="EX208" s="28" t="s">
        <v>354</v>
      </c>
      <c r="EY208" s="28" t="s">
        <v>355</v>
      </c>
      <c r="EZ208" s="28" t="s">
        <v>356</v>
      </c>
      <c r="FA208" s="28" t="s">
        <v>352</v>
      </c>
      <c r="FB208" s="28" t="s">
        <v>353</v>
      </c>
      <c r="FC208" s="28" t="s">
        <v>354</v>
      </c>
      <c r="FD208" s="28" t="s">
        <v>355</v>
      </c>
      <c r="FE208" s="28" t="s">
        <v>356</v>
      </c>
      <c r="FF208" s="28" t="s">
        <v>352</v>
      </c>
      <c r="FG208" s="28" t="s">
        <v>353</v>
      </c>
      <c r="FH208" s="28" t="s">
        <v>354</v>
      </c>
      <c r="FI208" s="28" t="s">
        <v>355</v>
      </c>
      <c r="FJ208" s="28" t="s">
        <v>356</v>
      </c>
      <c r="FK208" s="28" t="s">
        <v>352</v>
      </c>
      <c r="FL208" s="28" t="s">
        <v>353</v>
      </c>
      <c r="FM208" s="28" t="s">
        <v>354</v>
      </c>
      <c r="FN208" s="28" t="s">
        <v>355</v>
      </c>
      <c r="FO208" s="28" t="s">
        <v>356</v>
      </c>
      <c r="FP208" s="28" t="s">
        <v>352</v>
      </c>
      <c r="FQ208" s="28" t="s">
        <v>353</v>
      </c>
      <c r="FR208" s="28" t="s">
        <v>354</v>
      </c>
      <c r="FS208" s="28" t="s">
        <v>355</v>
      </c>
      <c r="FT208" s="28" t="s">
        <v>356</v>
      </c>
      <c r="FU208" s="28" t="s">
        <v>352</v>
      </c>
      <c r="FV208" s="28" t="s">
        <v>353</v>
      </c>
      <c r="FW208" s="28" t="s">
        <v>354</v>
      </c>
      <c r="FX208" s="28" t="s">
        <v>355</v>
      </c>
      <c r="FY208" s="28" t="s">
        <v>356</v>
      </c>
    </row>
    <row r="209" customFormat="false" ht="16.4" hidden="false" customHeight="false" outlineLevel="0" collapsed="false">
      <c r="A209" s="155" t="s">
        <v>357</v>
      </c>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c r="AB209" s="135"/>
      <c r="AC209" s="135"/>
      <c r="AD209" s="135"/>
      <c r="AE209" s="135"/>
      <c r="AF209" s="135"/>
      <c r="AG209" s="135"/>
      <c r="AH209" s="135"/>
      <c r="AI209" s="135"/>
      <c r="AJ209" s="135"/>
      <c r="AK209" s="135"/>
      <c r="AL209" s="135"/>
      <c r="AM209" s="135"/>
      <c r="AN209" s="135"/>
      <c r="AO209" s="135"/>
      <c r="AP209" s="135"/>
      <c r="AQ209" s="135"/>
      <c r="AR209" s="135"/>
      <c r="AS209" s="135"/>
      <c r="AT209" s="135"/>
      <c r="AU209" s="135"/>
      <c r="AV209" s="135"/>
      <c r="AW209" s="135"/>
      <c r="AX209" s="135"/>
      <c r="AY209" s="135"/>
      <c r="AZ209" s="135"/>
      <c r="BA209" s="135"/>
      <c r="BB209" s="135"/>
      <c r="BC209" s="135"/>
      <c r="BD209" s="135"/>
      <c r="BE209" s="135"/>
      <c r="BF209" s="135"/>
      <c r="BG209" s="135"/>
      <c r="BH209" s="135"/>
      <c r="BI209" s="135"/>
      <c r="BJ209" s="135"/>
      <c r="BK209" s="135"/>
      <c r="BL209" s="135"/>
      <c r="BM209" s="135"/>
      <c r="BN209" s="135"/>
      <c r="BO209" s="135"/>
      <c r="BP209" s="135"/>
      <c r="BQ209" s="135"/>
      <c r="BR209" s="135"/>
      <c r="BS209" s="135"/>
      <c r="BT209" s="135"/>
      <c r="BU209" s="135"/>
      <c r="BV209" s="135"/>
      <c r="BW209" s="135"/>
      <c r="BX209" s="135"/>
      <c r="BY209" s="135"/>
      <c r="BZ209" s="135"/>
      <c r="CA209" s="135"/>
      <c r="CB209" s="135"/>
      <c r="CC209" s="135"/>
      <c r="CD209" s="135"/>
      <c r="CE209" s="135"/>
      <c r="CF209" s="135"/>
      <c r="CG209" s="135"/>
      <c r="CH209" s="135"/>
      <c r="CI209" s="135"/>
      <c r="CJ209" s="135"/>
      <c r="CK209" s="135"/>
      <c r="CL209" s="135"/>
      <c r="CM209" s="135"/>
      <c r="CN209" s="135"/>
      <c r="CO209" s="135"/>
      <c r="CP209" s="135"/>
      <c r="CQ209" s="135"/>
      <c r="CR209" s="135"/>
      <c r="CS209" s="135"/>
      <c r="CT209" s="135"/>
      <c r="CU209" s="135"/>
      <c r="CV209" s="135"/>
      <c r="CW209" s="135"/>
      <c r="CX209" s="135"/>
      <c r="CY209" s="135"/>
      <c r="CZ209" s="135"/>
      <c r="DA209" s="135"/>
      <c r="DB209" s="135"/>
      <c r="DC209" s="135"/>
      <c r="DD209" s="135"/>
      <c r="DE209" s="135"/>
      <c r="DF209" s="135"/>
      <c r="DG209" s="135"/>
      <c r="DH209" s="135"/>
      <c r="DI209" s="135"/>
      <c r="DJ209" s="135"/>
      <c r="DK209" s="135"/>
      <c r="DL209" s="135"/>
      <c r="DM209" s="135"/>
      <c r="DN209" s="135"/>
      <c r="DO209" s="135"/>
      <c r="DP209" s="135"/>
      <c r="DQ209" s="135"/>
      <c r="DR209" s="135"/>
      <c r="DS209" s="135"/>
      <c r="DT209" s="135"/>
      <c r="DU209" s="135"/>
      <c r="DV209" s="135"/>
      <c r="DW209" s="135"/>
      <c r="DX209" s="135"/>
      <c r="DY209" s="135"/>
      <c r="DZ209" s="135"/>
      <c r="EA209" s="135"/>
      <c r="EB209" s="135"/>
      <c r="EC209" s="135"/>
      <c r="ED209" s="135"/>
      <c r="EE209" s="135"/>
      <c r="EF209" s="135"/>
      <c r="EG209" s="135"/>
      <c r="EH209" s="135"/>
      <c r="EI209" s="135"/>
      <c r="EJ209" s="135"/>
      <c r="EK209" s="135"/>
      <c r="EL209" s="135"/>
      <c r="EM209" s="135"/>
      <c r="EN209" s="135"/>
      <c r="EO209" s="135"/>
      <c r="EP209" s="135"/>
      <c r="EQ209" s="135"/>
      <c r="ER209" s="135"/>
      <c r="ES209" s="135"/>
      <c r="ET209" s="135"/>
      <c r="EU209" s="135"/>
      <c r="EV209" s="135"/>
      <c r="EW209" s="135"/>
      <c r="EX209" s="135"/>
      <c r="EY209" s="135"/>
      <c r="EZ209" s="135"/>
      <c r="FA209" s="135"/>
      <c r="FB209" s="135"/>
      <c r="FC209" s="135"/>
      <c r="FD209" s="135"/>
      <c r="FE209" s="135"/>
      <c r="FF209" s="135"/>
      <c r="FG209" s="135"/>
      <c r="FH209" s="135"/>
      <c r="FI209" s="135"/>
      <c r="FJ209" s="135"/>
      <c r="FK209" s="135"/>
      <c r="FL209" s="135"/>
      <c r="FM209" s="135"/>
      <c r="FN209" s="135"/>
      <c r="FO209" s="135"/>
      <c r="FP209" s="135"/>
      <c r="FQ209" s="135"/>
      <c r="FR209" s="135"/>
      <c r="FS209" s="135"/>
      <c r="FT209" s="135"/>
      <c r="FU209" s="135"/>
      <c r="FV209" s="135"/>
      <c r="FW209" s="135"/>
      <c r="FX209" s="135"/>
      <c r="FY209" s="135"/>
    </row>
    <row r="210" customFormat="false" ht="16.4" hidden="false" customHeight="false" outlineLevel="0" collapsed="false">
      <c r="A210" s="159" t="s">
        <v>358</v>
      </c>
      <c r="B210" s="27" t="n">
        <v>0</v>
      </c>
      <c r="C210" s="27" t="n">
        <v>0</v>
      </c>
      <c r="D210" s="27" t="n">
        <v>0</v>
      </c>
      <c r="E210" s="27" t="n">
        <v>0</v>
      </c>
      <c r="F210" s="27" t="n">
        <v>0</v>
      </c>
      <c r="G210" s="27" t="n">
        <v>0</v>
      </c>
      <c r="H210" s="27" t="n">
        <v>0</v>
      </c>
      <c r="I210" s="27" t="n">
        <v>0</v>
      </c>
      <c r="J210" s="27" t="n">
        <v>0</v>
      </c>
      <c r="K210" s="27" t="n">
        <v>0</v>
      </c>
      <c r="L210" s="27" t="n">
        <v>0</v>
      </c>
      <c r="M210" s="27" t="n">
        <v>0</v>
      </c>
      <c r="N210" s="27" t="n">
        <v>0</v>
      </c>
      <c r="O210" s="27" t="n">
        <v>0</v>
      </c>
      <c r="P210" s="27" t="n">
        <v>0</v>
      </c>
      <c r="Q210" s="27" t="n">
        <v>0</v>
      </c>
      <c r="R210" s="27" t="n">
        <v>0</v>
      </c>
      <c r="S210" s="27" t="n">
        <v>0</v>
      </c>
      <c r="T210" s="27" t="n">
        <v>0</v>
      </c>
      <c r="U210" s="27" t="n">
        <v>0</v>
      </c>
      <c r="V210" s="27" t="n">
        <v>0</v>
      </c>
      <c r="W210" s="27" t="n">
        <v>0</v>
      </c>
      <c r="X210" s="27" t="n">
        <v>0</v>
      </c>
      <c r="Y210" s="27" t="n">
        <v>0</v>
      </c>
      <c r="Z210" s="27" t="n">
        <v>0</v>
      </c>
      <c r="AA210" s="27" t="n">
        <v>0</v>
      </c>
      <c r="AB210" s="27" t="n">
        <v>0</v>
      </c>
      <c r="AC210" s="27" t="n">
        <v>0</v>
      </c>
      <c r="AD210" s="27" t="n">
        <v>0</v>
      </c>
      <c r="AE210" s="27" t="n">
        <v>0</v>
      </c>
      <c r="AF210" s="27" t="n">
        <v>0</v>
      </c>
      <c r="AG210" s="27" t="n">
        <v>0</v>
      </c>
      <c r="AH210" s="27" t="n">
        <v>0</v>
      </c>
      <c r="AI210" s="27" t="n">
        <v>0</v>
      </c>
      <c r="AJ210" s="27" t="n">
        <v>0</v>
      </c>
      <c r="AK210" s="27" t="n">
        <v>0</v>
      </c>
      <c r="AL210" s="27" t="n">
        <v>0</v>
      </c>
      <c r="AM210" s="27" t="n">
        <v>0</v>
      </c>
      <c r="AN210" s="27" t="n">
        <v>0</v>
      </c>
      <c r="AO210" s="27" t="n">
        <v>0</v>
      </c>
      <c r="AP210" s="27" t="n">
        <v>0</v>
      </c>
      <c r="AQ210" s="27" t="n">
        <v>0</v>
      </c>
      <c r="AR210" s="27" t="n">
        <v>0</v>
      </c>
      <c r="AS210" s="27" t="n">
        <v>0</v>
      </c>
      <c r="AT210" s="27" t="n">
        <v>0</v>
      </c>
      <c r="AU210" s="27" t="n">
        <v>0</v>
      </c>
      <c r="AV210" s="27" t="n">
        <v>0</v>
      </c>
      <c r="AW210" s="27" t="n">
        <v>0</v>
      </c>
      <c r="AX210" s="27" t="n">
        <v>0</v>
      </c>
      <c r="AY210" s="27" t="n">
        <v>0</v>
      </c>
      <c r="AZ210" s="27" t="n">
        <v>0</v>
      </c>
      <c r="BA210" s="27" t="n">
        <v>0</v>
      </c>
      <c r="BB210" s="27" t="n">
        <v>0</v>
      </c>
      <c r="BC210" s="27" t="n">
        <v>0</v>
      </c>
      <c r="BD210" s="27" t="n">
        <v>0</v>
      </c>
      <c r="BE210" s="27" t="n">
        <v>0</v>
      </c>
      <c r="BF210" s="27" t="n">
        <v>0</v>
      </c>
      <c r="BG210" s="27" t="n">
        <v>0</v>
      </c>
      <c r="BH210" s="27" t="n">
        <v>0</v>
      </c>
      <c r="BI210" s="27" t="n">
        <v>0</v>
      </c>
      <c r="BJ210" s="27" t="n">
        <v>0</v>
      </c>
      <c r="BK210" s="27" t="n">
        <v>0</v>
      </c>
      <c r="BL210" s="27" t="n">
        <v>0</v>
      </c>
      <c r="BM210" s="27" t="n">
        <v>0</v>
      </c>
      <c r="BN210" s="27" t="n">
        <v>0</v>
      </c>
      <c r="BO210" s="27" t="n">
        <v>0</v>
      </c>
      <c r="BP210" s="27" t="n">
        <v>0</v>
      </c>
      <c r="BQ210" s="27" t="n">
        <v>0</v>
      </c>
      <c r="BR210" s="27" t="n">
        <v>0</v>
      </c>
      <c r="BS210" s="27" t="n">
        <v>0</v>
      </c>
      <c r="BT210" s="27" t="n">
        <v>0</v>
      </c>
      <c r="BU210" s="27" t="n">
        <v>0</v>
      </c>
      <c r="BV210" s="27" t="n">
        <v>0</v>
      </c>
      <c r="BW210" s="27" t="n">
        <v>0</v>
      </c>
      <c r="BX210" s="27" t="n">
        <v>0</v>
      </c>
      <c r="BY210" s="27" t="n">
        <v>0</v>
      </c>
      <c r="BZ210" s="27" t="n">
        <v>0</v>
      </c>
      <c r="CA210" s="27" t="n">
        <v>0</v>
      </c>
      <c r="CB210" s="27" t="n">
        <v>0</v>
      </c>
      <c r="CC210" s="27" t="n">
        <v>0</v>
      </c>
      <c r="CD210" s="27" t="n">
        <v>0</v>
      </c>
      <c r="CE210" s="27" t="n">
        <v>0</v>
      </c>
      <c r="CF210" s="27" t="n">
        <v>0</v>
      </c>
      <c r="CG210" s="27" t="n">
        <v>0</v>
      </c>
      <c r="CH210" s="27" t="n">
        <v>0</v>
      </c>
      <c r="CI210" s="27" t="n">
        <v>0</v>
      </c>
      <c r="CJ210" s="27" t="n">
        <v>0</v>
      </c>
      <c r="CK210" s="27" t="n">
        <v>0</v>
      </c>
      <c r="CL210" s="27" t="n">
        <v>0</v>
      </c>
      <c r="CM210" s="27" t="n">
        <v>0</v>
      </c>
      <c r="CN210" s="27" t="n">
        <v>0</v>
      </c>
      <c r="CO210" s="27" t="n">
        <v>0</v>
      </c>
      <c r="CP210" s="27" t="n">
        <v>0</v>
      </c>
      <c r="CQ210" s="27" t="n">
        <v>0</v>
      </c>
      <c r="CR210" s="27" t="n">
        <v>0</v>
      </c>
      <c r="CS210" s="27" t="n">
        <v>0</v>
      </c>
      <c r="CT210" s="27" t="n">
        <v>0</v>
      </c>
      <c r="CU210" s="27" t="n">
        <v>0</v>
      </c>
      <c r="CV210" s="27" t="n">
        <v>0</v>
      </c>
      <c r="CW210" s="27" t="n">
        <v>0</v>
      </c>
      <c r="CX210" s="27" t="n">
        <v>0</v>
      </c>
      <c r="CY210" s="27" t="n">
        <v>0</v>
      </c>
      <c r="CZ210" s="27" t="n">
        <v>0</v>
      </c>
      <c r="DA210" s="27" t="n">
        <v>0</v>
      </c>
      <c r="DB210" s="27" t="n">
        <v>0</v>
      </c>
      <c r="DC210" s="27" t="n">
        <v>0</v>
      </c>
      <c r="DD210" s="27" t="n">
        <v>0</v>
      </c>
      <c r="DE210" s="27" t="n">
        <v>0</v>
      </c>
      <c r="DF210" s="27" t="n">
        <v>0</v>
      </c>
      <c r="DG210" s="27" t="n">
        <v>0</v>
      </c>
      <c r="DH210" s="27" t="n">
        <v>0</v>
      </c>
      <c r="DI210" s="27" t="n">
        <v>0</v>
      </c>
      <c r="DJ210" s="27" t="n">
        <v>0</v>
      </c>
      <c r="DK210" s="27" t="n">
        <v>0</v>
      </c>
      <c r="DL210" s="27" t="n">
        <v>0</v>
      </c>
      <c r="DM210" s="27" t="n">
        <v>0</v>
      </c>
      <c r="DN210" s="27" t="n">
        <v>0</v>
      </c>
      <c r="DO210" s="27" t="n">
        <v>0</v>
      </c>
      <c r="DP210" s="27" t="n">
        <v>0</v>
      </c>
      <c r="DQ210" s="27" t="n">
        <v>0</v>
      </c>
      <c r="DR210" s="27" t="n">
        <v>0</v>
      </c>
      <c r="DS210" s="27" t="n">
        <v>0</v>
      </c>
      <c r="DT210" s="27" t="n">
        <v>0</v>
      </c>
      <c r="DU210" s="27" t="n">
        <v>0</v>
      </c>
      <c r="DV210" s="27" t="n">
        <v>0</v>
      </c>
      <c r="DW210" s="27" t="n">
        <v>0</v>
      </c>
      <c r="DX210" s="27" t="n">
        <v>0</v>
      </c>
      <c r="DY210" s="27" t="n">
        <v>0</v>
      </c>
      <c r="DZ210" s="27" t="n">
        <v>0</v>
      </c>
      <c r="EA210" s="27" t="n">
        <v>0</v>
      </c>
      <c r="EB210" s="27" t="n">
        <v>0</v>
      </c>
      <c r="EC210" s="27" t="n">
        <v>0</v>
      </c>
      <c r="ED210" s="27" t="n">
        <v>0</v>
      </c>
      <c r="EE210" s="27" t="n">
        <v>0</v>
      </c>
      <c r="EF210" s="27" t="n">
        <v>0</v>
      </c>
      <c r="EG210" s="27" t="n">
        <v>0</v>
      </c>
      <c r="EH210" s="27" t="n">
        <v>0</v>
      </c>
      <c r="EI210" s="27" t="n">
        <v>0</v>
      </c>
      <c r="EJ210" s="27" t="n">
        <v>0</v>
      </c>
      <c r="EK210" s="27" t="n">
        <v>0</v>
      </c>
      <c r="EL210" s="27" t="n">
        <v>0</v>
      </c>
      <c r="EM210" s="27" t="n">
        <v>0</v>
      </c>
      <c r="EN210" s="27" t="n">
        <v>0</v>
      </c>
      <c r="EO210" s="27" t="n">
        <v>0</v>
      </c>
      <c r="EP210" s="27" t="n">
        <v>0</v>
      </c>
      <c r="EQ210" s="27" t="n">
        <v>0</v>
      </c>
      <c r="ER210" s="27" t="n">
        <v>0</v>
      </c>
      <c r="ES210" s="27" t="n">
        <v>0</v>
      </c>
      <c r="ET210" s="27" t="n">
        <v>0</v>
      </c>
      <c r="EU210" s="27" t="n">
        <v>0</v>
      </c>
      <c r="EV210" s="27" t="n">
        <v>0</v>
      </c>
      <c r="EW210" s="27" t="n">
        <v>0</v>
      </c>
      <c r="EX210" s="27" t="n">
        <v>0</v>
      </c>
      <c r="EY210" s="27" t="n">
        <v>0</v>
      </c>
      <c r="EZ210" s="27" t="n">
        <v>0</v>
      </c>
      <c r="FA210" s="27" t="n">
        <v>0</v>
      </c>
      <c r="FB210" s="27" t="n">
        <v>0</v>
      </c>
      <c r="FC210" s="27" t="n">
        <v>0</v>
      </c>
      <c r="FD210" s="27" t="n">
        <v>0</v>
      </c>
      <c r="FE210" s="27" t="n">
        <v>0</v>
      </c>
      <c r="FF210" s="27" t="n">
        <v>0</v>
      </c>
      <c r="FG210" s="27" t="n">
        <v>0</v>
      </c>
      <c r="FH210" s="27" t="n">
        <v>0</v>
      </c>
      <c r="FI210" s="27" t="n">
        <v>0</v>
      </c>
      <c r="FJ210" s="27" t="n">
        <v>0</v>
      </c>
      <c r="FK210" s="27" t="n">
        <v>0</v>
      </c>
      <c r="FL210" s="27" t="n">
        <v>0</v>
      </c>
      <c r="FM210" s="27" t="n">
        <v>0</v>
      </c>
      <c r="FN210" s="27" t="n">
        <v>0</v>
      </c>
      <c r="FO210" s="27" t="n">
        <v>0</v>
      </c>
      <c r="FP210" s="27" t="n">
        <v>0</v>
      </c>
      <c r="FQ210" s="27" t="n">
        <v>0</v>
      </c>
      <c r="FR210" s="27" t="n">
        <v>0</v>
      </c>
      <c r="FS210" s="27" t="n">
        <v>0</v>
      </c>
      <c r="FT210" s="27" t="n">
        <v>0</v>
      </c>
      <c r="FU210" s="27" t="n">
        <v>0</v>
      </c>
      <c r="FV210" s="27" t="n">
        <v>0</v>
      </c>
      <c r="FW210" s="27" t="n">
        <v>0</v>
      </c>
      <c r="FX210" s="27" t="n">
        <v>0</v>
      </c>
      <c r="FY210" s="27" t="n">
        <v>0</v>
      </c>
    </row>
    <row r="211" customFormat="false" ht="16.4" hidden="false" customHeight="false" outlineLevel="0" collapsed="false">
      <c r="A211" s="159" t="s">
        <v>359</v>
      </c>
      <c r="B211" s="27" t="n">
        <v>0</v>
      </c>
      <c r="C211" s="27" t="n">
        <v>0</v>
      </c>
      <c r="D211" s="27" t="n">
        <v>0</v>
      </c>
      <c r="E211" s="27" t="n">
        <v>0</v>
      </c>
      <c r="F211" s="27" t="n">
        <v>0</v>
      </c>
      <c r="G211" s="27" t="n">
        <v>0</v>
      </c>
      <c r="H211" s="27" t="n">
        <v>0</v>
      </c>
      <c r="I211" s="27" t="n">
        <v>0</v>
      </c>
      <c r="J211" s="27" t="n">
        <v>0</v>
      </c>
      <c r="K211" s="27" t="n">
        <v>0</v>
      </c>
      <c r="L211" s="27" t="n">
        <v>0</v>
      </c>
      <c r="M211" s="27" t="n">
        <v>0</v>
      </c>
      <c r="N211" s="27" t="n">
        <v>0</v>
      </c>
      <c r="O211" s="27" t="n">
        <v>0</v>
      </c>
      <c r="P211" s="27" t="n">
        <v>0</v>
      </c>
      <c r="Q211" s="27" t="n">
        <v>0</v>
      </c>
      <c r="R211" s="27" t="n">
        <v>0</v>
      </c>
      <c r="S211" s="27" t="n">
        <v>0</v>
      </c>
      <c r="T211" s="27" t="n">
        <v>0</v>
      </c>
      <c r="U211" s="27" t="n">
        <v>0</v>
      </c>
      <c r="V211" s="27" t="n">
        <v>0</v>
      </c>
      <c r="W211" s="27" t="n">
        <v>0</v>
      </c>
      <c r="X211" s="27" t="n">
        <v>0</v>
      </c>
      <c r="Y211" s="27" t="n">
        <v>0</v>
      </c>
      <c r="Z211" s="27" t="n">
        <v>0</v>
      </c>
      <c r="AA211" s="27" t="n">
        <v>0</v>
      </c>
      <c r="AB211" s="27" t="n">
        <v>0</v>
      </c>
      <c r="AC211" s="27" t="n">
        <v>0</v>
      </c>
      <c r="AD211" s="27" t="n">
        <v>0</v>
      </c>
      <c r="AE211" s="27" t="n">
        <v>0</v>
      </c>
      <c r="AF211" s="27" t="n">
        <v>0</v>
      </c>
      <c r="AG211" s="27" t="n">
        <v>0</v>
      </c>
      <c r="AH211" s="27" t="n">
        <v>0</v>
      </c>
      <c r="AI211" s="27" t="n">
        <v>0</v>
      </c>
      <c r="AJ211" s="27" t="n">
        <v>0</v>
      </c>
      <c r="AK211" s="27" t="n">
        <v>0</v>
      </c>
      <c r="AL211" s="27" t="n">
        <v>0</v>
      </c>
      <c r="AM211" s="27" t="n">
        <v>0</v>
      </c>
      <c r="AN211" s="27" t="n">
        <v>0</v>
      </c>
      <c r="AO211" s="27" t="n">
        <v>0</v>
      </c>
      <c r="AP211" s="27" t="n">
        <v>0</v>
      </c>
      <c r="AQ211" s="27" t="n">
        <v>0</v>
      </c>
      <c r="AR211" s="27" t="n">
        <v>0</v>
      </c>
      <c r="AS211" s="27" t="n">
        <v>0</v>
      </c>
      <c r="AT211" s="27" t="n">
        <v>0</v>
      </c>
      <c r="AU211" s="27" t="n">
        <v>0</v>
      </c>
      <c r="AV211" s="27" t="n">
        <v>0</v>
      </c>
      <c r="AW211" s="27" t="n">
        <v>0</v>
      </c>
      <c r="AX211" s="27" t="n">
        <v>0</v>
      </c>
      <c r="AY211" s="27" t="n">
        <v>0</v>
      </c>
      <c r="AZ211" s="27" t="n">
        <v>0</v>
      </c>
      <c r="BA211" s="27" t="n">
        <v>0</v>
      </c>
      <c r="BB211" s="27" t="n">
        <v>0</v>
      </c>
      <c r="BC211" s="27" t="n">
        <v>0</v>
      </c>
      <c r="BD211" s="27" t="n">
        <v>0</v>
      </c>
      <c r="BE211" s="27" t="n">
        <v>0</v>
      </c>
      <c r="BF211" s="27" t="n">
        <v>0</v>
      </c>
      <c r="BG211" s="27" t="n">
        <v>0</v>
      </c>
      <c r="BH211" s="27" t="n">
        <v>0</v>
      </c>
      <c r="BI211" s="27" t="n">
        <v>0</v>
      </c>
      <c r="BJ211" s="27" t="n">
        <v>0</v>
      </c>
      <c r="BK211" s="27" t="n">
        <v>0</v>
      </c>
      <c r="BL211" s="27" t="n">
        <v>0</v>
      </c>
      <c r="BM211" s="27" t="n">
        <v>0</v>
      </c>
      <c r="BN211" s="27" t="n">
        <v>0</v>
      </c>
      <c r="BO211" s="27" t="n">
        <v>0</v>
      </c>
      <c r="BP211" s="27" t="n">
        <v>0</v>
      </c>
      <c r="BQ211" s="27" t="n">
        <v>0</v>
      </c>
      <c r="BR211" s="27" t="n">
        <v>0</v>
      </c>
      <c r="BS211" s="27" t="n">
        <v>0</v>
      </c>
      <c r="BT211" s="27" t="n">
        <v>0</v>
      </c>
      <c r="BU211" s="27" t="n">
        <v>0</v>
      </c>
      <c r="BV211" s="27" t="n">
        <v>0</v>
      </c>
      <c r="BW211" s="27" t="n">
        <v>0</v>
      </c>
      <c r="BX211" s="27" t="n">
        <v>0</v>
      </c>
      <c r="BY211" s="27" t="n">
        <v>0</v>
      </c>
      <c r="BZ211" s="27" t="n">
        <v>0</v>
      </c>
      <c r="CA211" s="27" t="n">
        <v>0</v>
      </c>
      <c r="CB211" s="27" t="n">
        <v>0</v>
      </c>
      <c r="CC211" s="27" t="n">
        <v>0</v>
      </c>
      <c r="CD211" s="27" t="n">
        <v>0</v>
      </c>
      <c r="CE211" s="27" t="n">
        <v>0</v>
      </c>
      <c r="CF211" s="27" t="n">
        <v>0</v>
      </c>
      <c r="CG211" s="27" t="n">
        <v>0</v>
      </c>
      <c r="CH211" s="27" t="n">
        <v>0</v>
      </c>
      <c r="CI211" s="27" t="n">
        <v>0</v>
      </c>
      <c r="CJ211" s="27" t="n">
        <v>0</v>
      </c>
      <c r="CK211" s="27" t="n">
        <v>0</v>
      </c>
      <c r="CL211" s="27" t="n">
        <v>0</v>
      </c>
      <c r="CM211" s="27" t="n">
        <v>0</v>
      </c>
      <c r="CN211" s="27" t="n">
        <v>0</v>
      </c>
      <c r="CO211" s="27" t="n">
        <v>0</v>
      </c>
      <c r="CP211" s="27" t="n">
        <v>0</v>
      </c>
      <c r="CQ211" s="27" t="n">
        <v>0</v>
      </c>
      <c r="CR211" s="27" t="n">
        <v>0</v>
      </c>
      <c r="CS211" s="27" t="n">
        <v>0</v>
      </c>
      <c r="CT211" s="27" t="n">
        <v>0</v>
      </c>
      <c r="CU211" s="27" t="n">
        <v>0</v>
      </c>
      <c r="CV211" s="27" t="n">
        <v>0</v>
      </c>
      <c r="CW211" s="27" t="n">
        <v>0</v>
      </c>
      <c r="CX211" s="27" t="n">
        <v>0</v>
      </c>
      <c r="CY211" s="27" t="n">
        <v>0</v>
      </c>
      <c r="CZ211" s="27" t="n">
        <v>0</v>
      </c>
      <c r="DA211" s="27" t="n">
        <v>0</v>
      </c>
      <c r="DB211" s="27" t="n">
        <v>0</v>
      </c>
      <c r="DC211" s="27" t="n">
        <v>0</v>
      </c>
      <c r="DD211" s="27" t="n">
        <v>0</v>
      </c>
      <c r="DE211" s="27" t="n">
        <v>0</v>
      </c>
      <c r="DF211" s="27" t="n">
        <v>0</v>
      </c>
      <c r="DG211" s="27" t="n">
        <v>0</v>
      </c>
      <c r="DH211" s="27" t="n">
        <v>0</v>
      </c>
      <c r="DI211" s="27" t="n">
        <v>0</v>
      </c>
      <c r="DJ211" s="27" t="n">
        <v>0</v>
      </c>
      <c r="DK211" s="27" t="n">
        <v>0</v>
      </c>
      <c r="DL211" s="27" t="n">
        <v>0</v>
      </c>
      <c r="DM211" s="27" t="n">
        <v>0</v>
      </c>
      <c r="DN211" s="27" t="n">
        <v>0</v>
      </c>
      <c r="DO211" s="27" t="n">
        <v>0</v>
      </c>
      <c r="DP211" s="27" t="n">
        <v>0</v>
      </c>
      <c r="DQ211" s="27" t="n">
        <v>0</v>
      </c>
      <c r="DR211" s="27" t="n">
        <v>0</v>
      </c>
      <c r="DS211" s="27" t="n">
        <v>0</v>
      </c>
      <c r="DT211" s="27" t="n">
        <v>0</v>
      </c>
      <c r="DU211" s="27" t="n">
        <v>0</v>
      </c>
      <c r="DV211" s="27" t="n">
        <v>0</v>
      </c>
      <c r="DW211" s="27" t="n">
        <v>0</v>
      </c>
      <c r="DX211" s="27" t="n">
        <v>0</v>
      </c>
      <c r="DY211" s="27" t="n">
        <v>0</v>
      </c>
      <c r="DZ211" s="27" t="n">
        <v>0</v>
      </c>
      <c r="EA211" s="27" t="n">
        <v>0</v>
      </c>
      <c r="EB211" s="27" t="n">
        <v>0</v>
      </c>
      <c r="EC211" s="27" t="n">
        <v>0</v>
      </c>
      <c r="ED211" s="27" t="n">
        <v>0</v>
      </c>
      <c r="EE211" s="27" t="n">
        <v>0</v>
      </c>
      <c r="EF211" s="27" t="n">
        <v>0</v>
      </c>
      <c r="EG211" s="27" t="n">
        <v>0</v>
      </c>
      <c r="EH211" s="27" t="n">
        <v>0</v>
      </c>
      <c r="EI211" s="27" t="n">
        <v>0</v>
      </c>
      <c r="EJ211" s="27" t="n">
        <v>0</v>
      </c>
      <c r="EK211" s="27" t="n">
        <v>0</v>
      </c>
      <c r="EL211" s="27" t="n">
        <v>0</v>
      </c>
      <c r="EM211" s="27" t="n">
        <v>0</v>
      </c>
      <c r="EN211" s="27" t="n">
        <v>0</v>
      </c>
      <c r="EO211" s="27" t="n">
        <v>0</v>
      </c>
      <c r="EP211" s="27" t="n">
        <v>0</v>
      </c>
      <c r="EQ211" s="27" t="n">
        <v>0</v>
      </c>
      <c r="ER211" s="27" t="n">
        <v>0</v>
      </c>
      <c r="ES211" s="27" t="n">
        <v>0</v>
      </c>
      <c r="ET211" s="27" t="n">
        <v>0</v>
      </c>
      <c r="EU211" s="27" t="n">
        <v>0</v>
      </c>
      <c r="EV211" s="27" t="n">
        <v>0</v>
      </c>
      <c r="EW211" s="27" t="n">
        <v>0</v>
      </c>
      <c r="EX211" s="27" t="n">
        <v>0</v>
      </c>
      <c r="EY211" s="27" t="n">
        <v>0</v>
      </c>
      <c r="EZ211" s="27" t="n">
        <v>0</v>
      </c>
      <c r="FA211" s="27" t="n">
        <v>0</v>
      </c>
      <c r="FB211" s="27" t="n">
        <v>0</v>
      </c>
      <c r="FC211" s="27" t="n">
        <v>0</v>
      </c>
      <c r="FD211" s="27" t="n">
        <v>0</v>
      </c>
      <c r="FE211" s="27" t="n">
        <v>0</v>
      </c>
      <c r="FF211" s="27" t="n">
        <v>0</v>
      </c>
      <c r="FG211" s="27" t="n">
        <v>0</v>
      </c>
      <c r="FH211" s="27" t="n">
        <v>0</v>
      </c>
      <c r="FI211" s="27" t="n">
        <v>0</v>
      </c>
      <c r="FJ211" s="27" t="n">
        <v>0</v>
      </c>
      <c r="FK211" s="27" t="n">
        <v>0</v>
      </c>
      <c r="FL211" s="27" t="n">
        <v>0</v>
      </c>
      <c r="FM211" s="27" t="n">
        <v>0</v>
      </c>
      <c r="FN211" s="27" t="n">
        <v>0</v>
      </c>
      <c r="FO211" s="27" t="n">
        <v>0</v>
      </c>
      <c r="FP211" s="27" t="n">
        <v>0</v>
      </c>
      <c r="FQ211" s="27" t="n">
        <v>0</v>
      </c>
      <c r="FR211" s="27" t="n">
        <v>0</v>
      </c>
      <c r="FS211" s="27" t="n">
        <v>0</v>
      </c>
      <c r="FT211" s="27" t="n">
        <v>0</v>
      </c>
      <c r="FU211" s="27" t="n">
        <v>0</v>
      </c>
      <c r="FV211" s="27" t="n">
        <v>0</v>
      </c>
      <c r="FW211" s="27" t="n">
        <v>0</v>
      </c>
      <c r="FX211" s="27" t="n">
        <v>0</v>
      </c>
      <c r="FY211" s="27" t="n">
        <v>0</v>
      </c>
    </row>
    <row r="212" customFormat="false" ht="16.4" hidden="false" customHeight="false" outlineLevel="0" collapsed="false">
      <c r="A212" s="155" t="s">
        <v>360</v>
      </c>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c r="AB212" s="135"/>
      <c r="AC212" s="135"/>
      <c r="AD212" s="135"/>
      <c r="AE212" s="135"/>
      <c r="AF212" s="135"/>
      <c r="AG212" s="135"/>
      <c r="AH212" s="135"/>
      <c r="AI212" s="135"/>
      <c r="AJ212" s="135"/>
      <c r="AK212" s="135"/>
      <c r="AL212" s="135"/>
      <c r="AM212" s="135"/>
      <c r="AN212" s="135"/>
      <c r="AO212" s="135"/>
      <c r="AP212" s="135"/>
      <c r="AQ212" s="135"/>
      <c r="AR212" s="135"/>
      <c r="AS212" s="135"/>
      <c r="AT212" s="135"/>
      <c r="AU212" s="135"/>
      <c r="AV212" s="135"/>
      <c r="AW212" s="135"/>
      <c r="AX212" s="135"/>
      <c r="AY212" s="135"/>
      <c r="AZ212" s="135"/>
      <c r="BA212" s="135"/>
      <c r="BB212" s="135"/>
      <c r="BC212" s="135"/>
      <c r="BD212" s="135"/>
      <c r="BE212" s="135"/>
      <c r="BF212" s="135"/>
      <c r="BG212" s="135"/>
      <c r="BH212" s="135"/>
      <c r="BI212" s="135"/>
      <c r="BJ212" s="135"/>
      <c r="BK212" s="135"/>
      <c r="BL212" s="135"/>
      <c r="BM212" s="135"/>
      <c r="BN212" s="135"/>
      <c r="BO212" s="135"/>
      <c r="BP212" s="135"/>
      <c r="BQ212" s="135"/>
      <c r="BR212" s="135"/>
      <c r="BS212" s="135"/>
      <c r="BT212" s="135"/>
      <c r="BU212" s="135"/>
      <c r="BV212" s="135"/>
      <c r="BW212" s="135"/>
      <c r="BX212" s="135"/>
      <c r="BY212" s="135"/>
      <c r="BZ212" s="135"/>
      <c r="CA212" s="135"/>
      <c r="CB212" s="135"/>
      <c r="CC212" s="135"/>
      <c r="CD212" s="135"/>
      <c r="CE212" s="135"/>
      <c r="CF212" s="135"/>
      <c r="CG212" s="135"/>
      <c r="CH212" s="135"/>
      <c r="CI212" s="135"/>
      <c r="CJ212" s="135"/>
      <c r="CK212" s="135"/>
      <c r="CL212" s="135"/>
      <c r="CM212" s="135"/>
      <c r="CN212" s="135"/>
      <c r="CO212" s="135"/>
      <c r="CP212" s="135"/>
      <c r="CQ212" s="135"/>
      <c r="CR212" s="135"/>
      <c r="CS212" s="135"/>
      <c r="CT212" s="135"/>
      <c r="CU212" s="135"/>
      <c r="CV212" s="135"/>
      <c r="CW212" s="135"/>
      <c r="CX212" s="135"/>
      <c r="CY212" s="135"/>
      <c r="CZ212" s="135"/>
      <c r="DA212" s="135"/>
      <c r="DB212" s="135"/>
      <c r="DC212" s="135"/>
      <c r="DD212" s="135"/>
      <c r="DE212" s="135"/>
      <c r="DF212" s="135"/>
      <c r="DG212" s="135"/>
      <c r="DH212" s="135"/>
      <c r="DI212" s="135"/>
      <c r="DJ212" s="135"/>
      <c r="DK212" s="135"/>
      <c r="DL212" s="135"/>
      <c r="DM212" s="135"/>
      <c r="DN212" s="135"/>
      <c r="DO212" s="135"/>
      <c r="DP212" s="135"/>
      <c r="DQ212" s="135"/>
      <c r="DR212" s="135"/>
      <c r="DS212" s="135"/>
      <c r="DT212" s="135"/>
      <c r="DU212" s="135"/>
      <c r="DV212" s="135"/>
      <c r="DW212" s="135"/>
      <c r="DX212" s="135"/>
      <c r="DY212" s="135"/>
      <c r="DZ212" s="135"/>
      <c r="EA212" s="135"/>
      <c r="EB212" s="135"/>
      <c r="EC212" s="135"/>
      <c r="ED212" s="135"/>
      <c r="EE212" s="135"/>
      <c r="EF212" s="135"/>
      <c r="EG212" s="135"/>
      <c r="EH212" s="135"/>
      <c r="EI212" s="135"/>
      <c r="EJ212" s="135"/>
      <c r="EK212" s="135"/>
      <c r="EL212" s="135"/>
      <c r="EM212" s="135"/>
      <c r="EN212" s="135"/>
      <c r="EO212" s="135"/>
      <c r="EP212" s="135"/>
      <c r="EQ212" s="135"/>
      <c r="ER212" s="135"/>
      <c r="ES212" s="135"/>
      <c r="ET212" s="135"/>
      <c r="EU212" s="135"/>
      <c r="EV212" s="135"/>
      <c r="EW212" s="135"/>
      <c r="EX212" s="135"/>
      <c r="EY212" s="135"/>
      <c r="EZ212" s="135"/>
      <c r="FA212" s="135"/>
      <c r="FB212" s="135"/>
      <c r="FC212" s="135"/>
      <c r="FD212" s="135"/>
      <c r="FE212" s="135"/>
      <c r="FF212" s="135"/>
      <c r="FG212" s="135"/>
      <c r="FH212" s="135"/>
      <c r="FI212" s="135"/>
      <c r="FJ212" s="135"/>
      <c r="FK212" s="135"/>
      <c r="FL212" s="135"/>
      <c r="FM212" s="135"/>
      <c r="FN212" s="135"/>
      <c r="FO212" s="135"/>
      <c r="FP212" s="135"/>
      <c r="FQ212" s="135"/>
      <c r="FR212" s="135"/>
      <c r="FS212" s="135"/>
      <c r="FT212" s="135"/>
      <c r="FU212" s="135"/>
      <c r="FV212" s="135"/>
      <c r="FW212" s="135"/>
      <c r="FX212" s="135"/>
      <c r="FY212" s="135"/>
    </row>
    <row r="213" customFormat="false" ht="16.4" hidden="false" customHeight="false" outlineLevel="0" collapsed="false">
      <c r="A213" s="159" t="s">
        <v>358</v>
      </c>
      <c r="B213" s="27" t="n">
        <v>0</v>
      </c>
      <c r="C213" s="27" t="n">
        <v>0</v>
      </c>
      <c r="D213" s="27" t="n">
        <v>0</v>
      </c>
      <c r="E213" s="27" t="n">
        <v>0</v>
      </c>
      <c r="F213" s="27" t="n">
        <v>0</v>
      </c>
      <c r="G213" s="27" t="n">
        <v>0</v>
      </c>
      <c r="H213" s="27" t="n">
        <v>0</v>
      </c>
      <c r="I213" s="27" t="n">
        <v>0</v>
      </c>
      <c r="J213" s="27" t="n">
        <v>0</v>
      </c>
      <c r="K213" s="27" t="n">
        <v>0</v>
      </c>
      <c r="L213" s="27" t="n">
        <v>0</v>
      </c>
      <c r="M213" s="27" t="n">
        <v>0</v>
      </c>
      <c r="N213" s="27" t="n">
        <v>0</v>
      </c>
      <c r="O213" s="27" t="n">
        <v>0</v>
      </c>
      <c r="P213" s="27" t="n">
        <v>0</v>
      </c>
      <c r="Q213" s="27" t="n">
        <v>0</v>
      </c>
      <c r="R213" s="27" t="n">
        <v>0</v>
      </c>
      <c r="S213" s="27" t="n">
        <v>0</v>
      </c>
      <c r="T213" s="27" t="n">
        <v>0</v>
      </c>
      <c r="U213" s="27" t="n">
        <v>0</v>
      </c>
      <c r="V213" s="27" t="n">
        <v>0</v>
      </c>
      <c r="W213" s="27" t="n">
        <v>0</v>
      </c>
      <c r="X213" s="27" t="n">
        <v>0</v>
      </c>
      <c r="Y213" s="27" t="n">
        <v>0</v>
      </c>
      <c r="Z213" s="27" t="n">
        <v>0</v>
      </c>
      <c r="AA213" s="27" t="n">
        <v>0</v>
      </c>
      <c r="AB213" s="27" t="n">
        <v>0</v>
      </c>
      <c r="AC213" s="27" t="n">
        <v>0</v>
      </c>
      <c r="AD213" s="27" t="n">
        <v>0</v>
      </c>
      <c r="AE213" s="27" t="n">
        <v>0</v>
      </c>
      <c r="AF213" s="27" t="n">
        <v>0</v>
      </c>
      <c r="AG213" s="27" t="n">
        <v>0</v>
      </c>
      <c r="AH213" s="27" t="n">
        <v>0</v>
      </c>
      <c r="AI213" s="27" t="n">
        <v>0</v>
      </c>
      <c r="AJ213" s="27" t="n">
        <v>0</v>
      </c>
      <c r="AK213" s="27" t="n">
        <v>0</v>
      </c>
      <c r="AL213" s="27" t="n">
        <v>0</v>
      </c>
      <c r="AM213" s="27" t="n">
        <v>0</v>
      </c>
      <c r="AN213" s="27" t="n">
        <v>0</v>
      </c>
      <c r="AO213" s="27" t="n">
        <v>0</v>
      </c>
      <c r="AP213" s="27" t="n">
        <v>0</v>
      </c>
      <c r="AQ213" s="27" t="n">
        <v>0</v>
      </c>
      <c r="AR213" s="27" t="n">
        <v>0</v>
      </c>
      <c r="AS213" s="27" t="n">
        <v>0</v>
      </c>
      <c r="AT213" s="27" t="n">
        <v>0</v>
      </c>
      <c r="AU213" s="27" t="n">
        <v>0</v>
      </c>
      <c r="AV213" s="27" t="n">
        <v>0</v>
      </c>
      <c r="AW213" s="27" t="n">
        <v>0</v>
      </c>
      <c r="AX213" s="27" t="n">
        <v>0</v>
      </c>
      <c r="AY213" s="27" t="n">
        <v>0</v>
      </c>
      <c r="AZ213" s="27" t="n">
        <v>0</v>
      </c>
      <c r="BA213" s="27" t="n">
        <v>0</v>
      </c>
      <c r="BB213" s="27" t="n">
        <v>0</v>
      </c>
      <c r="BC213" s="27" t="n">
        <v>0</v>
      </c>
      <c r="BD213" s="27" t="n">
        <v>0</v>
      </c>
      <c r="BE213" s="27" t="n">
        <v>0</v>
      </c>
      <c r="BF213" s="27" t="n">
        <v>0</v>
      </c>
      <c r="BG213" s="27" t="n">
        <v>0</v>
      </c>
      <c r="BH213" s="27" t="n">
        <v>0</v>
      </c>
      <c r="BI213" s="27" t="n">
        <v>0</v>
      </c>
      <c r="BJ213" s="27" t="n">
        <v>0</v>
      </c>
      <c r="BK213" s="27" t="n">
        <v>0</v>
      </c>
      <c r="BL213" s="27" t="n">
        <v>0</v>
      </c>
      <c r="BM213" s="27" t="n">
        <v>0</v>
      </c>
      <c r="BN213" s="27" t="n">
        <v>0</v>
      </c>
      <c r="BO213" s="27" t="n">
        <v>0</v>
      </c>
      <c r="BP213" s="27" t="n">
        <v>0</v>
      </c>
      <c r="BQ213" s="27" t="n">
        <v>0</v>
      </c>
      <c r="BR213" s="27" t="n">
        <v>0</v>
      </c>
      <c r="BS213" s="27" t="n">
        <v>0</v>
      </c>
      <c r="BT213" s="27" t="n">
        <v>0</v>
      </c>
      <c r="BU213" s="27" t="n">
        <v>0</v>
      </c>
      <c r="BV213" s="27" t="n">
        <v>0</v>
      </c>
      <c r="BW213" s="27" t="n">
        <v>0</v>
      </c>
      <c r="BX213" s="27" t="n">
        <v>0</v>
      </c>
      <c r="BY213" s="27" t="n">
        <v>0</v>
      </c>
      <c r="BZ213" s="27" t="n">
        <v>0</v>
      </c>
      <c r="CA213" s="27" t="n">
        <v>0</v>
      </c>
      <c r="CB213" s="27" t="n">
        <v>0</v>
      </c>
      <c r="CC213" s="27" t="n">
        <v>0</v>
      </c>
      <c r="CD213" s="27" t="n">
        <v>0</v>
      </c>
      <c r="CE213" s="27" t="n">
        <v>0</v>
      </c>
      <c r="CF213" s="27" t="n">
        <v>0</v>
      </c>
      <c r="CG213" s="27" t="n">
        <v>0</v>
      </c>
      <c r="CH213" s="27" t="n">
        <v>0</v>
      </c>
      <c r="CI213" s="27" t="n">
        <v>0</v>
      </c>
      <c r="CJ213" s="27" t="n">
        <v>0</v>
      </c>
      <c r="CK213" s="27" t="n">
        <v>0</v>
      </c>
      <c r="CL213" s="27" t="n">
        <v>0</v>
      </c>
      <c r="CM213" s="27" t="n">
        <v>0</v>
      </c>
      <c r="CN213" s="27" t="n">
        <v>0</v>
      </c>
      <c r="CO213" s="27" t="n">
        <v>0</v>
      </c>
      <c r="CP213" s="27" t="n">
        <v>0</v>
      </c>
      <c r="CQ213" s="27" t="n">
        <v>0</v>
      </c>
      <c r="CR213" s="27" t="n">
        <v>0</v>
      </c>
      <c r="CS213" s="27" t="n">
        <v>0</v>
      </c>
      <c r="CT213" s="27" t="n">
        <v>0</v>
      </c>
      <c r="CU213" s="27" t="n">
        <v>0</v>
      </c>
      <c r="CV213" s="27" t="n">
        <v>0</v>
      </c>
      <c r="CW213" s="27" t="n">
        <v>0</v>
      </c>
      <c r="CX213" s="27" t="n">
        <v>0</v>
      </c>
      <c r="CY213" s="27" t="n">
        <v>0</v>
      </c>
      <c r="CZ213" s="27" t="n">
        <v>0</v>
      </c>
      <c r="DA213" s="27" t="n">
        <v>0</v>
      </c>
      <c r="DB213" s="27" t="n">
        <v>0</v>
      </c>
      <c r="DC213" s="27" t="n">
        <v>0</v>
      </c>
      <c r="DD213" s="27" t="n">
        <v>0</v>
      </c>
      <c r="DE213" s="27" t="n">
        <v>0</v>
      </c>
      <c r="DF213" s="27" t="n">
        <v>0</v>
      </c>
      <c r="DG213" s="27" t="n">
        <v>0</v>
      </c>
      <c r="DH213" s="27" t="n">
        <v>0</v>
      </c>
      <c r="DI213" s="27" t="n">
        <v>0</v>
      </c>
      <c r="DJ213" s="27" t="n">
        <v>0</v>
      </c>
      <c r="DK213" s="27" t="n">
        <v>0</v>
      </c>
      <c r="DL213" s="27" t="n">
        <v>0</v>
      </c>
      <c r="DM213" s="27" t="n">
        <v>0</v>
      </c>
      <c r="DN213" s="27" t="n">
        <v>0</v>
      </c>
      <c r="DO213" s="27" t="n">
        <v>0</v>
      </c>
      <c r="DP213" s="27" t="n">
        <v>0</v>
      </c>
      <c r="DQ213" s="27" t="n">
        <v>0</v>
      </c>
      <c r="DR213" s="27" t="n">
        <v>0</v>
      </c>
      <c r="DS213" s="27" t="n">
        <v>0</v>
      </c>
      <c r="DT213" s="27" t="n">
        <v>0</v>
      </c>
      <c r="DU213" s="27" t="n">
        <v>0</v>
      </c>
      <c r="DV213" s="27" t="n">
        <v>0</v>
      </c>
      <c r="DW213" s="27" t="n">
        <v>0</v>
      </c>
      <c r="DX213" s="27" t="n">
        <v>0</v>
      </c>
      <c r="DY213" s="27" t="n">
        <v>0</v>
      </c>
      <c r="DZ213" s="27" t="n">
        <v>0</v>
      </c>
      <c r="EA213" s="27" t="n">
        <v>0</v>
      </c>
      <c r="EB213" s="27" t="n">
        <v>0</v>
      </c>
      <c r="EC213" s="27" t="n">
        <v>0</v>
      </c>
      <c r="ED213" s="27" t="n">
        <v>0</v>
      </c>
      <c r="EE213" s="27" t="n">
        <v>0</v>
      </c>
      <c r="EF213" s="27" t="n">
        <v>0</v>
      </c>
      <c r="EG213" s="27" t="n">
        <v>0</v>
      </c>
      <c r="EH213" s="27" t="n">
        <v>0</v>
      </c>
      <c r="EI213" s="27" t="n">
        <v>0</v>
      </c>
      <c r="EJ213" s="27" t="n">
        <v>0</v>
      </c>
      <c r="EK213" s="27" t="n">
        <v>0</v>
      </c>
      <c r="EL213" s="27" t="n">
        <v>0</v>
      </c>
      <c r="EM213" s="27" t="n">
        <v>0</v>
      </c>
      <c r="EN213" s="27" t="n">
        <v>0</v>
      </c>
      <c r="EO213" s="27" t="n">
        <v>0</v>
      </c>
      <c r="EP213" s="27" t="n">
        <v>0</v>
      </c>
      <c r="EQ213" s="27" t="n">
        <v>0</v>
      </c>
      <c r="ER213" s="27" t="n">
        <v>0</v>
      </c>
      <c r="ES213" s="27" t="n">
        <v>0</v>
      </c>
      <c r="ET213" s="27" t="n">
        <v>0</v>
      </c>
      <c r="EU213" s="27" t="n">
        <v>0</v>
      </c>
      <c r="EV213" s="27" t="n">
        <v>0</v>
      </c>
      <c r="EW213" s="27" t="n">
        <v>0</v>
      </c>
      <c r="EX213" s="27" t="n">
        <v>0</v>
      </c>
      <c r="EY213" s="27" t="n">
        <v>0</v>
      </c>
      <c r="EZ213" s="27" t="n">
        <v>0</v>
      </c>
      <c r="FA213" s="27" t="n">
        <v>0</v>
      </c>
      <c r="FB213" s="27" t="n">
        <v>0</v>
      </c>
      <c r="FC213" s="27" t="n">
        <v>0</v>
      </c>
      <c r="FD213" s="27" t="n">
        <v>0</v>
      </c>
      <c r="FE213" s="27" t="n">
        <v>0</v>
      </c>
      <c r="FF213" s="27" t="n">
        <v>0</v>
      </c>
      <c r="FG213" s="27" t="n">
        <v>0</v>
      </c>
      <c r="FH213" s="27" t="n">
        <v>0</v>
      </c>
      <c r="FI213" s="27" t="n">
        <v>0</v>
      </c>
      <c r="FJ213" s="27" t="n">
        <v>0</v>
      </c>
      <c r="FK213" s="27" t="n">
        <v>0</v>
      </c>
      <c r="FL213" s="27" t="n">
        <v>0</v>
      </c>
      <c r="FM213" s="27" t="n">
        <v>0</v>
      </c>
      <c r="FN213" s="27" t="n">
        <v>0</v>
      </c>
      <c r="FO213" s="27" t="n">
        <v>0</v>
      </c>
      <c r="FP213" s="27" t="n">
        <v>0</v>
      </c>
      <c r="FQ213" s="27" t="n">
        <v>0</v>
      </c>
      <c r="FR213" s="27" t="n">
        <v>0</v>
      </c>
      <c r="FS213" s="27" t="n">
        <v>0</v>
      </c>
      <c r="FT213" s="27" t="n">
        <v>0</v>
      </c>
      <c r="FU213" s="27" t="n">
        <v>0</v>
      </c>
      <c r="FV213" s="27" t="n">
        <v>0</v>
      </c>
      <c r="FW213" s="27" t="n">
        <v>0</v>
      </c>
      <c r="FX213" s="27" t="n">
        <v>0</v>
      </c>
      <c r="FY213" s="27" t="n">
        <v>0</v>
      </c>
    </row>
    <row r="214" customFormat="false" ht="16.4" hidden="false" customHeight="false" outlineLevel="0" collapsed="false">
      <c r="A214" s="159" t="s">
        <v>359</v>
      </c>
      <c r="B214" s="27" t="n">
        <v>0</v>
      </c>
      <c r="C214" s="27" t="n">
        <v>0</v>
      </c>
      <c r="D214" s="27" t="n">
        <v>0</v>
      </c>
      <c r="E214" s="27" t="n">
        <v>0</v>
      </c>
      <c r="F214" s="27" t="n">
        <v>0</v>
      </c>
      <c r="G214" s="27" t="n">
        <v>0</v>
      </c>
      <c r="H214" s="27" t="n">
        <v>0</v>
      </c>
      <c r="I214" s="27" t="n">
        <v>0</v>
      </c>
      <c r="J214" s="27" t="n">
        <v>0</v>
      </c>
      <c r="K214" s="27" t="n">
        <v>0</v>
      </c>
      <c r="L214" s="27" t="n">
        <v>0</v>
      </c>
      <c r="M214" s="27" t="n">
        <v>0</v>
      </c>
      <c r="N214" s="27" t="n">
        <v>0</v>
      </c>
      <c r="O214" s="27" t="n">
        <v>0</v>
      </c>
      <c r="P214" s="27" t="n">
        <v>0</v>
      </c>
      <c r="Q214" s="27" t="n">
        <v>0</v>
      </c>
      <c r="R214" s="27" t="n">
        <v>0</v>
      </c>
      <c r="S214" s="27" t="n">
        <v>0</v>
      </c>
      <c r="T214" s="27" t="n">
        <v>0</v>
      </c>
      <c r="U214" s="27" t="n">
        <v>0</v>
      </c>
      <c r="V214" s="27" t="n">
        <v>0</v>
      </c>
      <c r="W214" s="27" t="n">
        <v>0</v>
      </c>
      <c r="X214" s="27" t="n">
        <v>0</v>
      </c>
      <c r="Y214" s="27" t="n">
        <v>0</v>
      </c>
      <c r="Z214" s="27" t="n">
        <v>0</v>
      </c>
      <c r="AA214" s="27" t="n">
        <v>0</v>
      </c>
      <c r="AB214" s="27" t="n">
        <v>0</v>
      </c>
      <c r="AC214" s="27" t="n">
        <v>0</v>
      </c>
      <c r="AD214" s="27" t="n">
        <v>0</v>
      </c>
      <c r="AE214" s="27" t="n">
        <v>0</v>
      </c>
      <c r="AF214" s="27" t="n">
        <v>0</v>
      </c>
      <c r="AG214" s="27" t="n">
        <v>0</v>
      </c>
      <c r="AH214" s="27" t="n">
        <v>0</v>
      </c>
      <c r="AI214" s="27" t="n">
        <v>0</v>
      </c>
      <c r="AJ214" s="27" t="n">
        <v>0</v>
      </c>
      <c r="AK214" s="27" t="n">
        <v>0</v>
      </c>
      <c r="AL214" s="27" t="n">
        <v>0</v>
      </c>
      <c r="AM214" s="27" t="n">
        <v>0</v>
      </c>
      <c r="AN214" s="27" t="n">
        <v>0</v>
      </c>
      <c r="AO214" s="27" t="n">
        <v>0</v>
      </c>
      <c r="AP214" s="27" t="n">
        <v>0</v>
      </c>
      <c r="AQ214" s="27" t="n">
        <v>0</v>
      </c>
      <c r="AR214" s="27" t="n">
        <v>0</v>
      </c>
      <c r="AS214" s="27" t="n">
        <v>0</v>
      </c>
      <c r="AT214" s="27" t="n">
        <v>0</v>
      </c>
      <c r="AU214" s="27" t="n">
        <v>0</v>
      </c>
      <c r="AV214" s="27" t="n">
        <v>0</v>
      </c>
      <c r="AW214" s="27" t="n">
        <v>0</v>
      </c>
      <c r="AX214" s="27" t="n">
        <v>0</v>
      </c>
      <c r="AY214" s="27" t="n">
        <v>0</v>
      </c>
      <c r="AZ214" s="27" t="n">
        <v>0</v>
      </c>
      <c r="BA214" s="27" t="n">
        <v>0</v>
      </c>
      <c r="BB214" s="27" t="n">
        <v>0</v>
      </c>
      <c r="BC214" s="27" t="n">
        <v>0</v>
      </c>
      <c r="BD214" s="27" t="n">
        <v>0</v>
      </c>
      <c r="BE214" s="27" t="n">
        <v>0</v>
      </c>
      <c r="BF214" s="27" t="n">
        <v>0</v>
      </c>
      <c r="BG214" s="27" t="n">
        <v>0</v>
      </c>
      <c r="BH214" s="27" t="n">
        <v>0</v>
      </c>
      <c r="BI214" s="27" t="n">
        <v>0</v>
      </c>
      <c r="BJ214" s="27" t="n">
        <v>0</v>
      </c>
      <c r="BK214" s="27" t="n">
        <v>0</v>
      </c>
      <c r="BL214" s="27" t="n">
        <v>0</v>
      </c>
      <c r="BM214" s="27" t="n">
        <v>0</v>
      </c>
      <c r="BN214" s="27" t="n">
        <v>0</v>
      </c>
      <c r="BO214" s="27" t="n">
        <v>0</v>
      </c>
      <c r="BP214" s="27" t="n">
        <v>0</v>
      </c>
      <c r="BQ214" s="27" t="n">
        <v>0</v>
      </c>
      <c r="BR214" s="27" t="n">
        <v>0</v>
      </c>
      <c r="BS214" s="27" t="n">
        <v>0</v>
      </c>
      <c r="BT214" s="27" t="n">
        <v>0</v>
      </c>
      <c r="BU214" s="27" t="n">
        <v>0</v>
      </c>
      <c r="BV214" s="27" t="n">
        <v>0</v>
      </c>
      <c r="BW214" s="27" t="n">
        <v>0</v>
      </c>
      <c r="BX214" s="27" t="n">
        <v>0</v>
      </c>
      <c r="BY214" s="27" t="n">
        <v>0</v>
      </c>
      <c r="BZ214" s="27" t="n">
        <v>0</v>
      </c>
      <c r="CA214" s="27" t="n">
        <v>0</v>
      </c>
      <c r="CB214" s="27" t="n">
        <v>0</v>
      </c>
      <c r="CC214" s="27" t="n">
        <v>0</v>
      </c>
      <c r="CD214" s="27" t="n">
        <v>0</v>
      </c>
      <c r="CE214" s="27" t="n">
        <v>0</v>
      </c>
      <c r="CF214" s="27" t="n">
        <v>0</v>
      </c>
      <c r="CG214" s="27" t="n">
        <v>0</v>
      </c>
      <c r="CH214" s="27" t="n">
        <v>0</v>
      </c>
      <c r="CI214" s="27" t="n">
        <v>0</v>
      </c>
      <c r="CJ214" s="27" t="n">
        <v>0</v>
      </c>
      <c r="CK214" s="27" t="n">
        <v>0</v>
      </c>
      <c r="CL214" s="27" t="n">
        <v>0</v>
      </c>
      <c r="CM214" s="27" t="n">
        <v>0</v>
      </c>
      <c r="CN214" s="27" t="n">
        <v>0</v>
      </c>
      <c r="CO214" s="27" t="n">
        <v>0</v>
      </c>
      <c r="CP214" s="27" t="n">
        <v>0</v>
      </c>
      <c r="CQ214" s="27" t="n">
        <v>0</v>
      </c>
      <c r="CR214" s="27" t="n">
        <v>0</v>
      </c>
      <c r="CS214" s="27" t="n">
        <v>0</v>
      </c>
      <c r="CT214" s="27" t="n">
        <v>0</v>
      </c>
      <c r="CU214" s="27" t="n">
        <v>0</v>
      </c>
      <c r="CV214" s="27" t="n">
        <v>0</v>
      </c>
      <c r="CW214" s="27" t="n">
        <v>0</v>
      </c>
      <c r="CX214" s="27" t="n">
        <v>0</v>
      </c>
      <c r="CY214" s="27" t="n">
        <v>0</v>
      </c>
      <c r="CZ214" s="27" t="n">
        <v>0</v>
      </c>
      <c r="DA214" s="27" t="n">
        <v>0</v>
      </c>
      <c r="DB214" s="27" t="n">
        <v>0</v>
      </c>
      <c r="DC214" s="27" t="n">
        <v>0</v>
      </c>
      <c r="DD214" s="27" t="n">
        <v>0</v>
      </c>
      <c r="DE214" s="27" t="n">
        <v>0</v>
      </c>
      <c r="DF214" s="27" t="n">
        <v>0</v>
      </c>
      <c r="DG214" s="27" t="n">
        <v>0</v>
      </c>
      <c r="DH214" s="27" t="n">
        <v>0</v>
      </c>
      <c r="DI214" s="27" t="n">
        <v>0</v>
      </c>
      <c r="DJ214" s="27" t="n">
        <v>0</v>
      </c>
      <c r="DK214" s="27" t="n">
        <v>0</v>
      </c>
      <c r="DL214" s="27" t="n">
        <v>0</v>
      </c>
      <c r="DM214" s="27" t="n">
        <v>0</v>
      </c>
      <c r="DN214" s="27" t="n">
        <v>0</v>
      </c>
      <c r="DO214" s="27" t="n">
        <v>0</v>
      </c>
      <c r="DP214" s="27" t="n">
        <v>0</v>
      </c>
      <c r="DQ214" s="27" t="n">
        <v>0</v>
      </c>
      <c r="DR214" s="27" t="n">
        <v>0</v>
      </c>
      <c r="DS214" s="27" t="n">
        <v>0</v>
      </c>
      <c r="DT214" s="27" t="n">
        <v>0</v>
      </c>
      <c r="DU214" s="27" t="n">
        <v>0</v>
      </c>
      <c r="DV214" s="27" t="n">
        <v>0</v>
      </c>
      <c r="DW214" s="27" t="n">
        <v>0</v>
      </c>
      <c r="DX214" s="27" t="n">
        <v>0</v>
      </c>
      <c r="DY214" s="27" t="n">
        <v>0</v>
      </c>
      <c r="DZ214" s="27" t="n">
        <v>0</v>
      </c>
      <c r="EA214" s="27" t="n">
        <v>0</v>
      </c>
      <c r="EB214" s="27" t="n">
        <v>0</v>
      </c>
      <c r="EC214" s="27" t="n">
        <v>0</v>
      </c>
      <c r="ED214" s="27" t="n">
        <v>0</v>
      </c>
      <c r="EE214" s="27" t="n">
        <v>0</v>
      </c>
      <c r="EF214" s="27" t="n">
        <v>0</v>
      </c>
      <c r="EG214" s="27" t="n">
        <v>0</v>
      </c>
      <c r="EH214" s="27" t="n">
        <v>0</v>
      </c>
      <c r="EI214" s="27" t="n">
        <v>0</v>
      </c>
      <c r="EJ214" s="27" t="n">
        <v>0</v>
      </c>
      <c r="EK214" s="27" t="n">
        <v>0</v>
      </c>
      <c r="EL214" s="27" t="n">
        <v>0</v>
      </c>
      <c r="EM214" s="27" t="n">
        <v>0</v>
      </c>
      <c r="EN214" s="27" t="n">
        <v>0</v>
      </c>
      <c r="EO214" s="27" t="n">
        <v>0</v>
      </c>
      <c r="EP214" s="27" t="n">
        <v>0</v>
      </c>
      <c r="EQ214" s="27" t="n">
        <v>0</v>
      </c>
      <c r="ER214" s="27" t="n">
        <v>0</v>
      </c>
      <c r="ES214" s="27" t="n">
        <v>0</v>
      </c>
      <c r="ET214" s="27" t="n">
        <v>0</v>
      </c>
      <c r="EU214" s="27" t="n">
        <v>0</v>
      </c>
      <c r="EV214" s="27" t="n">
        <v>0</v>
      </c>
      <c r="EW214" s="27" t="n">
        <v>0</v>
      </c>
      <c r="EX214" s="27" t="n">
        <v>0</v>
      </c>
      <c r="EY214" s="27" t="n">
        <v>0</v>
      </c>
      <c r="EZ214" s="27" t="n">
        <v>0</v>
      </c>
      <c r="FA214" s="27" t="n">
        <v>0</v>
      </c>
      <c r="FB214" s="27" t="n">
        <v>0</v>
      </c>
      <c r="FC214" s="27" t="n">
        <v>0</v>
      </c>
      <c r="FD214" s="27" t="n">
        <v>0</v>
      </c>
      <c r="FE214" s="27" t="n">
        <v>0</v>
      </c>
      <c r="FF214" s="27" t="n">
        <v>0</v>
      </c>
      <c r="FG214" s="27" t="n">
        <v>0</v>
      </c>
      <c r="FH214" s="27" t="n">
        <v>0</v>
      </c>
      <c r="FI214" s="27" t="n">
        <v>0</v>
      </c>
      <c r="FJ214" s="27" t="n">
        <v>0</v>
      </c>
      <c r="FK214" s="27" t="n">
        <v>0</v>
      </c>
      <c r="FL214" s="27" t="n">
        <v>0</v>
      </c>
      <c r="FM214" s="27" t="n">
        <v>0</v>
      </c>
      <c r="FN214" s="27" t="n">
        <v>0</v>
      </c>
      <c r="FO214" s="27" t="n">
        <v>0</v>
      </c>
      <c r="FP214" s="27" t="n">
        <v>0</v>
      </c>
      <c r="FQ214" s="27" t="n">
        <v>0</v>
      </c>
      <c r="FR214" s="27" t="n">
        <v>0</v>
      </c>
      <c r="FS214" s="27" t="n">
        <v>0</v>
      </c>
      <c r="FT214" s="27" t="n">
        <v>0</v>
      </c>
      <c r="FU214" s="27" t="n">
        <v>0</v>
      </c>
      <c r="FV214" s="27" t="n">
        <v>0</v>
      </c>
      <c r="FW214" s="27" t="n">
        <v>0</v>
      </c>
      <c r="FX214" s="27" t="n">
        <v>0</v>
      </c>
      <c r="FY214" s="27" t="n">
        <v>0</v>
      </c>
    </row>
    <row r="215" customFormat="false" ht="16.4" hidden="false" customHeight="false" outlineLevel="0" collapsed="false">
      <c r="A215" s="155" t="s">
        <v>361</v>
      </c>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c r="AB215" s="135"/>
      <c r="AC215" s="135"/>
      <c r="AD215" s="135"/>
      <c r="AE215" s="135"/>
      <c r="AF215" s="135"/>
      <c r="AG215" s="135"/>
      <c r="AH215" s="135"/>
      <c r="AI215" s="135"/>
      <c r="AJ215" s="135"/>
      <c r="AK215" s="135"/>
      <c r="AL215" s="135"/>
      <c r="AM215" s="135"/>
      <c r="AN215" s="135"/>
      <c r="AO215" s="135"/>
      <c r="AP215" s="135"/>
      <c r="AQ215" s="135"/>
      <c r="AR215" s="135"/>
      <c r="AS215" s="135"/>
      <c r="AT215" s="135"/>
      <c r="AU215" s="135"/>
      <c r="AV215" s="135"/>
      <c r="AW215" s="135"/>
      <c r="AX215" s="135"/>
      <c r="AY215" s="135"/>
      <c r="AZ215" s="135"/>
      <c r="BA215" s="135"/>
      <c r="BB215" s="135"/>
      <c r="BC215" s="135"/>
      <c r="BD215" s="135"/>
      <c r="BE215" s="135"/>
      <c r="BF215" s="135"/>
      <c r="BG215" s="135"/>
      <c r="BH215" s="135"/>
      <c r="BI215" s="135"/>
      <c r="BJ215" s="135"/>
      <c r="BK215" s="135"/>
      <c r="BL215" s="135"/>
      <c r="BM215" s="135"/>
      <c r="BN215" s="135"/>
      <c r="BO215" s="135"/>
      <c r="BP215" s="135"/>
      <c r="BQ215" s="135"/>
      <c r="BR215" s="135"/>
      <c r="BS215" s="135"/>
      <c r="BT215" s="135"/>
      <c r="BU215" s="135"/>
      <c r="BV215" s="135"/>
      <c r="BW215" s="135"/>
      <c r="BX215" s="135"/>
      <c r="BY215" s="135"/>
      <c r="BZ215" s="135"/>
      <c r="CA215" s="135"/>
      <c r="CB215" s="135"/>
      <c r="CC215" s="135"/>
      <c r="CD215" s="135"/>
      <c r="CE215" s="135"/>
      <c r="CF215" s="135"/>
      <c r="CG215" s="135"/>
      <c r="CH215" s="135"/>
      <c r="CI215" s="135"/>
      <c r="CJ215" s="135"/>
      <c r="CK215" s="135"/>
      <c r="CL215" s="135"/>
      <c r="CM215" s="135"/>
      <c r="CN215" s="135"/>
      <c r="CO215" s="135"/>
      <c r="CP215" s="135"/>
      <c r="CQ215" s="135"/>
      <c r="CR215" s="135"/>
      <c r="CS215" s="135"/>
      <c r="CT215" s="135"/>
      <c r="CU215" s="135"/>
      <c r="CV215" s="135"/>
      <c r="CW215" s="135"/>
      <c r="CX215" s="135"/>
      <c r="CY215" s="135"/>
      <c r="CZ215" s="135"/>
      <c r="DA215" s="135"/>
      <c r="DB215" s="135"/>
      <c r="DC215" s="135"/>
      <c r="DD215" s="135"/>
      <c r="DE215" s="135"/>
      <c r="DF215" s="135"/>
      <c r="DG215" s="135"/>
      <c r="DH215" s="135"/>
      <c r="DI215" s="135"/>
      <c r="DJ215" s="135"/>
      <c r="DK215" s="135"/>
      <c r="DL215" s="135"/>
      <c r="DM215" s="135"/>
      <c r="DN215" s="135"/>
      <c r="DO215" s="135"/>
      <c r="DP215" s="135"/>
      <c r="DQ215" s="135"/>
      <c r="DR215" s="135"/>
      <c r="DS215" s="135"/>
      <c r="DT215" s="135"/>
      <c r="DU215" s="135"/>
      <c r="DV215" s="135"/>
      <c r="DW215" s="135"/>
      <c r="DX215" s="135"/>
      <c r="DY215" s="135"/>
      <c r="DZ215" s="135"/>
      <c r="EA215" s="135"/>
      <c r="EB215" s="135"/>
      <c r="EC215" s="135"/>
      <c r="ED215" s="135"/>
      <c r="EE215" s="135"/>
      <c r="EF215" s="135"/>
      <c r="EG215" s="135"/>
      <c r="EH215" s="135"/>
      <c r="EI215" s="135"/>
      <c r="EJ215" s="135"/>
      <c r="EK215" s="135"/>
      <c r="EL215" s="135"/>
      <c r="EM215" s="135"/>
      <c r="EN215" s="135"/>
      <c r="EO215" s="135"/>
      <c r="EP215" s="135"/>
      <c r="EQ215" s="135"/>
      <c r="ER215" s="135"/>
      <c r="ES215" s="135"/>
      <c r="ET215" s="135"/>
      <c r="EU215" s="135"/>
      <c r="EV215" s="135"/>
      <c r="EW215" s="135"/>
      <c r="EX215" s="135"/>
      <c r="EY215" s="135"/>
      <c r="EZ215" s="135"/>
      <c r="FA215" s="135"/>
      <c r="FB215" s="135"/>
      <c r="FC215" s="135"/>
      <c r="FD215" s="135"/>
      <c r="FE215" s="135"/>
      <c r="FF215" s="135"/>
      <c r="FG215" s="135"/>
      <c r="FH215" s="135"/>
      <c r="FI215" s="135"/>
      <c r="FJ215" s="135"/>
      <c r="FK215" s="135"/>
      <c r="FL215" s="135"/>
      <c r="FM215" s="135"/>
      <c r="FN215" s="135"/>
      <c r="FO215" s="135"/>
      <c r="FP215" s="135"/>
      <c r="FQ215" s="135"/>
      <c r="FR215" s="135"/>
      <c r="FS215" s="135"/>
      <c r="FT215" s="135"/>
      <c r="FU215" s="135"/>
      <c r="FV215" s="135"/>
      <c r="FW215" s="135"/>
      <c r="FX215" s="135"/>
      <c r="FY215" s="135"/>
    </row>
    <row r="216" customFormat="false" ht="16.4" hidden="false" customHeight="false" outlineLevel="0" collapsed="false">
      <c r="A216" s="160" t="s">
        <v>352</v>
      </c>
      <c r="B216" s="161" t="n">
        <v>0</v>
      </c>
      <c r="C216" s="162" t="n">
        <v>0</v>
      </c>
      <c r="D216" s="162" t="n">
        <v>0</v>
      </c>
      <c r="E216" s="162" t="n">
        <v>0</v>
      </c>
      <c r="F216" s="162" t="n">
        <v>0</v>
      </c>
      <c r="G216" s="161" t="n">
        <v>0</v>
      </c>
      <c r="H216" s="162" t="n">
        <v>0</v>
      </c>
      <c r="I216" s="162" t="n">
        <v>0</v>
      </c>
      <c r="J216" s="162" t="n">
        <v>0</v>
      </c>
      <c r="K216" s="162" t="n">
        <v>0</v>
      </c>
      <c r="L216" s="161" t="n">
        <v>0</v>
      </c>
      <c r="M216" s="162" t="n">
        <v>0</v>
      </c>
      <c r="N216" s="162" t="n">
        <v>0</v>
      </c>
      <c r="O216" s="162" t="n">
        <v>0</v>
      </c>
      <c r="P216" s="162" t="n">
        <v>0</v>
      </c>
      <c r="Q216" s="161" t="n">
        <v>0</v>
      </c>
      <c r="R216" s="162" t="n">
        <v>0</v>
      </c>
      <c r="S216" s="162" t="n">
        <v>0</v>
      </c>
      <c r="T216" s="162" t="n">
        <v>0</v>
      </c>
      <c r="U216" s="162" t="n">
        <v>0</v>
      </c>
      <c r="V216" s="161" t="n">
        <v>0</v>
      </c>
      <c r="W216" s="162" t="n">
        <v>0</v>
      </c>
      <c r="X216" s="162" t="n">
        <v>0</v>
      </c>
      <c r="Y216" s="162" t="n">
        <v>0</v>
      </c>
      <c r="Z216" s="162" t="n">
        <v>0</v>
      </c>
      <c r="AA216" s="161" t="n">
        <v>0</v>
      </c>
      <c r="AB216" s="162" t="n">
        <v>0</v>
      </c>
      <c r="AC216" s="162" t="n">
        <v>0</v>
      </c>
      <c r="AD216" s="162" t="n">
        <v>0</v>
      </c>
      <c r="AE216" s="162" t="n">
        <v>0</v>
      </c>
      <c r="AF216" s="161" t="n">
        <v>0</v>
      </c>
      <c r="AG216" s="162" t="n">
        <v>0</v>
      </c>
      <c r="AH216" s="162" t="n">
        <v>0</v>
      </c>
      <c r="AI216" s="162" t="n">
        <v>0</v>
      </c>
      <c r="AJ216" s="162" t="n">
        <v>0</v>
      </c>
      <c r="AK216" s="161" t="n">
        <v>0</v>
      </c>
      <c r="AL216" s="162" t="n">
        <v>0</v>
      </c>
      <c r="AM216" s="162" t="n">
        <v>0</v>
      </c>
      <c r="AN216" s="162" t="n">
        <v>0</v>
      </c>
      <c r="AO216" s="162" t="n">
        <v>0</v>
      </c>
      <c r="AP216" s="161" t="n">
        <v>0</v>
      </c>
      <c r="AQ216" s="162" t="n">
        <v>0</v>
      </c>
      <c r="AR216" s="162" t="n">
        <v>0</v>
      </c>
      <c r="AS216" s="162" t="n">
        <v>0</v>
      </c>
      <c r="AT216" s="162" t="n">
        <v>0</v>
      </c>
      <c r="AU216" s="161" t="n">
        <v>0</v>
      </c>
      <c r="AV216" s="162" t="n">
        <v>0</v>
      </c>
      <c r="AW216" s="162" t="n">
        <v>0</v>
      </c>
      <c r="AX216" s="162" t="n">
        <v>0</v>
      </c>
      <c r="AY216" s="162" t="n">
        <v>0</v>
      </c>
      <c r="AZ216" s="161" t="n">
        <v>0</v>
      </c>
      <c r="BA216" s="162" t="n">
        <v>0</v>
      </c>
      <c r="BB216" s="162" t="n">
        <v>0</v>
      </c>
      <c r="BC216" s="162" t="n">
        <v>0</v>
      </c>
      <c r="BD216" s="162" t="n">
        <v>0</v>
      </c>
      <c r="BE216" s="161" t="n">
        <v>0</v>
      </c>
      <c r="BF216" s="162" t="n">
        <v>0</v>
      </c>
      <c r="BG216" s="162" t="n">
        <v>0</v>
      </c>
      <c r="BH216" s="162" t="n">
        <v>0</v>
      </c>
      <c r="BI216" s="162" t="n">
        <v>0</v>
      </c>
      <c r="BJ216" s="161" t="n">
        <v>0</v>
      </c>
      <c r="BK216" s="162" t="n">
        <v>0</v>
      </c>
      <c r="BL216" s="162" t="n">
        <v>0</v>
      </c>
      <c r="BM216" s="162" t="n">
        <v>0</v>
      </c>
      <c r="BN216" s="162" t="n">
        <v>0</v>
      </c>
      <c r="BO216" s="161" t="n">
        <v>0</v>
      </c>
      <c r="BP216" s="162" t="n">
        <v>0</v>
      </c>
      <c r="BQ216" s="162" t="n">
        <v>0</v>
      </c>
      <c r="BR216" s="162" t="n">
        <v>0</v>
      </c>
      <c r="BS216" s="162" t="n">
        <v>0</v>
      </c>
      <c r="BT216" s="161" t="n">
        <v>0</v>
      </c>
      <c r="BU216" s="162" t="n">
        <v>0</v>
      </c>
      <c r="BV216" s="162" t="n">
        <v>0</v>
      </c>
      <c r="BW216" s="162" t="n">
        <v>0</v>
      </c>
      <c r="BX216" s="162" t="n">
        <v>0</v>
      </c>
      <c r="BY216" s="161" t="n">
        <v>0</v>
      </c>
      <c r="BZ216" s="162" t="n">
        <v>0</v>
      </c>
      <c r="CA216" s="162" t="n">
        <v>0</v>
      </c>
      <c r="CB216" s="162" t="n">
        <v>0</v>
      </c>
      <c r="CC216" s="162" t="n">
        <v>0</v>
      </c>
      <c r="CD216" s="161" t="n">
        <v>0</v>
      </c>
      <c r="CE216" s="162" t="n">
        <v>0</v>
      </c>
      <c r="CF216" s="162" t="n">
        <v>0</v>
      </c>
      <c r="CG216" s="162" t="n">
        <v>0</v>
      </c>
      <c r="CH216" s="162" t="n">
        <v>0</v>
      </c>
      <c r="CI216" s="161" t="n">
        <v>0</v>
      </c>
      <c r="CJ216" s="162" t="n">
        <v>0</v>
      </c>
      <c r="CK216" s="162" t="n">
        <v>0</v>
      </c>
      <c r="CL216" s="162" t="n">
        <v>0</v>
      </c>
      <c r="CM216" s="162" t="n">
        <v>0</v>
      </c>
      <c r="CN216" s="161" t="n">
        <v>0</v>
      </c>
      <c r="CO216" s="162" t="n">
        <v>0</v>
      </c>
      <c r="CP216" s="162" t="n">
        <v>0</v>
      </c>
      <c r="CQ216" s="162" t="n">
        <v>0</v>
      </c>
      <c r="CR216" s="162" t="n">
        <v>0</v>
      </c>
      <c r="CS216" s="161" t="n">
        <v>0</v>
      </c>
      <c r="CT216" s="162" t="n">
        <v>0</v>
      </c>
      <c r="CU216" s="162" t="n">
        <v>0</v>
      </c>
      <c r="CV216" s="162" t="n">
        <v>0</v>
      </c>
      <c r="CW216" s="162" t="n">
        <v>0</v>
      </c>
      <c r="CX216" s="161" t="n">
        <v>0</v>
      </c>
      <c r="CY216" s="162" t="n">
        <v>0</v>
      </c>
      <c r="CZ216" s="162" t="n">
        <v>0</v>
      </c>
      <c r="DA216" s="162" t="n">
        <v>0</v>
      </c>
      <c r="DB216" s="162" t="n">
        <v>0</v>
      </c>
      <c r="DC216" s="161" t="n">
        <v>0</v>
      </c>
      <c r="DD216" s="162" t="n">
        <v>0</v>
      </c>
      <c r="DE216" s="162" t="n">
        <v>0</v>
      </c>
      <c r="DF216" s="162" t="n">
        <v>0</v>
      </c>
      <c r="DG216" s="162" t="n">
        <v>0</v>
      </c>
      <c r="DH216" s="161" t="n">
        <v>0</v>
      </c>
      <c r="DI216" s="162" t="n">
        <v>0</v>
      </c>
      <c r="DJ216" s="162" t="n">
        <v>0</v>
      </c>
      <c r="DK216" s="162" t="n">
        <v>0</v>
      </c>
      <c r="DL216" s="162" t="n">
        <v>0</v>
      </c>
      <c r="DM216" s="161" t="n">
        <v>0</v>
      </c>
      <c r="DN216" s="162" t="n">
        <v>0</v>
      </c>
      <c r="DO216" s="162" t="n">
        <v>0</v>
      </c>
      <c r="DP216" s="162" t="n">
        <v>0</v>
      </c>
      <c r="DQ216" s="162" t="n">
        <v>0</v>
      </c>
      <c r="DR216" s="161" t="n">
        <v>0</v>
      </c>
      <c r="DS216" s="162" t="n">
        <v>0</v>
      </c>
      <c r="DT216" s="162" t="n">
        <v>0</v>
      </c>
      <c r="DU216" s="162" t="n">
        <v>0</v>
      </c>
      <c r="DV216" s="162" t="n">
        <v>0</v>
      </c>
      <c r="DW216" s="161" t="n">
        <v>0</v>
      </c>
      <c r="DX216" s="162" t="n">
        <v>0</v>
      </c>
      <c r="DY216" s="162" t="n">
        <v>0</v>
      </c>
      <c r="DZ216" s="162" t="n">
        <v>0</v>
      </c>
      <c r="EA216" s="162" t="n">
        <v>0</v>
      </c>
      <c r="EB216" s="161" t="n">
        <v>0</v>
      </c>
      <c r="EC216" s="162" t="n">
        <v>0</v>
      </c>
      <c r="ED216" s="162" t="n">
        <v>0</v>
      </c>
      <c r="EE216" s="162" t="n">
        <v>0</v>
      </c>
      <c r="EF216" s="162" t="n">
        <v>0</v>
      </c>
      <c r="EG216" s="161" t="n">
        <v>0</v>
      </c>
      <c r="EH216" s="162" t="n">
        <v>0</v>
      </c>
      <c r="EI216" s="162" t="n">
        <v>0</v>
      </c>
      <c r="EJ216" s="162" t="n">
        <v>0</v>
      </c>
      <c r="EK216" s="162" t="n">
        <v>0</v>
      </c>
      <c r="EL216" s="161" t="n">
        <v>0</v>
      </c>
      <c r="EM216" s="162" t="n">
        <v>0</v>
      </c>
      <c r="EN216" s="162" t="n">
        <v>0</v>
      </c>
      <c r="EO216" s="162" t="n">
        <v>0</v>
      </c>
      <c r="EP216" s="162" t="n">
        <v>0</v>
      </c>
      <c r="EQ216" s="161" t="n">
        <v>0</v>
      </c>
      <c r="ER216" s="162" t="n">
        <v>0</v>
      </c>
      <c r="ES216" s="162" t="n">
        <v>0</v>
      </c>
      <c r="ET216" s="162" t="n">
        <v>0</v>
      </c>
      <c r="EU216" s="162" t="n">
        <v>0</v>
      </c>
      <c r="EV216" s="161" t="n">
        <v>0</v>
      </c>
      <c r="EW216" s="162" t="n">
        <v>0</v>
      </c>
      <c r="EX216" s="162" t="n">
        <v>0</v>
      </c>
      <c r="EY216" s="162" t="n">
        <v>0</v>
      </c>
      <c r="EZ216" s="162" t="n">
        <v>0</v>
      </c>
      <c r="FA216" s="161" t="n">
        <v>0</v>
      </c>
      <c r="FB216" s="162" t="n">
        <v>0</v>
      </c>
      <c r="FC216" s="162" t="n">
        <v>0</v>
      </c>
      <c r="FD216" s="162" t="n">
        <v>0</v>
      </c>
      <c r="FE216" s="162" t="n">
        <v>0</v>
      </c>
      <c r="FF216" s="161" t="n">
        <v>0</v>
      </c>
      <c r="FG216" s="162" t="n">
        <v>0</v>
      </c>
      <c r="FH216" s="162" t="n">
        <v>0</v>
      </c>
      <c r="FI216" s="162" t="n">
        <v>0</v>
      </c>
      <c r="FJ216" s="162" t="n">
        <v>0</v>
      </c>
      <c r="FK216" s="161" t="n">
        <v>0</v>
      </c>
      <c r="FL216" s="162" t="n">
        <v>0</v>
      </c>
      <c r="FM216" s="162" t="n">
        <v>0</v>
      </c>
      <c r="FN216" s="162" t="n">
        <v>0</v>
      </c>
      <c r="FO216" s="162" t="n">
        <v>0</v>
      </c>
      <c r="FP216" s="161" t="n">
        <v>0</v>
      </c>
      <c r="FQ216" s="162" t="n">
        <v>0</v>
      </c>
      <c r="FR216" s="162" t="n">
        <v>0</v>
      </c>
      <c r="FS216" s="162" t="n">
        <v>0</v>
      </c>
      <c r="FT216" s="162" t="n">
        <v>0</v>
      </c>
      <c r="FU216" s="161" t="n">
        <v>0</v>
      </c>
      <c r="FV216" s="162" t="n">
        <v>0</v>
      </c>
      <c r="FW216" s="162" t="n">
        <v>0</v>
      </c>
      <c r="FX216" s="162" t="n">
        <v>0</v>
      </c>
      <c r="FY216" s="162" t="n">
        <v>0</v>
      </c>
    </row>
    <row r="217" customFormat="false" ht="16.4" hidden="false" customHeight="false" outlineLevel="0" collapsed="false">
      <c r="A217" s="160" t="s">
        <v>353</v>
      </c>
      <c r="B217" s="162" t="n">
        <v>0</v>
      </c>
      <c r="C217" s="161" t="n">
        <v>0</v>
      </c>
      <c r="D217" s="162" t="n">
        <v>0</v>
      </c>
      <c r="E217" s="162" t="n">
        <v>0</v>
      </c>
      <c r="F217" s="162" t="n">
        <v>0</v>
      </c>
      <c r="G217" s="162" t="n">
        <v>0</v>
      </c>
      <c r="H217" s="161" t="n">
        <v>0</v>
      </c>
      <c r="I217" s="162" t="n">
        <v>0</v>
      </c>
      <c r="J217" s="162" t="n">
        <v>0</v>
      </c>
      <c r="K217" s="162" t="n">
        <v>0</v>
      </c>
      <c r="L217" s="162" t="n">
        <v>0</v>
      </c>
      <c r="M217" s="161" t="n">
        <v>0</v>
      </c>
      <c r="N217" s="162" t="n">
        <v>0</v>
      </c>
      <c r="O217" s="162" t="n">
        <v>0</v>
      </c>
      <c r="P217" s="162" t="n">
        <v>0</v>
      </c>
      <c r="Q217" s="162" t="n">
        <v>0</v>
      </c>
      <c r="R217" s="161" t="n">
        <v>0</v>
      </c>
      <c r="S217" s="162" t="n">
        <v>0</v>
      </c>
      <c r="T217" s="162" t="n">
        <v>0</v>
      </c>
      <c r="U217" s="162" t="n">
        <v>0</v>
      </c>
      <c r="V217" s="162" t="n">
        <v>0</v>
      </c>
      <c r="W217" s="161" t="n">
        <v>0</v>
      </c>
      <c r="X217" s="162" t="n">
        <v>0</v>
      </c>
      <c r="Y217" s="162" t="n">
        <v>0</v>
      </c>
      <c r="Z217" s="162" t="n">
        <v>0</v>
      </c>
      <c r="AA217" s="162" t="n">
        <v>0</v>
      </c>
      <c r="AB217" s="161" t="n">
        <v>0</v>
      </c>
      <c r="AC217" s="162" t="n">
        <v>0</v>
      </c>
      <c r="AD217" s="162" t="n">
        <v>0</v>
      </c>
      <c r="AE217" s="162" t="n">
        <v>0</v>
      </c>
      <c r="AF217" s="162" t="n">
        <v>0</v>
      </c>
      <c r="AG217" s="161" t="n">
        <v>0</v>
      </c>
      <c r="AH217" s="162" t="n">
        <v>0</v>
      </c>
      <c r="AI217" s="162" t="n">
        <v>0</v>
      </c>
      <c r="AJ217" s="162" t="n">
        <v>0</v>
      </c>
      <c r="AK217" s="162" t="n">
        <v>0</v>
      </c>
      <c r="AL217" s="161" t="n">
        <v>0</v>
      </c>
      <c r="AM217" s="162" t="n">
        <v>0</v>
      </c>
      <c r="AN217" s="162" t="n">
        <v>0</v>
      </c>
      <c r="AO217" s="162" t="n">
        <v>0</v>
      </c>
      <c r="AP217" s="162" t="n">
        <v>0</v>
      </c>
      <c r="AQ217" s="161" t="n">
        <v>0</v>
      </c>
      <c r="AR217" s="162" t="n">
        <v>0</v>
      </c>
      <c r="AS217" s="162" t="n">
        <v>0</v>
      </c>
      <c r="AT217" s="162" t="n">
        <v>0</v>
      </c>
      <c r="AU217" s="162" t="n">
        <v>0</v>
      </c>
      <c r="AV217" s="161" t="n">
        <v>0</v>
      </c>
      <c r="AW217" s="162" t="n">
        <v>0</v>
      </c>
      <c r="AX217" s="162" t="n">
        <v>0</v>
      </c>
      <c r="AY217" s="162" t="n">
        <v>0</v>
      </c>
      <c r="AZ217" s="162" t="n">
        <v>0</v>
      </c>
      <c r="BA217" s="161" t="n">
        <v>0</v>
      </c>
      <c r="BB217" s="162" t="n">
        <v>0</v>
      </c>
      <c r="BC217" s="162" t="n">
        <v>0</v>
      </c>
      <c r="BD217" s="162" t="n">
        <v>0</v>
      </c>
      <c r="BE217" s="162" t="n">
        <v>0</v>
      </c>
      <c r="BF217" s="161" t="n">
        <v>0</v>
      </c>
      <c r="BG217" s="162" t="n">
        <v>0</v>
      </c>
      <c r="BH217" s="162" t="n">
        <v>0</v>
      </c>
      <c r="BI217" s="162" t="n">
        <v>0</v>
      </c>
      <c r="BJ217" s="162" t="n">
        <v>0</v>
      </c>
      <c r="BK217" s="161" t="n">
        <v>0</v>
      </c>
      <c r="BL217" s="162" t="n">
        <v>0</v>
      </c>
      <c r="BM217" s="162" t="n">
        <v>0</v>
      </c>
      <c r="BN217" s="162" t="n">
        <v>0</v>
      </c>
      <c r="BO217" s="162" t="n">
        <v>0</v>
      </c>
      <c r="BP217" s="161" t="n">
        <v>0</v>
      </c>
      <c r="BQ217" s="162" t="n">
        <v>0</v>
      </c>
      <c r="BR217" s="162" t="n">
        <v>0</v>
      </c>
      <c r="BS217" s="162" t="n">
        <v>0</v>
      </c>
      <c r="BT217" s="162" t="n">
        <v>0</v>
      </c>
      <c r="BU217" s="161" t="n">
        <v>0</v>
      </c>
      <c r="BV217" s="162" t="n">
        <v>0</v>
      </c>
      <c r="BW217" s="162" t="n">
        <v>0</v>
      </c>
      <c r="BX217" s="162" t="n">
        <v>0</v>
      </c>
      <c r="BY217" s="162" t="n">
        <v>0</v>
      </c>
      <c r="BZ217" s="161" t="n">
        <v>0</v>
      </c>
      <c r="CA217" s="162" t="n">
        <v>0</v>
      </c>
      <c r="CB217" s="162" t="n">
        <v>0</v>
      </c>
      <c r="CC217" s="162" t="n">
        <v>0</v>
      </c>
      <c r="CD217" s="162" t="n">
        <v>0</v>
      </c>
      <c r="CE217" s="161" t="n">
        <v>0</v>
      </c>
      <c r="CF217" s="162" t="n">
        <v>0</v>
      </c>
      <c r="CG217" s="162" t="n">
        <v>0</v>
      </c>
      <c r="CH217" s="162" t="n">
        <v>0</v>
      </c>
      <c r="CI217" s="162" t="n">
        <v>0</v>
      </c>
      <c r="CJ217" s="161" t="n">
        <v>0</v>
      </c>
      <c r="CK217" s="162" t="n">
        <v>0</v>
      </c>
      <c r="CL217" s="162" t="n">
        <v>0</v>
      </c>
      <c r="CM217" s="162" t="n">
        <v>0</v>
      </c>
      <c r="CN217" s="162" t="n">
        <v>0</v>
      </c>
      <c r="CO217" s="161" t="n">
        <v>0</v>
      </c>
      <c r="CP217" s="162" t="n">
        <v>0</v>
      </c>
      <c r="CQ217" s="162" t="n">
        <v>0</v>
      </c>
      <c r="CR217" s="162" t="n">
        <v>0</v>
      </c>
      <c r="CS217" s="162" t="n">
        <v>0</v>
      </c>
      <c r="CT217" s="161" t="n">
        <v>0</v>
      </c>
      <c r="CU217" s="162" t="n">
        <v>0</v>
      </c>
      <c r="CV217" s="162" t="n">
        <v>0</v>
      </c>
      <c r="CW217" s="162" t="n">
        <v>0</v>
      </c>
      <c r="CX217" s="162" t="n">
        <v>0</v>
      </c>
      <c r="CY217" s="161" t="n">
        <v>0</v>
      </c>
      <c r="CZ217" s="162" t="n">
        <v>0</v>
      </c>
      <c r="DA217" s="162" t="n">
        <v>0</v>
      </c>
      <c r="DB217" s="162" t="n">
        <v>0</v>
      </c>
      <c r="DC217" s="162" t="n">
        <v>0</v>
      </c>
      <c r="DD217" s="161" t="n">
        <v>0</v>
      </c>
      <c r="DE217" s="162" t="n">
        <v>0</v>
      </c>
      <c r="DF217" s="162" t="n">
        <v>0</v>
      </c>
      <c r="DG217" s="162" t="n">
        <v>0</v>
      </c>
      <c r="DH217" s="162" t="n">
        <v>0</v>
      </c>
      <c r="DI217" s="161" t="n">
        <v>0</v>
      </c>
      <c r="DJ217" s="162" t="n">
        <v>0</v>
      </c>
      <c r="DK217" s="162" t="n">
        <v>0</v>
      </c>
      <c r="DL217" s="162" t="n">
        <v>0</v>
      </c>
      <c r="DM217" s="162" t="n">
        <v>0</v>
      </c>
      <c r="DN217" s="161" t="n">
        <v>0</v>
      </c>
      <c r="DO217" s="162" t="n">
        <v>0</v>
      </c>
      <c r="DP217" s="162" t="n">
        <v>0</v>
      </c>
      <c r="DQ217" s="162" t="n">
        <v>0</v>
      </c>
      <c r="DR217" s="162" t="n">
        <v>0</v>
      </c>
      <c r="DS217" s="161" t="n">
        <v>0</v>
      </c>
      <c r="DT217" s="162" t="n">
        <v>0</v>
      </c>
      <c r="DU217" s="162" t="n">
        <v>0</v>
      </c>
      <c r="DV217" s="162" t="n">
        <v>0</v>
      </c>
      <c r="DW217" s="162" t="n">
        <v>0</v>
      </c>
      <c r="DX217" s="161" t="n">
        <v>0</v>
      </c>
      <c r="DY217" s="162" t="n">
        <v>0</v>
      </c>
      <c r="DZ217" s="162" t="n">
        <v>0</v>
      </c>
      <c r="EA217" s="162" t="n">
        <v>0</v>
      </c>
      <c r="EB217" s="162" t="n">
        <v>0</v>
      </c>
      <c r="EC217" s="161" t="n">
        <v>0</v>
      </c>
      <c r="ED217" s="162" t="n">
        <v>0</v>
      </c>
      <c r="EE217" s="162" t="n">
        <v>0</v>
      </c>
      <c r="EF217" s="162" t="n">
        <v>0</v>
      </c>
      <c r="EG217" s="162" t="n">
        <v>0</v>
      </c>
      <c r="EH217" s="161" t="n">
        <v>0</v>
      </c>
      <c r="EI217" s="162" t="n">
        <v>0</v>
      </c>
      <c r="EJ217" s="162" t="n">
        <v>0</v>
      </c>
      <c r="EK217" s="162" t="n">
        <v>0</v>
      </c>
      <c r="EL217" s="162" t="n">
        <v>0</v>
      </c>
      <c r="EM217" s="161" t="n">
        <v>0</v>
      </c>
      <c r="EN217" s="162" t="n">
        <v>0</v>
      </c>
      <c r="EO217" s="162" t="n">
        <v>0</v>
      </c>
      <c r="EP217" s="162" t="n">
        <v>0</v>
      </c>
      <c r="EQ217" s="162" t="n">
        <v>0</v>
      </c>
      <c r="ER217" s="161" t="n">
        <v>0</v>
      </c>
      <c r="ES217" s="162" t="n">
        <v>0</v>
      </c>
      <c r="ET217" s="162" t="n">
        <v>0</v>
      </c>
      <c r="EU217" s="162" t="n">
        <v>0</v>
      </c>
      <c r="EV217" s="162" t="n">
        <v>0</v>
      </c>
      <c r="EW217" s="161" t="n">
        <v>0</v>
      </c>
      <c r="EX217" s="162" t="n">
        <v>0</v>
      </c>
      <c r="EY217" s="162" t="n">
        <v>0</v>
      </c>
      <c r="EZ217" s="162" t="n">
        <v>0</v>
      </c>
      <c r="FA217" s="162" t="n">
        <v>0</v>
      </c>
      <c r="FB217" s="161" t="n">
        <v>0</v>
      </c>
      <c r="FC217" s="162" t="n">
        <v>0</v>
      </c>
      <c r="FD217" s="162" t="n">
        <v>0</v>
      </c>
      <c r="FE217" s="162" t="n">
        <v>0</v>
      </c>
      <c r="FF217" s="162" t="n">
        <v>0</v>
      </c>
      <c r="FG217" s="161" t="n">
        <v>0</v>
      </c>
      <c r="FH217" s="162" t="n">
        <v>0</v>
      </c>
      <c r="FI217" s="162" t="n">
        <v>0</v>
      </c>
      <c r="FJ217" s="162" t="n">
        <v>0</v>
      </c>
      <c r="FK217" s="162" t="n">
        <v>0</v>
      </c>
      <c r="FL217" s="161" t="n">
        <v>0</v>
      </c>
      <c r="FM217" s="162" t="n">
        <v>0</v>
      </c>
      <c r="FN217" s="162" t="n">
        <v>0</v>
      </c>
      <c r="FO217" s="162" t="n">
        <v>0</v>
      </c>
      <c r="FP217" s="162" t="n">
        <v>0</v>
      </c>
      <c r="FQ217" s="161" t="n">
        <v>0</v>
      </c>
      <c r="FR217" s="162" t="n">
        <v>0</v>
      </c>
      <c r="FS217" s="162" t="n">
        <v>0</v>
      </c>
      <c r="FT217" s="162" t="n">
        <v>0</v>
      </c>
      <c r="FU217" s="162" t="n">
        <v>0</v>
      </c>
      <c r="FV217" s="161" t="n">
        <v>0</v>
      </c>
      <c r="FW217" s="162" t="n">
        <v>0</v>
      </c>
      <c r="FX217" s="162" t="n">
        <v>0</v>
      </c>
      <c r="FY217" s="162" t="n">
        <v>0</v>
      </c>
    </row>
    <row r="218" customFormat="false" ht="16.4" hidden="false" customHeight="false" outlineLevel="0" collapsed="false">
      <c r="A218" s="160" t="s">
        <v>354</v>
      </c>
      <c r="B218" s="162" t="n">
        <v>0</v>
      </c>
      <c r="C218" s="162" t="n">
        <v>0</v>
      </c>
      <c r="D218" s="161" t="n">
        <v>0</v>
      </c>
      <c r="E218" s="162" t="n">
        <v>0</v>
      </c>
      <c r="F218" s="162" t="n">
        <v>0</v>
      </c>
      <c r="G218" s="162" t="n">
        <v>0</v>
      </c>
      <c r="H218" s="162" t="n">
        <v>0</v>
      </c>
      <c r="I218" s="161" t="n">
        <v>0</v>
      </c>
      <c r="J218" s="162" t="n">
        <v>0</v>
      </c>
      <c r="K218" s="162" t="n">
        <v>0</v>
      </c>
      <c r="L218" s="162" t="n">
        <v>0</v>
      </c>
      <c r="M218" s="162" t="n">
        <v>0</v>
      </c>
      <c r="N218" s="161" t="n">
        <v>0</v>
      </c>
      <c r="O218" s="162" t="n">
        <v>0</v>
      </c>
      <c r="P218" s="162" t="n">
        <v>0</v>
      </c>
      <c r="Q218" s="162" t="n">
        <v>0</v>
      </c>
      <c r="R218" s="162" t="n">
        <v>0</v>
      </c>
      <c r="S218" s="161" t="n">
        <v>0</v>
      </c>
      <c r="T218" s="162" t="n">
        <v>0</v>
      </c>
      <c r="U218" s="162" t="n">
        <v>0</v>
      </c>
      <c r="V218" s="162" t="n">
        <v>0</v>
      </c>
      <c r="W218" s="162" t="n">
        <v>0</v>
      </c>
      <c r="X218" s="161" t="n">
        <v>0</v>
      </c>
      <c r="Y218" s="162" t="n">
        <v>0</v>
      </c>
      <c r="Z218" s="162" t="n">
        <v>0</v>
      </c>
      <c r="AA218" s="162" t="n">
        <v>0</v>
      </c>
      <c r="AB218" s="162" t="n">
        <v>0</v>
      </c>
      <c r="AC218" s="161" t="n">
        <v>0</v>
      </c>
      <c r="AD218" s="162" t="n">
        <v>0</v>
      </c>
      <c r="AE218" s="162" t="n">
        <v>0</v>
      </c>
      <c r="AF218" s="162" t="n">
        <v>0</v>
      </c>
      <c r="AG218" s="162" t="n">
        <v>0</v>
      </c>
      <c r="AH218" s="161" t="n">
        <v>0</v>
      </c>
      <c r="AI218" s="162" t="n">
        <v>0</v>
      </c>
      <c r="AJ218" s="162" t="n">
        <v>0</v>
      </c>
      <c r="AK218" s="162" t="n">
        <v>0</v>
      </c>
      <c r="AL218" s="162" t="n">
        <v>0</v>
      </c>
      <c r="AM218" s="161" t="n">
        <v>0</v>
      </c>
      <c r="AN218" s="162" t="n">
        <v>0</v>
      </c>
      <c r="AO218" s="162" t="n">
        <v>0</v>
      </c>
      <c r="AP218" s="162" t="n">
        <v>0</v>
      </c>
      <c r="AQ218" s="162" t="n">
        <v>0</v>
      </c>
      <c r="AR218" s="161" t="n">
        <v>0</v>
      </c>
      <c r="AS218" s="162" t="n">
        <v>0</v>
      </c>
      <c r="AT218" s="162" t="n">
        <v>0</v>
      </c>
      <c r="AU218" s="162" t="n">
        <v>0</v>
      </c>
      <c r="AV218" s="162" t="n">
        <v>0</v>
      </c>
      <c r="AW218" s="161" t="n">
        <v>0</v>
      </c>
      <c r="AX218" s="162" t="n">
        <v>0</v>
      </c>
      <c r="AY218" s="162" t="n">
        <v>0</v>
      </c>
      <c r="AZ218" s="162" t="n">
        <v>0</v>
      </c>
      <c r="BA218" s="162" t="n">
        <v>0</v>
      </c>
      <c r="BB218" s="161" t="n">
        <v>0</v>
      </c>
      <c r="BC218" s="162" t="n">
        <v>0</v>
      </c>
      <c r="BD218" s="162" t="n">
        <v>0</v>
      </c>
      <c r="BE218" s="162" t="n">
        <v>0</v>
      </c>
      <c r="BF218" s="162" t="n">
        <v>0</v>
      </c>
      <c r="BG218" s="161" t="n">
        <v>0</v>
      </c>
      <c r="BH218" s="162" t="n">
        <v>0</v>
      </c>
      <c r="BI218" s="162" t="n">
        <v>0</v>
      </c>
      <c r="BJ218" s="162" t="n">
        <v>0</v>
      </c>
      <c r="BK218" s="162" t="n">
        <v>0</v>
      </c>
      <c r="BL218" s="161" t="n">
        <v>0</v>
      </c>
      <c r="BM218" s="162" t="n">
        <v>0</v>
      </c>
      <c r="BN218" s="162" t="n">
        <v>0</v>
      </c>
      <c r="BO218" s="162" t="n">
        <v>0</v>
      </c>
      <c r="BP218" s="162" t="n">
        <v>0</v>
      </c>
      <c r="BQ218" s="161" t="n">
        <v>0</v>
      </c>
      <c r="BR218" s="162" t="n">
        <v>0</v>
      </c>
      <c r="BS218" s="162" t="n">
        <v>0</v>
      </c>
      <c r="BT218" s="162" t="n">
        <v>0</v>
      </c>
      <c r="BU218" s="162" t="n">
        <v>0</v>
      </c>
      <c r="BV218" s="161" t="n">
        <v>0</v>
      </c>
      <c r="BW218" s="162" t="n">
        <v>0</v>
      </c>
      <c r="BX218" s="162" t="n">
        <v>0</v>
      </c>
      <c r="BY218" s="162" t="n">
        <v>0</v>
      </c>
      <c r="BZ218" s="162" t="n">
        <v>0</v>
      </c>
      <c r="CA218" s="161" t="n">
        <v>0</v>
      </c>
      <c r="CB218" s="162" t="n">
        <v>0</v>
      </c>
      <c r="CC218" s="162" t="n">
        <v>0</v>
      </c>
      <c r="CD218" s="162" t="n">
        <v>0</v>
      </c>
      <c r="CE218" s="162" t="n">
        <v>0</v>
      </c>
      <c r="CF218" s="161" t="n">
        <v>0</v>
      </c>
      <c r="CG218" s="162" t="n">
        <v>0</v>
      </c>
      <c r="CH218" s="162" t="n">
        <v>0</v>
      </c>
      <c r="CI218" s="162" t="n">
        <v>0</v>
      </c>
      <c r="CJ218" s="162" t="n">
        <v>0</v>
      </c>
      <c r="CK218" s="161" t="n">
        <v>0</v>
      </c>
      <c r="CL218" s="162" t="n">
        <v>0</v>
      </c>
      <c r="CM218" s="162" t="n">
        <v>0</v>
      </c>
      <c r="CN218" s="162" t="n">
        <v>0</v>
      </c>
      <c r="CO218" s="162" t="n">
        <v>0</v>
      </c>
      <c r="CP218" s="161" t="n">
        <v>0</v>
      </c>
      <c r="CQ218" s="162" t="n">
        <v>0</v>
      </c>
      <c r="CR218" s="162" t="n">
        <v>0</v>
      </c>
      <c r="CS218" s="162" t="n">
        <v>0</v>
      </c>
      <c r="CT218" s="162" t="n">
        <v>0</v>
      </c>
      <c r="CU218" s="161" t="n">
        <v>0</v>
      </c>
      <c r="CV218" s="162" t="n">
        <v>0</v>
      </c>
      <c r="CW218" s="162" t="n">
        <v>0</v>
      </c>
      <c r="CX218" s="162" t="n">
        <v>0</v>
      </c>
      <c r="CY218" s="162" t="n">
        <v>0</v>
      </c>
      <c r="CZ218" s="161" t="n">
        <v>0</v>
      </c>
      <c r="DA218" s="162" t="n">
        <v>0</v>
      </c>
      <c r="DB218" s="162" t="n">
        <v>0</v>
      </c>
      <c r="DC218" s="162" t="n">
        <v>0</v>
      </c>
      <c r="DD218" s="162" t="n">
        <v>0</v>
      </c>
      <c r="DE218" s="161" t="n">
        <v>0</v>
      </c>
      <c r="DF218" s="162" t="n">
        <v>0</v>
      </c>
      <c r="DG218" s="162" t="n">
        <v>0</v>
      </c>
      <c r="DH218" s="162" t="n">
        <v>0</v>
      </c>
      <c r="DI218" s="162" t="n">
        <v>0</v>
      </c>
      <c r="DJ218" s="161" t="n">
        <v>0</v>
      </c>
      <c r="DK218" s="162" t="n">
        <v>0</v>
      </c>
      <c r="DL218" s="162" t="n">
        <v>0</v>
      </c>
      <c r="DM218" s="162" t="n">
        <v>0</v>
      </c>
      <c r="DN218" s="162" t="n">
        <v>0</v>
      </c>
      <c r="DO218" s="161" t="n">
        <v>0</v>
      </c>
      <c r="DP218" s="162" t="n">
        <v>0</v>
      </c>
      <c r="DQ218" s="162" t="n">
        <v>0</v>
      </c>
      <c r="DR218" s="162" t="n">
        <v>0</v>
      </c>
      <c r="DS218" s="162" t="n">
        <v>0</v>
      </c>
      <c r="DT218" s="161" t="n">
        <v>0</v>
      </c>
      <c r="DU218" s="162" t="n">
        <v>0</v>
      </c>
      <c r="DV218" s="162" t="n">
        <v>0</v>
      </c>
      <c r="DW218" s="162" t="n">
        <v>0</v>
      </c>
      <c r="DX218" s="162" t="n">
        <v>0</v>
      </c>
      <c r="DY218" s="161" t="n">
        <v>0</v>
      </c>
      <c r="DZ218" s="162" t="n">
        <v>0</v>
      </c>
      <c r="EA218" s="162" t="n">
        <v>0</v>
      </c>
      <c r="EB218" s="162" t="n">
        <v>0</v>
      </c>
      <c r="EC218" s="162" t="n">
        <v>0</v>
      </c>
      <c r="ED218" s="161" t="n">
        <v>0</v>
      </c>
      <c r="EE218" s="162" t="n">
        <v>0</v>
      </c>
      <c r="EF218" s="162" t="n">
        <v>0</v>
      </c>
      <c r="EG218" s="162" t="n">
        <v>0</v>
      </c>
      <c r="EH218" s="162" t="n">
        <v>0</v>
      </c>
      <c r="EI218" s="161" t="n">
        <v>0</v>
      </c>
      <c r="EJ218" s="162" t="n">
        <v>0</v>
      </c>
      <c r="EK218" s="162" t="n">
        <v>0</v>
      </c>
      <c r="EL218" s="162" t="n">
        <v>0</v>
      </c>
      <c r="EM218" s="162" t="n">
        <v>0</v>
      </c>
      <c r="EN218" s="161" t="n">
        <v>0</v>
      </c>
      <c r="EO218" s="162" t="n">
        <v>0</v>
      </c>
      <c r="EP218" s="162" t="n">
        <v>0</v>
      </c>
      <c r="EQ218" s="162" t="n">
        <v>0</v>
      </c>
      <c r="ER218" s="162" t="n">
        <v>0</v>
      </c>
      <c r="ES218" s="161" t="n">
        <v>0</v>
      </c>
      <c r="ET218" s="162" t="n">
        <v>0</v>
      </c>
      <c r="EU218" s="162" t="n">
        <v>0</v>
      </c>
      <c r="EV218" s="162" t="n">
        <v>0</v>
      </c>
      <c r="EW218" s="162" t="n">
        <v>0</v>
      </c>
      <c r="EX218" s="161" t="n">
        <v>0</v>
      </c>
      <c r="EY218" s="162" t="n">
        <v>0</v>
      </c>
      <c r="EZ218" s="162" t="n">
        <v>0</v>
      </c>
      <c r="FA218" s="162" t="n">
        <v>0</v>
      </c>
      <c r="FB218" s="162" t="n">
        <v>0</v>
      </c>
      <c r="FC218" s="161" t="n">
        <v>0</v>
      </c>
      <c r="FD218" s="162" t="n">
        <v>0</v>
      </c>
      <c r="FE218" s="162" t="n">
        <v>0</v>
      </c>
      <c r="FF218" s="162" t="n">
        <v>0</v>
      </c>
      <c r="FG218" s="162" t="n">
        <v>0</v>
      </c>
      <c r="FH218" s="161" t="n">
        <v>0</v>
      </c>
      <c r="FI218" s="162" t="n">
        <v>0</v>
      </c>
      <c r="FJ218" s="162" t="n">
        <v>0</v>
      </c>
      <c r="FK218" s="162" t="n">
        <v>0</v>
      </c>
      <c r="FL218" s="162" t="n">
        <v>0</v>
      </c>
      <c r="FM218" s="161" t="n">
        <v>0</v>
      </c>
      <c r="FN218" s="162" t="n">
        <v>0</v>
      </c>
      <c r="FO218" s="162" t="n">
        <v>0</v>
      </c>
      <c r="FP218" s="162" t="n">
        <v>0</v>
      </c>
      <c r="FQ218" s="162" t="n">
        <v>0</v>
      </c>
      <c r="FR218" s="161" t="n">
        <v>0</v>
      </c>
      <c r="FS218" s="162" t="n">
        <v>0</v>
      </c>
      <c r="FT218" s="162" t="n">
        <v>0</v>
      </c>
      <c r="FU218" s="162" t="n">
        <v>0</v>
      </c>
      <c r="FV218" s="162" t="n">
        <v>0</v>
      </c>
      <c r="FW218" s="161" t="n">
        <v>0</v>
      </c>
      <c r="FX218" s="162" t="n">
        <v>0</v>
      </c>
      <c r="FY218" s="162" t="n">
        <v>0</v>
      </c>
    </row>
    <row r="219" customFormat="false" ht="16.4" hidden="false" customHeight="false" outlineLevel="0" collapsed="false">
      <c r="A219" s="160" t="s">
        <v>355</v>
      </c>
      <c r="B219" s="162" t="n">
        <v>0</v>
      </c>
      <c r="C219" s="162" t="n">
        <v>0</v>
      </c>
      <c r="D219" s="162" t="n">
        <v>0</v>
      </c>
      <c r="E219" s="161" t="n">
        <v>0</v>
      </c>
      <c r="F219" s="162" t="n">
        <v>0</v>
      </c>
      <c r="G219" s="162" t="n">
        <v>0</v>
      </c>
      <c r="H219" s="162" t="n">
        <v>0</v>
      </c>
      <c r="I219" s="162" t="n">
        <v>0</v>
      </c>
      <c r="J219" s="161" t="n">
        <v>0</v>
      </c>
      <c r="K219" s="162" t="n">
        <v>0</v>
      </c>
      <c r="L219" s="162" t="n">
        <v>0</v>
      </c>
      <c r="M219" s="162" t="n">
        <v>0</v>
      </c>
      <c r="N219" s="162" t="n">
        <v>0</v>
      </c>
      <c r="O219" s="161" t="n">
        <v>0</v>
      </c>
      <c r="P219" s="162" t="n">
        <v>0</v>
      </c>
      <c r="Q219" s="162" t="n">
        <v>0</v>
      </c>
      <c r="R219" s="162" t="n">
        <v>0</v>
      </c>
      <c r="S219" s="162" t="n">
        <v>0</v>
      </c>
      <c r="T219" s="161" t="n">
        <v>0</v>
      </c>
      <c r="U219" s="162" t="n">
        <v>0</v>
      </c>
      <c r="V219" s="162" t="n">
        <v>0</v>
      </c>
      <c r="W219" s="162" t="n">
        <v>0</v>
      </c>
      <c r="X219" s="162" t="n">
        <v>0</v>
      </c>
      <c r="Y219" s="161" t="n">
        <v>0</v>
      </c>
      <c r="Z219" s="162" t="n">
        <v>0</v>
      </c>
      <c r="AA219" s="162" t="n">
        <v>0</v>
      </c>
      <c r="AB219" s="162" t="n">
        <v>0</v>
      </c>
      <c r="AC219" s="162" t="n">
        <v>0</v>
      </c>
      <c r="AD219" s="161" t="n">
        <v>0</v>
      </c>
      <c r="AE219" s="162" t="n">
        <v>0</v>
      </c>
      <c r="AF219" s="162" t="n">
        <v>0</v>
      </c>
      <c r="AG219" s="162" t="n">
        <v>0</v>
      </c>
      <c r="AH219" s="162" t="n">
        <v>0</v>
      </c>
      <c r="AI219" s="161" t="n">
        <v>0</v>
      </c>
      <c r="AJ219" s="162" t="n">
        <v>0</v>
      </c>
      <c r="AK219" s="162" t="n">
        <v>0</v>
      </c>
      <c r="AL219" s="162" t="n">
        <v>0</v>
      </c>
      <c r="AM219" s="162" t="n">
        <v>0</v>
      </c>
      <c r="AN219" s="161" t="n">
        <v>0</v>
      </c>
      <c r="AO219" s="162" t="n">
        <v>0</v>
      </c>
      <c r="AP219" s="162" t="n">
        <v>0</v>
      </c>
      <c r="AQ219" s="162" t="n">
        <v>0</v>
      </c>
      <c r="AR219" s="162" t="n">
        <v>0</v>
      </c>
      <c r="AS219" s="161" t="n">
        <v>0</v>
      </c>
      <c r="AT219" s="162" t="n">
        <v>0</v>
      </c>
      <c r="AU219" s="162" t="n">
        <v>0</v>
      </c>
      <c r="AV219" s="162" t="n">
        <v>0</v>
      </c>
      <c r="AW219" s="162" t="n">
        <v>0</v>
      </c>
      <c r="AX219" s="161" t="n">
        <v>0</v>
      </c>
      <c r="AY219" s="162" t="n">
        <v>0</v>
      </c>
      <c r="AZ219" s="162" t="n">
        <v>0</v>
      </c>
      <c r="BA219" s="162" t="n">
        <v>0</v>
      </c>
      <c r="BB219" s="162" t="n">
        <v>0</v>
      </c>
      <c r="BC219" s="161" t="n">
        <v>0</v>
      </c>
      <c r="BD219" s="162" t="n">
        <v>0</v>
      </c>
      <c r="BE219" s="162" t="n">
        <v>0</v>
      </c>
      <c r="BF219" s="162" t="n">
        <v>0</v>
      </c>
      <c r="BG219" s="162" t="n">
        <v>0</v>
      </c>
      <c r="BH219" s="161" t="n">
        <v>0</v>
      </c>
      <c r="BI219" s="162" t="n">
        <v>0</v>
      </c>
      <c r="BJ219" s="162" t="n">
        <v>0</v>
      </c>
      <c r="BK219" s="162" t="n">
        <v>0</v>
      </c>
      <c r="BL219" s="162" t="n">
        <v>0</v>
      </c>
      <c r="BM219" s="161" t="n">
        <v>0</v>
      </c>
      <c r="BN219" s="162" t="n">
        <v>0</v>
      </c>
      <c r="BO219" s="162" t="n">
        <v>0</v>
      </c>
      <c r="BP219" s="162" t="n">
        <v>0</v>
      </c>
      <c r="BQ219" s="162" t="n">
        <v>0</v>
      </c>
      <c r="BR219" s="161" t="n">
        <v>0</v>
      </c>
      <c r="BS219" s="162" t="n">
        <v>0</v>
      </c>
      <c r="BT219" s="162" t="n">
        <v>0</v>
      </c>
      <c r="BU219" s="162" t="n">
        <v>0</v>
      </c>
      <c r="BV219" s="162" t="n">
        <v>0</v>
      </c>
      <c r="BW219" s="161" t="n">
        <v>0</v>
      </c>
      <c r="BX219" s="162" t="n">
        <v>0</v>
      </c>
      <c r="BY219" s="162" t="n">
        <v>0</v>
      </c>
      <c r="BZ219" s="162" t="n">
        <v>0</v>
      </c>
      <c r="CA219" s="162" t="n">
        <v>0</v>
      </c>
      <c r="CB219" s="161" t="n">
        <v>0</v>
      </c>
      <c r="CC219" s="162" t="n">
        <v>0</v>
      </c>
      <c r="CD219" s="162" t="n">
        <v>0</v>
      </c>
      <c r="CE219" s="162" t="n">
        <v>0</v>
      </c>
      <c r="CF219" s="162" t="n">
        <v>0</v>
      </c>
      <c r="CG219" s="161" t="n">
        <v>0</v>
      </c>
      <c r="CH219" s="162" t="n">
        <v>0</v>
      </c>
      <c r="CI219" s="162" t="n">
        <v>0</v>
      </c>
      <c r="CJ219" s="162" t="n">
        <v>0</v>
      </c>
      <c r="CK219" s="162" t="n">
        <v>0</v>
      </c>
      <c r="CL219" s="161" t="n">
        <v>0</v>
      </c>
      <c r="CM219" s="162" t="n">
        <v>0</v>
      </c>
      <c r="CN219" s="162" t="n">
        <v>0</v>
      </c>
      <c r="CO219" s="162" t="n">
        <v>0</v>
      </c>
      <c r="CP219" s="162" t="n">
        <v>0</v>
      </c>
      <c r="CQ219" s="161" t="n">
        <v>0</v>
      </c>
      <c r="CR219" s="162" t="n">
        <v>0</v>
      </c>
      <c r="CS219" s="162" t="n">
        <v>0</v>
      </c>
      <c r="CT219" s="162" t="n">
        <v>0</v>
      </c>
      <c r="CU219" s="162" t="n">
        <v>0</v>
      </c>
      <c r="CV219" s="161" t="n">
        <v>0</v>
      </c>
      <c r="CW219" s="162" t="n">
        <v>0</v>
      </c>
      <c r="CX219" s="162" t="n">
        <v>0</v>
      </c>
      <c r="CY219" s="162" t="n">
        <v>0</v>
      </c>
      <c r="CZ219" s="162" t="n">
        <v>0</v>
      </c>
      <c r="DA219" s="161" t="n">
        <v>0</v>
      </c>
      <c r="DB219" s="162" t="n">
        <v>0</v>
      </c>
      <c r="DC219" s="162" t="n">
        <v>0</v>
      </c>
      <c r="DD219" s="162" t="n">
        <v>0</v>
      </c>
      <c r="DE219" s="162" t="n">
        <v>0</v>
      </c>
      <c r="DF219" s="161" t="n">
        <v>0</v>
      </c>
      <c r="DG219" s="162" t="n">
        <v>0</v>
      </c>
      <c r="DH219" s="162" t="n">
        <v>0</v>
      </c>
      <c r="DI219" s="162" t="n">
        <v>0</v>
      </c>
      <c r="DJ219" s="162" t="n">
        <v>0</v>
      </c>
      <c r="DK219" s="161" t="n">
        <v>0</v>
      </c>
      <c r="DL219" s="162" t="n">
        <v>0</v>
      </c>
      <c r="DM219" s="162" t="n">
        <v>0</v>
      </c>
      <c r="DN219" s="162" t="n">
        <v>0</v>
      </c>
      <c r="DO219" s="162" t="n">
        <v>0</v>
      </c>
      <c r="DP219" s="161" t="n">
        <v>0</v>
      </c>
      <c r="DQ219" s="162" t="n">
        <v>0</v>
      </c>
      <c r="DR219" s="162" t="n">
        <v>0</v>
      </c>
      <c r="DS219" s="162" t="n">
        <v>0</v>
      </c>
      <c r="DT219" s="162" t="n">
        <v>0</v>
      </c>
      <c r="DU219" s="161" t="n">
        <v>0</v>
      </c>
      <c r="DV219" s="162" t="n">
        <v>0</v>
      </c>
      <c r="DW219" s="162" t="n">
        <v>0</v>
      </c>
      <c r="DX219" s="162" t="n">
        <v>0</v>
      </c>
      <c r="DY219" s="162" t="n">
        <v>0</v>
      </c>
      <c r="DZ219" s="161" t="n">
        <v>0</v>
      </c>
      <c r="EA219" s="162" t="n">
        <v>0</v>
      </c>
      <c r="EB219" s="162" t="n">
        <v>0</v>
      </c>
      <c r="EC219" s="162" t="n">
        <v>0</v>
      </c>
      <c r="ED219" s="162" t="n">
        <v>0</v>
      </c>
      <c r="EE219" s="161" t="n">
        <v>0</v>
      </c>
      <c r="EF219" s="162" t="n">
        <v>0</v>
      </c>
      <c r="EG219" s="162" t="n">
        <v>0</v>
      </c>
      <c r="EH219" s="162" t="n">
        <v>0</v>
      </c>
      <c r="EI219" s="162" t="n">
        <v>0</v>
      </c>
      <c r="EJ219" s="161" t="n">
        <v>0</v>
      </c>
      <c r="EK219" s="162" t="n">
        <v>0</v>
      </c>
      <c r="EL219" s="162" t="n">
        <v>0</v>
      </c>
      <c r="EM219" s="162" t="n">
        <v>0</v>
      </c>
      <c r="EN219" s="162" t="n">
        <v>0</v>
      </c>
      <c r="EO219" s="161" t="n">
        <v>0</v>
      </c>
      <c r="EP219" s="162" t="n">
        <v>0</v>
      </c>
      <c r="EQ219" s="162" t="n">
        <v>0</v>
      </c>
      <c r="ER219" s="162" t="n">
        <v>0</v>
      </c>
      <c r="ES219" s="162" t="n">
        <v>0</v>
      </c>
      <c r="ET219" s="161" t="n">
        <v>0</v>
      </c>
      <c r="EU219" s="162" t="n">
        <v>0</v>
      </c>
      <c r="EV219" s="162" t="n">
        <v>0</v>
      </c>
      <c r="EW219" s="162" t="n">
        <v>0</v>
      </c>
      <c r="EX219" s="162" t="n">
        <v>0</v>
      </c>
      <c r="EY219" s="161" t="n">
        <v>0</v>
      </c>
      <c r="EZ219" s="162" t="n">
        <v>0</v>
      </c>
      <c r="FA219" s="162" t="n">
        <v>0</v>
      </c>
      <c r="FB219" s="162" t="n">
        <v>0</v>
      </c>
      <c r="FC219" s="162" t="n">
        <v>0</v>
      </c>
      <c r="FD219" s="161" t="n">
        <v>0</v>
      </c>
      <c r="FE219" s="162" t="n">
        <v>0</v>
      </c>
      <c r="FF219" s="162" t="n">
        <v>0</v>
      </c>
      <c r="FG219" s="162" t="n">
        <v>0</v>
      </c>
      <c r="FH219" s="162" t="n">
        <v>0</v>
      </c>
      <c r="FI219" s="161" t="n">
        <v>0</v>
      </c>
      <c r="FJ219" s="162" t="n">
        <v>0</v>
      </c>
      <c r="FK219" s="162" t="n">
        <v>0</v>
      </c>
      <c r="FL219" s="162" t="n">
        <v>0</v>
      </c>
      <c r="FM219" s="162" t="n">
        <v>0</v>
      </c>
      <c r="FN219" s="161" t="n">
        <v>0</v>
      </c>
      <c r="FO219" s="162" t="n">
        <v>0</v>
      </c>
      <c r="FP219" s="162" t="n">
        <v>0</v>
      </c>
      <c r="FQ219" s="162" t="n">
        <v>0</v>
      </c>
      <c r="FR219" s="162" t="n">
        <v>0</v>
      </c>
      <c r="FS219" s="161" t="n">
        <v>0</v>
      </c>
      <c r="FT219" s="162" t="n">
        <v>0</v>
      </c>
      <c r="FU219" s="162" t="n">
        <v>0</v>
      </c>
      <c r="FV219" s="162" t="n">
        <v>0</v>
      </c>
      <c r="FW219" s="162" t="n">
        <v>0</v>
      </c>
      <c r="FX219" s="161" t="n">
        <v>0</v>
      </c>
      <c r="FY219" s="162" t="n">
        <v>0</v>
      </c>
    </row>
    <row r="220" customFormat="false" ht="16.4" hidden="false" customHeight="false" outlineLevel="0" collapsed="false">
      <c r="A220" s="160" t="s">
        <v>356</v>
      </c>
      <c r="B220" s="162" t="n">
        <v>0</v>
      </c>
      <c r="C220" s="162" t="n">
        <v>0</v>
      </c>
      <c r="D220" s="162" t="n">
        <v>0</v>
      </c>
      <c r="E220" s="162" t="n">
        <v>0</v>
      </c>
      <c r="F220" s="161" t="n">
        <v>0</v>
      </c>
      <c r="G220" s="162" t="n">
        <v>0</v>
      </c>
      <c r="H220" s="162" t="n">
        <v>0</v>
      </c>
      <c r="I220" s="162" t="n">
        <v>0</v>
      </c>
      <c r="J220" s="162" t="n">
        <v>0</v>
      </c>
      <c r="K220" s="161" t="n">
        <v>0</v>
      </c>
      <c r="L220" s="162" t="n">
        <v>0</v>
      </c>
      <c r="M220" s="162" t="n">
        <v>0</v>
      </c>
      <c r="N220" s="162" t="n">
        <v>0</v>
      </c>
      <c r="O220" s="162" t="n">
        <v>0</v>
      </c>
      <c r="P220" s="161" t="n">
        <v>0</v>
      </c>
      <c r="Q220" s="162" t="n">
        <v>0</v>
      </c>
      <c r="R220" s="162" t="n">
        <v>0</v>
      </c>
      <c r="S220" s="162" t="n">
        <v>0</v>
      </c>
      <c r="T220" s="162" t="n">
        <v>0</v>
      </c>
      <c r="U220" s="161" t="n">
        <v>0</v>
      </c>
      <c r="V220" s="162" t="n">
        <v>0</v>
      </c>
      <c r="W220" s="162" t="n">
        <v>0</v>
      </c>
      <c r="X220" s="162" t="n">
        <v>0</v>
      </c>
      <c r="Y220" s="162" t="n">
        <v>0</v>
      </c>
      <c r="Z220" s="161" t="n">
        <v>0</v>
      </c>
      <c r="AA220" s="162" t="n">
        <v>0</v>
      </c>
      <c r="AB220" s="162" t="n">
        <v>0</v>
      </c>
      <c r="AC220" s="162" t="n">
        <v>0</v>
      </c>
      <c r="AD220" s="162" t="n">
        <v>0</v>
      </c>
      <c r="AE220" s="161" t="n">
        <v>0</v>
      </c>
      <c r="AF220" s="162" t="n">
        <v>0</v>
      </c>
      <c r="AG220" s="162" t="n">
        <v>0</v>
      </c>
      <c r="AH220" s="162" t="n">
        <v>0</v>
      </c>
      <c r="AI220" s="162" t="n">
        <v>0</v>
      </c>
      <c r="AJ220" s="161" t="n">
        <v>0</v>
      </c>
      <c r="AK220" s="162" t="n">
        <v>0</v>
      </c>
      <c r="AL220" s="162" t="n">
        <v>0</v>
      </c>
      <c r="AM220" s="162" t="n">
        <v>0</v>
      </c>
      <c r="AN220" s="162" t="n">
        <v>0</v>
      </c>
      <c r="AO220" s="161" t="n">
        <v>0</v>
      </c>
      <c r="AP220" s="162" t="n">
        <v>0</v>
      </c>
      <c r="AQ220" s="162" t="n">
        <v>0</v>
      </c>
      <c r="AR220" s="162" t="n">
        <v>0</v>
      </c>
      <c r="AS220" s="162" t="n">
        <v>0</v>
      </c>
      <c r="AT220" s="161" t="n">
        <v>0</v>
      </c>
      <c r="AU220" s="162" t="n">
        <v>0</v>
      </c>
      <c r="AV220" s="162" t="n">
        <v>0</v>
      </c>
      <c r="AW220" s="162" t="n">
        <v>0</v>
      </c>
      <c r="AX220" s="162" t="n">
        <v>0</v>
      </c>
      <c r="AY220" s="161" t="n">
        <v>0</v>
      </c>
      <c r="AZ220" s="162" t="n">
        <v>0</v>
      </c>
      <c r="BA220" s="162" t="n">
        <v>0</v>
      </c>
      <c r="BB220" s="162" t="n">
        <v>0</v>
      </c>
      <c r="BC220" s="162" t="n">
        <v>0</v>
      </c>
      <c r="BD220" s="161" t="n">
        <v>0</v>
      </c>
      <c r="BE220" s="162" t="n">
        <v>0</v>
      </c>
      <c r="BF220" s="162" t="n">
        <v>0</v>
      </c>
      <c r="BG220" s="162" t="n">
        <v>0</v>
      </c>
      <c r="BH220" s="162" t="n">
        <v>0</v>
      </c>
      <c r="BI220" s="161" t="n">
        <v>0</v>
      </c>
      <c r="BJ220" s="162" t="n">
        <v>0</v>
      </c>
      <c r="BK220" s="162" t="n">
        <v>0</v>
      </c>
      <c r="BL220" s="162" t="n">
        <v>0</v>
      </c>
      <c r="BM220" s="162" t="n">
        <v>0</v>
      </c>
      <c r="BN220" s="161" t="n">
        <v>0</v>
      </c>
      <c r="BO220" s="162" t="n">
        <v>0</v>
      </c>
      <c r="BP220" s="162" t="n">
        <v>0</v>
      </c>
      <c r="BQ220" s="162" t="n">
        <v>0</v>
      </c>
      <c r="BR220" s="162" t="n">
        <v>0</v>
      </c>
      <c r="BS220" s="161" t="n">
        <v>0</v>
      </c>
      <c r="BT220" s="162" t="n">
        <v>0</v>
      </c>
      <c r="BU220" s="162" t="n">
        <v>0</v>
      </c>
      <c r="BV220" s="162" t="n">
        <v>0</v>
      </c>
      <c r="BW220" s="162" t="n">
        <v>0</v>
      </c>
      <c r="BX220" s="161" t="n">
        <v>0</v>
      </c>
      <c r="BY220" s="162" t="n">
        <v>0</v>
      </c>
      <c r="BZ220" s="162" t="n">
        <v>0</v>
      </c>
      <c r="CA220" s="162" t="n">
        <v>0</v>
      </c>
      <c r="CB220" s="162" t="n">
        <v>0</v>
      </c>
      <c r="CC220" s="161" t="n">
        <v>0</v>
      </c>
      <c r="CD220" s="162" t="n">
        <v>0</v>
      </c>
      <c r="CE220" s="162" t="n">
        <v>0</v>
      </c>
      <c r="CF220" s="162" t="n">
        <v>0</v>
      </c>
      <c r="CG220" s="162" t="n">
        <v>0</v>
      </c>
      <c r="CH220" s="161" t="n">
        <v>0</v>
      </c>
      <c r="CI220" s="162" t="n">
        <v>0</v>
      </c>
      <c r="CJ220" s="162" t="n">
        <v>0</v>
      </c>
      <c r="CK220" s="162" t="n">
        <v>0</v>
      </c>
      <c r="CL220" s="162" t="n">
        <v>0</v>
      </c>
      <c r="CM220" s="161" t="n">
        <v>0</v>
      </c>
      <c r="CN220" s="162" t="n">
        <v>0</v>
      </c>
      <c r="CO220" s="162" t="n">
        <v>0</v>
      </c>
      <c r="CP220" s="162" t="n">
        <v>0</v>
      </c>
      <c r="CQ220" s="162" t="n">
        <v>0</v>
      </c>
      <c r="CR220" s="161" t="n">
        <v>0</v>
      </c>
      <c r="CS220" s="162" t="n">
        <v>0</v>
      </c>
      <c r="CT220" s="162" t="n">
        <v>0</v>
      </c>
      <c r="CU220" s="162" t="n">
        <v>0</v>
      </c>
      <c r="CV220" s="162" t="n">
        <v>0</v>
      </c>
      <c r="CW220" s="161" t="n">
        <v>0</v>
      </c>
      <c r="CX220" s="162" t="n">
        <v>0</v>
      </c>
      <c r="CY220" s="162" t="n">
        <v>0</v>
      </c>
      <c r="CZ220" s="162" t="n">
        <v>0</v>
      </c>
      <c r="DA220" s="162" t="n">
        <v>0</v>
      </c>
      <c r="DB220" s="161" t="n">
        <v>0</v>
      </c>
      <c r="DC220" s="162" t="n">
        <v>0</v>
      </c>
      <c r="DD220" s="162" t="n">
        <v>0</v>
      </c>
      <c r="DE220" s="162" t="n">
        <v>0</v>
      </c>
      <c r="DF220" s="162" t="n">
        <v>0</v>
      </c>
      <c r="DG220" s="161" t="n">
        <v>0</v>
      </c>
      <c r="DH220" s="162" t="n">
        <v>0</v>
      </c>
      <c r="DI220" s="162" t="n">
        <v>0</v>
      </c>
      <c r="DJ220" s="162" t="n">
        <v>0</v>
      </c>
      <c r="DK220" s="162" t="n">
        <v>0</v>
      </c>
      <c r="DL220" s="161" t="n">
        <v>0</v>
      </c>
      <c r="DM220" s="162" t="n">
        <v>0</v>
      </c>
      <c r="DN220" s="162" t="n">
        <v>0</v>
      </c>
      <c r="DO220" s="162" t="n">
        <v>0</v>
      </c>
      <c r="DP220" s="162" t="n">
        <v>0</v>
      </c>
      <c r="DQ220" s="161" t="n">
        <v>0</v>
      </c>
      <c r="DR220" s="162" t="n">
        <v>0</v>
      </c>
      <c r="DS220" s="162" t="n">
        <v>0</v>
      </c>
      <c r="DT220" s="162" t="n">
        <v>0</v>
      </c>
      <c r="DU220" s="162" t="n">
        <v>0</v>
      </c>
      <c r="DV220" s="161" t="n">
        <v>0</v>
      </c>
      <c r="DW220" s="162" t="n">
        <v>0</v>
      </c>
      <c r="DX220" s="162" t="n">
        <v>0</v>
      </c>
      <c r="DY220" s="162" t="n">
        <v>0</v>
      </c>
      <c r="DZ220" s="162" t="n">
        <v>0</v>
      </c>
      <c r="EA220" s="161" t="n">
        <v>0</v>
      </c>
      <c r="EB220" s="162" t="n">
        <v>0</v>
      </c>
      <c r="EC220" s="162" t="n">
        <v>0</v>
      </c>
      <c r="ED220" s="162" t="n">
        <v>0</v>
      </c>
      <c r="EE220" s="162" t="n">
        <v>0</v>
      </c>
      <c r="EF220" s="161" t="n">
        <v>0</v>
      </c>
      <c r="EG220" s="162" t="n">
        <v>0</v>
      </c>
      <c r="EH220" s="162" t="n">
        <v>0</v>
      </c>
      <c r="EI220" s="162" t="n">
        <v>0</v>
      </c>
      <c r="EJ220" s="162" t="n">
        <v>0</v>
      </c>
      <c r="EK220" s="161" t="n">
        <v>0</v>
      </c>
      <c r="EL220" s="162" t="n">
        <v>0</v>
      </c>
      <c r="EM220" s="162" t="n">
        <v>0</v>
      </c>
      <c r="EN220" s="162" t="n">
        <v>0</v>
      </c>
      <c r="EO220" s="162" t="n">
        <v>0</v>
      </c>
      <c r="EP220" s="161" t="n">
        <v>0</v>
      </c>
      <c r="EQ220" s="162" t="n">
        <v>0</v>
      </c>
      <c r="ER220" s="162" t="n">
        <v>0</v>
      </c>
      <c r="ES220" s="162" t="n">
        <v>0</v>
      </c>
      <c r="ET220" s="162" t="n">
        <v>0</v>
      </c>
      <c r="EU220" s="161" t="n">
        <v>0</v>
      </c>
      <c r="EV220" s="162" t="n">
        <v>0</v>
      </c>
      <c r="EW220" s="162" t="n">
        <v>0</v>
      </c>
      <c r="EX220" s="162" t="n">
        <v>0</v>
      </c>
      <c r="EY220" s="162" t="n">
        <v>0</v>
      </c>
      <c r="EZ220" s="161" t="n">
        <v>0</v>
      </c>
      <c r="FA220" s="162" t="n">
        <v>0</v>
      </c>
      <c r="FB220" s="162" t="n">
        <v>0</v>
      </c>
      <c r="FC220" s="162" t="n">
        <v>0</v>
      </c>
      <c r="FD220" s="162" t="n">
        <v>0</v>
      </c>
      <c r="FE220" s="161" t="n">
        <v>0</v>
      </c>
      <c r="FF220" s="162" t="n">
        <v>0</v>
      </c>
      <c r="FG220" s="162" t="n">
        <v>0</v>
      </c>
      <c r="FH220" s="162" t="n">
        <v>0</v>
      </c>
      <c r="FI220" s="162" t="n">
        <v>0</v>
      </c>
      <c r="FJ220" s="161" t="n">
        <v>0</v>
      </c>
      <c r="FK220" s="162" t="n">
        <v>0</v>
      </c>
      <c r="FL220" s="162" t="n">
        <v>0</v>
      </c>
      <c r="FM220" s="162" t="n">
        <v>0</v>
      </c>
      <c r="FN220" s="162" t="n">
        <v>0</v>
      </c>
      <c r="FO220" s="161" t="n">
        <v>0</v>
      </c>
      <c r="FP220" s="162" t="n">
        <v>0</v>
      </c>
      <c r="FQ220" s="162" t="n">
        <v>0</v>
      </c>
      <c r="FR220" s="162" t="n">
        <v>0</v>
      </c>
      <c r="FS220" s="162" t="n">
        <v>0</v>
      </c>
      <c r="FT220" s="161" t="n">
        <v>0</v>
      </c>
      <c r="FU220" s="162" t="n">
        <v>0</v>
      </c>
      <c r="FV220" s="162" t="n">
        <v>0</v>
      </c>
      <c r="FW220" s="162" t="n">
        <v>0</v>
      </c>
      <c r="FX220" s="162" t="n">
        <v>0</v>
      </c>
      <c r="FY220" s="161" t="n">
        <v>0</v>
      </c>
    </row>
    <row r="221" customFormat="false" ht="15" hidden="false" customHeight="false" outlineLevel="0" collapsed="false">
      <c r="A221" s="4"/>
    </row>
    <row r="222" customFormat="false" ht="15" hidden="false" customHeight="false" outlineLevel="0" collapsed="false">
      <c r="A222" s="4"/>
    </row>
    <row r="223" customFormat="false" ht="16.4" hidden="false" customHeight="false" outlineLevel="0" collapsed="false">
      <c r="A223" s="154" t="s">
        <v>362</v>
      </c>
    </row>
    <row r="224" customFormat="false" ht="14.25" hidden="false" customHeight="true" outlineLevel="0" collapsed="false">
      <c r="A224" s="155" t="s">
        <v>314</v>
      </c>
      <c r="B224" s="156" t="s">
        <v>363</v>
      </c>
      <c r="C224" s="156"/>
      <c r="D224" s="156"/>
      <c r="E224" s="156"/>
      <c r="F224" s="156"/>
      <c r="G224" s="156" t="s">
        <v>351</v>
      </c>
      <c r="H224" s="156"/>
      <c r="I224" s="156"/>
      <c r="J224" s="156"/>
      <c r="K224" s="156"/>
    </row>
    <row r="225" customFormat="false" ht="15" hidden="false" customHeight="false" outlineLevel="0" collapsed="false">
      <c r="A225" s="4"/>
      <c r="B225" s="28" t="s">
        <v>352</v>
      </c>
      <c r="C225" s="28" t="s">
        <v>353</v>
      </c>
      <c r="D225" s="28" t="s">
        <v>354</v>
      </c>
      <c r="E225" s="28" t="s">
        <v>355</v>
      </c>
      <c r="F225" s="28" t="s">
        <v>356</v>
      </c>
      <c r="G225" s="28" t="s">
        <v>352</v>
      </c>
      <c r="H225" s="28" t="s">
        <v>353</v>
      </c>
      <c r="I225" s="28" t="s">
        <v>354</v>
      </c>
      <c r="J225" s="28" t="s">
        <v>355</v>
      </c>
      <c r="K225" s="28" t="s">
        <v>356</v>
      </c>
    </row>
    <row r="226" customFormat="false" ht="16.4" hidden="false" customHeight="false" outlineLevel="0" collapsed="false">
      <c r="A226" s="155" t="s">
        <v>357</v>
      </c>
      <c r="B226" s="135"/>
      <c r="C226" s="135"/>
      <c r="D226" s="135"/>
      <c r="E226" s="135"/>
      <c r="F226" s="135"/>
      <c r="G226" s="135"/>
      <c r="H226" s="135"/>
      <c r="I226" s="135"/>
      <c r="J226" s="135"/>
      <c r="K226" s="135"/>
    </row>
    <row r="227" customFormat="false" ht="16.4" hidden="false" customHeight="false" outlineLevel="0" collapsed="false">
      <c r="A227" s="159" t="s">
        <v>358</v>
      </c>
      <c r="B227" s="27" t="n">
        <v>0</v>
      </c>
      <c r="C227" s="27" t="n">
        <v>0</v>
      </c>
      <c r="D227" s="27" t="n">
        <v>0</v>
      </c>
      <c r="E227" s="27" t="n">
        <v>0</v>
      </c>
      <c r="F227" s="27" t="n">
        <v>0</v>
      </c>
      <c r="G227" s="27" t="n">
        <v>0</v>
      </c>
      <c r="H227" s="27" t="n">
        <v>0</v>
      </c>
      <c r="I227" s="27" t="n">
        <v>0</v>
      </c>
      <c r="J227" s="27" t="n">
        <v>0</v>
      </c>
      <c r="K227" s="27" t="n">
        <v>0</v>
      </c>
    </row>
    <row r="228" customFormat="false" ht="16.4" hidden="false" customHeight="false" outlineLevel="0" collapsed="false">
      <c r="A228" s="159" t="s">
        <v>359</v>
      </c>
      <c r="B228" s="27" t="n">
        <v>0</v>
      </c>
      <c r="C228" s="27" t="n">
        <v>0</v>
      </c>
      <c r="D228" s="27" t="n">
        <v>0</v>
      </c>
      <c r="E228" s="27" t="n">
        <v>0</v>
      </c>
      <c r="F228" s="27" t="n">
        <v>0</v>
      </c>
      <c r="G228" s="27" t="n">
        <v>0</v>
      </c>
      <c r="H228" s="27" t="n">
        <v>0</v>
      </c>
      <c r="I228" s="27" t="n">
        <v>0</v>
      </c>
      <c r="J228" s="27" t="n">
        <v>0</v>
      </c>
      <c r="K228" s="27" t="n">
        <v>0</v>
      </c>
    </row>
    <row r="229" customFormat="false" ht="16.4" hidden="false" customHeight="false" outlineLevel="0" collapsed="false">
      <c r="A229" s="155" t="s">
        <v>360</v>
      </c>
      <c r="B229" s="163"/>
      <c r="C229" s="163"/>
      <c r="D229" s="163"/>
      <c r="E229" s="163"/>
      <c r="F229" s="163"/>
      <c r="G229" s="163"/>
      <c r="H229" s="163"/>
      <c r="I229" s="163"/>
      <c r="J229" s="163"/>
      <c r="K229" s="163"/>
    </row>
    <row r="230" customFormat="false" ht="16.4" hidden="false" customHeight="false" outlineLevel="0" collapsed="false">
      <c r="A230" s="159" t="s">
        <v>358</v>
      </c>
      <c r="B230" s="27" t="n">
        <v>0</v>
      </c>
      <c r="C230" s="27" t="n">
        <v>0</v>
      </c>
      <c r="D230" s="27" t="n">
        <v>0</v>
      </c>
      <c r="E230" s="27" t="n">
        <v>0</v>
      </c>
      <c r="F230" s="27" t="n">
        <v>0</v>
      </c>
      <c r="G230" s="27" t="n">
        <v>0</v>
      </c>
      <c r="H230" s="27" t="n">
        <v>0</v>
      </c>
      <c r="I230" s="27" t="n">
        <v>0</v>
      </c>
      <c r="J230" s="27" t="n">
        <v>0</v>
      </c>
      <c r="K230" s="27" t="n">
        <v>0</v>
      </c>
    </row>
    <row r="231" customFormat="false" ht="16.4" hidden="false" customHeight="false" outlineLevel="0" collapsed="false">
      <c r="A231" s="159" t="s">
        <v>359</v>
      </c>
      <c r="B231" s="27" t="n">
        <v>0</v>
      </c>
      <c r="C231" s="27" t="n">
        <v>0</v>
      </c>
      <c r="D231" s="27" t="n">
        <v>0</v>
      </c>
      <c r="E231" s="27" t="n">
        <v>0</v>
      </c>
      <c r="F231" s="27" t="n">
        <v>0</v>
      </c>
      <c r="G231" s="27" t="n">
        <v>0</v>
      </c>
      <c r="H231" s="27" t="n">
        <v>0</v>
      </c>
      <c r="I231" s="27" t="n">
        <v>0</v>
      </c>
      <c r="J231" s="27" t="n">
        <v>0</v>
      </c>
      <c r="K231" s="27" t="n">
        <v>0</v>
      </c>
    </row>
    <row r="232" customFormat="false" ht="16.4" hidden="false" customHeight="false" outlineLevel="0" collapsed="false">
      <c r="A232" s="155" t="s">
        <v>361</v>
      </c>
      <c r="B232" s="163"/>
      <c r="C232" s="163"/>
      <c r="D232" s="163"/>
      <c r="E232" s="163"/>
      <c r="F232" s="163"/>
      <c r="G232" s="163"/>
      <c r="H232" s="163"/>
      <c r="I232" s="163"/>
      <c r="J232" s="163"/>
      <c r="K232" s="163"/>
    </row>
    <row r="233" customFormat="false" ht="16.4" hidden="false" customHeight="false" outlineLevel="0" collapsed="false">
      <c r="A233" s="160" t="s">
        <v>352</v>
      </c>
      <c r="B233" s="161" t="n">
        <v>0</v>
      </c>
      <c r="C233" s="162" t="n">
        <v>0</v>
      </c>
      <c r="D233" s="162" t="n">
        <v>0</v>
      </c>
      <c r="E233" s="162" t="n">
        <v>0</v>
      </c>
      <c r="F233" s="162" t="n">
        <v>0</v>
      </c>
      <c r="G233" s="161" t="n">
        <v>0</v>
      </c>
      <c r="H233" s="162" t="n">
        <v>0</v>
      </c>
      <c r="I233" s="162" t="n">
        <v>0</v>
      </c>
      <c r="J233" s="162" t="n">
        <v>0</v>
      </c>
      <c r="K233" s="162" t="n">
        <v>0</v>
      </c>
    </row>
    <row r="234" customFormat="false" ht="16.4" hidden="false" customHeight="false" outlineLevel="0" collapsed="false">
      <c r="A234" s="160" t="s">
        <v>353</v>
      </c>
      <c r="B234" s="162" t="n">
        <v>0</v>
      </c>
      <c r="C234" s="161" t="n">
        <v>0</v>
      </c>
      <c r="D234" s="162" t="n">
        <v>0</v>
      </c>
      <c r="E234" s="162" t="n">
        <v>0</v>
      </c>
      <c r="F234" s="162" t="n">
        <v>0</v>
      </c>
      <c r="G234" s="162" t="n">
        <v>0</v>
      </c>
      <c r="H234" s="161" t="n">
        <v>0</v>
      </c>
      <c r="I234" s="162" t="n">
        <v>0</v>
      </c>
      <c r="J234" s="162" t="n">
        <v>0</v>
      </c>
      <c r="K234" s="162" t="n">
        <v>0</v>
      </c>
    </row>
    <row r="235" customFormat="false" ht="16.4" hidden="false" customHeight="false" outlineLevel="0" collapsed="false">
      <c r="A235" s="160" t="s">
        <v>354</v>
      </c>
      <c r="B235" s="162" t="n">
        <v>0</v>
      </c>
      <c r="C235" s="162" t="n">
        <v>0</v>
      </c>
      <c r="D235" s="161" t="n">
        <v>0</v>
      </c>
      <c r="E235" s="162" t="n">
        <v>0</v>
      </c>
      <c r="F235" s="162" t="n">
        <v>0</v>
      </c>
      <c r="G235" s="162" t="n">
        <v>0</v>
      </c>
      <c r="H235" s="162" t="n">
        <v>0</v>
      </c>
      <c r="I235" s="161" t="n">
        <v>0</v>
      </c>
      <c r="J235" s="162" t="n">
        <v>0</v>
      </c>
      <c r="K235" s="162" t="n">
        <v>0</v>
      </c>
    </row>
    <row r="236" customFormat="false" ht="16.4" hidden="false" customHeight="false" outlineLevel="0" collapsed="false">
      <c r="A236" s="160" t="s">
        <v>355</v>
      </c>
      <c r="B236" s="162" t="n">
        <v>0</v>
      </c>
      <c r="C236" s="162" t="n">
        <v>0</v>
      </c>
      <c r="D236" s="162" t="n">
        <v>0</v>
      </c>
      <c r="E236" s="161" t="n">
        <v>0</v>
      </c>
      <c r="F236" s="162" t="n">
        <v>0</v>
      </c>
      <c r="G236" s="162" t="n">
        <v>0</v>
      </c>
      <c r="H236" s="162" t="n">
        <v>0</v>
      </c>
      <c r="I236" s="162" t="n">
        <v>0</v>
      </c>
      <c r="J236" s="161" t="n">
        <v>0</v>
      </c>
      <c r="K236" s="162" t="n">
        <v>0</v>
      </c>
    </row>
    <row r="237" customFormat="false" ht="16.4" hidden="false" customHeight="false" outlineLevel="0" collapsed="false">
      <c r="A237" s="160" t="s">
        <v>356</v>
      </c>
      <c r="B237" s="162" t="n">
        <v>0</v>
      </c>
      <c r="C237" s="162" t="n">
        <v>0</v>
      </c>
      <c r="D237" s="162" t="n">
        <v>0</v>
      </c>
      <c r="E237" s="162" t="n">
        <v>0</v>
      </c>
      <c r="F237" s="161" t="n">
        <v>0</v>
      </c>
      <c r="G237" s="162" t="n">
        <v>0</v>
      </c>
      <c r="H237" s="162" t="n">
        <v>0</v>
      </c>
      <c r="I237" s="162" t="n">
        <v>0</v>
      </c>
      <c r="J237" s="162" t="n">
        <v>0</v>
      </c>
      <c r="K237" s="161" t="n">
        <v>0</v>
      </c>
    </row>
    <row r="238" customFormat="false" ht="15" hidden="false" customHeight="false" outlineLevel="0" collapsed="false">
      <c r="A238" s="4"/>
    </row>
    <row r="239" customFormat="false" ht="15" hidden="false" customHeight="false" outlineLevel="0" collapsed="false">
      <c r="A239" s="4"/>
    </row>
    <row r="240" customFormat="false" ht="31.3" hidden="false" customHeight="false" outlineLevel="0" collapsed="false">
      <c r="A240" s="155" t="s">
        <v>364</v>
      </c>
    </row>
    <row r="241" customFormat="false" ht="14.25" hidden="false" customHeight="true" outlineLevel="0" collapsed="false">
      <c r="A241" s="164" t="s">
        <v>365</v>
      </c>
      <c r="B241" s="46" t="s">
        <v>366</v>
      </c>
      <c r="C241" s="97" t="s">
        <v>153</v>
      </c>
    </row>
    <row r="242" customFormat="false" ht="15" hidden="false" customHeight="false" outlineLevel="0" collapsed="false">
      <c r="A242" s="164"/>
      <c r="B242" s="46" t="s">
        <v>367</v>
      </c>
      <c r="C242" s="97"/>
    </row>
    <row r="243" customFormat="false" ht="16.4" hidden="false" customHeight="false" outlineLevel="0" collapsed="false">
      <c r="A243" s="165" t="s">
        <v>368</v>
      </c>
      <c r="B243" s="28" t="s">
        <v>369</v>
      </c>
      <c r="D243" s="165" t="s">
        <v>370</v>
      </c>
      <c r="E243" s="28" t="s">
        <v>371</v>
      </c>
    </row>
    <row r="244" customFormat="false" ht="15" hidden="false" customHeight="false" outlineLevel="0" collapsed="false">
      <c r="A244" s="166" t="s">
        <v>372</v>
      </c>
    </row>
    <row r="245" customFormat="false" ht="52.5" hidden="false" customHeight="true" outlineLevel="0" collapsed="false">
      <c r="A245" s="167" t="s">
        <v>373</v>
      </c>
      <c r="B245" s="156" t="s">
        <v>315</v>
      </c>
      <c r="C245" s="156"/>
      <c r="D245" s="156"/>
      <c r="E245" s="156"/>
      <c r="F245" s="156"/>
      <c r="G245" s="156" t="s">
        <v>316</v>
      </c>
      <c r="H245" s="156"/>
      <c r="I245" s="156"/>
      <c r="J245" s="156"/>
      <c r="K245" s="156"/>
      <c r="L245" s="156" t="s">
        <v>317</v>
      </c>
      <c r="M245" s="156"/>
      <c r="N245" s="156"/>
      <c r="O245" s="156"/>
      <c r="P245" s="156"/>
      <c r="Q245" s="156" t="s">
        <v>318</v>
      </c>
      <c r="R245" s="156"/>
      <c r="S245" s="156"/>
      <c r="T245" s="156"/>
      <c r="U245" s="156"/>
      <c r="V245" s="156" t="s">
        <v>319</v>
      </c>
      <c r="W245" s="156"/>
      <c r="X245" s="156"/>
      <c r="Y245" s="156"/>
      <c r="Z245" s="156"/>
      <c r="AA245" s="156" t="s">
        <v>320</v>
      </c>
      <c r="AB245" s="156"/>
      <c r="AC245" s="156"/>
      <c r="AD245" s="156"/>
      <c r="AE245" s="156"/>
      <c r="AF245" s="156" t="s">
        <v>321</v>
      </c>
      <c r="AG245" s="156"/>
      <c r="AH245" s="156"/>
      <c r="AI245" s="156"/>
      <c r="AJ245" s="156"/>
      <c r="AK245" s="156" t="s">
        <v>322</v>
      </c>
      <c r="AL245" s="156"/>
      <c r="AM245" s="156"/>
      <c r="AN245" s="156"/>
      <c r="AO245" s="156"/>
      <c r="AP245" s="156" t="s">
        <v>323</v>
      </c>
      <c r="AQ245" s="156"/>
      <c r="AR245" s="156"/>
      <c r="AS245" s="156"/>
      <c r="AT245" s="156"/>
      <c r="AU245" s="156" t="s">
        <v>324</v>
      </c>
      <c r="AV245" s="156"/>
      <c r="AW245" s="156"/>
      <c r="AX245" s="156"/>
      <c r="AY245" s="156"/>
      <c r="AZ245" s="156" t="s">
        <v>325</v>
      </c>
      <c r="BA245" s="156"/>
      <c r="BB245" s="156"/>
      <c r="BC245" s="156"/>
      <c r="BD245" s="156"/>
      <c r="BE245" s="156" t="s">
        <v>326</v>
      </c>
      <c r="BF245" s="156"/>
      <c r="BG245" s="156"/>
      <c r="BH245" s="156"/>
      <c r="BI245" s="156"/>
      <c r="BJ245" s="156" t="s">
        <v>327</v>
      </c>
      <c r="BK245" s="156"/>
      <c r="BL245" s="156"/>
      <c r="BM245" s="156"/>
      <c r="BN245" s="156"/>
      <c r="BO245" s="156" t="s">
        <v>328</v>
      </c>
      <c r="BP245" s="156"/>
      <c r="BQ245" s="156"/>
      <c r="BR245" s="156"/>
      <c r="BS245" s="156"/>
      <c r="BT245" s="156" t="s">
        <v>329</v>
      </c>
      <c r="BU245" s="156"/>
      <c r="BV245" s="156"/>
      <c r="BW245" s="156"/>
      <c r="BX245" s="156"/>
      <c r="BY245" s="156" t="s">
        <v>330</v>
      </c>
      <c r="BZ245" s="156"/>
      <c r="CA245" s="156"/>
      <c r="CB245" s="156"/>
      <c r="CC245" s="156"/>
      <c r="CD245" s="156" t="s">
        <v>331</v>
      </c>
      <c r="CE245" s="156"/>
      <c r="CF245" s="156"/>
      <c r="CG245" s="156"/>
      <c r="CH245" s="156"/>
      <c r="CI245" s="156" t="s">
        <v>332</v>
      </c>
      <c r="CJ245" s="156"/>
      <c r="CK245" s="156"/>
      <c r="CL245" s="156"/>
      <c r="CM245" s="156"/>
      <c r="CN245" s="156" t="s">
        <v>333</v>
      </c>
      <c r="CO245" s="156"/>
      <c r="CP245" s="156"/>
      <c r="CQ245" s="156"/>
      <c r="CR245" s="156"/>
      <c r="CS245" s="156" t="s">
        <v>334</v>
      </c>
      <c r="CT245" s="156"/>
      <c r="CU245" s="156"/>
      <c r="CV245" s="156"/>
      <c r="CW245" s="156"/>
      <c r="CX245" s="156" t="s">
        <v>335</v>
      </c>
      <c r="CY245" s="156"/>
      <c r="CZ245" s="156"/>
      <c r="DA245" s="156"/>
      <c r="DB245" s="156"/>
      <c r="DC245" s="156" t="s">
        <v>336</v>
      </c>
      <c r="DD245" s="156"/>
      <c r="DE245" s="156"/>
      <c r="DF245" s="156"/>
      <c r="DG245" s="156"/>
      <c r="DH245" s="157" t="s">
        <v>337</v>
      </c>
      <c r="DI245" s="157"/>
      <c r="DJ245" s="157"/>
      <c r="DK245" s="158" t="s">
        <v>338</v>
      </c>
      <c r="DL245" s="158" t="n">
        <v>0</v>
      </c>
      <c r="DM245" s="156" t="s">
        <v>339</v>
      </c>
      <c r="DN245" s="156"/>
      <c r="DO245" s="156"/>
      <c r="DP245" s="156"/>
      <c r="DQ245" s="156"/>
      <c r="DR245" s="156" t="s">
        <v>340</v>
      </c>
      <c r="DS245" s="156"/>
      <c r="DT245" s="156"/>
      <c r="DU245" s="156"/>
      <c r="DV245" s="156"/>
      <c r="DW245" s="156" t="s">
        <v>341</v>
      </c>
      <c r="DX245" s="156"/>
      <c r="DY245" s="156"/>
      <c r="DZ245" s="156"/>
      <c r="EA245" s="156"/>
      <c r="EB245" s="156" t="s">
        <v>342</v>
      </c>
      <c r="EC245" s="156"/>
      <c r="ED245" s="156"/>
      <c r="EE245" s="156"/>
      <c r="EF245" s="156"/>
      <c r="EG245" s="156" t="s">
        <v>343</v>
      </c>
      <c r="EH245" s="156"/>
      <c r="EI245" s="156"/>
      <c r="EJ245" s="156"/>
      <c r="EK245" s="156"/>
      <c r="EL245" s="156" t="s">
        <v>344</v>
      </c>
      <c r="EM245" s="156"/>
      <c r="EN245" s="156"/>
      <c r="EO245" s="156"/>
      <c r="EP245" s="156"/>
      <c r="EQ245" s="156" t="s">
        <v>345</v>
      </c>
      <c r="ER245" s="156"/>
      <c r="ES245" s="156"/>
      <c r="ET245" s="156"/>
      <c r="EU245" s="156"/>
      <c r="EV245" s="156" t="s">
        <v>346</v>
      </c>
      <c r="EW245" s="156"/>
      <c r="EX245" s="156"/>
      <c r="EY245" s="156"/>
      <c r="EZ245" s="156"/>
      <c r="FA245" s="156" t="s">
        <v>347</v>
      </c>
      <c r="FB245" s="156"/>
      <c r="FC245" s="156"/>
      <c r="FD245" s="156"/>
      <c r="FE245" s="156"/>
      <c r="FF245" s="156" t="s">
        <v>348</v>
      </c>
      <c r="FG245" s="156"/>
      <c r="FH245" s="156"/>
      <c r="FI245" s="156"/>
      <c r="FJ245" s="156"/>
      <c r="FK245" s="156" t="s">
        <v>349</v>
      </c>
      <c r="FL245" s="156"/>
      <c r="FM245" s="156"/>
      <c r="FN245" s="156"/>
      <c r="FO245" s="156"/>
      <c r="FP245" s="156" t="s">
        <v>350</v>
      </c>
      <c r="FQ245" s="156"/>
      <c r="FR245" s="156"/>
      <c r="FS245" s="156"/>
      <c r="FT245" s="156"/>
      <c r="FU245" s="156" t="s">
        <v>351</v>
      </c>
      <c r="FV245" s="156"/>
      <c r="FW245" s="156"/>
      <c r="FX245" s="156"/>
      <c r="FY245" s="156"/>
    </row>
    <row r="246" customFormat="false" ht="15" hidden="false" customHeight="false" outlineLevel="0" collapsed="false">
      <c r="A246" s="4"/>
      <c r="B246" s="28" t="s">
        <v>352</v>
      </c>
      <c r="C246" s="28" t="s">
        <v>353</v>
      </c>
      <c r="D246" s="28" t="s">
        <v>354</v>
      </c>
      <c r="E246" s="28" t="s">
        <v>355</v>
      </c>
      <c r="F246" s="28" t="s">
        <v>356</v>
      </c>
      <c r="G246" s="28" t="s">
        <v>352</v>
      </c>
      <c r="H246" s="28" t="s">
        <v>353</v>
      </c>
      <c r="I246" s="28" t="s">
        <v>354</v>
      </c>
      <c r="J246" s="28" t="s">
        <v>355</v>
      </c>
      <c r="K246" s="28" t="s">
        <v>356</v>
      </c>
      <c r="L246" s="28" t="s">
        <v>352</v>
      </c>
      <c r="M246" s="28" t="s">
        <v>353</v>
      </c>
      <c r="N246" s="28" t="s">
        <v>354</v>
      </c>
      <c r="O246" s="28" t="s">
        <v>355</v>
      </c>
      <c r="P246" s="28" t="s">
        <v>356</v>
      </c>
      <c r="Q246" s="28" t="s">
        <v>352</v>
      </c>
      <c r="R246" s="28" t="s">
        <v>353</v>
      </c>
      <c r="S246" s="28" t="s">
        <v>354</v>
      </c>
      <c r="T246" s="28" t="s">
        <v>355</v>
      </c>
      <c r="U246" s="28" t="s">
        <v>356</v>
      </c>
      <c r="V246" s="28" t="s">
        <v>352</v>
      </c>
      <c r="W246" s="28" t="s">
        <v>353</v>
      </c>
      <c r="X246" s="28" t="s">
        <v>354</v>
      </c>
      <c r="Y246" s="28" t="s">
        <v>355</v>
      </c>
      <c r="Z246" s="28" t="s">
        <v>356</v>
      </c>
      <c r="AA246" s="28" t="s">
        <v>352</v>
      </c>
      <c r="AB246" s="28" t="s">
        <v>353</v>
      </c>
      <c r="AC246" s="28" t="s">
        <v>354</v>
      </c>
      <c r="AD246" s="28" t="s">
        <v>355</v>
      </c>
      <c r="AE246" s="28" t="s">
        <v>356</v>
      </c>
      <c r="AF246" s="28" t="s">
        <v>352</v>
      </c>
      <c r="AG246" s="28" t="s">
        <v>353</v>
      </c>
      <c r="AH246" s="28" t="s">
        <v>354</v>
      </c>
      <c r="AI246" s="28" t="s">
        <v>355</v>
      </c>
      <c r="AJ246" s="28" t="s">
        <v>356</v>
      </c>
      <c r="AK246" s="28" t="s">
        <v>352</v>
      </c>
      <c r="AL246" s="28" t="s">
        <v>353</v>
      </c>
      <c r="AM246" s="28" t="s">
        <v>354</v>
      </c>
      <c r="AN246" s="28" t="s">
        <v>355</v>
      </c>
      <c r="AO246" s="28" t="s">
        <v>356</v>
      </c>
      <c r="AP246" s="28" t="s">
        <v>352</v>
      </c>
      <c r="AQ246" s="28" t="s">
        <v>353</v>
      </c>
      <c r="AR246" s="28" t="s">
        <v>354</v>
      </c>
      <c r="AS246" s="28" t="s">
        <v>355</v>
      </c>
      <c r="AT246" s="28" t="s">
        <v>356</v>
      </c>
      <c r="AU246" s="28" t="s">
        <v>352</v>
      </c>
      <c r="AV246" s="28" t="s">
        <v>353</v>
      </c>
      <c r="AW246" s="28" t="s">
        <v>354</v>
      </c>
      <c r="AX246" s="28" t="s">
        <v>355</v>
      </c>
      <c r="AY246" s="28" t="s">
        <v>356</v>
      </c>
      <c r="AZ246" s="28" t="s">
        <v>352</v>
      </c>
      <c r="BA246" s="28" t="s">
        <v>353</v>
      </c>
      <c r="BB246" s="28" t="s">
        <v>354</v>
      </c>
      <c r="BC246" s="28" t="s">
        <v>355</v>
      </c>
      <c r="BD246" s="28" t="s">
        <v>356</v>
      </c>
      <c r="BE246" s="28" t="s">
        <v>352</v>
      </c>
      <c r="BF246" s="28" t="s">
        <v>353</v>
      </c>
      <c r="BG246" s="28" t="s">
        <v>354</v>
      </c>
      <c r="BH246" s="28" t="s">
        <v>355</v>
      </c>
      <c r="BI246" s="28" t="s">
        <v>356</v>
      </c>
      <c r="BJ246" s="28" t="s">
        <v>352</v>
      </c>
      <c r="BK246" s="28" t="s">
        <v>353</v>
      </c>
      <c r="BL246" s="28" t="s">
        <v>354</v>
      </c>
      <c r="BM246" s="28" t="s">
        <v>355</v>
      </c>
      <c r="BN246" s="28" t="s">
        <v>356</v>
      </c>
      <c r="BO246" s="28" t="s">
        <v>352</v>
      </c>
      <c r="BP246" s="28" t="s">
        <v>353</v>
      </c>
      <c r="BQ246" s="28" t="s">
        <v>354</v>
      </c>
      <c r="BR246" s="28" t="s">
        <v>355</v>
      </c>
      <c r="BS246" s="28" t="s">
        <v>356</v>
      </c>
      <c r="BT246" s="28" t="s">
        <v>352</v>
      </c>
      <c r="BU246" s="28" t="s">
        <v>353</v>
      </c>
      <c r="BV246" s="28" t="s">
        <v>354</v>
      </c>
      <c r="BW246" s="28" t="s">
        <v>355</v>
      </c>
      <c r="BX246" s="28" t="s">
        <v>356</v>
      </c>
      <c r="BY246" s="28" t="s">
        <v>352</v>
      </c>
      <c r="BZ246" s="28" t="s">
        <v>353</v>
      </c>
      <c r="CA246" s="28" t="s">
        <v>354</v>
      </c>
      <c r="CB246" s="28" t="s">
        <v>355</v>
      </c>
      <c r="CC246" s="28" t="s">
        <v>356</v>
      </c>
      <c r="CD246" s="28" t="s">
        <v>352</v>
      </c>
      <c r="CE246" s="28" t="s">
        <v>353</v>
      </c>
      <c r="CF246" s="28" t="s">
        <v>354</v>
      </c>
      <c r="CG246" s="28" t="s">
        <v>355</v>
      </c>
      <c r="CH246" s="28" t="s">
        <v>356</v>
      </c>
      <c r="CI246" s="28" t="s">
        <v>352</v>
      </c>
      <c r="CJ246" s="28" t="s">
        <v>353</v>
      </c>
      <c r="CK246" s="28" t="s">
        <v>354</v>
      </c>
      <c r="CL246" s="28" t="s">
        <v>355</v>
      </c>
      <c r="CM246" s="28" t="s">
        <v>356</v>
      </c>
      <c r="CN246" s="28" t="s">
        <v>352</v>
      </c>
      <c r="CO246" s="28" t="s">
        <v>353</v>
      </c>
      <c r="CP246" s="28" t="s">
        <v>354</v>
      </c>
      <c r="CQ246" s="28" t="s">
        <v>355</v>
      </c>
      <c r="CR246" s="28" t="s">
        <v>356</v>
      </c>
      <c r="CS246" s="28" t="s">
        <v>352</v>
      </c>
      <c r="CT246" s="28" t="s">
        <v>353</v>
      </c>
      <c r="CU246" s="28" t="s">
        <v>354</v>
      </c>
      <c r="CV246" s="28" t="s">
        <v>355</v>
      </c>
      <c r="CW246" s="28" t="s">
        <v>356</v>
      </c>
      <c r="CX246" s="28" t="s">
        <v>352</v>
      </c>
      <c r="CY246" s="28" t="s">
        <v>353</v>
      </c>
      <c r="CZ246" s="28" t="s">
        <v>354</v>
      </c>
      <c r="DA246" s="28" t="s">
        <v>355</v>
      </c>
      <c r="DB246" s="28" t="s">
        <v>356</v>
      </c>
      <c r="DC246" s="28" t="s">
        <v>352</v>
      </c>
      <c r="DD246" s="28" t="s">
        <v>353</v>
      </c>
      <c r="DE246" s="28" t="s">
        <v>354</v>
      </c>
      <c r="DF246" s="28" t="s">
        <v>355</v>
      </c>
      <c r="DG246" s="28" t="s">
        <v>356</v>
      </c>
      <c r="DH246" s="131" t="s">
        <v>352</v>
      </c>
      <c r="DI246" s="131" t="s">
        <v>353</v>
      </c>
      <c r="DJ246" s="131" t="s">
        <v>354</v>
      </c>
      <c r="DK246" s="131" t="s">
        <v>355</v>
      </c>
      <c r="DL246" s="28" t="s">
        <v>356</v>
      </c>
      <c r="DM246" s="28" t="s">
        <v>352</v>
      </c>
      <c r="DN246" s="28" t="s">
        <v>353</v>
      </c>
      <c r="DO246" s="28" t="s">
        <v>354</v>
      </c>
      <c r="DP246" s="28" t="s">
        <v>355</v>
      </c>
      <c r="DQ246" s="28" t="s">
        <v>356</v>
      </c>
      <c r="DR246" s="28" t="s">
        <v>352</v>
      </c>
      <c r="DS246" s="28" t="s">
        <v>353</v>
      </c>
      <c r="DT246" s="28" t="s">
        <v>354</v>
      </c>
      <c r="DU246" s="28" t="s">
        <v>355</v>
      </c>
      <c r="DV246" s="28" t="s">
        <v>356</v>
      </c>
      <c r="DW246" s="28" t="s">
        <v>352</v>
      </c>
      <c r="DX246" s="28" t="s">
        <v>353</v>
      </c>
      <c r="DY246" s="28" t="s">
        <v>354</v>
      </c>
      <c r="DZ246" s="28" t="s">
        <v>355</v>
      </c>
      <c r="EA246" s="28" t="s">
        <v>356</v>
      </c>
      <c r="EB246" s="28" t="s">
        <v>352</v>
      </c>
      <c r="EC246" s="28" t="s">
        <v>353</v>
      </c>
      <c r="ED246" s="28" t="s">
        <v>354</v>
      </c>
      <c r="EE246" s="28" t="s">
        <v>355</v>
      </c>
      <c r="EF246" s="28" t="s">
        <v>356</v>
      </c>
      <c r="EG246" s="28" t="s">
        <v>352</v>
      </c>
      <c r="EH246" s="28" t="s">
        <v>353</v>
      </c>
      <c r="EI246" s="28" t="s">
        <v>354</v>
      </c>
      <c r="EJ246" s="28" t="s">
        <v>355</v>
      </c>
      <c r="EK246" s="28" t="s">
        <v>356</v>
      </c>
      <c r="EL246" s="28" t="s">
        <v>352</v>
      </c>
      <c r="EM246" s="28" t="s">
        <v>353</v>
      </c>
      <c r="EN246" s="28" t="s">
        <v>354</v>
      </c>
      <c r="EO246" s="28" t="s">
        <v>355</v>
      </c>
      <c r="EP246" s="28" t="s">
        <v>356</v>
      </c>
      <c r="EQ246" s="28" t="s">
        <v>352</v>
      </c>
      <c r="ER246" s="28" t="s">
        <v>353</v>
      </c>
      <c r="ES246" s="28" t="s">
        <v>354</v>
      </c>
      <c r="ET246" s="28" t="s">
        <v>355</v>
      </c>
      <c r="EU246" s="28" t="s">
        <v>356</v>
      </c>
      <c r="EV246" s="28" t="s">
        <v>352</v>
      </c>
      <c r="EW246" s="28" t="s">
        <v>353</v>
      </c>
      <c r="EX246" s="28" t="s">
        <v>354</v>
      </c>
      <c r="EY246" s="28" t="s">
        <v>355</v>
      </c>
      <c r="EZ246" s="28" t="s">
        <v>356</v>
      </c>
      <c r="FA246" s="28" t="s">
        <v>352</v>
      </c>
      <c r="FB246" s="28" t="s">
        <v>353</v>
      </c>
      <c r="FC246" s="28" t="s">
        <v>354</v>
      </c>
      <c r="FD246" s="28" t="s">
        <v>355</v>
      </c>
      <c r="FE246" s="28" t="s">
        <v>356</v>
      </c>
      <c r="FF246" s="28" t="s">
        <v>352</v>
      </c>
      <c r="FG246" s="28" t="s">
        <v>353</v>
      </c>
      <c r="FH246" s="28" t="s">
        <v>354</v>
      </c>
      <c r="FI246" s="28" t="s">
        <v>355</v>
      </c>
      <c r="FJ246" s="28" t="s">
        <v>356</v>
      </c>
      <c r="FK246" s="28" t="s">
        <v>352</v>
      </c>
      <c r="FL246" s="28" t="s">
        <v>353</v>
      </c>
      <c r="FM246" s="28" t="s">
        <v>354</v>
      </c>
      <c r="FN246" s="28" t="s">
        <v>355</v>
      </c>
      <c r="FO246" s="28" t="s">
        <v>356</v>
      </c>
      <c r="FP246" s="28" t="s">
        <v>352</v>
      </c>
      <c r="FQ246" s="28" t="s">
        <v>353</v>
      </c>
      <c r="FR246" s="28" t="s">
        <v>354</v>
      </c>
      <c r="FS246" s="28" t="s">
        <v>355</v>
      </c>
      <c r="FT246" s="28" t="s">
        <v>356</v>
      </c>
      <c r="FU246" s="28" t="s">
        <v>352</v>
      </c>
      <c r="FV246" s="28" t="s">
        <v>353</v>
      </c>
      <c r="FW246" s="28" t="s">
        <v>354</v>
      </c>
      <c r="FX246" s="28" t="s">
        <v>355</v>
      </c>
      <c r="FY246" s="28" t="s">
        <v>356</v>
      </c>
    </row>
    <row r="247" customFormat="false" ht="16.4" hidden="false" customHeight="false" outlineLevel="0" collapsed="false">
      <c r="A247" s="165" t="s">
        <v>374</v>
      </c>
      <c r="B247" s="27" t="n">
        <v>0.6750516890263</v>
      </c>
      <c r="C247" s="27" t="n">
        <v>0.0510942878679188</v>
      </c>
      <c r="D247" s="27" t="n">
        <v>2.62911863403387</v>
      </c>
      <c r="E247" s="27" t="n">
        <v>0.260234081175191</v>
      </c>
      <c r="F247" s="27" t="n">
        <v>0.254453630249139</v>
      </c>
      <c r="G247" s="27" t="n">
        <v>1.3283417503967</v>
      </c>
      <c r="H247" s="27" t="n">
        <v>0.216619824252217</v>
      </c>
      <c r="I247" s="27" t="n">
        <v>1.19570220906588</v>
      </c>
      <c r="J247" s="27" t="n">
        <v>4.66277570791695</v>
      </c>
      <c r="K247" s="27" t="n">
        <v>1.18704845165241</v>
      </c>
      <c r="L247" s="27" t="n">
        <v>0.411626216911533</v>
      </c>
      <c r="M247" s="27" t="n">
        <v>0.120106306553901</v>
      </c>
      <c r="N247" s="27" t="n">
        <v>0.436954905287924</v>
      </c>
      <c r="O247" s="27" t="n">
        <v>0.333934656077224</v>
      </c>
      <c r="P247" s="27" t="n">
        <v>0.970447618444432</v>
      </c>
      <c r="Q247" s="27" t="n">
        <v>0.702407897351298</v>
      </c>
      <c r="R247" s="27" t="n">
        <v>0.187575496682129</v>
      </c>
      <c r="S247" s="27" t="n">
        <v>0.390441886525578</v>
      </c>
      <c r="T247" s="27" t="n">
        <v>0.233200309534118</v>
      </c>
      <c r="U247" s="27" t="n">
        <v>0.497242912892324</v>
      </c>
      <c r="V247" s="27" t="n">
        <v>0.257570487271157</v>
      </c>
      <c r="W247" s="27" t="n">
        <v>0.0722096977320404</v>
      </c>
      <c r="X247" s="27" t="n">
        <v>0.323739665899489</v>
      </c>
      <c r="Y247" s="27" t="n">
        <v>0.0823960205306156</v>
      </c>
      <c r="Z247" s="27" t="n">
        <v>0.202486877090432</v>
      </c>
      <c r="AA247" s="27" t="n">
        <v>0.677783793231337</v>
      </c>
      <c r="AB247" s="27" t="n">
        <v>0.178755051947868</v>
      </c>
      <c r="AC247" s="27" t="n">
        <v>0.573425420586137</v>
      </c>
      <c r="AD247" s="27" t="n">
        <v>0.246573794513261</v>
      </c>
      <c r="AE247" s="27" t="n">
        <v>1.4033225078919</v>
      </c>
      <c r="AF247" s="27" t="n">
        <v>1.06762092739865</v>
      </c>
      <c r="AG247" s="27" t="n">
        <v>0.270184207174555</v>
      </c>
      <c r="AH247" s="27" t="n">
        <v>0.412706024909926</v>
      </c>
      <c r="AI247" s="27" t="n">
        <v>0.460511324381507</v>
      </c>
      <c r="AJ247" s="27" t="n">
        <v>1.67114614923083</v>
      </c>
      <c r="AK247" s="27" t="n">
        <v>0.706912387002718</v>
      </c>
      <c r="AL247" s="27" t="n">
        <v>0.721964121049831</v>
      </c>
      <c r="AM247" s="27" t="n">
        <v>7.19251400186161</v>
      </c>
      <c r="AN247" s="27" t="n">
        <v>2.0365279736233</v>
      </c>
      <c r="AO247" s="27" t="n">
        <v>0.581302866704845</v>
      </c>
      <c r="AP247" s="27" t="n">
        <v>1.51459974828503</v>
      </c>
      <c r="AQ247" s="27" t="n">
        <v>0.669743068585975</v>
      </c>
      <c r="AR247" s="27" t="n">
        <v>1.14787789861261</v>
      </c>
      <c r="AS247" s="27" t="n">
        <v>1.43936435037349</v>
      </c>
      <c r="AT247" s="27" t="n">
        <v>1.0175599074126</v>
      </c>
      <c r="AU247" s="27" t="n">
        <v>1.73611014300962</v>
      </c>
      <c r="AV247" s="27" t="n">
        <v>0.243921797736897</v>
      </c>
      <c r="AW247" s="27" t="n">
        <v>1.59707255186028</v>
      </c>
      <c r="AX247" s="27" t="n">
        <v>0.988506771535562</v>
      </c>
      <c r="AY247" s="27" t="n">
        <v>2.33995545498264</v>
      </c>
      <c r="AZ247" s="27" t="n">
        <v>1.95197536822884</v>
      </c>
      <c r="BA247" s="27" t="n">
        <v>0.128754834699087</v>
      </c>
      <c r="BB247" s="27" t="n">
        <v>1.78498551045562</v>
      </c>
      <c r="BC247" s="27" t="n">
        <v>1.64611432649006</v>
      </c>
      <c r="BD247" s="27" t="n">
        <v>8.31214949821282</v>
      </c>
      <c r="BE247" s="27" t="n">
        <v>2.19480244602311</v>
      </c>
      <c r="BF247" s="27" t="n">
        <v>0.223249463396342</v>
      </c>
      <c r="BG247" s="27" t="n">
        <v>0.389259710531579</v>
      </c>
      <c r="BH247" s="27" t="n">
        <v>1.12000650774837</v>
      </c>
      <c r="BI247" s="27" t="n">
        <v>2.74096286220382</v>
      </c>
      <c r="BJ247" s="27" t="n">
        <v>0.324095429192924</v>
      </c>
      <c r="BK247" s="27" t="n">
        <v>0.0494909959322901</v>
      </c>
      <c r="BL247" s="27" t="n">
        <v>0.19970663635058</v>
      </c>
      <c r="BM247" s="27" t="n">
        <v>0.122871570331517</v>
      </c>
      <c r="BN247" s="27" t="n">
        <v>0.16728426817746</v>
      </c>
      <c r="BO247" s="27" t="n">
        <v>0.216582423833204</v>
      </c>
      <c r="BP247" s="27" t="n">
        <v>0.019164866737161</v>
      </c>
      <c r="BQ247" s="27" t="n">
        <v>0.161117872047018</v>
      </c>
      <c r="BR247" s="27" t="n">
        <v>0.0696880791985734</v>
      </c>
      <c r="BS247" s="27" t="n">
        <v>0.026689358813394</v>
      </c>
      <c r="BT247" s="27" t="n">
        <v>0.261991508082564</v>
      </c>
      <c r="BU247" s="27" t="n">
        <v>0.049945510007376</v>
      </c>
      <c r="BV247" s="27" t="n">
        <v>0.148610140641578</v>
      </c>
      <c r="BW247" s="27" t="n">
        <v>0.110171715083225</v>
      </c>
      <c r="BX247" s="27" t="n">
        <v>0.0963991095174627</v>
      </c>
      <c r="BY247" s="27" t="n">
        <v>0.817073910627103</v>
      </c>
      <c r="BZ247" s="27" t="n">
        <v>0.195326355095624</v>
      </c>
      <c r="CA247" s="27" t="n">
        <v>1.53687059086135</v>
      </c>
      <c r="CB247" s="27" t="n">
        <v>0.692203406799194</v>
      </c>
      <c r="CC247" s="27" t="n">
        <v>1.04995255922894</v>
      </c>
      <c r="CD247" s="27" t="n">
        <v>2.85747288372126</v>
      </c>
      <c r="CE247" s="27" t="n">
        <v>0.23420824672911</v>
      </c>
      <c r="CF247" s="27" t="n">
        <v>0.479982908595301</v>
      </c>
      <c r="CG247" s="27" t="n">
        <v>2.73119171262086</v>
      </c>
      <c r="CH247" s="27" t="n">
        <v>2.47366288294792</v>
      </c>
      <c r="CI247" s="27" t="n">
        <v>0.104738268920659</v>
      </c>
      <c r="CJ247" s="27" t="n">
        <v>0.00995205666152553</v>
      </c>
      <c r="CK247" s="27" t="n">
        <v>0.667369225996975</v>
      </c>
      <c r="CL247" s="27" t="n">
        <v>0.0637982613667247</v>
      </c>
      <c r="CM247" s="27" t="n">
        <v>0.0933828698886065</v>
      </c>
      <c r="CN247" s="27" t="n">
        <v>0.318072531836175</v>
      </c>
      <c r="CO247" s="27" t="n">
        <v>0.0317373555049949</v>
      </c>
      <c r="CP247" s="27" t="n">
        <v>0.480221006065384</v>
      </c>
      <c r="CQ247" s="27" t="n">
        <v>0.113555332303892</v>
      </c>
      <c r="CR247" s="27" t="n">
        <v>0.0146886167669856</v>
      </c>
      <c r="CS247" s="27" t="n">
        <v>0.199851830456028</v>
      </c>
      <c r="CT247" s="27" t="n">
        <v>0.0397430930281387</v>
      </c>
      <c r="CU247" s="27" t="n">
        <v>0.410682033252801</v>
      </c>
      <c r="CV247" s="27" t="n">
        <v>0.0591093360034018</v>
      </c>
      <c r="CW247" s="27" t="n">
        <v>0.0232669871177717</v>
      </c>
      <c r="CX247" s="27" t="n">
        <v>0.476284967386667</v>
      </c>
      <c r="CY247" s="27" t="n">
        <v>0.0358369539506182</v>
      </c>
      <c r="CZ247" s="27" t="n">
        <v>0.930146671805007</v>
      </c>
      <c r="DA247" s="27" t="n">
        <v>0.177020471261964</v>
      </c>
      <c r="DB247" s="27" t="n">
        <v>0.0194947810052268</v>
      </c>
      <c r="DC247" s="27" t="n">
        <v>0.816234068512467</v>
      </c>
      <c r="DD247" s="27" t="n">
        <v>0.0511994977092531</v>
      </c>
      <c r="DE247" s="27" t="n">
        <v>0.94101911196563</v>
      </c>
      <c r="DF247" s="27" t="n">
        <v>0.405675491520472</v>
      </c>
      <c r="DG247" s="27" t="n">
        <v>0.403935817625079</v>
      </c>
      <c r="DH247" s="27" t="n">
        <v>0.426985238182552</v>
      </c>
      <c r="DI247" s="27" t="n">
        <v>0</v>
      </c>
      <c r="DJ247" s="27" t="n">
        <v>6.03997682472478</v>
      </c>
      <c r="DK247" s="27" t="n">
        <v>1.58529839300859</v>
      </c>
      <c r="DL247" s="27" t="n">
        <v>0.0691376588125263</v>
      </c>
      <c r="DM247" s="27" t="n">
        <v>1.79643577722684E-005</v>
      </c>
      <c r="DN247" s="27" t="n">
        <v>0</v>
      </c>
      <c r="DO247" s="27" t="n">
        <v>23.6284519796705</v>
      </c>
      <c r="DP247" s="27" t="n">
        <v>2.67502700628266E-006</v>
      </c>
      <c r="DQ247" s="27" t="n">
        <v>0.00979235053287537</v>
      </c>
      <c r="DR247" s="27" t="n">
        <v>0</v>
      </c>
      <c r="DS247" s="27" t="n">
        <v>0</v>
      </c>
      <c r="DT247" s="27" t="n">
        <v>25.0856884022442</v>
      </c>
      <c r="DU247" s="27" t="n">
        <v>1.8955822151764E-005</v>
      </c>
      <c r="DV247" s="27" t="n">
        <v>1.49272736667712E-006</v>
      </c>
      <c r="DW247" s="27" t="n">
        <v>0.385387817272461</v>
      </c>
      <c r="DX247" s="27" t="n">
        <v>0.0894167229283429</v>
      </c>
      <c r="DY247" s="27" t="n">
        <v>2.499832934789</v>
      </c>
      <c r="DZ247" s="27" t="n">
        <v>0.104646096355553</v>
      </c>
      <c r="EA247" s="27" t="n">
        <v>0.0358332240499424</v>
      </c>
      <c r="EB247" s="27" t="n">
        <v>0.260025663572746</v>
      </c>
      <c r="EC247" s="27" t="n">
        <v>0.0246470801131046</v>
      </c>
      <c r="ED247" s="27" t="n">
        <v>0.429852686313705</v>
      </c>
      <c r="EE247" s="27" t="n">
        <v>0.195722998339221</v>
      </c>
      <c r="EF247" s="27" t="n">
        <v>0.00632167139261299</v>
      </c>
      <c r="EG247" s="27" t="n">
        <v>0.131409056074476</v>
      </c>
      <c r="EH247" s="27" t="n">
        <v>0.0130423164071394</v>
      </c>
      <c r="EI247" s="27" t="n">
        <v>0.189642374427881</v>
      </c>
      <c r="EJ247" s="27" t="n">
        <v>0.0412757712053878</v>
      </c>
      <c r="EK247" s="27" t="n">
        <v>0.00352348572153754</v>
      </c>
      <c r="EL247" s="27" t="n">
        <v>0.278330462248868</v>
      </c>
      <c r="EM247" s="27" t="n">
        <v>0.0489440774223038</v>
      </c>
      <c r="EN247" s="27" t="n">
        <v>0.0979735380526657</v>
      </c>
      <c r="EO247" s="27" t="n">
        <v>0.0729654632524095</v>
      </c>
      <c r="EP247" s="27" t="n">
        <v>0.0149440203014114</v>
      </c>
      <c r="EQ247" s="27" t="n">
        <v>0.193785812294351</v>
      </c>
      <c r="ER247" s="27" t="n">
        <v>0.0182327483816318</v>
      </c>
      <c r="ES247" s="27" t="n">
        <v>0.512903730388795</v>
      </c>
      <c r="ET247" s="27" t="n">
        <v>0.103563634999209</v>
      </c>
      <c r="EU247" s="27" t="n">
        <v>0.0297555885234137</v>
      </c>
      <c r="EV247" s="27" t="n">
        <v>0.526111382334883</v>
      </c>
      <c r="EW247" s="27" t="n">
        <v>0.0420666807269213</v>
      </c>
      <c r="EX247" s="27" t="n">
        <v>0.839994674858347</v>
      </c>
      <c r="EY247" s="27" t="n">
        <v>0.794258987880708</v>
      </c>
      <c r="EZ247" s="27" t="n">
        <v>0.082128427517319</v>
      </c>
      <c r="FA247" s="27" t="n">
        <v>0.741378349143948</v>
      </c>
      <c r="FB247" s="27" t="n">
        <v>0.0691462477230877</v>
      </c>
      <c r="FC247" s="27" t="n">
        <v>0.850083084793572</v>
      </c>
      <c r="FD247" s="27" t="n">
        <v>0.210821693031492</v>
      </c>
      <c r="FE247" s="27" t="n">
        <v>0.114546005930678</v>
      </c>
      <c r="FF247" s="27" t="n">
        <v>0.392701815730974</v>
      </c>
      <c r="FG247" s="27" t="n">
        <v>0.0392434145450208</v>
      </c>
      <c r="FH247" s="27" t="n">
        <v>0.753856141811599</v>
      </c>
      <c r="FI247" s="27" t="n">
        <v>0.153047089869717</v>
      </c>
      <c r="FJ247" s="27" t="n">
        <v>0.0789741172107411</v>
      </c>
      <c r="FK247" s="27" t="n">
        <v>0.452237169807247</v>
      </c>
      <c r="FL247" s="27" t="n">
        <v>0.0749919850281646</v>
      </c>
      <c r="FM247" s="27" t="n">
        <v>0.927888044563641</v>
      </c>
      <c r="FN247" s="27" t="n">
        <v>0.197406512641192</v>
      </c>
      <c r="FO247" s="27" t="n">
        <v>0.0813764299006377</v>
      </c>
      <c r="FP247" s="27" t="n">
        <v>0</v>
      </c>
      <c r="FQ247" s="27" t="n">
        <v>0</v>
      </c>
      <c r="FR247" s="27" t="n">
        <v>0</v>
      </c>
      <c r="FS247" s="27" t="n">
        <v>0</v>
      </c>
      <c r="FT247" s="27" t="n">
        <v>0</v>
      </c>
      <c r="FU247" s="27" t="n">
        <v>0.668275972558369</v>
      </c>
      <c r="FV247" s="27" t="n">
        <v>0.158901439155964</v>
      </c>
      <c r="FW247" s="27" t="n">
        <v>1.57877870665412</v>
      </c>
      <c r="FX247" s="27" t="n">
        <v>0.690080675387289</v>
      </c>
      <c r="FY247" s="27" t="n">
        <v>1.45256951961667</v>
      </c>
    </row>
    <row r="248" customFormat="false" ht="15" hidden="false" customHeight="false" outlineLevel="0" collapsed="false">
      <c r="A248" s="166" t="s">
        <v>375</v>
      </c>
      <c r="B248" s="166"/>
    </row>
    <row r="249" customFormat="false" ht="31.3" hidden="false" customHeight="false" outlineLevel="0" collapsed="false">
      <c r="A249" s="165" t="s">
        <v>376</v>
      </c>
      <c r="B249" s="27" t="s">
        <v>17</v>
      </c>
      <c r="C249" s="28" t="s">
        <v>376</v>
      </c>
      <c r="D249" s="24"/>
    </row>
    <row r="250" customFormat="false" ht="31.3" hidden="false" customHeight="false" outlineLevel="0" collapsed="false">
      <c r="A250" s="165" t="s">
        <v>377</v>
      </c>
      <c r="B250" s="27" t="s">
        <v>305</v>
      </c>
      <c r="C250" s="168" t="s">
        <v>377</v>
      </c>
      <c r="D250" s="24"/>
    </row>
    <row r="251" customFormat="false" ht="15" hidden="false" customHeight="false" outlineLevel="0" collapsed="false">
      <c r="A251" s="4"/>
    </row>
    <row r="252" customFormat="false" ht="15" hidden="false" customHeight="false" outlineLevel="0" collapsed="false">
      <c r="A252" s="4"/>
    </row>
    <row r="253" customFormat="false" ht="15" hidden="false" customHeight="false" outlineLevel="0" collapsed="false">
      <c r="A253" s="4"/>
    </row>
    <row r="254" customFormat="false" ht="15" hidden="false" customHeight="false" outlineLevel="0" collapsed="false">
      <c r="A254" s="4"/>
    </row>
    <row r="255" customFormat="false" ht="14.25" hidden="false" customHeight="true" outlineLevel="0" collapsed="false">
      <c r="A255" s="169" t="s">
        <v>378</v>
      </c>
      <c r="B255" s="169"/>
      <c r="C255" s="169"/>
      <c r="D255" s="169"/>
      <c r="E255" s="170"/>
      <c r="F255" s="170"/>
    </row>
    <row r="256" customFormat="false" ht="28.5" hidden="false" customHeight="true" outlineLevel="0" collapsed="false">
      <c r="A256" s="171" t="s">
        <v>379</v>
      </c>
      <c r="B256" s="96" t="s">
        <v>380</v>
      </c>
      <c r="C256" s="172"/>
      <c r="D256" s="173"/>
    </row>
    <row r="257" customFormat="false" ht="14.25" hidden="false" customHeight="true" outlineLevel="0" collapsed="false">
      <c r="A257" s="174" t="s">
        <v>381</v>
      </c>
      <c r="B257" s="107" t="s">
        <v>382</v>
      </c>
      <c r="C257" s="47" t="s">
        <v>383</v>
      </c>
      <c r="D257" s="175" t="s">
        <v>384</v>
      </c>
      <c r="E257" s="46" t="s">
        <v>382</v>
      </c>
      <c r="F257" s="47" t="s">
        <v>385</v>
      </c>
    </row>
    <row r="258" customFormat="false" ht="15" hidden="false" customHeight="false" outlineLevel="0" collapsed="false">
      <c r="A258" s="174"/>
      <c r="B258" s="46" t="s">
        <v>386</v>
      </c>
      <c r="C258" s="47"/>
      <c r="D258" s="47"/>
      <c r="E258" s="46" t="s">
        <v>386</v>
      </c>
      <c r="F258" s="47"/>
    </row>
    <row r="259" customFormat="false" ht="15" hidden="false" customHeight="false" outlineLevel="0" collapsed="false">
      <c r="A259" s="174"/>
      <c r="B259" s="46" t="s">
        <v>387</v>
      </c>
      <c r="C259" s="47"/>
      <c r="D259" s="47"/>
      <c r="E259" s="46" t="s">
        <v>387</v>
      </c>
      <c r="F259" s="47"/>
    </row>
    <row r="260" customFormat="false" ht="47.25" hidden="false" customHeight="true" outlineLevel="0" collapsed="false">
      <c r="A260" s="165" t="s">
        <v>388</v>
      </c>
      <c r="B260" s="27" t="s">
        <v>389</v>
      </c>
      <c r="C260" s="176" t="s">
        <v>390</v>
      </c>
      <c r="D260" s="51" t="s">
        <v>391</v>
      </c>
      <c r="E260" s="27" t="s">
        <v>389</v>
      </c>
      <c r="F260" s="176" t="s">
        <v>392</v>
      </c>
    </row>
    <row r="267" customFormat="false" ht="15" hidden="false" customHeight="false" outlineLevel="0" collapsed="false">
      <c r="A267" s="135" t="s">
        <v>393</v>
      </c>
      <c r="B267" s="135"/>
      <c r="C267" s="135"/>
    </row>
    <row r="268" customFormat="false" ht="15" hidden="false" customHeight="false" outlineLevel="0" collapsed="false">
      <c r="A268" s="134" t="s">
        <v>394</v>
      </c>
      <c r="B268" s="27" t="s">
        <v>11</v>
      </c>
      <c r="C268" s="28" t="s">
        <v>395</v>
      </c>
    </row>
    <row r="269" customFormat="false" ht="15" hidden="false" customHeight="false" outlineLevel="0" collapsed="false">
      <c r="A269" s="72"/>
      <c r="B269" s="27"/>
      <c r="C269" s="28"/>
    </row>
    <row r="270" customFormat="false" ht="15" hidden="false" customHeight="false" outlineLevel="0" collapsed="false">
      <c r="A270" s="72" t="s">
        <v>396</v>
      </c>
      <c r="B270" s="27" t="s">
        <v>67</v>
      </c>
      <c r="C270" s="28" t="s">
        <v>397</v>
      </c>
    </row>
    <row r="271" customFormat="false" ht="15" hidden="false" customHeight="false" outlineLevel="0" collapsed="false">
      <c r="A271" s="72" t="s">
        <v>398</v>
      </c>
      <c r="B271" s="27" t="s">
        <v>399</v>
      </c>
      <c r="C271" s="28" t="s">
        <v>400</v>
      </c>
      <c r="D271" s="72" t="s">
        <v>401</v>
      </c>
      <c r="E271" s="1" t="n">
        <v>2020</v>
      </c>
    </row>
    <row r="272" customFormat="false" ht="15" hidden="false" customHeight="false" outlineLevel="0" collapsed="false">
      <c r="A272" s="134"/>
      <c r="B272" s="27"/>
      <c r="C272" s="28"/>
    </row>
    <row r="273" customFormat="false" ht="15" hidden="false" customHeight="false" outlineLevel="0" collapsed="false">
      <c r="A273" s="134"/>
      <c r="B273" s="27"/>
      <c r="C273" s="28"/>
    </row>
    <row r="274" customFormat="false" ht="15" hidden="false" customHeight="false" outlineLevel="0" collapsed="false">
      <c r="A274" s="72" t="s">
        <v>402</v>
      </c>
      <c r="B274" s="27" t="s">
        <v>403</v>
      </c>
      <c r="C274" s="28" t="s">
        <v>404</v>
      </c>
    </row>
    <row r="275" customFormat="false" ht="15" hidden="false" customHeight="false" outlineLevel="0" collapsed="false">
      <c r="A275" s="15" t="s">
        <v>405</v>
      </c>
      <c r="B275" s="27" t="s">
        <v>17</v>
      </c>
      <c r="C275" s="28"/>
    </row>
    <row r="276" customFormat="false" ht="15" hidden="false" customHeight="false" outlineLevel="0" collapsed="false">
      <c r="A276" s="15" t="s">
        <v>406</v>
      </c>
      <c r="B276" s="27" t="s">
        <v>17</v>
      </c>
      <c r="C276" s="28"/>
    </row>
    <row r="281" customFormat="false" ht="15" hidden="false" customHeight="false" outlineLevel="0" collapsed="false">
      <c r="A281" s="177" t="s">
        <v>407</v>
      </c>
      <c r="B281" s="63"/>
      <c r="C281" s="63"/>
      <c r="D281" s="63"/>
      <c r="E281" s="63"/>
      <c r="F281" s="63"/>
    </row>
    <row r="282" customFormat="false" ht="15" hidden="false" customHeight="false" outlineLevel="0" collapsed="false">
      <c r="A282" s="63" t="s">
        <v>408</v>
      </c>
      <c r="B282" s="63"/>
      <c r="C282" s="63"/>
      <c r="D282" s="63"/>
    </row>
    <row r="283" customFormat="false" ht="15" hidden="false" customHeight="false" outlineLevel="0" collapsed="false">
      <c r="A283" s="178" t="s">
        <v>409</v>
      </c>
      <c r="B283" s="178"/>
      <c r="C283" s="178"/>
      <c r="D283" s="179" t="n">
        <v>2</v>
      </c>
    </row>
    <row r="284" customFormat="false" ht="15" hidden="false" customHeight="false" outlineLevel="0" collapsed="false">
      <c r="A284" s="43" t="s">
        <v>410</v>
      </c>
      <c r="B284" s="43"/>
      <c r="C284" s="180"/>
      <c r="D284" s="63"/>
    </row>
    <row r="285" customFormat="false" ht="15" hidden="false" customHeight="false" outlineLevel="0" collapsed="false">
      <c r="A285" s="134" t="s">
        <v>411</v>
      </c>
      <c r="B285" s="179" t="s">
        <v>412</v>
      </c>
    </row>
    <row r="286" customFormat="false" ht="15" hidden="false" customHeight="false" outlineLevel="0" collapsed="false">
      <c r="A286" s="181" t="s">
        <v>413</v>
      </c>
      <c r="B286" s="182" t="s">
        <v>414</v>
      </c>
      <c r="D286" s="133" t="s">
        <v>415</v>
      </c>
      <c r="E286" s="133" t="s">
        <v>416</v>
      </c>
    </row>
    <row r="287" customFormat="false" ht="14.25" hidden="false" customHeight="true" outlineLevel="0" collapsed="false">
      <c r="A287" s="183" t="s">
        <v>417</v>
      </c>
      <c r="B287" s="27" t="s">
        <v>418</v>
      </c>
      <c r="C287" s="27" t="s">
        <v>419</v>
      </c>
      <c r="D287" s="28" t="s">
        <v>420</v>
      </c>
      <c r="E287" s="28" t="s">
        <v>420</v>
      </c>
    </row>
    <row r="288" customFormat="false" ht="15" hidden="false" customHeight="false" outlineLevel="0" collapsed="false">
      <c r="A288" s="183"/>
      <c r="B288" s="27" t="s">
        <v>421</v>
      </c>
      <c r="C288" s="27" t="s">
        <v>419</v>
      </c>
      <c r="D288" s="28" t="s">
        <v>420</v>
      </c>
      <c r="E288" s="28" t="s">
        <v>420</v>
      </c>
    </row>
    <row r="289" customFormat="false" ht="15" hidden="false" customHeight="false" outlineLevel="0" collapsed="false">
      <c r="A289" s="183"/>
      <c r="B289" s="27" t="s">
        <v>422</v>
      </c>
      <c r="C289" s="27" t="s">
        <v>419</v>
      </c>
      <c r="D289" s="28" t="s">
        <v>420</v>
      </c>
      <c r="E289" s="28" t="s">
        <v>420</v>
      </c>
    </row>
    <row r="290" customFormat="false" ht="15" hidden="false" customHeight="false" outlineLevel="0" collapsed="false">
      <c r="A290" s="183"/>
      <c r="B290" s="27" t="s">
        <v>423</v>
      </c>
      <c r="C290" s="27" t="s">
        <v>419</v>
      </c>
      <c r="D290" s="28" t="s">
        <v>420</v>
      </c>
      <c r="E290" s="28" t="s">
        <v>420</v>
      </c>
    </row>
    <row r="291" customFormat="false" ht="15" hidden="false" customHeight="false" outlineLevel="0" collapsed="false">
      <c r="A291" s="183"/>
      <c r="B291" s="27" t="s">
        <v>424</v>
      </c>
      <c r="C291" s="27" t="s">
        <v>419</v>
      </c>
      <c r="D291" s="28" t="s">
        <v>420</v>
      </c>
      <c r="E291" s="28" t="s">
        <v>420</v>
      </c>
    </row>
    <row r="292" customFormat="false" ht="15" hidden="false" customHeight="false" outlineLevel="0" collapsed="false">
      <c r="A292" s="183"/>
      <c r="B292" s="27" t="s">
        <v>425</v>
      </c>
      <c r="C292" s="27" t="s">
        <v>419</v>
      </c>
      <c r="D292" s="28" t="s">
        <v>420</v>
      </c>
      <c r="E292" s="28" t="s">
        <v>420</v>
      </c>
    </row>
    <row r="293" customFormat="false" ht="15" hidden="false" customHeight="false" outlineLevel="0" collapsed="false">
      <c r="A293" s="183"/>
      <c r="B293" s="27" t="s">
        <v>426</v>
      </c>
      <c r="C293" s="27" t="s">
        <v>419</v>
      </c>
      <c r="D293" s="28" t="s">
        <v>420</v>
      </c>
      <c r="E293" s="28" t="s">
        <v>420</v>
      </c>
    </row>
    <row r="294" customFormat="false" ht="15" hidden="false" customHeight="false" outlineLevel="0" collapsed="false">
      <c r="A294" s="183"/>
      <c r="B294" s="27" t="s">
        <v>427</v>
      </c>
      <c r="C294" s="27" t="s">
        <v>419</v>
      </c>
      <c r="D294" s="28" t="s">
        <v>420</v>
      </c>
      <c r="E294" s="28" t="s">
        <v>420</v>
      </c>
    </row>
    <row r="295" customFormat="false" ht="15" hidden="false" customHeight="false" outlineLevel="0" collapsed="false">
      <c r="A295" s="183"/>
      <c r="B295" s="27" t="s">
        <v>428</v>
      </c>
      <c r="C295" s="27" t="s">
        <v>419</v>
      </c>
      <c r="D295" s="28" t="s">
        <v>420</v>
      </c>
      <c r="E295" s="28" t="s">
        <v>420</v>
      </c>
    </row>
    <row r="296" customFormat="false" ht="15" hidden="false" customHeight="false" outlineLevel="0" collapsed="false">
      <c r="A296" s="183"/>
      <c r="B296" s="27" t="s">
        <v>429</v>
      </c>
      <c r="C296" s="27" t="s">
        <v>419</v>
      </c>
      <c r="D296" s="28" t="s">
        <v>420</v>
      </c>
      <c r="E296" s="28" t="s">
        <v>420</v>
      </c>
    </row>
    <row r="297" customFormat="false" ht="15" hidden="false" customHeight="false" outlineLevel="0" collapsed="false">
      <c r="A297" s="183"/>
      <c r="B297" s="27" t="s">
        <v>430</v>
      </c>
      <c r="C297" s="27" t="s">
        <v>419</v>
      </c>
      <c r="D297" s="28" t="s">
        <v>420</v>
      </c>
      <c r="E297" s="28" t="s">
        <v>420</v>
      </c>
    </row>
    <row r="298" customFormat="false" ht="15" hidden="false" customHeight="false" outlineLevel="0" collapsed="false">
      <c r="A298" s="183"/>
      <c r="B298" s="27" t="s">
        <v>431</v>
      </c>
      <c r="C298" s="27" t="s">
        <v>419</v>
      </c>
      <c r="D298" s="28" t="s">
        <v>420</v>
      </c>
      <c r="E298" s="28" t="s">
        <v>420</v>
      </c>
    </row>
    <row r="299" customFormat="false" ht="15" hidden="false" customHeight="false" outlineLevel="0" collapsed="false">
      <c r="A299" s="183"/>
      <c r="B299" s="27" t="s">
        <v>432</v>
      </c>
      <c r="C299" s="27" t="s">
        <v>419</v>
      </c>
      <c r="D299" s="28" t="s">
        <v>420</v>
      </c>
      <c r="E299" s="28" t="s">
        <v>420</v>
      </c>
    </row>
    <row r="300" customFormat="false" ht="15" hidden="false" customHeight="false" outlineLevel="0" collapsed="false">
      <c r="A300" s="183"/>
      <c r="B300" s="27" t="s">
        <v>433</v>
      </c>
      <c r="C300" s="27" t="s">
        <v>419</v>
      </c>
      <c r="D300" s="28" t="s">
        <v>420</v>
      </c>
      <c r="E300" s="28" t="s">
        <v>420</v>
      </c>
    </row>
    <row r="301" customFormat="false" ht="15" hidden="false" customHeight="false" outlineLevel="0" collapsed="false">
      <c r="A301" s="183"/>
      <c r="B301" s="27" t="s">
        <v>434</v>
      </c>
      <c r="C301" s="27" t="s">
        <v>419</v>
      </c>
      <c r="D301" s="28" t="s">
        <v>420</v>
      </c>
      <c r="E301" s="28" t="s">
        <v>420</v>
      </c>
    </row>
    <row r="302" customFormat="false" ht="15" hidden="false" customHeight="false" outlineLevel="0" collapsed="false">
      <c r="A302" s="183"/>
      <c r="B302" s="27" t="s">
        <v>435</v>
      </c>
      <c r="C302" s="27" t="s">
        <v>419</v>
      </c>
      <c r="D302" s="28" t="s">
        <v>420</v>
      </c>
      <c r="E302" s="28" t="s">
        <v>420</v>
      </c>
    </row>
    <row r="303" customFormat="false" ht="15" hidden="false" customHeight="false" outlineLevel="0" collapsed="false">
      <c r="A303" s="183"/>
      <c r="B303" s="27" t="s">
        <v>436</v>
      </c>
      <c r="C303" s="27" t="s">
        <v>419</v>
      </c>
      <c r="D303" s="28" t="s">
        <v>420</v>
      </c>
      <c r="E303" s="28" t="s">
        <v>420</v>
      </c>
    </row>
    <row r="304" customFormat="false" ht="15" hidden="false" customHeight="false" outlineLevel="0" collapsed="false">
      <c r="A304" s="183"/>
      <c r="B304" s="27" t="s">
        <v>437</v>
      </c>
      <c r="C304" s="27" t="s">
        <v>419</v>
      </c>
      <c r="D304" s="28" t="s">
        <v>420</v>
      </c>
      <c r="E304" s="28" t="s">
        <v>420</v>
      </c>
    </row>
    <row r="305" customFormat="false" ht="15" hidden="false" customHeight="false" outlineLevel="0" collapsed="false">
      <c r="A305" s="183"/>
      <c r="B305" s="27" t="s">
        <v>438</v>
      </c>
      <c r="C305" s="27" t="s">
        <v>419</v>
      </c>
      <c r="D305" s="28" t="s">
        <v>420</v>
      </c>
      <c r="E305" s="28" t="s">
        <v>420</v>
      </c>
    </row>
    <row r="306" customFormat="false" ht="15" hidden="false" customHeight="false" outlineLevel="0" collapsed="false">
      <c r="A306" s="43" t="s">
        <v>439</v>
      </c>
      <c r="B306" s="43"/>
      <c r="C306" s="27" t="s">
        <v>419</v>
      </c>
      <c r="D306" s="63"/>
    </row>
    <row r="307" customFormat="false" ht="15" hidden="false" customHeight="false" outlineLevel="0" collapsed="false">
      <c r="A307" s="15" t="s">
        <v>440</v>
      </c>
      <c r="B307" s="19" t="s">
        <v>441</v>
      </c>
      <c r="C307" s="24" t="s">
        <v>442</v>
      </c>
      <c r="D307" s="15" t="s">
        <v>443</v>
      </c>
      <c r="E307" s="27" t="s">
        <v>401</v>
      </c>
      <c r="F307" s="24" t="s">
        <v>444</v>
      </c>
    </row>
    <row r="308" customFormat="false" ht="15" hidden="false" customHeight="false" outlineLevel="0" collapsed="false">
      <c r="A308" s="15" t="s">
        <v>445</v>
      </c>
      <c r="B308" s="19" t="s">
        <v>441</v>
      </c>
      <c r="C308" s="24" t="s">
        <v>446</v>
      </c>
      <c r="D308" s="15" t="s">
        <v>447</v>
      </c>
      <c r="E308" s="27" t="s">
        <v>401</v>
      </c>
      <c r="F308" s="24" t="s">
        <v>448</v>
      </c>
    </row>
    <row r="315" s="63" customFormat="true" ht="15" hidden="false" customHeight="false" outlineLevel="0" collapsed="false">
      <c r="A315" s="177" t="s">
        <v>449</v>
      </c>
    </row>
    <row r="316" s="63" customFormat="true" ht="15" hidden="false" customHeight="false" outlineLevel="0" collapsed="false">
      <c r="A316" s="63" t="s">
        <v>450</v>
      </c>
    </row>
    <row r="317" customFormat="false" ht="14.25" hidden="false" customHeight="true" outlineLevel="0" collapsed="false">
      <c r="A317" s="184" t="s">
        <v>451</v>
      </c>
      <c r="B317" s="185" t="s">
        <v>452</v>
      </c>
      <c r="C317" s="185"/>
      <c r="D317" s="186" t="s">
        <v>153</v>
      </c>
    </row>
    <row r="318" customFormat="false" ht="15" hidden="false" customHeight="false" outlineLevel="0" collapsed="false">
      <c r="A318" s="184"/>
      <c r="B318" s="187" t="s">
        <v>453</v>
      </c>
      <c r="C318" s="187"/>
      <c r="D318" s="186"/>
    </row>
    <row r="319" customFormat="false" ht="15" hidden="false" customHeight="false" outlineLevel="0" collapsed="false">
      <c r="A319" s="184"/>
      <c r="B319" s="185" t="s">
        <v>454</v>
      </c>
      <c r="C319" s="185"/>
      <c r="D319" s="186"/>
      <c r="E319" s="15" t="s">
        <v>455</v>
      </c>
      <c r="F319" s="24" t="s">
        <v>456</v>
      </c>
    </row>
    <row r="320" s="63" customFormat="true" ht="15" hidden="false" customHeight="false" outlineLevel="0" collapsed="false">
      <c r="A320" s="63" t="s">
        <v>457</v>
      </c>
    </row>
    <row r="321" customFormat="false" ht="14.25" hidden="false" customHeight="true" outlineLevel="0" collapsed="false">
      <c r="A321" s="184" t="s">
        <v>458</v>
      </c>
      <c r="B321" s="185" t="s">
        <v>459</v>
      </c>
      <c r="C321" s="185"/>
      <c r="D321" s="186" t="s">
        <v>153</v>
      </c>
    </row>
    <row r="322" customFormat="false" ht="15" hidden="false" customHeight="false" outlineLevel="0" collapsed="false">
      <c r="A322" s="184"/>
      <c r="B322" s="187" t="s">
        <v>460</v>
      </c>
      <c r="C322" s="187"/>
      <c r="D322" s="186"/>
    </row>
    <row r="323" customFormat="false" ht="15" hidden="false" customHeight="false" outlineLevel="0" collapsed="false">
      <c r="A323" s="184"/>
      <c r="B323" s="185" t="s">
        <v>461</v>
      </c>
      <c r="C323" s="185"/>
      <c r="D323" s="186"/>
      <c r="E323" s="15" t="s">
        <v>462</v>
      </c>
      <c r="F323" s="24" t="s">
        <v>456</v>
      </c>
    </row>
    <row r="324" s="63" customFormat="true" ht="15" hidden="false" customHeight="false" outlineLevel="0" collapsed="false">
      <c r="A324" s="63" t="s">
        <v>463</v>
      </c>
    </row>
    <row r="325" customFormat="false" ht="14.25" hidden="false" customHeight="true" outlineLevel="0" collapsed="false">
      <c r="A325" s="184" t="s">
        <v>464</v>
      </c>
      <c r="B325" s="185" t="s">
        <v>452</v>
      </c>
      <c r="C325" s="185"/>
      <c r="D325" s="186" t="s">
        <v>153</v>
      </c>
    </row>
    <row r="326" customFormat="false" ht="15" hidden="false" customHeight="false" outlineLevel="0" collapsed="false">
      <c r="A326" s="184"/>
      <c r="B326" s="187" t="s">
        <v>465</v>
      </c>
      <c r="C326" s="187"/>
      <c r="D326" s="186"/>
    </row>
    <row r="327" customFormat="false" ht="15" hidden="false" customHeight="false" outlineLevel="0" collapsed="false">
      <c r="A327" s="184"/>
      <c r="B327" s="185" t="s">
        <v>466</v>
      </c>
      <c r="C327" s="185"/>
      <c r="D327" s="186"/>
      <c r="E327" s="15" t="s">
        <v>467</v>
      </c>
      <c r="F327" s="24" t="s">
        <v>456</v>
      </c>
    </row>
  </sheetData>
  <mergeCells count="160">
    <mergeCell ref="A4:A7"/>
    <mergeCell ref="B4:B7"/>
    <mergeCell ref="C5:C6"/>
    <mergeCell ref="A9:A12"/>
    <mergeCell ref="B9:B12"/>
    <mergeCell ref="C10:C11"/>
    <mergeCell ref="A19:A22"/>
    <mergeCell ref="B19:C19"/>
    <mergeCell ref="D19:D22"/>
    <mergeCell ref="B20:C20"/>
    <mergeCell ref="B21:C21"/>
    <mergeCell ref="B22:C22"/>
    <mergeCell ref="J32:O32"/>
    <mergeCell ref="J33:O33"/>
    <mergeCell ref="J34:O34"/>
    <mergeCell ref="J35:O35"/>
    <mergeCell ref="J36:O36"/>
    <mergeCell ref="J37:O37"/>
    <mergeCell ref="J38:O38"/>
    <mergeCell ref="A68:A71"/>
    <mergeCell ref="D68:D71"/>
    <mergeCell ref="A72:A75"/>
    <mergeCell ref="D72:D75"/>
    <mergeCell ref="A76:A79"/>
    <mergeCell ref="D76:D79"/>
    <mergeCell ref="A80:A82"/>
    <mergeCell ref="D80:D82"/>
    <mergeCell ref="A84:A87"/>
    <mergeCell ref="D84:D87"/>
    <mergeCell ref="A88:A91"/>
    <mergeCell ref="D88:D91"/>
    <mergeCell ref="A92:A95"/>
    <mergeCell ref="D92:D95"/>
    <mergeCell ref="A96:A98"/>
    <mergeCell ref="D96:D98"/>
    <mergeCell ref="A100:A103"/>
    <mergeCell ref="D100:D103"/>
    <mergeCell ref="A105:A108"/>
    <mergeCell ref="D105:D108"/>
    <mergeCell ref="A115:E115"/>
    <mergeCell ref="C116:E116"/>
    <mergeCell ref="C119:D119"/>
    <mergeCell ref="A122:A123"/>
    <mergeCell ref="D122:D125"/>
    <mergeCell ref="E122:E123"/>
    <mergeCell ref="F122:G123"/>
    <mergeCell ref="A124:A125"/>
    <mergeCell ref="E124:E125"/>
    <mergeCell ref="F124:G125"/>
    <mergeCell ref="A126:A127"/>
    <mergeCell ref="D126:D129"/>
    <mergeCell ref="E126:E127"/>
    <mergeCell ref="F126:G127"/>
    <mergeCell ref="A128:A129"/>
    <mergeCell ref="E128:E129"/>
    <mergeCell ref="F128:G129"/>
    <mergeCell ref="A130:A131"/>
    <mergeCell ref="A194:E194"/>
    <mergeCell ref="A195:A197"/>
    <mergeCell ref="C195:C197"/>
    <mergeCell ref="A198:C198"/>
    <mergeCell ref="B207:F207"/>
    <mergeCell ref="G207:K207"/>
    <mergeCell ref="L207:P207"/>
    <mergeCell ref="Q207:U207"/>
    <mergeCell ref="V207:Z207"/>
    <mergeCell ref="AA207:AE207"/>
    <mergeCell ref="AF207:AJ207"/>
    <mergeCell ref="AK207:AO207"/>
    <mergeCell ref="AP207:AT207"/>
    <mergeCell ref="AU207:AY207"/>
    <mergeCell ref="AZ207:BD207"/>
    <mergeCell ref="BE207:BI207"/>
    <mergeCell ref="BJ207:BN207"/>
    <mergeCell ref="BO207:BS207"/>
    <mergeCell ref="BT207:BX207"/>
    <mergeCell ref="BY207:CC207"/>
    <mergeCell ref="CD207:CH207"/>
    <mergeCell ref="CI207:CM207"/>
    <mergeCell ref="CN207:CR207"/>
    <mergeCell ref="CS207:CW207"/>
    <mergeCell ref="CX207:DB207"/>
    <mergeCell ref="DC207:DG207"/>
    <mergeCell ref="DH207:DJ207"/>
    <mergeCell ref="DM207:DQ207"/>
    <mergeCell ref="DR207:DV207"/>
    <mergeCell ref="DW207:EA207"/>
    <mergeCell ref="EB207:EF207"/>
    <mergeCell ref="EG207:EK207"/>
    <mergeCell ref="EL207:EP207"/>
    <mergeCell ref="EQ207:EU207"/>
    <mergeCell ref="EV207:EZ207"/>
    <mergeCell ref="FA207:FE207"/>
    <mergeCell ref="FF207:FJ207"/>
    <mergeCell ref="FK207:FO207"/>
    <mergeCell ref="FP207:FT207"/>
    <mergeCell ref="FU207:FW207"/>
    <mergeCell ref="B224:F224"/>
    <mergeCell ref="G224:K224"/>
    <mergeCell ref="A241:A242"/>
    <mergeCell ref="C241:C242"/>
    <mergeCell ref="B245:F245"/>
    <mergeCell ref="G245:K245"/>
    <mergeCell ref="L245:P245"/>
    <mergeCell ref="Q245:U245"/>
    <mergeCell ref="V245:Z245"/>
    <mergeCell ref="AA245:AE245"/>
    <mergeCell ref="AF245:AJ245"/>
    <mergeCell ref="AK245:AO245"/>
    <mergeCell ref="AP245:AT245"/>
    <mergeCell ref="AU245:AY245"/>
    <mergeCell ref="AZ245:BD245"/>
    <mergeCell ref="BE245:BI245"/>
    <mergeCell ref="BJ245:BN245"/>
    <mergeCell ref="BO245:BS245"/>
    <mergeCell ref="BT245:BX245"/>
    <mergeCell ref="BY245:CC245"/>
    <mergeCell ref="CD245:CH245"/>
    <mergeCell ref="CI245:CM245"/>
    <mergeCell ref="CN245:CR245"/>
    <mergeCell ref="CS245:CW245"/>
    <mergeCell ref="CX245:DB245"/>
    <mergeCell ref="DC245:DG245"/>
    <mergeCell ref="DH245:DJ245"/>
    <mergeCell ref="DM245:DQ245"/>
    <mergeCell ref="DR245:DV245"/>
    <mergeCell ref="DW245:EA245"/>
    <mergeCell ref="EB245:EF245"/>
    <mergeCell ref="EG245:EK245"/>
    <mergeCell ref="EL245:EP245"/>
    <mergeCell ref="EQ245:EU245"/>
    <mergeCell ref="EV245:EZ245"/>
    <mergeCell ref="FA245:FE245"/>
    <mergeCell ref="FF245:FJ245"/>
    <mergeCell ref="FK245:FO245"/>
    <mergeCell ref="FP245:FT245"/>
    <mergeCell ref="FU245:FY245"/>
    <mergeCell ref="A255:D255"/>
    <mergeCell ref="E255:F255"/>
    <mergeCell ref="A257:A259"/>
    <mergeCell ref="C257:C259"/>
    <mergeCell ref="D257:D259"/>
    <mergeCell ref="F257:F259"/>
    <mergeCell ref="A283:C283"/>
    <mergeCell ref="A287:A305"/>
    <mergeCell ref="A317:A319"/>
    <mergeCell ref="B317:C317"/>
    <mergeCell ref="D317:D319"/>
    <mergeCell ref="B318:C318"/>
    <mergeCell ref="B319:C319"/>
    <mergeCell ref="A321:A323"/>
    <mergeCell ref="B321:C321"/>
    <mergeCell ref="D321:D323"/>
    <mergeCell ref="B322:C322"/>
    <mergeCell ref="B323:C323"/>
    <mergeCell ref="A325:A327"/>
    <mergeCell ref="B325:C325"/>
    <mergeCell ref="D325:D327"/>
    <mergeCell ref="B326:C326"/>
    <mergeCell ref="B327:C327"/>
  </mergeCells>
  <dataValidations count="1">
    <dataValidation allowBlank="true" error="Energy intensity per sector is selected" errorStyle="stop" errorTitle="Error" operator="between" showDropDown="false" showErrorMessage="true" showInputMessage="true" sqref="B227:K238" type="custom">
      <formula1>#ref!=0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FA446"/>
  <sheetViews>
    <sheetView showFormulas="false" showGridLines="true" showRowColHeaders="true" showZeros="true" rightToLeft="false" tabSelected="false" showOutlineSymbols="true" defaultGridColor="true" view="normal" topLeftCell="A351" colorId="64" zoomScale="85" zoomScaleNormal="85" zoomScalePageLayoutView="100" workbookViewId="0">
      <selection pane="topLeft" activeCell="C375" activeCellId="0" sqref="C375"/>
    </sheetView>
  </sheetViews>
  <sheetFormatPr defaultColWidth="11.4296875" defaultRowHeight="15" customHeight="true" zeroHeight="false" outlineLevelRow="0" outlineLevelCol="0"/>
  <cols>
    <col collapsed="false" customWidth="true" hidden="false" outlineLevel="0" max="1" min="1" style="1" width="58.29"/>
    <col collapsed="false" customWidth="true" hidden="false" outlineLevel="0" max="2" min="2" style="1" width="61.86"/>
    <col collapsed="false" customWidth="true" hidden="false" outlineLevel="0" max="3" min="3" style="1" width="52.29"/>
    <col collapsed="false" customWidth="true" hidden="false" outlineLevel="0" max="4" min="4" style="1" width="55.86"/>
    <col collapsed="false" customWidth="true" hidden="false" outlineLevel="0" max="5" min="5" style="1" width="44.29"/>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1" min="11" style="1" width="11.57"/>
    <col collapsed="false" customWidth="true" hidden="false" outlineLevel="0" max="12" min="12" style="1" width="35.43"/>
    <col collapsed="false" customWidth="true" hidden="false" outlineLevel="0" max="61" min="13" style="1" width="11.57"/>
  </cols>
  <sheetData>
    <row r="1" customFormat="false" ht="29.15" hidden="false" customHeight="false" outlineLevel="0" collapsed="false">
      <c r="A1" s="188" t="s">
        <v>468</v>
      </c>
      <c r="B1" s="188"/>
      <c r="C1" s="188"/>
    </row>
    <row r="2" customFormat="false" ht="24.45" hidden="false" customHeight="false" outlineLevel="0" collapsed="false">
      <c r="A2" s="189" t="s">
        <v>469</v>
      </c>
    </row>
    <row r="3" customFormat="false" ht="17.35" hidden="false" customHeight="false" outlineLevel="0" collapsed="false">
      <c r="A3" s="190" t="s">
        <v>25</v>
      </c>
      <c r="B3" s="191"/>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3"/>
    </row>
    <row r="4" customFormat="false" ht="15" hidden="false" customHeight="false" outlineLevel="0" collapsed="false">
      <c r="A4" s="194" t="s">
        <v>470</v>
      </c>
      <c r="B4" s="195" t="s">
        <v>17</v>
      </c>
      <c r="C4" s="196" t="n">
        <v>2015</v>
      </c>
      <c r="D4" s="196" t="n">
        <v>2016</v>
      </c>
      <c r="E4" s="196" t="n">
        <v>2017</v>
      </c>
      <c r="F4" s="196" t="n">
        <v>2018</v>
      </c>
      <c r="G4" s="196" t="n">
        <v>2019</v>
      </c>
      <c r="H4" s="196" t="n">
        <v>2020</v>
      </c>
      <c r="I4" s="196" t="n">
        <v>2021</v>
      </c>
      <c r="J4" s="196" t="n">
        <v>2022</v>
      </c>
      <c r="K4" s="196" t="n">
        <v>2023</v>
      </c>
      <c r="L4" s="196" t="n">
        <v>2024</v>
      </c>
      <c r="M4" s="196" t="n">
        <v>2025</v>
      </c>
      <c r="N4" s="196" t="n">
        <v>2026</v>
      </c>
      <c r="O4" s="196" t="n">
        <v>2027</v>
      </c>
      <c r="P4" s="196" t="n">
        <v>2028</v>
      </c>
      <c r="Q4" s="196" t="n">
        <v>2029</v>
      </c>
      <c r="R4" s="196" t="n">
        <v>2030</v>
      </c>
      <c r="S4" s="196" t="n">
        <v>2031</v>
      </c>
      <c r="T4" s="196" t="n">
        <v>2032</v>
      </c>
      <c r="U4" s="196" t="n">
        <v>2033</v>
      </c>
      <c r="V4" s="196" t="n">
        <v>2034</v>
      </c>
      <c r="W4" s="196" t="n">
        <v>2035</v>
      </c>
      <c r="X4" s="196" t="n">
        <v>2036</v>
      </c>
      <c r="Y4" s="196" t="n">
        <v>2037</v>
      </c>
      <c r="Z4" s="196" t="n">
        <v>2038</v>
      </c>
      <c r="AA4" s="196" t="n">
        <v>2039</v>
      </c>
      <c r="AB4" s="196" t="n">
        <v>2040</v>
      </c>
      <c r="AC4" s="196" t="n">
        <v>2041</v>
      </c>
      <c r="AD4" s="196" t="n">
        <v>2042</v>
      </c>
      <c r="AE4" s="196" t="n">
        <v>2043</v>
      </c>
      <c r="AF4" s="196" t="n">
        <v>2044</v>
      </c>
      <c r="AG4" s="196" t="n">
        <v>2045</v>
      </c>
      <c r="AH4" s="196" t="n">
        <v>2046</v>
      </c>
      <c r="AI4" s="196" t="n">
        <v>2047</v>
      </c>
      <c r="AJ4" s="196" t="n">
        <v>2048</v>
      </c>
      <c r="AK4" s="196" t="n">
        <v>2049</v>
      </c>
      <c r="AL4" s="197" t="n">
        <v>2050</v>
      </c>
    </row>
    <row r="5" customFormat="false" ht="15" hidden="false" customHeight="false" outlineLevel="0" collapsed="false">
      <c r="A5" s="194"/>
      <c r="B5" s="198" t="s">
        <v>305</v>
      </c>
      <c r="C5" s="199" t="n">
        <v>0.0032</v>
      </c>
      <c r="D5" s="199" t="n">
        <v>0.0064</v>
      </c>
      <c r="E5" s="199" t="n">
        <v>0.0063</v>
      </c>
      <c r="F5" s="199" t="n">
        <v>0.01</v>
      </c>
      <c r="G5" s="199" t="n">
        <v>0.0135</v>
      </c>
      <c r="H5" s="199" t="n">
        <v>0.0023</v>
      </c>
      <c r="I5" s="199" t="n">
        <v>0.0015</v>
      </c>
      <c r="J5" s="199" t="n">
        <v>0.0058</v>
      </c>
      <c r="K5" s="199" t="n">
        <v>0.0059</v>
      </c>
      <c r="L5" s="199" t="n">
        <v>0.0058</v>
      </c>
      <c r="M5" s="199" t="n">
        <v>0.0054</v>
      </c>
      <c r="N5" s="199" t="n">
        <v>0.0049</v>
      </c>
      <c r="O5" s="199" t="n">
        <v>0.0046</v>
      </c>
      <c r="P5" s="199" t="n">
        <v>0.0043</v>
      </c>
      <c r="Q5" s="199" t="n">
        <v>0.0041</v>
      </c>
      <c r="R5" s="199" t="n">
        <v>0.0041</v>
      </c>
      <c r="S5" s="199" t="n">
        <v>0.004</v>
      </c>
      <c r="T5" s="199" t="n">
        <v>0.004</v>
      </c>
      <c r="U5" s="199" t="n">
        <v>0.004</v>
      </c>
      <c r="V5" s="199" t="n">
        <v>0.0039</v>
      </c>
      <c r="W5" s="199" t="n">
        <v>0.0039</v>
      </c>
      <c r="X5" s="199" t="n">
        <v>0.0038</v>
      </c>
      <c r="Y5" s="199" t="n">
        <v>0.0037</v>
      </c>
      <c r="Z5" s="199" t="n">
        <v>0.0036</v>
      </c>
      <c r="AA5" s="199" t="n">
        <v>0.0035</v>
      </c>
      <c r="AB5" s="199" t="n">
        <v>0.0033</v>
      </c>
      <c r="AC5" s="199" t="n">
        <v>0.0032</v>
      </c>
      <c r="AD5" s="199" t="n">
        <v>0.003</v>
      </c>
      <c r="AE5" s="199" t="n">
        <v>0.0029</v>
      </c>
      <c r="AF5" s="199" t="n">
        <v>0.0027</v>
      </c>
      <c r="AG5" s="199" t="n">
        <v>0.0025</v>
      </c>
      <c r="AH5" s="199" t="n">
        <v>0.0023</v>
      </c>
      <c r="AI5" s="199" t="n">
        <v>0.0022</v>
      </c>
      <c r="AJ5" s="199" t="n">
        <v>0.002</v>
      </c>
      <c r="AK5" s="199" t="n">
        <v>0.0018</v>
      </c>
      <c r="AL5" s="200" t="n">
        <v>0.0016</v>
      </c>
    </row>
    <row r="7" customFormat="false" ht="17.35" hidden="false" customHeight="false" outlineLevel="0" collapsed="false">
      <c r="A7" s="201" t="s">
        <v>9</v>
      </c>
      <c r="B7" s="201"/>
      <c r="C7" s="201"/>
      <c r="D7" s="201"/>
      <c r="E7" s="201"/>
      <c r="F7" s="201"/>
      <c r="G7" s="201"/>
      <c r="H7" s="201"/>
      <c r="I7" s="201"/>
      <c r="J7" s="201"/>
      <c r="K7" s="201"/>
      <c r="L7" s="201"/>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row>
    <row r="8" customFormat="false" ht="15" hidden="false" customHeight="false" outlineLevel="0" collapsed="false">
      <c r="A8" s="202" t="s">
        <v>471</v>
      </c>
      <c r="B8" s="195" t="s">
        <v>11</v>
      </c>
      <c r="C8" s="196" t="n">
        <v>0.59</v>
      </c>
      <c r="D8" s="203" t="s">
        <v>472</v>
      </c>
      <c r="E8" s="195" t="s">
        <v>11</v>
      </c>
      <c r="F8" s="196" t="n">
        <v>0.41</v>
      </c>
      <c r="G8" s="204"/>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5"/>
    </row>
    <row r="9" customFormat="false" ht="15" hidden="false" customHeight="false" outlineLevel="0" collapsed="false">
      <c r="A9" s="206" t="s">
        <v>473</v>
      </c>
      <c r="B9" s="207" t="s">
        <v>17</v>
      </c>
      <c r="C9" s="208" t="n">
        <v>2015</v>
      </c>
      <c r="D9" s="208" t="n">
        <v>2016</v>
      </c>
      <c r="E9" s="208" t="n">
        <v>2017</v>
      </c>
      <c r="F9" s="208" t="n">
        <v>2018</v>
      </c>
      <c r="G9" s="196" t="n">
        <v>2019</v>
      </c>
      <c r="H9" s="196" t="n">
        <v>2020</v>
      </c>
      <c r="I9" s="196" t="n">
        <v>2021</v>
      </c>
      <c r="J9" s="196" t="n">
        <v>2022</v>
      </c>
      <c r="K9" s="196" t="n">
        <v>2023</v>
      </c>
      <c r="L9" s="196" t="n">
        <v>2024</v>
      </c>
      <c r="M9" s="196" t="n">
        <v>2025</v>
      </c>
      <c r="N9" s="196" t="n">
        <v>2026</v>
      </c>
      <c r="O9" s="196" t="n">
        <v>2027</v>
      </c>
      <c r="P9" s="196" t="n">
        <v>2028</v>
      </c>
      <c r="Q9" s="196" t="n">
        <v>2029</v>
      </c>
      <c r="R9" s="196" t="n">
        <v>2030</v>
      </c>
      <c r="S9" s="196" t="n">
        <v>2031</v>
      </c>
      <c r="T9" s="196" t="n">
        <v>2032</v>
      </c>
      <c r="U9" s="196" t="n">
        <v>2033</v>
      </c>
      <c r="V9" s="196" t="n">
        <v>2034</v>
      </c>
      <c r="W9" s="196" t="n">
        <v>2035</v>
      </c>
      <c r="X9" s="196" t="n">
        <v>2036</v>
      </c>
      <c r="Y9" s="196" t="n">
        <v>2037</v>
      </c>
      <c r="Z9" s="196" t="n">
        <v>2038</v>
      </c>
      <c r="AA9" s="196" t="n">
        <v>2039</v>
      </c>
      <c r="AB9" s="196" t="n">
        <v>2040</v>
      </c>
      <c r="AC9" s="196" t="n">
        <v>2041</v>
      </c>
      <c r="AD9" s="196" t="n">
        <v>2042</v>
      </c>
      <c r="AE9" s="196" t="n">
        <v>2043</v>
      </c>
      <c r="AF9" s="196" t="n">
        <v>2044</v>
      </c>
      <c r="AG9" s="196" t="n">
        <v>2045</v>
      </c>
      <c r="AH9" s="196" t="n">
        <v>2046</v>
      </c>
      <c r="AI9" s="196" t="n">
        <v>2047</v>
      </c>
      <c r="AJ9" s="196" t="n">
        <v>2048</v>
      </c>
      <c r="AK9" s="196" t="n">
        <v>2049</v>
      </c>
      <c r="AL9" s="197" t="n">
        <v>2050</v>
      </c>
    </row>
    <row r="10" customFormat="false" ht="16.4" hidden="false" customHeight="false" outlineLevel="0" collapsed="false">
      <c r="A10" s="206"/>
      <c r="B10" s="209" t="s">
        <v>305</v>
      </c>
      <c r="C10" s="210" t="n">
        <v>0.04217453291</v>
      </c>
      <c r="D10" s="210" t="n">
        <v>0.03604268091</v>
      </c>
      <c r="E10" s="210" t="n">
        <v>0.03686781257</v>
      </c>
      <c r="F10" s="210" t="n">
        <v>0.03562459637</v>
      </c>
      <c r="G10" s="210" t="n">
        <v>0.02499688833</v>
      </c>
      <c r="H10" s="210" t="n">
        <v>-0.1118011551</v>
      </c>
      <c r="I10" s="210" t="n">
        <v>0.08237342643</v>
      </c>
      <c r="J10" s="211" t="n">
        <v>0.011</v>
      </c>
      <c r="K10" s="211" t="n">
        <v>0.011</v>
      </c>
      <c r="L10" s="211" t="n">
        <v>0.011</v>
      </c>
      <c r="M10" s="211" t="n">
        <v>0.011</v>
      </c>
      <c r="N10" s="211" t="n">
        <v>0.011</v>
      </c>
      <c r="O10" s="211" t="n">
        <v>0.011</v>
      </c>
      <c r="P10" s="211" t="n">
        <v>0.011</v>
      </c>
      <c r="Q10" s="211" t="n">
        <v>0.011</v>
      </c>
      <c r="R10" s="211" t="n">
        <v>0.011</v>
      </c>
      <c r="S10" s="211"/>
      <c r="T10" s="211"/>
      <c r="U10" s="211"/>
      <c r="V10" s="211"/>
      <c r="W10" s="211"/>
      <c r="X10" s="211"/>
      <c r="Y10" s="211"/>
      <c r="Z10" s="211"/>
      <c r="AA10" s="211"/>
      <c r="AB10" s="211"/>
      <c r="AC10" s="211" t="n">
        <v>0</v>
      </c>
      <c r="AD10" s="211"/>
      <c r="AE10" s="211"/>
      <c r="AF10" s="211"/>
      <c r="AG10" s="211"/>
      <c r="AH10" s="211"/>
      <c r="AI10" s="211"/>
      <c r="AJ10" s="211"/>
      <c r="AK10" s="211" t="n">
        <v>0</v>
      </c>
      <c r="AL10" s="211" t="n">
        <v>0</v>
      </c>
    </row>
    <row r="13" customFormat="false" ht="24.45" hidden="false" customHeight="false" outlineLevel="0" collapsed="false">
      <c r="A13" s="189" t="s">
        <v>474</v>
      </c>
    </row>
    <row r="14" customFormat="false" ht="17.35" hidden="false" customHeight="false" outlineLevel="0" collapsed="false">
      <c r="A14" s="212" t="s">
        <v>70</v>
      </c>
      <c r="B14" s="212"/>
      <c r="C14" s="212"/>
      <c r="D14" s="212"/>
      <c r="E14" s="212"/>
      <c r="F14" s="212"/>
      <c r="G14" s="212"/>
      <c r="H14" s="212"/>
      <c r="I14" s="212"/>
    </row>
    <row r="15" customFormat="false" ht="15" hidden="false" customHeight="false" outlineLevel="0" collapsed="false">
      <c r="A15" s="213" t="s">
        <v>475</v>
      </c>
      <c r="B15" s="195" t="s">
        <v>17</v>
      </c>
      <c r="C15" s="208" t="n">
        <v>2020</v>
      </c>
      <c r="D15" s="208" t="n">
        <v>2025</v>
      </c>
      <c r="E15" s="214" t="n">
        <v>2030</v>
      </c>
      <c r="F15" s="214" t="n">
        <v>2035</v>
      </c>
      <c r="G15" s="214" t="n">
        <v>2040</v>
      </c>
      <c r="H15" s="214" t="n">
        <v>2045</v>
      </c>
      <c r="I15" s="215" t="n">
        <v>2050</v>
      </c>
    </row>
    <row r="16" customFormat="false" ht="15" hidden="false" customHeight="false" outlineLevel="0" collapsed="false">
      <c r="A16" s="213" t="s">
        <v>476</v>
      </c>
      <c r="B16" s="195" t="s">
        <v>477</v>
      </c>
      <c r="C16" s="196" t="n">
        <v>0.001825599</v>
      </c>
      <c r="D16" s="196" t="n">
        <v>0.001825703</v>
      </c>
      <c r="E16" s="196" t="n">
        <v>0.001825808</v>
      </c>
      <c r="F16" s="196" t="n">
        <v>0.001825808</v>
      </c>
      <c r="G16" s="196" t="n">
        <v>0.001825808</v>
      </c>
      <c r="H16" s="196" t="n">
        <v>0.001825808</v>
      </c>
      <c r="I16" s="197" t="n">
        <v>0.001825808</v>
      </c>
    </row>
    <row r="17" customFormat="false" ht="15" hidden="false" customHeight="false" outlineLevel="0" collapsed="false">
      <c r="A17" s="213" t="s">
        <v>478</v>
      </c>
      <c r="B17" s="195" t="s">
        <v>477</v>
      </c>
      <c r="C17" s="196" t="n">
        <v>0</v>
      </c>
      <c r="D17" s="196" t="n">
        <v>0</v>
      </c>
      <c r="E17" s="196" t="n">
        <v>0</v>
      </c>
      <c r="F17" s="196" t="n">
        <v>0</v>
      </c>
      <c r="G17" s="196" t="n">
        <v>0</v>
      </c>
      <c r="H17" s="196" t="n">
        <v>0</v>
      </c>
      <c r="I17" s="216" t="n">
        <v>0</v>
      </c>
    </row>
    <row r="18" customFormat="false" ht="15" hidden="false" customHeight="false" outlineLevel="0" collapsed="false">
      <c r="A18" s="213" t="s">
        <v>479</v>
      </c>
      <c r="B18" s="195" t="s">
        <v>477</v>
      </c>
      <c r="C18" s="196" t="n">
        <v>3.99E-006</v>
      </c>
      <c r="D18" s="196" t="n">
        <v>3.99E-006</v>
      </c>
      <c r="E18" s="196" t="n">
        <v>3.99E-006</v>
      </c>
      <c r="F18" s="196" t="n">
        <v>3.99E-006</v>
      </c>
      <c r="G18" s="196" t="n">
        <v>3.99E-006</v>
      </c>
      <c r="H18" s="196" t="n">
        <v>0</v>
      </c>
      <c r="I18" s="197" t="n">
        <v>0</v>
      </c>
    </row>
    <row r="19" customFormat="false" ht="15" hidden="false" customHeight="false" outlineLevel="0" collapsed="false">
      <c r="A19" s="213" t="s">
        <v>480</v>
      </c>
      <c r="B19" s="195" t="s">
        <v>477</v>
      </c>
      <c r="C19" s="196" t="n">
        <v>0</v>
      </c>
      <c r="D19" s="196" t="n">
        <v>0</v>
      </c>
      <c r="E19" s="196" t="n">
        <v>0</v>
      </c>
      <c r="F19" s="196" t="n">
        <v>0</v>
      </c>
      <c r="G19" s="196" t="n">
        <v>0</v>
      </c>
      <c r="H19" s="196" t="n">
        <v>0</v>
      </c>
      <c r="I19" s="216" t="n">
        <v>0</v>
      </c>
    </row>
    <row r="20" customFormat="false" ht="15" hidden="false" customHeight="false" outlineLevel="0" collapsed="false">
      <c r="A20" s="213" t="s">
        <v>481</v>
      </c>
      <c r="B20" s="195" t="s">
        <v>477</v>
      </c>
      <c r="C20" s="196" t="n">
        <v>0.0012709</v>
      </c>
      <c r="D20" s="196" t="n">
        <v>0.00268524018310441</v>
      </c>
      <c r="E20" s="196" t="n">
        <v>0.00523420320809977</v>
      </c>
      <c r="F20" s="196" t="n">
        <v>0.012195271</v>
      </c>
      <c r="G20" s="196" t="n">
        <v>0.016939</v>
      </c>
      <c r="H20" s="196" t="n">
        <v>0.02058591</v>
      </c>
      <c r="I20" s="216" t="n">
        <v>0.023136</v>
      </c>
    </row>
    <row r="21" customFormat="false" ht="15" hidden="false" customHeight="false" outlineLevel="0" collapsed="false">
      <c r="A21" s="213" t="s">
        <v>482</v>
      </c>
      <c r="B21" s="195" t="s">
        <v>477</v>
      </c>
      <c r="C21" s="196" t="n">
        <v>0.000230769</v>
      </c>
      <c r="D21" s="196" t="n">
        <v>0.000445522316895543</v>
      </c>
      <c r="E21" s="196" t="n">
        <v>0.000999996791900182</v>
      </c>
      <c r="F21" s="196" t="n">
        <v>0.0015</v>
      </c>
      <c r="G21" s="196" t="n">
        <v>0.0015</v>
      </c>
      <c r="H21" s="196" t="n">
        <v>0.0035</v>
      </c>
      <c r="I21" s="216" t="n">
        <v>0.0035</v>
      </c>
    </row>
    <row r="22" customFormat="false" ht="15" hidden="false" customHeight="false" outlineLevel="0" collapsed="false">
      <c r="A22" s="213" t="s">
        <v>483</v>
      </c>
      <c r="B22" s="195" t="s">
        <v>477</v>
      </c>
      <c r="C22" s="196" t="n">
        <v>0.0003523</v>
      </c>
      <c r="D22" s="196" t="n">
        <v>0.0027874375</v>
      </c>
      <c r="E22" s="196" t="n">
        <v>0.0071565</v>
      </c>
      <c r="F22" s="196" t="n">
        <v>0.015609903</v>
      </c>
      <c r="G22" s="196" t="n">
        <v>0.02243145</v>
      </c>
      <c r="H22" s="196" t="n">
        <v>0.028250311</v>
      </c>
      <c r="I22" s="216" t="n">
        <v>0.03315265</v>
      </c>
    </row>
    <row r="23" customFormat="false" ht="15" hidden="false" customHeight="false" outlineLevel="0" collapsed="false">
      <c r="A23" s="213" t="s">
        <v>484</v>
      </c>
      <c r="B23" s="195" t="s">
        <v>477</v>
      </c>
      <c r="C23" s="196" t="n">
        <v>2.429E-005</v>
      </c>
      <c r="D23" s="196" t="n">
        <v>2.429E-005</v>
      </c>
      <c r="E23" s="196" t="n">
        <v>2.429E-005</v>
      </c>
      <c r="F23" s="196" t="n">
        <v>4.999E-005</v>
      </c>
      <c r="G23" s="196" t="n">
        <v>4.999E-005</v>
      </c>
      <c r="H23" s="196" t="n">
        <v>4.999E-005</v>
      </c>
      <c r="I23" s="216" t="n">
        <v>4.999E-005</v>
      </c>
    </row>
    <row r="24" customFormat="false" ht="15" hidden="false" customHeight="false" outlineLevel="0" collapsed="false">
      <c r="A24" s="213" t="s">
        <v>485</v>
      </c>
      <c r="B24" s="195" t="s">
        <v>477</v>
      </c>
      <c r="C24" s="196" t="n">
        <v>0.000880154</v>
      </c>
      <c r="D24" s="196" t="n">
        <v>0.001457077</v>
      </c>
      <c r="E24" s="196" t="n">
        <v>0.002034</v>
      </c>
      <c r="F24" s="217" t="n">
        <v>0.002034</v>
      </c>
      <c r="G24" s="217" t="n">
        <v>0.003534</v>
      </c>
      <c r="H24" s="217" t="n">
        <v>0.003734</v>
      </c>
      <c r="I24" s="218" t="n">
        <v>0.003734</v>
      </c>
    </row>
    <row r="25" customFormat="false" ht="15" hidden="false" customHeight="false" outlineLevel="0" collapsed="false">
      <c r="A25" s="219" t="s">
        <v>486</v>
      </c>
      <c r="B25" s="220" t="s">
        <v>305</v>
      </c>
      <c r="C25" s="210" t="n">
        <v>0.002</v>
      </c>
      <c r="D25" s="210" t="n">
        <v>0.045</v>
      </c>
      <c r="E25" s="210" t="n">
        <v>0.08</v>
      </c>
      <c r="F25" s="210" t="n">
        <v>0.1</v>
      </c>
      <c r="G25" s="210" t="n">
        <v>0.15</v>
      </c>
      <c r="H25" s="210" t="n">
        <v>0.15</v>
      </c>
      <c r="I25" s="210" t="n">
        <v>0.15</v>
      </c>
    </row>
    <row r="26" customFormat="false" ht="15" hidden="false" customHeight="false" outlineLevel="0" collapsed="false">
      <c r="A26" s="219" t="s">
        <v>487</v>
      </c>
      <c r="B26" s="198" t="s">
        <v>305</v>
      </c>
      <c r="C26" s="210" t="n">
        <v>0.02</v>
      </c>
      <c r="D26" s="210" t="n">
        <v>0.02</v>
      </c>
      <c r="E26" s="210" t="n">
        <v>0.02</v>
      </c>
      <c r="F26" s="210" t="n">
        <v>0.02</v>
      </c>
      <c r="G26" s="210" t="n">
        <v>0.02</v>
      </c>
      <c r="H26" s="210" t="n">
        <v>0.02</v>
      </c>
      <c r="I26" s="210" t="n">
        <v>0.02</v>
      </c>
    </row>
    <row r="27" customFormat="false" ht="15" hidden="false" customHeight="false" outlineLevel="0" collapsed="false">
      <c r="A27" s="221"/>
      <c r="D27" s="222"/>
      <c r="E27" s="222"/>
    </row>
    <row r="28" customFormat="false" ht="17.35" hidden="false" customHeight="false" outlineLevel="0" collapsed="false">
      <c r="A28" s="212" t="s">
        <v>107</v>
      </c>
      <c r="B28" s="212"/>
      <c r="C28" s="212"/>
    </row>
    <row r="29" customFormat="false" ht="15" hidden="false" customHeight="false" outlineLevel="0" collapsed="false">
      <c r="A29" s="223" t="s">
        <v>488</v>
      </c>
      <c r="B29" s="223"/>
      <c r="C29" s="223"/>
    </row>
    <row r="30" customFormat="false" ht="15" hidden="false" customHeight="false" outlineLevel="0" collapsed="false">
      <c r="A30" s="213" t="s">
        <v>489</v>
      </c>
      <c r="B30" s="195" t="s">
        <v>490</v>
      </c>
      <c r="C30" s="224" t="n">
        <v>0.4</v>
      </c>
    </row>
    <row r="31" customFormat="false" ht="15" hidden="false" customHeight="false" outlineLevel="0" collapsed="false">
      <c r="A31" s="213" t="s">
        <v>491</v>
      </c>
      <c r="B31" s="195" t="s">
        <v>17</v>
      </c>
      <c r="C31" s="197" t="n">
        <v>2025</v>
      </c>
      <c r="D31" s="1" t="s">
        <v>492</v>
      </c>
    </row>
    <row r="32" customFormat="false" ht="15" hidden="false" customHeight="false" outlineLevel="0" collapsed="false">
      <c r="A32" s="213" t="s">
        <v>493</v>
      </c>
      <c r="B32" s="195" t="s">
        <v>490</v>
      </c>
      <c r="C32" s="225" t="n">
        <v>0.4</v>
      </c>
    </row>
    <row r="33" customFormat="false" ht="15" hidden="false" customHeight="false" outlineLevel="0" collapsed="false">
      <c r="A33" s="223" t="s">
        <v>494</v>
      </c>
      <c r="B33" s="223"/>
      <c r="C33" s="223"/>
    </row>
    <row r="34" customFormat="false" ht="15" hidden="false" customHeight="false" outlineLevel="0" collapsed="false">
      <c r="A34" s="219" t="s">
        <v>495</v>
      </c>
      <c r="B34" s="220" t="s">
        <v>17</v>
      </c>
      <c r="C34" s="226" t="n">
        <v>2020</v>
      </c>
    </row>
    <row r="35" customFormat="false" ht="15" hidden="false" customHeight="false" outlineLevel="0" collapsed="false">
      <c r="A35" s="227" t="s">
        <v>496</v>
      </c>
      <c r="B35" s="228" t="s">
        <v>124</v>
      </c>
      <c r="C35" s="229" t="n">
        <v>0.05</v>
      </c>
      <c r="D35" s="230" t="n">
        <v>0.05</v>
      </c>
      <c r="E35" s="230" t="n">
        <v>0.05</v>
      </c>
      <c r="F35" s="230" t="n">
        <v>0.05</v>
      </c>
      <c r="G35" s="230" t="n">
        <v>0.05</v>
      </c>
      <c r="H35" s="230" t="n">
        <v>0.05</v>
      </c>
      <c r="I35" s="229" t="n">
        <v>0.05</v>
      </c>
    </row>
    <row r="36" customFormat="false" ht="15" hidden="false" customHeight="false" outlineLevel="0" collapsed="false">
      <c r="A36" s="213" t="s">
        <v>497</v>
      </c>
      <c r="B36" s="195" t="s">
        <v>11</v>
      </c>
      <c r="C36" s="224" t="n">
        <v>0.25</v>
      </c>
      <c r="D36" s="231" t="n">
        <v>0.25</v>
      </c>
      <c r="E36" s="231" t="n">
        <v>0.25</v>
      </c>
      <c r="F36" s="231" t="n">
        <v>0.25</v>
      </c>
      <c r="G36" s="231" t="n">
        <v>0.25</v>
      </c>
      <c r="H36" s="231" t="n">
        <v>0.25</v>
      </c>
      <c r="I36" s="224" t="n">
        <v>0.25</v>
      </c>
    </row>
    <row r="37" customFormat="false" ht="15" hidden="false" customHeight="false" outlineLevel="0" collapsed="false">
      <c r="A37" s="232" t="s">
        <v>498</v>
      </c>
      <c r="B37" s="198" t="s">
        <v>124</v>
      </c>
      <c r="C37" s="233" t="n">
        <v>0.008394534</v>
      </c>
      <c r="D37" s="234" t="n">
        <v>0.008876016</v>
      </c>
      <c r="E37" s="234" t="n">
        <v>0.008876016</v>
      </c>
      <c r="F37" s="234" t="n">
        <v>0.008876016</v>
      </c>
      <c r="G37" s="234" t="n">
        <v>0.008876016</v>
      </c>
      <c r="H37" s="234" t="n">
        <v>0.008876016</v>
      </c>
      <c r="I37" s="233" t="n">
        <v>0.008876016</v>
      </c>
    </row>
    <row r="38" customFormat="false" ht="15" hidden="false" customHeight="false" outlineLevel="0" collapsed="false">
      <c r="A38" s="235"/>
      <c r="B38" s="235"/>
      <c r="C38" s="235"/>
    </row>
    <row r="39" customFormat="false" ht="15" hidden="false" customHeight="false" outlineLevel="0" collapsed="false">
      <c r="A39" s="213" t="s">
        <v>499</v>
      </c>
      <c r="B39" s="195" t="s">
        <v>17</v>
      </c>
      <c r="C39" s="197" t="n">
        <v>2020</v>
      </c>
    </row>
    <row r="40" customFormat="false" ht="15" hidden="false" customHeight="false" outlineLevel="0" collapsed="false">
      <c r="A40" s="213" t="s">
        <v>500</v>
      </c>
      <c r="B40" s="195" t="s">
        <v>490</v>
      </c>
      <c r="C40" s="236" t="n">
        <v>0.04</v>
      </c>
    </row>
    <row r="41" customFormat="false" ht="15" hidden="false" customHeight="false" outlineLevel="0" collapsed="false">
      <c r="A41" s="223" t="s">
        <v>121</v>
      </c>
      <c r="B41" s="223"/>
      <c r="C41" s="223"/>
    </row>
    <row r="42" customFormat="false" ht="15" hidden="false" customHeight="false" outlineLevel="0" collapsed="false">
      <c r="A42" s="232" t="s">
        <v>128</v>
      </c>
      <c r="B42" s="198" t="s">
        <v>490</v>
      </c>
      <c r="C42" s="237" t="n">
        <v>0.13</v>
      </c>
    </row>
    <row r="43" customFormat="false" ht="15" hidden="false" customHeight="false" outlineLevel="0" collapsed="false">
      <c r="A43" s="238"/>
      <c r="B43" s="108"/>
      <c r="C43" s="239"/>
    </row>
    <row r="44" customFormat="false" ht="17.35" hidden="false" customHeight="false" outlineLevel="0" collapsed="false">
      <c r="A44" s="240" t="s">
        <v>122</v>
      </c>
      <c r="B44" s="240"/>
      <c r="C44" s="240"/>
      <c r="D44" s="75"/>
      <c r="E44" s="75"/>
      <c r="F44" s="75"/>
    </row>
    <row r="45" customFormat="false" ht="15" hidden="false" customHeight="false" outlineLevel="0" collapsed="false">
      <c r="A45" s="232" t="s">
        <v>129</v>
      </c>
      <c r="B45" s="198" t="s">
        <v>490</v>
      </c>
      <c r="C45" s="237" t="n">
        <v>0.078</v>
      </c>
      <c r="D45" s="39"/>
      <c r="E45" s="75"/>
      <c r="F45" s="75"/>
    </row>
    <row r="46" customFormat="false" ht="15" hidden="false" customHeight="false" outlineLevel="0" collapsed="false">
      <c r="A46" s="75"/>
      <c r="B46" s="75"/>
      <c r="C46" s="75"/>
      <c r="D46" s="75"/>
      <c r="E46" s="75"/>
      <c r="F46" s="75"/>
    </row>
    <row r="47" customFormat="false" ht="17.35" hidden="false" customHeight="false" outlineLevel="0" collapsed="false">
      <c r="A47" s="212" t="s">
        <v>135</v>
      </c>
      <c r="B47" s="212"/>
      <c r="C47" s="212"/>
    </row>
    <row r="48" customFormat="false" ht="15" hidden="false" customHeight="false" outlineLevel="0" collapsed="false">
      <c r="A48" s="213" t="s">
        <v>136</v>
      </c>
      <c r="B48" s="195" t="s">
        <v>17</v>
      </c>
      <c r="C48" s="215" t="n">
        <v>2017</v>
      </c>
    </row>
    <row r="49" customFormat="false" ht="15" hidden="false" customHeight="false" outlineLevel="0" collapsed="false">
      <c r="A49" s="213" t="s">
        <v>138</v>
      </c>
      <c r="B49" s="195" t="s">
        <v>17</v>
      </c>
      <c r="C49" s="197" t="n">
        <v>2050</v>
      </c>
      <c r="D49" s="75"/>
    </row>
    <row r="50" customFormat="false" ht="15" hidden="false" customHeight="false" outlineLevel="0" collapsed="false">
      <c r="A50" s="213" t="s">
        <v>501</v>
      </c>
      <c r="B50" s="195" t="s">
        <v>490</v>
      </c>
      <c r="C50" s="225" t="n">
        <v>0.026</v>
      </c>
      <c r="D50" s="75"/>
    </row>
    <row r="51" customFormat="false" ht="15" hidden="false" customHeight="false" outlineLevel="0" collapsed="false">
      <c r="A51" s="213" t="s">
        <v>502</v>
      </c>
      <c r="B51" s="195" t="s">
        <v>490</v>
      </c>
      <c r="C51" s="225" t="n">
        <v>0</v>
      </c>
      <c r="D51" s="75"/>
      <c r="E51" s="75"/>
      <c r="F51" s="75"/>
    </row>
    <row r="52" customFormat="false" ht="15" hidden="false" customHeight="false" outlineLevel="0" collapsed="false">
      <c r="A52" s="232" t="s">
        <v>503</v>
      </c>
      <c r="B52" s="198" t="s">
        <v>490</v>
      </c>
      <c r="C52" s="241" t="n">
        <v>0.012</v>
      </c>
      <c r="D52" s="75"/>
      <c r="E52" s="75"/>
      <c r="F52" s="75"/>
    </row>
    <row r="53" customFormat="false" ht="15" hidden="false" customHeight="false" outlineLevel="0" collapsed="false">
      <c r="A53" s="75"/>
      <c r="B53" s="75"/>
      <c r="C53" s="75"/>
      <c r="D53" s="75"/>
      <c r="E53" s="75"/>
      <c r="F53" s="75"/>
    </row>
    <row r="54" customFormat="false" ht="15" hidden="false" customHeight="false" outlineLevel="0" collapsed="false">
      <c r="A54" s="75"/>
      <c r="B54" s="75"/>
      <c r="C54" s="75"/>
      <c r="D54" s="75"/>
      <c r="E54" s="75"/>
      <c r="F54" s="75"/>
    </row>
    <row r="55" customFormat="false" ht="24.45" hidden="false" customHeight="false" outlineLevel="0" collapsed="false">
      <c r="A55" s="189" t="s">
        <v>504</v>
      </c>
      <c r="D55" s="75"/>
    </row>
    <row r="56" customFormat="false" ht="17.25" hidden="false" customHeight="true" outlineLevel="0" collapsed="false">
      <c r="A56" s="242" t="s">
        <v>206</v>
      </c>
      <c r="B56" s="242"/>
      <c r="C56" s="242"/>
      <c r="D56" s="243" t="s">
        <v>505</v>
      </c>
    </row>
    <row r="57" customFormat="false" ht="14.25" hidden="false" customHeight="true" outlineLevel="0" collapsed="false">
      <c r="A57" s="232" t="s">
        <v>506</v>
      </c>
      <c r="B57" s="198" t="s">
        <v>490</v>
      </c>
      <c r="C57" s="244" t="n">
        <v>0</v>
      </c>
      <c r="D57" s="245" t="n">
        <v>0</v>
      </c>
    </row>
    <row r="58" customFormat="false" ht="16.5" hidden="false" customHeight="true" outlineLevel="0" collapsed="false">
      <c r="A58" s="242" t="s">
        <v>208</v>
      </c>
      <c r="B58" s="242"/>
      <c r="C58" s="242"/>
      <c r="D58" s="246" t="s">
        <v>507</v>
      </c>
    </row>
    <row r="59" customFormat="false" ht="15.75" hidden="false" customHeight="true" outlineLevel="0" collapsed="false">
      <c r="A59" s="232" t="s">
        <v>508</v>
      </c>
      <c r="B59" s="198" t="s">
        <v>490</v>
      </c>
      <c r="C59" s="244" t="n">
        <v>0</v>
      </c>
      <c r="D59" s="245" t="n">
        <v>0</v>
      </c>
    </row>
    <row r="60" customFormat="false" ht="15.75" hidden="false" customHeight="true" outlineLevel="0" collapsed="false">
      <c r="A60" s="189"/>
      <c r="D60" s="75"/>
    </row>
    <row r="61" customFormat="false" ht="17.35" hidden="false" customHeight="false" outlineLevel="0" collapsed="false">
      <c r="A61" s="242" t="s">
        <v>146</v>
      </c>
      <c r="B61" s="242"/>
      <c r="C61" s="242"/>
      <c r="D61" s="75"/>
      <c r="E61" s="75"/>
      <c r="F61" s="75"/>
    </row>
    <row r="62" customFormat="false" ht="15" hidden="false" customHeight="true" outlineLevel="0" collapsed="false">
      <c r="A62" s="247" t="s">
        <v>165</v>
      </c>
      <c r="B62" s="198" t="s">
        <v>147</v>
      </c>
      <c r="C62" s="248" t="n">
        <v>0</v>
      </c>
      <c r="D62" s="75"/>
      <c r="E62" s="75"/>
      <c r="F62" s="75"/>
    </row>
    <row r="63" customFormat="false" ht="15" hidden="false" customHeight="false" outlineLevel="0" collapsed="false">
      <c r="A63" s="247"/>
      <c r="B63" s="198" t="s">
        <v>509</v>
      </c>
      <c r="C63" s="249" t="n">
        <v>0.045</v>
      </c>
      <c r="D63" s="75"/>
      <c r="E63" s="75"/>
      <c r="F63" s="75"/>
    </row>
    <row r="64" customFormat="false" ht="14.25" hidden="false" customHeight="true" outlineLevel="0" collapsed="false">
      <c r="A64" s="242" t="s">
        <v>170</v>
      </c>
      <c r="B64" s="242"/>
      <c r="C64" s="242"/>
      <c r="D64" s="75"/>
      <c r="E64" s="75"/>
      <c r="F64" s="75"/>
    </row>
    <row r="65" customFormat="false" ht="15" hidden="false" customHeight="true" outlineLevel="0" collapsed="false">
      <c r="A65" s="247" t="s">
        <v>186</v>
      </c>
      <c r="B65" s="198" t="s">
        <v>171</v>
      </c>
      <c r="C65" s="248" t="n">
        <v>0</v>
      </c>
      <c r="D65" s="75"/>
      <c r="E65" s="75"/>
      <c r="F65" s="75"/>
    </row>
    <row r="66" customFormat="false" ht="15" hidden="false" customHeight="false" outlineLevel="0" collapsed="false">
      <c r="A66" s="247"/>
      <c r="B66" s="198" t="s">
        <v>509</v>
      </c>
      <c r="C66" s="250" t="n">
        <v>0.08</v>
      </c>
      <c r="D66" s="75"/>
      <c r="E66" s="75"/>
      <c r="F66" s="75"/>
    </row>
    <row r="67" s="75" customFormat="true" ht="15" hidden="false" customHeight="false" outlineLevel="0" collapsed="false"/>
    <row r="68" customFormat="false" ht="18" hidden="false" customHeight="true" outlineLevel="0" collapsed="false">
      <c r="A68" s="212" t="s">
        <v>510</v>
      </c>
      <c r="B68" s="212"/>
      <c r="C68" s="212"/>
    </row>
    <row r="69" customFormat="false" ht="14.25" hidden="false" customHeight="true" outlineLevel="0" collapsed="false">
      <c r="A69" s="213" t="s">
        <v>511</v>
      </c>
      <c r="B69" s="195" t="s">
        <v>512</v>
      </c>
      <c r="C69" s="248" t="n">
        <v>0</v>
      </c>
    </row>
    <row r="70" customFormat="false" ht="14.25" hidden="false" customHeight="true" outlineLevel="0" collapsed="false">
      <c r="A70" s="213" t="s">
        <v>513</v>
      </c>
      <c r="B70" s="195" t="s">
        <v>17</v>
      </c>
      <c r="C70" s="248" t="n">
        <v>2020</v>
      </c>
    </row>
    <row r="71" customFormat="false" ht="15" hidden="false" customHeight="false" outlineLevel="0" collapsed="false">
      <c r="A71" s="247" t="s">
        <v>215</v>
      </c>
      <c r="B71" s="251" t="s">
        <v>216</v>
      </c>
      <c r="C71" s="248" t="n">
        <v>2021</v>
      </c>
    </row>
    <row r="72" customFormat="false" ht="16.4" hidden="false" customHeight="false" outlineLevel="0" collapsed="false">
      <c r="A72" s="247"/>
      <c r="B72" s="252" t="s">
        <v>219</v>
      </c>
      <c r="C72" s="250" t="n">
        <v>1</v>
      </c>
    </row>
    <row r="73" customFormat="false" ht="15" hidden="false" customHeight="false" outlineLevel="0" collapsed="false">
      <c r="A73" s="247" t="s">
        <v>221</v>
      </c>
      <c r="B73" s="251" t="s">
        <v>216</v>
      </c>
      <c r="C73" s="248" t="n">
        <v>2021</v>
      </c>
    </row>
    <row r="74" customFormat="false" ht="14.25" hidden="false" customHeight="true" outlineLevel="0" collapsed="false">
      <c r="A74" s="247"/>
      <c r="B74" s="252" t="s">
        <v>219</v>
      </c>
      <c r="C74" s="250" t="n">
        <v>1</v>
      </c>
    </row>
    <row r="75" customFormat="false" ht="15" hidden="false" customHeight="false" outlineLevel="0" collapsed="false">
      <c r="A75" s="247" t="s">
        <v>222</v>
      </c>
      <c r="B75" s="251" t="s">
        <v>216</v>
      </c>
      <c r="C75" s="248" t="n">
        <v>2020</v>
      </c>
    </row>
    <row r="76" customFormat="false" ht="16.4" hidden="false" customHeight="false" outlineLevel="0" collapsed="false">
      <c r="A76" s="247"/>
      <c r="B76" s="252" t="s">
        <v>219</v>
      </c>
      <c r="C76" s="250" t="n">
        <v>1</v>
      </c>
    </row>
    <row r="77" customFormat="false" ht="15" hidden="false" customHeight="false" outlineLevel="0" collapsed="false">
      <c r="A77" s="247" t="s">
        <v>224</v>
      </c>
      <c r="B77" s="251" t="s">
        <v>216</v>
      </c>
      <c r="C77" s="248" t="n">
        <v>2020</v>
      </c>
    </row>
    <row r="78" customFormat="false" ht="14.25" hidden="false" customHeight="true" outlineLevel="0" collapsed="false">
      <c r="A78" s="247"/>
      <c r="B78" s="252" t="s">
        <v>219</v>
      </c>
      <c r="C78" s="250" t="n">
        <v>1</v>
      </c>
    </row>
    <row r="79" customFormat="false" ht="15" hidden="false" customHeight="false" outlineLevel="0" collapsed="false">
      <c r="A79" s="253" t="s">
        <v>189</v>
      </c>
      <c r="B79" s="251" t="s">
        <v>216</v>
      </c>
      <c r="C79" s="248" t="n">
        <v>2015</v>
      </c>
    </row>
    <row r="80" customFormat="false" ht="16.4" hidden="false" customHeight="false" outlineLevel="0" collapsed="false">
      <c r="A80" s="253"/>
      <c r="B80" s="254" t="s">
        <v>219</v>
      </c>
      <c r="C80" s="255" t="n">
        <v>1</v>
      </c>
      <c r="E80" s="1" t="s">
        <v>514</v>
      </c>
    </row>
    <row r="81" customFormat="false" ht="15" hidden="false" customHeight="false" outlineLevel="0" collapsed="false">
      <c r="A81" s="256"/>
      <c r="B81" s="257"/>
      <c r="C81" s="258"/>
    </row>
    <row r="82" customFormat="false" ht="15" hidden="false" customHeight="false" outlineLevel="0" collapsed="false">
      <c r="A82" s="259" t="s">
        <v>218</v>
      </c>
      <c r="B82" s="260" t="s">
        <v>216</v>
      </c>
      <c r="C82" s="261" t="n">
        <v>2023</v>
      </c>
    </row>
    <row r="83" customFormat="false" ht="15" hidden="false" customHeight="false" outlineLevel="0" collapsed="false">
      <c r="A83" s="259"/>
      <c r="B83" s="262" t="s">
        <v>219</v>
      </c>
      <c r="C83" s="250" t="n">
        <v>1</v>
      </c>
    </row>
    <row r="84" customFormat="false" ht="15" hidden="false" customHeight="false" outlineLevel="0" collapsed="false">
      <c r="A84" s="253" t="s">
        <v>223</v>
      </c>
      <c r="B84" s="262" t="s">
        <v>216</v>
      </c>
      <c r="C84" s="248" t="n">
        <v>2023</v>
      </c>
    </row>
    <row r="85" customFormat="false" ht="15" hidden="false" customHeight="false" outlineLevel="0" collapsed="false">
      <c r="A85" s="253"/>
      <c r="B85" s="263" t="s">
        <v>219</v>
      </c>
      <c r="C85" s="255" t="n">
        <v>1</v>
      </c>
    </row>
    <row r="86" customFormat="false" ht="15" hidden="false" customHeight="false" outlineLevel="0" collapsed="false">
      <c r="A86" s="264" t="s">
        <v>225</v>
      </c>
      <c r="B86" s="264"/>
      <c r="C86" s="264"/>
    </row>
    <row r="88" customFormat="false" ht="17.35" hidden="false" customHeight="false" outlineLevel="0" collapsed="false">
      <c r="A88" s="212" t="s">
        <v>226</v>
      </c>
      <c r="B88" s="212"/>
      <c r="C88" s="212"/>
      <c r="D88" s="1" t="s">
        <v>514</v>
      </c>
    </row>
    <row r="89" customFormat="false" ht="15" hidden="false" customHeight="false" outlineLevel="0" collapsed="false">
      <c r="A89" s="213" t="s">
        <v>515</v>
      </c>
      <c r="B89" s="195" t="s">
        <v>11</v>
      </c>
      <c r="C89" s="248" t="n">
        <v>1</v>
      </c>
    </row>
    <row r="90" customFormat="false" ht="15" hidden="false" customHeight="false" outlineLevel="0" collapsed="false">
      <c r="A90" s="265" t="s">
        <v>234</v>
      </c>
      <c r="B90" s="266" t="s">
        <v>11</v>
      </c>
      <c r="C90" s="267" t="n">
        <v>1</v>
      </c>
    </row>
    <row r="91" customFormat="false" ht="14.25" hidden="false" customHeight="true" outlineLevel="0" collapsed="false">
      <c r="A91" s="268"/>
      <c r="B91" s="269"/>
      <c r="C91" s="269"/>
    </row>
    <row r="92" customFormat="false" ht="15" hidden="false" customHeight="false" outlineLevel="0" collapsed="false">
      <c r="A92" s="227" t="s">
        <v>516</v>
      </c>
      <c r="B92" s="228" t="s">
        <v>17</v>
      </c>
      <c r="C92" s="261" t="n">
        <v>2020</v>
      </c>
    </row>
    <row r="93" customFormat="false" ht="15" hidden="false" customHeight="false" outlineLevel="0" collapsed="false">
      <c r="A93" s="270" t="s">
        <v>517</v>
      </c>
      <c r="B93" s="195" t="s">
        <v>17</v>
      </c>
      <c r="C93" s="248" t="n">
        <v>2025</v>
      </c>
    </row>
    <row r="94" customFormat="false" ht="15" hidden="false" customHeight="false" outlineLevel="0" collapsed="false">
      <c r="A94" s="270" t="s">
        <v>518</v>
      </c>
      <c r="B94" s="195" t="s">
        <v>17</v>
      </c>
      <c r="C94" s="248" t="n">
        <v>2035</v>
      </c>
    </row>
    <row r="95" customFormat="false" ht="15" hidden="false" customHeight="false" outlineLevel="0" collapsed="false">
      <c r="A95" s="270" t="s">
        <v>519</v>
      </c>
      <c r="B95" s="195" t="s">
        <v>17</v>
      </c>
      <c r="C95" s="248" t="n">
        <v>2050</v>
      </c>
    </row>
    <row r="96" customFormat="false" ht="15" hidden="false" customHeight="false" outlineLevel="0" collapsed="false">
      <c r="A96" s="270" t="s">
        <v>520</v>
      </c>
      <c r="B96" s="195" t="s">
        <v>11</v>
      </c>
      <c r="C96" s="248" t="n">
        <v>0</v>
      </c>
    </row>
    <row r="97" customFormat="false" ht="15" hidden="false" customHeight="false" outlineLevel="0" collapsed="false">
      <c r="A97" s="265" t="s">
        <v>239</v>
      </c>
      <c r="B97" s="198" t="s">
        <v>11</v>
      </c>
      <c r="C97" s="271" t="n">
        <v>0</v>
      </c>
    </row>
    <row r="99" customFormat="false" ht="17.35" hidden="false" customHeight="false" outlineLevel="0" collapsed="false">
      <c r="A99" s="272" t="s">
        <v>31</v>
      </c>
      <c r="B99" s="273"/>
      <c r="C99" s="273"/>
      <c r="D99" s="273"/>
      <c r="E99" s="274"/>
    </row>
    <row r="100" customFormat="false" ht="15" hidden="false" customHeight="true" outlineLevel="0" collapsed="false">
      <c r="A100" s="275" t="s">
        <v>32</v>
      </c>
      <c r="B100" s="276" t="s">
        <v>33</v>
      </c>
      <c r="C100" s="277" t="n">
        <v>4</v>
      </c>
      <c r="D100" s="278" t="s">
        <v>521</v>
      </c>
      <c r="E100" s="248" t="n">
        <v>2032</v>
      </c>
    </row>
    <row r="101" customFormat="false" ht="15" hidden="false" customHeight="false" outlineLevel="0" collapsed="false">
      <c r="A101" s="275"/>
      <c r="B101" s="276" t="s">
        <v>35</v>
      </c>
      <c r="C101" s="277"/>
      <c r="D101" s="278" t="s">
        <v>522</v>
      </c>
      <c r="E101" s="248" t="n">
        <v>0.8</v>
      </c>
    </row>
    <row r="102" customFormat="false" ht="15" hidden="false" customHeight="false" outlineLevel="0" collapsed="false">
      <c r="A102" s="275"/>
      <c r="B102" s="276" t="s">
        <v>36</v>
      </c>
      <c r="C102" s="277"/>
      <c r="E102" s="279"/>
    </row>
    <row r="103" customFormat="false" ht="14.25" hidden="false" customHeight="true" outlineLevel="0" collapsed="false">
      <c r="A103" s="275"/>
      <c r="B103" s="280" t="s">
        <v>37</v>
      </c>
      <c r="C103" s="277"/>
      <c r="D103" s="108"/>
      <c r="E103" s="239"/>
    </row>
    <row r="106" customFormat="false" ht="24.45" hidden="false" customHeight="false" outlineLevel="0" collapsed="false">
      <c r="A106" s="189" t="s">
        <v>523</v>
      </c>
    </row>
    <row r="107" customFormat="false" ht="17.35" hidden="false" customHeight="false" outlineLevel="0" collapsed="false">
      <c r="A107" s="212" t="s">
        <v>524</v>
      </c>
      <c r="B107" s="212"/>
      <c r="C107" s="212"/>
      <c r="D107" s="212"/>
      <c r="E107" s="212"/>
      <c r="F107" s="212"/>
      <c r="G107" s="212"/>
      <c r="H107" s="212"/>
      <c r="I107" s="212"/>
      <c r="J107" s="212"/>
    </row>
    <row r="108" customFormat="false" ht="15" hidden="false" customHeight="false" outlineLevel="0" collapsed="false">
      <c r="A108" s="213" t="s">
        <v>17</v>
      </c>
      <c r="B108" s="281"/>
      <c r="C108" s="195" t="s">
        <v>17</v>
      </c>
      <c r="D108" s="282" t="n">
        <v>2020</v>
      </c>
      <c r="E108" s="282" t="n">
        <v>2025</v>
      </c>
      <c r="F108" s="282" t="n">
        <v>2030</v>
      </c>
      <c r="G108" s="282" t="n">
        <v>2035</v>
      </c>
      <c r="H108" s="282" t="n">
        <v>2040</v>
      </c>
      <c r="I108" s="282" t="n">
        <v>2045</v>
      </c>
      <c r="J108" s="248" t="n">
        <v>2050</v>
      </c>
    </row>
    <row r="109" customFormat="false" ht="15" hidden="false" customHeight="false" outlineLevel="0" collapsed="false">
      <c r="A109" s="283" t="s">
        <v>525</v>
      </c>
      <c r="B109" s="281" t="s">
        <v>526</v>
      </c>
      <c r="C109" s="195" t="s">
        <v>11</v>
      </c>
      <c r="D109" s="284" t="n">
        <v>0.884728649558267</v>
      </c>
      <c r="E109" s="284" t="n">
        <v>0.880334612500551</v>
      </c>
      <c r="F109" s="284" t="n">
        <v>0.875347755270832</v>
      </c>
      <c r="G109" s="284" t="n">
        <v>0.8703</v>
      </c>
      <c r="H109" s="284" t="n">
        <f aca="false">1-H110-H111</f>
        <v>0.86507</v>
      </c>
      <c r="I109" s="284" t="n">
        <f aca="false">1-I110-I111</f>
        <v>0.8598</v>
      </c>
      <c r="J109" s="284" t="n">
        <f aca="false">1-J110-J111</f>
        <v>0.85444</v>
      </c>
    </row>
    <row r="110" customFormat="false" ht="15" hidden="false" customHeight="false" outlineLevel="0" collapsed="false">
      <c r="A110" s="283"/>
      <c r="B110" s="281" t="s">
        <v>527</v>
      </c>
      <c r="C110" s="195" t="s">
        <v>11</v>
      </c>
      <c r="D110" s="284" t="n">
        <v>0.115271350441733</v>
      </c>
      <c r="E110" s="284" t="n">
        <v>0.119665387499449</v>
      </c>
      <c r="F110" s="284" t="n">
        <v>0.124652244729168</v>
      </c>
      <c r="G110" s="284" t="n">
        <v>0.1297</v>
      </c>
      <c r="H110" s="284" t="n">
        <v>0.13493</v>
      </c>
      <c r="I110" s="284" t="n">
        <v>0.1402</v>
      </c>
      <c r="J110" s="285" t="n">
        <v>0.14556</v>
      </c>
    </row>
    <row r="111" customFormat="false" ht="15" hidden="false" customHeight="false" outlineLevel="0" collapsed="false">
      <c r="A111" s="283"/>
      <c r="B111" s="281" t="s">
        <v>528</v>
      </c>
      <c r="C111" s="195" t="s">
        <v>11</v>
      </c>
      <c r="D111" s="284" t="n">
        <v>0</v>
      </c>
      <c r="E111" s="284" t="n">
        <v>0</v>
      </c>
      <c r="F111" s="284" t="n">
        <v>0</v>
      </c>
      <c r="G111" s="284" t="n">
        <v>0</v>
      </c>
      <c r="H111" s="284" t="n">
        <v>0</v>
      </c>
      <c r="I111" s="284" t="n">
        <v>0</v>
      </c>
      <c r="J111" s="285" t="n">
        <v>0</v>
      </c>
    </row>
    <row r="112" customFormat="false" ht="15" hidden="false" customHeight="false" outlineLevel="0" collapsed="false">
      <c r="A112" s="283" t="s">
        <v>529</v>
      </c>
      <c r="B112" s="281" t="s">
        <v>526</v>
      </c>
      <c r="C112" s="195" t="s">
        <v>11</v>
      </c>
      <c r="D112" s="284" t="n">
        <v>0.941542565014448</v>
      </c>
      <c r="E112" s="284" t="n">
        <v>0.900290185698342</v>
      </c>
      <c r="F112" s="284" t="n">
        <v>0.899485949917109</v>
      </c>
      <c r="G112" s="284" t="n">
        <v>0.898682485967326</v>
      </c>
      <c r="H112" s="284" t="n">
        <v>0.897879793054911</v>
      </c>
      <c r="I112" s="284" t="n">
        <v>0.897077870386644</v>
      </c>
      <c r="J112" s="285" t="n">
        <v>0.8962</v>
      </c>
    </row>
    <row r="113" customFormat="false" ht="15" hidden="false" customHeight="false" outlineLevel="0" collapsed="false">
      <c r="A113" s="283"/>
      <c r="B113" s="281" t="s">
        <v>527</v>
      </c>
      <c r="C113" s="195" t="s">
        <v>11</v>
      </c>
      <c r="D113" s="284" t="n">
        <v>0.00422316070237831</v>
      </c>
      <c r="E113" s="284" t="n">
        <v>0.00591359689433226</v>
      </c>
      <c r="F113" s="284" t="n">
        <v>0.00606680081830671</v>
      </c>
      <c r="G113" s="284" t="n">
        <v>0.0062248184197547</v>
      </c>
      <c r="H113" s="284" t="n">
        <v>0.00638782522707298</v>
      </c>
      <c r="I113" s="284" t="n">
        <v>0.0065</v>
      </c>
      <c r="J113" s="285" t="n">
        <v>0.00672954375025719</v>
      </c>
    </row>
    <row r="114" customFormat="false" ht="15" hidden="false" customHeight="false" outlineLevel="0" collapsed="false">
      <c r="A114" s="283"/>
      <c r="B114" s="281" t="s">
        <v>528</v>
      </c>
      <c r="C114" s="195" t="s">
        <v>11</v>
      </c>
      <c r="D114" s="284" t="n">
        <v>0.054234274283174</v>
      </c>
      <c r="E114" s="284" t="n">
        <v>0.0937962174073255</v>
      </c>
      <c r="F114" s="284" t="n">
        <v>0.0944472492645847</v>
      </c>
      <c r="G114" s="284" t="n">
        <f aca="false">1-G113-G112</f>
        <v>0.0950926956129192</v>
      </c>
      <c r="H114" s="284" t="n">
        <f aca="false">1-H113-H112</f>
        <v>0.0957323817180161</v>
      </c>
      <c r="I114" s="284" t="n">
        <f aca="false">1-I113-I112</f>
        <v>0.0964221296133561</v>
      </c>
      <c r="J114" s="284" t="n">
        <f aca="false">1-J113-J112</f>
        <v>0.0970704562497429</v>
      </c>
    </row>
    <row r="115" customFormat="false" ht="15" hidden="false" customHeight="false" outlineLevel="0" collapsed="false">
      <c r="A115" s="213" t="s">
        <v>530</v>
      </c>
      <c r="B115" s="286"/>
      <c r="C115" s="195" t="s">
        <v>11</v>
      </c>
      <c r="D115" s="284" t="n">
        <v>0.861189801699717</v>
      </c>
      <c r="E115" s="284" t="n">
        <v>0.800991501416431</v>
      </c>
      <c r="F115" s="284" t="n">
        <v>0.740793201133145</v>
      </c>
      <c r="G115" s="284" t="n">
        <v>0.680594900849858</v>
      </c>
      <c r="H115" s="284" t="n">
        <v>0.620396600566572</v>
      </c>
      <c r="I115" s="284" t="n">
        <v>0.560198300283286</v>
      </c>
      <c r="J115" s="285" t="n">
        <v>0.5</v>
      </c>
    </row>
    <row r="116" customFormat="false" ht="16.4" hidden="false" customHeight="false" outlineLevel="0" collapsed="false">
      <c r="A116" s="213" t="s">
        <v>531</v>
      </c>
      <c r="B116" s="286"/>
      <c r="C116" s="195" t="s">
        <v>532</v>
      </c>
      <c r="D116" s="287" t="n">
        <v>1</v>
      </c>
      <c r="E116" s="287" t="n">
        <v>1</v>
      </c>
      <c r="F116" s="287" t="n">
        <v>1</v>
      </c>
      <c r="G116" s="288" t="n">
        <f aca="false">SUM(G109:G111)</f>
        <v>1</v>
      </c>
      <c r="H116" s="288" t="n">
        <f aca="false">SUM(H112:H114)</f>
        <v>1</v>
      </c>
      <c r="I116" s="288" t="n">
        <f aca="false">SUM(I112:I114)</f>
        <v>1</v>
      </c>
      <c r="J116" s="288" t="n">
        <f aca="false">SUM(J112:J114)</f>
        <v>1</v>
      </c>
    </row>
    <row r="117" customFormat="false" ht="16.4" hidden="false" customHeight="false" outlineLevel="0" collapsed="false">
      <c r="A117" s="232" t="s">
        <v>533</v>
      </c>
      <c r="B117" s="286"/>
      <c r="C117" s="198" t="s">
        <v>532</v>
      </c>
      <c r="D117" s="289" t="n">
        <v>1</v>
      </c>
      <c r="E117" s="289" t="n">
        <v>1</v>
      </c>
      <c r="F117" s="289" t="n">
        <v>1</v>
      </c>
      <c r="G117" s="290" t="n">
        <f aca="false">SUM(G109:G111)</f>
        <v>1</v>
      </c>
      <c r="H117" s="290" t="n">
        <f aca="false">SUM(H109:H111)</f>
        <v>1</v>
      </c>
      <c r="I117" s="290" t="n">
        <f aca="false">SUM(I109:I111)</f>
        <v>1</v>
      </c>
      <c r="J117" s="290" t="n">
        <f aca="false">SUM(J109:J111)</f>
        <v>1</v>
      </c>
    </row>
    <row r="118" customFormat="false" ht="17.35" hidden="false" customHeight="false" outlineLevel="0" collapsed="false">
      <c r="A118" s="240" t="s">
        <v>534</v>
      </c>
      <c r="B118" s="240"/>
      <c r="C118" s="240"/>
      <c r="D118" s="240"/>
      <c r="E118" s="240"/>
      <c r="F118" s="240"/>
      <c r="G118" s="240"/>
      <c r="H118" s="240"/>
      <c r="I118" s="240"/>
    </row>
    <row r="119" customFormat="false" ht="15" hidden="false" customHeight="false" outlineLevel="0" collapsed="false">
      <c r="A119" s="213" t="s">
        <v>17</v>
      </c>
      <c r="B119" s="195" t="s">
        <v>17</v>
      </c>
      <c r="C119" s="282" t="n">
        <v>2020</v>
      </c>
      <c r="D119" s="282" t="n">
        <v>2025</v>
      </c>
      <c r="E119" s="282" t="n">
        <v>2030</v>
      </c>
      <c r="F119" s="282" t="n">
        <v>2035</v>
      </c>
      <c r="G119" s="282" t="n">
        <v>2040</v>
      </c>
      <c r="H119" s="282" t="n">
        <v>2045</v>
      </c>
      <c r="I119" s="248" t="n">
        <v>2050</v>
      </c>
    </row>
    <row r="120" customFormat="false" ht="15" hidden="false" customHeight="false" outlineLevel="0" collapsed="false">
      <c r="A120" s="283" t="s">
        <v>535</v>
      </c>
      <c r="B120" s="195" t="s">
        <v>536</v>
      </c>
      <c r="C120" s="284" t="n">
        <v>0.806894766766191</v>
      </c>
      <c r="D120" s="284" t="n">
        <v>0.710215421760778</v>
      </c>
      <c r="E120" s="284" t="n">
        <v>0.60650331097056</v>
      </c>
      <c r="F120" s="284" t="n">
        <v>0.519297101522442</v>
      </c>
      <c r="G120" s="284" t="n">
        <v>0.432090892074324</v>
      </c>
      <c r="H120" s="284" t="n">
        <v>0.344884682626206</v>
      </c>
      <c r="I120" s="285" t="n">
        <v>0.272681803709289</v>
      </c>
    </row>
    <row r="121" customFormat="false" ht="15" hidden="false" customHeight="false" outlineLevel="0" collapsed="false">
      <c r="A121" s="283"/>
      <c r="B121" s="195" t="s">
        <v>170</v>
      </c>
      <c r="C121" s="284" t="n">
        <v>0.0257197201277087</v>
      </c>
      <c r="D121" s="284" t="n">
        <v>0.0504865457750533</v>
      </c>
      <c r="E121" s="284" t="n">
        <v>0.0725226414272688</v>
      </c>
      <c r="F121" s="284" t="n">
        <v>0.0966968552363585</v>
      </c>
      <c r="G121" s="284" t="n">
        <v>0.120871069045448</v>
      </c>
      <c r="H121" s="284" t="n">
        <v>0.145045282854538</v>
      </c>
      <c r="I121" s="285" t="n">
        <v>0.169219496663627</v>
      </c>
    </row>
    <row r="122" customFormat="false" ht="15" hidden="false" customHeight="false" outlineLevel="0" collapsed="false">
      <c r="A122" s="283"/>
      <c r="B122" s="195" t="s">
        <v>352</v>
      </c>
      <c r="C122" s="284" t="n">
        <v>0.14108125388458</v>
      </c>
      <c r="D122" s="284" t="n">
        <v>0.187664065194228</v>
      </c>
      <c r="E122" s="284" t="n">
        <v>0.246803164324282</v>
      </c>
      <c r="F122" s="284" t="n">
        <v>0.285111532204015</v>
      </c>
      <c r="G122" s="284" t="n">
        <v>0.323419900083747</v>
      </c>
      <c r="H122" s="284" t="n">
        <v>0.361728267963479</v>
      </c>
      <c r="I122" s="285" t="n">
        <v>0.38503330531201</v>
      </c>
    </row>
    <row r="123" customFormat="false" ht="15" hidden="false" customHeight="false" outlineLevel="0" collapsed="false">
      <c r="A123" s="283"/>
      <c r="B123" s="195" t="s">
        <v>537</v>
      </c>
      <c r="C123" s="284" t="n">
        <v>0.0263042592215203</v>
      </c>
      <c r="D123" s="284" t="n">
        <v>0.0516339672699409</v>
      </c>
      <c r="E123" s="284" t="n">
        <v>0.0741708832778886</v>
      </c>
      <c r="F123" s="284" t="n">
        <v>0.0988945110371848</v>
      </c>
      <c r="G123" s="284" t="n">
        <v>0.123618138796481</v>
      </c>
      <c r="H123" s="284" t="n">
        <v>0.148341766555777</v>
      </c>
      <c r="I123" s="285" t="n">
        <v>0.173065394315073</v>
      </c>
    </row>
    <row r="124" customFormat="false" ht="15" hidden="false" customHeight="false" outlineLevel="0" collapsed="false">
      <c r="A124" s="283" t="s">
        <v>527</v>
      </c>
      <c r="B124" s="195" t="s">
        <v>536</v>
      </c>
      <c r="C124" s="284" t="n">
        <v>0.966386554621849</v>
      </c>
      <c r="D124" s="284" t="n">
        <v>0.932773109243698</v>
      </c>
      <c r="E124" s="284" t="n">
        <v>0.899159663865546</v>
      </c>
      <c r="F124" s="284" t="n">
        <v>0.865546218487395</v>
      </c>
      <c r="G124" s="284" t="n">
        <v>0.831932773109244</v>
      </c>
      <c r="H124" s="284" t="n">
        <v>0.798319327731093</v>
      </c>
      <c r="I124" s="285" t="n">
        <v>0.764705882352941</v>
      </c>
    </row>
    <row r="125" customFormat="false" ht="15" hidden="false" customHeight="false" outlineLevel="0" collapsed="false">
      <c r="A125" s="283"/>
      <c r="B125" s="195" t="s">
        <v>170</v>
      </c>
      <c r="C125" s="284" t="n">
        <v>0.0336134453781513</v>
      </c>
      <c r="D125" s="284" t="n">
        <v>0.0672268907563025</v>
      </c>
      <c r="E125" s="284" t="n">
        <v>0.100840336134454</v>
      </c>
      <c r="F125" s="284" t="n">
        <v>0.134453781512605</v>
      </c>
      <c r="G125" s="284" t="n">
        <v>0.168067226890756</v>
      </c>
      <c r="H125" s="284" t="n">
        <v>0.201680672268908</v>
      </c>
      <c r="I125" s="285" t="n">
        <v>0.235294117647059</v>
      </c>
    </row>
    <row r="126" customFormat="false" ht="15" hidden="false" customHeight="false" outlineLevel="0" collapsed="false">
      <c r="A126" s="283"/>
      <c r="B126" s="195" t="s">
        <v>352</v>
      </c>
      <c r="C126" s="284" t="n">
        <v>0</v>
      </c>
      <c r="D126" s="284" t="n">
        <v>0</v>
      </c>
      <c r="E126" s="284" t="n">
        <v>0</v>
      </c>
      <c r="F126" s="284" t="n">
        <v>0</v>
      </c>
      <c r="G126" s="284" t="n">
        <v>0</v>
      </c>
      <c r="H126" s="284" t="n">
        <v>0</v>
      </c>
      <c r="I126" s="285" t="n">
        <v>0</v>
      </c>
    </row>
    <row r="127" customFormat="false" ht="15" hidden="false" customHeight="false" outlineLevel="0" collapsed="false">
      <c r="A127" s="283"/>
      <c r="B127" s="195" t="s">
        <v>537</v>
      </c>
      <c r="C127" s="284" t="n">
        <v>0</v>
      </c>
      <c r="D127" s="284" t="n">
        <v>0</v>
      </c>
      <c r="E127" s="284" t="n">
        <v>0</v>
      </c>
      <c r="F127" s="284" t="n">
        <v>0</v>
      </c>
      <c r="G127" s="284" t="n">
        <v>0</v>
      </c>
      <c r="H127" s="284" t="n">
        <v>0</v>
      </c>
      <c r="I127" s="285" t="n">
        <v>0</v>
      </c>
    </row>
    <row r="128" customFormat="false" ht="15" hidden="false" customHeight="false" outlineLevel="0" collapsed="false">
      <c r="A128" s="291" t="s">
        <v>528</v>
      </c>
      <c r="B128" s="195" t="s">
        <v>536</v>
      </c>
      <c r="C128" s="284" t="n">
        <v>0</v>
      </c>
      <c r="D128" s="284" t="n">
        <v>0</v>
      </c>
      <c r="E128" s="284" t="n">
        <v>0</v>
      </c>
      <c r="F128" s="284" t="n">
        <v>0</v>
      </c>
      <c r="G128" s="284" t="n">
        <v>0</v>
      </c>
      <c r="H128" s="284" t="n">
        <v>0</v>
      </c>
      <c r="I128" s="285" t="n">
        <v>0</v>
      </c>
    </row>
    <row r="129" customFormat="false" ht="15" hidden="false" customHeight="false" outlineLevel="0" collapsed="false">
      <c r="A129" s="291"/>
      <c r="B129" s="195" t="s">
        <v>170</v>
      </c>
      <c r="C129" s="284" t="n">
        <v>0</v>
      </c>
      <c r="D129" s="284" t="n">
        <v>0</v>
      </c>
      <c r="E129" s="284" t="n">
        <v>0</v>
      </c>
      <c r="F129" s="284" t="n">
        <v>0</v>
      </c>
      <c r="G129" s="284" t="n">
        <v>0</v>
      </c>
      <c r="H129" s="284" t="n">
        <v>0</v>
      </c>
      <c r="I129" s="285" t="n">
        <v>0</v>
      </c>
    </row>
    <row r="130" customFormat="false" ht="15" hidden="false" customHeight="false" outlineLevel="0" collapsed="false">
      <c r="A130" s="291"/>
      <c r="B130" s="195" t="s">
        <v>352</v>
      </c>
      <c r="C130" s="284" t="n">
        <v>0</v>
      </c>
      <c r="D130" s="284" t="n">
        <v>0</v>
      </c>
      <c r="E130" s="284" t="n">
        <v>0</v>
      </c>
      <c r="F130" s="284" t="n">
        <v>0</v>
      </c>
      <c r="G130" s="284" t="n">
        <v>0</v>
      </c>
      <c r="H130" s="284" t="n">
        <v>0</v>
      </c>
      <c r="I130" s="285" t="n">
        <v>0</v>
      </c>
    </row>
    <row r="131" customFormat="false" ht="15" hidden="false" customHeight="false" outlineLevel="0" collapsed="false">
      <c r="A131" s="291"/>
      <c r="B131" s="195" t="s">
        <v>537</v>
      </c>
      <c r="C131" s="292" t="n">
        <v>0</v>
      </c>
      <c r="D131" s="292" t="n">
        <v>0</v>
      </c>
      <c r="E131" s="292" t="n">
        <v>0</v>
      </c>
      <c r="F131" s="292" t="n">
        <v>0</v>
      </c>
      <c r="G131" s="292" t="n">
        <v>0</v>
      </c>
      <c r="H131" s="292" t="n">
        <v>0</v>
      </c>
      <c r="I131" s="293" t="n">
        <v>0</v>
      </c>
    </row>
    <row r="132" customFormat="false" ht="17.35" hidden="false" customHeight="false" outlineLevel="0" collapsed="false">
      <c r="A132" s="240" t="s">
        <v>538</v>
      </c>
      <c r="B132" s="240"/>
      <c r="C132" s="240"/>
      <c r="D132" s="240"/>
      <c r="E132" s="240"/>
      <c r="F132" s="240"/>
      <c r="G132" s="240"/>
      <c r="H132" s="240"/>
      <c r="I132" s="240"/>
    </row>
    <row r="133" customFormat="false" ht="15" hidden="false" customHeight="false" outlineLevel="0" collapsed="false">
      <c r="A133" s="213" t="s">
        <v>17</v>
      </c>
      <c r="B133" s="195" t="s">
        <v>17</v>
      </c>
      <c r="C133" s="282" t="n">
        <v>2020</v>
      </c>
      <c r="D133" s="282" t="n">
        <v>2025</v>
      </c>
      <c r="E133" s="282" t="n">
        <v>2030</v>
      </c>
      <c r="F133" s="282" t="n">
        <v>2035</v>
      </c>
      <c r="G133" s="282" t="n">
        <v>2040</v>
      </c>
      <c r="H133" s="282" t="n">
        <v>2045</v>
      </c>
      <c r="I133" s="248" t="n">
        <v>2050</v>
      </c>
    </row>
    <row r="134" customFormat="false" ht="15" hidden="false" customHeight="false" outlineLevel="0" collapsed="false">
      <c r="A134" s="283" t="s">
        <v>535</v>
      </c>
      <c r="B134" s="195" t="s">
        <v>536</v>
      </c>
      <c r="C134" s="284" t="n">
        <v>0.812328070617052</v>
      </c>
      <c r="D134" s="284" t="n">
        <v>0.690704484080468</v>
      </c>
      <c r="E134" s="284" t="n">
        <v>0.581219325384736</v>
      </c>
      <c r="F134" s="284" t="n">
        <v>0.47324615070277</v>
      </c>
      <c r="G134" s="284" t="n">
        <v>0.365272976020804</v>
      </c>
      <c r="H134" s="284" t="n">
        <v>0.257299801338838</v>
      </c>
      <c r="I134" s="285" t="n">
        <v>0.0473264628821185</v>
      </c>
    </row>
    <row r="135" customFormat="false" ht="15" hidden="false" customHeight="false" outlineLevel="0" collapsed="false">
      <c r="A135" s="283"/>
      <c r="B135" s="195" t="s">
        <v>170</v>
      </c>
      <c r="C135" s="284" t="n">
        <v>0.0505115435433495</v>
      </c>
      <c r="D135" s="284" t="n">
        <v>0.0639897564814042</v>
      </c>
      <c r="E135" s="284" t="n">
        <v>0.0782975707697648</v>
      </c>
      <c r="F135" s="284" t="n">
        <v>0.0938225342940677</v>
      </c>
      <c r="G135" s="284" t="n">
        <v>0.10934749781837</v>
      </c>
      <c r="H135" s="284" t="n">
        <v>0.124872461342673</v>
      </c>
      <c r="I135" s="285" t="n">
        <v>0.147110104070304</v>
      </c>
    </row>
    <row r="136" customFormat="false" ht="15" hidden="false" customHeight="false" outlineLevel="0" collapsed="false">
      <c r="A136" s="283"/>
      <c r="B136" s="195" t="s">
        <v>352</v>
      </c>
      <c r="C136" s="284" t="n">
        <v>0.133646787816532</v>
      </c>
      <c r="D136" s="284" t="n">
        <v>0.238252494368915</v>
      </c>
      <c r="E136" s="284" t="n">
        <v>0.329808059781831</v>
      </c>
      <c r="F136" s="284" t="n">
        <v>0.418734491739984</v>
      </c>
      <c r="G136" s="284" t="n">
        <v>0.507660923698136</v>
      </c>
      <c r="H136" s="284" t="n">
        <v>0.596587355656288</v>
      </c>
      <c r="I136" s="285" t="n">
        <v>0.780910978650999</v>
      </c>
    </row>
    <row r="137" customFormat="false" ht="15" hidden="false" customHeight="false" outlineLevel="0" collapsed="false">
      <c r="A137" s="283"/>
      <c r="B137" s="195" t="s">
        <v>537</v>
      </c>
      <c r="C137" s="284" t="n">
        <v>0.00351359802306619</v>
      </c>
      <c r="D137" s="284" t="n">
        <v>0.00705326506921272</v>
      </c>
      <c r="E137" s="284" t="n">
        <v>0.0106750440636676</v>
      </c>
      <c r="F137" s="284" t="n">
        <v>0.0141968232631788</v>
      </c>
      <c r="G137" s="284" t="n">
        <v>0.01771860246269</v>
      </c>
      <c r="H137" s="284" t="n">
        <v>0.0212403816622012</v>
      </c>
      <c r="I137" s="285" t="n">
        <v>0.0246524543965785</v>
      </c>
    </row>
    <row r="138" customFormat="false" ht="15" hidden="false" customHeight="false" outlineLevel="0" collapsed="false">
      <c r="A138" s="283" t="s">
        <v>527</v>
      </c>
      <c r="B138" s="195" t="s">
        <v>536</v>
      </c>
      <c r="C138" s="284" t="n">
        <v>0.966386554621849</v>
      </c>
      <c r="D138" s="284" t="n">
        <v>0.932773109243698</v>
      </c>
      <c r="E138" s="284" t="n">
        <v>0.899159663865546</v>
      </c>
      <c r="F138" s="284" t="n">
        <v>0.865546218487395</v>
      </c>
      <c r="G138" s="284" t="n">
        <v>0.831932773109244</v>
      </c>
      <c r="H138" s="284" t="n">
        <v>0.798319327731093</v>
      </c>
      <c r="I138" s="285" t="n">
        <v>0.764705882352941</v>
      </c>
    </row>
    <row r="139" customFormat="false" ht="15" hidden="false" customHeight="false" outlineLevel="0" collapsed="false">
      <c r="A139" s="283"/>
      <c r="B139" s="195" t="s">
        <v>170</v>
      </c>
      <c r="C139" s="284" t="n">
        <v>0.0336134453781513</v>
      </c>
      <c r="D139" s="284" t="n">
        <v>0.0672268907563025</v>
      </c>
      <c r="E139" s="284" t="n">
        <v>0.100840336134454</v>
      </c>
      <c r="F139" s="284" t="n">
        <v>0.134453781512605</v>
      </c>
      <c r="G139" s="284" t="n">
        <v>0.168067226890756</v>
      </c>
      <c r="H139" s="284" t="n">
        <v>0.201680672268908</v>
      </c>
      <c r="I139" s="285" t="n">
        <v>0.235294117647059</v>
      </c>
    </row>
    <row r="140" customFormat="false" ht="15" hidden="false" customHeight="false" outlineLevel="0" collapsed="false">
      <c r="A140" s="283"/>
      <c r="B140" s="195" t="s">
        <v>352</v>
      </c>
      <c r="C140" s="284" t="n">
        <v>0</v>
      </c>
      <c r="D140" s="284" t="n">
        <v>0</v>
      </c>
      <c r="E140" s="284" t="n">
        <v>0</v>
      </c>
      <c r="F140" s="284" t="n">
        <v>0</v>
      </c>
      <c r="G140" s="284" t="n">
        <v>0</v>
      </c>
      <c r="H140" s="284" t="n">
        <v>0</v>
      </c>
      <c r="I140" s="285" t="n">
        <v>0</v>
      </c>
    </row>
    <row r="141" customFormat="false" ht="15" hidden="false" customHeight="false" outlineLevel="0" collapsed="false">
      <c r="A141" s="283"/>
      <c r="B141" s="195" t="s">
        <v>537</v>
      </c>
      <c r="C141" s="284" t="n">
        <v>0</v>
      </c>
      <c r="D141" s="284" t="n">
        <v>0</v>
      </c>
      <c r="E141" s="284" t="n">
        <v>0</v>
      </c>
      <c r="F141" s="284" t="n">
        <v>0</v>
      </c>
      <c r="G141" s="284" t="n">
        <v>0</v>
      </c>
      <c r="H141" s="284" t="n">
        <v>0</v>
      </c>
      <c r="I141" s="285" t="n">
        <v>0</v>
      </c>
    </row>
    <row r="142" customFormat="false" ht="15" hidden="false" customHeight="false" outlineLevel="0" collapsed="false">
      <c r="A142" s="283" t="s">
        <v>528</v>
      </c>
      <c r="B142" s="195" t="s">
        <v>536</v>
      </c>
      <c r="C142" s="284" t="n">
        <v>0.997198879551821</v>
      </c>
      <c r="D142" s="284" t="n">
        <v>0.994397759103642</v>
      </c>
      <c r="E142" s="284" t="n">
        <v>0.991596638655462</v>
      </c>
      <c r="F142" s="284" t="n">
        <v>0.988795518207283</v>
      </c>
      <c r="G142" s="284" t="n">
        <v>0.985994397759104</v>
      </c>
      <c r="H142" s="284" t="n">
        <v>0.983193277310924</v>
      </c>
      <c r="I142" s="285" t="n">
        <v>0.980392156862745</v>
      </c>
    </row>
    <row r="143" customFormat="false" ht="15" hidden="false" customHeight="false" outlineLevel="0" collapsed="false">
      <c r="A143" s="283"/>
      <c r="B143" s="195" t="s">
        <v>170</v>
      </c>
      <c r="C143" s="284" t="n">
        <v>0</v>
      </c>
      <c r="D143" s="284" t="n">
        <v>0</v>
      </c>
      <c r="E143" s="284" t="n">
        <v>0</v>
      </c>
      <c r="F143" s="284" t="n">
        <v>0</v>
      </c>
      <c r="G143" s="284" t="n">
        <v>0</v>
      </c>
      <c r="H143" s="284" t="n">
        <v>0</v>
      </c>
      <c r="I143" s="285" t="n">
        <v>0</v>
      </c>
    </row>
    <row r="144" customFormat="false" ht="15" hidden="false" customHeight="false" outlineLevel="0" collapsed="false">
      <c r="A144" s="283"/>
      <c r="B144" s="195" t="s">
        <v>352</v>
      </c>
      <c r="C144" s="284" t="n">
        <v>0.00280112044817927</v>
      </c>
      <c r="D144" s="284" t="n">
        <v>0.00560224089635854</v>
      </c>
      <c r="E144" s="284" t="n">
        <v>0.00840336134453782</v>
      </c>
      <c r="F144" s="284" t="n">
        <v>0.0112044817927171</v>
      </c>
      <c r="G144" s="284" t="n">
        <v>0.0140056022408964</v>
      </c>
      <c r="H144" s="284" t="n">
        <v>0.0168067226890756</v>
      </c>
      <c r="I144" s="285" t="n">
        <v>0.0196078431372549</v>
      </c>
    </row>
    <row r="145" customFormat="false" ht="15" hidden="false" customHeight="false" outlineLevel="0" collapsed="false">
      <c r="A145" s="283"/>
      <c r="B145" s="195" t="s">
        <v>537</v>
      </c>
      <c r="C145" s="284" t="n">
        <v>0</v>
      </c>
      <c r="D145" s="284" t="n">
        <v>0</v>
      </c>
      <c r="E145" s="284" t="n">
        <v>0</v>
      </c>
      <c r="F145" s="284" t="n">
        <v>0</v>
      </c>
      <c r="G145" s="284" t="n">
        <v>0</v>
      </c>
      <c r="H145" s="284" t="n">
        <v>0</v>
      </c>
      <c r="I145" s="285" t="n">
        <v>0</v>
      </c>
    </row>
    <row r="146" customFormat="false" ht="15" hidden="false" customHeight="false" outlineLevel="0" collapsed="false">
      <c r="A146" s="291" t="s">
        <v>539</v>
      </c>
      <c r="B146" s="195" t="s">
        <v>536</v>
      </c>
      <c r="C146" s="284" t="n">
        <v>0.828710839598997</v>
      </c>
      <c r="D146" s="284" t="n">
        <v>0.696621510611267</v>
      </c>
      <c r="E146" s="284" t="n">
        <v>0.564597266908706</v>
      </c>
      <c r="F146" s="284" t="n">
        <v>0.4325196526178</v>
      </c>
      <c r="G146" s="284" t="n">
        <v>0.300442038326894</v>
      </c>
      <c r="H146" s="284" t="n">
        <v>0.168364424035988</v>
      </c>
      <c r="I146" s="285" t="n">
        <v>0.0362868097450825</v>
      </c>
    </row>
    <row r="147" customFormat="false" ht="15" hidden="false" customHeight="false" outlineLevel="0" collapsed="false">
      <c r="A147" s="291"/>
      <c r="B147" s="195" t="s">
        <v>170</v>
      </c>
      <c r="C147" s="284" t="n">
        <v>0.0569658521303258</v>
      </c>
      <c r="D147" s="284" t="n">
        <v>0.075022347727485</v>
      </c>
      <c r="E147" s="284" t="n">
        <v>0.0930658402211721</v>
      </c>
      <c r="F147" s="284" t="n">
        <v>0.111123391308862</v>
      </c>
      <c r="G147" s="284" t="n">
        <v>0.129180942396552</v>
      </c>
      <c r="H147" s="284" t="n">
        <v>0.147238493484242</v>
      </c>
      <c r="I147" s="285" t="n">
        <v>0.165296044571933</v>
      </c>
    </row>
    <row r="148" customFormat="false" ht="15" hidden="false" customHeight="false" outlineLevel="0" collapsed="false">
      <c r="A148" s="291"/>
      <c r="B148" s="195" t="s">
        <v>352</v>
      </c>
      <c r="C148" s="284" t="n">
        <v>0.111544486215539</v>
      </c>
      <c r="D148" s="284" t="n">
        <v>0.222798930718471</v>
      </c>
      <c r="E148" s="284" t="n">
        <v>0.334002638521957</v>
      </c>
      <c r="F148" s="284" t="n">
        <v>0.445244616942451</v>
      </c>
      <c r="G148" s="284" t="n">
        <v>0.556486595362946</v>
      </c>
      <c r="H148" s="284" t="n">
        <v>0.66772857378344</v>
      </c>
      <c r="I148" s="285" t="n">
        <v>0.778970552203934</v>
      </c>
    </row>
    <row r="149" customFormat="false" ht="15" hidden="false" customHeight="false" outlineLevel="0" collapsed="false">
      <c r="A149" s="291"/>
      <c r="B149" s="195" t="s">
        <v>537</v>
      </c>
      <c r="C149" s="292" t="n">
        <v>0.00277882205513784</v>
      </c>
      <c r="D149" s="292" t="n">
        <v>0.00555721094277666</v>
      </c>
      <c r="E149" s="292" t="n">
        <v>0.00833425434816467</v>
      </c>
      <c r="F149" s="292" t="n">
        <v>0.0111123391308862</v>
      </c>
      <c r="G149" s="292" t="n">
        <v>0.0138904239136078</v>
      </c>
      <c r="H149" s="292" t="n">
        <v>0.0166685086963293</v>
      </c>
      <c r="I149" s="293" t="n">
        <v>0.0194465934790509</v>
      </c>
    </row>
    <row r="150" s="295" customFormat="true" ht="15" hidden="false" customHeight="false" outlineLevel="0" collapsed="false">
      <c r="A150" s="294"/>
    </row>
    <row r="152" customFormat="false" ht="24.45" hidden="false" customHeight="false" outlineLevel="0" collapsed="false">
      <c r="A152" s="189" t="s">
        <v>540</v>
      </c>
    </row>
    <row r="153" customFormat="false" ht="17.35" hidden="false" customHeight="false" outlineLevel="0" collapsed="false">
      <c r="A153" s="212" t="s">
        <v>295</v>
      </c>
      <c r="B153" s="212"/>
      <c r="C153" s="212"/>
      <c r="D153" s="212"/>
      <c r="E153" s="212"/>
    </row>
    <row r="154" customFormat="false" ht="79.5" hidden="false" customHeight="true" outlineLevel="0" collapsed="false">
      <c r="A154" s="296" t="s">
        <v>296</v>
      </c>
      <c r="B154" s="296"/>
      <c r="C154" s="296"/>
      <c r="D154" s="296"/>
      <c r="E154" s="296"/>
    </row>
    <row r="155" customFormat="false" ht="15" hidden="false" customHeight="true" outlineLevel="0" collapsed="false">
      <c r="A155" s="297" t="s">
        <v>297</v>
      </c>
      <c r="B155" s="228" t="s">
        <v>298</v>
      </c>
      <c r="C155" s="298" t="n">
        <v>3</v>
      </c>
      <c r="D155" s="4"/>
    </row>
    <row r="156" customFormat="false" ht="16.5" hidden="false" customHeight="true" outlineLevel="0" collapsed="false">
      <c r="A156" s="297"/>
      <c r="B156" s="195" t="s">
        <v>299</v>
      </c>
      <c r="C156" s="298"/>
      <c r="D156" s="142"/>
      <c r="E156" s="142"/>
    </row>
    <row r="157" customFormat="false" ht="15" hidden="false" customHeight="false" outlineLevel="0" collapsed="false">
      <c r="A157" s="297"/>
      <c r="B157" s="198" t="s">
        <v>300</v>
      </c>
      <c r="C157" s="298"/>
      <c r="D157" s="4"/>
      <c r="E157" s="4"/>
    </row>
    <row r="158" customFormat="false" ht="15" hidden="false" customHeight="false" outlineLevel="0" collapsed="false">
      <c r="C158" s="299"/>
    </row>
    <row r="159" customFormat="false" ht="17.35" hidden="false" customHeight="false" outlineLevel="0" collapsed="false">
      <c r="A159" s="212" t="s">
        <v>301</v>
      </c>
      <c r="B159" s="212"/>
      <c r="C159" s="212"/>
    </row>
    <row r="160" customFormat="false" ht="15" hidden="false" customHeight="false" outlineLevel="0" collapsed="false">
      <c r="A160" s="213" t="s">
        <v>302</v>
      </c>
      <c r="B160" s="195" t="s">
        <v>11</v>
      </c>
      <c r="C160" s="300" t="n">
        <v>0.3</v>
      </c>
    </row>
    <row r="161" customFormat="false" ht="15" hidden="false" customHeight="false" outlineLevel="0" collapsed="false">
      <c r="A161" s="232" t="s">
        <v>304</v>
      </c>
      <c r="B161" s="198" t="s">
        <v>305</v>
      </c>
      <c r="C161" s="255" t="n">
        <v>0.25</v>
      </c>
    </row>
    <row r="162" customFormat="false" ht="17.35" hidden="false" customHeight="false" outlineLevel="0" collapsed="false">
      <c r="A162" s="301" t="s">
        <v>541</v>
      </c>
      <c r="B162" s="301"/>
      <c r="C162" s="302" t="s">
        <v>539</v>
      </c>
      <c r="D162" s="303" t="s">
        <v>542</v>
      </c>
      <c r="E162" s="303" t="s">
        <v>543</v>
      </c>
      <c r="F162" s="303" t="s">
        <v>544</v>
      </c>
      <c r="G162" s="303" t="s">
        <v>545</v>
      </c>
      <c r="H162" s="303" t="s">
        <v>546</v>
      </c>
      <c r="I162" s="303" t="s">
        <v>547</v>
      </c>
      <c r="J162" s="303" t="s">
        <v>548</v>
      </c>
      <c r="K162" s="303" t="s">
        <v>332</v>
      </c>
      <c r="L162" s="303" t="s">
        <v>347</v>
      </c>
      <c r="M162" s="303" t="s">
        <v>549</v>
      </c>
      <c r="N162" s="303" t="s">
        <v>550</v>
      </c>
      <c r="O162" s="303" t="s">
        <v>551</v>
      </c>
      <c r="P162" s="303" t="s">
        <v>552</v>
      </c>
      <c r="Q162" s="303" t="s">
        <v>553</v>
      </c>
      <c r="R162" s="303" t="s">
        <v>554</v>
      </c>
      <c r="S162" s="303" t="s">
        <v>555</v>
      </c>
      <c r="T162" s="303" t="s">
        <v>556</v>
      </c>
      <c r="U162" s="303" t="s">
        <v>557</v>
      </c>
      <c r="V162" s="303" t="s">
        <v>558</v>
      </c>
      <c r="W162" s="303" t="s">
        <v>559</v>
      </c>
      <c r="X162" s="303" t="s">
        <v>560</v>
      </c>
      <c r="Y162" s="303" t="s">
        <v>561</v>
      </c>
      <c r="Z162" s="303" t="s">
        <v>562</v>
      </c>
      <c r="AA162" s="303" t="s">
        <v>563</v>
      </c>
      <c r="AB162" s="303" t="s">
        <v>564</v>
      </c>
      <c r="AC162" s="303" t="s">
        <v>565</v>
      </c>
      <c r="AD162" s="303" t="s">
        <v>566</v>
      </c>
      <c r="AE162" s="303" t="s">
        <v>567</v>
      </c>
      <c r="AF162" s="303" t="s">
        <v>568</v>
      </c>
      <c r="AG162" s="303" t="s">
        <v>569</v>
      </c>
      <c r="AH162" s="303" t="s">
        <v>570</v>
      </c>
      <c r="AI162" s="303" t="s">
        <v>571</v>
      </c>
      <c r="AJ162" s="303" t="s">
        <v>572</v>
      </c>
      <c r="AK162" s="303" t="s">
        <v>573</v>
      </c>
      <c r="AL162" s="303" t="s">
        <v>574</v>
      </c>
      <c r="AM162" s="303" t="s">
        <v>575</v>
      </c>
      <c r="AN162" s="303" t="s">
        <v>576</v>
      </c>
      <c r="AO162" s="303" t="s">
        <v>577</v>
      </c>
      <c r="AP162" s="303" t="s">
        <v>578</v>
      </c>
      <c r="AQ162" s="303" t="s">
        <v>579</v>
      </c>
      <c r="AR162" s="303" t="s">
        <v>580</v>
      </c>
      <c r="AS162" s="303" t="s">
        <v>581</v>
      </c>
      <c r="AT162" s="304" t="s">
        <v>582</v>
      </c>
      <c r="AU162" s="302" t="s">
        <v>583</v>
      </c>
      <c r="AV162" s="304" t="s">
        <v>584</v>
      </c>
      <c r="AW162" s="302" t="s">
        <v>585</v>
      </c>
      <c r="AX162" s="304" t="s">
        <v>586</v>
      </c>
      <c r="AY162" s="302" t="s">
        <v>587</v>
      </c>
      <c r="AZ162" s="304" t="s">
        <v>588</v>
      </c>
      <c r="BA162" s="301"/>
      <c r="BB162" s="301"/>
      <c r="BC162" s="301"/>
      <c r="BD162" s="301"/>
      <c r="BE162" s="301"/>
      <c r="BF162" s="301"/>
      <c r="BG162" s="301"/>
      <c r="BH162" s="301"/>
      <c r="BI162" s="301"/>
      <c r="BJ162" s="301"/>
      <c r="BK162" s="301"/>
      <c r="BL162" s="301"/>
      <c r="BM162" s="301"/>
      <c r="BN162" s="301"/>
      <c r="BO162" s="301"/>
      <c r="BP162" s="301"/>
      <c r="BQ162" s="301"/>
      <c r="BR162" s="301"/>
      <c r="BS162" s="301"/>
      <c r="BT162" s="301"/>
      <c r="BU162" s="301"/>
      <c r="BV162" s="301"/>
      <c r="BW162" s="301"/>
      <c r="BX162" s="301"/>
      <c r="BY162" s="301"/>
      <c r="BZ162" s="301"/>
      <c r="CA162" s="301"/>
      <c r="CB162" s="301"/>
      <c r="CC162" s="301"/>
      <c r="CD162" s="301"/>
      <c r="CE162" s="301"/>
      <c r="CF162" s="301"/>
      <c r="CG162" s="301"/>
      <c r="CH162" s="301"/>
      <c r="CI162" s="301"/>
      <c r="CJ162" s="301"/>
      <c r="CK162" s="301"/>
      <c r="CL162" s="301"/>
      <c r="CM162" s="301"/>
      <c r="CN162" s="301"/>
      <c r="CO162" s="301"/>
      <c r="CP162" s="301"/>
      <c r="CQ162" s="301"/>
      <c r="CR162" s="301"/>
      <c r="CS162" s="305"/>
      <c r="CT162" s="301"/>
      <c r="CU162" s="301"/>
      <c r="CV162" s="301"/>
      <c r="CW162" s="301"/>
      <c r="CX162" s="301"/>
      <c r="CY162" s="301"/>
      <c r="CZ162" s="301"/>
      <c r="DA162" s="301"/>
      <c r="DB162" s="301"/>
      <c r="DC162" s="301"/>
      <c r="DD162" s="301"/>
      <c r="DE162" s="301"/>
      <c r="DF162" s="301"/>
      <c r="DG162" s="301"/>
      <c r="DH162" s="301"/>
      <c r="DI162" s="301"/>
      <c r="DJ162" s="301"/>
      <c r="DK162" s="301"/>
      <c r="DL162" s="301"/>
      <c r="DM162" s="301"/>
      <c r="DN162" s="301"/>
      <c r="DO162" s="301"/>
      <c r="DP162" s="301"/>
      <c r="DQ162" s="301"/>
      <c r="DR162" s="301"/>
      <c r="DS162" s="301"/>
      <c r="DT162" s="301"/>
      <c r="DU162" s="301"/>
      <c r="DV162" s="301"/>
      <c r="DW162" s="301"/>
      <c r="DX162" s="301"/>
      <c r="DY162" s="301"/>
      <c r="DZ162" s="301"/>
      <c r="EA162" s="301"/>
      <c r="EB162" s="301"/>
      <c r="EC162" s="301"/>
      <c r="ED162" s="301"/>
      <c r="EE162" s="301"/>
      <c r="EF162" s="301"/>
      <c r="EG162" s="301"/>
      <c r="EH162" s="301"/>
      <c r="EI162" s="301"/>
      <c r="EJ162" s="301"/>
      <c r="EK162" s="301"/>
      <c r="EL162" s="301"/>
      <c r="EM162" s="301"/>
      <c r="EN162" s="301"/>
      <c r="EO162" s="301"/>
      <c r="EP162" s="301"/>
      <c r="EQ162" s="301"/>
      <c r="ER162" s="301"/>
      <c r="ES162" s="301"/>
      <c r="ET162" s="301"/>
      <c r="EU162" s="301"/>
      <c r="EV162" s="301"/>
      <c r="EW162" s="301"/>
      <c r="EX162" s="301"/>
      <c r="EY162" s="301"/>
      <c r="EZ162" s="301"/>
      <c r="FA162" s="301"/>
    </row>
    <row r="163" s="307" customFormat="true" ht="15" hidden="false" customHeight="false" outlineLevel="0" collapsed="false">
      <c r="A163" s="306" t="s">
        <v>352</v>
      </c>
      <c r="B163" s="306"/>
      <c r="C163" s="307" t="n">
        <v>2030</v>
      </c>
      <c r="D163" s="307" t="n">
        <v>2030</v>
      </c>
      <c r="E163" s="307" t="n">
        <v>2030</v>
      </c>
      <c r="F163" s="307" t="n">
        <v>2030</v>
      </c>
      <c r="G163" s="307" t="n">
        <v>2030</v>
      </c>
      <c r="H163" s="307" t="n">
        <v>2030</v>
      </c>
      <c r="I163" s="307" t="n">
        <v>2030</v>
      </c>
      <c r="J163" s="307" t="n">
        <v>2030</v>
      </c>
      <c r="K163" s="307" t="n">
        <v>2030</v>
      </c>
      <c r="L163" s="307" t="n">
        <v>2030</v>
      </c>
      <c r="M163" s="307" t="n">
        <v>2030</v>
      </c>
      <c r="N163" s="307" t="n">
        <v>2030</v>
      </c>
      <c r="O163" s="307" t="n">
        <v>2030</v>
      </c>
      <c r="P163" s="307" t="n">
        <v>2030</v>
      </c>
      <c r="Q163" s="307" t="n">
        <v>2030</v>
      </c>
      <c r="R163" s="307" t="n">
        <v>2030</v>
      </c>
      <c r="S163" s="307" t="n">
        <v>2030</v>
      </c>
      <c r="T163" s="307" t="n">
        <v>2030</v>
      </c>
      <c r="U163" s="307" t="n">
        <v>2030</v>
      </c>
      <c r="V163" s="307" t="n">
        <v>2030</v>
      </c>
      <c r="W163" s="307" t="n">
        <v>2030</v>
      </c>
      <c r="X163" s="307" t="n">
        <v>2030</v>
      </c>
      <c r="Y163" s="307" t="n">
        <v>2030</v>
      </c>
      <c r="Z163" s="307" t="n">
        <v>2030</v>
      </c>
      <c r="AA163" s="307" t="n">
        <v>2030</v>
      </c>
      <c r="AB163" s="307" t="n">
        <v>2030</v>
      </c>
      <c r="AC163" s="307" t="n">
        <v>2030</v>
      </c>
      <c r="AD163" s="307" t="n">
        <v>2030</v>
      </c>
      <c r="AE163" s="307" t="n">
        <v>2030</v>
      </c>
      <c r="AF163" s="307" t="n">
        <v>2030</v>
      </c>
      <c r="AG163" s="307" t="n">
        <v>2030</v>
      </c>
      <c r="AH163" s="307" t="n">
        <v>2030</v>
      </c>
      <c r="AI163" s="307" t="n">
        <v>2030</v>
      </c>
      <c r="AJ163" s="307" t="n">
        <v>2030</v>
      </c>
      <c r="AK163" s="307" t="n">
        <v>2030</v>
      </c>
      <c r="AL163" s="307" t="n">
        <v>2030</v>
      </c>
      <c r="AM163" s="307" t="n">
        <v>2030</v>
      </c>
      <c r="AN163" s="307" t="n">
        <v>2030</v>
      </c>
      <c r="AO163" s="307" t="n">
        <v>2030</v>
      </c>
      <c r="AP163" s="307" t="n">
        <v>2030</v>
      </c>
      <c r="AQ163" s="307" t="n">
        <v>2030</v>
      </c>
      <c r="AR163" s="307" t="n">
        <v>2030</v>
      </c>
      <c r="AS163" s="307" t="n">
        <v>2030</v>
      </c>
      <c r="AT163" s="307" t="n">
        <v>2030</v>
      </c>
      <c r="AU163" s="307" t="n">
        <v>2030</v>
      </c>
      <c r="AV163" s="307" t="n">
        <v>2030</v>
      </c>
      <c r="AW163" s="307" t="n">
        <v>2030</v>
      </c>
      <c r="AX163" s="307" t="n">
        <v>2030</v>
      </c>
      <c r="AY163" s="307" t="n">
        <v>2030</v>
      </c>
      <c r="AZ163" s="307" t="n">
        <v>2030</v>
      </c>
      <c r="BA163" s="306"/>
      <c r="BB163" s="306"/>
      <c r="BQ163" s="308"/>
      <c r="BR163" s="306"/>
      <c r="BS163" s="306"/>
      <c r="CH163" s="308"/>
      <c r="CI163" s="306"/>
      <c r="CJ163" s="306"/>
      <c r="DB163" s="308"/>
      <c r="DC163" s="306"/>
      <c r="DD163" s="306"/>
      <c r="DS163" s="308"/>
      <c r="DT163" s="306"/>
      <c r="DU163" s="306"/>
      <c r="EJ163" s="308"/>
      <c r="EK163" s="306"/>
      <c r="EL163" s="306"/>
      <c r="FA163" s="308"/>
    </row>
    <row r="164" s="307" customFormat="true" ht="15" hidden="false" customHeight="false" outlineLevel="0" collapsed="false">
      <c r="A164" s="306" t="s">
        <v>353</v>
      </c>
      <c r="B164" s="306"/>
      <c r="C164" s="307" t="n">
        <v>2030</v>
      </c>
      <c r="D164" s="307" t="n">
        <v>2030</v>
      </c>
      <c r="E164" s="307" t="n">
        <v>2030</v>
      </c>
      <c r="F164" s="307" t="n">
        <v>2030</v>
      </c>
      <c r="G164" s="307" t="n">
        <v>2030</v>
      </c>
      <c r="H164" s="307" t="n">
        <v>2030</v>
      </c>
      <c r="I164" s="307" t="n">
        <v>2030</v>
      </c>
      <c r="J164" s="307" t="n">
        <v>2030</v>
      </c>
      <c r="K164" s="307" t="n">
        <v>2030</v>
      </c>
      <c r="L164" s="307" t="n">
        <v>2030</v>
      </c>
      <c r="M164" s="307" t="n">
        <v>2030</v>
      </c>
      <c r="N164" s="307" t="n">
        <v>2030</v>
      </c>
      <c r="O164" s="307" t="n">
        <v>2030</v>
      </c>
      <c r="P164" s="307" t="n">
        <v>2030</v>
      </c>
      <c r="Q164" s="307" t="n">
        <v>2030</v>
      </c>
      <c r="R164" s="307" t="n">
        <v>2030</v>
      </c>
      <c r="S164" s="307" t="n">
        <v>2030</v>
      </c>
      <c r="T164" s="307" t="n">
        <v>2030</v>
      </c>
      <c r="U164" s="307" t="n">
        <v>2030</v>
      </c>
      <c r="V164" s="307" t="n">
        <v>2030</v>
      </c>
      <c r="W164" s="307" t="n">
        <v>2030</v>
      </c>
      <c r="X164" s="307" t="n">
        <v>2030</v>
      </c>
      <c r="Y164" s="307" t="n">
        <v>2030</v>
      </c>
      <c r="Z164" s="307" t="n">
        <v>2030</v>
      </c>
      <c r="AA164" s="307" t="n">
        <v>2030</v>
      </c>
      <c r="AB164" s="307" t="n">
        <v>2030</v>
      </c>
      <c r="AC164" s="307" t="n">
        <v>2030</v>
      </c>
      <c r="AD164" s="307" t="n">
        <v>2030</v>
      </c>
      <c r="AE164" s="307" t="n">
        <v>2030</v>
      </c>
      <c r="AF164" s="307" t="n">
        <v>2030</v>
      </c>
      <c r="AG164" s="307" t="n">
        <v>2030</v>
      </c>
      <c r="AH164" s="307" t="n">
        <v>2030</v>
      </c>
      <c r="AI164" s="307" t="n">
        <v>2030</v>
      </c>
      <c r="AJ164" s="307" t="n">
        <v>2030</v>
      </c>
      <c r="AK164" s="307" t="n">
        <v>2030</v>
      </c>
      <c r="AL164" s="307" t="n">
        <v>2030</v>
      </c>
      <c r="AM164" s="307" t="n">
        <v>2030</v>
      </c>
      <c r="AN164" s="307" t="n">
        <v>2030</v>
      </c>
      <c r="AO164" s="307" t="n">
        <v>2030</v>
      </c>
      <c r="AP164" s="307" t="n">
        <v>2030</v>
      </c>
      <c r="AQ164" s="307" t="n">
        <v>2030</v>
      </c>
      <c r="AR164" s="307" t="n">
        <v>2030</v>
      </c>
      <c r="AS164" s="307" t="n">
        <v>2030</v>
      </c>
      <c r="AT164" s="307" t="n">
        <v>2030</v>
      </c>
      <c r="AU164" s="307" t="n">
        <v>2030</v>
      </c>
      <c r="AV164" s="307" t="n">
        <v>2030</v>
      </c>
      <c r="AW164" s="307" t="n">
        <v>2030</v>
      </c>
      <c r="AX164" s="307" t="n">
        <v>2030</v>
      </c>
      <c r="AY164" s="307" t="n">
        <v>2030</v>
      </c>
      <c r="AZ164" s="307" t="n">
        <v>2030</v>
      </c>
      <c r="BA164" s="306"/>
      <c r="BB164" s="306"/>
      <c r="BQ164" s="308"/>
      <c r="BR164" s="306"/>
      <c r="BS164" s="306"/>
      <c r="CH164" s="308"/>
      <c r="CI164" s="306"/>
      <c r="CJ164" s="306"/>
      <c r="DB164" s="308"/>
      <c r="DC164" s="306"/>
      <c r="DD164" s="306"/>
      <c r="DS164" s="308"/>
      <c r="DT164" s="306"/>
      <c r="DU164" s="306"/>
      <c r="EJ164" s="308"/>
      <c r="EK164" s="306"/>
      <c r="EL164" s="306"/>
      <c r="FA164" s="308"/>
    </row>
    <row r="165" s="307" customFormat="true" ht="15" hidden="false" customHeight="false" outlineLevel="0" collapsed="false">
      <c r="A165" s="306" t="s">
        <v>354</v>
      </c>
      <c r="B165" s="306"/>
      <c r="C165" s="307" t="n">
        <v>2030</v>
      </c>
      <c r="D165" s="307" t="n">
        <v>2030</v>
      </c>
      <c r="E165" s="307" t="n">
        <v>2030</v>
      </c>
      <c r="F165" s="307" t="n">
        <v>2030</v>
      </c>
      <c r="G165" s="307" t="n">
        <v>2030</v>
      </c>
      <c r="H165" s="307" t="n">
        <v>2030</v>
      </c>
      <c r="I165" s="307" t="n">
        <v>2030</v>
      </c>
      <c r="J165" s="307" t="n">
        <v>2030</v>
      </c>
      <c r="K165" s="307" t="n">
        <v>2030</v>
      </c>
      <c r="L165" s="307" t="n">
        <v>2030</v>
      </c>
      <c r="M165" s="307" t="n">
        <v>2030</v>
      </c>
      <c r="N165" s="307" t="n">
        <v>2030</v>
      </c>
      <c r="O165" s="307" t="n">
        <v>2030</v>
      </c>
      <c r="P165" s="307" t="n">
        <v>2030</v>
      </c>
      <c r="Q165" s="307" t="n">
        <v>2030</v>
      </c>
      <c r="R165" s="307" t="n">
        <v>2030</v>
      </c>
      <c r="S165" s="307" t="n">
        <v>2030</v>
      </c>
      <c r="T165" s="307" t="n">
        <v>2030</v>
      </c>
      <c r="U165" s="307" t="n">
        <v>2030</v>
      </c>
      <c r="V165" s="307" t="n">
        <v>2030</v>
      </c>
      <c r="W165" s="307" t="n">
        <v>2030</v>
      </c>
      <c r="X165" s="307" t="n">
        <v>2030</v>
      </c>
      <c r="Y165" s="307" t="n">
        <v>2030</v>
      </c>
      <c r="Z165" s="307" t="n">
        <v>2030</v>
      </c>
      <c r="AA165" s="307" t="n">
        <v>2030</v>
      </c>
      <c r="AB165" s="307" t="n">
        <v>2030</v>
      </c>
      <c r="AC165" s="307" t="n">
        <v>2030</v>
      </c>
      <c r="AD165" s="307" t="n">
        <v>2030</v>
      </c>
      <c r="AE165" s="307" t="n">
        <v>2030</v>
      </c>
      <c r="AF165" s="307" t="n">
        <v>2030</v>
      </c>
      <c r="AG165" s="307" t="n">
        <v>2030</v>
      </c>
      <c r="AH165" s="307" t="n">
        <v>2030</v>
      </c>
      <c r="AI165" s="307" t="n">
        <v>2030</v>
      </c>
      <c r="AJ165" s="307" t="n">
        <v>2030</v>
      </c>
      <c r="AK165" s="307" t="n">
        <v>2030</v>
      </c>
      <c r="AL165" s="307" t="n">
        <v>2030</v>
      </c>
      <c r="AM165" s="307" t="n">
        <v>2030</v>
      </c>
      <c r="AN165" s="307" t="n">
        <v>2030</v>
      </c>
      <c r="AO165" s="307" t="n">
        <v>2030</v>
      </c>
      <c r="AP165" s="307" t="n">
        <v>2030</v>
      </c>
      <c r="AQ165" s="307" t="n">
        <v>2030</v>
      </c>
      <c r="AR165" s="307" t="n">
        <v>2030</v>
      </c>
      <c r="AS165" s="307" t="n">
        <v>2030</v>
      </c>
      <c r="AT165" s="307" t="n">
        <v>2030</v>
      </c>
      <c r="AU165" s="307" t="n">
        <v>2030</v>
      </c>
      <c r="AV165" s="307" t="n">
        <v>2030</v>
      </c>
      <c r="AW165" s="307" t="n">
        <v>2030</v>
      </c>
      <c r="AX165" s="307" t="n">
        <v>2030</v>
      </c>
      <c r="AY165" s="307" t="n">
        <v>2030</v>
      </c>
      <c r="AZ165" s="307" t="n">
        <v>2030</v>
      </c>
      <c r="BA165" s="306"/>
      <c r="BB165" s="306"/>
      <c r="BQ165" s="308"/>
      <c r="BR165" s="306"/>
      <c r="BS165" s="306"/>
      <c r="CH165" s="308"/>
      <c r="CI165" s="306"/>
      <c r="CJ165" s="306"/>
      <c r="DB165" s="308"/>
      <c r="DC165" s="306"/>
      <c r="DD165" s="306"/>
      <c r="DS165" s="308"/>
      <c r="DT165" s="306"/>
      <c r="DU165" s="306"/>
      <c r="EJ165" s="308"/>
      <c r="EK165" s="306"/>
      <c r="EL165" s="306"/>
      <c r="FA165" s="308"/>
    </row>
    <row r="166" s="307" customFormat="true" ht="15" hidden="false" customHeight="false" outlineLevel="0" collapsed="false">
      <c r="A166" s="306" t="s">
        <v>355</v>
      </c>
      <c r="B166" s="306"/>
      <c r="C166" s="307" t="n">
        <v>2030</v>
      </c>
      <c r="D166" s="307" t="n">
        <v>2030</v>
      </c>
      <c r="E166" s="307" t="n">
        <v>2030</v>
      </c>
      <c r="F166" s="307" t="n">
        <v>2030</v>
      </c>
      <c r="G166" s="307" t="n">
        <v>2030</v>
      </c>
      <c r="H166" s="307" t="n">
        <v>2030</v>
      </c>
      <c r="I166" s="307" t="n">
        <v>2030</v>
      </c>
      <c r="J166" s="307" t="n">
        <v>2030</v>
      </c>
      <c r="K166" s="307" t="n">
        <v>2030</v>
      </c>
      <c r="L166" s="307" t="n">
        <v>2030</v>
      </c>
      <c r="M166" s="307" t="n">
        <v>2030</v>
      </c>
      <c r="N166" s="307" t="n">
        <v>2030</v>
      </c>
      <c r="O166" s="307" t="n">
        <v>2030</v>
      </c>
      <c r="P166" s="307" t="n">
        <v>2030</v>
      </c>
      <c r="Q166" s="307" t="n">
        <v>2030</v>
      </c>
      <c r="R166" s="307" t="n">
        <v>2030</v>
      </c>
      <c r="S166" s="307" t="n">
        <v>2030</v>
      </c>
      <c r="T166" s="307" t="n">
        <v>2030</v>
      </c>
      <c r="U166" s="307" t="n">
        <v>2030</v>
      </c>
      <c r="V166" s="307" t="n">
        <v>2030</v>
      </c>
      <c r="W166" s="307" t="n">
        <v>2030</v>
      </c>
      <c r="X166" s="307" t="n">
        <v>2030</v>
      </c>
      <c r="Y166" s="307" t="n">
        <v>2030</v>
      </c>
      <c r="Z166" s="307" t="n">
        <v>2030</v>
      </c>
      <c r="AA166" s="307" t="n">
        <v>2030</v>
      </c>
      <c r="AB166" s="307" t="n">
        <v>2030</v>
      </c>
      <c r="AC166" s="307" t="n">
        <v>2030</v>
      </c>
      <c r="AD166" s="307" t="n">
        <v>2030</v>
      </c>
      <c r="AE166" s="307" t="n">
        <v>2030</v>
      </c>
      <c r="AF166" s="307" t="n">
        <v>2030</v>
      </c>
      <c r="AG166" s="307" t="n">
        <v>2030</v>
      </c>
      <c r="AH166" s="307" t="n">
        <v>2030</v>
      </c>
      <c r="AI166" s="307" t="n">
        <v>2030</v>
      </c>
      <c r="AJ166" s="307" t="n">
        <v>2030</v>
      </c>
      <c r="AK166" s="307" t="n">
        <v>2030</v>
      </c>
      <c r="AL166" s="307" t="n">
        <v>2030</v>
      </c>
      <c r="AM166" s="307" t="n">
        <v>2030</v>
      </c>
      <c r="AN166" s="307" t="n">
        <v>2030</v>
      </c>
      <c r="AO166" s="307" t="n">
        <v>2030</v>
      </c>
      <c r="AP166" s="307" t="n">
        <v>2030</v>
      </c>
      <c r="AQ166" s="307" t="n">
        <v>2030</v>
      </c>
      <c r="AR166" s="307" t="n">
        <v>2030</v>
      </c>
      <c r="AS166" s="307" t="n">
        <v>2030</v>
      </c>
      <c r="AT166" s="307" t="n">
        <v>2030</v>
      </c>
      <c r="AU166" s="307" t="n">
        <v>2030</v>
      </c>
      <c r="AV166" s="307" t="n">
        <v>2030</v>
      </c>
      <c r="AW166" s="307" t="n">
        <v>2030</v>
      </c>
      <c r="AX166" s="307" t="n">
        <v>2030</v>
      </c>
      <c r="AY166" s="307" t="n">
        <v>2030</v>
      </c>
      <c r="AZ166" s="307" t="n">
        <v>2030</v>
      </c>
      <c r="BA166" s="306"/>
      <c r="BB166" s="306"/>
      <c r="BQ166" s="308"/>
      <c r="BR166" s="306"/>
      <c r="BS166" s="306"/>
      <c r="CH166" s="308"/>
      <c r="CI166" s="306"/>
      <c r="CJ166" s="306"/>
      <c r="DB166" s="308"/>
      <c r="DC166" s="306"/>
      <c r="DD166" s="306"/>
      <c r="DS166" s="308"/>
      <c r="DT166" s="306"/>
      <c r="DU166" s="306"/>
      <c r="EJ166" s="308"/>
      <c r="EK166" s="306"/>
      <c r="EL166" s="306"/>
      <c r="FA166" s="308"/>
    </row>
    <row r="167" s="307" customFormat="true" ht="15" hidden="false" customHeight="false" outlineLevel="0" collapsed="false">
      <c r="A167" s="306" t="s">
        <v>356</v>
      </c>
      <c r="B167" s="306"/>
      <c r="C167" s="307" t="n">
        <v>2030</v>
      </c>
      <c r="D167" s="307" t="n">
        <v>2030</v>
      </c>
      <c r="E167" s="307" t="n">
        <v>2030</v>
      </c>
      <c r="F167" s="307" t="n">
        <v>2030</v>
      </c>
      <c r="G167" s="307" t="n">
        <v>2030</v>
      </c>
      <c r="H167" s="307" t="n">
        <v>2030</v>
      </c>
      <c r="I167" s="307" t="n">
        <v>2030</v>
      </c>
      <c r="J167" s="307" t="n">
        <v>2030</v>
      </c>
      <c r="K167" s="307" t="n">
        <v>2030</v>
      </c>
      <c r="L167" s="307" t="n">
        <v>2030</v>
      </c>
      <c r="M167" s="307" t="n">
        <v>2030</v>
      </c>
      <c r="N167" s="307" t="n">
        <v>2030</v>
      </c>
      <c r="O167" s="307" t="n">
        <v>2030</v>
      </c>
      <c r="P167" s="307" t="n">
        <v>2030</v>
      </c>
      <c r="Q167" s="307" t="n">
        <v>2030</v>
      </c>
      <c r="R167" s="307" t="n">
        <v>2030</v>
      </c>
      <c r="S167" s="307" t="n">
        <v>2030</v>
      </c>
      <c r="T167" s="307" t="n">
        <v>2030</v>
      </c>
      <c r="U167" s="307" t="n">
        <v>2030</v>
      </c>
      <c r="V167" s="307" t="n">
        <v>2030</v>
      </c>
      <c r="W167" s="307" t="n">
        <v>2030</v>
      </c>
      <c r="X167" s="307" t="n">
        <v>2030</v>
      </c>
      <c r="Y167" s="307" t="n">
        <v>2030</v>
      </c>
      <c r="Z167" s="307" t="n">
        <v>2030</v>
      </c>
      <c r="AA167" s="307" t="n">
        <v>2030</v>
      </c>
      <c r="AB167" s="307" t="n">
        <v>2030</v>
      </c>
      <c r="AC167" s="307" t="n">
        <v>2030</v>
      </c>
      <c r="AD167" s="307" t="n">
        <v>2030</v>
      </c>
      <c r="AE167" s="307" t="n">
        <v>2030</v>
      </c>
      <c r="AF167" s="307" t="n">
        <v>2030</v>
      </c>
      <c r="AG167" s="307" t="n">
        <v>2030</v>
      </c>
      <c r="AH167" s="307" t="n">
        <v>2030</v>
      </c>
      <c r="AI167" s="307" t="n">
        <v>2030</v>
      </c>
      <c r="AJ167" s="307" t="n">
        <v>2030</v>
      </c>
      <c r="AK167" s="307" t="n">
        <v>2030</v>
      </c>
      <c r="AL167" s="307" t="n">
        <v>2030</v>
      </c>
      <c r="AM167" s="307" t="n">
        <v>2030</v>
      </c>
      <c r="AN167" s="307" t="n">
        <v>2030</v>
      </c>
      <c r="AO167" s="307" t="n">
        <v>2030</v>
      </c>
      <c r="AP167" s="307" t="n">
        <v>2030</v>
      </c>
      <c r="AQ167" s="307" t="n">
        <v>2030</v>
      </c>
      <c r="AR167" s="307" t="n">
        <v>2030</v>
      </c>
      <c r="AS167" s="307" t="n">
        <v>2030</v>
      </c>
      <c r="AT167" s="307" t="n">
        <v>2030</v>
      </c>
      <c r="AU167" s="307" t="n">
        <v>2030</v>
      </c>
      <c r="AV167" s="307" t="n">
        <v>2030</v>
      </c>
      <c r="AW167" s="307" t="n">
        <v>2030</v>
      </c>
      <c r="AX167" s="307" t="n">
        <v>2030</v>
      </c>
      <c r="AY167" s="307" t="n">
        <v>2030</v>
      </c>
      <c r="AZ167" s="307" t="n">
        <v>2030</v>
      </c>
      <c r="BA167" s="306"/>
      <c r="BB167" s="306"/>
      <c r="BQ167" s="308"/>
      <c r="BR167" s="306"/>
      <c r="BS167" s="306"/>
      <c r="CH167" s="308"/>
      <c r="CI167" s="306"/>
      <c r="CJ167" s="306"/>
      <c r="DB167" s="308"/>
      <c r="DC167" s="306"/>
      <c r="DD167" s="306"/>
      <c r="DS167" s="308"/>
      <c r="DT167" s="306"/>
      <c r="DU167" s="306"/>
      <c r="EJ167" s="308"/>
      <c r="EK167" s="306"/>
      <c r="EL167" s="306"/>
      <c r="FA167" s="308"/>
    </row>
    <row r="168" customFormat="false" ht="17.35" hidden="false" customHeight="false" outlineLevel="0" collapsed="false">
      <c r="A168" s="272" t="s">
        <v>589</v>
      </c>
      <c r="B168" s="273"/>
      <c r="C168" s="273"/>
      <c r="D168" s="273"/>
      <c r="E168" s="273"/>
      <c r="F168" s="273"/>
      <c r="G168" s="273"/>
      <c r="H168" s="273"/>
      <c r="I168" s="273"/>
      <c r="J168" s="273"/>
      <c r="K168" s="273"/>
      <c r="L168" s="273"/>
      <c r="M168" s="273"/>
      <c r="N168" s="273"/>
      <c r="O168" s="273"/>
      <c r="P168" s="273"/>
      <c r="Q168" s="273"/>
      <c r="R168" s="273"/>
      <c r="S168" s="273"/>
      <c r="T168" s="273"/>
      <c r="U168" s="273"/>
      <c r="V168" s="273"/>
      <c r="W168" s="273"/>
      <c r="X168" s="273"/>
      <c r="Y168" s="273"/>
      <c r="Z168" s="273"/>
      <c r="AA168" s="273"/>
      <c r="AB168" s="273"/>
      <c r="AC168" s="273"/>
      <c r="AD168" s="273"/>
      <c r="AE168" s="273"/>
      <c r="AF168" s="273"/>
      <c r="AG168" s="273"/>
      <c r="AH168" s="273"/>
      <c r="AI168" s="273"/>
      <c r="AJ168" s="273"/>
      <c r="AK168" s="273"/>
      <c r="AL168" s="273"/>
      <c r="AM168" s="273"/>
      <c r="AN168" s="273"/>
      <c r="AO168" s="273"/>
      <c r="AP168" s="273"/>
      <c r="AQ168" s="273"/>
      <c r="AR168" s="273"/>
      <c r="AS168" s="273"/>
      <c r="AT168" s="273"/>
      <c r="AU168" s="273"/>
      <c r="AV168" s="273"/>
      <c r="AW168" s="273"/>
      <c r="AX168" s="273"/>
      <c r="AY168" s="273"/>
      <c r="AZ168" s="273"/>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c r="BU168" s="212"/>
      <c r="BV168" s="212"/>
      <c r="BW168" s="212"/>
      <c r="BX168" s="212"/>
      <c r="BY168" s="212"/>
      <c r="BZ168" s="212"/>
      <c r="CA168" s="212"/>
      <c r="CB168" s="212"/>
      <c r="CC168" s="212"/>
      <c r="CD168" s="212"/>
      <c r="CE168" s="212"/>
      <c r="CF168" s="212"/>
      <c r="CG168" s="212"/>
      <c r="CH168" s="212"/>
      <c r="CI168" s="242"/>
      <c r="CJ168" s="242"/>
      <c r="CK168" s="242"/>
      <c r="CL168" s="242"/>
      <c r="CM168" s="242"/>
      <c r="CN168" s="242"/>
      <c r="CO168" s="242"/>
      <c r="CP168" s="242"/>
      <c r="CQ168" s="242"/>
      <c r="CR168" s="242"/>
      <c r="CS168" s="309"/>
      <c r="CT168" s="309"/>
      <c r="CU168" s="309"/>
      <c r="CV168" s="309"/>
      <c r="CW168" s="309"/>
      <c r="CX168" s="309"/>
      <c r="CY168" s="309"/>
      <c r="CZ168" s="309"/>
      <c r="DA168" s="309"/>
      <c r="DB168" s="309"/>
      <c r="DC168" s="212"/>
      <c r="DD168" s="212"/>
      <c r="DE168" s="212"/>
      <c r="DF168" s="212"/>
      <c r="DG168" s="212"/>
      <c r="DH168" s="212"/>
      <c r="DI168" s="212"/>
      <c r="DJ168" s="212"/>
      <c r="DK168" s="212"/>
      <c r="DL168" s="212"/>
      <c r="DM168" s="212"/>
      <c r="DN168" s="212"/>
      <c r="DO168" s="212"/>
      <c r="DP168" s="212"/>
      <c r="DQ168" s="212"/>
      <c r="DR168" s="212"/>
      <c r="DS168" s="212"/>
      <c r="DT168" s="212"/>
      <c r="DU168" s="212"/>
      <c r="DV168" s="212"/>
      <c r="DW168" s="212"/>
      <c r="DX168" s="212"/>
      <c r="DY168" s="212"/>
      <c r="DZ168" s="212"/>
      <c r="EA168" s="212"/>
      <c r="EB168" s="212"/>
      <c r="EC168" s="212"/>
      <c r="ED168" s="212"/>
      <c r="EE168" s="212"/>
      <c r="EF168" s="212"/>
      <c r="EG168" s="212"/>
      <c r="EH168" s="212"/>
      <c r="EI168" s="212"/>
      <c r="EJ168" s="212"/>
      <c r="EK168" s="212"/>
      <c r="EL168" s="212"/>
      <c r="EM168" s="212"/>
      <c r="EN168" s="212"/>
      <c r="EO168" s="212"/>
      <c r="EP168" s="212"/>
      <c r="EQ168" s="212"/>
      <c r="ER168" s="212"/>
      <c r="ES168" s="212"/>
      <c r="ET168" s="212"/>
      <c r="EU168" s="212"/>
      <c r="EV168" s="212"/>
      <c r="EW168" s="212"/>
      <c r="EX168" s="212"/>
      <c r="EY168" s="212"/>
      <c r="EZ168" s="212"/>
      <c r="FA168" s="212"/>
    </row>
    <row r="169" s="307" customFormat="true" ht="15" hidden="false" customHeight="false" outlineLevel="0" collapsed="false">
      <c r="A169" s="306" t="s">
        <v>352</v>
      </c>
      <c r="B169" s="306"/>
      <c r="C169" s="307" t="n">
        <v>1</v>
      </c>
      <c r="D169" s="307" t="n">
        <v>1</v>
      </c>
      <c r="E169" s="307" t="n">
        <v>1</v>
      </c>
      <c r="F169" s="307" t="n">
        <v>1</v>
      </c>
      <c r="G169" s="307" t="n">
        <v>1</v>
      </c>
      <c r="H169" s="307" t="n">
        <v>1</v>
      </c>
      <c r="I169" s="307" t="n">
        <v>1</v>
      </c>
      <c r="J169" s="307" t="n">
        <v>1</v>
      </c>
      <c r="K169" s="307" t="n">
        <v>1</v>
      </c>
      <c r="L169" s="307" t="n">
        <v>1</v>
      </c>
      <c r="M169" s="307" t="n">
        <v>1</v>
      </c>
      <c r="N169" s="307" t="n">
        <v>1</v>
      </c>
      <c r="O169" s="307" t="n">
        <v>1</v>
      </c>
      <c r="P169" s="307" t="n">
        <v>1</v>
      </c>
      <c r="Q169" s="307" t="n">
        <v>1</v>
      </c>
      <c r="R169" s="307" t="n">
        <v>1</v>
      </c>
      <c r="S169" s="307" t="n">
        <v>1</v>
      </c>
      <c r="T169" s="307" t="n">
        <v>1</v>
      </c>
      <c r="U169" s="307" t="n">
        <v>1</v>
      </c>
      <c r="V169" s="307" t="n">
        <v>1</v>
      </c>
      <c r="W169" s="307" t="n">
        <v>1</v>
      </c>
      <c r="X169" s="307" t="n">
        <v>1</v>
      </c>
      <c r="Y169" s="307" t="n">
        <v>1</v>
      </c>
      <c r="Z169" s="307" t="n">
        <v>1</v>
      </c>
      <c r="AA169" s="307" t="n">
        <v>1</v>
      </c>
      <c r="AB169" s="307" t="n">
        <v>1</v>
      </c>
      <c r="AC169" s="307" t="n">
        <v>1</v>
      </c>
      <c r="AD169" s="307" t="n">
        <v>1</v>
      </c>
      <c r="AE169" s="307" t="n">
        <v>1</v>
      </c>
      <c r="AF169" s="307" t="n">
        <v>1</v>
      </c>
      <c r="AG169" s="307" t="n">
        <v>1</v>
      </c>
      <c r="AH169" s="307" t="n">
        <v>1</v>
      </c>
      <c r="AI169" s="307" t="n">
        <v>1</v>
      </c>
      <c r="AJ169" s="307" t="n">
        <v>1</v>
      </c>
      <c r="AK169" s="307" t="n">
        <v>1</v>
      </c>
      <c r="AL169" s="307" t="n">
        <v>1</v>
      </c>
      <c r="AM169" s="307" t="n">
        <v>1</v>
      </c>
      <c r="AN169" s="307" t="n">
        <v>1</v>
      </c>
      <c r="AO169" s="307" t="n">
        <v>1</v>
      </c>
      <c r="AP169" s="307" t="n">
        <v>1</v>
      </c>
      <c r="AQ169" s="307" t="n">
        <v>1</v>
      </c>
      <c r="AR169" s="307" t="n">
        <v>1</v>
      </c>
      <c r="AS169" s="307" t="n">
        <v>1</v>
      </c>
      <c r="AT169" s="307" t="n">
        <v>1</v>
      </c>
      <c r="AU169" s="307" t="n">
        <v>1</v>
      </c>
      <c r="AV169" s="307" t="n">
        <v>1</v>
      </c>
      <c r="AW169" s="307" t="n">
        <v>1</v>
      </c>
      <c r="AX169" s="307" t="n">
        <v>1</v>
      </c>
      <c r="AY169" s="307" t="n">
        <v>1</v>
      </c>
      <c r="AZ169" s="307" t="n">
        <v>1</v>
      </c>
      <c r="BA169" s="306"/>
      <c r="BB169" s="306"/>
      <c r="BQ169" s="308"/>
      <c r="BR169" s="306"/>
      <c r="BS169" s="306"/>
      <c r="CH169" s="308"/>
      <c r="CI169" s="306"/>
      <c r="CJ169" s="306"/>
      <c r="DB169" s="308"/>
      <c r="DC169" s="306"/>
      <c r="DD169" s="306"/>
      <c r="DS169" s="308"/>
      <c r="DT169" s="306"/>
      <c r="DU169" s="306"/>
      <c r="EJ169" s="308"/>
      <c r="EK169" s="306"/>
      <c r="EL169" s="306"/>
      <c r="FA169" s="308"/>
    </row>
    <row r="170" s="307" customFormat="true" ht="15" hidden="false" customHeight="false" outlineLevel="0" collapsed="false">
      <c r="A170" s="306" t="s">
        <v>353</v>
      </c>
      <c r="B170" s="306"/>
      <c r="C170" s="307" t="n">
        <v>1</v>
      </c>
      <c r="D170" s="307" t="n">
        <v>1</v>
      </c>
      <c r="E170" s="307" t="n">
        <v>1</v>
      </c>
      <c r="F170" s="307" t="n">
        <v>1</v>
      </c>
      <c r="G170" s="307" t="n">
        <v>1</v>
      </c>
      <c r="H170" s="307" t="n">
        <v>1</v>
      </c>
      <c r="I170" s="307" t="n">
        <v>1</v>
      </c>
      <c r="J170" s="307" t="n">
        <v>1</v>
      </c>
      <c r="K170" s="307" t="n">
        <v>1</v>
      </c>
      <c r="L170" s="307" t="n">
        <v>1</v>
      </c>
      <c r="M170" s="307" t="n">
        <v>1</v>
      </c>
      <c r="N170" s="307" t="n">
        <v>1</v>
      </c>
      <c r="O170" s="307" t="n">
        <v>1</v>
      </c>
      <c r="P170" s="307" t="n">
        <v>1</v>
      </c>
      <c r="Q170" s="307" t="n">
        <v>1</v>
      </c>
      <c r="R170" s="307" t="n">
        <v>1</v>
      </c>
      <c r="S170" s="307" t="n">
        <v>1</v>
      </c>
      <c r="T170" s="307" t="n">
        <v>1</v>
      </c>
      <c r="U170" s="307" t="n">
        <v>1</v>
      </c>
      <c r="V170" s="307" t="n">
        <v>1</v>
      </c>
      <c r="W170" s="307" t="n">
        <v>1</v>
      </c>
      <c r="X170" s="307" t="n">
        <v>1</v>
      </c>
      <c r="Y170" s="307" t="n">
        <v>1</v>
      </c>
      <c r="Z170" s="307" t="n">
        <v>1</v>
      </c>
      <c r="AA170" s="307" t="n">
        <v>1</v>
      </c>
      <c r="AB170" s="307" t="n">
        <v>1</v>
      </c>
      <c r="AC170" s="307" t="n">
        <v>1</v>
      </c>
      <c r="AD170" s="307" t="n">
        <v>1</v>
      </c>
      <c r="AE170" s="307" t="n">
        <v>1</v>
      </c>
      <c r="AF170" s="307" t="n">
        <v>1</v>
      </c>
      <c r="AG170" s="307" t="n">
        <v>1</v>
      </c>
      <c r="AH170" s="307" t="n">
        <v>1</v>
      </c>
      <c r="AI170" s="307" t="n">
        <v>1</v>
      </c>
      <c r="AJ170" s="307" t="n">
        <v>1</v>
      </c>
      <c r="AK170" s="307" t="n">
        <v>1</v>
      </c>
      <c r="AL170" s="307" t="n">
        <v>1</v>
      </c>
      <c r="AM170" s="307" t="n">
        <v>1</v>
      </c>
      <c r="AN170" s="307" t="n">
        <v>1</v>
      </c>
      <c r="AO170" s="307" t="n">
        <v>1</v>
      </c>
      <c r="AP170" s="307" t="n">
        <v>1</v>
      </c>
      <c r="AQ170" s="307" t="n">
        <v>1</v>
      </c>
      <c r="AR170" s="307" t="n">
        <v>1</v>
      </c>
      <c r="AS170" s="307" t="n">
        <v>1</v>
      </c>
      <c r="AT170" s="307" t="n">
        <v>1</v>
      </c>
      <c r="AU170" s="307" t="n">
        <v>1</v>
      </c>
      <c r="AV170" s="307" t="n">
        <v>1</v>
      </c>
      <c r="AW170" s="307" t="n">
        <v>1</v>
      </c>
      <c r="AX170" s="307" t="n">
        <v>1</v>
      </c>
      <c r="AY170" s="307" t="n">
        <v>1</v>
      </c>
      <c r="AZ170" s="307" t="n">
        <v>1</v>
      </c>
      <c r="BA170" s="306"/>
      <c r="BB170" s="306"/>
      <c r="BQ170" s="308"/>
      <c r="BR170" s="306"/>
      <c r="BS170" s="306"/>
      <c r="CH170" s="308"/>
      <c r="CI170" s="306"/>
      <c r="CJ170" s="306"/>
      <c r="DB170" s="308"/>
      <c r="DC170" s="306"/>
      <c r="DD170" s="306"/>
      <c r="DS170" s="308"/>
      <c r="DT170" s="306"/>
      <c r="DU170" s="306"/>
      <c r="EJ170" s="308"/>
      <c r="EK170" s="306"/>
      <c r="EL170" s="306"/>
      <c r="FA170" s="308"/>
    </row>
    <row r="171" s="307" customFormat="true" ht="15" hidden="false" customHeight="false" outlineLevel="0" collapsed="false">
      <c r="A171" s="306" t="s">
        <v>354</v>
      </c>
      <c r="B171" s="306"/>
      <c r="C171" s="307" t="n">
        <v>1</v>
      </c>
      <c r="D171" s="307" t="n">
        <v>1</v>
      </c>
      <c r="E171" s="307" t="n">
        <v>1</v>
      </c>
      <c r="F171" s="307" t="n">
        <v>1</v>
      </c>
      <c r="G171" s="307" t="n">
        <v>1</v>
      </c>
      <c r="H171" s="307" t="n">
        <v>1</v>
      </c>
      <c r="I171" s="307" t="n">
        <v>1</v>
      </c>
      <c r="J171" s="307" t="n">
        <v>1</v>
      </c>
      <c r="K171" s="307" t="n">
        <v>1</v>
      </c>
      <c r="L171" s="307" t="n">
        <v>1</v>
      </c>
      <c r="M171" s="307" t="n">
        <v>1</v>
      </c>
      <c r="N171" s="307" t="n">
        <v>1</v>
      </c>
      <c r="O171" s="307" t="n">
        <v>1</v>
      </c>
      <c r="P171" s="307" t="n">
        <v>1</v>
      </c>
      <c r="Q171" s="307" t="n">
        <v>1</v>
      </c>
      <c r="R171" s="307" t="n">
        <v>1</v>
      </c>
      <c r="S171" s="307" t="n">
        <v>1</v>
      </c>
      <c r="T171" s="307" t="n">
        <v>1</v>
      </c>
      <c r="U171" s="307" t="n">
        <v>1</v>
      </c>
      <c r="V171" s="307" t="n">
        <v>1</v>
      </c>
      <c r="W171" s="307" t="n">
        <v>1</v>
      </c>
      <c r="X171" s="307" t="n">
        <v>1</v>
      </c>
      <c r="Y171" s="307" t="n">
        <v>1</v>
      </c>
      <c r="Z171" s="307" t="n">
        <v>1</v>
      </c>
      <c r="AA171" s="307" t="n">
        <v>1</v>
      </c>
      <c r="AB171" s="307" t="n">
        <v>1</v>
      </c>
      <c r="AC171" s="307" t="n">
        <v>1</v>
      </c>
      <c r="AD171" s="307" t="n">
        <v>1</v>
      </c>
      <c r="AE171" s="307" t="n">
        <v>1</v>
      </c>
      <c r="AF171" s="307" t="n">
        <v>1</v>
      </c>
      <c r="AG171" s="307" t="n">
        <v>1</v>
      </c>
      <c r="AH171" s="307" t="n">
        <v>1</v>
      </c>
      <c r="AI171" s="307" t="n">
        <v>1</v>
      </c>
      <c r="AJ171" s="307" t="n">
        <v>1</v>
      </c>
      <c r="AK171" s="307" t="n">
        <v>1</v>
      </c>
      <c r="AL171" s="307" t="n">
        <v>1</v>
      </c>
      <c r="AM171" s="307" t="n">
        <v>1</v>
      </c>
      <c r="AN171" s="307" t="n">
        <v>1</v>
      </c>
      <c r="AO171" s="307" t="n">
        <v>1</v>
      </c>
      <c r="AP171" s="307" t="n">
        <v>1</v>
      </c>
      <c r="AQ171" s="307" t="n">
        <v>1</v>
      </c>
      <c r="AR171" s="307" t="n">
        <v>1</v>
      </c>
      <c r="AS171" s="307" t="n">
        <v>1</v>
      </c>
      <c r="AT171" s="307" t="n">
        <v>1</v>
      </c>
      <c r="AU171" s="307" t="n">
        <v>1</v>
      </c>
      <c r="AV171" s="307" t="n">
        <v>1</v>
      </c>
      <c r="AW171" s="307" t="n">
        <v>1</v>
      </c>
      <c r="AX171" s="307" t="n">
        <v>1</v>
      </c>
      <c r="AY171" s="307" t="n">
        <v>1</v>
      </c>
      <c r="AZ171" s="307" t="n">
        <v>1</v>
      </c>
      <c r="BA171" s="306"/>
      <c r="BB171" s="306"/>
      <c r="BQ171" s="308"/>
      <c r="BR171" s="306"/>
      <c r="BS171" s="306"/>
      <c r="CH171" s="308"/>
      <c r="CI171" s="306"/>
      <c r="CJ171" s="306"/>
      <c r="DB171" s="308"/>
      <c r="DC171" s="306"/>
      <c r="DD171" s="306"/>
      <c r="DS171" s="308"/>
      <c r="DT171" s="306"/>
      <c r="DU171" s="306"/>
      <c r="EJ171" s="308"/>
      <c r="EK171" s="306"/>
      <c r="EL171" s="306"/>
      <c r="FA171" s="308"/>
    </row>
    <row r="172" s="307" customFormat="true" ht="15" hidden="false" customHeight="false" outlineLevel="0" collapsed="false">
      <c r="A172" s="306" t="s">
        <v>355</v>
      </c>
      <c r="B172" s="306"/>
      <c r="C172" s="307" t="n">
        <v>1</v>
      </c>
      <c r="D172" s="307" t="n">
        <v>1</v>
      </c>
      <c r="E172" s="307" t="n">
        <v>1</v>
      </c>
      <c r="F172" s="307" t="n">
        <v>1</v>
      </c>
      <c r="G172" s="307" t="n">
        <v>1</v>
      </c>
      <c r="H172" s="307" t="n">
        <v>1</v>
      </c>
      <c r="I172" s="307" t="n">
        <v>1</v>
      </c>
      <c r="J172" s="307" t="n">
        <v>1</v>
      </c>
      <c r="K172" s="307" t="n">
        <v>1</v>
      </c>
      <c r="L172" s="307" t="n">
        <v>1</v>
      </c>
      <c r="M172" s="307" t="n">
        <v>1</v>
      </c>
      <c r="N172" s="307" t="n">
        <v>1</v>
      </c>
      <c r="O172" s="307" t="n">
        <v>1</v>
      </c>
      <c r="P172" s="307" t="n">
        <v>1</v>
      </c>
      <c r="Q172" s="307" t="n">
        <v>1</v>
      </c>
      <c r="R172" s="307" t="n">
        <v>1</v>
      </c>
      <c r="S172" s="307" t="n">
        <v>1</v>
      </c>
      <c r="T172" s="307" t="n">
        <v>1</v>
      </c>
      <c r="U172" s="307" t="n">
        <v>1</v>
      </c>
      <c r="V172" s="307" t="n">
        <v>1</v>
      </c>
      <c r="W172" s="307" t="n">
        <v>1</v>
      </c>
      <c r="X172" s="307" t="n">
        <v>1</v>
      </c>
      <c r="Y172" s="307" t="n">
        <v>1</v>
      </c>
      <c r="Z172" s="307" t="n">
        <v>1</v>
      </c>
      <c r="AA172" s="307" t="n">
        <v>1</v>
      </c>
      <c r="AB172" s="307" t="n">
        <v>1</v>
      </c>
      <c r="AC172" s="307" t="n">
        <v>1</v>
      </c>
      <c r="AD172" s="307" t="n">
        <v>1</v>
      </c>
      <c r="AE172" s="307" t="n">
        <v>1</v>
      </c>
      <c r="AF172" s="307" t="n">
        <v>1</v>
      </c>
      <c r="AG172" s="307" t="n">
        <v>1</v>
      </c>
      <c r="AH172" s="307" t="n">
        <v>1</v>
      </c>
      <c r="AI172" s="307" t="n">
        <v>1</v>
      </c>
      <c r="AJ172" s="307" t="n">
        <v>1</v>
      </c>
      <c r="AK172" s="307" t="n">
        <v>1</v>
      </c>
      <c r="AL172" s="307" t="n">
        <v>1</v>
      </c>
      <c r="AM172" s="307" t="n">
        <v>1</v>
      </c>
      <c r="AN172" s="307" t="n">
        <v>1</v>
      </c>
      <c r="AO172" s="307" t="n">
        <v>1</v>
      </c>
      <c r="AP172" s="307" t="n">
        <v>1</v>
      </c>
      <c r="AQ172" s="307" t="n">
        <v>1</v>
      </c>
      <c r="AR172" s="307" t="n">
        <v>1</v>
      </c>
      <c r="AS172" s="307" t="n">
        <v>1</v>
      </c>
      <c r="AT172" s="307" t="n">
        <v>1</v>
      </c>
      <c r="AU172" s="307" t="n">
        <v>1</v>
      </c>
      <c r="AV172" s="307" t="n">
        <v>1</v>
      </c>
      <c r="AW172" s="307" t="n">
        <v>1</v>
      </c>
      <c r="AX172" s="307" t="n">
        <v>1</v>
      </c>
      <c r="AY172" s="307" t="n">
        <v>1</v>
      </c>
      <c r="AZ172" s="307" t="n">
        <v>1</v>
      </c>
      <c r="BA172" s="306"/>
      <c r="BB172" s="306"/>
      <c r="BQ172" s="308"/>
      <c r="BR172" s="306"/>
      <c r="BS172" s="306"/>
      <c r="CH172" s="308"/>
      <c r="CI172" s="306"/>
      <c r="CJ172" s="306"/>
      <c r="DB172" s="308"/>
      <c r="DC172" s="306"/>
      <c r="DD172" s="306"/>
      <c r="DS172" s="308"/>
      <c r="DT172" s="306"/>
      <c r="DU172" s="306"/>
      <c r="EJ172" s="308"/>
      <c r="EK172" s="306"/>
      <c r="EL172" s="306"/>
      <c r="FA172" s="308"/>
    </row>
    <row r="173" s="307" customFormat="true" ht="15" hidden="false" customHeight="false" outlineLevel="0" collapsed="false">
      <c r="A173" s="306" t="s">
        <v>356</v>
      </c>
      <c r="B173" s="306"/>
      <c r="C173" s="307" t="n">
        <v>1</v>
      </c>
      <c r="D173" s="307" t="n">
        <v>1</v>
      </c>
      <c r="E173" s="307" t="n">
        <v>1</v>
      </c>
      <c r="F173" s="307" t="n">
        <v>1</v>
      </c>
      <c r="G173" s="307" t="n">
        <v>1</v>
      </c>
      <c r="H173" s="307" t="n">
        <v>1</v>
      </c>
      <c r="I173" s="307" t="n">
        <v>1</v>
      </c>
      <c r="J173" s="307" t="n">
        <v>1</v>
      </c>
      <c r="K173" s="307" t="n">
        <v>1</v>
      </c>
      <c r="L173" s="307" t="n">
        <v>1</v>
      </c>
      <c r="M173" s="307" t="n">
        <v>1</v>
      </c>
      <c r="N173" s="307" t="n">
        <v>1</v>
      </c>
      <c r="O173" s="307" t="n">
        <v>1</v>
      </c>
      <c r="P173" s="307" t="n">
        <v>1</v>
      </c>
      <c r="Q173" s="307" t="n">
        <v>1</v>
      </c>
      <c r="R173" s="307" t="n">
        <v>1</v>
      </c>
      <c r="S173" s="307" t="n">
        <v>1</v>
      </c>
      <c r="T173" s="307" t="n">
        <v>1</v>
      </c>
      <c r="U173" s="307" t="n">
        <v>1</v>
      </c>
      <c r="V173" s="307" t="n">
        <v>1</v>
      </c>
      <c r="W173" s="307" t="n">
        <v>1</v>
      </c>
      <c r="X173" s="307" t="n">
        <v>1</v>
      </c>
      <c r="Y173" s="307" t="n">
        <v>1</v>
      </c>
      <c r="Z173" s="307" t="n">
        <v>1</v>
      </c>
      <c r="AA173" s="307" t="n">
        <v>1</v>
      </c>
      <c r="AB173" s="307" t="n">
        <v>1</v>
      </c>
      <c r="AC173" s="307" t="n">
        <v>1</v>
      </c>
      <c r="AD173" s="307" t="n">
        <v>1</v>
      </c>
      <c r="AE173" s="307" t="n">
        <v>1</v>
      </c>
      <c r="AF173" s="307" t="n">
        <v>1</v>
      </c>
      <c r="AG173" s="307" t="n">
        <v>1</v>
      </c>
      <c r="AH173" s="307" t="n">
        <v>1</v>
      </c>
      <c r="AI173" s="307" t="n">
        <v>1</v>
      </c>
      <c r="AJ173" s="307" t="n">
        <v>1</v>
      </c>
      <c r="AK173" s="307" t="n">
        <v>1</v>
      </c>
      <c r="AL173" s="307" t="n">
        <v>1</v>
      </c>
      <c r="AM173" s="307" t="n">
        <v>1</v>
      </c>
      <c r="AN173" s="307" t="n">
        <v>1</v>
      </c>
      <c r="AO173" s="307" t="n">
        <v>1</v>
      </c>
      <c r="AP173" s="307" t="n">
        <v>1</v>
      </c>
      <c r="AQ173" s="307" t="n">
        <v>1</v>
      </c>
      <c r="AR173" s="307" t="n">
        <v>1</v>
      </c>
      <c r="AS173" s="307" t="n">
        <v>1</v>
      </c>
      <c r="AT173" s="307" t="n">
        <v>1</v>
      </c>
      <c r="AU173" s="307" t="n">
        <v>1</v>
      </c>
      <c r="AV173" s="307" t="n">
        <v>1</v>
      </c>
      <c r="AW173" s="307" t="n">
        <v>1</v>
      </c>
      <c r="AX173" s="307" t="n">
        <v>1</v>
      </c>
      <c r="AY173" s="307" t="n">
        <v>1</v>
      </c>
      <c r="AZ173" s="307" t="n">
        <v>1</v>
      </c>
      <c r="BA173" s="306"/>
      <c r="BB173" s="306"/>
      <c r="BQ173" s="308"/>
      <c r="BR173" s="306"/>
      <c r="BS173" s="306"/>
      <c r="CH173" s="308"/>
      <c r="CI173" s="306"/>
      <c r="CJ173" s="306"/>
      <c r="DB173" s="308"/>
      <c r="DC173" s="306"/>
      <c r="DD173" s="306"/>
      <c r="DS173" s="308"/>
      <c r="DT173" s="306"/>
      <c r="DU173" s="306"/>
      <c r="EJ173" s="308"/>
      <c r="EK173" s="306"/>
      <c r="EL173" s="306"/>
      <c r="FA173" s="308"/>
    </row>
    <row r="174" customFormat="false" ht="17.35" hidden="false" customHeight="false" outlineLevel="0" collapsed="false">
      <c r="A174" s="272" t="s">
        <v>590</v>
      </c>
      <c r="B174" s="273"/>
      <c r="C174" s="273"/>
      <c r="D174" s="273"/>
      <c r="E174" s="273"/>
      <c r="F174" s="273"/>
      <c r="G174" s="273"/>
      <c r="H174" s="273"/>
      <c r="I174" s="273"/>
      <c r="J174" s="273"/>
      <c r="K174" s="273"/>
      <c r="L174" s="273"/>
      <c r="M174" s="273"/>
      <c r="N174" s="273"/>
      <c r="O174" s="273"/>
      <c r="P174" s="273"/>
      <c r="Q174" s="273"/>
      <c r="R174" s="273"/>
      <c r="S174" s="273"/>
      <c r="T174" s="273"/>
      <c r="U174" s="273"/>
      <c r="V174" s="273"/>
      <c r="W174" s="273"/>
      <c r="X174" s="273"/>
      <c r="Y174" s="273"/>
      <c r="Z174" s="273"/>
      <c r="AA174" s="273"/>
      <c r="AB174" s="273"/>
      <c r="AC174" s="273"/>
      <c r="AD174" s="273"/>
      <c r="AE174" s="273"/>
      <c r="AF174" s="273"/>
      <c r="AG174" s="273"/>
      <c r="AH174" s="273"/>
      <c r="AI174" s="273"/>
      <c r="AJ174" s="273"/>
      <c r="AK174" s="273"/>
      <c r="AL174" s="273"/>
      <c r="AM174" s="273"/>
      <c r="AN174" s="273"/>
      <c r="AO174" s="273"/>
      <c r="AP174" s="273"/>
      <c r="AQ174" s="273"/>
      <c r="AR174" s="273"/>
      <c r="AS174" s="273"/>
      <c r="AT174" s="273"/>
      <c r="AU174" s="273"/>
      <c r="AV174" s="273"/>
      <c r="AW174" s="273"/>
      <c r="AX174" s="273"/>
      <c r="AY174" s="273"/>
      <c r="AZ174" s="273"/>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c r="BU174" s="212"/>
      <c r="BV174" s="212"/>
      <c r="BW174" s="212"/>
      <c r="BX174" s="212"/>
      <c r="BY174" s="212"/>
      <c r="BZ174" s="212"/>
      <c r="CA174" s="212"/>
      <c r="CB174" s="212"/>
      <c r="CC174" s="212"/>
      <c r="CD174" s="212"/>
      <c r="CE174" s="212"/>
      <c r="CF174" s="212"/>
      <c r="CG174" s="212"/>
      <c r="CH174" s="212"/>
      <c r="CI174" s="242"/>
      <c r="CJ174" s="242"/>
      <c r="CK174" s="242"/>
      <c r="CL174" s="242"/>
      <c r="CM174" s="242"/>
      <c r="CN174" s="242"/>
      <c r="CO174" s="242"/>
      <c r="CP174" s="242"/>
      <c r="CQ174" s="242"/>
      <c r="CR174" s="242"/>
      <c r="CS174" s="309"/>
      <c r="CT174" s="309"/>
      <c r="CU174" s="309"/>
      <c r="CV174" s="309"/>
      <c r="CW174" s="309"/>
      <c r="CX174" s="309"/>
      <c r="CY174" s="309"/>
      <c r="CZ174" s="309"/>
      <c r="DA174" s="309"/>
      <c r="DB174" s="309"/>
      <c r="DC174" s="212"/>
      <c r="DD174" s="212"/>
      <c r="DE174" s="212"/>
      <c r="DF174" s="212"/>
      <c r="DG174" s="212"/>
      <c r="DH174" s="212"/>
      <c r="DI174" s="212"/>
      <c r="DJ174" s="212"/>
      <c r="DK174" s="212"/>
      <c r="DL174" s="212"/>
      <c r="DM174" s="212"/>
      <c r="DN174" s="212"/>
      <c r="DO174" s="212"/>
      <c r="DP174" s="212"/>
      <c r="DQ174" s="212"/>
      <c r="DR174" s="212"/>
      <c r="DS174" s="212"/>
      <c r="DT174" s="212"/>
      <c r="DU174" s="212"/>
      <c r="DV174" s="212"/>
      <c r="DW174" s="212"/>
      <c r="DX174" s="212"/>
      <c r="DY174" s="212"/>
      <c r="DZ174" s="212"/>
      <c r="EA174" s="212"/>
      <c r="EB174" s="212"/>
      <c r="EC174" s="212"/>
      <c r="ED174" s="212"/>
      <c r="EE174" s="212"/>
      <c r="EF174" s="212"/>
      <c r="EG174" s="212"/>
      <c r="EH174" s="212"/>
      <c r="EI174" s="212"/>
      <c r="EJ174" s="212"/>
      <c r="EK174" s="212"/>
      <c r="EL174" s="212"/>
      <c r="EM174" s="212"/>
      <c r="EN174" s="212"/>
      <c r="EO174" s="212"/>
      <c r="EP174" s="212"/>
      <c r="EQ174" s="212"/>
      <c r="ER174" s="212"/>
      <c r="ES174" s="212"/>
      <c r="ET174" s="212"/>
      <c r="EU174" s="212"/>
      <c r="EV174" s="212"/>
      <c r="EW174" s="212"/>
      <c r="EX174" s="212"/>
      <c r="EY174" s="212"/>
      <c r="EZ174" s="212"/>
      <c r="FA174" s="212"/>
    </row>
    <row r="175" s="307" customFormat="true" ht="15" hidden="false" customHeight="false" outlineLevel="0" collapsed="false">
      <c r="A175" s="306" t="s">
        <v>352</v>
      </c>
      <c r="B175" s="306"/>
      <c r="C175" s="307" t="n">
        <v>2040</v>
      </c>
      <c r="D175" s="307" t="n">
        <v>2040</v>
      </c>
      <c r="E175" s="307" t="n">
        <v>2040</v>
      </c>
      <c r="F175" s="307" t="n">
        <v>2040</v>
      </c>
      <c r="G175" s="307" t="n">
        <v>2040</v>
      </c>
      <c r="H175" s="307" t="n">
        <v>2040</v>
      </c>
      <c r="I175" s="307" t="n">
        <v>2040</v>
      </c>
      <c r="J175" s="307" t="n">
        <v>2040</v>
      </c>
      <c r="K175" s="307" t="n">
        <v>2040</v>
      </c>
      <c r="L175" s="307" t="n">
        <v>2040</v>
      </c>
      <c r="M175" s="307" t="n">
        <v>2040</v>
      </c>
      <c r="N175" s="307" t="n">
        <v>2040</v>
      </c>
      <c r="O175" s="307" t="n">
        <v>2040</v>
      </c>
      <c r="P175" s="307" t="n">
        <v>2040</v>
      </c>
      <c r="Q175" s="307" t="n">
        <v>2040</v>
      </c>
      <c r="R175" s="307" t="n">
        <v>2040</v>
      </c>
      <c r="S175" s="307" t="n">
        <v>2040</v>
      </c>
      <c r="T175" s="307" t="n">
        <v>2040</v>
      </c>
      <c r="U175" s="307" t="n">
        <v>2040</v>
      </c>
      <c r="V175" s="307" t="n">
        <v>2040</v>
      </c>
      <c r="W175" s="307" t="n">
        <v>2040</v>
      </c>
      <c r="X175" s="307" t="n">
        <v>2040</v>
      </c>
      <c r="Y175" s="307" t="n">
        <v>2040</v>
      </c>
      <c r="Z175" s="307" t="n">
        <v>2040</v>
      </c>
      <c r="AA175" s="307" t="n">
        <v>2040</v>
      </c>
      <c r="AB175" s="307" t="n">
        <v>2040</v>
      </c>
      <c r="AC175" s="307" t="n">
        <v>2040</v>
      </c>
      <c r="AD175" s="307" t="n">
        <v>2040</v>
      </c>
      <c r="AE175" s="307" t="n">
        <v>2040</v>
      </c>
      <c r="AF175" s="307" t="n">
        <v>2040</v>
      </c>
      <c r="AG175" s="307" t="n">
        <v>2040</v>
      </c>
      <c r="AH175" s="307" t="n">
        <v>2040</v>
      </c>
      <c r="AI175" s="307" t="n">
        <v>2040</v>
      </c>
      <c r="AJ175" s="307" t="n">
        <v>2040</v>
      </c>
      <c r="AK175" s="307" t="n">
        <v>2040</v>
      </c>
      <c r="AL175" s="307" t="n">
        <v>2040</v>
      </c>
      <c r="AM175" s="307" t="n">
        <v>2040</v>
      </c>
      <c r="AN175" s="307" t="n">
        <v>2040</v>
      </c>
      <c r="AO175" s="307" t="n">
        <v>2040</v>
      </c>
      <c r="AP175" s="307" t="n">
        <v>2040</v>
      </c>
      <c r="AQ175" s="307" t="n">
        <v>2040</v>
      </c>
      <c r="AR175" s="307" t="n">
        <v>2040</v>
      </c>
      <c r="AS175" s="307" t="n">
        <v>2040</v>
      </c>
      <c r="AT175" s="307" t="n">
        <v>2040</v>
      </c>
      <c r="AU175" s="307" t="n">
        <v>2040</v>
      </c>
      <c r="AV175" s="307" t="n">
        <v>2040</v>
      </c>
      <c r="AW175" s="307" t="n">
        <v>2040</v>
      </c>
      <c r="AX175" s="307" t="n">
        <v>2040</v>
      </c>
      <c r="AY175" s="307" t="n">
        <v>2040</v>
      </c>
      <c r="AZ175" s="307" t="n">
        <v>2040</v>
      </c>
      <c r="BA175" s="306"/>
      <c r="BB175" s="306"/>
      <c r="BR175" s="306"/>
      <c r="BS175" s="306"/>
      <c r="CI175" s="306"/>
      <c r="CJ175" s="306"/>
      <c r="DC175" s="306"/>
      <c r="DD175" s="306"/>
      <c r="DT175" s="306"/>
      <c r="DU175" s="306"/>
      <c r="EK175" s="306"/>
      <c r="EL175" s="306"/>
    </row>
    <row r="176" s="307" customFormat="true" ht="15" hidden="false" customHeight="false" outlineLevel="0" collapsed="false">
      <c r="A176" s="306" t="s">
        <v>353</v>
      </c>
      <c r="B176" s="306"/>
      <c r="C176" s="307" t="n">
        <v>2040</v>
      </c>
      <c r="D176" s="307" t="n">
        <v>2040</v>
      </c>
      <c r="E176" s="307" t="n">
        <v>2040</v>
      </c>
      <c r="F176" s="307" t="n">
        <v>2040</v>
      </c>
      <c r="G176" s="307" t="n">
        <v>2040</v>
      </c>
      <c r="H176" s="307" t="n">
        <v>2040</v>
      </c>
      <c r="I176" s="307" t="n">
        <v>2040</v>
      </c>
      <c r="J176" s="307" t="n">
        <v>2040</v>
      </c>
      <c r="K176" s="307" t="n">
        <v>2040</v>
      </c>
      <c r="L176" s="307" t="n">
        <v>2040</v>
      </c>
      <c r="M176" s="307" t="n">
        <v>2040</v>
      </c>
      <c r="N176" s="307" t="n">
        <v>2040</v>
      </c>
      <c r="O176" s="307" t="n">
        <v>2040</v>
      </c>
      <c r="P176" s="307" t="n">
        <v>2040</v>
      </c>
      <c r="Q176" s="307" t="n">
        <v>2040</v>
      </c>
      <c r="R176" s="307" t="n">
        <v>2040</v>
      </c>
      <c r="S176" s="307" t="n">
        <v>2040</v>
      </c>
      <c r="T176" s="307" t="n">
        <v>2040</v>
      </c>
      <c r="U176" s="307" t="n">
        <v>2040</v>
      </c>
      <c r="V176" s="307" t="n">
        <v>2040</v>
      </c>
      <c r="W176" s="307" t="n">
        <v>2040</v>
      </c>
      <c r="X176" s="307" t="n">
        <v>2040</v>
      </c>
      <c r="Y176" s="307" t="n">
        <v>2040</v>
      </c>
      <c r="Z176" s="307" t="n">
        <v>2040</v>
      </c>
      <c r="AA176" s="307" t="n">
        <v>2040</v>
      </c>
      <c r="AB176" s="307" t="n">
        <v>2040</v>
      </c>
      <c r="AC176" s="307" t="n">
        <v>2040</v>
      </c>
      <c r="AD176" s="307" t="n">
        <v>2040</v>
      </c>
      <c r="AE176" s="307" t="n">
        <v>2040</v>
      </c>
      <c r="AF176" s="307" t="n">
        <v>2040</v>
      </c>
      <c r="AG176" s="307" t="n">
        <v>2040</v>
      </c>
      <c r="AH176" s="307" t="n">
        <v>2040</v>
      </c>
      <c r="AI176" s="307" t="n">
        <v>2040</v>
      </c>
      <c r="AJ176" s="307" t="n">
        <v>2040</v>
      </c>
      <c r="AK176" s="307" t="n">
        <v>2040</v>
      </c>
      <c r="AL176" s="307" t="n">
        <v>2040</v>
      </c>
      <c r="AM176" s="307" t="n">
        <v>2040</v>
      </c>
      <c r="AN176" s="307" t="n">
        <v>2040</v>
      </c>
      <c r="AO176" s="307" t="n">
        <v>2040</v>
      </c>
      <c r="AP176" s="307" t="n">
        <v>2040</v>
      </c>
      <c r="AQ176" s="307" t="n">
        <v>2040</v>
      </c>
      <c r="AR176" s="307" t="n">
        <v>2040</v>
      </c>
      <c r="AS176" s="307" t="n">
        <v>2040</v>
      </c>
      <c r="AT176" s="307" t="n">
        <v>2040</v>
      </c>
      <c r="AU176" s="307" t="n">
        <v>2040</v>
      </c>
      <c r="AV176" s="307" t="n">
        <v>2040</v>
      </c>
      <c r="AW176" s="307" t="n">
        <v>2040</v>
      </c>
      <c r="AX176" s="307" t="n">
        <v>2040</v>
      </c>
      <c r="AY176" s="307" t="n">
        <v>2040</v>
      </c>
      <c r="AZ176" s="307" t="n">
        <v>2040</v>
      </c>
      <c r="BA176" s="306"/>
      <c r="BB176" s="306"/>
      <c r="BR176" s="306"/>
      <c r="BS176" s="306"/>
      <c r="CI176" s="306"/>
      <c r="CJ176" s="306"/>
      <c r="DC176" s="306"/>
      <c r="DD176" s="306"/>
      <c r="DT176" s="306"/>
      <c r="DU176" s="306"/>
      <c r="EK176" s="306"/>
      <c r="EL176" s="306"/>
    </row>
    <row r="177" s="307" customFormat="true" ht="15" hidden="false" customHeight="false" outlineLevel="0" collapsed="false">
      <c r="A177" s="306" t="s">
        <v>354</v>
      </c>
      <c r="B177" s="306"/>
      <c r="C177" s="307" t="n">
        <v>2040</v>
      </c>
      <c r="D177" s="307" t="n">
        <v>2040</v>
      </c>
      <c r="E177" s="307" t="n">
        <v>2040</v>
      </c>
      <c r="F177" s="307" t="n">
        <v>2040</v>
      </c>
      <c r="G177" s="307" t="n">
        <v>2040</v>
      </c>
      <c r="H177" s="307" t="n">
        <v>2040</v>
      </c>
      <c r="I177" s="307" t="n">
        <v>2040</v>
      </c>
      <c r="J177" s="307" t="n">
        <v>2040</v>
      </c>
      <c r="K177" s="307" t="n">
        <v>2040</v>
      </c>
      <c r="L177" s="307" t="n">
        <v>2040</v>
      </c>
      <c r="M177" s="307" t="n">
        <v>2040</v>
      </c>
      <c r="N177" s="307" t="n">
        <v>2040</v>
      </c>
      <c r="O177" s="307" t="n">
        <v>2040</v>
      </c>
      <c r="P177" s="307" t="n">
        <v>2040</v>
      </c>
      <c r="Q177" s="307" t="n">
        <v>2040</v>
      </c>
      <c r="R177" s="307" t="n">
        <v>2040</v>
      </c>
      <c r="S177" s="307" t="n">
        <v>2040</v>
      </c>
      <c r="T177" s="307" t="n">
        <v>2040</v>
      </c>
      <c r="U177" s="307" t="n">
        <v>2040</v>
      </c>
      <c r="V177" s="307" t="n">
        <v>2040</v>
      </c>
      <c r="W177" s="307" t="n">
        <v>2040</v>
      </c>
      <c r="X177" s="307" t="n">
        <v>2040</v>
      </c>
      <c r="Y177" s="307" t="n">
        <v>2040</v>
      </c>
      <c r="Z177" s="307" t="n">
        <v>2040</v>
      </c>
      <c r="AA177" s="307" t="n">
        <v>2040</v>
      </c>
      <c r="AB177" s="307" t="n">
        <v>2040</v>
      </c>
      <c r="AC177" s="307" t="n">
        <v>2040</v>
      </c>
      <c r="AD177" s="307" t="n">
        <v>2040</v>
      </c>
      <c r="AE177" s="307" t="n">
        <v>2040</v>
      </c>
      <c r="AF177" s="307" t="n">
        <v>2040</v>
      </c>
      <c r="AG177" s="307" t="n">
        <v>2040</v>
      </c>
      <c r="AH177" s="307" t="n">
        <v>2040</v>
      </c>
      <c r="AI177" s="307" t="n">
        <v>2040</v>
      </c>
      <c r="AJ177" s="307" t="n">
        <v>2040</v>
      </c>
      <c r="AK177" s="307" t="n">
        <v>2040</v>
      </c>
      <c r="AL177" s="307" t="n">
        <v>2040</v>
      </c>
      <c r="AM177" s="307" t="n">
        <v>2040</v>
      </c>
      <c r="AN177" s="307" t="n">
        <v>2040</v>
      </c>
      <c r="AO177" s="307" t="n">
        <v>2040</v>
      </c>
      <c r="AP177" s="307" t="n">
        <v>2040</v>
      </c>
      <c r="AQ177" s="307" t="n">
        <v>2040</v>
      </c>
      <c r="AR177" s="307" t="n">
        <v>2040</v>
      </c>
      <c r="AS177" s="307" t="n">
        <v>2040</v>
      </c>
      <c r="AT177" s="307" t="n">
        <v>2040</v>
      </c>
      <c r="AU177" s="307" t="n">
        <v>2040</v>
      </c>
      <c r="AV177" s="307" t="n">
        <v>2040</v>
      </c>
      <c r="AW177" s="307" t="n">
        <v>2040</v>
      </c>
      <c r="AX177" s="307" t="n">
        <v>2040</v>
      </c>
      <c r="AY177" s="307" t="n">
        <v>2040</v>
      </c>
      <c r="AZ177" s="307" t="n">
        <v>2040</v>
      </c>
      <c r="BA177" s="306"/>
      <c r="BB177" s="306"/>
      <c r="BR177" s="306"/>
      <c r="BS177" s="306"/>
      <c r="CI177" s="306"/>
      <c r="CJ177" s="306"/>
      <c r="DC177" s="306"/>
      <c r="DD177" s="306"/>
      <c r="DT177" s="306"/>
      <c r="DU177" s="306"/>
      <c r="EK177" s="306"/>
      <c r="EL177" s="306"/>
    </row>
    <row r="178" s="307" customFormat="true" ht="15" hidden="false" customHeight="false" outlineLevel="0" collapsed="false">
      <c r="A178" s="306" t="s">
        <v>355</v>
      </c>
      <c r="B178" s="306"/>
      <c r="C178" s="307" t="n">
        <v>2040</v>
      </c>
      <c r="D178" s="307" t="n">
        <v>2040</v>
      </c>
      <c r="E178" s="307" t="n">
        <v>2040</v>
      </c>
      <c r="F178" s="307" t="n">
        <v>2040</v>
      </c>
      <c r="G178" s="307" t="n">
        <v>2040</v>
      </c>
      <c r="H178" s="307" t="n">
        <v>2040</v>
      </c>
      <c r="I178" s="307" t="n">
        <v>2040</v>
      </c>
      <c r="J178" s="307" t="n">
        <v>2040</v>
      </c>
      <c r="K178" s="307" t="n">
        <v>2040</v>
      </c>
      <c r="L178" s="307" t="n">
        <v>2040</v>
      </c>
      <c r="M178" s="307" t="n">
        <v>2040</v>
      </c>
      <c r="N178" s="307" t="n">
        <v>2040</v>
      </c>
      <c r="O178" s="307" t="n">
        <v>2040</v>
      </c>
      <c r="P178" s="307" t="n">
        <v>2040</v>
      </c>
      <c r="Q178" s="307" t="n">
        <v>2040</v>
      </c>
      <c r="R178" s="307" t="n">
        <v>2040</v>
      </c>
      <c r="S178" s="307" t="n">
        <v>2040</v>
      </c>
      <c r="T178" s="307" t="n">
        <v>2040</v>
      </c>
      <c r="U178" s="307" t="n">
        <v>2040</v>
      </c>
      <c r="V178" s="307" t="n">
        <v>2040</v>
      </c>
      <c r="W178" s="307" t="n">
        <v>2040</v>
      </c>
      <c r="X178" s="307" t="n">
        <v>2040</v>
      </c>
      <c r="Y178" s="307" t="n">
        <v>2040</v>
      </c>
      <c r="Z178" s="307" t="n">
        <v>2040</v>
      </c>
      <c r="AA178" s="307" t="n">
        <v>2040</v>
      </c>
      <c r="AB178" s="307" t="n">
        <v>2040</v>
      </c>
      <c r="AC178" s="307" t="n">
        <v>2040</v>
      </c>
      <c r="AD178" s="307" t="n">
        <v>2040</v>
      </c>
      <c r="AE178" s="307" t="n">
        <v>2040</v>
      </c>
      <c r="AF178" s="307" t="n">
        <v>2040</v>
      </c>
      <c r="AG178" s="307" t="n">
        <v>2040</v>
      </c>
      <c r="AH178" s="307" t="n">
        <v>2040</v>
      </c>
      <c r="AI178" s="307" t="n">
        <v>2040</v>
      </c>
      <c r="AJ178" s="307" t="n">
        <v>2040</v>
      </c>
      <c r="AK178" s="307" t="n">
        <v>2040</v>
      </c>
      <c r="AL178" s="307" t="n">
        <v>2040</v>
      </c>
      <c r="AM178" s="307" t="n">
        <v>2040</v>
      </c>
      <c r="AN178" s="307" t="n">
        <v>2040</v>
      </c>
      <c r="AO178" s="307" t="n">
        <v>2040</v>
      </c>
      <c r="AP178" s="307" t="n">
        <v>2040</v>
      </c>
      <c r="AQ178" s="307" t="n">
        <v>2040</v>
      </c>
      <c r="AR178" s="307" t="n">
        <v>2040</v>
      </c>
      <c r="AS178" s="307" t="n">
        <v>2040</v>
      </c>
      <c r="AT178" s="307" t="n">
        <v>2040</v>
      </c>
      <c r="AU178" s="307" t="n">
        <v>2040</v>
      </c>
      <c r="AV178" s="307" t="n">
        <v>2040</v>
      </c>
      <c r="AW178" s="307" t="n">
        <v>2040</v>
      </c>
      <c r="AX178" s="307" t="n">
        <v>2040</v>
      </c>
      <c r="AY178" s="307" t="n">
        <v>2040</v>
      </c>
      <c r="AZ178" s="307" t="n">
        <v>2040</v>
      </c>
      <c r="BA178" s="306"/>
      <c r="BB178" s="306"/>
      <c r="BR178" s="306"/>
      <c r="BS178" s="306"/>
      <c r="CI178" s="306"/>
      <c r="CJ178" s="306"/>
      <c r="DC178" s="306"/>
      <c r="DD178" s="306"/>
      <c r="DT178" s="306"/>
      <c r="DU178" s="306"/>
      <c r="EK178" s="306"/>
      <c r="EL178" s="306"/>
    </row>
    <row r="179" s="307" customFormat="true" ht="15" hidden="false" customHeight="false" outlineLevel="0" collapsed="false">
      <c r="A179" s="306" t="s">
        <v>356</v>
      </c>
      <c r="B179" s="306"/>
      <c r="C179" s="307" t="n">
        <v>2040</v>
      </c>
      <c r="D179" s="307" t="n">
        <v>2040</v>
      </c>
      <c r="E179" s="307" t="n">
        <v>2040</v>
      </c>
      <c r="F179" s="307" t="n">
        <v>2040</v>
      </c>
      <c r="G179" s="307" t="n">
        <v>2040</v>
      </c>
      <c r="H179" s="307" t="n">
        <v>2040</v>
      </c>
      <c r="I179" s="307" t="n">
        <v>2040</v>
      </c>
      <c r="J179" s="307" t="n">
        <v>2040</v>
      </c>
      <c r="K179" s="307" t="n">
        <v>2040</v>
      </c>
      <c r="L179" s="307" t="n">
        <v>2040</v>
      </c>
      <c r="M179" s="307" t="n">
        <v>2040</v>
      </c>
      <c r="N179" s="307" t="n">
        <v>2040</v>
      </c>
      <c r="O179" s="307" t="n">
        <v>2040</v>
      </c>
      <c r="P179" s="307" t="n">
        <v>2040</v>
      </c>
      <c r="Q179" s="307" t="n">
        <v>2040</v>
      </c>
      <c r="R179" s="307" t="n">
        <v>2040</v>
      </c>
      <c r="S179" s="307" t="n">
        <v>2040</v>
      </c>
      <c r="T179" s="307" t="n">
        <v>2040</v>
      </c>
      <c r="U179" s="307" t="n">
        <v>2040</v>
      </c>
      <c r="V179" s="307" t="n">
        <v>2040</v>
      </c>
      <c r="W179" s="307" t="n">
        <v>2040</v>
      </c>
      <c r="X179" s="307" t="n">
        <v>2040</v>
      </c>
      <c r="Y179" s="307" t="n">
        <v>2040</v>
      </c>
      <c r="Z179" s="307" t="n">
        <v>2040</v>
      </c>
      <c r="AA179" s="307" t="n">
        <v>2040</v>
      </c>
      <c r="AB179" s="307" t="n">
        <v>2040</v>
      </c>
      <c r="AC179" s="307" t="n">
        <v>2040</v>
      </c>
      <c r="AD179" s="307" t="n">
        <v>2040</v>
      </c>
      <c r="AE179" s="307" t="n">
        <v>2040</v>
      </c>
      <c r="AF179" s="307" t="n">
        <v>2040</v>
      </c>
      <c r="AG179" s="307" t="n">
        <v>2040</v>
      </c>
      <c r="AH179" s="307" t="n">
        <v>2040</v>
      </c>
      <c r="AI179" s="307" t="n">
        <v>2040</v>
      </c>
      <c r="AJ179" s="307" t="n">
        <v>2040</v>
      </c>
      <c r="AK179" s="307" t="n">
        <v>2040</v>
      </c>
      <c r="AL179" s="307" t="n">
        <v>2040</v>
      </c>
      <c r="AM179" s="307" t="n">
        <v>2040</v>
      </c>
      <c r="AN179" s="307" t="n">
        <v>2040</v>
      </c>
      <c r="AO179" s="307" t="n">
        <v>2040</v>
      </c>
      <c r="AP179" s="307" t="n">
        <v>2040</v>
      </c>
      <c r="AQ179" s="307" t="n">
        <v>2040</v>
      </c>
      <c r="AR179" s="307" t="n">
        <v>2040</v>
      </c>
      <c r="AS179" s="307" t="n">
        <v>2040</v>
      </c>
      <c r="AT179" s="307" t="n">
        <v>2040</v>
      </c>
      <c r="AU179" s="307" t="n">
        <v>2040</v>
      </c>
      <c r="AV179" s="307" t="n">
        <v>2040</v>
      </c>
      <c r="AW179" s="307" t="n">
        <v>2040</v>
      </c>
      <c r="AX179" s="307" t="n">
        <v>2040</v>
      </c>
      <c r="AY179" s="307" t="n">
        <v>2040</v>
      </c>
      <c r="AZ179" s="307" t="n">
        <v>2040</v>
      </c>
      <c r="BA179" s="306"/>
      <c r="BB179" s="306"/>
      <c r="BR179" s="306"/>
      <c r="BS179" s="306"/>
      <c r="CI179" s="306"/>
      <c r="CJ179" s="306"/>
      <c r="DC179" s="306"/>
      <c r="DD179" s="306"/>
      <c r="DT179" s="306"/>
      <c r="DU179" s="306"/>
      <c r="EK179" s="306"/>
      <c r="EL179" s="306"/>
    </row>
    <row r="180" customFormat="false" ht="17.35" hidden="false" customHeight="false" outlineLevel="0" collapsed="false">
      <c r="A180" s="272" t="s">
        <v>591</v>
      </c>
      <c r="B180" s="273"/>
      <c r="C180" s="273"/>
      <c r="D180" s="273"/>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c r="AA180" s="273"/>
      <c r="AB180" s="273"/>
      <c r="AC180" s="273"/>
      <c r="AD180" s="273"/>
      <c r="AE180" s="273"/>
      <c r="AF180" s="273"/>
      <c r="AG180" s="273"/>
      <c r="AH180" s="273"/>
      <c r="AI180" s="273"/>
      <c r="AJ180" s="273"/>
      <c r="AK180" s="273"/>
      <c r="AL180" s="273"/>
      <c r="AM180" s="273"/>
      <c r="AN180" s="273"/>
      <c r="AO180" s="273"/>
      <c r="AP180" s="273"/>
      <c r="AQ180" s="273"/>
      <c r="AR180" s="273"/>
      <c r="AS180" s="273"/>
      <c r="AT180" s="273"/>
      <c r="AU180" s="273"/>
      <c r="AV180" s="273"/>
      <c r="AW180" s="273"/>
      <c r="AX180" s="273"/>
      <c r="AY180" s="273"/>
      <c r="AZ180" s="273"/>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c r="BU180" s="212"/>
      <c r="BV180" s="212"/>
      <c r="BW180" s="212"/>
      <c r="BX180" s="212"/>
      <c r="BY180" s="212"/>
      <c r="BZ180" s="212"/>
      <c r="CA180" s="212"/>
      <c r="CB180" s="212"/>
      <c r="CC180" s="212"/>
      <c r="CD180" s="212"/>
      <c r="CE180" s="212"/>
      <c r="CF180" s="212"/>
      <c r="CG180" s="212"/>
      <c r="CH180" s="212"/>
      <c r="CI180" s="242"/>
      <c r="CJ180" s="242"/>
      <c r="CK180" s="242"/>
      <c r="CL180" s="242"/>
      <c r="CM180" s="242"/>
      <c r="CN180" s="242"/>
      <c r="CO180" s="242"/>
      <c r="CP180" s="242"/>
      <c r="CQ180" s="242"/>
      <c r="CR180" s="242"/>
      <c r="CS180" s="309"/>
      <c r="CT180" s="309"/>
      <c r="CU180" s="309"/>
      <c r="CV180" s="309"/>
      <c r="CW180" s="309"/>
      <c r="CX180" s="309"/>
      <c r="CY180" s="309"/>
      <c r="CZ180" s="309"/>
      <c r="DA180" s="309"/>
      <c r="DB180" s="309"/>
      <c r="DC180" s="212"/>
      <c r="DD180" s="212"/>
      <c r="DE180" s="212"/>
      <c r="DF180" s="212"/>
      <c r="DG180" s="212"/>
      <c r="DH180" s="212"/>
      <c r="DI180" s="212"/>
      <c r="DJ180" s="212"/>
      <c r="DK180" s="212"/>
      <c r="DL180" s="212"/>
      <c r="DM180" s="212"/>
      <c r="DN180" s="212"/>
      <c r="DO180" s="212"/>
      <c r="DP180" s="212"/>
      <c r="DQ180" s="212"/>
      <c r="DR180" s="212"/>
      <c r="DS180" s="212"/>
      <c r="DT180" s="212"/>
      <c r="DU180" s="212"/>
      <c r="DV180" s="212"/>
      <c r="DW180" s="212"/>
      <c r="DX180" s="212"/>
      <c r="DY180" s="212"/>
      <c r="DZ180" s="212"/>
      <c r="EA180" s="212"/>
      <c r="EB180" s="212"/>
      <c r="EC180" s="212"/>
      <c r="ED180" s="212"/>
      <c r="EE180" s="212"/>
      <c r="EF180" s="212"/>
      <c r="EG180" s="212"/>
      <c r="EH180" s="212"/>
      <c r="EI180" s="212"/>
      <c r="EJ180" s="212"/>
      <c r="EK180" s="212"/>
      <c r="EL180" s="212"/>
      <c r="EM180" s="212"/>
      <c r="EN180" s="212"/>
      <c r="EO180" s="212"/>
      <c r="EP180" s="212"/>
      <c r="EQ180" s="212"/>
      <c r="ER180" s="212"/>
      <c r="ES180" s="212"/>
      <c r="ET180" s="212"/>
      <c r="EU180" s="212"/>
      <c r="EV180" s="212"/>
      <c r="EW180" s="212"/>
      <c r="EX180" s="212"/>
      <c r="EY180" s="212"/>
      <c r="EZ180" s="212"/>
      <c r="FA180" s="212"/>
    </row>
    <row r="181" s="307" customFormat="true" ht="15" hidden="false" customHeight="false" outlineLevel="0" collapsed="false">
      <c r="A181" s="306" t="s">
        <v>352</v>
      </c>
      <c r="B181" s="306"/>
      <c r="C181" s="307" t="n">
        <v>1</v>
      </c>
      <c r="D181" s="307" t="n">
        <v>1</v>
      </c>
      <c r="E181" s="307" t="n">
        <v>1</v>
      </c>
      <c r="F181" s="307" t="n">
        <v>1</v>
      </c>
      <c r="G181" s="307" t="n">
        <v>1</v>
      </c>
      <c r="H181" s="307" t="n">
        <v>1</v>
      </c>
      <c r="I181" s="307" t="n">
        <v>1</v>
      </c>
      <c r="J181" s="307" t="n">
        <v>1</v>
      </c>
      <c r="K181" s="307" t="n">
        <v>1</v>
      </c>
      <c r="L181" s="307" t="n">
        <v>1</v>
      </c>
      <c r="M181" s="307" t="n">
        <v>1</v>
      </c>
      <c r="N181" s="307" t="n">
        <v>1</v>
      </c>
      <c r="O181" s="307" t="n">
        <v>1</v>
      </c>
      <c r="P181" s="307" t="n">
        <v>1</v>
      </c>
      <c r="Q181" s="307" t="n">
        <v>1</v>
      </c>
      <c r="R181" s="307" t="n">
        <v>1</v>
      </c>
      <c r="S181" s="307" t="n">
        <v>1</v>
      </c>
      <c r="T181" s="307" t="n">
        <v>1</v>
      </c>
      <c r="U181" s="307" t="n">
        <v>1</v>
      </c>
      <c r="V181" s="307" t="n">
        <v>1</v>
      </c>
      <c r="W181" s="307" t="n">
        <v>1</v>
      </c>
      <c r="X181" s="307" t="n">
        <v>1</v>
      </c>
      <c r="Y181" s="307" t="n">
        <v>1</v>
      </c>
      <c r="Z181" s="307" t="n">
        <v>1</v>
      </c>
      <c r="AA181" s="307" t="n">
        <v>1</v>
      </c>
      <c r="AB181" s="307" t="n">
        <v>1</v>
      </c>
      <c r="AC181" s="307" t="n">
        <v>1</v>
      </c>
      <c r="AD181" s="307" t="n">
        <v>1</v>
      </c>
      <c r="AE181" s="307" t="n">
        <v>1</v>
      </c>
      <c r="AF181" s="307" t="n">
        <v>1</v>
      </c>
      <c r="AG181" s="307" t="n">
        <v>1</v>
      </c>
      <c r="AH181" s="307" t="n">
        <v>1</v>
      </c>
      <c r="AI181" s="307" t="n">
        <v>1</v>
      </c>
      <c r="AJ181" s="307" t="n">
        <v>1</v>
      </c>
      <c r="AK181" s="307" t="n">
        <v>1</v>
      </c>
      <c r="AL181" s="307" t="n">
        <v>1</v>
      </c>
      <c r="AM181" s="307" t="n">
        <v>1</v>
      </c>
      <c r="AN181" s="307" t="n">
        <v>1</v>
      </c>
      <c r="AO181" s="307" t="n">
        <v>1</v>
      </c>
      <c r="AP181" s="307" t="n">
        <v>1</v>
      </c>
      <c r="AQ181" s="307" t="n">
        <v>1</v>
      </c>
      <c r="AR181" s="307" t="n">
        <v>1</v>
      </c>
      <c r="AS181" s="307" t="n">
        <v>1</v>
      </c>
      <c r="AT181" s="307" t="n">
        <v>1</v>
      </c>
      <c r="AU181" s="307" t="n">
        <v>1</v>
      </c>
      <c r="AV181" s="307" t="n">
        <v>1</v>
      </c>
      <c r="AW181" s="307" t="n">
        <v>1</v>
      </c>
      <c r="AX181" s="307" t="n">
        <v>1</v>
      </c>
      <c r="AY181" s="307" t="n">
        <v>1</v>
      </c>
      <c r="AZ181" s="307" t="n">
        <v>1</v>
      </c>
      <c r="BA181" s="306"/>
      <c r="BB181" s="306"/>
      <c r="BQ181" s="308"/>
      <c r="BR181" s="306"/>
      <c r="BS181" s="306"/>
      <c r="CH181" s="308"/>
      <c r="CI181" s="306"/>
      <c r="CJ181" s="306"/>
      <c r="DB181" s="308"/>
      <c r="DC181" s="306"/>
      <c r="DD181" s="306"/>
      <c r="DS181" s="308"/>
      <c r="DT181" s="306"/>
      <c r="DU181" s="306"/>
      <c r="EJ181" s="308"/>
      <c r="EK181" s="306"/>
      <c r="EL181" s="306"/>
      <c r="FA181" s="308"/>
    </row>
    <row r="182" s="307" customFormat="true" ht="15" hidden="false" customHeight="false" outlineLevel="0" collapsed="false">
      <c r="A182" s="306" t="s">
        <v>353</v>
      </c>
      <c r="B182" s="306"/>
      <c r="C182" s="307" t="n">
        <v>1</v>
      </c>
      <c r="D182" s="307" t="n">
        <v>1</v>
      </c>
      <c r="E182" s="307" t="n">
        <v>1</v>
      </c>
      <c r="F182" s="307" t="n">
        <v>1</v>
      </c>
      <c r="G182" s="307" t="n">
        <v>1</v>
      </c>
      <c r="H182" s="307" t="n">
        <v>1</v>
      </c>
      <c r="I182" s="307" t="n">
        <v>1</v>
      </c>
      <c r="J182" s="307" t="n">
        <v>1</v>
      </c>
      <c r="K182" s="307" t="n">
        <v>1</v>
      </c>
      <c r="L182" s="307" t="n">
        <v>1</v>
      </c>
      <c r="M182" s="307" t="n">
        <v>1</v>
      </c>
      <c r="N182" s="307" t="n">
        <v>1</v>
      </c>
      <c r="O182" s="307" t="n">
        <v>1</v>
      </c>
      <c r="P182" s="307" t="n">
        <v>1</v>
      </c>
      <c r="Q182" s="307" t="n">
        <v>1</v>
      </c>
      <c r="R182" s="307" t="n">
        <v>1</v>
      </c>
      <c r="S182" s="307" t="n">
        <v>1</v>
      </c>
      <c r="T182" s="307" t="n">
        <v>1</v>
      </c>
      <c r="U182" s="307" t="n">
        <v>1</v>
      </c>
      <c r="V182" s="307" t="n">
        <v>1</v>
      </c>
      <c r="W182" s="307" t="n">
        <v>1</v>
      </c>
      <c r="X182" s="307" t="n">
        <v>1</v>
      </c>
      <c r="Y182" s="307" t="n">
        <v>1</v>
      </c>
      <c r="Z182" s="307" t="n">
        <v>1</v>
      </c>
      <c r="AA182" s="307" t="n">
        <v>1</v>
      </c>
      <c r="AB182" s="307" t="n">
        <v>1</v>
      </c>
      <c r="AC182" s="307" t="n">
        <v>1</v>
      </c>
      <c r="AD182" s="307" t="n">
        <v>1</v>
      </c>
      <c r="AE182" s="307" t="n">
        <v>1</v>
      </c>
      <c r="AF182" s="307" t="n">
        <v>1</v>
      </c>
      <c r="AG182" s="307" t="n">
        <v>1</v>
      </c>
      <c r="AH182" s="307" t="n">
        <v>1</v>
      </c>
      <c r="AI182" s="307" t="n">
        <v>1</v>
      </c>
      <c r="AJ182" s="307" t="n">
        <v>1</v>
      </c>
      <c r="AK182" s="307" t="n">
        <v>1</v>
      </c>
      <c r="AL182" s="307" t="n">
        <v>1</v>
      </c>
      <c r="AM182" s="307" t="n">
        <v>1</v>
      </c>
      <c r="AN182" s="307" t="n">
        <v>1</v>
      </c>
      <c r="AO182" s="307" t="n">
        <v>1</v>
      </c>
      <c r="AP182" s="307" t="n">
        <v>1</v>
      </c>
      <c r="AQ182" s="307" t="n">
        <v>1</v>
      </c>
      <c r="AR182" s="307" t="n">
        <v>1</v>
      </c>
      <c r="AS182" s="307" t="n">
        <v>1</v>
      </c>
      <c r="AT182" s="307" t="n">
        <v>1</v>
      </c>
      <c r="AU182" s="307" t="n">
        <v>1</v>
      </c>
      <c r="AV182" s="307" t="n">
        <v>1</v>
      </c>
      <c r="AW182" s="307" t="n">
        <v>1</v>
      </c>
      <c r="AX182" s="307" t="n">
        <v>1</v>
      </c>
      <c r="AY182" s="307" t="n">
        <v>1</v>
      </c>
      <c r="AZ182" s="307" t="n">
        <v>1</v>
      </c>
      <c r="BA182" s="306"/>
      <c r="BB182" s="306"/>
      <c r="BQ182" s="308"/>
      <c r="BR182" s="306"/>
      <c r="BS182" s="306"/>
      <c r="CH182" s="308"/>
      <c r="CI182" s="306"/>
      <c r="CJ182" s="306"/>
      <c r="DB182" s="308"/>
      <c r="DC182" s="306"/>
      <c r="DD182" s="306"/>
      <c r="DS182" s="308"/>
      <c r="DT182" s="306"/>
      <c r="DU182" s="306"/>
      <c r="EJ182" s="308"/>
      <c r="EK182" s="306"/>
      <c r="EL182" s="306"/>
      <c r="FA182" s="308"/>
    </row>
    <row r="183" s="307" customFormat="true" ht="15" hidden="false" customHeight="false" outlineLevel="0" collapsed="false">
      <c r="A183" s="306" t="s">
        <v>354</v>
      </c>
      <c r="B183" s="306"/>
      <c r="C183" s="307" t="n">
        <v>1</v>
      </c>
      <c r="D183" s="307" t="n">
        <v>1</v>
      </c>
      <c r="E183" s="307" t="n">
        <v>1</v>
      </c>
      <c r="F183" s="307" t="n">
        <v>1</v>
      </c>
      <c r="G183" s="307" t="n">
        <v>1</v>
      </c>
      <c r="H183" s="307" t="n">
        <v>1</v>
      </c>
      <c r="I183" s="307" t="n">
        <v>1</v>
      </c>
      <c r="J183" s="307" t="n">
        <v>1</v>
      </c>
      <c r="K183" s="307" t="n">
        <v>1</v>
      </c>
      <c r="L183" s="307" t="n">
        <v>1</v>
      </c>
      <c r="M183" s="307" t="n">
        <v>1</v>
      </c>
      <c r="N183" s="307" t="n">
        <v>1</v>
      </c>
      <c r="O183" s="307" t="n">
        <v>1</v>
      </c>
      <c r="P183" s="307" t="n">
        <v>1</v>
      </c>
      <c r="Q183" s="307" t="n">
        <v>1</v>
      </c>
      <c r="R183" s="307" t="n">
        <v>1</v>
      </c>
      <c r="S183" s="307" t="n">
        <v>1</v>
      </c>
      <c r="T183" s="307" t="n">
        <v>1</v>
      </c>
      <c r="U183" s="307" t="n">
        <v>1</v>
      </c>
      <c r="V183" s="307" t="n">
        <v>1</v>
      </c>
      <c r="W183" s="307" t="n">
        <v>1</v>
      </c>
      <c r="X183" s="307" t="n">
        <v>1</v>
      </c>
      <c r="Y183" s="307" t="n">
        <v>1</v>
      </c>
      <c r="Z183" s="307" t="n">
        <v>1</v>
      </c>
      <c r="AA183" s="307" t="n">
        <v>1</v>
      </c>
      <c r="AB183" s="307" t="n">
        <v>1</v>
      </c>
      <c r="AC183" s="307" t="n">
        <v>1</v>
      </c>
      <c r="AD183" s="307" t="n">
        <v>1</v>
      </c>
      <c r="AE183" s="307" t="n">
        <v>1</v>
      </c>
      <c r="AF183" s="307" t="n">
        <v>1</v>
      </c>
      <c r="AG183" s="307" t="n">
        <v>1</v>
      </c>
      <c r="AH183" s="307" t="n">
        <v>1</v>
      </c>
      <c r="AI183" s="307" t="n">
        <v>1</v>
      </c>
      <c r="AJ183" s="307" t="n">
        <v>1</v>
      </c>
      <c r="AK183" s="307" t="n">
        <v>1</v>
      </c>
      <c r="AL183" s="307" t="n">
        <v>1</v>
      </c>
      <c r="AM183" s="307" t="n">
        <v>1</v>
      </c>
      <c r="AN183" s="307" t="n">
        <v>1</v>
      </c>
      <c r="AO183" s="307" t="n">
        <v>1</v>
      </c>
      <c r="AP183" s="307" t="n">
        <v>1</v>
      </c>
      <c r="AQ183" s="307" t="n">
        <v>1</v>
      </c>
      <c r="AR183" s="307" t="n">
        <v>1</v>
      </c>
      <c r="AS183" s="307" t="n">
        <v>1</v>
      </c>
      <c r="AT183" s="307" t="n">
        <v>1</v>
      </c>
      <c r="AU183" s="307" t="n">
        <v>1</v>
      </c>
      <c r="AV183" s="307" t="n">
        <v>1</v>
      </c>
      <c r="AW183" s="307" t="n">
        <v>1</v>
      </c>
      <c r="AX183" s="307" t="n">
        <v>1</v>
      </c>
      <c r="AY183" s="307" t="n">
        <v>1</v>
      </c>
      <c r="AZ183" s="307" t="n">
        <v>1</v>
      </c>
      <c r="BA183" s="306"/>
      <c r="BB183" s="306"/>
      <c r="BQ183" s="308"/>
      <c r="BR183" s="306"/>
      <c r="BS183" s="306"/>
      <c r="CH183" s="308"/>
      <c r="CI183" s="306"/>
      <c r="CJ183" s="306"/>
      <c r="DB183" s="308"/>
      <c r="DC183" s="306"/>
      <c r="DD183" s="306"/>
      <c r="DS183" s="308"/>
      <c r="DT183" s="306"/>
      <c r="DU183" s="306"/>
      <c r="EJ183" s="308"/>
      <c r="EK183" s="306"/>
      <c r="EL183" s="306"/>
      <c r="FA183" s="308"/>
    </row>
    <row r="184" s="307" customFormat="true" ht="15" hidden="false" customHeight="false" outlineLevel="0" collapsed="false">
      <c r="A184" s="306" t="s">
        <v>355</v>
      </c>
      <c r="B184" s="306"/>
      <c r="C184" s="307" t="n">
        <v>1</v>
      </c>
      <c r="D184" s="307" t="n">
        <v>1</v>
      </c>
      <c r="E184" s="307" t="n">
        <v>1</v>
      </c>
      <c r="F184" s="307" t="n">
        <v>1</v>
      </c>
      <c r="G184" s="307" t="n">
        <v>1</v>
      </c>
      <c r="H184" s="307" t="n">
        <v>1</v>
      </c>
      <c r="I184" s="307" t="n">
        <v>1</v>
      </c>
      <c r="J184" s="307" t="n">
        <v>1</v>
      </c>
      <c r="K184" s="307" t="n">
        <v>1</v>
      </c>
      <c r="L184" s="307" t="n">
        <v>1</v>
      </c>
      <c r="M184" s="307" t="n">
        <v>1</v>
      </c>
      <c r="N184" s="307" t="n">
        <v>1</v>
      </c>
      <c r="O184" s="307" t="n">
        <v>1</v>
      </c>
      <c r="P184" s="307" t="n">
        <v>1</v>
      </c>
      <c r="Q184" s="307" t="n">
        <v>1</v>
      </c>
      <c r="R184" s="307" t="n">
        <v>1</v>
      </c>
      <c r="S184" s="307" t="n">
        <v>1</v>
      </c>
      <c r="T184" s="307" t="n">
        <v>1</v>
      </c>
      <c r="U184" s="307" t="n">
        <v>1</v>
      </c>
      <c r="V184" s="307" t="n">
        <v>1</v>
      </c>
      <c r="W184" s="307" t="n">
        <v>1</v>
      </c>
      <c r="X184" s="307" t="n">
        <v>1</v>
      </c>
      <c r="Y184" s="307" t="n">
        <v>1</v>
      </c>
      <c r="Z184" s="307" t="n">
        <v>1</v>
      </c>
      <c r="AA184" s="307" t="n">
        <v>1</v>
      </c>
      <c r="AB184" s="307" t="n">
        <v>1</v>
      </c>
      <c r="AC184" s="307" t="n">
        <v>1</v>
      </c>
      <c r="AD184" s="307" t="n">
        <v>1</v>
      </c>
      <c r="AE184" s="307" t="n">
        <v>1</v>
      </c>
      <c r="AF184" s="307" t="n">
        <v>1</v>
      </c>
      <c r="AG184" s="307" t="n">
        <v>1</v>
      </c>
      <c r="AH184" s="307" t="n">
        <v>1</v>
      </c>
      <c r="AI184" s="307" t="n">
        <v>1</v>
      </c>
      <c r="AJ184" s="307" t="n">
        <v>1</v>
      </c>
      <c r="AK184" s="307" t="n">
        <v>1</v>
      </c>
      <c r="AL184" s="307" t="n">
        <v>1</v>
      </c>
      <c r="AM184" s="307" t="n">
        <v>1</v>
      </c>
      <c r="AN184" s="307" t="n">
        <v>1</v>
      </c>
      <c r="AO184" s="307" t="n">
        <v>1</v>
      </c>
      <c r="AP184" s="307" t="n">
        <v>1</v>
      </c>
      <c r="AQ184" s="307" t="n">
        <v>1</v>
      </c>
      <c r="AR184" s="307" t="n">
        <v>1</v>
      </c>
      <c r="AS184" s="307" t="n">
        <v>1</v>
      </c>
      <c r="AT184" s="307" t="n">
        <v>1</v>
      </c>
      <c r="AU184" s="307" t="n">
        <v>1</v>
      </c>
      <c r="AV184" s="307" t="n">
        <v>1</v>
      </c>
      <c r="AW184" s="307" t="n">
        <v>1</v>
      </c>
      <c r="AX184" s="307" t="n">
        <v>1</v>
      </c>
      <c r="AY184" s="307" t="n">
        <v>1</v>
      </c>
      <c r="AZ184" s="307" t="n">
        <v>1</v>
      </c>
      <c r="BA184" s="306"/>
      <c r="BB184" s="306"/>
      <c r="BQ184" s="308"/>
      <c r="BR184" s="306"/>
      <c r="BS184" s="306"/>
      <c r="CH184" s="308"/>
      <c r="CI184" s="306"/>
      <c r="CJ184" s="306"/>
      <c r="DB184" s="308"/>
      <c r="DC184" s="306"/>
      <c r="DD184" s="306"/>
      <c r="DS184" s="308"/>
      <c r="DT184" s="306"/>
      <c r="DU184" s="306"/>
      <c r="EJ184" s="308"/>
      <c r="EK184" s="306"/>
      <c r="EL184" s="306"/>
      <c r="FA184" s="308"/>
    </row>
    <row r="185" s="307" customFormat="true" ht="15" hidden="false" customHeight="false" outlineLevel="0" collapsed="false">
      <c r="A185" s="306" t="s">
        <v>356</v>
      </c>
      <c r="B185" s="306"/>
      <c r="C185" s="307" t="n">
        <v>1</v>
      </c>
      <c r="D185" s="307" t="n">
        <v>1</v>
      </c>
      <c r="E185" s="307" t="n">
        <v>1</v>
      </c>
      <c r="F185" s="307" t="n">
        <v>1</v>
      </c>
      <c r="G185" s="307" t="n">
        <v>1</v>
      </c>
      <c r="H185" s="307" t="n">
        <v>1</v>
      </c>
      <c r="I185" s="307" t="n">
        <v>1</v>
      </c>
      <c r="J185" s="307" t="n">
        <v>1</v>
      </c>
      <c r="K185" s="307" t="n">
        <v>1</v>
      </c>
      <c r="L185" s="307" t="n">
        <v>1</v>
      </c>
      <c r="M185" s="307" t="n">
        <v>1</v>
      </c>
      <c r="N185" s="307" t="n">
        <v>1</v>
      </c>
      <c r="O185" s="307" t="n">
        <v>1</v>
      </c>
      <c r="P185" s="307" t="n">
        <v>1</v>
      </c>
      <c r="Q185" s="307" t="n">
        <v>1</v>
      </c>
      <c r="R185" s="307" t="n">
        <v>1</v>
      </c>
      <c r="S185" s="307" t="n">
        <v>1</v>
      </c>
      <c r="T185" s="307" t="n">
        <v>1</v>
      </c>
      <c r="U185" s="307" t="n">
        <v>1</v>
      </c>
      <c r="V185" s="307" t="n">
        <v>1</v>
      </c>
      <c r="W185" s="307" t="n">
        <v>1</v>
      </c>
      <c r="X185" s="307" t="n">
        <v>1</v>
      </c>
      <c r="Y185" s="307" t="n">
        <v>1</v>
      </c>
      <c r="Z185" s="307" t="n">
        <v>1</v>
      </c>
      <c r="AA185" s="307" t="n">
        <v>1</v>
      </c>
      <c r="AB185" s="307" t="n">
        <v>1</v>
      </c>
      <c r="AC185" s="307" t="n">
        <v>1</v>
      </c>
      <c r="AD185" s="307" t="n">
        <v>1</v>
      </c>
      <c r="AE185" s="307" t="n">
        <v>1</v>
      </c>
      <c r="AF185" s="307" t="n">
        <v>1</v>
      </c>
      <c r="AG185" s="307" t="n">
        <v>1</v>
      </c>
      <c r="AH185" s="307" t="n">
        <v>1</v>
      </c>
      <c r="AI185" s="307" t="n">
        <v>1</v>
      </c>
      <c r="AJ185" s="307" t="n">
        <v>1</v>
      </c>
      <c r="AK185" s="307" t="n">
        <v>1</v>
      </c>
      <c r="AL185" s="307" t="n">
        <v>1</v>
      </c>
      <c r="AM185" s="307" t="n">
        <v>1</v>
      </c>
      <c r="AN185" s="307" t="n">
        <v>1</v>
      </c>
      <c r="AO185" s="307" t="n">
        <v>1</v>
      </c>
      <c r="AP185" s="307" t="n">
        <v>1</v>
      </c>
      <c r="AQ185" s="307" t="n">
        <v>1</v>
      </c>
      <c r="AR185" s="307" t="n">
        <v>1</v>
      </c>
      <c r="AS185" s="307" t="n">
        <v>1</v>
      </c>
      <c r="AT185" s="307" t="n">
        <v>1</v>
      </c>
      <c r="AU185" s="307" t="n">
        <v>1</v>
      </c>
      <c r="AV185" s="307" t="n">
        <v>1</v>
      </c>
      <c r="AW185" s="307" t="n">
        <v>1</v>
      </c>
      <c r="AX185" s="307" t="n">
        <v>1</v>
      </c>
      <c r="AY185" s="307" t="n">
        <v>1</v>
      </c>
      <c r="AZ185" s="307" t="n">
        <v>1</v>
      </c>
      <c r="BA185" s="306"/>
      <c r="BB185" s="306"/>
      <c r="BQ185" s="308"/>
      <c r="BR185" s="306"/>
      <c r="BS185" s="306"/>
      <c r="CH185" s="308"/>
      <c r="CI185" s="306"/>
      <c r="CJ185" s="306"/>
      <c r="DB185" s="308"/>
      <c r="DC185" s="306"/>
      <c r="DD185" s="306"/>
      <c r="DS185" s="308"/>
      <c r="DT185" s="306"/>
      <c r="DU185" s="306"/>
      <c r="EJ185" s="308"/>
      <c r="EK185" s="306"/>
      <c r="EL185" s="306"/>
      <c r="FA185" s="308"/>
    </row>
    <row r="186" customFormat="false" ht="17.35" hidden="false" customHeight="false" outlineLevel="0" collapsed="false">
      <c r="A186" s="272" t="s">
        <v>592</v>
      </c>
      <c r="B186" s="273"/>
      <c r="C186" s="273"/>
      <c r="D186" s="273"/>
      <c r="E186" s="273"/>
      <c r="F186" s="273"/>
      <c r="G186" s="273"/>
      <c r="H186" s="273"/>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273"/>
      <c r="AT186" s="273"/>
      <c r="AU186" s="273"/>
      <c r="AV186" s="273"/>
      <c r="AW186" s="273"/>
      <c r="AX186" s="273"/>
      <c r="AY186" s="273"/>
      <c r="AZ186" s="273"/>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c r="BU186" s="212"/>
      <c r="BV186" s="212"/>
      <c r="BW186" s="212"/>
      <c r="BX186" s="212"/>
      <c r="BY186" s="212"/>
      <c r="BZ186" s="212"/>
      <c r="CA186" s="212"/>
      <c r="CB186" s="212"/>
      <c r="CC186" s="212"/>
      <c r="CD186" s="212"/>
      <c r="CE186" s="212"/>
      <c r="CF186" s="212"/>
      <c r="CG186" s="212"/>
      <c r="CH186" s="212"/>
      <c r="CI186" s="242"/>
      <c r="CJ186" s="242"/>
      <c r="CK186" s="242"/>
      <c r="CL186" s="242"/>
      <c r="CM186" s="242"/>
      <c r="CN186" s="242"/>
      <c r="CO186" s="242"/>
      <c r="CP186" s="242"/>
      <c r="CQ186" s="242"/>
      <c r="CR186" s="242"/>
      <c r="CS186" s="309"/>
      <c r="CT186" s="309"/>
      <c r="CU186" s="309"/>
      <c r="CV186" s="309"/>
      <c r="CW186" s="309"/>
      <c r="CX186" s="309"/>
      <c r="CY186" s="309"/>
      <c r="CZ186" s="309"/>
      <c r="DA186" s="309"/>
      <c r="DB186" s="309"/>
      <c r="DC186" s="212"/>
      <c r="DD186" s="212"/>
      <c r="DE186" s="212"/>
      <c r="DF186" s="212"/>
      <c r="DG186" s="212"/>
      <c r="DH186" s="212"/>
      <c r="DI186" s="212"/>
      <c r="DJ186" s="212"/>
      <c r="DK186" s="212"/>
      <c r="DL186" s="212"/>
      <c r="DM186" s="212"/>
      <c r="DN186" s="212"/>
      <c r="DO186" s="212"/>
      <c r="DP186" s="212"/>
      <c r="DQ186" s="212"/>
      <c r="DR186" s="212"/>
      <c r="DS186" s="212"/>
      <c r="DT186" s="212"/>
      <c r="DU186" s="212"/>
      <c r="DV186" s="212"/>
      <c r="DW186" s="212"/>
      <c r="DX186" s="212"/>
      <c r="DY186" s="212"/>
      <c r="DZ186" s="212"/>
      <c r="EA186" s="212"/>
      <c r="EB186" s="212"/>
      <c r="EC186" s="212"/>
      <c r="ED186" s="212"/>
      <c r="EE186" s="212"/>
      <c r="EF186" s="212"/>
      <c r="EG186" s="212"/>
      <c r="EH186" s="212"/>
      <c r="EI186" s="212"/>
      <c r="EJ186" s="212"/>
      <c r="EK186" s="212"/>
      <c r="EL186" s="212"/>
      <c r="EM186" s="212"/>
      <c r="EN186" s="212"/>
      <c r="EO186" s="212"/>
      <c r="EP186" s="212"/>
      <c r="EQ186" s="212"/>
      <c r="ER186" s="212"/>
      <c r="ES186" s="212"/>
      <c r="ET186" s="212"/>
      <c r="EU186" s="212"/>
      <c r="EV186" s="212"/>
      <c r="EW186" s="212"/>
      <c r="EX186" s="212"/>
      <c r="EY186" s="212"/>
      <c r="EZ186" s="212"/>
      <c r="FA186" s="212"/>
    </row>
    <row r="187" s="307" customFormat="true" ht="15" hidden="false" customHeight="false" outlineLevel="0" collapsed="false">
      <c r="A187" s="306" t="s">
        <v>352</v>
      </c>
      <c r="B187" s="306"/>
      <c r="C187" s="307" t="n">
        <v>2050</v>
      </c>
      <c r="D187" s="307" t="n">
        <v>2050</v>
      </c>
      <c r="E187" s="307" t="n">
        <v>2050</v>
      </c>
      <c r="F187" s="307" t="n">
        <v>2050</v>
      </c>
      <c r="G187" s="307" t="n">
        <v>2050</v>
      </c>
      <c r="H187" s="307" t="n">
        <v>2050</v>
      </c>
      <c r="I187" s="307" t="n">
        <v>2050</v>
      </c>
      <c r="J187" s="307" t="n">
        <v>2050</v>
      </c>
      <c r="K187" s="307" t="n">
        <v>2050</v>
      </c>
      <c r="L187" s="307" t="n">
        <v>2050</v>
      </c>
      <c r="M187" s="307" t="n">
        <v>2050</v>
      </c>
      <c r="N187" s="307" t="n">
        <v>2050</v>
      </c>
      <c r="O187" s="307" t="n">
        <v>2050</v>
      </c>
      <c r="P187" s="307" t="n">
        <v>2050</v>
      </c>
      <c r="Q187" s="307" t="n">
        <v>2050</v>
      </c>
      <c r="R187" s="307" t="n">
        <v>2050</v>
      </c>
      <c r="S187" s="307" t="n">
        <v>2050</v>
      </c>
      <c r="T187" s="307" t="n">
        <v>2050</v>
      </c>
      <c r="U187" s="307" t="n">
        <v>2050</v>
      </c>
      <c r="V187" s="307" t="n">
        <v>2050</v>
      </c>
      <c r="W187" s="307" t="n">
        <v>2050</v>
      </c>
      <c r="X187" s="307" t="n">
        <v>2050</v>
      </c>
      <c r="Y187" s="307" t="n">
        <v>2050</v>
      </c>
      <c r="Z187" s="307" t="n">
        <v>2050</v>
      </c>
      <c r="AA187" s="307" t="n">
        <v>2050</v>
      </c>
      <c r="AB187" s="307" t="n">
        <v>2050</v>
      </c>
      <c r="AC187" s="307" t="n">
        <v>2050</v>
      </c>
      <c r="AD187" s="307" t="n">
        <v>2050</v>
      </c>
      <c r="AE187" s="307" t="n">
        <v>2050</v>
      </c>
      <c r="AF187" s="307" t="n">
        <v>2050</v>
      </c>
      <c r="AG187" s="307" t="n">
        <v>2050</v>
      </c>
      <c r="AH187" s="307" t="n">
        <v>2050</v>
      </c>
      <c r="AI187" s="307" t="n">
        <v>2050</v>
      </c>
      <c r="AJ187" s="307" t="n">
        <v>2050</v>
      </c>
      <c r="AK187" s="307" t="n">
        <v>2050</v>
      </c>
      <c r="AL187" s="307" t="n">
        <v>2050</v>
      </c>
      <c r="AM187" s="307" t="n">
        <v>2050</v>
      </c>
      <c r="AN187" s="307" t="n">
        <v>2050</v>
      </c>
      <c r="AO187" s="307" t="n">
        <v>2050</v>
      </c>
      <c r="AP187" s="307" t="n">
        <v>2050</v>
      </c>
      <c r="AQ187" s="307" t="n">
        <v>2050</v>
      </c>
      <c r="AR187" s="307" t="n">
        <v>2050</v>
      </c>
      <c r="AS187" s="307" t="n">
        <v>2050</v>
      </c>
      <c r="AT187" s="307" t="n">
        <v>2050</v>
      </c>
      <c r="AU187" s="307" t="n">
        <v>2050</v>
      </c>
      <c r="AV187" s="307" t="n">
        <v>2050</v>
      </c>
      <c r="AW187" s="307" t="n">
        <v>2050</v>
      </c>
      <c r="AX187" s="307" t="n">
        <v>2050</v>
      </c>
      <c r="AY187" s="307" t="n">
        <v>2050</v>
      </c>
      <c r="AZ187" s="307" t="n">
        <v>2050</v>
      </c>
      <c r="BA187" s="306"/>
      <c r="BB187" s="306"/>
      <c r="BQ187" s="308"/>
      <c r="BR187" s="306"/>
      <c r="BS187" s="306"/>
      <c r="CH187" s="308"/>
      <c r="CI187" s="306"/>
      <c r="CJ187" s="306"/>
      <c r="DB187" s="308"/>
      <c r="DC187" s="306"/>
      <c r="DD187" s="306"/>
      <c r="DS187" s="308"/>
      <c r="DT187" s="306"/>
      <c r="DU187" s="306"/>
      <c r="EJ187" s="308"/>
      <c r="EK187" s="306"/>
      <c r="EL187" s="306"/>
      <c r="FA187" s="308"/>
    </row>
    <row r="188" s="307" customFormat="true" ht="15" hidden="false" customHeight="false" outlineLevel="0" collapsed="false">
      <c r="A188" s="306" t="s">
        <v>353</v>
      </c>
      <c r="B188" s="306"/>
      <c r="C188" s="307" t="n">
        <v>2050</v>
      </c>
      <c r="D188" s="307" t="n">
        <v>2050</v>
      </c>
      <c r="E188" s="307" t="n">
        <v>2050</v>
      </c>
      <c r="F188" s="307" t="n">
        <v>2050</v>
      </c>
      <c r="G188" s="307" t="n">
        <v>2050</v>
      </c>
      <c r="H188" s="307" t="n">
        <v>2050</v>
      </c>
      <c r="I188" s="307" t="n">
        <v>2050</v>
      </c>
      <c r="J188" s="307" t="n">
        <v>2050</v>
      </c>
      <c r="K188" s="307" t="n">
        <v>2050</v>
      </c>
      <c r="L188" s="307" t="n">
        <v>2050</v>
      </c>
      <c r="M188" s="307" t="n">
        <v>2050</v>
      </c>
      <c r="N188" s="307" t="n">
        <v>2050</v>
      </c>
      <c r="O188" s="307" t="n">
        <v>2050</v>
      </c>
      <c r="P188" s="307" t="n">
        <v>2050</v>
      </c>
      <c r="Q188" s="307" t="n">
        <v>2050</v>
      </c>
      <c r="R188" s="307" t="n">
        <v>2050</v>
      </c>
      <c r="S188" s="307" t="n">
        <v>2050</v>
      </c>
      <c r="T188" s="307" t="n">
        <v>2050</v>
      </c>
      <c r="U188" s="307" t="n">
        <v>2050</v>
      </c>
      <c r="V188" s="307" t="n">
        <v>2050</v>
      </c>
      <c r="W188" s="307" t="n">
        <v>2050</v>
      </c>
      <c r="X188" s="307" t="n">
        <v>2050</v>
      </c>
      <c r="Y188" s="307" t="n">
        <v>2050</v>
      </c>
      <c r="Z188" s="307" t="n">
        <v>2050</v>
      </c>
      <c r="AA188" s="307" t="n">
        <v>2050</v>
      </c>
      <c r="AB188" s="307" t="n">
        <v>2050</v>
      </c>
      <c r="AC188" s="307" t="n">
        <v>2050</v>
      </c>
      <c r="AD188" s="307" t="n">
        <v>2050</v>
      </c>
      <c r="AE188" s="307" t="n">
        <v>2050</v>
      </c>
      <c r="AF188" s="307" t="n">
        <v>2050</v>
      </c>
      <c r="AG188" s="307" t="n">
        <v>2050</v>
      </c>
      <c r="AH188" s="307" t="n">
        <v>2050</v>
      </c>
      <c r="AI188" s="307" t="n">
        <v>2050</v>
      </c>
      <c r="AJ188" s="307" t="n">
        <v>2050</v>
      </c>
      <c r="AK188" s="307" t="n">
        <v>2050</v>
      </c>
      <c r="AL188" s="307" t="n">
        <v>2050</v>
      </c>
      <c r="AM188" s="307" t="n">
        <v>2050</v>
      </c>
      <c r="AN188" s="307" t="n">
        <v>2050</v>
      </c>
      <c r="AO188" s="307" t="n">
        <v>2050</v>
      </c>
      <c r="AP188" s="307" t="n">
        <v>2050</v>
      </c>
      <c r="AQ188" s="307" t="n">
        <v>2050</v>
      </c>
      <c r="AR188" s="307" t="n">
        <v>2050</v>
      </c>
      <c r="AS188" s="307" t="n">
        <v>2050</v>
      </c>
      <c r="AT188" s="307" t="n">
        <v>2050</v>
      </c>
      <c r="AU188" s="307" t="n">
        <v>2050</v>
      </c>
      <c r="AV188" s="307" t="n">
        <v>2050</v>
      </c>
      <c r="AW188" s="307" t="n">
        <v>2050</v>
      </c>
      <c r="AX188" s="307" t="n">
        <v>2050</v>
      </c>
      <c r="AY188" s="307" t="n">
        <v>2050</v>
      </c>
      <c r="AZ188" s="307" t="n">
        <v>2050</v>
      </c>
      <c r="BA188" s="306"/>
      <c r="BB188" s="306"/>
      <c r="BQ188" s="308"/>
      <c r="BR188" s="306"/>
      <c r="BS188" s="306"/>
      <c r="CH188" s="308"/>
      <c r="CI188" s="306"/>
      <c r="CJ188" s="306"/>
      <c r="DB188" s="308"/>
      <c r="DC188" s="306"/>
      <c r="DD188" s="306"/>
      <c r="DS188" s="308"/>
      <c r="DT188" s="306"/>
      <c r="DU188" s="306"/>
      <c r="EJ188" s="308"/>
      <c r="EK188" s="306"/>
      <c r="EL188" s="306"/>
      <c r="FA188" s="308"/>
    </row>
    <row r="189" s="307" customFormat="true" ht="15" hidden="false" customHeight="false" outlineLevel="0" collapsed="false">
      <c r="A189" s="306" t="s">
        <v>354</v>
      </c>
      <c r="B189" s="306"/>
      <c r="C189" s="307" t="n">
        <v>2050</v>
      </c>
      <c r="D189" s="307" t="n">
        <v>2050</v>
      </c>
      <c r="E189" s="307" t="n">
        <v>2050</v>
      </c>
      <c r="F189" s="307" t="n">
        <v>2050</v>
      </c>
      <c r="G189" s="307" t="n">
        <v>2050</v>
      </c>
      <c r="H189" s="307" t="n">
        <v>2050</v>
      </c>
      <c r="I189" s="307" t="n">
        <v>2050</v>
      </c>
      <c r="J189" s="307" t="n">
        <v>2050</v>
      </c>
      <c r="K189" s="307" t="n">
        <v>2050</v>
      </c>
      <c r="L189" s="307" t="n">
        <v>2050</v>
      </c>
      <c r="M189" s="307" t="n">
        <v>2050</v>
      </c>
      <c r="N189" s="307" t="n">
        <v>2050</v>
      </c>
      <c r="O189" s="307" t="n">
        <v>2050</v>
      </c>
      <c r="P189" s="307" t="n">
        <v>2050</v>
      </c>
      <c r="Q189" s="307" t="n">
        <v>2050</v>
      </c>
      <c r="R189" s="307" t="n">
        <v>2050</v>
      </c>
      <c r="S189" s="307" t="n">
        <v>2050</v>
      </c>
      <c r="T189" s="307" t="n">
        <v>2050</v>
      </c>
      <c r="U189" s="307" t="n">
        <v>2050</v>
      </c>
      <c r="V189" s="307" t="n">
        <v>2050</v>
      </c>
      <c r="W189" s="307" t="n">
        <v>2050</v>
      </c>
      <c r="X189" s="307" t="n">
        <v>2050</v>
      </c>
      <c r="Y189" s="307" t="n">
        <v>2050</v>
      </c>
      <c r="Z189" s="307" t="n">
        <v>2050</v>
      </c>
      <c r="AA189" s="307" t="n">
        <v>2050</v>
      </c>
      <c r="AB189" s="307" t="n">
        <v>2050</v>
      </c>
      <c r="AC189" s="307" t="n">
        <v>2050</v>
      </c>
      <c r="AD189" s="307" t="n">
        <v>2050</v>
      </c>
      <c r="AE189" s="307" t="n">
        <v>2050</v>
      </c>
      <c r="AF189" s="307" t="n">
        <v>2050</v>
      </c>
      <c r="AG189" s="307" t="n">
        <v>2050</v>
      </c>
      <c r="AH189" s="307" t="n">
        <v>2050</v>
      </c>
      <c r="AI189" s="307" t="n">
        <v>2050</v>
      </c>
      <c r="AJ189" s="307" t="n">
        <v>2050</v>
      </c>
      <c r="AK189" s="307" t="n">
        <v>2050</v>
      </c>
      <c r="AL189" s="307" t="n">
        <v>2050</v>
      </c>
      <c r="AM189" s="307" t="n">
        <v>2050</v>
      </c>
      <c r="AN189" s="307" t="n">
        <v>2050</v>
      </c>
      <c r="AO189" s="307" t="n">
        <v>2050</v>
      </c>
      <c r="AP189" s="307" t="n">
        <v>2050</v>
      </c>
      <c r="AQ189" s="307" t="n">
        <v>2050</v>
      </c>
      <c r="AR189" s="307" t="n">
        <v>2050</v>
      </c>
      <c r="AS189" s="307" t="n">
        <v>2050</v>
      </c>
      <c r="AT189" s="307" t="n">
        <v>2050</v>
      </c>
      <c r="AU189" s="307" t="n">
        <v>2050</v>
      </c>
      <c r="AV189" s="307" t="n">
        <v>2050</v>
      </c>
      <c r="AW189" s="307" t="n">
        <v>2050</v>
      </c>
      <c r="AX189" s="307" t="n">
        <v>2050</v>
      </c>
      <c r="AY189" s="307" t="n">
        <v>2050</v>
      </c>
      <c r="AZ189" s="307" t="n">
        <v>2050</v>
      </c>
      <c r="BA189" s="306"/>
      <c r="BB189" s="306"/>
      <c r="BQ189" s="308"/>
      <c r="BR189" s="306"/>
      <c r="BS189" s="306"/>
      <c r="CH189" s="308"/>
      <c r="CI189" s="306"/>
      <c r="CJ189" s="306"/>
      <c r="DB189" s="308"/>
      <c r="DC189" s="306"/>
      <c r="DD189" s="306"/>
      <c r="DS189" s="308"/>
      <c r="DT189" s="306"/>
      <c r="DU189" s="306"/>
      <c r="EJ189" s="308"/>
      <c r="EK189" s="306"/>
      <c r="EL189" s="306"/>
      <c r="FA189" s="308"/>
    </row>
    <row r="190" s="307" customFormat="true" ht="15" hidden="false" customHeight="false" outlineLevel="0" collapsed="false">
      <c r="A190" s="306" t="s">
        <v>355</v>
      </c>
      <c r="B190" s="306"/>
      <c r="C190" s="307" t="n">
        <v>2050</v>
      </c>
      <c r="D190" s="307" t="n">
        <v>2050</v>
      </c>
      <c r="E190" s="307" t="n">
        <v>2050</v>
      </c>
      <c r="F190" s="307" t="n">
        <v>2050</v>
      </c>
      <c r="G190" s="307" t="n">
        <v>2050</v>
      </c>
      <c r="H190" s="307" t="n">
        <v>2050</v>
      </c>
      <c r="I190" s="307" t="n">
        <v>2050</v>
      </c>
      <c r="J190" s="307" t="n">
        <v>2050</v>
      </c>
      <c r="K190" s="307" t="n">
        <v>2050</v>
      </c>
      <c r="L190" s="307" t="n">
        <v>2050</v>
      </c>
      <c r="M190" s="307" t="n">
        <v>2050</v>
      </c>
      <c r="N190" s="307" t="n">
        <v>2050</v>
      </c>
      <c r="O190" s="307" t="n">
        <v>2050</v>
      </c>
      <c r="P190" s="307" t="n">
        <v>2050</v>
      </c>
      <c r="Q190" s="307" t="n">
        <v>2050</v>
      </c>
      <c r="R190" s="307" t="n">
        <v>2050</v>
      </c>
      <c r="S190" s="307" t="n">
        <v>2050</v>
      </c>
      <c r="T190" s="307" t="n">
        <v>2050</v>
      </c>
      <c r="U190" s="307" t="n">
        <v>2050</v>
      </c>
      <c r="V190" s="307" t="n">
        <v>2050</v>
      </c>
      <c r="W190" s="307" t="n">
        <v>2050</v>
      </c>
      <c r="X190" s="307" t="n">
        <v>2050</v>
      </c>
      <c r="Y190" s="307" t="n">
        <v>2050</v>
      </c>
      <c r="Z190" s="307" t="n">
        <v>2050</v>
      </c>
      <c r="AA190" s="307" t="n">
        <v>2050</v>
      </c>
      <c r="AB190" s="307" t="n">
        <v>2050</v>
      </c>
      <c r="AC190" s="307" t="n">
        <v>2050</v>
      </c>
      <c r="AD190" s="307" t="n">
        <v>2050</v>
      </c>
      <c r="AE190" s="307" t="n">
        <v>2050</v>
      </c>
      <c r="AF190" s="307" t="n">
        <v>2050</v>
      </c>
      <c r="AG190" s="307" t="n">
        <v>2050</v>
      </c>
      <c r="AH190" s="307" t="n">
        <v>2050</v>
      </c>
      <c r="AI190" s="307" t="n">
        <v>2050</v>
      </c>
      <c r="AJ190" s="307" t="n">
        <v>2050</v>
      </c>
      <c r="AK190" s="307" t="n">
        <v>2050</v>
      </c>
      <c r="AL190" s="307" t="n">
        <v>2050</v>
      </c>
      <c r="AM190" s="307" t="n">
        <v>2050</v>
      </c>
      <c r="AN190" s="307" t="n">
        <v>2050</v>
      </c>
      <c r="AO190" s="307" t="n">
        <v>2050</v>
      </c>
      <c r="AP190" s="307" t="n">
        <v>2050</v>
      </c>
      <c r="AQ190" s="307" t="n">
        <v>2050</v>
      </c>
      <c r="AR190" s="307" t="n">
        <v>2050</v>
      </c>
      <c r="AS190" s="307" t="n">
        <v>2050</v>
      </c>
      <c r="AT190" s="307" t="n">
        <v>2050</v>
      </c>
      <c r="AU190" s="307" t="n">
        <v>2050</v>
      </c>
      <c r="AV190" s="307" t="n">
        <v>2050</v>
      </c>
      <c r="AW190" s="307" t="n">
        <v>2050</v>
      </c>
      <c r="AX190" s="307" t="n">
        <v>2050</v>
      </c>
      <c r="AY190" s="307" t="n">
        <v>2050</v>
      </c>
      <c r="AZ190" s="307" t="n">
        <v>2050</v>
      </c>
      <c r="BA190" s="306"/>
      <c r="BB190" s="306"/>
      <c r="BQ190" s="308"/>
      <c r="BR190" s="306"/>
      <c r="BS190" s="306"/>
      <c r="CH190" s="308"/>
      <c r="CI190" s="306"/>
      <c r="CJ190" s="306"/>
      <c r="DB190" s="308"/>
      <c r="DC190" s="306"/>
      <c r="DD190" s="306"/>
      <c r="DS190" s="308"/>
      <c r="DT190" s="306"/>
      <c r="DU190" s="306"/>
      <c r="EJ190" s="308"/>
      <c r="EK190" s="306"/>
      <c r="EL190" s="306"/>
      <c r="FA190" s="308"/>
    </row>
    <row r="191" s="310" customFormat="true" ht="15" hidden="false" customHeight="false" outlineLevel="0" collapsed="false">
      <c r="A191" s="306" t="s">
        <v>356</v>
      </c>
      <c r="B191" s="306"/>
      <c r="C191" s="310" t="n">
        <v>2050</v>
      </c>
      <c r="D191" s="310" t="n">
        <v>2050</v>
      </c>
      <c r="E191" s="310" t="n">
        <v>2050</v>
      </c>
      <c r="F191" s="310" t="n">
        <v>2050</v>
      </c>
      <c r="G191" s="310" t="n">
        <v>2050</v>
      </c>
      <c r="H191" s="310" t="n">
        <v>2050</v>
      </c>
      <c r="I191" s="310" t="n">
        <v>2050</v>
      </c>
      <c r="J191" s="310" t="n">
        <v>2050</v>
      </c>
      <c r="K191" s="310" t="n">
        <v>2050</v>
      </c>
      <c r="L191" s="310" t="n">
        <v>2050</v>
      </c>
      <c r="M191" s="310" t="n">
        <v>2050</v>
      </c>
      <c r="N191" s="310" t="n">
        <v>2050</v>
      </c>
      <c r="O191" s="310" t="n">
        <v>2050</v>
      </c>
      <c r="P191" s="310" t="n">
        <v>2050</v>
      </c>
      <c r="Q191" s="310" t="n">
        <v>2050</v>
      </c>
      <c r="R191" s="310" t="n">
        <v>2050</v>
      </c>
      <c r="S191" s="310" t="n">
        <v>2050</v>
      </c>
      <c r="T191" s="310" t="n">
        <v>2050</v>
      </c>
      <c r="U191" s="310" t="n">
        <v>2050</v>
      </c>
      <c r="V191" s="310" t="n">
        <v>2050</v>
      </c>
      <c r="W191" s="310" t="n">
        <v>2050</v>
      </c>
      <c r="X191" s="310" t="n">
        <v>2050</v>
      </c>
      <c r="Y191" s="310" t="n">
        <v>2050</v>
      </c>
      <c r="Z191" s="310" t="n">
        <v>2050</v>
      </c>
      <c r="AA191" s="310" t="n">
        <v>2050</v>
      </c>
      <c r="AB191" s="310" t="n">
        <v>2050</v>
      </c>
      <c r="AC191" s="310" t="n">
        <v>2050</v>
      </c>
      <c r="AD191" s="310" t="n">
        <v>2050</v>
      </c>
      <c r="AE191" s="310" t="n">
        <v>2050</v>
      </c>
      <c r="AF191" s="310" t="n">
        <v>2050</v>
      </c>
      <c r="AG191" s="310" t="n">
        <v>2050</v>
      </c>
      <c r="AH191" s="310" t="n">
        <v>2050</v>
      </c>
      <c r="AI191" s="310" t="n">
        <v>2050</v>
      </c>
      <c r="AJ191" s="310" t="n">
        <v>2050</v>
      </c>
      <c r="AK191" s="310" t="n">
        <v>2050</v>
      </c>
      <c r="AL191" s="310" t="n">
        <v>2050</v>
      </c>
      <c r="AM191" s="310" t="n">
        <v>2050</v>
      </c>
      <c r="AN191" s="310" t="n">
        <v>2050</v>
      </c>
      <c r="AO191" s="310" t="n">
        <v>2050</v>
      </c>
      <c r="AP191" s="310" t="n">
        <v>2050</v>
      </c>
      <c r="AQ191" s="310" t="n">
        <v>2050</v>
      </c>
      <c r="AR191" s="310" t="n">
        <v>2050</v>
      </c>
      <c r="AS191" s="310" t="n">
        <v>2050</v>
      </c>
      <c r="AT191" s="310" t="n">
        <v>2050</v>
      </c>
      <c r="AU191" s="310" t="n">
        <v>2050</v>
      </c>
      <c r="AV191" s="310" t="n">
        <v>2050</v>
      </c>
      <c r="AW191" s="310" t="n">
        <v>2050</v>
      </c>
      <c r="AX191" s="310" t="n">
        <v>2050</v>
      </c>
      <c r="AY191" s="310" t="n">
        <v>2050</v>
      </c>
      <c r="AZ191" s="310" t="n">
        <v>2050</v>
      </c>
      <c r="BA191" s="306"/>
      <c r="BB191" s="306"/>
      <c r="BQ191" s="311"/>
      <c r="BR191" s="306"/>
      <c r="BS191" s="306"/>
      <c r="CH191" s="311"/>
      <c r="CI191" s="306"/>
      <c r="CJ191" s="306"/>
      <c r="DB191" s="311"/>
      <c r="DC191" s="306"/>
      <c r="DD191" s="306"/>
      <c r="DS191" s="311"/>
      <c r="DT191" s="306"/>
      <c r="DU191" s="306"/>
      <c r="EJ191" s="311"/>
      <c r="EK191" s="306"/>
      <c r="EL191" s="306"/>
      <c r="FA191" s="311"/>
    </row>
    <row r="193" customFormat="false" ht="23.25" hidden="false" customHeight="true" outlineLevel="0" collapsed="false">
      <c r="A193" s="212" t="s">
        <v>364</v>
      </c>
      <c r="B193" s="212"/>
      <c r="C193" s="212"/>
    </row>
    <row r="194" customFormat="false" ht="15.75" hidden="false" customHeight="true" outlineLevel="0" collapsed="false">
      <c r="A194" s="247" t="s">
        <v>365</v>
      </c>
      <c r="B194" s="251" t="s">
        <v>366</v>
      </c>
      <c r="C194" s="312" t="n">
        <v>1</v>
      </c>
    </row>
    <row r="195" customFormat="false" ht="14.25" hidden="false" customHeight="true" outlineLevel="0" collapsed="false">
      <c r="A195" s="247"/>
      <c r="B195" s="251" t="s">
        <v>367</v>
      </c>
      <c r="C195" s="312"/>
    </row>
    <row r="196" customFormat="false" ht="15" hidden="false" customHeight="false" outlineLevel="0" collapsed="false">
      <c r="A196" s="313" t="s">
        <v>593</v>
      </c>
      <c r="B196" s="251" t="s">
        <v>17</v>
      </c>
      <c r="C196" s="197" t="n">
        <v>2023</v>
      </c>
    </row>
    <row r="197" customFormat="false" ht="15" hidden="false" customHeight="false" outlineLevel="0" collapsed="false">
      <c r="A197" s="314" t="s">
        <v>368</v>
      </c>
      <c r="B197" s="315" t="s">
        <v>17</v>
      </c>
      <c r="C197" s="226" t="n">
        <v>2040</v>
      </c>
    </row>
    <row r="198" customFormat="false" ht="14.25" hidden="false" customHeight="true" outlineLevel="0" collapsed="false">
      <c r="A198" s="212" t="s">
        <v>372</v>
      </c>
      <c r="B198" s="212"/>
      <c r="C198" s="212"/>
      <c r="D198" s="212"/>
      <c r="E198" s="212"/>
      <c r="F198" s="212"/>
      <c r="G198" s="212"/>
      <c r="H198" s="212"/>
      <c r="I198" s="212"/>
      <c r="J198" s="212"/>
      <c r="K198" s="212"/>
      <c r="L198" s="212"/>
      <c r="M198" s="212"/>
      <c r="N198" s="212"/>
      <c r="O198" s="212"/>
      <c r="P198" s="212"/>
      <c r="Q198" s="212"/>
    </row>
    <row r="199" customFormat="false" ht="15" hidden="false" customHeight="false" outlineLevel="0" collapsed="false">
      <c r="A199" s="316" t="s">
        <v>594</v>
      </c>
      <c r="B199" s="316"/>
      <c r="C199" s="317" t="s">
        <v>539</v>
      </c>
      <c r="D199" s="317" t="s">
        <v>542</v>
      </c>
      <c r="E199" s="317" t="s">
        <v>543</v>
      </c>
      <c r="F199" s="317" t="s">
        <v>544</v>
      </c>
      <c r="G199" s="317" t="s">
        <v>545</v>
      </c>
      <c r="H199" s="317" t="s">
        <v>546</v>
      </c>
      <c r="I199" s="317" t="s">
        <v>547</v>
      </c>
      <c r="J199" s="317" t="s">
        <v>548</v>
      </c>
      <c r="K199" s="317" t="s">
        <v>332</v>
      </c>
      <c r="L199" s="317" t="s">
        <v>347</v>
      </c>
      <c r="M199" s="317" t="s">
        <v>549</v>
      </c>
      <c r="N199" s="317" t="s">
        <v>550</v>
      </c>
      <c r="O199" s="317" t="s">
        <v>551</v>
      </c>
      <c r="P199" s="317" t="s">
        <v>552</v>
      </c>
      <c r="Q199" s="317" t="s">
        <v>553</v>
      </c>
      <c r="R199" s="317" t="s">
        <v>554</v>
      </c>
      <c r="S199" s="317" t="s">
        <v>555</v>
      </c>
      <c r="T199" s="317" t="s">
        <v>556</v>
      </c>
      <c r="U199" s="317" t="s">
        <v>557</v>
      </c>
      <c r="V199" s="317" t="s">
        <v>558</v>
      </c>
      <c r="W199" s="317" t="s">
        <v>559</v>
      </c>
      <c r="X199" s="317" t="s">
        <v>560</v>
      </c>
      <c r="Y199" s="317" t="s">
        <v>561</v>
      </c>
      <c r="Z199" s="317" t="s">
        <v>562</v>
      </c>
      <c r="AA199" s="317" t="s">
        <v>563</v>
      </c>
      <c r="AB199" s="317" t="s">
        <v>564</v>
      </c>
      <c r="AC199" s="317" t="s">
        <v>565</v>
      </c>
      <c r="AD199" s="317" t="s">
        <v>566</v>
      </c>
      <c r="AE199" s="317" t="s">
        <v>567</v>
      </c>
      <c r="AF199" s="317" t="s">
        <v>568</v>
      </c>
      <c r="AG199" s="317" t="s">
        <v>569</v>
      </c>
      <c r="AH199" s="317" t="s">
        <v>570</v>
      </c>
      <c r="AI199" s="317" t="s">
        <v>571</v>
      </c>
      <c r="AJ199" s="317" t="s">
        <v>572</v>
      </c>
      <c r="AK199" s="317" t="s">
        <v>573</v>
      </c>
      <c r="AL199" s="317" t="s">
        <v>574</v>
      </c>
      <c r="AM199" s="317" t="s">
        <v>575</v>
      </c>
      <c r="AN199" s="317" t="s">
        <v>576</v>
      </c>
      <c r="AO199" s="317" t="s">
        <v>577</v>
      </c>
      <c r="AP199" s="317" t="s">
        <v>578</v>
      </c>
      <c r="AQ199" s="317" t="s">
        <v>579</v>
      </c>
      <c r="AR199" s="317" t="s">
        <v>580</v>
      </c>
      <c r="AS199" s="317" t="s">
        <v>581</v>
      </c>
      <c r="AT199" s="318" t="s">
        <v>582</v>
      </c>
      <c r="AU199" s="318" t="s">
        <v>583</v>
      </c>
      <c r="AV199" s="318" t="s">
        <v>584</v>
      </c>
      <c r="AW199" s="318" t="s">
        <v>585</v>
      </c>
      <c r="AX199" s="318" t="s">
        <v>586</v>
      </c>
      <c r="AY199" s="318" t="s">
        <v>587</v>
      </c>
      <c r="AZ199" s="318" t="s">
        <v>588</v>
      </c>
    </row>
    <row r="200" customFormat="false" ht="16.4" hidden="false" customHeight="false" outlineLevel="0" collapsed="false">
      <c r="A200" s="319" t="s">
        <v>352</v>
      </c>
      <c r="B200" s="319"/>
      <c r="C200" s="320" t="n">
        <v>9.61860215130542E-007</v>
      </c>
      <c r="D200" s="320" t="n">
        <v>4.17179659390759E-007</v>
      </c>
      <c r="E200" s="320" t="n">
        <v>2.98832191739639E-006</v>
      </c>
      <c r="F200" s="320" t="n">
        <v>1.33319596383971E-006</v>
      </c>
      <c r="G200" s="320" t="n">
        <v>3.51180644691632E-007</v>
      </c>
      <c r="H200" s="320" t="n">
        <v>1.44929287618546E-006</v>
      </c>
      <c r="I200" s="320" t="n">
        <v>1.80264034989126E-007</v>
      </c>
      <c r="J200" s="320" t="n">
        <v>4.18553033177763E-007</v>
      </c>
      <c r="K200" s="320" t="n">
        <v>2.74225126084047E-007</v>
      </c>
      <c r="L200" s="320" t="n">
        <v>7.98142806410579E-007</v>
      </c>
      <c r="M200" s="320" t="n">
        <v>5.09408002228738E-007</v>
      </c>
      <c r="N200" s="320" t="n">
        <v>4.44621099411187E-007</v>
      </c>
      <c r="O200" s="320" t="n">
        <v>1.65545677988409E-007</v>
      </c>
      <c r="P200" s="320" t="n">
        <v>2.64811425075798E-007</v>
      </c>
      <c r="Q200" s="321" t="n">
        <v>6.19160699261613E-007</v>
      </c>
      <c r="R200" s="322" t="n">
        <v>2.33621E-008</v>
      </c>
      <c r="S200" s="322" t="n">
        <v>3.23225E-007</v>
      </c>
      <c r="T200" s="322" t="n">
        <v>2.72697E-007</v>
      </c>
      <c r="U200" s="322" t="n">
        <v>3.56754E-008</v>
      </c>
      <c r="V200" s="322" t="n">
        <v>6.61524E-007</v>
      </c>
      <c r="W200" s="322" t="n">
        <v>6.921E-007</v>
      </c>
      <c r="X200" s="322" t="n">
        <v>1.59621E-009</v>
      </c>
      <c r="Y200" s="322" t="n">
        <v>7.81522E-007</v>
      </c>
      <c r="Z200" s="322" t="n">
        <v>1.55761E-008</v>
      </c>
      <c r="AA200" s="322" t="n">
        <v>6.64095E-007</v>
      </c>
      <c r="AB200" s="322" t="n">
        <v>2.98364E-013</v>
      </c>
      <c r="AC200" s="322" t="n">
        <v>2.1755E-006</v>
      </c>
      <c r="AD200" s="323" t="n">
        <v>0</v>
      </c>
      <c r="AE200" s="322" t="n">
        <v>5.07752E-008</v>
      </c>
      <c r="AF200" s="322" t="n">
        <v>6.4055E-011</v>
      </c>
      <c r="AG200" s="322" t="n">
        <v>1.78181E-006</v>
      </c>
      <c r="AH200" s="322" t="n">
        <v>2.25963E-007</v>
      </c>
      <c r="AI200" s="322" t="n">
        <v>5.17783E-007</v>
      </c>
      <c r="AJ200" s="322" t="n">
        <v>1.58805E-006</v>
      </c>
      <c r="AK200" s="322" t="n">
        <v>2.00708E-006</v>
      </c>
      <c r="AL200" s="322" t="n">
        <v>8.31937E-010</v>
      </c>
      <c r="AM200" s="322" t="n">
        <v>4.63718E-007</v>
      </c>
      <c r="AN200" s="322" t="n">
        <v>3.59711E-008</v>
      </c>
      <c r="AO200" s="322" t="n">
        <v>7.71303E-007</v>
      </c>
      <c r="AP200" s="322" t="n">
        <v>1.74515E-007</v>
      </c>
      <c r="AQ200" s="322" t="n">
        <v>1.03131E-007</v>
      </c>
      <c r="AR200" s="322" t="n">
        <v>1.00886E-006</v>
      </c>
      <c r="AS200" s="322" t="n">
        <v>4.61464E-007</v>
      </c>
      <c r="AT200" s="322" t="n">
        <v>3.29086E-006</v>
      </c>
      <c r="AU200" s="322" t="n">
        <v>1.98061E-007</v>
      </c>
      <c r="AV200" s="322" t="n">
        <v>9.51737E-007</v>
      </c>
      <c r="AW200" s="322" t="n">
        <v>4.49194E-007</v>
      </c>
      <c r="AX200" s="322" t="n">
        <v>2.24555E-007</v>
      </c>
      <c r="AY200" s="322" t="n">
        <v>7.43668E-007</v>
      </c>
      <c r="AZ200" s="322" t="n">
        <v>8.6171E-007</v>
      </c>
    </row>
    <row r="201" customFormat="false" ht="16.4" hidden="false" customHeight="false" outlineLevel="0" collapsed="false">
      <c r="A201" s="319" t="s">
        <v>353</v>
      </c>
      <c r="B201" s="319"/>
      <c r="C201" s="320" t="n">
        <v>0</v>
      </c>
      <c r="D201" s="320" t="n">
        <v>0</v>
      </c>
      <c r="E201" s="320" t="n">
        <v>0</v>
      </c>
      <c r="F201" s="320" t="n">
        <v>0</v>
      </c>
      <c r="G201" s="320" t="n">
        <v>0</v>
      </c>
      <c r="H201" s="320" t="n">
        <v>0</v>
      </c>
      <c r="I201" s="320" t="n">
        <v>0</v>
      </c>
      <c r="J201" s="320" t="n">
        <v>0</v>
      </c>
      <c r="K201" s="320" t="n">
        <v>0</v>
      </c>
      <c r="L201" s="320" t="n">
        <v>0</v>
      </c>
      <c r="M201" s="320" t="n">
        <v>0</v>
      </c>
      <c r="N201" s="320" t="n">
        <v>0</v>
      </c>
      <c r="O201" s="320" t="n">
        <v>0</v>
      </c>
      <c r="P201" s="320" t="n">
        <v>0</v>
      </c>
      <c r="Q201" s="321" t="n">
        <v>0</v>
      </c>
      <c r="R201" s="322" t="n">
        <v>2.87773E-009</v>
      </c>
      <c r="S201" s="322" t="n">
        <v>7.76325E-010</v>
      </c>
      <c r="T201" s="322" t="n">
        <v>2.841E-009</v>
      </c>
      <c r="U201" s="322" t="n">
        <v>2.06146E-009</v>
      </c>
      <c r="V201" s="322" t="n">
        <v>1.00152E-010</v>
      </c>
      <c r="W201" s="322" t="n">
        <v>6.7425E-010</v>
      </c>
      <c r="X201" s="322" t="n">
        <v>4.05864E-010</v>
      </c>
      <c r="Y201" s="322" t="n">
        <v>6.99092E-010</v>
      </c>
      <c r="Z201" s="322" t="n">
        <v>3.08078E-011</v>
      </c>
      <c r="AA201" s="322" t="n">
        <v>1.15037E-010</v>
      </c>
      <c r="AB201" s="322" t="n">
        <v>8.3865E-014</v>
      </c>
      <c r="AC201" s="322" t="n">
        <v>2.11137E-007</v>
      </c>
      <c r="AD201" s="323" t="n">
        <v>0</v>
      </c>
      <c r="AE201" s="322" t="n">
        <v>1.36338E-011</v>
      </c>
      <c r="AF201" s="322" t="n">
        <v>1.81099E-011</v>
      </c>
      <c r="AG201" s="322" t="n">
        <v>1.896E-009</v>
      </c>
      <c r="AH201" s="322" t="n">
        <v>6.89812E-009</v>
      </c>
      <c r="AI201" s="322" t="n">
        <v>6.87711E-009</v>
      </c>
      <c r="AJ201" s="322" t="n">
        <v>3.56367E-009</v>
      </c>
      <c r="AK201" s="322" t="n">
        <v>8.55714E-009</v>
      </c>
      <c r="AL201" s="322" t="n">
        <v>4.32182E-010</v>
      </c>
      <c r="AM201" s="322" t="n">
        <v>4.08432E-009</v>
      </c>
      <c r="AN201" s="322" t="n">
        <v>5.37082E-010</v>
      </c>
      <c r="AO201" s="322" t="n">
        <v>7.42503E-009</v>
      </c>
      <c r="AP201" s="322" t="n">
        <v>1.35573E-009</v>
      </c>
      <c r="AQ201" s="322" t="n">
        <v>8.66241E-009</v>
      </c>
      <c r="AR201" s="322" t="n">
        <v>5.35581E-009</v>
      </c>
      <c r="AS201" s="322" t="n">
        <v>3.90158E-009</v>
      </c>
      <c r="AT201" s="322" t="n">
        <v>9.87884E-008</v>
      </c>
      <c r="AU201" s="322" t="n">
        <v>3.69874E-009</v>
      </c>
      <c r="AV201" s="322" t="n">
        <v>1.43299E-009</v>
      </c>
      <c r="AW201" s="322" t="n">
        <v>2.47299E-009</v>
      </c>
      <c r="AX201" s="322" t="n">
        <v>3.96855E-009</v>
      </c>
      <c r="AY201" s="322" t="n">
        <v>5.46979E-009</v>
      </c>
      <c r="AZ201" s="322" t="n">
        <v>1.11138E-009</v>
      </c>
    </row>
    <row r="202" customFormat="false" ht="16.4" hidden="false" customHeight="false" outlineLevel="0" collapsed="false">
      <c r="A202" s="319" t="s">
        <v>354</v>
      </c>
      <c r="B202" s="319"/>
      <c r="C202" s="320" t="n">
        <v>1.53846423328976E-007</v>
      </c>
      <c r="D202" s="320" t="n">
        <v>1.01430141855982E-007</v>
      </c>
      <c r="E202" s="320" t="n">
        <v>8.37446020327714E-007</v>
      </c>
      <c r="F202" s="320" t="n">
        <v>2.0234484532193E-008</v>
      </c>
      <c r="G202" s="320" t="n">
        <v>0</v>
      </c>
      <c r="H202" s="320" t="n">
        <v>6.82284727713282E-008</v>
      </c>
      <c r="I202" s="320" t="n">
        <v>0</v>
      </c>
      <c r="J202" s="320" t="n">
        <v>3.23622836843602E-008</v>
      </c>
      <c r="K202" s="320" t="n">
        <v>0</v>
      </c>
      <c r="L202" s="320" t="n">
        <v>0</v>
      </c>
      <c r="M202" s="320" t="n">
        <v>0</v>
      </c>
      <c r="N202" s="320" t="n">
        <v>6.35417168694879E-007</v>
      </c>
      <c r="O202" s="320" t="n">
        <v>0</v>
      </c>
      <c r="P202" s="320" t="n">
        <v>0</v>
      </c>
      <c r="Q202" s="321" t="n">
        <v>0</v>
      </c>
      <c r="R202" s="322" t="n">
        <v>2.81998E-007</v>
      </c>
      <c r="S202" s="323" t="n">
        <v>0</v>
      </c>
      <c r="T202" s="323" t="n">
        <v>0</v>
      </c>
      <c r="U202" s="323" t="n">
        <v>0</v>
      </c>
      <c r="V202" s="322" t="n">
        <v>4.14496E-007</v>
      </c>
      <c r="W202" s="323" t="n">
        <v>0</v>
      </c>
      <c r="X202" s="323" t="n">
        <v>0</v>
      </c>
      <c r="Y202" s="322" t="n">
        <v>1.20877E-008</v>
      </c>
      <c r="Z202" s="322" t="n">
        <v>8.75598E-007</v>
      </c>
      <c r="AA202" s="322" t="n">
        <v>1.11575E-008</v>
      </c>
      <c r="AB202" s="322" t="n">
        <v>1.37558E-008</v>
      </c>
      <c r="AC202" s="322" t="n">
        <v>1.19775E-007</v>
      </c>
      <c r="AD202" s="322" t="n">
        <v>1.59504E-008</v>
      </c>
      <c r="AE202" s="322" t="n">
        <v>1.76443E-007</v>
      </c>
      <c r="AF202" s="322" t="n">
        <v>1.07744E-006</v>
      </c>
      <c r="AG202" s="322" t="n">
        <v>5.32487E-008</v>
      </c>
      <c r="AH202" s="323" t="n">
        <v>0</v>
      </c>
      <c r="AI202" s="323" t="n">
        <v>0</v>
      </c>
      <c r="AJ202" s="323" t="n">
        <v>0</v>
      </c>
      <c r="AK202" s="322" t="n">
        <v>4.67381E-008</v>
      </c>
      <c r="AL202" s="323" t="n">
        <v>0</v>
      </c>
      <c r="AM202" s="323" t="n">
        <v>0</v>
      </c>
      <c r="AN202" s="323" t="n">
        <v>0</v>
      </c>
      <c r="AO202" s="323" t="n">
        <v>0</v>
      </c>
      <c r="AP202" s="323" t="n">
        <v>0</v>
      </c>
      <c r="AQ202" s="323" t="n">
        <v>0</v>
      </c>
      <c r="AR202" s="323" t="n">
        <v>0</v>
      </c>
      <c r="AS202" s="323" t="n">
        <v>0</v>
      </c>
      <c r="AT202" s="323" t="n">
        <v>0</v>
      </c>
      <c r="AU202" s="323" t="n">
        <v>0</v>
      </c>
      <c r="AV202" s="322" t="n">
        <v>1.29207E-008</v>
      </c>
      <c r="AW202" s="323" t="n">
        <v>0</v>
      </c>
      <c r="AX202" s="323" t="n">
        <v>0</v>
      </c>
      <c r="AY202" s="323" t="n">
        <v>0</v>
      </c>
      <c r="AZ202" s="323" t="n">
        <v>0</v>
      </c>
    </row>
    <row r="203" customFormat="false" ht="16.4" hidden="false" customHeight="false" outlineLevel="0" collapsed="false">
      <c r="A203" s="319" t="s">
        <v>355</v>
      </c>
      <c r="B203" s="319"/>
      <c r="C203" s="320" t="n">
        <v>1.56849789109369E-007</v>
      </c>
      <c r="D203" s="320" t="n">
        <v>8.23796414259599E-008</v>
      </c>
      <c r="E203" s="320" t="n">
        <v>5.90099621293883E-007</v>
      </c>
      <c r="F203" s="320" t="n">
        <v>2.63263333837699E-007</v>
      </c>
      <c r="G203" s="320" t="n">
        <v>0</v>
      </c>
      <c r="H203" s="320" t="n">
        <v>2.86188605784079E-007</v>
      </c>
      <c r="I203" s="320" t="n">
        <v>0</v>
      </c>
      <c r="J203" s="320" t="n">
        <v>8.26506254616794E-008</v>
      </c>
      <c r="K203" s="320" t="n">
        <v>0</v>
      </c>
      <c r="L203" s="320" t="n">
        <v>0</v>
      </c>
      <c r="M203" s="320" t="n">
        <v>0</v>
      </c>
      <c r="N203" s="320" t="n">
        <v>8.7798222552186E-008</v>
      </c>
      <c r="O203" s="320" t="n">
        <v>0</v>
      </c>
      <c r="P203" s="320" t="n">
        <v>0</v>
      </c>
      <c r="Q203" s="321" t="n">
        <v>0</v>
      </c>
      <c r="R203" s="322" t="n">
        <v>2.58424E-007</v>
      </c>
      <c r="S203" s="323" t="n">
        <v>0</v>
      </c>
      <c r="T203" s="323" t="n">
        <v>0</v>
      </c>
      <c r="U203" s="323" t="n">
        <v>0</v>
      </c>
      <c r="V203" s="322" t="n">
        <v>0</v>
      </c>
      <c r="W203" s="323" t="n">
        <v>0</v>
      </c>
      <c r="X203" s="323" t="n">
        <v>0</v>
      </c>
      <c r="Y203" s="322" t="n">
        <v>5.88542E-008</v>
      </c>
      <c r="Z203" s="322" t="n">
        <v>4.86804E-009</v>
      </c>
      <c r="AA203" s="322" t="n">
        <v>3.12653E-009</v>
      </c>
      <c r="AB203" s="322" t="n">
        <v>0</v>
      </c>
      <c r="AC203" s="322" t="n">
        <v>4.43413E-007</v>
      </c>
      <c r="AD203" s="323" t="n">
        <v>0</v>
      </c>
      <c r="AE203" s="322" t="n">
        <v>6.97075E-010</v>
      </c>
      <c r="AF203" s="322" t="n">
        <v>9.10784E-009</v>
      </c>
      <c r="AG203" s="322" t="n">
        <v>1.74533E-007</v>
      </c>
      <c r="AH203" s="323" t="n">
        <v>0</v>
      </c>
      <c r="AI203" s="323" t="n">
        <v>0</v>
      </c>
      <c r="AJ203" s="323" t="n">
        <v>0</v>
      </c>
      <c r="AK203" s="322" t="n">
        <v>0</v>
      </c>
      <c r="AL203" s="323" t="n">
        <v>0</v>
      </c>
      <c r="AM203" s="323" t="n">
        <v>0</v>
      </c>
      <c r="AN203" s="323" t="n">
        <v>0</v>
      </c>
      <c r="AO203" s="323" t="n">
        <v>0</v>
      </c>
      <c r="AP203" s="323" t="n">
        <v>0</v>
      </c>
      <c r="AQ203" s="323" t="n">
        <v>0</v>
      </c>
      <c r="AR203" s="323" t="n">
        <v>0</v>
      </c>
      <c r="AS203" s="323" t="n">
        <v>0</v>
      </c>
      <c r="AT203" s="323" t="n">
        <v>0</v>
      </c>
      <c r="AU203" s="323" t="n">
        <v>0</v>
      </c>
      <c r="AV203" s="322" t="n">
        <v>1.42126E-007</v>
      </c>
      <c r="AW203" s="323" t="n">
        <v>0</v>
      </c>
      <c r="AX203" s="323" t="n">
        <v>0</v>
      </c>
      <c r="AY203" s="323" t="n">
        <v>0</v>
      </c>
      <c r="AZ203" s="323" t="n">
        <v>0</v>
      </c>
    </row>
    <row r="204" customFormat="false" ht="16.4" hidden="false" customHeight="false" outlineLevel="0" collapsed="false">
      <c r="A204" s="324" t="s">
        <v>356</v>
      </c>
      <c r="B204" s="324"/>
      <c r="C204" s="325" t="n">
        <v>3.03985361807394E-008</v>
      </c>
      <c r="D204" s="326" t="n">
        <v>3.69405172323543E-009</v>
      </c>
      <c r="E204" s="326" t="n">
        <v>1.08759346553681E-007</v>
      </c>
      <c r="F204" s="326" t="n">
        <v>9.91581623349748E-008</v>
      </c>
      <c r="G204" s="326" t="n">
        <v>0</v>
      </c>
      <c r="H204" s="326" t="n">
        <v>1.16097225109349E-007</v>
      </c>
      <c r="I204" s="326" t="n">
        <v>0</v>
      </c>
      <c r="J204" s="326" t="n">
        <v>7.61333010079091E-010</v>
      </c>
      <c r="K204" s="326" t="n">
        <v>0</v>
      </c>
      <c r="L204" s="326" t="n">
        <v>0</v>
      </c>
      <c r="M204" s="326" t="n">
        <v>0</v>
      </c>
      <c r="N204" s="326" t="n">
        <v>0</v>
      </c>
      <c r="O204" s="326" t="n">
        <v>0</v>
      </c>
      <c r="P204" s="326" t="n">
        <v>0</v>
      </c>
      <c r="Q204" s="327" t="n">
        <v>0</v>
      </c>
      <c r="R204" s="328" t="n">
        <v>1.29275E-007</v>
      </c>
      <c r="S204" s="329" t="n">
        <v>0</v>
      </c>
      <c r="T204" s="329" t="n">
        <v>0</v>
      </c>
      <c r="U204" s="329" t="n">
        <v>0</v>
      </c>
      <c r="V204" s="328" t="n">
        <v>8.78427E-015</v>
      </c>
      <c r="W204" s="329" t="n">
        <v>0</v>
      </c>
      <c r="X204" s="329" t="n">
        <v>0</v>
      </c>
      <c r="Y204" s="328" t="n">
        <v>3.69445E-010</v>
      </c>
      <c r="Z204" s="328" t="n">
        <v>1.05147E-012</v>
      </c>
      <c r="AA204" s="328" t="n">
        <v>6.19972E-011</v>
      </c>
      <c r="AB204" s="328" t="n">
        <v>1.06517E-014</v>
      </c>
      <c r="AC204" s="328" t="n">
        <v>2.65562E-006</v>
      </c>
      <c r="AD204" s="329" t="n">
        <v>0</v>
      </c>
      <c r="AE204" s="328" t="n">
        <v>6.92153E-014</v>
      </c>
      <c r="AF204" s="328" t="n">
        <v>6.91314E-014</v>
      </c>
      <c r="AG204" s="328" t="n">
        <v>2.80457E-008</v>
      </c>
      <c r="AH204" s="329" t="n">
        <v>0</v>
      </c>
      <c r="AI204" s="329" t="n">
        <v>0</v>
      </c>
      <c r="AJ204" s="329" t="n">
        <v>0</v>
      </c>
      <c r="AK204" s="328" t="n">
        <v>1.13981E-009</v>
      </c>
      <c r="AL204" s="329" t="n">
        <v>0</v>
      </c>
      <c r="AM204" s="329" t="n">
        <v>0</v>
      </c>
      <c r="AN204" s="329" t="n">
        <v>0</v>
      </c>
      <c r="AO204" s="329" t="n">
        <v>0</v>
      </c>
      <c r="AP204" s="329" t="n">
        <v>0</v>
      </c>
      <c r="AQ204" s="329" t="n">
        <v>0</v>
      </c>
      <c r="AR204" s="329" t="n">
        <v>0</v>
      </c>
      <c r="AS204" s="329" t="n">
        <v>0</v>
      </c>
      <c r="AT204" s="330" t="n">
        <v>0</v>
      </c>
      <c r="AU204" s="330" t="n">
        <v>0</v>
      </c>
      <c r="AV204" s="331" t="n">
        <v>3.73579E-011</v>
      </c>
      <c r="AW204" s="330" t="n">
        <v>0</v>
      </c>
      <c r="AX204" s="330" t="n">
        <v>0</v>
      </c>
      <c r="AY204" s="330" t="n">
        <v>0</v>
      </c>
      <c r="AZ204" s="330" t="n">
        <v>0</v>
      </c>
    </row>
    <row r="205" customFormat="false" ht="17.35" hidden="false" customHeight="false" outlineLevel="0" collapsed="false">
      <c r="A205" s="212" t="s">
        <v>375</v>
      </c>
      <c r="B205" s="212"/>
      <c r="C205" s="212"/>
    </row>
    <row r="206" customFormat="false" ht="16.4" hidden="false" customHeight="false" outlineLevel="0" collapsed="false">
      <c r="A206" s="332" t="s">
        <v>376</v>
      </c>
      <c r="B206" s="251" t="s">
        <v>17</v>
      </c>
      <c r="C206" s="197" t="n">
        <v>2019</v>
      </c>
    </row>
    <row r="207" customFormat="false" ht="31.3" hidden="false" customHeight="false" outlineLevel="0" collapsed="false">
      <c r="A207" s="333" t="s">
        <v>595</v>
      </c>
      <c r="B207" s="334" t="s">
        <v>305</v>
      </c>
      <c r="C207" s="233" t="n">
        <v>-0.7</v>
      </c>
    </row>
    <row r="208" s="173" customFormat="true" ht="15" hidden="false" customHeight="false" outlineLevel="0" collapsed="false"/>
    <row r="209" customFormat="false" ht="14.25" hidden="false" customHeight="true" outlineLevel="0" collapsed="false">
      <c r="A209" s="212" t="s">
        <v>378</v>
      </c>
      <c r="B209" s="212"/>
      <c r="C209" s="212"/>
    </row>
    <row r="210" customFormat="false" ht="28.5" hidden="false" customHeight="true" outlineLevel="0" collapsed="false">
      <c r="A210" s="335" t="s">
        <v>379</v>
      </c>
      <c r="B210" s="251" t="s">
        <v>11</v>
      </c>
      <c r="C210" s="312" t="n">
        <v>1</v>
      </c>
      <c r="AR210" s="323" t="n">
        <v>5.04452314410784E-007</v>
      </c>
      <c r="AS210" s="323" t="n">
        <v>2.35095234438142E-007</v>
      </c>
      <c r="AT210" s="323" t="n">
        <v>0</v>
      </c>
      <c r="AU210" s="323" t="n">
        <v>1.24416859371503E-006</v>
      </c>
      <c r="AV210" s="323" t="n">
        <v>1.7047885318962E-007</v>
      </c>
      <c r="AW210" s="323" t="n">
        <v>3.55654696994314E-009</v>
      </c>
      <c r="AX210" s="323" t="n">
        <v>4.43187029867697E-006</v>
      </c>
      <c r="AY210" s="323" t="n">
        <v>5.37445191484987E-008</v>
      </c>
      <c r="AZ210" s="323" t="n">
        <v>1.15239676354002E-007</v>
      </c>
      <c r="BA210" s="323" t="n">
        <v>4.19198124409082E-009</v>
      </c>
      <c r="BB210" s="323" t="n">
        <v>3.70516108239322E-007</v>
      </c>
      <c r="BC210" s="323" t="n">
        <v>8.15662574672078E-007</v>
      </c>
      <c r="BD210" s="323" t="n">
        <v>1.87626216734923E-007</v>
      </c>
      <c r="BE210" s="323" t="n">
        <v>3.3223341687036E-008</v>
      </c>
      <c r="BF210" s="323" t="n">
        <v>4.08847702570433E-007</v>
      </c>
      <c r="BG210" s="323" t="n">
        <v>4.08874132159934E-007</v>
      </c>
      <c r="BH210" s="323" t="n">
        <v>3.74075598815729E-007</v>
      </c>
      <c r="BI210" s="323" t="n">
        <v>1.50726267373907E-007</v>
      </c>
      <c r="BJ210" s="323" t="n">
        <v>9.54522647528866E-009</v>
      </c>
      <c r="BK210" s="323" t="n">
        <v>6.7128811767616E-008</v>
      </c>
      <c r="BL210" s="323" t="n">
        <v>1.16681094189857E-008</v>
      </c>
      <c r="BM210" s="323" t="n">
        <v>2.30146318345377E-007</v>
      </c>
      <c r="BN210" s="323" t="n">
        <v>1.94504854949972E-007</v>
      </c>
      <c r="BO210" s="323" t="n">
        <v>9.32896976033728E-009</v>
      </c>
      <c r="BP210" s="323" t="n">
        <v>2.41995842347449E-008</v>
      </c>
      <c r="BQ210" s="323" t="n">
        <v>8.23351561201585E-008</v>
      </c>
      <c r="BR210" s="323" t="n">
        <v>0</v>
      </c>
      <c r="BS210" s="323" t="n">
        <v>5.68112052067953E-008</v>
      </c>
      <c r="BT210" s="323" t="n">
        <v>3.35985524777249E-006</v>
      </c>
      <c r="BU210" s="323" t="n">
        <v>2.98139632564092E-007</v>
      </c>
      <c r="BV210" s="323" t="n">
        <v>3.78278097943714E-008</v>
      </c>
      <c r="BW210" s="323" t="n">
        <v>6.0099096326581E-008</v>
      </c>
      <c r="BX210" s="323" t="n">
        <v>1.28287278728867E-010</v>
      </c>
      <c r="BY210" s="323" t="n">
        <v>1.89908713479798E-006</v>
      </c>
      <c r="BZ210" s="323" t="n">
        <v>1.77066112930296E-007</v>
      </c>
      <c r="CA210" s="323" t="n">
        <v>3.21225698447738E-007</v>
      </c>
      <c r="CB210" s="323" t="n">
        <v>7.06119555646136E-008</v>
      </c>
      <c r="CC210" s="323" t="n">
        <v>1.09712470913212E-007</v>
      </c>
      <c r="CD210" s="323" t="n">
        <v>1.1064875030466E-006</v>
      </c>
      <c r="CE210" s="323" t="n">
        <v>3.07151693589978E-007</v>
      </c>
      <c r="CF210" s="323" t="n">
        <v>1.58966083447854E-007</v>
      </c>
      <c r="CG210" s="323" t="n">
        <v>3.76336180963594E-009</v>
      </c>
      <c r="CH210" s="323" t="n">
        <v>9.71874501849584E-007</v>
      </c>
      <c r="CI210" s="323" t="n">
        <v>1.16404842272783E-008</v>
      </c>
      <c r="CJ210" s="323" t="n">
        <v>2.05875153967316E-007</v>
      </c>
      <c r="CK210" s="323" t="n">
        <v>7.1657749165E-007</v>
      </c>
      <c r="CL210" s="323" t="n">
        <v>2.3465012868971E-008</v>
      </c>
      <c r="CM210" s="323" t="n">
        <v>1.58395494319729E-006</v>
      </c>
      <c r="CN210" s="323" t="n">
        <v>4.23815981694808E-008</v>
      </c>
      <c r="CO210" s="323" t="n">
        <v>1.24546479148053E-007</v>
      </c>
    </row>
    <row r="211" customFormat="false" ht="14.25" hidden="false" customHeight="true" outlineLevel="0" collapsed="false">
      <c r="A211" s="336" t="s">
        <v>381</v>
      </c>
      <c r="B211" s="251" t="s">
        <v>382</v>
      </c>
      <c r="C211" s="337" t="n">
        <v>2</v>
      </c>
      <c r="AR211" s="323" t="n">
        <v>2.49824456397756E-008</v>
      </c>
      <c r="AS211" s="323" t="n">
        <v>6.47282690104069E-008</v>
      </c>
      <c r="AT211" s="323" t="n">
        <v>8.40385969681587E-007</v>
      </c>
      <c r="AU211" s="323" t="n">
        <v>3.20006399343781E-007</v>
      </c>
      <c r="AV211" s="323" t="n">
        <v>7.01278004425445E-007</v>
      </c>
      <c r="AW211" s="323" t="n">
        <v>2.3671233993467E-008</v>
      </c>
      <c r="AX211" s="323" t="n">
        <v>2.26905025079389E-007</v>
      </c>
      <c r="AY211" s="323" t="n">
        <v>1.22984361625124E-011</v>
      </c>
      <c r="AZ211" s="323" t="n">
        <v>1.19227798807316E-007</v>
      </c>
      <c r="BA211" s="323" t="n">
        <v>2.37750625884083E-007</v>
      </c>
      <c r="BB211" s="323" t="n">
        <v>4.0120380870729E-008</v>
      </c>
      <c r="BC211" s="323" t="n">
        <v>6.45833676379824E-007</v>
      </c>
      <c r="BD211" s="323" t="n">
        <v>1.07102985435187E-007</v>
      </c>
      <c r="BE211" s="323" t="n">
        <v>1.40258821642591E-007</v>
      </c>
      <c r="BF211" s="323" t="n">
        <v>1.86721199151422E-007</v>
      </c>
      <c r="BG211" s="323" t="n">
        <v>1.66436315697923E-006</v>
      </c>
      <c r="BH211" s="323" t="n">
        <v>3.64069894969147E-007</v>
      </c>
      <c r="BI211" s="323" t="n">
        <v>1.33432049984992E-008</v>
      </c>
      <c r="BJ211" s="323" t="n">
        <v>7.13357258385884E-008</v>
      </c>
      <c r="BK211" s="323" t="n">
        <v>3.69163771418406E-008</v>
      </c>
      <c r="BL211" s="323" t="n">
        <v>2.55107474198738E-008</v>
      </c>
      <c r="BM211" s="323" t="n">
        <v>4.56500131770493E-008</v>
      </c>
      <c r="BN211" s="323" t="n">
        <v>7.44696240287702E-009</v>
      </c>
      <c r="BO211" s="323" t="n">
        <v>8.50819126583553E-008</v>
      </c>
      <c r="BP211" s="323" t="n">
        <v>3.22020414742087E-008</v>
      </c>
      <c r="BQ211" s="323" t="n">
        <v>3.04756469284612E-008</v>
      </c>
      <c r="BR211" s="323" t="n">
        <v>1.41122420166007E-007</v>
      </c>
      <c r="BS211" s="323" t="n">
        <v>5.15279883034488E-008</v>
      </c>
      <c r="BT211" s="323" t="n">
        <v>9.0405643012979E-007</v>
      </c>
      <c r="BU211" s="323" t="n">
        <v>2.94542444529312E-008</v>
      </c>
      <c r="BV211" s="323" t="n">
        <v>4.23796395852444E-009</v>
      </c>
      <c r="BW211" s="323" t="n">
        <v>3.98111507676261E-009</v>
      </c>
      <c r="BX211" s="323" t="n">
        <v>0</v>
      </c>
      <c r="BY211" s="323" t="n">
        <v>8.13826481293551E-007</v>
      </c>
      <c r="BZ211" s="323" t="n">
        <v>1.10097843555793E-007</v>
      </c>
      <c r="CA211" s="323" t="n">
        <v>2.8828954227697E-008</v>
      </c>
      <c r="CB211" s="323" t="n">
        <v>8.96128815001876E-010</v>
      </c>
      <c r="CC211" s="323" t="n">
        <v>1.0747318267023E-008</v>
      </c>
      <c r="CD211" s="323" t="n">
        <v>1.9467988089596E-007</v>
      </c>
      <c r="CE211" s="323" t="n">
        <v>2.30137992482909E-008</v>
      </c>
      <c r="CF211" s="323" t="n">
        <v>1.27588655086647E-008</v>
      </c>
      <c r="CG211" s="323" t="n">
        <v>3.27125611634762E-013</v>
      </c>
      <c r="CH211" s="323" t="n">
        <v>1.13177943623322E-007</v>
      </c>
      <c r="CI211" s="323" t="n">
        <v>1.55297532391352E-009</v>
      </c>
      <c r="CJ211" s="323" t="n">
        <v>5.07343179962213E-008</v>
      </c>
      <c r="CK211" s="323" t="n">
        <v>6.30636547391047E-008</v>
      </c>
      <c r="CL211" s="323" t="n">
        <v>4.46675141749322E-009</v>
      </c>
      <c r="CM211" s="323" t="n">
        <v>2.73354284562253E-011</v>
      </c>
      <c r="CN211" s="323" t="n">
        <v>4.37014721451174E-009</v>
      </c>
      <c r="CO211" s="323" t="n">
        <v>6.36535273488036E-009</v>
      </c>
    </row>
    <row r="212" customFormat="false" ht="16.4" hidden="false" customHeight="false" outlineLevel="0" collapsed="false">
      <c r="A212" s="336"/>
      <c r="B212" s="251" t="s">
        <v>386</v>
      </c>
      <c r="C212" s="337"/>
      <c r="AR212" s="323" t="n">
        <v>1.13148162591323E-009</v>
      </c>
      <c r="AS212" s="323" t="n">
        <v>0</v>
      </c>
      <c r="AT212" s="323" t="n">
        <v>0</v>
      </c>
      <c r="AU212" s="323" t="n">
        <v>3.02928643627216E-008</v>
      </c>
      <c r="AV212" s="323" t="n">
        <v>8.57587547979772E-008</v>
      </c>
      <c r="AW212" s="323" t="n">
        <v>2.06418097880243E-009</v>
      </c>
      <c r="AX212" s="323" t="n">
        <v>2.9856336816975E-008</v>
      </c>
      <c r="AY212" s="323" t="n">
        <v>0</v>
      </c>
      <c r="AZ212" s="323" t="n">
        <v>3.50876670184466E-009</v>
      </c>
      <c r="BA212" s="323" t="n">
        <v>0</v>
      </c>
      <c r="BB212" s="323" t="n">
        <v>2.72106953651434E-009</v>
      </c>
      <c r="BC212" s="323" t="n">
        <v>1.1215954039507E-007</v>
      </c>
      <c r="BD212" s="323" t="n">
        <v>0</v>
      </c>
      <c r="BE212" s="323" t="n">
        <v>6.12785028211952E-008</v>
      </c>
      <c r="BF212" s="323" t="n">
        <v>2.11765883612364E-008</v>
      </c>
      <c r="BG212" s="323" t="n">
        <v>3.15910769177393E-007</v>
      </c>
      <c r="BH212" s="323" t="n">
        <v>0</v>
      </c>
      <c r="BI212" s="323" t="n">
        <v>0</v>
      </c>
      <c r="BJ212" s="323" t="n">
        <v>0</v>
      </c>
      <c r="BK212" s="323" t="n">
        <v>4.01031992943861E-009</v>
      </c>
      <c r="BL212" s="323" t="n">
        <v>0</v>
      </c>
      <c r="BM212" s="323" t="n">
        <v>0</v>
      </c>
      <c r="BN212" s="323" t="n">
        <v>5.99939985314954E-010</v>
      </c>
      <c r="BO212" s="323" t="n">
        <v>5.64190970231635E-009</v>
      </c>
      <c r="BP212" s="323" t="n">
        <v>4.89381525296403E-009</v>
      </c>
      <c r="BQ212" s="323" t="n">
        <v>3.25799925345568E-009</v>
      </c>
      <c r="BR212" s="323" t="n">
        <v>1.15767942314004E-008</v>
      </c>
      <c r="BS212" s="323" t="n">
        <v>9.56747193449256E-009</v>
      </c>
      <c r="BT212" s="323" t="n">
        <v>4.56590054529796E-006</v>
      </c>
      <c r="BU212" s="323" t="n">
        <v>8.81238397190813E-008</v>
      </c>
      <c r="BV212" s="323" t="n">
        <v>6.40200911567331E-009</v>
      </c>
      <c r="BW212" s="323" t="n">
        <v>0</v>
      </c>
      <c r="BX212" s="323" t="n">
        <v>0</v>
      </c>
      <c r="BY212" s="323" t="n">
        <v>0</v>
      </c>
      <c r="BZ212" s="323" t="n">
        <v>2.57949203612329E-007</v>
      </c>
      <c r="CA212" s="323" t="n">
        <v>0</v>
      </c>
      <c r="CB212" s="323" t="n">
        <v>0</v>
      </c>
      <c r="CC212" s="323" t="n">
        <v>0</v>
      </c>
      <c r="CD212" s="323" t="n">
        <v>0</v>
      </c>
      <c r="CE212" s="323" t="n">
        <v>0</v>
      </c>
      <c r="CF212" s="323" t="n">
        <v>0</v>
      </c>
      <c r="CG212" s="323" t="n">
        <v>0</v>
      </c>
      <c r="CH212" s="323" t="n">
        <v>0</v>
      </c>
      <c r="CI212" s="323" t="n">
        <v>0</v>
      </c>
      <c r="CJ212" s="323" t="n">
        <v>0</v>
      </c>
      <c r="CK212" s="323" t="n">
        <v>1.01113157400525E-007</v>
      </c>
      <c r="CL212" s="323" t="n">
        <v>0</v>
      </c>
      <c r="CM212" s="323" t="n">
        <v>0</v>
      </c>
      <c r="CN212" s="323" t="n">
        <v>0</v>
      </c>
      <c r="CO212" s="323" t="n">
        <v>0</v>
      </c>
    </row>
    <row r="213" customFormat="false" ht="16.4" hidden="false" customHeight="false" outlineLevel="0" collapsed="false">
      <c r="A213" s="336"/>
      <c r="B213" s="251" t="s">
        <v>387</v>
      </c>
      <c r="C213" s="337"/>
      <c r="AR213" s="323" t="n">
        <v>3.68365153739897E-009</v>
      </c>
      <c r="AS213" s="323" t="n">
        <v>0</v>
      </c>
      <c r="AT213" s="323" t="n">
        <v>0</v>
      </c>
      <c r="AU213" s="323" t="n">
        <v>6.34483575262536E-008</v>
      </c>
      <c r="AV213" s="323" t="n">
        <v>2.62292491929938E-007</v>
      </c>
      <c r="AW213" s="323" t="n">
        <v>7.12049595524619E-009</v>
      </c>
      <c r="AX213" s="323" t="n">
        <v>2.54110398319508E-008</v>
      </c>
      <c r="AY213" s="323" t="n">
        <v>0</v>
      </c>
      <c r="AZ213" s="323" t="n">
        <v>1.47377795036258E-008</v>
      </c>
      <c r="BA213" s="323" t="n">
        <v>0</v>
      </c>
      <c r="BB213" s="323" t="n">
        <v>2.00373871604137E-008</v>
      </c>
      <c r="BC213" s="323" t="n">
        <v>2.81185076180579E-008</v>
      </c>
      <c r="BD213" s="323" t="n">
        <v>0</v>
      </c>
      <c r="BE213" s="323" t="n">
        <v>2.64855338508204E-008</v>
      </c>
      <c r="BF213" s="323" t="n">
        <v>7.3318178925986E-008</v>
      </c>
      <c r="BG213" s="323" t="n">
        <v>3.0286053021107E-007</v>
      </c>
      <c r="BH213" s="323" t="n">
        <v>0</v>
      </c>
      <c r="BI213" s="323" t="n">
        <v>0</v>
      </c>
      <c r="BJ213" s="323" t="n">
        <v>0</v>
      </c>
      <c r="BK213" s="323" t="n">
        <v>2.37595774021824E-008</v>
      </c>
      <c r="BL213" s="323" t="n">
        <v>0</v>
      </c>
      <c r="BM213" s="323" t="n">
        <v>0</v>
      </c>
      <c r="BN213" s="323" t="n">
        <v>9.55719078045306E-009</v>
      </c>
      <c r="BO213" s="323" t="n">
        <v>2.1165270537373E-008</v>
      </c>
      <c r="BP213" s="323" t="n">
        <v>4.80707014336755E-008</v>
      </c>
      <c r="BQ213" s="323" t="n">
        <v>3.36979133201836E-009</v>
      </c>
      <c r="BR213" s="323" t="n">
        <v>2.15566441212943E-007</v>
      </c>
      <c r="BS213" s="323" t="n">
        <v>2.6504240946457E-008</v>
      </c>
      <c r="BT213" s="323" t="n">
        <v>2.34894587661677E-006</v>
      </c>
      <c r="BU213" s="323" t="n">
        <v>1.0362096054633E-007</v>
      </c>
      <c r="BV213" s="323" t="n">
        <v>1.10568146075988E-008</v>
      </c>
      <c r="BW213" s="323" t="n">
        <v>0</v>
      </c>
      <c r="BX213" s="323" t="n">
        <v>0</v>
      </c>
      <c r="BY213" s="323" t="n">
        <v>0</v>
      </c>
      <c r="BZ213" s="323" t="n">
        <v>8.46267902220267E-007</v>
      </c>
      <c r="CA213" s="323" t="n">
        <v>0</v>
      </c>
      <c r="CB213" s="323" t="n">
        <v>0</v>
      </c>
      <c r="CC213" s="323" t="n">
        <v>0</v>
      </c>
      <c r="CD213" s="323" t="n">
        <v>0</v>
      </c>
      <c r="CE213" s="323" t="n">
        <v>0</v>
      </c>
      <c r="CF213" s="323" t="n">
        <v>0</v>
      </c>
      <c r="CG213" s="323" t="n">
        <v>0</v>
      </c>
      <c r="CH213" s="323" t="n">
        <v>0</v>
      </c>
      <c r="CI213" s="323" t="n">
        <v>0</v>
      </c>
      <c r="CJ213" s="323" t="n">
        <v>0</v>
      </c>
      <c r="CK213" s="323" t="n">
        <v>1.85437392093723E-007</v>
      </c>
      <c r="CL213" s="323" t="n">
        <v>0</v>
      </c>
      <c r="CM213" s="323" t="n">
        <v>0</v>
      </c>
      <c r="CN213" s="323" t="n">
        <v>0</v>
      </c>
      <c r="CO213" s="323" t="n">
        <v>0</v>
      </c>
    </row>
    <row r="214" customFormat="false" ht="16.4" hidden="false" customHeight="false" outlineLevel="0" collapsed="false">
      <c r="A214" s="335" t="s">
        <v>388</v>
      </c>
      <c r="B214" s="251" t="s">
        <v>596</v>
      </c>
      <c r="C214" s="197" t="n">
        <v>5</v>
      </c>
      <c r="AR214" s="338" t="n">
        <v>1.68024839963303E-008</v>
      </c>
      <c r="AS214" s="338" t="n">
        <v>0</v>
      </c>
      <c r="AT214" s="338" t="n">
        <v>0</v>
      </c>
      <c r="AU214" s="338" t="n">
        <v>1.50029453237661E-007</v>
      </c>
      <c r="AV214" s="338" t="n">
        <v>1.58583550548113E-006</v>
      </c>
      <c r="AW214" s="338" t="n">
        <v>2.01527685411961E-008</v>
      </c>
      <c r="AX214" s="338" t="n">
        <v>3.70650047579574E-008</v>
      </c>
      <c r="AY214" s="338" t="n">
        <v>0</v>
      </c>
      <c r="AZ214" s="338" t="n">
        <v>1.24050820296704E-007</v>
      </c>
      <c r="BA214" s="338" t="n">
        <v>0</v>
      </c>
      <c r="BB214" s="338" t="n">
        <v>1.07542240916695E-008</v>
      </c>
      <c r="BC214" s="338" t="n">
        <v>4.15349190553073E-007</v>
      </c>
      <c r="BD214" s="338" t="n">
        <v>0</v>
      </c>
      <c r="BE214" s="338" t="n">
        <v>5.50104681776285E-008</v>
      </c>
      <c r="BF214" s="338" t="n">
        <v>2.1065435536545E-007</v>
      </c>
      <c r="BG214" s="338" t="n">
        <v>6.46749428861678E-007</v>
      </c>
      <c r="BH214" s="338" t="n">
        <v>0</v>
      </c>
      <c r="BI214" s="338" t="n">
        <v>0</v>
      </c>
      <c r="BJ214" s="338" t="n">
        <v>0</v>
      </c>
      <c r="BK214" s="338" t="n">
        <v>2.27970476719643E-008</v>
      </c>
      <c r="BL214" s="338" t="n">
        <v>0</v>
      </c>
      <c r="BM214" s="338" t="n">
        <v>0</v>
      </c>
      <c r="BN214" s="338" t="n">
        <v>6.72663459200708E-009</v>
      </c>
      <c r="BO214" s="338" t="n">
        <v>1.01995804517782E-007</v>
      </c>
      <c r="BP214" s="338" t="n">
        <v>1.39126185481945E-008</v>
      </c>
      <c r="BQ214" s="338" t="n">
        <v>4.27161863680772E-008</v>
      </c>
      <c r="BR214" s="338" t="n">
        <v>1.79458589355402E-007</v>
      </c>
      <c r="BS214" s="338" t="n">
        <v>1.51057480332161E-008</v>
      </c>
      <c r="BT214" s="338" t="n">
        <v>2.03698603464092E-006</v>
      </c>
      <c r="BU214" s="338" t="n">
        <v>4.94248048128795E-008</v>
      </c>
      <c r="BV214" s="338" t="n">
        <v>8.39999170814752E-010</v>
      </c>
      <c r="BW214" s="338" t="n">
        <v>0</v>
      </c>
      <c r="BX214" s="338" t="n">
        <v>0</v>
      </c>
      <c r="BY214" s="338" t="n">
        <v>0</v>
      </c>
      <c r="BZ214" s="338" t="n">
        <v>1.20307272599944E-007</v>
      </c>
      <c r="CA214" s="338" t="n">
        <v>0</v>
      </c>
      <c r="CB214" s="338" t="n">
        <v>0</v>
      </c>
      <c r="CC214" s="338" t="n">
        <v>0</v>
      </c>
      <c r="CD214" s="338" t="n">
        <v>0</v>
      </c>
      <c r="CE214" s="338" t="n">
        <v>0</v>
      </c>
      <c r="CF214" s="338" t="n">
        <v>0</v>
      </c>
      <c r="CG214" s="338" t="n">
        <v>0</v>
      </c>
      <c r="CH214" s="338" t="n">
        <v>0</v>
      </c>
      <c r="CI214" s="330" t="n">
        <v>0</v>
      </c>
      <c r="CJ214" s="330" t="n">
        <v>0</v>
      </c>
      <c r="CK214" s="330" t="n">
        <v>4.69932730472563E-008</v>
      </c>
      <c r="CL214" s="330" t="n">
        <v>0</v>
      </c>
      <c r="CM214" s="330" t="n">
        <v>0</v>
      </c>
      <c r="CN214" s="330" t="n">
        <v>0</v>
      </c>
      <c r="CO214" s="330" t="n">
        <v>0</v>
      </c>
    </row>
    <row r="215" customFormat="false" ht="15" hidden="false" customHeight="true" outlineLevel="0" collapsed="false">
      <c r="A215" s="336" t="s">
        <v>384</v>
      </c>
      <c r="B215" s="251" t="s">
        <v>382</v>
      </c>
      <c r="C215" s="337" t="n">
        <v>2</v>
      </c>
    </row>
    <row r="216" customFormat="false" ht="15" hidden="false" customHeight="false" outlineLevel="0" collapsed="false">
      <c r="A216" s="336"/>
      <c r="B216" s="251" t="s">
        <v>386</v>
      </c>
      <c r="C216" s="337"/>
    </row>
    <row r="217" customFormat="false" ht="15" hidden="false" customHeight="false" outlineLevel="0" collapsed="false">
      <c r="A217" s="336"/>
      <c r="B217" s="251" t="s">
        <v>387</v>
      </c>
      <c r="C217" s="337"/>
    </row>
    <row r="218" customFormat="false" ht="16.4" hidden="false" customHeight="false" outlineLevel="0" collapsed="false">
      <c r="A218" s="339" t="s">
        <v>391</v>
      </c>
      <c r="B218" s="334" t="s">
        <v>596</v>
      </c>
      <c r="C218" s="233" t="n">
        <v>5</v>
      </c>
    </row>
    <row r="219" customFormat="false" ht="15" hidden="false" customHeight="false" outlineLevel="0" collapsed="false">
      <c r="C219" s="109"/>
      <c r="D219" s="173"/>
      <c r="E219" s="173"/>
      <c r="F219" s="173"/>
    </row>
    <row r="220" customFormat="false" ht="15" hidden="false" customHeight="false" outlineLevel="0" collapsed="false">
      <c r="C220" s="109"/>
      <c r="D220" s="173"/>
      <c r="E220" s="173"/>
      <c r="F220" s="173"/>
    </row>
    <row r="221" customFormat="false" ht="24.45" hidden="false" customHeight="false" outlineLevel="0" collapsed="false">
      <c r="A221" s="189" t="s">
        <v>597</v>
      </c>
      <c r="D221" s="173"/>
    </row>
    <row r="222" customFormat="false" ht="18.75" hidden="false" customHeight="true" outlineLevel="0" collapsed="false">
      <c r="A222" s="201" t="s">
        <v>598</v>
      </c>
      <c r="B222" s="201"/>
      <c r="C222" s="201"/>
      <c r="D222" s="201"/>
    </row>
    <row r="223" customFormat="false" ht="15" hidden="false" customHeight="false" outlineLevel="0" collapsed="false">
      <c r="A223" s="223" t="s">
        <v>408</v>
      </c>
      <c r="B223" s="223"/>
      <c r="C223" s="223"/>
      <c r="D223" s="223"/>
    </row>
    <row r="224" customFormat="false" ht="15" hidden="false" customHeight="false" outlineLevel="0" collapsed="false">
      <c r="A224" s="340" t="s">
        <v>409</v>
      </c>
      <c r="B224" s="340"/>
      <c r="C224" s="341" t="s">
        <v>512</v>
      </c>
      <c r="D224" s="342" t="n">
        <v>2</v>
      </c>
    </row>
    <row r="225" customFormat="false" ht="15" hidden="false" customHeight="false" outlineLevel="0" collapsed="false">
      <c r="A225" s="223" t="s">
        <v>410</v>
      </c>
      <c r="B225" s="223"/>
    </row>
    <row r="226" customFormat="false" ht="15" hidden="false" customHeight="false" outlineLevel="0" collapsed="false">
      <c r="A226" s="213" t="s">
        <v>413</v>
      </c>
      <c r="B226" s="343" t="n">
        <v>2020</v>
      </c>
    </row>
    <row r="227" customFormat="false" ht="15" hidden="false" customHeight="false" outlineLevel="0" collapsed="false">
      <c r="A227" s="213" t="s">
        <v>411</v>
      </c>
      <c r="B227" s="344" t="n">
        <v>2050</v>
      </c>
      <c r="C227" s="345"/>
      <c r="D227" s="346" t="s">
        <v>415</v>
      </c>
      <c r="E227" s="347" t="s">
        <v>416</v>
      </c>
    </row>
    <row r="228" customFormat="false" ht="13.5" hidden="false" customHeight="true" outlineLevel="0" collapsed="false">
      <c r="A228" s="348" t="s">
        <v>417</v>
      </c>
      <c r="B228" s="203" t="s">
        <v>418</v>
      </c>
      <c r="C228" s="195" t="s">
        <v>599</v>
      </c>
      <c r="D228" s="231" t="n">
        <v>0.2016666667</v>
      </c>
      <c r="E228" s="224" t="n">
        <v>0.605</v>
      </c>
    </row>
    <row r="229" customFormat="false" ht="15" hidden="false" customHeight="false" outlineLevel="0" collapsed="false">
      <c r="A229" s="348"/>
      <c r="B229" s="203" t="s">
        <v>421</v>
      </c>
      <c r="C229" s="195" t="s">
        <v>599</v>
      </c>
      <c r="D229" s="231" t="n">
        <v>0.05</v>
      </c>
      <c r="E229" s="224" t="n">
        <v>0.15</v>
      </c>
    </row>
    <row r="230" customFormat="false" ht="15" hidden="false" customHeight="false" outlineLevel="0" collapsed="false">
      <c r="A230" s="348"/>
      <c r="B230" s="203" t="s">
        <v>422</v>
      </c>
      <c r="C230" s="195" t="s">
        <v>599</v>
      </c>
      <c r="D230" s="231" t="n">
        <v>0.1966666667</v>
      </c>
      <c r="E230" s="224" t="n">
        <v>0.59</v>
      </c>
    </row>
    <row r="231" customFormat="false" ht="15" hidden="false" customHeight="false" outlineLevel="0" collapsed="false">
      <c r="A231" s="348"/>
      <c r="B231" s="203" t="s">
        <v>423</v>
      </c>
      <c r="C231" s="195" t="s">
        <v>599</v>
      </c>
      <c r="D231" s="231" t="n">
        <v>0.1633333333</v>
      </c>
      <c r="E231" s="224" t="n">
        <v>0.49</v>
      </c>
    </row>
    <row r="232" customFormat="false" ht="15" hidden="false" customHeight="false" outlineLevel="0" collapsed="false">
      <c r="A232" s="348"/>
      <c r="B232" s="203" t="s">
        <v>424</v>
      </c>
      <c r="C232" s="195" t="s">
        <v>599</v>
      </c>
      <c r="D232" s="231" t="n">
        <v>0.00166666667</v>
      </c>
      <c r="E232" s="224" t="n">
        <v>0.005</v>
      </c>
    </row>
    <row r="233" customFormat="false" ht="15" hidden="false" customHeight="false" outlineLevel="0" collapsed="false">
      <c r="A233" s="348"/>
      <c r="B233" s="203" t="s">
        <v>425</v>
      </c>
      <c r="C233" s="195" t="s">
        <v>599</v>
      </c>
      <c r="D233" s="231" t="n">
        <v>0.06333333333</v>
      </c>
      <c r="E233" s="224" t="n">
        <v>0.19</v>
      </c>
    </row>
    <row r="234" customFormat="false" ht="15" hidden="false" customHeight="false" outlineLevel="0" collapsed="false">
      <c r="A234" s="348"/>
      <c r="B234" s="203" t="s">
        <v>426</v>
      </c>
      <c r="C234" s="195" t="s">
        <v>599</v>
      </c>
      <c r="D234" s="231" t="n">
        <v>0.2533333333</v>
      </c>
      <c r="E234" s="224" t="n">
        <v>0.76</v>
      </c>
    </row>
    <row r="235" customFormat="false" ht="15" hidden="false" customHeight="false" outlineLevel="0" collapsed="false">
      <c r="A235" s="348"/>
      <c r="B235" s="203" t="s">
        <v>427</v>
      </c>
      <c r="C235" s="195" t="s">
        <v>599</v>
      </c>
      <c r="D235" s="231" t="n">
        <v>0.00166666667</v>
      </c>
      <c r="E235" s="224" t="n">
        <v>0.005</v>
      </c>
    </row>
    <row r="236" customFormat="false" ht="15" hidden="false" customHeight="false" outlineLevel="0" collapsed="false">
      <c r="A236" s="348"/>
      <c r="B236" s="203" t="s">
        <v>428</v>
      </c>
      <c r="C236" s="195" t="s">
        <v>599</v>
      </c>
      <c r="D236" s="231" t="n">
        <v>0.13</v>
      </c>
      <c r="E236" s="224" t="n">
        <v>0.39</v>
      </c>
    </row>
    <row r="237" customFormat="false" ht="15" hidden="false" customHeight="false" outlineLevel="0" collapsed="false">
      <c r="A237" s="348"/>
      <c r="B237" s="203" t="s">
        <v>429</v>
      </c>
      <c r="C237" s="195" t="s">
        <v>599</v>
      </c>
      <c r="D237" s="231" t="n">
        <v>0.1766666667</v>
      </c>
      <c r="E237" s="224" t="n">
        <v>0.53</v>
      </c>
    </row>
    <row r="238" customFormat="false" ht="15" hidden="false" customHeight="false" outlineLevel="0" collapsed="false">
      <c r="A238" s="348"/>
      <c r="B238" s="203" t="s">
        <v>430</v>
      </c>
      <c r="C238" s="195" t="s">
        <v>599</v>
      </c>
      <c r="D238" s="231" t="n">
        <v>0.1166666667</v>
      </c>
      <c r="E238" s="224" t="n">
        <v>0.35</v>
      </c>
    </row>
    <row r="239" customFormat="false" ht="15" hidden="false" customHeight="false" outlineLevel="0" collapsed="false">
      <c r="A239" s="348"/>
      <c r="B239" s="203" t="s">
        <v>431</v>
      </c>
      <c r="C239" s="195" t="s">
        <v>599</v>
      </c>
      <c r="D239" s="231" t="n">
        <v>0.1883333333</v>
      </c>
      <c r="E239" s="224" t="n">
        <v>0.565</v>
      </c>
    </row>
    <row r="240" customFormat="false" ht="15" hidden="false" customHeight="false" outlineLevel="0" collapsed="false">
      <c r="A240" s="348"/>
      <c r="B240" s="203" t="s">
        <v>432</v>
      </c>
      <c r="C240" s="195" t="s">
        <v>599</v>
      </c>
      <c r="D240" s="231" t="n">
        <v>0.3166666667</v>
      </c>
      <c r="E240" s="224" t="n">
        <v>0.95</v>
      </c>
    </row>
    <row r="241" customFormat="false" ht="15" hidden="false" customHeight="false" outlineLevel="0" collapsed="false">
      <c r="A241" s="348"/>
      <c r="B241" s="203" t="s">
        <v>433</v>
      </c>
      <c r="C241" s="195" t="s">
        <v>599</v>
      </c>
      <c r="D241" s="231" t="n">
        <v>0.1916666667</v>
      </c>
      <c r="E241" s="224" t="n">
        <v>0.575</v>
      </c>
    </row>
    <row r="242" customFormat="false" ht="15" hidden="false" customHeight="false" outlineLevel="0" collapsed="false">
      <c r="A242" s="348"/>
      <c r="B242" s="203" t="s">
        <v>434</v>
      </c>
      <c r="C242" s="195" t="s">
        <v>599</v>
      </c>
      <c r="D242" s="231" t="n">
        <v>0.1016666667</v>
      </c>
      <c r="E242" s="224" t="n">
        <v>0.305</v>
      </c>
    </row>
    <row r="243" customFormat="false" ht="15" hidden="false" customHeight="false" outlineLevel="0" collapsed="false">
      <c r="A243" s="348"/>
      <c r="B243" s="203" t="s">
        <v>435</v>
      </c>
      <c r="C243" s="195" t="s">
        <v>599</v>
      </c>
      <c r="D243" s="231" t="n">
        <v>0.00166666667</v>
      </c>
      <c r="E243" s="224" t="n">
        <v>0.005</v>
      </c>
    </row>
    <row r="244" customFormat="false" ht="15" hidden="false" customHeight="false" outlineLevel="0" collapsed="false">
      <c r="A244" s="348"/>
      <c r="B244" s="203" t="s">
        <v>436</v>
      </c>
      <c r="C244" s="195" t="s">
        <v>599</v>
      </c>
      <c r="D244" s="231" t="n">
        <v>0.3033333333</v>
      </c>
      <c r="E244" s="224" t="n">
        <v>0.91</v>
      </c>
    </row>
    <row r="245" customFormat="false" ht="15" hidden="false" customHeight="false" outlineLevel="0" collapsed="false">
      <c r="A245" s="348"/>
      <c r="B245" s="203" t="s">
        <v>437</v>
      </c>
      <c r="C245" s="195" t="s">
        <v>599</v>
      </c>
      <c r="D245" s="231" t="n">
        <v>0.00166666667</v>
      </c>
      <c r="E245" s="224" t="n">
        <v>0.005</v>
      </c>
    </row>
    <row r="246" customFormat="false" ht="15" hidden="false" customHeight="false" outlineLevel="0" collapsed="false">
      <c r="A246" s="348"/>
      <c r="B246" s="349" t="s">
        <v>438</v>
      </c>
      <c r="C246" s="220" t="s">
        <v>599</v>
      </c>
      <c r="D246" s="210" t="n">
        <v>0.1833333333</v>
      </c>
      <c r="E246" s="350" t="n">
        <v>0.55</v>
      </c>
    </row>
    <row r="247" customFormat="false" ht="15" hidden="false" customHeight="false" outlineLevel="0" collapsed="false">
      <c r="A247" s="223" t="s">
        <v>439</v>
      </c>
      <c r="B247" s="223"/>
      <c r="C247" s="223"/>
    </row>
    <row r="248" customFormat="false" ht="15" hidden="false" customHeight="false" outlineLevel="0" collapsed="false">
      <c r="A248" s="203" t="s">
        <v>600</v>
      </c>
      <c r="B248" s="195" t="s">
        <v>601</v>
      </c>
      <c r="C248" s="351" t="n">
        <v>0.02</v>
      </c>
    </row>
    <row r="249" customFormat="false" ht="15" hidden="false" customHeight="false" outlineLevel="0" collapsed="false">
      <c r="A249" s="203" t="s">
        <v>602</v>
      </c>
      <c r="B249" s="195" t="s">
        <v>401</v>
      </c>
      <c r="C249" s="352" t="n">
        <v>2020</v>
      </c>
    </row>
    <row r="250" customFormat="false" ht="15" hidden="false" customHeight="false" outlineLevel="0" collapsed="false">
      <c r="A250" s="203" t="s">
        <v>603</v>
      </c>
      <c r="B250" s="195" t="s">
        <v>601</v>
      </c>
      <c r="C250" s="351" t="n">
        <v>0.02</v>
      </c>
    </row>
    <row r="251" customFormat="false" ht="15" hidden="false" customHeight="false" outlineLevel="0" collapsed="false">
      <c r="A251" s="232" t="s">
        <v>604</v>
      </c>
      <c r="B251" s="353" t="s">
        <v>401</v>
      </c>
      <c r="C251" s="354" t="n">
        <v>2020</v>
      </c>
    </row>
    <row r="252" customFormat="false" ht="15" hidden="false" customHeight="false" outlineLevel="0" collapsed="false">
      <c r="A252" s="39"/>
      <c r="E252" s="222"/>
    </row>
    <row r="253" customFormat="false" ht="17.35" hidden="false" customHeight="false" outlineLevel="0" collapsed="false">
      <c r="A253" s="212" t="s">
        <v>210</v>
      </c>
      <c r="B253" s="212"/>
      <c r="C253" s="212"/>
    </row>
    <row r="254" customFormat="false" ht="15" hidden="false" customHeight="false" outlineLevel="0" collapsed="false">
      <c r="A254" s="355" t="s">
        <v>605</v>
      </c>
      <c r="B254" s="355"/>
      <c r="C254" s="355"/>
      <c r="H254" s="48"/>
      <c r="J254" s="356"/>
    </row>
    <row r="255" customFormat="false" ht="16.4" hidden="false" customHeight="false" outlineLevel="0" collapsed="false">
      <c r="A255" s="335" t="s">
        <v>212</v>
      </c>
      <c r="B255" s="357" t="s">
        <v>11</v>
      </c>
      <c r="C255" s="358" t="n">
        <v>1</v>
      </c>
      <c r="H255" s="48"/>
      <c r="J255" s="356"/>
    </row>
    <row r="256" customFormat="false" ht="15" hidden="false" customHeight="false" outlineLevel="0" collapsed="false">
      <c r="A256" s="355" t="s">
        <v>606</v>
      </c>
      <c r="B256" s="355"/>
      <c r="C256" s="355"/>
      <c r="H256" s="48"/>
      <c r="J256" s="356"/>
    </row>
    <row r="257" customFormat="false" ht="15" hidden="false" customHeight="true" outlineLevel="0" collapsed="false">
      <c r="A257" s="359" t="s">
        <v>607</v>
      </c>
      <c r="B257" s="251" t="s">
        <v>608</v>
      </c>
      <c r="C257" s="360" t="n">
        <v>4</v>
      </c>
      <c r="H257" s="48"/>
      <c r="J257" s="356"/>
    </row>
    <row r="258" customFormat="false" ht="15" hidden="false" customHeight="false" outlineLevel="0" collapsed="false">
      <c r="A258" s="359"/>
      <c r="B258" s="251" t="s">
        <v>609</v>
      </c>
      <c r="C258" s="360"/>
      <c r="H258" s="48"/>
      <c r="J258" s="356"/>
    </row>
    <row r="259" customFormat="false" ht="15" hidden="false" customHeight="false" outlineLevel="0" collapsed="false">
      <c r="A259" s="359"/>
      <c r="B259" s="251" t="s">
        <v>610</v>
      </c>
      <c r="C259" s="360"/>
      <c r="H259" s="48"/>
      <c r="J259" s="356"/>
    </row>
    <row r="260" customFormat="false" ht="15" hidden="false" customHeight="false" outlineLevel="0" collapsed="false">
      <c r="A260" s="359"/>
      <c r="B260" s="334" t="s">
        <v>611</v>
      </c>
      <c r="C260" s="360"/>
      <c r="H260" s="48"/>
      <c r="J260" s="356"/>
    </row>
    <row r="262" customFormat="false" ht="17.35" hidden="false" customHeight="false" outlineLevel="0" collapsed="false">
      <c r="A262" s="212" t="s">
        <v>142</v>
      </c>
      <c r="B262" s="212"/>
      <c r="C262" s="212"/>
    </row>
    <row r="263" customFormat="false" ht="16.4" hidden="false" customHeight="false" outlineLevel="0" collapsed="false">
      <c r="A263" s="335" t="s">
        <v>143</v>
      </c>
      <c r="B263" s="251" t="s">
        <v>11</v>
      </c>
      <c r="C263" s="358" t="n">
        <v>0</v>
      </c>
    </row>
    <row r="264" customFormat="false" ht="15" hidden="false" customHeight="false" outlineLevel="0" collapsed="false">
      <c r="A264" s="39"/>
    </row>
    <row r="265" customFormat="false" ht="17.35" hidden="false" customHeight="false" outlineLevel="0" collapsed="false">
      <c r="A265" s="212" t="s">
        <v>612</v>
      </c>
      <c r="B265" s="212"/>
      <c r="C265" s="212"/>
      <c r="D265" s="212"/>
      <c r="E265" s="212"/>
      <c r="F265" s="212"/>
      <c r="G265" s="212"/>
      <c r="H265" s="212"/>
      <c r="I265" s="212"/>
    </row>
    <row r="266" customFormat="false" ht="15" hidden="false" customHeight="false" outlineLevel="0" collapsed="false">
      <c r="A266" s="213" t="s">
        <v>613</v>
      </c>
      <c r="B266" s="195" t="s">
        <v>17</v>
      </c>
      <c r="C266" s="196" t="n">
        <v>2020</v>
      </c>
      <c r="D266" s="196" t="n">
        <v>2025</v>
      </c>
      <c r="E266" s="196" t="n">
        <v>2030</v>
      </c>
      <c r="F266" s="196" t="n">
        <v>2035</v>
      </c>
      <c r="G266" s="196" t="n">
        <v>2040</v>
      </c>
      <c r="H266" s="196" t="n">
        <v>2045</v>
      </c>
      <c r="I266" s="196" t="n">
        <v>2050</v>
      </c>
    </row>
    <row r="267" customFormat="false" ht="15" hidden="false" customHeight="false" outlineLevel="0" collapsed="false">
      <c r="A267" s="213" t="s">
        <v>539</v>
      </c>
      <c r="B267" s="195" t="s">
        <v>477</v>
      </c>
      <c r="C267" s="196" t="n">
        <v>0</v>
      </c>
      <c r="D267" s="196" t="n">
        <v>0</v>
      </c>
      <c r="E267" s="196" t="n">
        <v>0</v>
      </c>
      <c r="F267" s="196" t="n">
        <v>0</v>
      </c>
      <c r="G267" s="196" t="n">
        <v>0</v>
      </c>
      <c r="H267" s="196" t="n">
        <v>0</v>
      </c>
      <c r="I267" s="196" t="n">
        <v>0</v>
      </c>
    </row>
    <row r="268" customFormat="false" ht="15" hidden="false" customHeight="false" outlineLevel="0" collapsed="false">
      <c r="A268" s="213" t="s">
        <v>542</v>
      </c>
      <c r="B268" s="195"/>
      <c r="C268" s="196" t="n">
        <v>0</v>
      </c>
      <c r="D268" s="196" t="n">
        <v>0</v>
      </c>
      <c r="E268" s="196" t="n">
        <v>0</v>
      </c>
      <c r="F268" s="196" t="n">
        <v>0</v>
      </c>
      <c r="G268" s="196" t="n">
        <v>0</v>
      </c>
      <c r="H268" s="196" t="n">
        <v>0</v>
      </c>
      <c r="I268" s="197" t="n">
        <v>0</v>
      </c>
    </row>
    <row r="269" customFormat="false" ht="15" hidden="false" customHeight="false" outlineLevel="0" collapsed="false">
      <c r="A269" s="213" t="s">
        <v>543</v>
      </c>
      <c r="B269" s="195"/>
      <c r="C269" s="196" t="n">
        <v>0</v>
      </c>
      <c r="D269" s="196" t="n">
        <v>0</v>
      </c>
      <c r="E269" s="196" t="n">
        <v>0</v>
      </c>
      <c r="F269" s="196" t="n">
        <v>0</v>
      </c>
      <c r="G269" s="196" t="n">
        <v>0</v>
      </c>
      <c r="H269" s="196" t="n">
        <v>0</v>
      </c>
      <c r="I269" s="197" t="n">
        <v>0</v>
      </c>
    </row>
    <row r="270" customFormat="false" ht="15" hidden="false" customHeight="false" outlineLevel="0" collapsed="false">
      <c r="A270" s="213" t="s">
        <v>544</v>
      </c>
      <c r="B270" s="195"/>
      <c r="C270" s="196" t="n">
        <v>0</v>
      </c>
      <c r="D270" s="196" t="n">
        <v>0</v>
      </c>
      <c r="E270" s="196" t="n">
        <v>0</v>
      </c>
      <c r="F270" s="196" t="n">
        <v>0</v>
      </c>
      <c r="G270" s="196" t="n">
        <v>0</v>
      </c>
      <c r="H270" s="196" t="n">
        <v>0</v>
      </c>
      <c r="I270" s="197" t="n">
        <v>0</v>
      </c>
    </row>
    <row r="271" customFormat="false" ht="15" hidden="false" customHeight="false" outlineLevel="0" collapsed="false">
      <c r="A271" s="213" t="s">
        <v>545</v>
      </c>
      <c r="B271" s="195"/>
      <c r="C271" s="196" t="n">
        <v>0</v>
      </c>
      <c r="D271" s="196" t="n">
        <v>0</v>
      </c>
      <c r="E271" s="196" t="n">
        <v>0</v>
      </c>
      <c r="F271" s="196" t="n">
        <v>0</v>
      </c>
      <c r="G271" s="196" t="n">
        <v>0</v>
      </c>
      <c r="H271" s="196" t="n">
        <v>0</v>
      </c>
      <c r="I271" s="197" t="n">
        <v>0</v>
      </c>
    </row>
    <row r="272" customFormat="false" ht="15" hidden="false" customHeight="false" outlineLevel="0" collapsed="false">
      <c r="A272" s="213" t="s">
        <v>546</v>
      </c>
      <c r="B272" s="195"/>
      <c r="C272" s="196" t="n">
        <v>0</v>
      </c>
      <c r="D272" s="196" t="n">
        <v>0</v>
      </c>
      <c r="E272" s="196" t="n">
        <v>0</v>
      </c>
      <c r="F272" s="196" t="n">
        <v>0</v>
      </c>
      <c r="G272" s="196" t="n">
        <v>0</v>
      </c>
      <c r="H272" s="196" t="n">
        <v>0</v>
      </c>
      <c r="I272" s="197" t="n">
        <v>0</v>
      </c>
    </row>
    <row r="273" customFormat="false" ht="15" hidden="false" customHeight="false" outlineLevel="0" collapsed="false">
      <c r="A273" s="213" t="s">
        <v>547</v>
      </c>
      <c r="B273" s="195"/>
      <c r="C273" s="196" t="n">
        <v>0</v>
      </c>
      <c r="D273" s="196" t="n">
        <v>0</v>
      </c>
      <c r="E273" s="196" t="n">
        <v>0</v>
      </c>
      <c r="F273" s="196" t="n">
        <v>0</v>
      </c>
      <c r="G273" s="196" t="n">
        <v>0</v>
      </c>
      <c r="H273" s="196" t="n">
        <v>0</v>
      </c>
      <c r="I273" s="197" t="n">
        <v>0</v>
      </c>
    </row>
    <row r="274" customFormat="false" ht="15" hidden="false" customHeight="false" outlineLevel="0" collapsed="false">
      <c r="A274" s="213" t="s">
        <v>548</v>
      </c>
      <c r="B274" s="195"/>
      <c r="C274" s="196" t="n">
        <v>0</v>
      </c>
      <c r="D274" s="196" t="n">
        <v>0</v>
      </c>
      <c r="E274" s="196" t="n">
        <v>0</v>
      </c>
      <c r="F274" s="196" t="n">
        <v>0</v>
      </c>
      <c r="G274" s="196" t="n">
        <v>0</v>
      </c>
      <c r="H274" s="196" t="n">
        <v>0</v>
      </c>
      <c r="I274" s="197" t="n">
        <v>0</v>
      </c>
    </row>
    <row r="275" customFormat="false" ht="15" hidden="false" customHeight="false" outlineLevel="0" collapsed="false">
      <c r="A275" s="213" t="s">
        <v>332</v>
      </c>
      <c r="B275" s="195"/>
      <c r="C275" s="196" t="n">
        <v>0</v>
      </c>
      <c r="D275" s="196" t="n">
        <v>0</v>
      </c>
      <c r="E275" s="196" t="n">
        <v>0</v>
      </c>
      <c r="F275" s="196" t="n">
        <v>0</v>
      </c>
      <c r="G275" s="196" t="n">
        <v>0</v>
      </c>
      <c r="H275" s="196" t="n">
        <v>0</v>
      </c>
      <c r="I275" s="197" t="n">
        <v>0</v>
      </c>
    </row>
    <row r="276" customFormat="false" ht="15" hidden="false" customHeight="false" outlineLevel="0" collapsed="false">
      <c r="A276" s="213" t="s">
        <v>347</v>
      </c>
      <c r="B276" s="195"/>
      <c r="C276" s="196" t="n">
        <v>0</v>
      </c>
      <c r="D276" s="196" t="n">
        <v>0</v>
      </c>
      <c r="E276" s="196" t="n">
        <v>0</v>
      </c>
      <c r="F276" s="196" t="n">
        <v>0</v>
      </c>
      <c r="G276" s="196" t="n">
        <v>0</v>
      </c>
      <c r="H276" s="196" t="n">
        <v>0</v>
      </c>
      <c r="I276" s="197" t="n">
        <v>0</v>
      </c>
    </row>
    <row r="277" customFormat="false" ht="15" hidden="false" customHeight="false" outlineLevel="0" collapsed="false">
      <c r="A277" s="213" t="s">
        <v>549</v>
      </c>
      <c r="B277" s="195"/>
      <c r="C277" s="196" t="n">
        <v>0</v>
      </c>
      <c r="D277" s="196" t="n">
        <v>0</v>
      </c>
      <c r="E277" s="196" t="n">
        <v>0</v>
      </c>
      <c r="F277" s="196" t="n">
        <v>0</v>
      </c>
      <c r="G277" s="196" t="n">
        <v>0</v>
      </c>
      <c r="H277" s="196" t="n">
        <v>0</v>
      </c>
      <c r="I277" s="197" t="n">
        <v>0</v>
      </c>
    </row>
    <row r="278" customFormat="false" ht="15" hidden="false" customHeight="false" outlineLevel="0" collapsed="false">
      <c r="A278" s="213" t="s">
        <v>550</v>
      </c>
      <c r="B278" s="195"/>
      <c r="C278" s="196" t="n">
        <v>0</v>
      </c>
      <c r="D278" s="196" t="n">
        <v>0</v>
      </c>
      <c r="E278" s="196" t="n">
        <v>0</v>
      </c>
      <c r="F278" s="196" t="n">
        <v>0</v>
      </c>
      <c r="G278" s="196" t="n">
        <v>0</v>
      </c>
      <c r="H278" s="196" t="n">
        <v>0</v>
      </c>
      <c r="I278" s="197" t="n">
        <v>0</v>
      </c>
    </row>
    <row r="279" customFormat="false" ht="15" hidden="false" customHeight="false" outlineLevel="0" collapsed="false">
      <c r="A279" s="213" t="s">
        <v>551</v>
      </c>
      <c r="B279" s="195"/>
      <c r="C279" s="196" t="n">
        <v>0</v>
      </c>
      <c r="D279" s="196" t="n">
        <v>0</v>
      </c>
      <c r="E279" s="196" t="n">
        <v>0</v>
      </c>
      <c r="F279" s="196" t="n">
        <v>0</v>
      </c>
      <c r="G279" s="196" t="n">
        <v>0</v>
      </c>
      <c r="H279" s="196" t="n">
        <v>0</v>
      </c>
      <c r="I279" s="197" t="n">
        <v>0</v>
      </c>
    </row>
    <row r="280" customFormat="false" ht="15" hidden="false" customHeight="false" outlineLevel="0" collapsed="false">
      <c r="A280" s="213" t="s">
        <v>552</v>
      </c>
      <c r="B280" s="195"/>
      <c r="C280" s="196" t="n">
        <v>0</v>
      </c>
      <c r="D280" s="196" t="n">
        <v>0</v>
      </c>
      <c r="E280" s="196" t="n">
        <v>0</v>
      </c>
      <c r="F280" s="196" t="n">
        <v>0</v>
      </c>
      <c r="G280" s="196" t="n">
        <v>0</v>
      </c>
      <c r="H280" s="196" t="n">
        <v>0</v>
      </c>
      <c r="I280" s="197" t="n">
        <v>0</v>
      </c>
    </row>
    <row r="281" customFormat="false" ht="15" hidden="false" customHeight="false" outlineLevel="0" collapsed="false">
      <c r="A281" s="213" t="s">
        <v>553</v>
      </c>
      <c r="B281" s="195"/>
      <c r="C281" s="196" t="n">
        <v>0</v>
      </c>
      <c r="D281" s="196" t="n">
        <v>0</v>
      </c>
      <c r="E281" s="196" t="n">
        <v>0</v>
      </c>
      <c r="F281" s="196" t="n">
        <v>0</v>
      </c>
      <c r="G281" s="196" t="n">
        <v>0</v>
      </c>
      <c r="H281" s="196" t="n">
        <v>0</v>
      </c>
      <c r="I281" s="197" t="n">
        <v>0</v>
      </c>
    </row>
    <row r="282" customFormat="false" ht="15" hidden="false" customHeight="false" outlineLevel="0" collapsed="false">
      <c r="A282" s="213" t="s">
        <v>554</v>
      </c>
      <c r="B282" s="195"/>
      <c r="C282" s="196" t="n">
        <v>0</v>
      </c>
      <c r="D282" s="196" t="n">
        <v>0</v>
      </c>
      <c r="E282" s="196" t="n">
        <v>0</v>
      </c>
      <c r="F282" s="196" t="n">
        <v>0</v>
      </c>
      <c r="G282" s="196" t="n">
        <v>0</v>
      </c>
      <c r="H282" s="196" t="n">
        <v>0</v>
      </c>
      <c r="I282" s="197" t="n">
        <v>0</v>
      </c>
    </row>
    <row r="283" customFormat="false" ht="15" hidden="false" customHeight="false" outlineLevel="0" collapsed="false">
      <c r="A283" s="213" t="s">
        <v>555</v>
      </c>
      <c r="B283" s="195"/>
      <c r="C283" s="196" t="n">
        <v>0</v>
      </c>
      <c r="D283" s="196" t="n">
        <v>0</v>
      </c>
      <c r="E283" s="196" t="n">
        <v>0</v>
      </c>
      <c r="F283" s="196" t="n">
        <v>0</v>
      </c>
      <c r="G283" s="196" t="n">
        <v>0</v>
      </c>
      <c r="H283" s="196" t="n">
        <v>0</v>
      </c>
      <c r="I283" s="197" t="n">
        <v>0</v>
      </c>
    </row>
    <row r="284" customFormat="false" ht="15" hidden="false" customHeight="false" outlineLevel="0" collapsed="false">
      <c r="A284" s="213" t="s">
        <v>556</v>
      </c>
      <c r="B284" s="195"/>
      <c r="C284" s="196" t="n">
        <v>0</v>
      </c>
      <c r="D284" s="196" t="n">
        <v>0</v>
      </c>
      <c r="E284" s="196" t="n">
        <v>0</v>
      </c>
      <c r="F284" s="196" t="n">
        <v>0</v>
      </c>
      <c r="G284" s="196" t="n">
        <v>0</v>
      </c>
      <c r="H284" s="196" t="n">
        <v>0</v>
      </c>
      <c r="I284" s="197" t="n">
        <v>0</v>
      </c>
    </row>
    <row r="285" customFormat="false" ht="15" hidden="false" customHeight="false" outlineLevel="0" collapsed="false">
      <c r="A285" s="213" t="s">
        <v>557</v>
      </c>
      <c r="B285" s="195"/>
      <c r="C285" s="196" t="n">
        <v>0</v>
      </c>
      <c r="D285" s="196" t="n">
        <v>0</v>
      </c>
      <c r="E285" s="196" t="n">
        <v>0</v>
      </c>
      <c r="F285" s="196" t="n">
        <v>0</v>
      </c>
      <c r="G285" s="196" t="n">
        <v>0</v>
      </c>
      <c r="H285" s="196" t="n">
        <v>0</v>
      </c>
      <c r="I285" s="197" t="n">
        <v>0</v>
      </c>
    </row>
    <row r="286" customFormat="false" ht="15" hidden="false" customHeight="false" outlineLevel="0" collapsed="false">
      <c r="A286" s="213" t="s">
        <v>558</v>
      </c>
      <c r="B286" s="195"/>
      <c r="C286" s="196" t="n">
        <v>0</v>
      </c>
      <c r="D286" s="196" t="n">
        <v>0</v>
      </c>
      <c r="E286" s="196" t="n">
        <v>0</v>
      </c>
      <c r="F286" s="196" t="n">
        <v>0</v>
      </c>
      <c r="G286" s="196" t="n">
        <v>0</v>
      </c>
      <c r="H286" s="196" t="n">
        <v>0</v>
      </c>
      <c r="I286" s="197" t="n">
        <v>0</v>
      </c>
    </row>
    <row r="287" customFormat="false" ht="15" hidden="false" customHeight="false" outlineLevel="0" collapsed="false">
      <c r="A287" s="213" t="s">
        <v>559</v>
      </c>
      <c r="B287" s="195"/>
      <c r="C287" s="196" t="n">
        <v>0</v>
      </c>
      <c r="D287" s="196" t="n">
        <v>0</v>
      </c>
      <c r="E287" s="196" t="n">
        <v>0</v>
      </c>
      <c r="F287" s="196" t="n">
        <v>0</v>
      </c>
      <c r="G287" s="196" t="n">
        <v>0</v>
      </c>
      <c r="H287" s="196" t="n">
        <v>0</v>
      </c>
      <c r="I287" s="197" t="n">
        <v>0</v>
      </c>
    </row>
    <row r="288" customFormat="false" ht="15" hidden="false" customHeight="false" outlineLevel="0" collapsed="false">
      <c r="A288" s="213" t="s">
        <v>560</v>
      </c>
      <c r="B288" s="195"/>
      <c r="C288" s="196" t="n">
        <v>0</v>
      </c>
      <c r="D288" s="196" t="n">
        <v>0</v>
      </c>
      <c r="E288" s="196" t="n">
        <v>0</v>
      </c>
      <c r="F288" s="196" t="n">
        <v>0</v>
      </c>
      <c r="G288" s="196" t="n">
        <v>0</v>
      </c>
      <c r="H288" s="196" t="n">
        <v>0</v>
      </c>
      <c r="I288" s="197" t="n">
        <v>0</v>
      </c>
    </row>
    <row r="289" customFormat="false" ht="15" hidden="false" customHeight="false" outlineLevel="0" collapsed="false">
      <c r="A289" s="213" t="s">
        <v>561</v>
      </c>
      <c r="B289" s="195"/>
      <c r="C289" s="196" t="n">
        <v>0</v>
      </c>
      <c r="D289" s="196" t="n">
        <v>0</v>
      </c>
      <c r="E289" s="196" t="n">
        <v>0</v>
      </c>
      <c r="F289" s="196" t="n">
        <v>0</v>
      </c>
      <c r="G289" s="196" t="n">
        <v>0</v>
      </c>
      <c r="H289" s="196" t="n">
        <v>0</v>
      </c>
      <c r="I289" s="197" t="n">
        <v>0</v>
      </c>
    </row>
    <row r="290" customFormat="false" ht="15" hidden="false" customHeight="false" outlineLevel="0" collapsed="false">
      <c r="A290" s="213" t="s">
        <v>562</v>
      </c>
      <c r="B290" s="195"/>
      <c r="C290" s="196" t="n">
        <v>0</v>
      </c>
      <c r="D290" s="196" t="n">
        <v>0</v>
      </c>
      <c r="E290" s="196" t="n">
        <v>0</v>
      </c>
      <c r="F290" s="196" t="n">
        <v>0</v>
      </c>
      <c r="G290" s="196" t="n">
        <v>0</v>
      </c>
      <c r="H290" s="196" t="n">
        <v>0</v>
      </c>
      <c r="I290" s="197" t="n">
        <v>0</v>
      </c>
    </row>
    <row r="291" customFormat="false" ht="15" hidden="false" customHeight="false" outlineLevel="0" collapsed="false">
      <c r="A291" s="213" t="s">
        <v>563</v>
      </c>
      <c r="B291" s="195"/>
      <c r="C291" s="196" t="n">
        <v>0</v>
      </c>
      <c r="D291" s="196" t="n">
        <v>0</v>
      </c>
      <c r="E291" s="196" t="n">
        <v>0</v>
      </c>
      <c r="F291" s="196" t="n">
        <v>0</v>
      </c>
      <c r="G291" s="196" t="n">
        <v>0</v>
      </c>
      <c r="H291" s="196" t="n">
        <v>0</v>
      </c>
      <c r="I291" s="197" t="n">
        <v>0</v>
      </c>
    </row>
    <row r="292" customFormat="false" ht="15" hidden="false" customHeight="false" outlineLevel="0" collapsed="false">
      <c r="A292" s="213" t="s">
        <v>564</v>
      </c>
      <c r="B292" s="195"/>
      <c r="C292" s="196" t="n">
        <v>0</v>
      </c>
      <c r="D292" s="196" t="n">
        <v>0</v>
      </c>
      <c r="E292" s="196" t="n">
        <v>0</v>
      </c>
      <c r="F292" s="196" t="n">
        <v>0</v>
      </c>
      <c r="G292" s="196" t="n">
        <v>0</v>
      </c>
      <c r="H292" s="196" t="n">
        <v>0</v>
      </c>
      <c r="I292" s="197" t="n">
        <v>0</v>
      </c>
    </row>
    <row r="293" customFormat="false" ht="15" hidden="false" customHeight="false" outlineLevel="0" collapsed="false">
      <c r="A293" s="213" t="s">
        <v>565</v>
      </c>
      <c r="B293" s="195"/>
      <c r="C293" s="196" t="n">
        <v>0</v>
      </c>
      <c r="D293" s="196" t="n">
        <v>0</v>
      </c>
      <c r="E293" s="196" t="n">
        <v>0</v>
      </c>
      <c r="F293" s="196" t="n">
        <v>0</v>
      </c>
      <c r="G293" s="196" t="n">
        <v>0</v>
      </c>
      <c r="H293" s="196" t="n">
        <v>0</v>
      </c>
      <c r="I293" s="197" t="n">
        <v>0</v>
      </c>
    </row>
    <row r="294" customFormat="false" ht="15" hidden="false" customHeight="false" outlineLevel="0" collapsed="false">
      <c r="A294" s="213" t="s">
        <v>566</v>
      </c>
      <c r="B294" s="195"/>
      <c r="C294" s="196" t="n">
        <v>0</v>
      </c>
      <c r="D294" s="196" t="n">
        <v>0</v>
      </c>
      <c r="E294" s="196" t="n">
        <v>0</v>
      </c>
      <c r="F294" s="196" t="n">
        <v>0</v>
      </c>
      <c r="G294" s="196" t="n">
        <v>0</v>
      </c>
      <c r="H294" s="196" t="n">
        <v>0</v>
      </c>
      <c r="I294" s="197" t="n">
        <v>0</v>
      </c>
    </row>
    <row r="295" customFormat="false" ht="15" hidden="false" customHeight="false" outlineLevel="0" collapsed="false">
      <c r="A295" s="213" t="s">
        <v>567</v>
      </c>
      <c r="B295" s="195" t="s">
        <v>477</v>
      </c>
      <c r="C295" s="196" t="n">
        <v>0</v>
      </c>
      <c r="D295" s="196" t="n">
        <v>0</v>
      </c>
      <c r="E295" s="196" t="n">
        <v>0</v>
      </c>
      <c r="F295" s="196" t="n">
        <v>0</v>
      </c>
      <c r="G295" s="196" t="n">
        <v>0</v>
      </c>
      <c r="H295" s="196" t="n">
        <v>0</v>
      </c>
      <c r="I295" s="197" t="n">
        <v>0</v>
      </c>
    </row>
    <row r="296" customFormat="false" ht="15" hidden="false" customHeight="false" outlineLevel="0" collapsed="false">
      <c r="A296" s="213" t="s">
        <v>568</v>
      </c>
      <c r="B296" s="195" t="s">
        <v>477</v>
      </c>
      <c r="C296" s="196" t="n">
        <v>0</v>
      </c>
      <c r="D296" s="196" t="n">
        <v>0</v>
      </c>
      <c r="E296" s="196" t="n">
        <v>0</v>
      </c>
      <c r="F296" s="196" t="n">
        <v>0</v>
      </c>
      <c r="G296" s="196" t="n">
        <v>0</v>
      </c>
      <c r="H296" s="196" t="n">
        <v>0</v>
      </c>
      <c r="I296" s="197" t="n">
        <v>0</v>
      </c>
    </row>
    <row r="297" customFormat="false" ht="15" hidden="false" customHeight="false" outlineLevel="0" collapsed="false">
      <c r="A297" s="213" t="s">
        <v>569</v>
      </c>
      <c r="B297" s="195" t="s">
        <v>477</v>
      </c>
      <c r="C297" s="196" t="n">
        <v>0</v>
      </c>
      <c r="D297" s="196" t="n">
        <v>0</v>
      </c>
      <c r="E297" s="196" t="n">
        <v>0</v>
      </c>
      <c r="F297" s="196" t="n">
        <v>0</v>
      </c>
      <c r="G297" s="196" t="n">
        <v>0</v>
      </c>
      <c r="H297" s="196" t="n">
        <v>0</v>
      </c>
      <c r="I297" s="197" t="n">
        <v>0</v>
      </c>
    </row>
    <row r="298" customFormat="false" ht="15" hidden="false" customHeight="false" outlineLevel="0" collapsed="false">
      <c r="A298" s="213" t="s">
        <v>570</v>
      </c>
      <c r="B298" s="195" t="s">
        <v>477</v>
      </c>
      <c r="C298" s="196" t="n">
        <v>0</v>
      </c>
      <c r="D298" s="196" t="n">
        <v>0</v>
      </c>
      <c r="E298" s="196" t="n">
        <v>0</v>
      </c>
      <c r="F298" s="196" t="n">
        <v>0</v>
      </c>
      <c r="G298" s="196" t="n">
        <v>0</v>
      </c>
      <c r="H298" s="196" t="n">
        <v>0</v>
      </c>
      <c r="I298" s="197" t="n">
        <v>0</v>
      </c>
    </row>
    <row r="299" customFormat="false" ht="15" hidden="false" customHeight="false" outlineLevel="0" collapsed="false">
      <c r="A299" s="213" t="s">
        <v>571</v>
      </c>
      <c r="B299" s="195" t="s">
        <v>477</v>
      </c>
      <c r="C299" s="196" t="n">
        <v>0</v>
      </c>
      <c r="D299" s="196" t="n">
        <v>0</v>
      </c>
      <c r="E299" s="196" t="n">
        <v>0</v>
      </c>
      <c r="F299" s="196" t="n">
        <v>0</v>
      </c>
      <c r="G299" s="196" t="n">
        <v>0</v>
      </c>
      <c r="H299" s="196" t="n">
        <v>0</v>
      </c>
      <c r="I299" s="197" t="n">
        <v>0</v>
      </c>
    </row>
    <row r="300" customFormat="false" ht="15" hidden="false" customHeight="false" outlineLevel="0" collapsed="false">
      <c r="A300" s="213" t="s">
        <v>572</v>
      </c>
      <c r="B300" s="195" t="s">
        <v>477</v>
      </c>
      <c r="C300" s="196" t="n">
        <v>0</v>
      </c>
      <c r="D300" s="196" t="n">
        <v>0</v>
      </c>
      <c r="E300" s="196" t="n">
        <v>0</v>
      </c>
      <c r="F300" s="196" t="n">
        <v>0</v>
      </c>
      <c r="G300" s="196" t="n">
        <v>0</v>
      </c>
      <c r="H300" s="196" t="n">
        <v>0</v>
      </c>
      <c r="I300" s="197" t="n">
        <v>0</v>
      </c>
    </row>
    <row r="301" customFormat="false" ht="15" hidden="false" customHeight="false" outlineLevel="0" collapsed="false">
      <c r="A301" s="213" t="s">
        <v>573</v>
      </c>
      <c r="B301" s="195" t="s">
        <v>477</v>
      </c>
      <c r="C301" s="196" t="n">
        <v>0</v>
      </c>
      <c r="D301" s="196" t="n">
        <v>0</v>
      </c>
      <c r="E301" s="196" t="n">
        <v>0</v>
      </c>
      <c r="F301" s="196" t="n">
        <v>0</v>
      </c>
      <c r="G301" s="196" t="n">
        <v>0</v>
      </c>
      <c r="H301" s="196" t="n">
        <v>0</v>
      </c>
      <c r="I301" s="197" t="n">
        <v>0</v>
      </c>
    </row>
    <row r="302" customFormat="false" ht="15" hidden="false" customHeight="false" outlineLevel="0" collapsed="false">
      <c r="A302" s="213" t="s">
        <v>574</v>
      </c>
      <c r="B302" s="195" t="s">
        <v>477</v>
      </c>
      <c r="C302" s="196" t="n">
        <v>0</v>
      </c>
      <c r="D302" s="196" t="n">
        <v>0</v>
      </c>
      <c r="E302" s="196" t="n">
        <v>0</v>
      </c>
      <c r="F302" s="196" t="n">
        <v>0</v>
      </c>
      <c r="G302" s="196" t="n">
        <v>0</v>
      </c>
      <c r="H302" s="196" t="n">
        <v>0</v>
      </c>
      <c r="I302" s="197" t="n">
        <v>0</v>
      </c>
    </row>
    <row r="303" customFormat="false" ht="15" hidden="false" customHeight="false" outlineLevel="0" collapsed="false">
      <c r="A303" s="213" t="s">
        <v>575</v>
      </c>
      <c r="B303" s="195" t="s">
        <v>477</v>
      </c>
      <c r="C303" s="196" t="n">
        <v>0</v>
      </c>
      <c r="D303" s="196" t="n">
        <v>0</v>
      </c>
      <c r="E303" s="196" t="n">
        <v>0</v>
      </c>
      <c r="F303" s="196" t="n">
        <v>0</v>
      </c>
      <c r="G303" s="196" t="n">
        <v>0</v>
      </c>
      <c r="H303" s="196" t="n">
        <v>0</v>
      </c>
      <c r="I303" s="197" t="n">
        <v>0</v>
      </c>
    </row>
    <row r="304" customFormat="false" ht="15" hidden="false" customHeight="false" outlineLevel="0" collapsed="false">
      <c r="A304" s="213" t="s">
        <v>576</v>
      </c>
      <c r="B304" s="195" t="s">
        <v>477</v>
      </c>
      <c r="C304" s="196" t="n">
        <v>0</v>
      </c>
      <c r="D304" s="196" t="n">
        <v>0</v>
      </c>
      <c r="E304" s="196" t="n">
        <v>0</v>
      </c>
      <c r="F304" s="196" t="n">
        <v>0</v>
      </c>
      <c r="G304" s="196" t="n">
        <v>0</v>
      </c>
      <c r="H304" s="196" t="n">
        <v>0</v>
      </c>
      <c r="I304" s="197" t="n">
        <v>0</v>
      </c>
    </row>
    <row r="305" customFormat="false" ht="15" hidden="false" customHeight="false" outlineLevel="0" collapsed="false">
      <c r="A305" s="213" t="s">
        <v>577</v>
      </c>
      <c r="B305" s="195" t="s">
        <v>477</v>
      </c>
      <c r="C305" s="196" t="n">
        <v>0</v>
      </c>
      <c r="D305" s="196" t="n">
        <v>0</v>
      </c>
      <c r="E305" s="196" t="n">
        <v>0</v>
      </c>
      <c r="F305" s="196" t="n">
        <v>0</v>
      </c>
      <c r="G305" s="196" t="n">
        <v>0</v>
      </c>
      <c r="H305" s="196" t="n">
        <v>0</v>
      </c>
      <c r="I305" s="197" t="n">
        <v>0</v>
      </c>
    </row>
    <row r="306" customFormat="false" ht="15" hidden="false" customHeight="false" outlineLevel="0" collapsed="false">
      <c r="A306" s="213" t="s">
        <v>578</v>
      </c>
      <c r="B306" s="195" t="s">
        <v>477</v>
      </c>
      <c r="C306" s="196" t="n">
        <v>0</v>
      </c>
      <c r="D306" s="196" t="n">
        <v>0</v>
      </c>
      <c r="E306" s="196" t="n">
        <v>0</v>
      </c>
      <c r="F306" s="196" t="n">
        <v>0</v>
      </c>
      <c r="G306" s="196" t="n">
        <v>0</v>
      </c>
      <c r="H306" s="196" t="n">
        <v>0</v>
      </c>
      <c r="I306" s="197" t="n">
        <v>0</v>
      </c>
    </row>
    <row r="307" customFormat="false" ht="15" hidden="false" customHeight="false" outlineLevel="0" collapsed="false">
      <c r="A307" s="213" t="s">
        <v>579</v>
      </c>
      <c r="B307" s="195" t="s">
        <v>477</v>
      </c>
      <c r="C307" s="196" t="n">
        <v>0</v>
      </c>
      <c r="D307" s="196" t="n">
        <v>0</v>
      </c>
      <c r="E307" s="196" t="n">
        <v>0</v>
      </c>
      <c r="F307" s="196" t="n">
        <v>0</v>
      </c>
      <c r="G307" s="196" t="n">
        <v>0</v>
      </c>
      <c r="H307" s="196" t="n">
        <v>0</v>
      </c>
      <c r="I307" s="197" t="n">
        <v>0</v>
      </c>
    </row>
    <row r="308" customFormat="false" ht="15" hidden="false" customHeight="false" outlineLevel="0" collapsed="false">
      <c r="A308" s="213" t="s">
        <v>580</v>
      </c>
      <c r="B308" s="195" t="s">
        <v>477</v>
      </c>
      <c r="C308" s="196" t="n">
        <v>0</v>
      </c>
      <c r="D308" s="196" t="n">
        <v>0</v>
      </c>
      <c r="E308" s="196" t="n">
        <v>0</v>
      </c>
      <c r="F308" s="196" t="n">
        <v>0</v>
      </c>
      <c r="G308" s="196" t="n">
        <v>0</v>
      </c>
      <c r="H308" s="196" t="n">
        <v>0</v>
      </c>
      <c r="I308" s="197" t="n">
        <v>0</v>
      </c>
    </row>
    <row r="309" customFormat="false" ht="15" hidden="false" customHeight="false" outlineLevel="0" collapsed="false">
      <c r="A309" s="213" t="s">
        <v>581</v>
      </c>
      <c r="B309" s="195" t="s">
        <v>477</v>
      </c>
      <c r="C309" s="196" t="n">
        <v>0</v>
      </c>
      <c r="D309" s="196" t="n">
        <v>0</v>
      </c>
      <c r="E309" s="196" t="n">
        <v>0</v>
      </c>
      <c r="F309" s="196" t="n">
        <v>0</v>
      </c>
      <c r="G309" s="196" t="n">
        <v>0</v>
      </c>
      <c r="H309" s="196" t="n">
        <v>0</v>
      </c>
      <c r="I309" s="197" t="n">
        <v>0</v>
      </c>
    </row>
    <row r="310" customFormat="false" ht="15" hidden="false" customHeight="false" outlineLevel="0" collapsed="false">
      <c r="A310" s="213" t="s">
        <v>582</v>
      </c>
      <c r="B310" s="195" t="s">
        <v>477</v>
      </c>
      <c r="C310" s="196" t="n">
        <v>0</v>
      </c>
      <c r="D310" s="196" t="n">
        <v>0</v>
      </c>
      <c r="E310" s="196" t="n">
        <v>0</v>
      </c>
      <c r="F310" s="196" t="n">
        <v>0</v>
      </c>
      <c r="G310" s="196" t="n">
        <v>0</v>
      </c>
      <c r="H310" s="196" t="n">
        <v>0</v>
      </c>
      <c r="I310" s="197" t="n">
        <v>0</v>
      </c>
    </row>
    <row r="311" customFormat="false" ht="15" hidden="false" customHeight="false" outlineLevel="0" collapsed="false">
      <c r="A311" s="213" t="s">
        <v>583</v>
      </c>
      <c r="B311" s="195" t="s">
        <v>477</v>
      </c>
      <c r="C311" s="196" t="n">
        <v>0</v>
      </c>
      <c r="D311" s="196" t="n">
        <v>0</v>
      </c>
      <c r="E311" s="196" t="n">
        <v>0</v>
      </c>
      <c r="F311" s="196" t="n">
        <v>0</v>
      </c>
      <c r="G311" s="196" t="n">
        <v>0</v>
      </c>
      <c r="H311" s="196" t="n">
        <v>0</v>
      </c>
      <c r="I311" s="197" t="n">
        <v>0</v>
      </c>
    </row>
    <row r="312" customFormat="false" ht="15" hidden="false" customHeight="false" outlineLevel="0" collapsed="false">
      <c r="A312" s="213" t="s">
        <v>584</v>
      </c>
      <c r="B312" s="195" t="s">
        <v>477</v>
      </c>
      <c r="C312" s="196" t="n">
        <v>0</v>
      </c>
      <c r="D312" s="196" t="n">
        <v>0</v>
      </c>
      <c r="E312" s="196" t="n">
        <v>0</v>
      </c>
      <c r="F312" s="196" t="n">
        <v>0</v>
      </c>
      <c r="G312" s="196" t="n">
        <v>0</v>
      </c>
      <c r="H312" s="196" t="n">
        <v>0</v>
      </c>
      <c r="I312" s="197" t="n">
        <v>0</v>
      </c>
    </row>
    <row r="313" customFormat="false" ht="15" hidden="false" customHeight="false" outlineLevel="0" collapsed="false">
      <c r="A313" s="213" t="s">
        <v>585</v>
      </c>
      <c r="B313" s="195" t="s">
        <v>477</v>
      </c>
      <c r="C313" s="196" t="n">
        <v>0</v>
      </c>
      <c r="D313" s="196" t="n">
        <v>0</v>
      </c>
      <c r="E313" s="196" t="n">
        <v>0</v>
      </c>
      <c r="F313" s="196" t="n">
        <v>0</v>
      </c>
      <c r="G313" s="196" t="n">
        <v>0</v>
      </c>
      <c r="H313" s="196" t="n">
        <v>0</v>
      </c>
      <c r="I313" s="197" t="n">
        <v>0</v>
      </c>
    </row>
    <row r="314" customFormat="false" ht="15" hidden="false" customHeight="false" outlineLevel="0" collapsed="false">
      <c r="A314" s="213" t="s">
        <v>586</v>
      </c>
      <c r="B314" s="195" t="s">
        <v>477</v>
      </c>
      <c r="C314" s="196" t="n">
        <v>0</v>
      </c>
      <c r="D314" s="196" t="n">
        <v>0</v>
      </c>
      <c r="E314" s="196" t="n">
        <v>0</v>
      </c>
      <c r="F314" s="196" t="n">
        <v>0</v>
      </c>
      <c r="G314" s="196" t="n">
        <v>0</v>
      </c>
      <c r="H314" s="196" t="n">
        <v>0</v>
      </c>
      <c r="I314" s="197" t="n">
        <v>0</v>
      </c>
    </row>
    <row r="315" customFormat="false" ht="15" hidden="false" customHeight="false" outlineLevel="0" collapsed="false">
      <c r="A315" s="213" t="s">
        <v>587</v>
      </c>
      <c r="B315" s="195" t="s">
        <v>477</v>
      </c>
      <c r="C315" s="196" t="n">
        <v>0</v>
      </c>
      <c r="D315" s="196" t="n">
        <v>0</v>
      </c>
      <c r="E315" s="196" t="n">
        <v>0</v>
      </c>
      <c r="F315" s="196" t="n">
        <v>0</v>
      </c>
      <c r="G315" s="196" t="n">
        <v>0</v>
      </c>
      <c r="H315" s="196" t="n">
        <v>0</v>
      </c>
      <c r="I315" s="197" t="n">
        <v>0</v>
      </c>
    </row>
    <row r="316" customFormat="false" ht="15" hidden="false" customHeight="false" outlineLevel="0" collapsed="false">
      <c r="A316" s="213" t="s">
        <v>588</v>
      </c>
      <c r="B316" s="195" t="s">
        <v>477</v>
      </c>
      <c r="C316" s="196" t="n">
        <v>0</v>
      </c>
      <c r="D316" s="196" t="n">
        <v>0</v>
      </c>
      <c r="E316" s="196" t="n">
        <v>0</v>
      </c>
      <c r="F316" s="196" t="n">
        <v>0</v>
      </c>
      <c r="G316" s="196" t="n">
        <v>0</v>
      </c>
      <c r="H316" s="196" t="n">
        <v>0</v>
      </c>
      <c r="I316" s="197" t="n">
        <v>0</v>
      </c>
    </row>
    <row r="317" customFormat="false" ht="15" hidden="false" customHeight="false" outlineLevel="0" collapsed="false">
      <c r="A317" s="361" t="s">
        <v>614</v>
      </c>
      <c r="B317" s="204"/>
      <c r="C317" s="204"/>
      <c r="D317" s="204"/>
      <c r="E317" s="204"/>
      <c r="F317" s="204"/>
      <c r="G317" s="204"/>
      <c r="H317" s="362"/>
      <c r="I317" s="204"/>
      <c r="J317" s="356"/>
    </row>
    <row r="318" customFormat="false" ht="15" hidden="false" customHeight="false" outlineLevel="0" collapsed="false">
      <c r="A318" s="213" t="s">
        <v>539</v>
      </c>
      <c r="B318" s="195" t="s">
        <v>11</v>
      </c>
      <c r="C318" s="196" t="n">
        <v>0</v>
      </c>
      <c r="D318" s="196" t="n">
        <v>0</v>
      </c>
      <c r="E318" s="196" t="n">
        <v>0</v>
      </c>
      <c r="F318" s="196" t="n">
        <v>0</v>
      </c>
      <c r="G318" s="196" t="n">
        <v>0</v>
      </c>
      <c r="H318" s="196" t="n">
        <v>0</v>
      </c>
      <c r="I318" s="196" t="n">
        <v>0</v>
      </c>
    </row>
    <row r="319" customFormat="false" ht="15" hidden="false" customHeight="false" outlineLevel="0" collapsed="false">
      <c r="A319" s="213" t="s">
        <v>542</v>
      </c>
      <c r="B319" s="195" t="s">
        <v>11</v>
      </c>
      <c r="C319" s="196" t="n">
        <v>0</v>
      </c>
      <c r="D319" s="196" t="n">
        <v>0</v>
      </c>
      <c r="E319" s="196" t="n">
        <v>0</v>
      </c>
      <c r="F319" s="196" t="n">
        <v>0</v>
      </c>
      <c r="G319" s="196" t="n">
        <v>0</v>
      </c>
      <c r="H319" s="196" t="n">
        <v>0</v>
      </c>
      <c r="I319" s="196" t="n">
        <v>0</v>
      </c>
      <c r="J319" s="356"/>
    </row>
    <row r="320" customFormat="false" ht="15" hidden="false" customHeight="false" outlineLevel="0" collapsed="false">
      <c r="A320" s="213" t="s">
        <v>543</v>
      </c>
      <c r="B320" s="195" t="s">
        <v>11</v>
      </c>
      <c r="C320" s="196" t="n">
        <v>0</v>
      </c>
      <c r="D320" s="196" t="n">
        <v>0</v>
      </c>
      <c r="E320" s="196" t="n">
        <v>0</v>
      </c>
      <c r="F320" s="196" t="n">
        <v>0</v>
      </c>
      <c r="G320" s="196" t="n">
        <v>0</v>
      </c>
      <c r="H320" s="196" t="n">
        <v>0</v>
      </c>
      <c r="I320" s="196" t="n">
        <v>0</v>
      </c>
      <c r="J320" s="356"/>
    </row>
    <row r="321" customFormat="false" ht="15" hidden="false" customHeight="false" outlineLevel="0" collapsed="false">
      <c r="A321" s="213" t="s">
        <v>544</v>
      </c>
      <c r="B321" s="195" t="s">
        <v>11</v>
      </c>
      <c r="C321" s="196" t="n">
        <v>0</v>
      </c>
      <c r="D321" s="196" t="n">
        <v>0</v>
      </c>
      <c r="E321" s="196" t="n">
        <v>0</v>
      </c>
      <c r="F321" s="196" t="n">
        <v>0</v>
      </c>
      <c r="G321" s="196" t="n">
        <v>0</v>
      </c>
      <c r="H321" s="196" t="n">
        <v>0</v>
      </c>
      <c r="I321" s="196" t="n">
        <v>0</v>
      </c>
      <c r="J321" s="356"/>
    </row>
    <row r="322" customFormat="false" ht="15" hidden="false" customHeight="false" outlineLevel="0" collapsed="false">
      <c r="A322" s="213" t="s">
        <v>545</v>
      </c>
      <c r="B322" s="195" t="s">
        <v>11</v>
      </c>
      <c r="C322" s="196" t="n">
        <v>0</v>
      </c>
      <c r="D322" s="196" t="n">
        <v>0</v>
      </c>
      <c r="E322" s="196" t="n">
        <v>0</v>
      </c>
      <c r="F322" s="196" t="n">
        <v>0</v>
      </c>
      <c r="G322" s="196" t="n">
        <v>0</v>
      </c>
      <c r="H322" s="196" t="n">
        <v>0</v>
      </c>
      <c r="I322" s="196" t="n">
        <v>0</v>
      </c>
      <c r="J322" s="356"/>
    </row>
    <row r="323" customFormat="false" ht="15" hidden="false" customHeight="false" outlineLevel="0" collapsed="false">
      <c r="A323" s="213" t="s">
        <v>546</v>
      </c>
      <c r="B323" s="195" t="s">
        <v>11</v>
      </c>
      <c r="C323" s="196" t="n">
        <v>0</v>
      </c>
      <c r="D323" s="196" t="n">
        <v>0</v>
      </c>
      <c r="E323" s="196" t="n">
        <v>0</v>
      </c>
      <c r="F323" s="196" t="n">
        <v>0</v>
      </c>
      <c r="G323" s="196" t="n">
        <v>0</v>
      </c>
      <c r="H323" s="196" t="n">
        <v>0</v>
      </c>
      <c r="I323" s="196" t="n">
        <v>0</v>
      </c>
      <c r="J323" s="356"/>
    </row>
    <row r="324" customFormat="false" ht="15" hidden="false" customHeight="false" outlineLevel="0" collapsed="false">
      <c r="A324" s="213" t="s">
        <v>547</v>
      </c>
      <c r="B324" s="195" t="s">
        <v>11</v>
      </c>
      <c r="C324" s="196" t="n">
        <v>0</v>
      </c>
      <c r="D324" s="196" t="n">
        <v>0</v>
      </c>
      <c r="E324" s="196" t="n">
        <v>0</v>
      </c>
      <c r="F324" s="196" t="n">
        <v>0</v>
      </c>
      <c r="G324" s="196" t="n">
        <v>0</v>
      </c>
      <c r="H324" s="196" t="n">
        <v>0</v>
      </c>
      <c r="I324" s="196" t="n">
        <v>0</v>
      </c>
      <c r="J324" s="356"/>
    </row>
    <row r="325" customFormat="false" ht="15" hidden="false" customHeight="false" outlineLevel="0" collapsed="false">
      <c r="A325" s="213" t="s">
        <v>548</v>
      </c>
      <c r="B325" s="195" t="s">
        <v>11</v>
      </c>
      <c r="C325" s="196" t="n">
        <v>0</v>
      </c>
      <c r="D325" s="196" t="n">
        <v>0</v>
      </c>
      <c r="E325" s="196" t="n">
        <v>0</v>
      </c>
      <c r="F325" s="196" t="n">
        <v>0</v>
      </c>
      <c r="G325" s="196" t="n">
        <v>0</v>
      </c>
      <c r="H325" s="196" t="n">
        <v>0</v>
      </c>
      <c r="I325" s="196" t="n">
        <v>0</v>
      </c>
      <c r="J325" s="356"/>
    </row>
    <row r="326" customFormat="false" ht="15" hidden="false" customHeight="false" outlineLevel="0" collapsed="false">
      <c r="A326" s="213" t="s">
        <v>332</v>
      </c>
      <c r="B326" s="195" t="s">
        <v>11</v>
      </c>
      <c r="C326" s="196" t="n">
        <v>0</v>
      </c>
      <c r="D326" s="196" t="n">
        <v>0</v>
      </c>
      <c r="E326" s="196" t="n">
        <v>0</v>
      </c>
      <c r="F326" s="196" t="n">
        <v>0</v>
      </c>
      <c r="G326" s="196" t="n">
        <v>0</v>
      </c>
      <c r="H326" s="196" t="n">
        <v>0</v>
      </c>
      <c r="I326" s="196" t="n">
        <v>0</v>
      </c>
      <c r="J326" s="356"/>
    </row>
    <row r="327" customFormat="false" ht="15" hidden="false" customHeight="false" outlineLevel="0" collapsed="false">
      <c r="A327" s="213" t="s">
        <v>347</v>
      </c>
      <c r="B327" s="195" t="s">
        <v>11</v>
      </c>
      <c r="C327" s="196" t="n">
        <v>0</v>
      </c>
      <c r="D327" s="196" t="n">
        <v>0</v>
      </c>
      <c r="E327" s="196" t="n">
        <v>0</v>
      </c>
      <c r="F327" s="196" t="n">
        <v>0</v>
      </c>
      <c r="G327" s="196" t="n">
        <v>0</v>
      </c>
      <c r="H327" s="196" t="n">
        <v>0</v>
      </c>
      <c r="I327" s="196" t="n">
        <v>0</v>
      </c>
      <c r="J327" s="356"/>
    </row>
    <row r="328" customFormat="false" ht="15" hidden="false" customHeight="false" outlineLevel="0" collapsed="false">
      <c r="A328" s="213" t="s">
        <v>549</v>
      </c>
      <c r="B328" s="195" t="s">
        <v>11</v>
      </c>
      <c r="C328" s="196" t="n">
        <v>0</v>
      </c>
      <c r="D328" s="196" t="n">
        <v>0</v>
      </c>
      <c r="E328" s="196" t="n">
        <v>0</v>
      </c>
      <c r="F328" s="196" t="n">
        <v>0</v>
      </c>
      <c r="G328" s="196" t="n">
        <v>0</v>
      </c>
      <c r="H328" s="196" t="n">
        <v>0</v>
      </c>
      <c r="I328" s="196" t="n">
        <v>0</v>
      </c>
      <c r="J328" s="356"/>
    </row>
    <row r="329" customFormat="false" ht="15" hidden="false" customHeight="false" outlineLevel="0" collapsed="false">
      <c r="A329" s="213" t="s">
        <v>550</v>
      </c>
      <c r="B329" s="195" t="s">
        <v>11</v>
      </c>
      <c r="C329" s="196" t="n">
        <v>0</v>
      </c>
      <c r="D329" s="196" t="n">
        <v>0</v>
      </c>
      <c r="E329" s="196" t="n">
        <v>0</v>
      </c>
      <c r="F329" s="196" t="n">
        <v>0</v>
      </c>
      <c r="G329" s="196" t="n">
        <v>0</v>
      </c>
      <c r="H329" s="196" t="n">
        <v>0</v>
      </c>
      <c r="I329" s="196" t="n">
        <v>0</v>
      </c>
      <c r="J329" s="356"/>
    </row>
    <row r="330" customFormat="false" ht="15" hidden="false" customHeight="false" outlineLevel="0" collapsed="false">
      <c r="A330" s="213" t="s">
        <v>551</v>
      </c>
      <c r="B330" s="195" t="s">
        <v>11</v>
      </c>
      <c r="C330" s="196" t="n">
        <v>0</v>
      </c>
      <c r="D330" s="196" t="n">
        <v>0</v>
      </c>
      <c r="E330" s="196" t="n">
        <v>0</v>
      </c>
      <c r="F330" s="196" t="n">
        <v>0</v>
      </c>
      <c r="G330" s="196" t="n">
        <v>0</v>
      </c>
      <c r="H330" s="196" t="n">
        <v>0</v>
      </c>
      <c r="I330" s="196" t="n">
        <v>0</v>
      </c>
      <c r="J330" s="356"/>
    </row>
    <row r="331" customFormat="false" ht="15" hidden="false" customHeight="false" outlineLevel="0" collapsed="false">
      <c r="A331" s="213" t="s">
        <v>552</v>
      </c>
      <c r="B331" s="195" t="s">
        <v>11</v>
      </c>
      <c r="C331" s="196" t="n">
        <v>0</v>
      </c>
      <c r="D331" s="196" t="n">
        <v>0</v>
      </c>
      <c r="E331" s="196" t="n">
        <v>0</v>
      </c>
      <c r="F331" s="196" t="n">
        <v>0</v>
      </c>
      <c r="G331" s="196" t="n">
        <v>0</v>
      </c>
      <c r="H331" s="196" t="n">
        <v>0</v>
      </c>
      <c r="I331" s="196" t="n">
        <v>0</v>
      </c>
      <c r="J331" s="356"/>
    </row>
    <row r="332" customFormat="false" ht="15" hidden="false" customHeight="false" outlineLevel="0" collapsed="false">
      <c r="A332" s="213" t="s">
        <v>553</v>
      </c>
      <c r="B332" s="195" t="s">
        <v>11</v>
      </c>
      <c r="C332" s="196" t="n">
        <v>0</v>
      </c>
      <c r="D332" s="196" t="n">
        <v>0</v>
      </c>
      <c r="E332" s="196" t="n">
        <v>0</v>
      </c>
      <c r="F332" s="196" t="n">
        <v>0</v>
      </c>
      <c r="G332" s="196" t="n">
        <v>0</v>
      </c>
      <c r="H332" s="196" t="n">
        <v>0</v>
      </c>
      <c r="I332" s="196" t="n">
        <v>0</v>
      </c>
      <c r="J332" s="356"/>
    </row>
    <row r="333" customFormat="false" ht="15" hidden="false" customHeight="false" outlineLevel="0" collapsed="false">
      <c r="A333" s="213" t="s">
        <v>554</v>
      </c>
      <c r="B333" s="195" t="s">
        <v>11</v>
      </c>
      <c r="C333" s="196" t="n">
        <v>0</v>
      </c>
      <c r="D333" s="196" t="n">
        <v>0</v>
      </c>
      <c r="E333" s="196" t="n">
        <v>0</v>
      </c>
      <c r="F333" s="196" t="n">
        <v>0</v>
      </c>
      <c r="G333" s="196" t="n">
        <v>0</v>
      </c>
      <c r="H333" s="196" t="n">
        <v>0</v>
      </c>
      <c r="I333" s="196" t="n">
        <v>0</v>
      </c>
      <c r="J333" s="356"/>
    </row>
    <row r="334" customFormat="false" ht="15" hidden="false" customHeight="false" outlineLevel="0" collapsed="false">
      <c r="A334" s="213" t="s">
        <v>555</v>
      </c>
      <c r="B334" s="195" t="s">
        <v>11</v>
      </c>
      <c r="C334" s="196" t="n">
        <v>0</v>
      </c>
      <c r="D334" s="196" t="n">
        <v>0</v>
      </c>
      <c r="E334" s="196" t="n">
        <v>0</v>
      </c>
      <c r="F334" s="196" t="n">
        <v>0</v>
      </c>
      <c r="G334" s="196" t="n">
        <v>0</v>
      </c>
      <c r="H334" s="196" t="n">
        <v>0</v>
      </c>
      <c r="I334" s="196" t="n">
        <v>0</v>
      </c>
      <c r="J334" s="356"/>
    </row>
    <row r="335" customFormat="false" ht="15" hidden="false" customHeight="false" outlineLevel="0" collapsed="false">
      <c r="A335" s="213" t="s">
        <v>556</v>
      </c>
      <c r="B335" s="195" t="s">
        <v>11</v>
      </c>
      <c r="C335" s="196" t="n">
        <v>0</v>
      </c>
      <c r="D335" s="196" t="n">
        <v>0</v>
      </c>
      <c r="E335" s="196" t="n">
        <v>0</v>
      </c>
      <c r="F335" s="196" t="n">
        <v>0</v>
      </c>
      <c r="G335" s="196" t="n">
        <v>0</v>
      </c>
      <c r="H335" s="196" t="n">
        <v>0</v>
      </c>
      <c r="I335" s="196" t="n">
        <v>0</v>
      </c>
      <c r="J335" s="356"/>
    </row>
    <row r="336" customFormat="false" ht="15" hidden="false" customHeight="false" outlineLevel="0" collapsed="false">
      <c r="A336" s="213" t="s">
        <v>557</v>
      </c>
      <c r="B336" s="195" t="s">
        <v>11</v>
      </c>
      <c r="C336" s="196" t="n">
        <v>0</v>
      </c>
      <c r="D336" s="196" t="n">
        <v>0</v>
      </c>
      <c r="E336" s="196" t="n">
        <v>0</v>
      </c>
      <c r="F336" s="196" t="n">
        <v>0</v>
      </c>
      <c r="G336" s="196" t="n">
        <v>0</v>
      </c>
      <c r="H336" s="196" t="n">
        <v>0</v>
      </c>
      <c r="I336" s="196" t="n">
        <v>0</v>
      </c>
      <c r="J336" s="356"/>
    </row>
    <row r="337" customFormat="false" ht="15" hidden="false" customHeight="false" outlineLevel="0" collapsed="false">
      <c r="A337" s="213" t="s">
        <v>558</v>
      </c>
      <c r="B337" s="195" t="s">
        <v>11</v>
      </c>
      <c r="C337" s="196" t="n">
        <v>0</v>
      </c>
      <c r="D337" s="196" t="n">
        <v>0</v>
      </c>
      <c r="E337" s="196" t="n">
        <v>0</v>
      </c>
      <c r="F337" s="196" t="n">
        <v>0</v>
      </c>
      <c r="G337" s="196" t="n">
        <v>0</v>
      </c>
      <c r="H337" s="196" t="n">
        <v>0</v>
      </c>
      <c r="I337" s="196" t="n">
        <v>0</v>
      </c>
      <c r="J337" s="356"/>
    </row>
    <row r="338" customFormat="false" ht="15" hidden="false" customHeight="false" outlineLevel="0" collapsed="false">
      <c r="A338" s="213" t="s">
        <v>559</v>
      </c>
      <c r="B338" s="195" t="s">
        <v>11</v>
      </c>
      <c r="C338" s="196" t="n">
        <v>0</v>
      </c>
      <c r="D338" s="196" t="n">
        <v>0</v>
      </c>
      <c r="E338" s="196" t="n">
        <v>0</v>
      </c>
      <c r="F338" s="196" t="n">
        <v>0</v>
      </c>
      <c r="G338" s="196" t="n">
        <v>0</v>
      </c>
      <c r="H338" s="196" t="n">
        <v>0</v>
      </c>
      <c r="I338" s="196" t="n">
        <v>0</v>
      </c>
      <c r="J338" s="356"/>
    </row>
    <row r="339" customFormat="false" ht="15" hidden="false" customHeight="false" outlineLevel="0" collapsed="false">
      <c r="A339" s="213" t="s">
        <v>560</v>
      </c>
      <c r="B339" s="195" t="s">
        <v>11</v>
      </c>
      <c r="C339" s="196" t="n">
        <v>0</v>
      </c>
      <c r="D339" s="196" t="n">
        <v>0</v>
      </c>
      <c r="E339" s="196" t="n">
        <v>0</v>
      </c>
      <c r="F339" s="196" t="n">
        <v>0</v>
      </c>
      <c r="G339" s="196" t="n">
        <v>0</v>
      </c>
      <c r="H339" s="196" t="n">
        <v>0</v>
      </c>
      <c r="I339" s="196" t="n">
        <v>0</v>
      </c>
      <c r="J339" s="356"/>
    </row>
    <row r="340" customFormat="false" ht="15" hidden="false" customHeight="false" outlineLevel="0" collapsed="false">
      <c r="A340" s="213" t="s">
        <v>561</v>
      </c>
      <c r="B340" s="195" t="s">
        <v>11</v>
      </c>
      <c r="C340" s="196" t="n">
        <v>0</v>
      </c>
      <c r="D340" s="196" t="n">
        <v>0</v>
      </c>
      <c r="E340" s="196" t="n">
        <v>0</v>
      </c>
      <c r="F340" s="196" t="n">
        <v>0</v>
      </c>
      <c r="G340" s="196" t="n">
        <v>0</v>
      </c>
      <c r="H340" s="196" t="n">
        <v>0</v>
      </c>
      <c r="I340" s="196" t="n">
        <v>0</v>
      </c>
      <c r="J340" s="356"/>
    </row>
    <row r="341" customFormat="false" ht="15" hidden="false" customHeight="false" outlineLevel="0" collapsed="false">
      <c r="A341" s="213" t="s">
        <v>562</v>
      </c>
      <c r="B341" s="195" t="s">
        <v>11</v>
      </c>
      <c r="C341" s="196" t="n">
        <v>0</v>
      </c>
      <c r="D341" s="196" t="n">
        <v>0</v>
      </c>
      <c r="E341" s="196" t="n">
        <v>0</v>
      </c>
      <c r="F341" s="196" t="n">
        <v>0</v>
      </c>
      <c r="G341" s="196" t="n">
        <v>0</v>
      </c>
      <c r="H341" s="196" t="n">
        <v>0</v>
      </c>
      <c r="I341" s="196" t="n">
        <v>0</v>
      </c>
      <c r="J341" s="356"/>
    </row>
    <row r="342" customFormat="false" ht="15" hidden="false" customHeight="false" outlineLevel="0" collapsed="false">
      <c r="A342" s="213" t="s">
        <v>563</v>
      </c>
      <c r="B342" s="195" t="s">
        <v>11</v>
      </c>
      <c r="C342" s="196" t="n">
        <v>0</v>
      </c>
      <c r="D342" s="196" t="n">
        <v>0</v>
      </c>
      <c r="E342" s="196" t="n">
        <v>0</v>
      </c>
      <c r="F342" s="196" t="n">
        <v>0</v>
      </c>
      <c r="G342" s="196" t="n">
        <v>0</v>
      </c>
      <c r="H342" s="196" t="n">
        <v>0</v>
      </c>
      <c r="I342" s="196" t="n">
        <v>0</v>
      </c>
      <c r="J342" s="356"/>
    </row>
    <row r="343" customFormat="false" ht="15" hidden="false" customHeight="false" outlineLevel="0" collapsed="false">
      <c r="A343" s="213" t="s">
        <v>564</v>
      </c>
      <c r="B343" s="195" t="s">
        <v>11</v>
      </c>
      <c r="C343" s="196" t="n">
        <v>0</v>
      </c>
      <c r="D343" s="196" t="n">
        <v>0</v>
      </c>
      <c r="E343" s="196" t="n">
        <v>0</v>
      </c>
      <c r="F343" s="196" t="n">
        <v>0</v>
      </c>
      <c r="G343" s="196" t="n">
        <v>0</v>
      </c>
      <c r="H343" s="196" t="n">
        <v>0</v>
      </c>
      <c r="I343" s="196" t="n">
        <v>0</v>
      </c>
      <c r="J343" s="356"/>
    </row>
    <row r="344" customFormat="false" ht="15" hidden="false" customHeight="false" outlineLevel="0" collapsed="false">
      <c r="A344" s="213" t="s">
        <v>565</v>
      </c>
      <c r="B344" s="195" t="s">
        <v>11</v>
      </c>
      <c r="C344" s="196" t="n">
        <v>0</v>
      </c>
      <c r="D344" s="196" t="n">
        <v>0</v>
      </c>
      <c r="E344" s="196" t="n">
        <v>0</v>
      </c>
      <c r="F344" s="196" t="n">
        <v>0</v>
      </c>
      <c r="G344" s="196" t="n">
        <v>0</v>
      </c>
      <c r="H344" s="196" t="n">
        <v>0</v>
      </c>
      <c r="I344" s="196" t="n">
        <v>0</v>
      </c>
      <c r="J344" s="356"/>
    </row>
    <row r="345" customFormat="false" ht="15" hidden="false" customHeight="false" outlineLevel="0" collapsed="false">
      <c r="A345" s="213" t="s">
        <v>566</v>
      </c>
      <c r="B345" s="195" t="s">
        <v>11</v>
      </c>
      <c r="C345" s="196" t="n">
        <v>0</v>
      </c>
      <c r="D345" s="196" t="n">
        <v>0</v>
      </c>
      <c r="E345" s="196" t="n">
        <v>0</v>
      </c>
      <c r="F345" s="196" t="n">
        <v>0</v>
      </c>
      <c r="G345" s="196" t="n">
        <v>0</v>
      </c>
      <c r="H345" s="196" t="n">
        <v>0</v>
      </c>
      <c r="I345" s="196" t="n">
        <v>0</v>
      </c>
      <c r="J345" s="356"/>
    </row>
    <row r="346" customFormat="false" ht="15" hidden="false" customHeight="false" outlineLevel="0" collapsed="false">
      <c r="A346" s="213" t="s">
        <v>567</v>
      </c>
      <c r="B346" s="195" t="s">
        <v>11</v>
      </c>
      <c r="C346" s="196" t="n">
        <v>0</v>
      </c>
      <c r="D346" s="196" t="n">
        <v>0</v>
      </c>
      <c r="E346" s="196" t="n">
        <v>0</v>
      </c>
      <c r="F346" s="196" t="n">
        <v>0</v>
      </c>
      <c r="G346" s="196" t="n">
        <v>0</v>
      </c>
      <c r="H346" s="196" t="n">
        <v>0</v>
      </c>
      <c r="I346" s="196" t="n">
        <v>0</v>
      </c>
      <c r="J346" s="356"/>
    </row>
    <row r="347" customFormat="false" ht="15" hidden="false" customHeight="false" outlineLevel="0" collapsed="false">
      <c r="A347" s="213" t="s">
        <v>568</v>
      </c>
      <c r="B347" s="195" t="s">
        <v>11</v>
      </c>
      <c r="C347" s="196" t="n">
        <v>0</v>
      </c>
      <c r="D347" s="196" t="n">
        <v>0</v>
      </c>
      <c r="E347" s="196" t="n">
        <v>0</v>
      </c>
      <c r="F347" s="196" t="n">
        <v>0</v>
      </c>
      <c r="G347" s="196" t="n">
        <v>0</v>
      </c>
      <c r="H347" s="196" t="n">
        <v>0</v>
      </c>
      <c r="I347" s="196" t="n">
        <v>0</v>
      </c>
      <c r="J347" s="356"/>
    </row>
    <row r="348" customFormat="false" ht="15" hidden="false" customHeight="false" outlineLevel="0" collapsed="false">
      <c r="A348" s="213" t="s">
        <v>569</v>
      </c>
      <c r="B348" s="195" t="s">
        <v>11</v>
      </c>
      <c r="C348" s="196" t="n">
        <v>0</v>
      </c>
      <c r="D348" s="196" t="n">
        <v>0</v>
      </c>
      <c r="E348" s="196" t="n">
        <v>0</v>
      </c>
      <c r="F348" s="196" t="n">
        <v>0</v>
      </c>
      <c r="G348" s="196" t="n">
        <v>0</v>
      </c>
      <c r="H348" s="196" t="n">
        <v>0</v>
      </c>
      <c r="I348" s="196" t="n">
        <v>0</v>
      </c>
      <c r="J348" s="356"/>
    </row>
    <row r="349" customFormat="false" ht="15" hidden="false" customHeight="false" outlineLevel="0" collapsed="false">
      <c r="A349" s="213" t="s">
        <v>570</v>
      </c>
      <c r="B349" s="195" t="s">
        <v>11</v>
      </c>
      <c r="C349" s="196" t="n">
        <v>0</v>
      </c>
      <c r="D349" s="196" t="n">
        <v>0</v>
      </c>
      <c r="E349" s="196" t="n">
        <v>0</v>
      </c>
      <c r="F349" s="196" t="n">
        <v>0</v>
      </c>
      <c r="G349" s="196" t="n">
        <v>0</v>
      </c>
      <c r="H349" s="196" t="n">
        <v>0</v>
      </c>
      <c r="I349" s="196" t="n">
        <v>0</v>
      </c>
      <c r="J349" s="356"/>
    </row>
    <row r="350" customFormat="false" ht="15" hidden="false" customHeight="false" outlineLevel="0" collapsed="false">
      <c r="A350" s="213" t="s">
        <v>571</v>
      </c>
      <c r="B350" s="195" t="s">
        <v>11</v>
      </c>
      <c r="C350" s="196" t="n">
        <v>0</v>
      </c>
      <c r="D350" s="196" t="n">
        <v>0</v>
      </c>
      <c r="E350" s="196" t="n">
        <v>0</v>
      </c>
      <c r="F350" s="196" t="n">
        <v>0</v>
      </c>
      <c r="G350" s="196" t="n">
        <v>0</v>
      </c>
      <c r="H350" s="196" t="n">
        <v>0</v>
      </c>
      <c r="I350" s="196" t="n">
        <v>0</v>
      </c>
      <c r="J350" s="356"/>
    </row>
    <row r="351" customFormat="false" ht="15" hidden="false" customHeight="false" outlineLevel="0" collapsed="false">
      <c r="A351" s="213" t="s">
        <v>572</v>
      </c>
      <c r="B351" s="195" t="s">
        <v>11</v>
      </c>
      <c r="C351" s="196" t="n">
        <v>0</v>
      </c>
      <c r="D351" s="196" t="n">
        <v>0</v>
      </c>
      <c r="E351" s="196" t="n">
        <v>0</v>
      </c>
      <c r="F351" s="196" t="n">
        <v>0</v>
      </c>
      <c r="G351" s="196" t="n">
        <v>0</v>
      </c>
      <c r="H351" s="196" t="n">
        <v>0</v>
      </c>
      <c r="I351" s="196" t="n">
        <v>0</v>
      </c>
      <c r="J351" s="356"/>
    </row>
    <row r="352" customFormat="false" ht="15" hidden="false" customHeight="false" outlineLevel="0" collapsed="false">
      <c r="A352" s="213" t="s">
        <v>573</v>
      </c>
      <c r="B352" s="195" t="s">
        <v>11</v>
      </c>
      <c r="C352" s="196" t="n">
        <v>0</v>
      </c>
      <c r="D352" s="196" t="n">
        <v>0</v>
      </c>
      <c r="E352" s="196" t="n">
        <v>0</v>
      </c>
      <c r="F352" s="196" t="n">
        <v>0</v>
      </c>
      <c r="G352" s="196" t="n">
        <v>0</v>
      </c>
      <c r="H352" s="196" t="n">
        <v>0</v>
      </c>
      <c r="I352" s="196" t="n">
        <v>0</v>
      </c>
      <c r="J352" s="356"/>
    </row>
    <row r="353" customFormat="false" ht="15" hidden="false" customHeight="false" outlineLevel="0" collapsed="false">
      <c r="A353" s="213" t="s">
        <v>574</v>
      </c>
      <c r="B353" s="195" t="s">
        <v>11</v>
      </c>
      <c r="C353" s="196" t="n">
        <v>0</v>
      </c>
      <c r="D353" s="196" t="n">
        <v>0</v>
      </c>
      <c r="E353" s="196" t="n">
        <v>0</v>
      </c>
      <c r="F353" s="196" t="n">
        <v>0</v>
      </c>
      <c r="G353" s="196" t="n">
        <v>0</v>
      </c>
      <c r="H353" s="196" t="n">
        <v>0</v>
      </c>
      <c r="I353" s="196" t="n">
        <v>0</v>
      </c>
      <c r="J353" s="356"/>
    </row>
    <row r="354" customFormat="false" ht="15" hidden="false" customHeight="false" outlineLevel="0" collapsed="false">
      <c r="A354" s="213" t="s">
        <v>575</v>
      </c>
      <c r="B354" s="195" t="s">
        <v>11</v>
      </c>
      <c r="C354" s="196" t="n">
        <v>0</v>
      </c>
      <c r="D354" s="196" t="n">
        <v>0</v>
      </c>
      <c r="E354" s="196" t="n">
        <v>0</v>
      </c>
      <c r="F354" s="196" t="n">
        <v>0</v>
      </c>
      <c r="G354" s="196" t="n">
        <v>0</v>
      </c>
      <c r="H354" s="196" t="n">
        <v>0</v>
      </c>
      <c r="I354" s="196" t="n">
        <v>0</v>
      </c>
      <c r="J354" s="356"/>
    </row>
    <row r="355" customFormat="false" ht="15" hidden="false" customHeight="false" outlineLevel="0" collapsed="false">
      <c r="A355" s="213" t="s">
        <v>576</v>
      </c>
      <c r="B355" s="195" t="s">
        <v>11</v>
      </c>
      <c r="C355" s="196" t="n">
        <v>0</v>
      </c>
      <c r="D355" s="196" t="n">
        <v>0</v>
      </c>
      <c r="E355" s="196" t="n">
        <v>0</v>
      </c>
      <c r="F355" s="196" t="n">
        <v>0</v>
      </c>
      <c r="G355" s="196" t="n">
        <v>0</v>
      </c>
      <c r="H355" s="196" t="n">
        <v>0</v>
      </c>
      <c r="I355" s="196" t="n">
        <v>0</v>
      </c>
      <c r="J355" s="356"/>
    </row>
    <row r="356" customFormat="false" ht="15" hidden="false" customHeight="false" outlineLevel="0" collapsed="false">
      <c r="A356" s="213" t="s">
        <v>577</v>
      </c>
      <c r="B356" s="195" t="s">
        <v>11</v>
      </c>
      <c r="C356" s="196" t="n">
        <v>0</v>
      </c>
      <c r="D356" s="196" t="n">
        <v>0</v>
      </c>
      <c r="E356" s="196" t="n">
        <v>0</v>
      </c>
      <c r="F356" s="196" t="n">
        <v>0</v>
      </c>
      <c r="G356" s="196" t="n">
        <v>0</v>
      </c>
      <c r="H356" s="196" t="n">
        <v>0</v>
      </c>
      <c r="I356" s="196" t="n">
        <v>0</v>
      </c>
      <c r="J356" s="356"/>
    </row>
    <row r="357" customFormat="false" ht="15" hidden="false" customHeight="false" outlineLevel="0" collapsed="false">
      <c r="A357" s="213" t="s">
        <v>578</v>
      </c>
      <c r="B357" s="195" t="s">
        <v>11</v>
      </c>
      <c r="C357" s="196" t="n">
        <v>0</v>
      </c>
      <c r="D357" s="196" t="n">
        <v>0</v>
      </c>
      <c r="E357" s="196" t="n">
        <v>0</v>
      </c>
      <c r="F357" s="196" t="n">
        <v>0</v>
      </c>
      <c r="G357" s="196" t="n">
        <v>0</v>
      </c>
      <c r="H357" s="196" t="n">
        <v>0</v>
      </c>
      <c r="I357" s="196" t="n">
        <v>0</v>
      </c>
      <c r="J357" s="356"/>
    </row>
    <row r="358" customFormat="false" ht="15" hidden="false" customHeight="false" outlineLevel="0" collapsed="false">
      <c r="A358" s="213" t="s">
        <v>579</v>
      </c>
      <c r="B358" s="195" t="s">
        <v>11</v>
      </c>
      <c r="C358" s="196" t="n">
        <v>0</v>
      </c>
      <c r="D358" s="196" t="n">
        <v>0</v>
      </c>
      <c r="E358" s="196" t="n">
        <v>0</v>
      </c>
      <c r="F358" s="196" t="n">
        <v>0</v>
      </c>
      <c r="G358" s="196" t="n">
        <v>0</v>
      </c>
      <c r="H358" s="196" t="n">
        <v>0</v>
      </c>
      <c r="I358" s="196" t="n">
        <v>0</v>
      </c>
      <c r="J358" s="356"/>
    </row>
    <row r="359" customFormat="false" ht="15" hidden="false" customHeight="false" outlineLevel="0" collapsed="false">
      <c r="A359" s="213" t="s">
        <v>580</v>
      </c>
      <c r="B359" s="195" t="s">
        <v>11</v>
      </c>
      <c r="C359" s="196" t="n">
        <v>0</v>
      </c>
      <c r="D359" s="196" t="n">
        <v>0</v>
      </c>
      <c r="E359" s="196" t="n">
        <v>0</v>
      </c>
      <c r="F359" s="196" t="n">
        <v>0</v>
      </c>
      <c r="G359" s="196" t="n">
        <v>0</v>
      </c>
      <c r="H359" s="196" t="n">
        <v>0</v>
      </c>
      <c r="I359" s="196" t="n">
        <v>0</v>
      </c>
      <c r="J359" s="356"/>
    </row>
    <row r="360" customFormat="false" ht="15" hidden="false" customHeight="false" outlineLevel="0" collapsed="false">
      <c r="A360" s="213" t="s">
        <v>581</v>
      </c>
      <c r="B360" s="195" t="s">
        <v>11</v>
      </c>
      <c r="C360" s="196" t="n">
        <v>0</v>
      </c>
      <c r="D360" s="196" t="n">
        <v>0</v>
      </c>
      <c r="E360" s="196" t="n">
        <v>0</v>
      </c>
      <c r="F360" s="196" t="n">
        <v>0</v>
      </c>
      <c r="G360" s="196" t="n">
        <v>0</v>
      </c>
      <c r="H360" s="196" t="n">
        <v>0</v>
      </c>
      <c r="I360" s="196" t="n">
        <v>0</v>
      </c>
      <c r="J360" s="356"/>
    </row>
    <row r="361" customFormat="false" ht="15" hidden="false" customHeight="false" outlineLevel="0" collapsed="false">
      <c r="A361" s="213" t="s">
        <v>582</v>
      </c>
      <c r="B361" s="195" t="s">
        <v>11</v>
      </c>
      <c r="C361" s="196" t="n">
        <v>0</v>
      </c>
      <c r="D361" s="196" t="n">
        <v>0</v>
      </c>
      <c r="E361" s="196" t="n">
        <v>0</v>
      </c>
      <c r="F361" s="196" t="n">
        <v>0</v>
      </c>
      <c r="G361" s="196" t="n">
        <v>0</v>
      </c>
      <c r="H361" s="196" t="n">
        <v>0</v>
      </c>
      <c r="I361" s="196" t="n">
        <v>0</v>
      </c>
      <c r="J361" s="356"/>
    </row>
    <row r="362" customFormat="false" ht="15" hidden="false" customHeight="false" outlineLevel="0" collapsed="false">
      <c r="A362" s="213" t="s">
        <v>583</v>
      </c>
      <c r="B362" s="195" t="s">
        <v>11</v>
      </c>
      <c r="C362" s="196" t="n">
        <v>0</v>
      </c>
      <c r="D362" s="196" t="n">
        <v>0</v>
      </c>
      <c r="E362" s="196" t="n">
        <v>0</v>
      </c>
      <c r="F362" s="196" t="n">
        <v>0</v>
      </c>
      <c r="G362" s="196" t="n">
        <v>0</v>
      </c>
      <c r="H362" s="196" t="n">
        <v>0</v>
      </c>
      <c r="I362" s="196" t="n">
        <v>0</v>
      </c>
      <c r="J362" s="356"/>
    </row>
    <row r="363" customFormat="false" ht="15" hidden="false" customHeight="false" outlineLevel="0" collapsed="false">
      <c r="A363" s="213" t="s">
        <v>584</v>
      </c>
      <c r="B363" s="195" t="s">
        <v>11</v>
      </c>
      <c r="C363" s="196" t="n">
        <v>0</v>
      </c>
      <c r="D363" s="196" t="n">
        <v>0</v>
      </c>
      <c r="E363" s="196" t="n">
        <v>0</v>
      </c>
      <c r="F363" s="196" t="n">
        <v>0</v>
      </c>
      <c r="G363" s="196" t="n">
        <v>0</v>
      </c>
      <c r="H363" s="196" t="n">
        <v>0</v>
      </c>
      <c r="I363" s="196" t="n">
        <v>0</v>
      </c>
      <c r="J363" s="356"/>
    </row>
    <row r="364" customFormat="false" ht="15" hidden="false" customHeight="false" outlineLevel="0" collapsed="false">
      <c r="A364" s="213" t="s">
        <v>585</v>
      </c>
      <c r="B364" s="195" t="s">
        <v>11</v>
      </c>
      <c r="C364" s="196" t="n">
        <v>0</v>
      </c>
      <c r="D364" s="196" t="n">
        <v>0</v>
      </c>
      <c r="E364" s="196" t="n">
        <v>0</v>
      </c>
      <c r="F364" s="196" t="n">
        <v>0</v>
      </c>
      <c r="G364" s="196" t="n">
        <v>0</v>
      </c>
      <c r="H364" s="196" t="n">
        <v>0</v>
      </c>
      <c r="I364" s="196" t="n">
        <v>0</v>
      </c>
      <c r="J364" s="356"/>
    </row>
    <row r="365" customFormat="false" ht="15" hidden="false" customHeight="false" outlineLevel="0" collapsed="false">
      <c r="A365" s="213" t="s">
        <v>586</v>
      </c>
      <c r="B365" s="195" t="s">
        <v>11</v>
      </c>
      <c r="C365" s="196" t="n">
        <v>0</v>
      </c>
      <c r="D365" s="196" t="n">
        <v>0</v>
      </c>
      <c r="E365" s="196" t="n">
        <v>0</v>
      </c>
      <c r="F365" s="196" t="n">
        <v>0</v>
      </c>
      <c r="G365" s="196" t="n">
        <v>0</v>
      </c>
      <c r="H365" s="196" t="n">
        <v>0</v>
      </c>
      <c r="I365" s="196" t="n">
        <v>0</v>
      </c>
      <c r="J365" s="356"/>
    </row>
    <row r="366" customFormat="false" ht="15" hidden="false" customHeight="false" outlineLevel="0" collapsed="false">
      <c r="A366" s="213" t="s">
        <v>587</v>
      </c>
      <c r="B366" s="195" t="s">
        <v>11</v>
      </c>
      <c r="C366" s="196" t="n">
        <v>0</v>
      </c>
      <c r="D366" s="196" t="n">
        <v>0</v>
      </c>
      <c r="E366" s="196" t="n">
        <v>0</v>
      </c>
      <c r="F366" s="196" t="n">
        <v>0</v>
      </c>
      <c r="G366" s="196" t="n">
        <v>0</v>
      </c>
      <c r="H366" s="196" t="n">
        <v>0</v>
      </c>
      <c r="I366" s="196" t="n">
        <v>0</v>
      </c>
      <c r="J366" s="356"/>
    </row>
    <row r="367" customFormat="false" ht="15" hidden="false" customHeight="false" outlineLevel="0" collapsed="false">
      <c r="A367" s="213" t="s">
        <v>588</v>
      </c>
      <c r="B367" s="195" t="s">
        <v>11</v>
      </c>
      <c r="C367" s="196" t="n">
        <v>0</v>
      </c>
      <c r="D367" s="196" t="n">
        <v>0</v>
      </c>
      <c r="E367" s="196" t="n">
        <v>0</v>
      </c>
      <c r="F367" s="196" t="n">
        <v>0</v>
      </c>
      <c r="G367" s="196" t="n">
        <v>0</v>
      </c>
      <c r="H367" s="196" t="n">
        <v>0</v>
      </c>
      <c r="I367" s="196" t="n">
        <v>0</v>
      </c>
      <c r="J367" s="356"/>
    </row>
    <row r="368" customFormat="false" ht="15" hidden="false" customHeight="false" outlineLevel="0" collapsed="false">
      <c r="A368" s="39"/>
    </row>
    <row r="369" customFormat="false" ht="17.35" hidden="false" customHeight="false" outlineLevel="0" collapsed="false">
      <c r="A369" s="212" t="s">
        <v>615</v>
      </c>
      <c r="B369" s="212"/>
      <c r="C369" s="212"/>
      <c r="D369" s="212"/>
      <c r="E369" s="212"/>
      <c r="F369" s="212"/>
      <c r="G369" s="212"/>
      <c r="H369" s="212"/>
      <c r="I369" s="212"/>
    </row>
    <row r="370" customFormat="false" ht="15" hidden="false" customHeight="false" outlineLevel="0" collapsed="false">
      <c r="A370" s="213" t="s">
        <v>616</v>
      </c>
      <c r="B370" s="363" t="s">
        <v>477</v>
      </c>
      <c r="C370" s="196" t="n">
        <v>0</v>
      </c>
      <c r="D370" s="196" t="n">
        <v>0</v>
      </c>
      <c r="E370" s="196" t="n">
        <v>0</v>
      </c>
      <c r="F370" s="196" t="n">
        <v>0</v>
      </c>
      <c r="G370" s="196" t="n">
        <v>0</v>
      </c>
      <c r="H370" s="196" t="n">
        <v>0</v>
      </c>
      <c r="I370" s="196" t="n">
        <v>0</v>
      </c>
    </row>
    <row r="371" customFormat="false" ht="15" hidden="false" customHeight="false" outlineLevel="0" collapsed="false">
      <c r="A371" s="39"/>
    </row>
    <row r="372" customFormat="false" ht="15" hidden="false" customHeight="false" outlineLevel="0" collapsed="false">
      <c r="A372" s="39"/>
    </row>
    <row r="373" customFormat="false" ht="19.3" hidden="false" customHeight="false" outlineLevel="0" collapsed="false">
      <c r="A373" s="364" t="s">
        <v>617</v>
      </c>
      <c r="B373" s="365"/>
      <c r="C373" s="366"/>
    </row>
    <row r="374" customFormat="false" ht="15" hidden="false" customHeight="false" outlineLevel="0" collapsed="false">
      <c r="A374" s="367" t="s">
        <v>412</v>
      </c>
      <c r="B374" s="368" t="s">
        <v>17</v>
      </c>
      <c r="C374" s="369" t="n">
        <v>2050</v>
      </c>
    </row>
    <row r="375" customFormat="false" ht="15" hidden="false" customHeight="false" outlineLevel="0" collapsed="false">
      <c r="A375" s="370" t="s">
        <v>618</v>
      </c>
      <c r="B375" s="371" t="s">
        <v>305</v>
      </c>
      <c r="C375" s="372" t="n">
        <v>0.05</v>
      </c>
    </row>
    <row r="376" customFormat="false" ht="15" hidden="false" customHeight="false" outlineLevel="0" collapsed="false">
      <c r="A376" s="39"/>
    </row>
    <row r="377" customFormat="false" ht="15" hidden="false" customHeight="false" outlineLevel="0" collapsed="false">
      <c r="A377" s="39"/>
    </row>
    <row r="378" customFormat="false" ht="15" hidden="false" customHeight="false" outlineLevel="0" collapsed="false">
      <c r="A378" s="39"/>
    </row>
    <row r="379" customFormat="false" ht="15" hidden="false" customHeight="false" outlineLevel="0" collapsed="false">
      <c r="A379" s="39"/>
    </row>
    <row r="380" customFormat="false" ht="15" hidden="false" customHeight="false" outlineLevel="0" collapsed="false">
      <c r="A380" s="39"/>
    </row>
    <row r="381" customFormat="false" ht="15" hidden="false" customHeight="false" outlineLevel="0" collapsed="false">
      <c r="A381" s="39"/>
    </row>
    <row r="382" customFormat="false" ht="15" hidden="false" customHeight="false" outlineLevel="0" collapsed="false">
      <c r="A382" s="39"/>
    </row>
    <row r="383" customFormat="false" ht="15" hidden="false" customHeight="false" outlineLevel="0" collapsed="false">
      <c r="A383" s="39"/>
    </row>
    <row r="384" customFormat="false" ht="15" hidden="false" customHeight="false" outlineLevel="0" collapsed="false">
      <c r="A384" s="39"/>
    </row>
    <row r="385" customFormat="false" ht="24.45" hidden="false" customHeight="false" outlineLevel="0" collapsed="false">
      <c r="A385" s="189" t="s">
        <v>619</v>
      </c>
    </row>
    <row r="386" customFormat="false" ht="17.35" hidden="false" customHeight="false" outlineLevel="0" collapsed="false">
      <c r="A386" s="212" t="s">
        <v>620</v>
      </c>
      <c r="B386" s="212"/>
      <c r="C386" s="212"/>
      <c r="D386" s="212"/>
      <c r="E386" s="212"/>
      <c r="F386" s="212"/>
      <c r="G386" s="212"/>
      <c r="H386" s="212"/>
      <c r="I386" s="212"/>
    </row>
    <row r="387" customFormat="false" ht="15" hidden="false" customHeight="false" outlineLevel="0" collapsed="false">
      <c r="A387" s="373"/>
      <c r="B387" s="195" t="s">
        <v>17</v>
      </c>
      <c r="C387" s="196" t="n">
        <v>2020</v>
      </c>
      <c r="D387" s="196" t="n">
        <v>2025</v>
      </c>
      <c r="E387" s="196" t="n">
        <v>2030</v>
      </c>
      <c r="F387" s="196" t="n">
        <v>2035</v>
      </c>
      <c r="G387" s="196" t="n">
        <v>2040</v>
      </c>
      <c r="H387" s="196" t="n">
        <v>2045</v>
      </c>
      <c r="I387" s="197" t="n">
        <v>2050</v>
      </c>
    </row>
    <row r="388" customFormat="false" ht="15" hidden="false" customHeight="false" outlineLevel="0" collapsed="false">
      <c r="A388" s="213" t="s">
        <v>621</v>
      </c>
      <c r="B388" s="195" t="s">
        <v>124</v>
      </c>
      <c r="C388" s="196" t="n">
        <v>1</v>
      </c>
      <c r="D388" s="196" t="n">
        <v>1</v>
      </c>
      <c r="E388" s="196" t="n">
        <v>1</v>
      </c>
      <c r="F388" s="196" t="n">
        <v>1</v>
      </c>
      <c r="G388" s="196" t="n">
        <v>1</v>
      </c>
      <c r="H388" s="196" t="n">
        <v>1</v>
      </c>
      <c r="I388" s="196" t="n">
        <v>1</v>
      </c>
    </row>
    <row r="389" customFormat="false" ht="15" hidden="false" customHeight="false" outlineLevel="0" collapsed="false">
      <c r="A389" s="213" t="s">
        <v>622</v>
      </c>
      <c r="B389" s="195" t="s">
        <v>124</v>
      </c>
      <c r="C389" s="196" t="n">
        <v>1</v>
      </c>
      <c r="D389" s="196" t="n">
        <v>1</v>
      </c>
      <c r="E389" s="196" t="n">
        <v>1</v>
      </c>
      <c r="F389" s="196" t="n">
        <v>2</v>
      </c>
      <c r="G389" s="196" t="n">
        <v>2</v>
      </c>
      <c r="H389" s="196" t="n">
        <v>2</v>
      </c>
      <c r="I389" s="196" t="n">
        <v>2</v>
      </c>
    </row>
    <row r="390" customFormat="false" ht="15" hidden="false" customHeight="false" outlineLevel="0" collapsed="false">
      <c r="A390" s="232" t="s">
        <v>623</v>
      </c>
      <c r="B390" s="198" t="s">
        <v>124</v>
      </c>
      <c r="C390" s="234" t="n">
        <v>1</v>
      </c>
      <c r="D390" s="234" t="n">
        <v>1</v>
      </c>
      <c r="E390" s="234" t="n">
        <v>1</v>
      </c>
      <c r="F390" s="234" t="n">
        <v>1</v>
      </c>
      <c r="G390" s="234" t="n">
        <v>1</v>
      </c>
      <c r="H390" s="234" t="n">
        <v>1</v>
      </c>
      <c r="I390" s="234" t="n">
        <v>1</v>
      </c>
    </row>
    <row r="391" customFormat="false" ht="15" hidden="false" customHeight="true" outlineLevel="0" collapsed="false">
      <c r="A391" s="173"/>
      <c r="B391" s="374"/>
      <c r="C391" s="374"/>
      <c r="D391" s="356"/>
      <c r="E391" s="39"/>
    </row>
    <row r="392" customFormat="false" ht="17.35" hidden="false" customHeight="false" outlineLevel="0" collapsed="false">
      <c r="A392" s="212" t="s">
        <v>624</v>
      </c>
      <c r="B392" s="212"/>
      <c r="C392" s="212"/>
      <c r="D392" s="212"/>
      <c r="E392" s="212"/>
      <c r="F392" s="212"/>
      <c r="G392" s="212"/>
      <c r="H392" s="212"/>
      <c r="I392" s="212"/>
    </row>
    <row r="393" customFormat="false" ht="15" hidden="false" customHeight="false" outlineLevel="0" collapsed="false">
      <c r="A393" s="373"/>
      <c r="B393" s="195" t="s">
        <v>17</v>
      </c>
      <c r="C393" s="357" t="n">
        <v>2020</v>
      </c>
      <c r="D393" s="357" t="n">
        <v>2025</v>
      </c>
      <c r="E393" s="357" t="n">
        <v>2030</v>
      </c>
      <c r="F393" s="357" t="n">
        <v>2035</v>
      </c>
      <c r="G393" s="357" t="n">
        <v>2040</v>
      </c>
      <c r="H393" s="357" t="n">
        <v>2045</v>
      </c>
      <c r="I393" s="197" t="n">
        <v>2050</v>
      </c>
    </row>
    <row r="394" customFormat="false" ht="15" hidden="false" customHeight="false" outlineLevel="0" collapsed="false">
      <c r="A394" s="213" t="s">
        <v>625</v>
      </c>
      <c r="B394" s="195" t="s">
        <v>124</v>
      </c>
      <c r="C394" s="197" t="n">
        <v>-0.01</v>
      </c>
      <c r="D394" s="197" t="n">
        <v>-0.013</v>
      </c>
      <c r="E394" s="197" t="n">
        <v>-0.016</v>
      </c>
      <c r="F394" s="197" t="n">
        <v>-0.019</v>
      </c>
      <c r="G394" s="197" t="n">
        <v>-0.023</v>
      </c>
      <c r="H394" s="197" t="n">
        <v>-0.026</v>
      </c>
      <c r="I394" s="197" t="n">
        <v>-0.029</v>
      </c>
    </row>
    <row r="395" customFormat="false" ht="15" hidden="false" customHeight="false" outlineLevel="0" collapsed="false">
      <c r="A395" s="232" t="s">
        <v>626</v>
      </c>
      <c r="B395" s="198" t="s">
        <v>305</v>
      </c>
      <c r="C395" s="351" t="n">
        <v>-0.0228946641235181</v>
      </c>
      <c r="D395" s="351" t="n">
        <v>0</v>
      </c>
      <c r="E395" s="351" t="n">
        <v>0.018</v>
      </c>
      <c r="F395" s="351" t="n">
        <v>-0.11</v>
      </c>
      <c r="G395" s="351" t="n">
        <v>-0.07</v>
      </c>
      <c r="H395" s="351" t="n">
        <v>0.012</v>
      </c>
      <c r="I395" s="351" t="n">
        <v>0.046</v>
      </c>
    </row>
    <row r="396" customFormat="false" ht="15" hidden="false" customHeight="false" outlineLevel="0" collapsed="false">
      <c r="A396" s="173"/>
      <c r="B396" s="374"/>
      <c r="C396" s="375"/>
      <c r="D396" s="356"/>
      <c r="E396" s="39"/>
    </row>
    <row r="397" customFormat="false" ht="15" hidden="false" customHeight="false" outlineLevel="0" collapsed="false">
      <c r="A397" s="173"/>
      <c r="B397" s="374"/>
      <c r="C397" s="374"/>
      <c r="D397" s="356"/>
      <c r="E397" s="376"/>
      <c r="F397" s="376"/>
      <c r="G397" s="376"/>
      <c r="H397" s="376"/>
      <c r="I397" s="376"/>
    </row>
    <row r="398" customFormat="false" ht="24.45" hidden="false" customHeight="false" outlineLevel="0" collapsed="false">
      <c r="A398" s="189" t="s">
        <v>627</v>
      </c>
    </row>
    <row r="399" customFormat="false" ht="17.35" hidden="false" customHeight="false" outlineLevel="0" collapsed="false">
      <c r="A399" s="212" t="s">
        <v>628</v>
      </c>
      <c r="B399" s="212"/>
      <c r="C399" s="212"/>
      <c r="H399" s="48"/>
      <c r="J399" s="356"/>
    </row>
    <row r="400" customFormat="false" ht="15" hidden="false" customHeight="false" outlineLevel="0" collapsed="false">
      <c r="A400" s="213" t="s">
        <v>629</v>
      </c>
      <c r="B400" s="195" t="s">
        <v>11</v>
      </c>
      <c r="C400" s="197" t="n">
        <v>0</v>
      </c>
    </row>
    <row r="401" customFormat="false" ht="15" hidden="false" customHeight="false" outlineLevel="0" collapsed="false">
      <c r="A401" s="213" t="s">
        <v>630</v>
      </c>
      <c r="B401" s="195" t="s">
        <v>67</v>
      </c>
      <c r="C401" s="197" t="n">
        <v>200</v>
      </c>
    </row>
    <row r="402" customFormat="false" ht="15" hidden="false" customHeight="false" outlineLevel="0" collapsed="false">
      <c r="A402" s="213" t="s">
        <v>631</v>
      </c>
      <c r="B402" s="195" t="s">
        <v>632</v>
      </c>
      <c r="C402" s="377" t="n">
        <v>0.0074</v>
      </c>
    </row>
    <row r="403" customFormat="false" ht="15" hidden="false" customHeight="false" outlineLevel="0" collapsed="false">
      <c r="A403" s="213" t="s">
        <v>633</v>
      </c>
      <c r="B403" s="195" t="s">
        <v>17</v>
      </c>
      <c r="C403" s="197" t="n">
        <v>2020</v>
      </c>
    </row>
    <row r="404" customFormat="false" ht="15" hidden="false" customHeight="false" outlineLevel="0" collapsed="false">
      <c r="A404" s="213" t="s">
        <v>634</v>
      </c>
      <c r="B404" s="195" t="s">
        <v>635</v>
      </c>
      <c r="C404" s="197" t="n">
        <v>185</v>
      </c>
    </row>
    <row r="405" customFormat="false" ht="15" hidden="false" customHeight="false" outlineLevel="0" collapsed="false">
      <c r="A405" s="213" t="s">
        <v>405</v>
      </c>
      <c r="B405" s="195" t="s">
        <v>17</v>
      </c>
      <c r="C405" s="197" t="n">
        <v>2020</v>
      </c>
    </row>
    <row r="406" customFormat="false" ht="15" hidden="false" customHeight="false" outlineLevel="0" collapsed="false">
      <c r="A406" s="232" t="s">
        <v>406</v>
      </c>
      <c r="B406" s="198" t="s">
        <v>17</v>
      </c>
      <c r="C406" s="233" t="n">
        <v>2050</v>
      </c>
    </row>
    <row r="408" customFormat="false" ht="14.25" hidden="false" customHeight="true" outlineLevel="0" collapsed="false">
      <c r="A408" s="201" t="s">
        <v>43</v>
      </c>
      <c r="B408" s="201"/>
      <c r="C408" s="201"/>
      <c r="F408" s="378"/>
      <c r="G408" s="378"/>
      <c r="H408" s="378"/>
      <c r="I408" s="378"/>
      <c r="J408" s="378"/>
      <c r="K408" s="378"/>
      <c r="L408" s="378"/>
      <c r="M408" s="378"/>
      <c r="N408" s="378"/>
      <c r="O408" s="378"/>
      <c r="P408" s="378"/>
      <c r="Q408" s="378"/>
      <c r="R408" s="378"/>
      <c r="S408" s="378"/>
      <c r="T408" s="378"/>
      <c r="U408" s="378"/>
      <c r="V408" s="378"/>
      <c r="W408" s="378"/>
      <c r="X408" s="378"/>
      <c r="Y408" s="378"/>
      <c r="Z408" s="378"/>
      <c r="AA408" s="378"/>
      <c r="AB408" s="378"/>
      <c r="AC408" s="378"/>
      <c r="AD408" s="378"/>
      <c r="AE408" s="378"/>
      <c r="AF408" s="378"/>
      <c r="AG408" s="378"/>
      <c r="AH408" s="378"/>
      <c r="AI408" s="378"/>
      <c r="AJ408" s="378"/>
      <c r="AK408" s="378"/>
      <c r="AL408" s="378"/>
    </row>
    <row r="409" customFormat="false" ht="15" hidden="false" customHeight="false" outlineLevel="0" collapsed="false">
      <c r="A409" s="227" t="s">
        <v>48</v>
      </c>
      <c r="B409" s="228" t="s">
        <v>49</v>
      </c>
      <c r="C409" s="379" t="n">
        <v>235</v>
      </c>
      <c r="F409" s="378"/>
      <c r="G409" s="378"/>
      <c r="H409" s="378"/>
      <c r="I409" s="378"/>
      <c r="J409" s="378"/>
      <c r="K409" s="378"/>
      <c r="L409" s="378"/>
      <c r="M409" s="378"/>
      <c r="N409" s="378"/>
      <c r="O409" s="378"/>
      <c r="P409" s="378"/>
      <c r="Q409" s="378"/>
      <c r="R409" s="378"/>
      <c r="S409" s="378"/>
      <c r="T409" s="378"/>
      <c r="U409" s="378"/>
      <c r="V409" s="378"/>
      <c r="W409" s="378"/>
      <c r="X409" s="378"/>
      <c r="Y409" s="378"/>
      <c r="Z409" s="378"/>
      <c r="AA409" s="378"/>
      <c r="AB409" s="378"/>
      <c r="AC409" s="378"/>
      <c r="AD409" s="378"/>
      <c r="AE409" s="378"/>
      <c r="AF409" s="378"/>
      <c r="AG409" s="378"/>
      <c r="AH409" s="378"/>
      <c r="AI409" s="378"/>
      <c r="AJ409" s="378"/>
      <c r="AK409" s="378"/>
      <c r="AL409" s="378"/>
    </row>
    <row r="410" customFormat="false" ht="15" hidden="false" customHeight="false" outlineLevel="0" collapsed="false">
      <c r="A410" s="213" t="s">
        <v>47</v>
      </c>
      <c r="B410" s="195" t="s">
        <v>11</v>
      </c>
      <c r="C410" s="197" t="n">
        <v>0.2</v>
      </c>
      <c r="F410" s="378"/>
      <c r="G410" s="378"/>
      <c r="H410" s="378"/>
      <c r="I410" s="378"/>
      <c r="J410" s="378"/>
      <c r="K410" s="378"/>
      <c r="L410" s="378"/>
      <c r="M410" s="378"/>
      <c r="N410" s="378"/>
      <c r="O410" s="378"/>
      <c r="P410" s="378"/>
      <c r="Q410" s="378"/>
      <c r="R410" s="378"/>
      <c r="S410" s="378"/>
      <c r="T410" s="378"/>
      <c r="U410" s="378"/>
      <c r="V410" s="378"/>
      <c r="W410" s="378"/>
      <c r="X410" s="378"/>
      <c r="Y410" s="378"/>
      <c r="Z410" s="378"/>
      <c r="AA410" s="378"/>
      <c r="AB410" s="378"/>
      <c r="AC410" s="378"/>
      <c r="AD410" s="378"/>
      <c r="AE410" s="378"/>
      <c r="AF410" s="378"/>
      <c r="AG410" s="378"/>
      <c r="AH410" s="378"/>
      <c r="AI410" s="378"/>
      <c r="AJ410" s="378"/>
      <c r="AK410" s="378"/>
      <c r="AL410" s="378"/>
    </row>
    <row r="411" customFormat="false" ht="15" hidden="false" customHeight="false" outlineLevel="0" collapsed="false">
      <c r="A411" s="232" t="s">
        <v>53</v>
      </c>
      <c r="B411" s="198" t="s">
        <v>11</v>
      </c>
      <c r="C411" s="233" t="n">
        <v>2020</v>
      </c>
      <c r="F411" s="378"/>
      <c r="G411" s="378"/>
      <c r="H411" s="378"/>
      <c r="I411" s="378"/>
      <c r="J411" s="378"/>
      <c r="K411" s="378"/>
      <c r="L411" s="378"/>
      <c r="M411" s="378"/>
      <c r="N411" s="378"/>
      <c r="O411" s="378"/>
      <c r="P411" s="378"/>
      <c r="Q411" s="378"/>
      <c r="R411" s="378"/>
      <c r="S411" s="378"/>
      <c r="T411" s="378"/>
      <c r="U411" s="378"/>
      <c r="V411" s="378"/>
      <c r="W411" s="378"/>
      <c r="X411" s="378"/>
      <c r="Y411" s="378"/>
      <c r="Z411" s="378"/>
      <c r="AA411" s="378"/>
      <c r="AB411" s="378"/>
      <c r="AC411" s="378"/>
      <c r="AD411" s="378"/>
      <c r="AE411" s="378"/>
      <c r="AF411" s="378"/>
      <c r="AG411" s="378"/>
      <c r="AH411" s="378"/>
      <c r="AI411" s="378"/>
      <c r="AJ411" s="378"/>
      <c r="AK411" s="378"/>
      <c r="AL411" s="378"/>
    </row>
    <row r="412" customFormat="false" ht="15" hidden="false" customHeight="false" outlineLevel="0" collapsed="false">
      <c r="A412" s="232" t="s">
        <v>56</v>
      </c>
      <c r="B412" s="198" t="s">
        <v>11</v>
      </c>
      <c r="C412" s="233" t="n">
        <v>2050</v>
      </c>
    </row>
    <row r="414" customFormat="false" ht="17.35" hidden="false" customHeight="false" outlineLevel="0" collapsed="false">
      <c r="A414" s="201" t="s">
        <v>59</v>
      </c>
      <c r="B414" s="201"/>
      <c r="C414" s="201"/>
    </row>
    <row r="415" customFormat="false" ht="15" hidden="false" customHeight="false" outlineLevel="0" collapsed="false">
      <c r="A415" s="213" t="s">
        <v>636</v>
      </c>
      <c r="B415" s="195" t="s">
        <v>11</v>
      </c>
      <c r="C415" s="351" t="n">
        <v>0.5</v>
      </c>
    </row>
    <row r="416" customFormat="false" ht="15" hidden="false" customHeight="false" outlineLevel="0" collapsed="false">
      <c r="A416" s="213" t="s">
        <v>637</v>
      </c>
      <c r="B416" s="195" t="s">
        <v>11</v>
      </c>
      <c r="C416" s="351" t="n">
        <v>0.5</v>
      </c>
    </row>
    <row r="417" customFormat="false" ht="15" hidden="false" customHeight="false" outlineLevel="0" collapsed="false">
      <c r="A417" s="213" t="s">
        <v>638</v>
      </c>
      <c r="B417" s="195" t="s">
        <v>11</v>
      </c>
      <c r="C417" s="351" t="n">
        <v>0.5</v>
      </c>
    </row>
    <row r="418" customFormat="false" ht="15" hidden="false" customHeight="false" outlineLevel="0" collapsed="false">
      <c r="A418" s="232" t="s">
        <v>639</v>
      </c>
      <c r="B418" s="198" t="s">
        <v>11</v>
      </c>
      <c r="C418" s="380" t="n">
        <v>0.5</v>
      </c>
    </row>
    <row r="446" customFormat="false" ht="15" hidden="false" customHeight="false" outlineLevel="0" collapsed="false">
      <c r="A446" s="356"/>
    </row>
  </sheetData>
  <mergeCells count="337">
    <mergeCell ref="A1:C1"/>
    <mergeCell ref="A4:A5"/>
    <mergeCell ref="A7:AL7"/>
    <mergeCell ref="A9:A10"/>
    <mergeCell ref="A14:I14"/>
    <mergeCell ref="A28:C28"/>
    <mergeCell ref="A29:C29"/>
    <mergeCell ref="A33:C33"/>
    <mergeCell ref="A38:C38"/>
    <mergeCell ref="A41:C41"/>
    <mergeCell ref="A44:C44"/>
    <mergeCell ref="A47:C47"/>
    <mergeCell ref="A56:C56"/>
    <mergeCell ref="A58:C58"/>
    <mergeCell ref="A61:C61"/>
    <mergeCell ref="A62:A63"/>
    <mergeCell ref="A64:C64"/>
    <mergeCell ref="A65:A66"/>
    <mergeCell ref="A68:C68"/>
    <mergeCell ref="A71:A72"/>
    <mergeCell ref="A73:A74"/>
    <mergeCell ref="A75:A76"/>
    <mergeCell ref="A77:A78"/>
    <mergeCell ref="A79:A80"/>
    <mergeCell ref="A82:A83"/>
    <mergeCell ref="A84:A85"/>
    <mergeCell ref="A86:C86"/>
    <mergeCell ref="A88:C88"/>
    <mergeCell ref="B91:C91"/>
    <mergeCell ref="A100:A103"/>
    <mergeCell ref="C100:C103"/>
    <mergeCell ref="A107:J107"/>
    <mergeCell ref="A109:A111"/>
    <mergeCell ref="A112:A114"/>
    <mergeCell ref="B115:B117"/>
    <mergeCell ref="A118:I118"/>
    <mergeCell ref="A120:A123"/>
    <mergeCell ref="A124:A127"/>
    <mergeCell ref="A128:A131"/>
    <mergeCell ref="A132:I132"/>
    <mergeCell ref="A134:A137"/>
    <mergeCell ref="A138:A141"/>
    <mergeCell ref="A142:A145"/>
    <mergeCell ref="A146:A149"/>
    <mergeCell ref="A153:E153"/>
    <mergeCell ref="A154:E154"/>
    <mergeCell ref="A155:A157"/>
    <mergeCell ref="C155:C157"/>
    <mergeCell ref="A159:C159"/>
    <mergeCell ref="A162:B162"/>
    <mergeCell ref="BA162:BB162"/>
    <mergeCell ref="BC162:BD162"/>
    <mergeCell ref="BE162:BF162"/>
    <mergeCell ref="BG162:BH162"/>
    <mergeCell ref="BI162:BJ162"/>
    <mergeCell ref="BK162:BL162"/>
    <mergeCell ref="BM162:BN162"/>
    <mergeCell ref="BO162:BP162"/>
    <mergeCell ref="BR162:BS162"/>
    <mergeCell ref="BT162:BU162"/>
    <mergeCell ref="BV162:BW162"/>
    <mergeCell ref="BX162:BY162"/>
    <mergeCell ref="BZ162:CA162"/>
    <mergeCell ref="CB162:CC162"/>
    <mergeCell ref="CD162:CE162"/>
    <mergeCell ref="CF162:CG162"/>
    <mergeCell ref="CI162:CJ162"/>
    <mergeCell ref="CK162:CL162"/>
    <mergeCell ref="CM162:CN162"/>
    <mergeCell ref="CO162:CP162"/>
    <mergeCell ref="CQ162:CR162"/>
    <mergeCell ref="CT162:CU162"/>
    <mergeCell ref="CV162:CW162"/>
    <mergeCell ref="CX162:CY162"/>
    <mergeCell ref="CZ162:DA162"/>
    <mergeCell ref="DC162:DD162"/>
    <mergeCell ref="DE162:DF162"/>
    <mergeCell ref="DG162:DH162"/>
    <mergeCell ref="DI162:DJ162"/>
    <mergeCell ref="DK162:DL162"/>
    <mergeCell ref="DM162:DN162"/>
    <mergeCell ref="DO162:DP162"/>
    <mergeCell ref="DQ162:DR162"/>
    <mergeCell ref="DT162:DU162"/>
    <mergeCell ref="DV162:DW162"/>
    <mergeCell ref="DX162:DY162"/>
    <mergeCell ref="DZ162:EA162"/>
    <mergeCell ref="EB162:EC162"/>
    <mergeCell ref="ED162:EE162"/>
    <mergeCell ref="EF162:EG162"/>
    <mergeCell ref="EH162:EI162"/>
    <mergeCell ref="EK162:EL162"/>
    <mergeCell ref="EM162:EN162"/>
    <mergeCell ref="EO162:EP162"/>
    <mergeCell ref="EQ162:ER162"/>
    <mergeCell ref="ES162:ET162"/>
    <mergeCell ref="EU162:EV162"/>
    <mergeCell ref="EW162:EX162"/>
    <mergeCell ref="EY162:EZ162"/>
    <mergeCell ref="A163:B163"/>
    <mergeCell ref="BA163:BB163"/>
    <mergeCell ref="BR163:BS163"/>
    <mergeCell ref="CI163:CJ163"/>
    <mergeCell ref="DC163:DD163"/>
    <mergeCell ref="DT163:DU163"/>
    <mergeCell ref="EK163:EL163"/>
    <mergeCell ref="A164:B164"/>
    <mergeCell ref="BA164:BB164"/>
    <mergeCell ref="BR164:BS164"/>
    <mergeCell ref="CI164:CJ164"/>
    <mergeCell ref="DC164:DD164"/>
    <mergeCell ref="DT164:DU164"/>
    <mergeCell ref="EK164:EL164"/>
    <mergeCell ref="A165:B165"/>
    <mergeCell ref="BA165:BB165"/>
    <mergeCell ref="BR165:BS165"/>
    <mergeCell ref="CI165:CJ165"/>
    <mergeCell ref="DC165:DD165"/>
    <mergeCell ref="DT165:DU165"/>
    <mergeCell ref="EK165:EL165"/>
    <mergeCell ref="A166:B166"/>
    <mergeCell ref="BA166:BB166"/>
    <mergeCell ref="BR166:BS166"/>
    <mergeCell ref="CI166:CJ166"/>
    <mergeCell ref="DC166:DD166"/>
    <mergeCell ref="DT166:DU166"/>
    <mergeCell ref="EK166:EL166"/>
    <mergeCell ref="A167:B167"/>
    <mergeCell ref="BA167:BB167"/>
    <mergeCell ref="BR167:BS167"/>
    <mergeCell ref="CI167:CJ167"/>
    <mergeCell ref="DC167:DD167"/>
    <mergeCell ref="DT167:DU167"/>
    <mergeCell ref="EK167:EL167"/>
    <mergeCell ref="BA168:BQ168"/>
    <mergeCell ref="BR168:CH168"/>
    <mergeCell ref="CI168:CR168"/>
    <mergeCell ref="CS168:DB168"/>
    <mergeCell ref="DC168:DS168"/>
    <mergeCell ref="DT168:EJ168"/>
    <mergeCell ref="EK168:FA168"/>
    <mergeCell ref="A169:B169"/>
    <mergeCell ref="BA169:BB169"/>
    <mergeCell ref="BR169:BS169"/>
    <mergeCell ref="CI169:CJ169"/>
    <mergeCell ref="DC169:DD169"/>
    <mergeCell ref="DT169:DU169"/>
    <mergeCell ref="EK169:EL169"/>
    <mergeCell ref="A170:B170"/>
    <mergeCell ref="BA170:BB170"/>
    <mergeCell ref="BR170:BS170"/>
    <mergeCell ref="CI170:CJ170"/>
    <mergeCell ref="DC170:DD170"/>
    <mergeCell ref="DT170:DU170"/>
    <mergeCell ref="EK170:EL170"/>
    <mergeCell ref="A171:B171"/>
    <mergeCell ref="BA171:BB171"/>
    <mergeCell ref="BR171:BS171"/>
    <mergeCell ref="CI171:CJ171"/>
    <mergeCell ref="DC171:DD171"/>
    <mergeCell ref="DT171:DU171"/>
    <mergeCell ref="EK171:EL171"/>
    <mergeCell ref="A172:B172"/>
    <mergeCell ref="BA172:BB172"/>
    <mergeCell ref="BR172:BS172"/>
    <mergeCell ref="CI172:CJ172"/>
    <mergeCell ref="DC172:DD172"/>
    <mergeCell ref="DT172:DU172"/>
    <mergeCell ref="EK172:EL172"/>
    <mergeCell ref="A173:B173"/>
    <mergeCell ref="BA173:BB173"/>
    <mergeCell ref="BR173:BS173"/>
    <mergeCell ref="CI173:CJ173"/>
    <mergeCell ref="DC173:DD173"/>
    <mergeCell ref="DT173:DU173"/>
    <mergeCell ref="EK173:EL173"/>
    <mergeCell ref="BA174:BQ174"/>
    <mergeCell ref="BR174:CH174"/>
    <mergeCell ref="CI174:CR174"/>
    <mergeCell ref="CS174:DB174"/>
    <mergeCell ref="DC174:DS174"/>
    <mergeCell ref="DT174:EJ174"/>
    <mergeCell ref="EK174:FA174"/>
    <mergeCell ref="A175:B175"/>
    <mergeCell ref="BA175:BB175"/>
    <mergeCell ref="BR175:BS175"/>
    <mergeCell ref="CI175:CJ175"/>
    <mergeCell ref="DC175:DD175"/>
    <mergeCell ref="DT175:DU175"/>
    <mergeCell ref="EK175:EL175"/>
    <mergeCell ref="A176:B176"/>
    <mergeCell ref="BA176:BB176"/>
    <mergeCell ref="BR176:BS176"/>
    <mergeCell ref="CI176:CJ176"/>
    <mergeCell ref="DC176:DD176"/>
    <mergeCell ref="DT176:DU176"/>
    <mergeCell ref="EK176:EL176"/>
    <mergeCell ref="A177:B177"/>
    <mergeCell ref="BA177:BB177"/>
    <mergeCell ref="BR177:BS177"/>
    <mergeCell ref="CI177:CJ177"/>
    <mergeCell ref="DC177:DD177"/>
    <mergeCell ref="DT177:DU177"/>
    <mergeCell ref="EK177:EL177"/>
    <mergeCell ref="A178:B178"/>
    <mergeCell ref="BA178:BB178"/>
    <mergeCell ref="BR178:BS178"/>
    <mergeCell ref="CI178:CJ178"/>
    <mergeCell ref="DC178:DD178"/>
    <mergeCell ref="DT178:DU178"/>
    <mergeCell ref="EK178:EL178"/>
    <mergeCell ref="A179:B179"/>
    <mergeCell ref="BA179:BB179"/>
    <mergeCell ref="BR179:BS179"/>
    <mergeCell ref="CI179:CJ179"/>
    <mergeCell ref="DC179:DD179"/>
    <mergeCell ref="DT179:DU179"/>
    <mergeCell ref="EK179:EL179"/>
    <mergeCell ref="BA180:BQ180"/>
    <mergeCell ref="BR180:CH180"/>
    <mergeCell ref="CI180:CR180"/>
    <mergeCell ref="CS180:DB180"/>
    <mergeCell ref="DC180:DS180"/>
    <mergeCell ref="DT180:EJ180"/>
    <mergeCell ref="EK180:FA180"/>
    <mergeCell ref="A181:B181"/>
    <mergeCell ref="BA181:BB181"/>
    <mergeCell ref="BR181:BS181"/>
    <mergeCell ref="CI181:CJ181"/>
    <mergeCell ref="DC181:DD181"/>
    <mergeCell ref="DT181:DU181"/>
    <mergeCell ref="EK181:EL181"/>
    <mergeCell ref="A182:B182"/>
    <mergeCell ref="BA182:BB182"/>
    <mergeCell ref="BR182:BS182"/>
    <mergeCell ref="CI182:CJ182"/>
    <mergeCell ref="DC182:DD182"/>
    <mergeCell ref="DT182:DU182"/>
    <mergeCell ref="EK182:EL182"/>
    <mergeCell ref="A183:B183"/>
    <mergeCell ref="BA183:BB183"/>
    <mergeCell ref="BR183:BS183"/>
    <mergeCell ref="CI183:CJ183"/>
    <mergeCell ref="DC183:DD183"/>
    <mergeCell ref="DT183:DU183"/>
    <mergeCell ref="EK183:EL183"/>
    <mergeCell ref="A184:B184"/>
    <mergeCell ref="BA184:BB184"/>
    <mergeCell ref="BR184:BS184"/>
    <mergeCell ref="CI184:CJ184"/>
    <mergeCell ref="DC184:DD184"/>
    <mergeCell ref="DT184:DU184"/>
    <mergeCell ref="EK184:EL184"/>
    <mergeCell ref="A185:B185"/>
    <mergeCell ref="BA185:BB185"/>
    <mergeCell ref="BR185:BS185"/>
    <mergeCell ref="CI185:CJ185"/>
    <mergeCell ref="DC185:DD185"/>
    <mergeCell ref="DT185:DU185"/>
    <mergeCell ref="EK185:EL185"/>
    <mergeCell ref="BA186:BQ186"/>
    <mergeCell ref="BR186:CH186"/>
    <mergeCell ref="CI186:CR186"/>
    <mergeCell ref="CS186:DB186"/>
    <mergeCell ref="DC186:DS186"/>
    <mergeCell ref="DT186:EJ186"/>
    <mergeCell ref="EK186:FA186"/>
    <mergeCell ref="A187:B187"/>
    <mergeCell ref="BA187:BB187"/>
    <mergeCell ref="BR187:BS187"/>
    <mergeCell ref="CI187:CJ187"/>
    <mergeCell ref="DC187:DD187"/>
    <mergeCell ref="DT187:DU187"/>
    <mergeCell ref="EK187:EL187"/>
    <mergeCell ref="A188:B188"/>
    <mergeCell ref="BA188:BB188"/>
    <mergeCell ref="BR188:BS188"/>
    <mergeCell ref="CI188:CJ188"/>
    <mergeCell ref="DC188:DD188"/>
    <mergeCell ref="DT188:DU188"/>
    <mergeCell ref="EK188:EL188"/>
    <mergeCell ref="A189:B189"/>
    <mergeCell ref="BA189:BB189"/>
    <mergeCell ref="BR189:BS189"/>
    <mergeCell ref="CI189:CJ189"/>
    <mergeCell ref="DC189:DD189"/>
    <mergeCell ref="DT189:DU189"/>
    <mergeCell ref="EK189:EL189"/>
    <mergeCell ref="A190:B190"/>
    <mergeCell ref="BA190:BB190"/>
    <mergeCell ref="BR190:BS190"/>
    <mergeCell ref="CI190:CJ190"/>
    <mergeCell ref="DC190:DD190"/>
    <mergeCell ref="DT190:DU190"/>
    <mergeCell ref="EK190:EL190"/>
    <mergeCell ref="A191:B191"/>
    <mergeCell ref="BA191:BB191"/>
    <mergeCell ref="BR191:BS191"/>
    <mergeCell ref="CI191:CJ191"/>
    <mergeCell ref="DC191:DD191"/>
    <mergeCell ref="DT191:DU191"/>
    <mergeCell ref="EK191:EL191"/>
    <mergeCell ref="A193:C193"/>
    <mergeCell ref="A194:A195"/>
    <mergeCell ref="C194:C195"/>
    <mergeCell ref="A198:Q198"/>
    <mergeCell ref="A199:B199"/>
    <mergeCell ref="A200:B200"/>
    <mergeCell ref="A201:B201"/>
    <mergeCell ref="A202:B202"/>
    <mergeCell ref="A203:B203"/>
    <mergeCell ref="A204:B204"/>
    <mergeCell ref="A205:C205"/>
    <mergeCell ref="A209:C209"/>
    <mergeCell ref="A211:A213"/>
    <mergeCell ref="C211:C213"/>
    <mergeCell ref="A215:A217"/>
    <mergeCell ref="C215:C217"/>
    <mergeCell ref="A222:D222"/>
    <mergeCell ref="A223:D223"/>
    <mergeCell ref="A224:B224"/>
    <mergeCell ref="A225:B225"/>
    <mergeCell ref="A228:A246"/>
    <mergeCell ref="A247:C247"/>
    <mergeCell ref="A253:C253"/>
    <mergeCell ref="A254:C254"/>
    <mergeCell ref="A256:C256"/>
    <mergeCell ref="A257:A260"/>
    <mergeCell ref="C257:C260"/>
    <mergeCell ref="A262:C262"/>
    <mergeCell ref="A265:I265"/>
    <mergeCell ref="A369:I369"/>
    <mergeCell ref="A386:I386"/>
    <mergeCell ref="A392:I392"/>
    <mergeCell ref="A399:C399"/>
    <mergeCell ref="A408:C408"/>
    <mergeCell ref="A414:C414"/>
  </mergeCells>
  <conditionalFormatting sqref="D116:J117">
    <cfRule type="cellIs" priority="2" operator="equal" aboveAverage="0" equalAverage="0" bottom="0" percent="0" rank="0" text="" dxfId="0">
      <formula>1</formula>
    </cfRule>
  </conditionalFormatting>
  <conditionalFormatting sqref="R200:AZ204 AR210:CO214 C200:Q204">
    <cfRule type="cellIs" priority="3" operator="lessThan" aboveAverage="0" equalAverage="0" bottom="0" percent="0" rank="0" text="" dxfId="1">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FA446"/>
  <sheetViews>
    <sheetView showFormulas="false" showGridLines="true" showRowColHeaders="true" showZeros="true" rightToLeft="false" tabSelected="true" showOutlineSymbols="true" defaultGridColor="true" view="normal" topLeftCell="A347" colorId="64" zoomScale="85" zoomScaleNormal="85" zoomScalePageLayoutView="100" workbookViewId="0">
      <selection pane="topLeft" activeCell="C375" activeCellId="0" sqref="C375"/>
    </sheetView>
  </sheetViews>
  <sheetFormatPr defaultColWidth="11.4296875" defaultRowHeight="15" customHeight="true" zeroHeight="false" outlineLevelRow="0" outlineLevelCol="0"/>
  <cols>
    <col collapsed="false" customWidth="true" hidden="false" outlineLevel="0" max="1" min="1" style="1" width="58.29"/>
    <col collapsed="false" customWidth="true" hidden="false" outlineLevel="0" max="2" min="2" style="1" width="61.86"/>
    <col collapsed="false" customWidth="true" hidden="false" outlineLevel="0" max="3" min="3" style="1" width="52.29"/>
    <col collapsed="false" customWidth="true" hidden="false" outlineLevel="0" max="4" min="4" style="1" width="55.86"/>
    <col collapsed="false" customWidth="true" hidden="false" outlineLevel="0" max="5" min="5" style="1" width="44.29"/>
    <col collapsed="false" customWidth="true" hidden="false" outlineLevel="0" max="6" min="6" style="1" width="30.86"/>
    <col collapsed="false" customWidth="true" hidden="false" outlineLevel="0" max="7" min="7" style="1" width="34.29"/>
    <col collapsed="false" customWidth="true" hidden="false" outlineLevel="0" max="8" min="8" style="1" width="32.43"/>
    <col collapsed="false" customWidth="true" hidden="false" outlineLevel="0" max="9" min="9" style="1" width="21.86"/>
    <col collapsed="false" customWidth="true" hidden="false" outlineLevel="0" max="10" min="10" style="1" width="29"/>
    <col collapsed="false" customWidth="true" hidden="false" outlineLevel="0" max="11" min="11" style="1" width="11.57"/>
    <col collapsed="false" customWidth="true" hidden="false" outlineLevel="0" max="12" min="12" style="1" width="35.43"/>
    <col collapsed="false" customWidth="true" hidden="false" outlineLevel="0" max="61" min="13" style="1" width="11.57"/>
  </cols>
  <sheetData>
    <row r="1" customFormat="false" ht="29.15" hidden="false" customHeight="false" outlineLevel="0" collapsed="false">
      <c r="A1" s="188" t="s">
        <v>468</v>
      </c>
      <c r="B1" s="188"/>
      <c r="C1" s="188"/>
    </row>
    <row r="2" customFormat="false" ht="24.45" hidden="false" customHeight="false" outlineLevel="0" collapsed="false">
      <c r="A2" s="189" t="s">
        <v>469</v>
      </c>
    </row>
    <row r="3" customFormat="false" ht="17.35" hidden="false" customHeight="false" outlineLevel="0" collapsed="false">
      <c r="A3" s="190" t="s">
        <v>25</v>
      </c>
      <c r="B3" s="191"/>
      <c r="C3" s="192"/>
      <c r="D3" s="192"/>
      <c r="E3" s="192"/>
      <c r="F3" s="192"/>
      <c r="G3" s="192"/>
      <c r="H3" s="192"/>
      <c r="I3" s="192"/>
      <c r="J3" s="192"/>
      <c r="K3" s="192"/>
      <c r="L3" s="192"/>
      <c r="M3" s="192"/>
      <c r="N3" s="192"/>
      <c r="O3" s="192"/>
      <c r="P3" s="192"/>
      <c r="Q3" s="192"/>
      <c r="R3" s="192"/>
      <c r="S3" s="192"/>
      <c r="T3" s="192"/>
      <c r="U3" s="192"/>
      <c r="V3" s="192"/>
      <c r="W3" s="192"/>
      <c r="X3" s="192"/>
      <c r="Y3" s="192"/>
      <c r="Z3" s="192"/>
      <c r="AA3" s="192"/>
      <c r="AB3" s="192"/>
      <c r="AC3" s="192"/>
      <c r="AD3" s="192"/>
      <c r="AE3" s="192"/>
      <c r="AF3" s="192"/>
      <c r="AG3" s="192"/>
      <c r="AH3" s="192"/>
      <c r="AI3" s="192"/>
      <c r="AJ3" s="192"/>
      <c r="AK3" s="192"/>
      <c r="AL3" s="193"/>
    </row>
    <row r="4" customFormat="false" ht="15" hidden="false" customHeight="false" outlineLevel="0" collapsed="false">
      <c r="A4" s="194" t="s">
        <v>470</v>
      </c>
      <c r="B4" s="195" t="s">
        <v>17</v>
      </c>
      <c r="C4" s="196" t="n">
        <v>2015</v>
      </c>
      <c r="D4" s="196" t="n">
        <v>2016</v>
      </c>
      <c r="E4" s="196" t="n">
        <v>2017</v>
      </c>
      <c r="F4" s="196" t="n">
        <v>2018</v>
      </c>
      <c r="G4" s="196" t="n">
        <v>2019</v>
      </c>
      <c r="H4" s="196" t="n">
        <v>2020</v>
      </c>
      <c r="I4" s="196" t="n">
        <v>2021</v>
      </c>
      <c r="J4" s="196" t="n">
        <v>2022</v>
      </c>
      <c r="K4" s="196" t="n">
        <v>2023</v>
      </c>
      <c r="L4" s="196" t="n">
        <v>2024</v>
      </c>
      <c r="M4" s="196" t="n">
        <v>2025</v>
      </c>
      <c r="N4" s="196" t="n">
        <v>2026</v>
      </c>
      <c r="O4" s="196" t="n">
        <v>2027</v>
      </c>
      <c r="P4" s="196" t="n">
        <v>2028</v>
      </c>
      <c r="Q4" s="196" t="n">
        <v>2029</v>
      </c>
      <c r="R4" s="196" t="n">
        <v>2030</v>
      </c>
      <c r="S4" s="196" t="n">
        <v>2031</v>
      </c>
      <c r="T4" s="196" t="n">
        <v>2032</v>
      </c>
      <c r="U4" s="196" t="n">
        <v>2033</v>
      </c>
      <c r="V4" s="196" t="n">
        <v>2034</v>
      </c>
      <c r="W4" s="196" t="n">
        <v>2035</v>
      </c>
      <c r="X4" s="196" t="n">
        <v>2036</v>
      </c>
      <c r="Y4" s="196" t="n">
        <v>2037</v>
      </c>
      <c r="Z4" s="196" t="n">
        <v>2038</v>
      </c>
      <c r="AA4" s="196" t="n">
        <v>2039</v>
      </c>
      <c r="AB4" s="196" t="n">
        <v>2040</v>
      </c>
      <c r="AC4" s="196" t="n">
        <v>2041</v>
      </c>
      <c r="AD4" s="196" t="n">
        <v>2042</v>
      </c>
      <c r="AE4" s="196" t="n">
        <v>2043</v>
      </c>
      <c r="AF4" s="196" t="n">
        <v>2044</v>
      </c>
      <c r="AG4" s="196" t="n">
        <v>2045</v>
      </c>
      <c r="AH4" s="196" t="n">
        <v>2046</v>
      </c>
      <c r="AI4" s="196" t="n">
        <v>2047</v>
      </c>
      <c r="AJ4" s="196" t="n">
        <v>2048</v>
      </c>
      <c r="AK4" s="196" t="n">
        <v>2049</v>
      </c>
      <c r="AL4" s="197" t="n">
        <v>2050</v>
      </c>
    </row>
    <row r="5" customFormat="false" ht="15" hidden="false" customHeight="false" outlineLevel="0" collapsed="false">
      <c r="A5" s="194"/>
      <c r="B5" s="198" t="s">
        <v>305</v>
      </c>
      <c r="C5" s="199" t="n">
        <v>0.0032</v>
      </c>
      <c r="D5" s="199" t="n">
        <v>0.0064</v>
      </c>
      <c r="E5" s="199" t="n">
        <v>0.0063</v>
      </c>
      <c r="F5" s="199" t="n">
        <v>0.01</v>
      </c>
      <c r="G5" s="199" t="n">
        <v>0.0135</v>
      </c>
      <c r="H5" s="199" t="n">
        <v>0.0023</v>
      </c>
      <c r="I5" s="199" t="n">
        <v>0.0015</v>
      </c>
      <c r="J5" s="199" t="n">
        <v>0.0058</v>
      </c>
      <c r="K5" s="199" t="n">
        <v>0.0059</v>
      </c>
      <c r="L5" s="199" t="n">
        <v>0.0058</v>
      </c>
      <c r="M5" s="199" t="n">
        <v>0.0054</v>
      </c>
      <c r="N5" s="199" t="n">
        <v>0.0049</v>
      </c>
      <c r="O5" s="199" t="n">
        <v>0.0046</v>
      </c>
      <c r="P5" s="199" t="n">
        <v>0.0043</v>
      </c>
      <c r="Q5" s="199" t="n">
        <v>0.0041</v>
      </c>
      <c r="R5" s="199" t="n">
        <v>0.0041</v>
      </c>
      <c r="S5" s="199" t="n">
        <v>0.004</v>
      </c>
      <c r="T5" s="199" t="n">
        <v>0.004</v>
      </c>
      <c r="U5" s="199" t="n">
        <v>0.004</v>
      </c>
      <c r="V5" s="199" t="n">
        <v>0.0039</v>
      </c>
      <c r="W5" s="199" t="n">
        <v>0.0039</v>
      </c>
      <c r="X5" s="199" t="n">
        <v>0.0038</v>
      </c>
      <c r="Y5" s="199" t="n">
        <v>0.0037</v>
      </c>
      <c r="Z5" s="199" t="n">
        <v>0.0036</v>
      </c>
      <c r="AA5" s="199" t="n">
        <v>0.0035</v>
      </c>
      <c r="AB5" s="199" t="n">
        <v>0.0033</v>
      </c>
      <c r="AC5" s="199" t="n">
        <v>0.0032</v>
      </c>
      <c r="AD5" s="199" t="n">
        <v>0.003</v>
      </c>
      <c r="AE5" s="199" t="n">
        <v>0.0029</v>
      </c>
      <c r="AF5" s="199" t="n">
        <v>0.0027</v>
      </c>
      <c r="AG5" s="199" t="n">
        <v>0.0025</v>
      </c>
      <c r="AH5" s="199" t="n">
        <v>0.0023</v>
      </c>
      <c r="AI5" s="199" t="n">
        <v>0.0022</v>
      </c>
      <c r="AJ5" s="199" t="n">
        <v>0.002</v>
      </c>
      <c r="AK5" s="199" t="n">
        <v>0.0018</v>
      </c>
      <c r="AL5" s="200" t="n">
        <v>0.0016</v>
      </c>
    </row>
    <row r="7" customFormat="false" ht="17.35" hidden="false" customHeight="false" outlineLevel="0" collapsed="false">
      <c r="A7" s="201" t="s">
        <v>9</v>
      </c>
      <c r="B7" s="201"/>
      <c r="C7" s="201"/>
      <c r="D7" s="201"/>
      <c r="E7" s="201"/>
      <c r="F7" s="201"/>
      <c r="G7" s="201"/>
      <c r="H7" s="201"/>
      <c r="I7" s="201"/>
      <c r="J7" s="201"/>
      <c r="K7" s="201"/>
      <c r="L7" s="201"/>
      <c r="M7" s="201"/>
      <c r="N7" s="201"/>
      <c r="O7" s="201"/>
      <c r="P7" s="201"/>
      <c r="Q7" s="201"/>
      <c r="R7" s="201"/>
      <c r="S7" s="201"/>
      <c r="T7" s="201"/>
      <c r="U7" s="201"/>
      <c r="V7" s="201"/>
      <c r="W7" s="201"/>
      <c r="X7" s="201"/>
      <c r="Y7" s="201"/>
      <c r="Z7" s="201"/>
      <c r="AA7" s="201"/>
      <c r="AB7" s="201"/>
      <c r="AC7" s="201"/>
      <c r="AD7" s="201"/>
      <c r="AE7" s="201"/>
      <c r="AF7" s="201"/>
      <c r="AG7" s="201"/>
      <c r="AH7" s="201"/>
      <c r="AI7" s="201"/>
      <c r="AJ7" s="201"/>
      <c r="AK7" s="201"/>
      <c r="AL7" s="201"/>
    </row>
    <row r="8" customFormat="false" ht="15" hidden="false" customHeight="false" outlineLevel="0" collapsed="false">
      <c r="A8" s="202" t="s">
        <v>471</v>
      </c>
      <c r="B8" s="195" t="s">
        <v>11</v>
      </c>
      <c r="C8" s="196" t="n">
        <v>0.59</v>
      </c>
      <c r="D8" s="203" t="s">
        <v>472</v>
      </c>
      <c r="E8" s="195" t="s">
        <v>11</v>
      </c>
      <c r="F8" s="196" t="n">
        <v>0.41</v>
      </c>
      <c r="G8" s="204"/>
      <c r="H8" s="204"/>
      <c r="I8" s="204"/>
      <c r="J8" s="204"/>
      <c r="K8" s="204"/>
      <c r="L8" s="204"/>
      <c r="M8" s="204"/>
      <c r="N8" s="204"/>
      <c r="O8" s="204"/>
      <c r="P8" s="204"/>
      <c r="Q8" s="204"/>
      <c r="R8" s="204"/>
      <c r="S8" s="204"/>
      <c r="T8" s="204"/>
      <c r="U8" s="204"/>
      <c r="V8" s="204"/>
      <c r="W8" s="204"/>
      <c r="X8" s="204"/>
      <c r="Y8" s="204"/>
      <c r="Z8" s="204"/>
      <c r="AA8" s="204"/>
      <c r="AB8" s="204"/>
      <c r="AC8" s="204"/>
      <c r="AD8" s="204"/>
      <c r="AE8" s="204"/>
      <c r="AF8" s="204"/>
      <c r="AG8" s="204"/>
      <c r="AH8" s="204"/>
      <c r="AI8" s="204"/>
      <c r="AJ8" s="204"/>
      <c r="AK8" s="204"/>
      <c r="AL8" s="205"/>
    </row>
    <row r="9" customFormat="false" ht="15" hidden="false" customHeight="false" outlineLevel="0" collapsed="false">
      <c r="A9" s="206" t="s">
        <v>473</v>
      </c>
      <c r="B9" s="207" t="s">
        <v>17</v>
      </c>
      <c r="C9" s="208" t="n">
        <v>2015</v>
      </c>
      <c r="D9" s="208" t="n">
        <v>2016</v>
      </c>
      <c r="E9" s="208" t="n">
        <v>2017</v>
      </c>
      <c r="F9" s="208" t="n">
        <v>2018</v>
      </c>
      <c r="G9" s="196" t="n">
        <v>2019</v>
      </c>
      <c r="H9" s="196" t="n">
        <v>2020</v>
      </c>
      <c r="I9" s="196" t="n">
        <v>2021</v>
      </c>
      <c r="J9" s="196" t="n">
        <v>2022</v>
      </c>
      <c r="K9" s="196" t="n">
        <v>2023</v>
      </c>
      <c r="L9" s="196" t="n">
        <v>2024</v>
      </c>
      <c r="M9" s="196" t="n">
        <v>2025</v>
      </c>
      <c r="N9" s="196" t="n">
        <v>2026</v>
      </c>
      <c r="O9" s="196" t="n">
        <v>2027</v>
      </c>
      <c r="P9" s="196" t="n">
        <v>2028</v>
      </c>
      <c r="Q9" s="196" t="n">
        <v>2029</v>
      </c>
      <c r="R9" s="196" t="n">
        <v>2030</v>
      </c>
      <c r="S9" s="196" t="n">
        <v>2031</v>
      </c>
      <c r="T9" s="196" t="n">
        <v>2032</v>
      </c>
      <c r="U9" s="196" t="n">
        <v>2033</v>
      </c>
      <c r="V9" s="196" t="n">
        <v>2034</v>
      </c>
      <c r="W9" s="196" t="n">
        <v>2035</v>
      </c>
      <c r="X9" s="196" t="n">
        <v>2036</v>
      </c>
      <c r="Y9" s="196" t="n">
        <v>2037</v>
      </c>
      <c r="Z9" s="196" t="n">
        <v>2038</v>
      </c>
      <c r="AA9" s="196" t="n">
        <v>2039</v>
      </c>
      <c r="AB9" s="196" t="n">
        <v>2040</v>
      </c>
      <c r="AC9" s="196" t="n">
        <v>2041</v>
      </c>
      <c r="AD9" s="196" t="n">
        <v>2042</v>
      </c>
      <c r="AE9" s="196" t="n">
        <v>2043</v>
      </c>
      <c r="AF9" s="196" t="n">
        <v>2044</v>
      </c>
      <c r="AG9" s="196" t="n">
        <v>2045</v>
      </c>
      <c r="AH9" s="196" t="n">
        <v>2046</v>
      </c>
      <c r="AI9" s="196" t="n">
        <v>2047</v>
      </c>
      <c r="AJ9" s="196" t="n">
        <v>2048</v>
      </c>
      <c r="AK9" s="196" t="n">
        <v>2049</v>
      </c>
      <c r="AL9" s="197" t="n">
        <v>2050</v>
      </c>
    </row>
    <row r="10" customFormat="false" ht="16.4" hidden="false" customHeight="false" outlineLevel="0" collapsed="false">
      <c r="A10" s="206"/>
      <c r="B10" s="209" t="s">
        <v>305</v>
      </c>
      <c r="C10" s="210" t="n">
        <v>0.04217453291</v>
      </c>
      <c r="D10" s="210" t="n">
        <v>0.03604268091</v>
      </c>
      <c r="E10" s="210" t="n">
        <v>0.03686781257</v>
      </c>
      <c r="F10" s="210" t="n">
        <v>0.03562459637</v>
      </c>
      <c r="G10" s="210" t="n">
        <v>0.02499688833</v>
      </c>
      <c r="H10" s="210" t="n">
        <v>-0.1118011551</v>
      </c>
      <c r="I10" s="210" t="n">
        <v>0.08237342643</v>
      </c>
      <c r="J10" s="211" t="n">
        <v>0.011</v>
      </c>
      <c r="K10" s="211" t="n">
        <v>0.011</v>
      </c>
      <c r="L10" s="211" t="n">
        <v>0.011</v>
      </c>
      <c r="M10" s="211" t="n">
        <v>0.011</v>
      </c>
      <c r="N10" s="211" t="n">
        <v>0.011</v>
      </c>
      <c r="O10" s="211" t="n">
        <v>0.011</v>
      </c>
      <c r="P10" s="211" t="n">
        <v>0.011</v>
      </c>
      <c r="Q10" s="211" t="n">
        <v>0.011</v>
      </c>
      <c r="R10" s="211" t="n">
        <v>0.011</v>
      </c>
      <c r="S10" s="211" t="n">
        <v>0.011</v>
      </c>
      <c r="T10" s="211" t="n">
        <v>0.011</v>
      </c>
      <c r="U10" s="211" t="n">
        <v>0.011</v>
      </c>
      <c r="V10" s="211" t="n">
        <v>0.011</v>
      </c>
      <c r="W10" s="211" t="n">
        <v>0.011</v>
      </c>
      <c r="X10" s="211" t="n">
        <v>0.011</v>
      </c>
      <c r="Y10" s="211" t="n">
        <v>0.011</v>
      </c>
      <c r="Z10" s="211" t="n">
        <v>0.011</v>
      </c>
      <c r="AA10" s="211" t="n">
        <v>0.011</v>
      </c>
      <c r="AB10" s="211" t="n">
        <v>0.011</v>
      </c>
      <c r="AC10" s="211" t="n">
        <v>0.011</v>
      </c>
      <c r="AD10" s="211" t="n">
        <v>0.011</v>
      </c>
      <c r="AE10" s="211" t="n">
        <v>0.011</v>
      </c>
      <c r="AF10" s="211" t="n">
        <v>0.011</v>
      </c>
      <c r="AG10" s="211" t="n">
        <v>0.011</v>
      </c>
      <c r="AH10" s="211" t="n">
        <v>0.011</v>
      </c>
      <c r="AI10" s="211" t="n">
        <v>0.011</v>
      </c>
      <c r="AJ10" s="211" t="n">
        <v>0.011</v>
      </c>
      <c r="AK10" s="211" t="n">
        <v>0.011</v>
      </c>
      <c r="AL10" s="211" t="n">
        <v>0.011</v>
      </c>
    </row>
    <row r="13" customFormat="false" ht="24.45" hidden="false" customHeight="false" outlineLevel="0" collapsed="false">
      <c r="A13" s="189" t="s">
        <v>474</v>
      </c>
    </row>
    <row r="14" customFormat="false" ht="17.35" hidden="false" customHeight="false" outlineLevel="0" collapsed="false">
      <c r="A14" s="212" t="s">
        <v>70</v>
      </c>
      <c r="B14" s="212"/>
      <c r="C14" s="212"/>
      <c r="D14" s="212"/>
      <c r="E14" s="212"/>
      <c r="F14" s="212"/>
      <c r="G14" s="212"/>
      <c r="H14" s="212"/>
      <c r="I14" s="212"/>
    </row>
    <row r="15" customFormat="false" ht="15" hidden="false" customHeight="false" outlineLevel="0" collapsed="false">
      <c r="A15" s="213" t="s">
        <v>475</v>
      </c>
      <c r="B15" s="195" t="s">
        <v>17</v>
      </c>
      <c r="C15" s="208" t="n">
        <v>2020</v>
      </c>
      <c r="D15" s="208" t="n">
        <v>2025</v>
      </c>
      <c r="E15" s="214" t="n">
        <v>2030</v>
      </c>
      <c r="F15" s="214" t="n">
        <v>2035</v>
      </c>
      <c r="G15" s="214" t="n">
        <v>2040</v>
      </c>
      <c r="H15" s="214" t="n">
        <v>2045</v>
      </c>
      <c r="I15" s="215" t="n">
        <v>2050</v>
      </c>
    </row>
    <row r="16" customFormat="false" ht="15" hidden="false" customHeight="false" outlineLevel="0" collapsed="false">
      <c r="A16" s="213" t="s">
        <v>476</v>
      </c>
      <c r="B16" s="195" t="s">
        <v>477</v>
      </c>
      <c r="C16" s="196" t="n">
        <v>0.001825599</v>
      </c>
      <c r="D16" s="196" t="n">
        <v>0.001825703</v>
      </c>
      <c r="E16" s="196" t="n">
        <v>0.001825808</v>
      </c>
      <c r="F16" s="196" t="n">
        <v>0.001825808</v>
      </c>
      <c r="G16" s="196" t="n">
        <v>0.001825808</v>
      </c>
      <c r="H16" s="196" t="n">
        <v>0.001825808</v>
      </c>
      <c r="I16" s="197" t="n">
        <v>0.001825808</v>
      </c>
    </row>
    <row r="17" customFormat="false" ht="15" hidden="false" customHeight="false" outlineLevel="0" collapsed="false">
      <c r="A17" s="213" t="s">
        <v>478</v>
      </c>
      <c r="B17" s="195" t="s">
        <v>477</v>
      </c>
      <c r="C17" s="196" t="n">
        <v>0</v>
      </c>
      <c r="D17" s="196" t="n">
        <v>0</v>
      </c>
      <c r="E17" s="196" t="n">
        <v>0</v>
      </c>
      <c r="F17" s="196" t="n">
        <v>0</v>
      </c>
      <c r="G17" s="196" t="n">
        <v>0</v>
      </c>
      <c r="H17" s="196" t="n">
        <v>0</v>
      </c>
      <c r="I17" s="381" t="n">
        <v>0</v>
      </c>
    </row>
    <row r="18" customFormat="false" ht="15" hidden="false" customHeight="false" outlineLevel="0" collapsed="false">
      <c r="A18" s="213" t="s">
        <v>479</v>
      </c>
      <c r="B18" s="195" t="s">
        <v>477</v>
      </c>
      <c r="C18" s="196" t="n">
        <v>3.99E-006</v>
      </c>
      <c r="D18" s="196" t="n">
        <v>3.99E-006</v>
      </c>
      <c r="E18" s="196" t="n">
        <v>3.99E-006</v>
      </c>
      <c r="F18" s="196" t="n">
        <v>3.99E-006</v>
      </c>
      <c r="G18" s="196" t="n">
        <v>3.99E-006</v>
      </c>
      <c r="H18" s="196" t="n">
        <v>0</v>
      </c>
      <c r="I18" s="197" t="n">
        <v>0</v>
      </c>
    </row>
    <row r="19" customFormat="false" ht="15" hidden="false" customHeight="false" outlineLevel="0" collapsed="false">
      <c r="A19" s="213" t="s">
        <v>480</v>
      </c>
      <c r="B19" s="195" t="s">
        <v>477</v>
      </c>
      <c r="C19" s="196" t="n">
        <v>0</v>
      </c>
      <c r="D19" s="196" t="n">
        <v>0</v>
      </c>
      <c r="E19" s="196" t="n">
        <v>0</v>
      </c>
      <c r="F19" s="196" t="n">
        <v>0</v>
      </c>
      <c r="G19" s="196" t="n">
        <v>0</v>
      </c>
      <c r="H19" s="196" t="n">
        <v>0</v>
      </c>
      <c r="I19" s="381" t="n">
        <v>0</v>
      </c>
    </row>
    <row r="20" customFormat="false" ht="15" hidden="false" customHeight="false" outlineLevel="0" collapsed="false">
      <c r="A20" s="213" t="s">
        <v>481</v>
      </c>
      <c r="B20" s="195" t="s">
        <v>477</v>
      </c>
      <c r="C20" s="196" t="n">
        <v>0.0012709</v>
      </c>
      <c r="D20" s="196" t="n">
        <v>0.00268524018310441</v>
      </c>
      <c r="E20" s="196" t="n">
        <v>0.00548194678053691</v>
      </c>
      <c r="F20" s="196" t="n">
        <v>0.012195271</v>
      </c>
      <c r="G20" s="196" t="n">
        <v>0.016939</v>
      </c>
      <c r="H20" s="196" t="n">
        <v>0.02058591</v>
      </c>
      <c r="I20" s="381" t="n">
        <v>0.023136</v>
      </c>
    </row>
    <row r="21" customFormat="false" ht="15" hidden="false" customHeight="false" outlineLevel="0" collapsed="false">
      <c r="A21" s="213" t="s">
        <v>482</v>
      </c>
      <c r="B21" s="195" t="s">
        <v>477</v>
      </c>
      <c r="C21" s="196" t="n">
        <v>0.000230769</v>
      </c>
      <c r="D21" s="196" t="n">
        <v>0.000445522316895543</v>
      </c>
      <c r="E21" s="196" t="n">
        <v>0.00146676564644917</v>
      </c>
      <c r="F21" s="196" t="n">
        <v>0.0015</v>
      </c>
      <c r="G21" s="196" t="n">
        <v>0.0015</v>
      </c>
      <c r="H21" s="196" t="n">
        <v>0.0035</v>
      </c>
      <c r="I21" s="381" t="n">
        <v>0.0035</v>
      </c>
    </row>
    <row r="22" customFormat="false" ht="15" hidden="false" customHeight="false" outlineLevel="0" collapsed="false">
      <c r="A22" s="213" t="s">
        <v>483</v>
      </c>
      <c r="B22" s="195" t="s">
        <v>477</v>
      </c>
      <c r="C22" s="196" t="n">
        <v>0.0003523</v>
      </c>
      <c r="D22" s="196" t="n">
        <v>0.0027874375</v>
      </c>
      <c r="E22" s="196" t="n">
        <v>0.00735328121955639</v>
      </c>
      <c r="F22" s="196" t="n">
        <v>0.015609903</v>
      </c>
      <c r="G22" s="196" t="n">
        <v>0.02243145</v>
      </c>
      <c r="H22" s="196" t="n">
        <v>0.028250311</v>
      </c>
      <c r="I22" s="381" t="n">
        <v>0.03315265</v>
      </c>
    </row>
    <row r="23" customFormat="false" ht="15" hidden="false" customHeight="false" outlineLevel="0" collapsed="false">
      <c r="A23" s="213" t="s">
        <v>484</v>
      </c>
      <c r="B23" s="195" t="s">
        <v>477</v>
      </c>
      <c r="C23" s="196" t="n">
        <v>2.429E-005</v>
      </c>
      <c r="D23" s="196" t="n">
        <v>2.429E-005</v>
      </c>
      <c r="E23" s="196" t="n">
        <v>2.429E-005</v>
      </c>
      <c r="F23" s="196" t="n">
        <v>4.999E-005</v>
      </c>
      <c r="G23" s="196" t="n">
        <v>4.999E-005</v>
      </c>
      <c r="H23" s="196" t="n">
        <v>4.999E-005</v>
      </c>
      <c r="I23" s="381" t="n">
        <v>4.999E-005</v>
      </c>
    </row>
    <row r="24" customFormat="false" ht="15" hidden="false" customHeight="false" outlineLevel="0" collapsed="false">
      <c r="A24" s="213" t="s">
        <v>485</v>
      </c>
      <c r="B24" s="195" t="s">
        <v>477</v>
      </c>
      <c r="C24" s="196" t="n">
        <v>0.000880154</v>
      </c>
      <c r="D24" s="196" t="n">
        <v>0.001457077</v>
      </c>
      <c r="E24" s="196" t="n">
        <v>0.002034</v>
      </c>
      <c r="F24" s="217" t="n">
        <v>0.002034</v>
      </c>
      <c r="G24" s="217" t="n">
        <v>0.003534</v>
      </c>
      <c r="H24" s="217" t="n">
        <v>0.003734</v>
      </c>
      <c r="I24" s="382" t="n">
        <v>0.003734</v>
      </c>
    </row>
    <row r="25" customFormat="false" ht="15" hidden="false" customHeight="false" outlineLevel="0" collapsed="false">
      <c r="A25" s="219" t="s">
        <v>486</v>
      </c>
      <c r="B25" s="220" t="s">
        <v>305</v>
      </c>
      <c r="C25" s="210" t="n">
        <v>0.002</v>
      </c>
      <c r="D25" s="210" t="n">
        <v>0.045</v>
      </c>
      <c r="E25" s="210" t="n">
        <v>0.08</v>
      </c>
      <c r="F25" s="210" t="n">
        <v>0.1</v>
      </c>
      <c r="G25" s="210" t="n">
        <v>0.15</v>
      </c>
      <c r="H25" s="210" t="n">
        <v>0.15</v>
      </c>
      <c r="I25" s="210" t="n">
        <v>0.15</v>
      </c>
    </row>
    <row r="26" customFormat="false" ht="15" hidden="false" customHeight="false" outlineLevel="0" collapsed="false">
      <c r="A26" s="219" t="s">
        <v>487</v>
      </c>
      <c r="B26" s="198" t="s">
        <v>305</v>
      </c>
      <c r="C26" s="210" t="n">
        <v>0.02</v>
      </c>
      <c r="D26" s="210" t="n">
        <v>0.02</v>
      </c>
      <c r="E26" s="210" t="n">
        <v>0.02</v>
      </c>
      <c r="F26" s="210" t="n">
        <v>0.02</v>
      </c>
      <c r="G26" s="210" t="n">
        <v>0.02</v>
      </c>
      <c r="H26" s="210" t="n">
        <v>0.02</v>
      </c>
      <c r="I26" s="210" t="n">
        <v>0.02</v>
      </c>
    </row>
    <row r="27" customFormat="false" ht="15" hidden="false" customHeight="false" outlineLevel="0" collapsed="false">
      <c r="A27" s="221"/>
      <c r="D27" s="222"/>
      <c r="E27" s="222"/>
    </row>
    <row r="28" customFormat="false" ht="17.35" hidden="false" customHeight="false" outlineLevel="0" collapsed="false">
      <c r="A28" s="212" t="s">
        <v>107</v>
      </c>
      <c r="B28" s="212"/>
      <c r="C28" s="212"/>
    </row>
    <row r="29" customFormat="false" ht="15" hidden="false" customHeight="false" outlineLevel="0" collapsed="false">
      <c r="A29" s="223" t="s">
        <v>488</v>
      </c>
      <c r="B29" s="223"/>
      <c r="C29" s="223"/>
    </row>
    <row r="30" customFormat="false" ht="15" hidden="false" customHeight="false" outlineLevel="0" collapsed="false">
      <c r="A30" s="213" t="s">
        <v>489</v>
      </c>
      <c r="B30" s="195" t="s">
        <v>490</v>
      </c>
      <c r="C30" s="224" t="n">
        <v>0.4</v>
      </c>
    </row>
    <row r="31" customFormat="false" ht="15" hidden="false" customHeight="false" outlineLevel="0" collapsed="false">
      <c r="A31" s="213" t="s">
        <v>491</v>
      </c>
      <c r="B31" s="195" t="s">
        <v>17</v>
      </c>
      <c r="C31" s="197" t="n">
        <v>2025</v>
      </c>
      <c r="D31" s="1" t="s">
        <v>492</v>
      </c>
    </row>
    <row r="32" customFormat="false" ht="15" hidden="false" customHeight="false" outlineLevel="0" collapsed="false">
      <c r="A32" s="213" t="s">
        <v>493</v>
      </c>
      <c r="B32" s="195" t="s">
        <v>490</v>
      </c>
      <c r="C32" s="225" t="n">
        <v>0.4</v>
      </c>
    </row>
    <row r="33" customFormat="false" ht="15" hidden="false" customHeight="false" outlineLevel="0" collapsed="false">
      <c r="A33" s="223" t="s">
        <v>494</v>
      </c>
      <c r="B33" s="223"/>
      <c r="C33" s="223"/>
    </row>
    <row r="34" customFormat="false" ht="15" hidden="false" customHeight="false" outlineLevel="0" collapsed="false">
      <c r="A34" s="219" t="s">
        <v>495</v>
      </c>
      <c r="B34" s="220" t="s">
        <v>17</v>
      </c>
      <c r="C34" s="226" t="n">
        <v>2020</v>
      </c>
    </row>
    <row r="35" customFormat="false" ht="15" hidden="false" customHeight="false" outlineLevel="0" collapsed="false">
      <c r="A35" s="227" t="s">
        <v>496</v>
      </c>
      <c r="B35" s="228" t="s">
        <v>124</v>
      </c>
      <c r="C35" s="229" t="n">
        <v>0.05</v>
      </c>
      <c r="D35" s="230" t="n">
        <v>0.05</v>
      </c>
      <c r="E35" s="230" t="n">
        <v>0.05</v>
      </c>
      <c r="F35" s="230" t="n">
        <v>0.05</v>
      </c>
      <c r="G35" s="230" t="n">
        <v>0.05</v>
      </c>
      <c r="H35" s="230" t="n">
        <v>0.05</v>
      </c>
      <c r="I35" s="229" t="n">
        <v>0.05</v>
      </c>
    </row>
    <row r="36" customFormat="false" ht="15" hidden="false" customHeight="false" outlineLevel="0" collapsed="false">
      <c r="A36" s="213" t="s">
        <v>497</v>
      </c>
      <c r="B36" s="195" t="s">
        <v>11</v>
      </c>
      <c r="C36" s="224" t="n">
        <v>0.25</v>
      </c>
      <c r="D36" s="231" t="n">
        <v>0.25</v>
      </c>
      <c r="E36" s="231" t="n">
        <v>0.25</v>
      </c>
      <c r="F36" s="231" t="n">
        <v>0.25</v>
      </c>
      <c r="G36" s="231" t="n">
        <v>0.25</v>
      </c>
      <c r="H36" s="231" t="n">
        <v>0.25</v>
      </c>
      <c r="I36" s="224" t="n">
        <v>0.25</v>
      </c>
    </row>
    <row r="37" customFormat="false" ht="15" hidden="false" customHeight="false" outlineLevel="0" collapsed="false">
      <c r="A37" s="232" t="s">
        <v>498</v>
      </c>
      <c r="B37" s="198" t="s">
        <v>124</v>
      </c>
      <c r="C37" s="233" t="n">
        <v>0.008394534</v>
      </c>
      <c r="D37" s="234" t="n">
        <v>0.008876016</v>
      </c>
      <c r="E37" s="234" t="n">
        <v>0.008876016</v>
      </c>
      <c r="F37" s="234" t="n">
        <v>0.008876016</v>
      </c>
      <c r="G37" s="234" t="n">
        <v>0.008876016</v>
      </c>
      <c r="H37" s="234" t="n">
        <v>0.008876016</v>
      </c>
      <c r="I37" s="233" t="n">
        <v>0.008876016</v>
      </c>
    </row>
    <row r="38" customFormat="false" ht="15" hidden="false" customHeight="false" outlineLevel="0" collapsed="false">
      <c r="A38" s="235"/>
      <c r="B38" s="235"/>
      <c r="C38" s="235"/>
    </row>
    <row r="39" customFormat="false" ht="15" hidden="false" customHeight="false" outlineLevel="0" collapsed="false">
      <c r="A39" s="213" t="s">
        <v>499</v>
      </c>
      <c r="B39" s="195" t="s">
        <v>17</v>
      </c>
      <c r="C39" s="197" t="n">
        <v>2020</v>
      </c>
    </row>
    <row r="40" customFormat="false" ht="15" hidden="false" customHeight="false" outlineLevel="0" collapsed="false">
      <c r="A40" s="213" t="s">
        <v>500</v>
      </c>
      <c r="B40" s="195" t="s">
        <v>490</v>
      </c>
      <c r="C40" s="236" t="n">
        <v>0.04</v>
      </c>
    </row>
    <row r="41" customFormat="false" ht="15" hidden="false" customHeight="false" outlineLevel="0" collapsed="false">
      <c r="A41" s="223" t="s">
        <v>121</v>
      </c>
      <c r="B41" s="223"/>
      <c r="C41" s="223"/>
    </row>
    <row r="42" customFormat="false" ht="15" hidden="false" customHeight="false" outlineLevel="0" collapsed="false">
      <c r="A42" s="232" t="s">
        <v>128</v>
      </c>
      <c r="B42" s="198" t="s">
        <v>490</v>
      </c>
      <c r="C42" s="237" t="n">
        <v>0.13</v>
      </c>
    </row>
    <row r="43" customFormat="false" ht="15" hidden="false" customHeight="false" outlineLevel="0" collapsed="false">
      <c r="A43" s="238"/>
      <c r="B43" s="108"/>
      <c r="C43" s="239"/>
    </row>
    <row r="44" customFormat="false" ht="17.35" hidden="false" customHeight="false" outlineLevel="0" collapsed="false">
      <c r="A44" s="240" t="s">
        <v>122</v>
      </c>
      <c r="B44" s="240"/>
      <c r="C44" s="240"/>
      <c r="D44" s="75"/>
      <c r="E44" s="75"/>
      <c r="F44" s="75"/>
    </row>
    <row r="45" customFormat="false" ht="15" hidden="false" customHeight="false" outlineLevel="0" collapsed="false">
      <c r="A45" s="232" t="s">
        <v>129</v>
      </c>
      <c r="B45" s="198" t="s">
        <v>490</v>
      </c>
      <c r="C45" s="237" t="n">
        <v>0.078</v>
      </c>
      <c r="D45" s="39"/>
      <c r="E45" s="75"/>
      <c r="F45" s="75"/>
    </row>
    <row r="46" customFormat="false" ht="15" hidden="false" customHeight="false" outlineLevel="0" collapsed="false">
      <c r="A46" s="75"/>
      <c r="B46" s="75"/>
      <c r="C46" s="75"/>
      <c r="D46" s="75"/>
      <c r="E46" s="75"/>
      <c r="F46" s="75"/>
    </row>
    <row r="47" customFormat="false" ht="17.35" hidden="false" customHeight="false" outlineLevel="0" collapsed="false">
      <c r="A47" s="212" t="s">
        <v>135</v>
      </c>
      <c r="B47" s="212"/>
      <c r="C47" s="212"/>
    </row>
    <row r="48" customFormat="false" ht="15" hidden="false" customHeight="false" outlineLevel="0" collapsed="false">
      <c r="A48" s="213" t="s">
        <v>136</v>
      </c>
      <c r="B48" s="195" t="s">
        <v>17</v>
      </c>
      <c r="C48" s="215" t="n">
        <v>2017</v>
      </c>
    </row>
    <row r="49" customFormat="false" ht="15" hidden="false" customHeight="false" outlineLevel="0" collapsed="false">
      <c r="A49" s="213" t="s">
        <v>138</v>
      </c>
      <c r="B49" s="195" t="s">
        <v>17</v>
      </c>
      <c r="C49" s="197" t="n">
        <v>2050</v>
      </c>
      <c r="D49" s="75"/>
    </row>
    <row r="50" customFormat="false" ht="15" hidden="false" customHeight="false" outlineLevel="0" collapsed="false">
      <c r="A50" s="213" t="s">
        <v>501</v>
      </c>
      <c r="B50" s="195" t="s">
        <v>490</v>
      </c>
      <c r="C50" s="225" t="n">
        <v>0.026</v>
      </c>
      <c r="D50" s="75"/>
    </row>
    <row r="51" customFormat="false" ht="15" hidden="false" customHeight="false" outlineLevel="0" collapsed="false">
      <c r="A51" s="213" t="s">
        <v>502</v>
      </c>
      <c r="B51" s="195" t="s">
        <v>490</v>
      </c>
      <c r="C51" s="225" t="n">
        <v>0</v>
      </c>
      <c r="D51" s="75"/>
      <c r="E51" s="75"/>
      <c r="F51" s="75"/>
    </row>
    <row r="52" customFormat="false" ht="15" hidden="false" customHeight="false" outlineLevel="0" collapsed="false">
      <c r="A52" s="232" t="s">
        <v>503</v>
      </c>
      <c r="B52" s="198" t="s">
        <v>490</v>
      </c>
      <c r="C52" s="241" t="n">
        <v>0.012</v>
      </c>
      <c r="D52" s="75"/>
      <c r="E52" s="75"/>
      <c r="F52" s="75"/>
    </row>
    <row r="53" customFormat="false" ht="15" hidden="false" customHeight="false" outlineLevel="0" collapsed="false">
      <c r="A53" s="75"/>
      <c r="B53" s="75"/>
      <c r="C53" s="75"/>
      <c r="D53" s="75"/>
      <c r="E53" s="75"/>
      <c r="F53" s="75"/>
    </row>
    <row r="54" customFormat="false" ht="15" hidden="false" customHeight="false" outlineLevel="0" collapsed="false">
      <c r="A54" s="75"/>
      <c r="B54" s="75"/>
      <c r="C54" s="75"/>
      <c r="D54" s="75"/>
      <c r="E54" s="75"/>
      <c r="F54" s="75"/>
    </row>
    <row r="55" customFormat="false" ht="24.45" hidden="false" customHeight="false" outlineLevel="0" collapsed="false">
      <c r="A55" s="189" t="s">
        <v>504</v>
      </c>
      <c r="D55" s="75"/>
    </row>
    <row r="56" customFormat="false" ht="17.25" hidden="false" customHeight="true" outlineLevel="0" collapsed="false">
      <c r="A56" s="242" t="s">
        <v>206</v>
      </c>
      <c r="B56" s="242"/>
      <c r="C56" s="242"/>
      <c r="D56" s="243" t="s">
        <v>505</v>
      </c>
    </row>
    <row r="57" customFormat="false" ht="14.25" hidden="false" customHeight="true" outlineLevel="0" collapsed="false">
      <c r="A57" s="232" t="s">
        <v>506</v>
      </c>
      <c r="B57" s="198" t="s">
        <v>490</v>
      </c>
      <c r="C57" s="244" t="n">
        <v>0</v>
      </c>
      <c r="D57" s="245" t="n">
        <v>0</v>
      </c>
    </row>
    <row r="58" customFormat="false" ht="16.5" hidden="false" customHeight="true" outlineLevel="0" collapsed="false">
      <c r="A58" s="242" t="s">
        <v>208</v>
      </c>
      <c r="B58" s="242"/>
      <c r="C58" s="242"/>
      <c r="D58" s="246" t="s">
        <v>507</v>
      </c>
    </row>
    <row r="59" customFormat="false" ht="15.75" hidden="false" customHeight="true" outlineLevel="0" collapsed="false">
      <c r="A59" s="232" t="s">
        <v>508</v>
      </c>
      <c r="B59" s="198" t="s">
        <v>490</v>
      </c>
      <c r="C59" s="244" t="n">
        <v>0</v>
      </c>
      <c r="D59" s="245" t="n">
        <v>0</v>
      </c>
    </row>
    <row r="60" customFormat="false" ht="15.75" hidden="false" customHeight="true" outlineLevel="0" collapsed="false">
      <c r="A60" s="189"/>
      <c r="D60" s="75"/>
    </row>
    <row r="61" customFormat="false" ht="17.35" hidden="false" customHeight="false" outlineLevel="0" collapsed="false">
      <c r="A61" s="242" t="s">
        <v>146</v>
      </c>
      <c r="B61" s="242"/>
      <c r="C61" s="242"/>
      <c r="D61" s="75"/>
      <c r="E61" s="75"/>
      <c r="F61" s="75"/>
    </row>
    <row r="62" customFormat="false" ht="15" hidden="false" customHeight="true" outlineLevel="0" collapsed="false">
      <c r="A62" s="247" t="s">
        <v>165</v>
      </c>
      <c r="B62" s="198" t="s">
        <v>147</v>
      </c>
      <c r="C62" s="248" t="n">
        <v>0</v>
      </c>
      <c r="D62" s="75"/>
      <c r="E62" s="75"/>
      <c r="F62" s="75"/>
    </row>
    <row r="63" customFormat="false" ht="15" hidden="false" customHeight="false" outlineLevel="0" collapsed="false">
      <c r="A63" s="247"/>
      <c r="B63" s="198" t="s">
        <v>509</v>
      </c>
      <c r="C63" s="249" t="n">
        <v>0.045</v>
      </c>
      <c r="D63" s="75"/>
      <c r="E63" s="75"/>
      <c r="F63" s="75"/>
    </row>
    <row r="64" customFormat="false" ht="14.25" hidden="false" customHeight="true" outlineLevel="0" collapsed="false">
      <c r="A64" s="242" t="s">
        <v>170</v>
      </c>
      <c r="B64" s="242"/>
      <c r="C64" s="242"/>
      <c r="D64" s="75"/>
      <c r="E64" s="75"/>
      <c r="F64" s="75"/>
    </row>
    <row r="65" customFormat="false" ht="15" hidden="false" customHeight="true" outlineLevel="0" collapsed="false">
      <c r="A65" s="247" t="s">
        <v>186</v>
      </c>
      <c r="B65" s="198" t="s">
        <v>171</v>
      </c>
      <c r="C65" s="248" t="n">
        <v>0</v>
      </c>
      <c r="D65" s="75"/>
      <c r="E65" s="75"/>
      <c r="F65" s="75"/>
    </row>
    <row r="66" customFormat="false" ht="15" hidden="false" customHeight="false" outlineLevel="0" collapsed="false">
      <c r="A66" s="247"/>
      <c r="B66" s="198" t="s">
        <v>509</v>
      </c>
      <c r="C66" s="250" t="n">
        <v>0.08</v>
      </c>
      <c r="D66" s="75"/>
      <c r="E66" s="75"/>
      <c r="F66" s="75"/>
    </row>
    <row r="67" customFormat="false" ht="15" hidden="false" customHeight="false" outlineLevel="0" collapsed="false">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75"/>
      <c r="CC67" s="75"/>
      <c r="CD67" s="75"/>
      <c r="CE67" s="75"/>
      <c r="CF67" s="75"/>
      <c r="CG67" s="75"/>
      <c r="CH67" s="75"/>
      <c r="CI67" s="75"/>
      <c r="CJ67" s="75"/>
      <c r="CK67" s="75"/>
      <c r="CL67" s="75"/>
      <c r="CM67" s="75"/>
      <c r="CN67" s="75"/>
      <c r="CO67" s="75"/>
      <c r="CP67" s="75"/>
      <c r="CQ67" s="75"/>
      <c r="CR67" s="75"/>
      <c r="CS67" s="75"/>
      <c r="CT67" s="75"/>
      <c r="CU67" s="75"/>
      <c r="CV67" s="75"/>
      <c r="CW67" s="75"/>
      <c r="CX67" s="75"/>
      <c r="CY67" s="75"/>
      <c r="CZ67" s="75"/>
      <c r="DA67" s="75"/>
      <c r="DB67" s="75"/>
      <c r="DC67" s="75"/>
      <c r="DD67" s="75"/>
      <c r="DE67" s="75"/>
      <c r="DF67" s="75"/>
      <c r="DG67" s="75"/>
      <c r="DH67" s="75"/>
      <c r="DI67" s="75"/>
      <c r="DJ67" s="75"/>
      <c r="DK67" s="75"/>
      <c r="DL67" s="75"/>
      <c r="DM67" s="75"/>
      <c r="DN67" s="75"/>
      <c r="DO67" s="75"/>
      <c r="DP67" s="75"/>
      <c r="DQ67" s="75"/>
      <c r="DR67" s="75"/>
      <c r="DS67" s="75"/>
      <c r="DT67" s="75"/>
      <c r="DU67" s="75"/>
      <c r="DV67" s="75"/>
      <c r="DW67" s="75"/>
      <c r="DX67" s="75"/>
      <c r="DY67" s="75"/>
      <c r="DZ67" s="75"/>
      <c r="EA67" s="75"/>
      <c r="EB67" s="75"/>
      <c r="EC67" s="75"/>
      <c r="ED67" s="75"/>
      <c r="EE67" s="75"/>
      <c r="EF67" s="75"/>
      <c r="EG67" s="75"/>
      <c r="EH67" s="75"/>
      <c r="EI67" s="75"/>
      <c r="EJ67" s="75"/>
      <c r="EK67" s="75"/>
      <c r="EL67" s="75"/>
      <c r="EM67" s="75"/>
      <c r="EN67" s="75"/>
      <c r="EO67" s="75"/>
      <c r="EP67" s="75"/>
      <c r="EQ67" s="75"/>
      <c r="ER67" s="75"/>
      <c r="ES67" s="75"/>
      <c r="ET67" s="75"/>
      <c r="EU67" s="75"/>
      <c r="EV67" s="75"/>
      <c r="EW67" s="75"/>
      <c r="EX67" s="75"/>
      <c r="EY67" s="75"/>
      <c r="EZ67" s="75"/>
      <c r="FA67" s="75"/>
    </row>
    <row r="68" customFormat="false" ht="18" hidden="false" customHeight="true" outlineLevel="0" collapsed="false">
      <c r="A68" s="212" t="s">
        <v>510</v>
      </c>
      <c r="B68" s="212"/>
      <c r="C68" s="212"/>
    </row>
    <row r="69" customFormat="false" ht="14.25" hidden="false" customHeight="true" outlineLevel="0" collapsed="false">
      <c r="A69" s="213" t="s">
        <v>511</v>
      </c>
      <c r="B69" s="195" t="s">
        <v>512</v>
      </c>
      <c r="C69" s="248" t="n">
        <v>0</v>
      </c>
    </row>
    <row r="70" customFormat="false" ht="14.25" hidden="false" customHeight="true" outlineLevel="0" collapsed="false">
      <c r="A70" s="213" t="s">
        <v>513</v>
      </c>
      <c r="B70" s="195" t="s">
        <v>17</v>
      </c>
      <c r="C70" s="248" t="n">
        <v>2020</v>
      </c>
    </row>
    <row r="71" customFormat="false" ht="15" hidden="false" customHeight="false" outlineLevel="0" collapsed="false">
      <c r="A71" s="247" t="s">
        <v>215</v>
      </c>
      <c r="B71" s="251" t="s">
        <v>216</v>
      </c>
      <c r="C71" s="248" t="n">
        <v>2021</v>
      </c>
    </row>
    <row r="72" customFormat="false" ht="16.4" hidden="false" customHeight="false" outlineLevel="0" collapsed="false">
      <c r="A72" s="247"/>
      <c r="B72" s="252" t="s">
        <v>219</v>
      </c>
      <c r="C72" s="250" t="n">
        <v>1</v>
      </c>
    </row>
    <row r="73" customFormat="false" ht="15" hidden="false" customHeight="false" outlineLevel="0" collapsed="false">
      <c r="A73" s="247" t="s">
        <v>221</v>
      </c>
      <c r="B73" s="251" t="s">
        <v>216</v>
      </c>
      <c r="C73" s="248" t="n">
        <v>2021</v>
      </c>
    </row>
    <row r="74" customFormat="false" ht="14.25" hidden="false" customHeight="true" outlineLevel="0" collapsed="false">
      <c r="A74" s="247"/>
      <c r="B74" s="252" t="s">
        <v>219</v>
      </c>
      <c r="C74" s="250" t="n">
        <v>1</v>
      </c>
    </row>
    <row r="75" customFormat="false" ht="15" hidden="false" customHeight="false" outlineLevel="0" collapsed="false">
      <c r="A75" s="247" t="s">
        <v>222</v>
      </c>
      <c r="B75" s="251" t="s">
        <v>216</v>
      </c>
      <c r="C75" s="248" t="n">
        <v>2020</v>
      </c>
    </row>
    <row r="76" customFormat="false" ht="16.4" hidden="false" customHeight="false" outlineLevel="0" collapsed="false">
      <c r="A76" s="247"/>
      <c r="B76" s="252" t="s">
        <v>219</v>
      </c>
      <c r="C76" s="250" t="n">
        <v>1</v>
      </c>
    </row>
    <row r="77" customFormat="false" ht="15" hidden="false" customHeight="false" outlineLevel="0" collapsed="false">
      <c r="A77" s="247" t="s">
        <v>224</v>
      </c>
      <c r="B77" s="251" t="s">
        <v>216</v>
      </c>
      <c r="C77" s="248" t="n">
        <v>2020</v>
      </c>
    </row>
    <row r="78" customFormat="false" ht="14.25" hidden="false" customHeight="true" outlineLevel="0" collapsed="false">
      <c r="A78" s="247"/>
      <c r="B78" s="252" t="s">
        <v>219</v>
      </c>
      <c r="C78" s="250" t="n">
        <v>1</v>
      </c>
    </row>
    <row r="79" customFormat="false" ht="15" hidden="false" customHeight="false" outlineLevel="0" collapsed="false">
      <c r="A79" s="253" t="s">
        <v>189</v>
      </c>
      <c r="B79" s="251" t="s">
        <v>216</v>
      </c>
      <c r="C79" s="248" t="n">
        <v>2015</v>
      </c>
    </row>
    <row r="80" customFormat="false" ht="16.4" hidden="false" customHeight="false" outlineLevel="0" collapsed="false">
      <c r="A80" s="253"/>
      <c r="B80" s="254" t="s">
        <v>219</v>
      </c>
      <c r="C80" s="255" t="n">
        <v>1</v>
      </c>
      <c r="E80" s="1" t="s">
        <v>514</v>
      </c>
    </row>
    <row r="81" customFormat="false" ht="15" hidden="false" customHeight="false" outlineLevel="0" collapsed="false">
      <c r="A81" s="256"/>
      <c r="B81" s="257"/>
      <c r="C81" s="258"/>
    </row>
    <row r="82" customFormat="false" ht="15" hidden="false" customHeight="false" outlineLevel="0" collapsed="false">
      <c r="A82" s="259" t="s">
        <v>218</v>
      </c>
      <c r="B82" s="260" t="s">
        <v>216</v>
      </c>
      <c r="C82" s="261" t="n">
        <v>2023</v>
      </c>
    </row>
    <row r="83" customFormat="false" ht="15" hidden="false" customHeight="false" outlineLevel="0" collapsed="false">
      <c r="A83" s="259"/>
      <c r="B83" s="262" t="s">
        <v>219</v>
      </c>
      <c r="C83" s="250" t="n">
        <v>1</v>
      </c>
    </row>
    <row r="84" customFormat="false" ht="15" hidden="false" customHeight="false" outlineLevel="0" collapsed="false">
      <c r="A84" s="253" t="s">
        <v>223</v>
      </c>
      <c r="B84" s="262" t="s">
        <v>216</v>
      </c>
      <c r="C84" s="248" t="n">
        <v>2023</v>
      </c>
    </row>
    <row r="85" customFormat="false" ht="15" hidden="false" customHeight="false" outlineLevel="0" collapsed="false">
      <c r="A85" s="253"/>
      <c r="B85" s="263" t="s">
        <v>219</v>
      </c>
      <c r="C85" s="255" t="n">
        <v>1</v>
      </c>
    </row>
    <row r="86" customFormat="false" ht="15" hidden="false" customHeight="false" outlineLevel="0" collapsed="false">
      <c r="A86" s="264" t="s">
        <v>225</v>
      </c>
      <c r="B86" s="264"/>
      <c r="C86" s="264"/>
    </row>
    <row r="88" customFormat="false" ht="17.35" hidden="false" customHeight="false" outlineLevel="0" collapsed="false">
      <c r="A88" s="212" t="s">
        <v>226</v>
      </c>
      <c r="B88" s="212"/>
      <c r="C88" s="212"/>
      <c r="D88" s="1" t="s">
        <v>514</v>
      </c>
    </row>
    <row r="89" customFormat="false" ht="15" hidden="false" customHeight="false" outlineLevel="0" collapsed="false">
      <c r="A89" s="213" t="s">
        <v>515</v>
      </c>
      <c r="B89" s="195" t="s">
        <v>11</v>
      </c>
      <c r="C89" s="248" t="n">
        <v>1</v>
      </c>
    </row>
    <row r="90" customFormat="false" ht="15" hidden="false" customHeight="false" outlineLevel="0" collapsed="false">
      <c r="A90" s="265" t="s">
        <v>234</v>
      </c>
      <c r="B90" s="266" t="s">
        <v>11</v>
      </c>
      <c r="C90" s="267" t="n">
        <v>1</v>
      </c>
    </row>
    <row r="91" customFormat="false" ht="14.25" hidden="false" customHeight="true" outlineLevel="0" collapsed="false">
      <c r="A91" s="268"/>
      <c r="B91" s="269"/>
      <c r="C91" s="269"/>
    </row>
    <row r="92" customFormat="false" ht="15" hidden="false" customHeight="false" outlineLevel="0" collapsed="false">
      <c r="A92" s="227" t="s">
        <v>516</v>
      </c>
      <c r="B92" s="228" t="s">
        <v>17</v>
      </c>
      <c r="C92" s="261" t="n">
        <v>2020</v>
      </c>
    </row>
    <row r="93" customFormat="false" ht="15" hidden="false" customHeight="false" outlineLevel="0" collapsed="false">
      <c r="A93" s="270" t="s">
        <v>517</v>
      </c>
      <c r="B93" s="195" t="s">
        <v>17</v>
      </c>
      <c r="C93" s="248" t="n">
        <v>2025</v>
      </c>
    </row>
    <row r="94" customFormat="false" ht="15" hidden="false" customHeight="false" outlineLevel="0" collapsed="false">
      <c r="A94" s="270" t="s">
        <v>518</v>
      </c>
      <c r="B94" s="195" t="s">
        <v>17</v>
      </c>
      <c r="C94" s="248" t="n">
        <v>2035</v>
      </c>
    </row>
    <row r="95" customFormat="false" ht="15" hidden="false" customHeight="false" outlineLevel="0" collapsed="false">
      <c r="A95" s="270" t="s">
        <v>519</v>
      </c>
      <c r="B95" s="195" t="s">
        <v>17</v>
      </c>
      <c r="C95" s="248" t="n">
        <v>2050</v>
      </c>
    </row>
    <row r="96" customFormat="false" ht="15" hidden="false" customHeight="false" outlineLevel="0" collapsed="false">
      <c r="A96" s="270" t="s">
        <v>520</v>
      </c>
      <c r="B96" s="195" t="s">
        <v>11</v>
      </c>
      <c r="C96" s="248" t="n">
        <v>0</v>
      </c>
    </row>
    <row r="97" customFormat="false" ht="15" hidden="false" customHeight="false" outlineLevel="0" collapsed="false">
      <c r="A97" s="265" t="s">
        <v>239</v>
      </c>
      <c r="B97" s="198" t="s">
        <v>11</v>
      </c>
      <c r="C97" s="271" t="n">
        <v>0</v>
      </c>
    </row>
    <row r="99" customFormat="false" ht="17.35" hidden="false" customHeight="false" outlineLevel="0" collapsed="false">
      <c r="A99" s="272" t="s">
        <v>31</v>
      </c>
      <c r="B99" s="273"/>
      <c r="C99" s="273"/>
      <c r="D99" s="273"/>
      <c r="E99" s="274"/>
    </row>
    <row r="100" customFormat="false" ht="15" hidden="false" customHeight="true" outlineLevel="0" collapsed="false">
      <c r="A100" s="275" t="s">
        <v>32</v>
      </c>
      <c r="B100" s="276" t="s">
        <v>33</v>
      </c>
      <c r="C100" s="277" t="n">
        <v>4</v>
      </c>
      <c r="D100" s="278" t="s">
        <v>521</v>
      </c>
      <c r="E100" s="248" t="n">
        <v>2032</v>
      </c>
    </row>
    <row r="101" customFormat="false" ht="15" hidden="false" customHeight="false" outlineLevel="0" collapsed="false">
      <c r="A101" s="275"/>
      <c r="B101" s="276" t="s">
        <v>35</v>
      </c>
      <c r="C101" s="277"/>
      <c r="D101" s="278" t="s">
        <v>522</v>
      </c>
      <c r="E101" s="248" t="n">
        <v>0.8</v>
      </c>
    </row>
    <row r="102" customFormat="false" ht="15" hidden="false" customHeight="false" outlineLevel="0" collapsed="false">
      <c r="A102" s="275"/>
      <c r="B102" s="276" t="s">
        <v>36</v>
      </c>
      <c r="C102" s="277"/>
      <c r="E102" s="279"/>
    </row>
    <row r="103" customFormat="false" ht="14.25" hidden="false" customHeight="true" outlineLevel="0" collapsed="false">
      <c r="A103" s="275"/>
      <c r="B103" s="280" t="s">
        <v>37</v>
      </c>
      <c r="C103" s="277"/>
      <c r="D103" s="108"/>
      <c r="E103" s="239"/>
    </row>
    <row r="106" customFormat="false" ht="24.45" hidden="false" customHeight="false" outlineLevel="0" collapsed="false">
      <c r="A106" s="189" t="s">
        <v>523</v>
      </c>
    </row>
    <row r="107" customFormat="false" ht="17.35" hidden="false" customHeight="false" outlineLevel="0" collapsed="false">
      <c r="A107" s="212" t="s">
        <v>524</v>
      </c>
      <c r="B107" s="212"/>
      <c r="C107" s="212"/>
      <c r="D107" s="212"/>
      <c r="E107" s="212"/>
      <c r="F107" s="212"/>
      <c r="G107" s="212"/>
      <c r="H107" s="212"/>
      <c r="I107" s="212"/>
      <c r="J107" s="212"/>
    </row>
    <row r="108" customFormat="false" ht="15" hidden="false" customHeight="false" outlineLevel="0" collapsed="false">
      <c r="A108" s="213" t="s">
        <v>17</v>
      </c>
      <c r="B108" s="281"/>
      <c r="C108" s="195" t="s">
        <v>17</v>
      </c>
      <c r="D108" s="282" t="n">
        <v>2020</v>
      </c>
      <c r="E108" s="282" t="n">
        <v>2025</v>
      </c>
      <c r="F108" s="282" t="n">
        <v>2030</v>
      </c>
      <c r="G108" s="282" t="n">
        <v>2035</v>
      </c>
      <c r="H108" s="282" t="n">
        <v>2040</v>
      </c>
      <c r="I108" s="282" t="n">
        <v>2045</v>
      </c>
      <c r="J108" s="248" t="n">
        <v>2050</v>
      </c>
    </row>
    <row r="109" customFormat="false" ht="15" hidden="false" customHeight="false" outlineLevel="0" collapsed="false">
      <c r="A109" s="283" t="s">
        <v>525</v>
      </c>
      <c r="B109" s="281" t="s">
        <v>526</v>
      </c>
      <c r="C109" s="195" t="s">
        <v>11</v>
      </c>
      <c r="D109" s="284" t="n">
        <v>0.884728649558267</v>
      </c>
      <c r="E109" s="284" t="n">
        <v>0.880334612500551</v>
      </c>
      <c r="F109" s="284" t="n">
        <v>0.875347755270832</v>
      </c>
      <c r="G109" s="284" t="n">
        <v>0.8703</v>
      </c>
      <c r="H109" s="284" t="n">
        <f aca="false">1-H110-H111</f>
        <v>0.86507</v>
      </c>
      <c r="I109" s="284" t="n">
        <f aca="false">1-I110-I111</f>
        <v>0.8598</v>
      </c>
      <c r="J109" s="284" t="n">
        <f aca="false">1-J110-J111</f>
        <v>0.85444</v>
      </c>
    </row>
    <row r="110" customFormat="false" ht="15" hidden="false" customHeight="false" outlineLevel="0" collapsed="false">
      <c r="A110" s="283"/>
      <c r="B110" s="281" t="s">
        <v>527</v>
      </c>
      <c r="C110" s="195" t="s">
        <v>11</v>
      </c>
      <c r="D110" s="284" t="n">
        <v>0.115271350441733</v>
      </c>
      <c r="E110" s="284" t="n">
        <v>0.119665387499449</v>
      </c>
      <c r="F110" s="284" t="n">
        <v>0.124652244729168</v>
      </c>
      <c r="G110" s="284" t="n">
        <v>0.1297</v>
      </c>
      <c r="H110" s="284" t="n">
        <v>0.13493</v>
      </c>
      <c r="I110" s="284" t="n">
        <v>0.1402</v>
      </c>
      <c r="J110" s="285" t="n">
        <v>0.14556</v>
      </c>
    </row>
    <row r="111" customFormat="false" ht="15" hidden="false" customHeight="false" outlineLevel="0" collapsed="false">
      <c r="A111" s="283"/>
      <c r="B111" s="281" t="s">
        <v>528</v>
      </c>
      <c r="C111" s="195" t="s">
        <v>11</v>
      </c>
      <c r="D111" s="284" t="n">
        <v>0</v>
      </c>
      <c r="E111" s="284" t="n">
        <v>0</v>
      </c>
      <c r="F111" s="284" t="n">
        <v>0</v>
      </c>
      <c r="G111" s="284" t="n">
        <v>0</v>
      </c>
      <c r="H111" s="284" t="n">
        <v>0</v>
      </c>
      <c r="I111" s="284" t="n">
        <v>0</v>
      </c>
      <c r="J111" s="285" t="n">
        <v>0</v>
      </c>
    </row>
    <row r="112" customFormat="false" ht="15" hidden="false" customHeight="false" outlineLevel="0" collapsed="false">
      <c r="A112" s="283" t="s">
        <v>529</v>
      </c>
      <c r="B112" s="281" t="s">
        <v>526</v>
      </c>
      <c r="C112" s="195" t="s">
        <v>11</v>
      </c>
      <c r="D112" s="284" t="n">
        <v>0.941542565014448</v>
      </c>
      <c r="E112" s="284" t="n">
        <v>0.900290185698342</v>
      </c>
      <c r="F112" s="284" t="n">
        <v>0.899485949917109</v>
      </c>
      <c r="G112" s="284" t="n">
        <v>0.898682485967326</v>
      </c>
      <c r="H112" s="284" t="n">
        <v>0.897879793054911</v>
      </c>
      <c r="I112" s="284" t="n">
        <v>0.897077870386644</v>
      </c>
      <c r="J112" s="285" t="n">
        <v>0.8962</v>
      </c>
    </row>
    <row r="113" customFormat="false" ht="15" hidden="false" customHeight="false" outlineLevel="0" collapsed="false">
      <c r="A113" s="283"/>
      <c r="B113" s="281" t="s">
        <v>527</v>
      </c>
      <c r="C113" s="195" t="s">
        <v>11</v>
      </c>
      <c r="D113" s="284" t="n">
        <v>0.00422316070237831</v>
      </c>
      <c r="E113" s="284" t="n">
        <v>0.00591359689433226</v>
      </c>
      <c r="F113" s="284" t="n">
        <v>0.00606680081830671</v>
      </c>
      <c r="G113" s="284" t="n">
        <v>0.0062248184197547</v>
      </c>
      <c r="H113" s="284" t="n">
        <v>0.00638782522707298</v>
      </c>
      <c r="I113" s="284" t="n">
        <v>0.0065</v>
      </c>
      <c r="J113" s="285" t="n">
        <v>0.00672954375025719</v>
      </c>
    </row>
    <row r="114" customFormat="false" ht="15" hidden="false" customHeight="false" outlineLevel="0" collapsed="false">
      <c r="A114" s="283"/>
      <c r="B114" s="281" t="s">
        <v>528</v>
      </c>
      <c r="C114" s="195" t="s">
        <v>11</v>
      </c>
      <c r="D114" s="284" t="n">
        <v>0.054234274283174</v>
      </c>
      <c r="E114" s="284" t="n">
        <v>0.0937962174073255</v>
      </c>
      <c r="F114" s="284" t="n">
        <v>0.0944472492645847</v>
      </c>
      <c r="G114" s="284" t="n">
        <f aca="false">1-G113-G112</f>
        <v>0.0950926956129192</v>
      </c>
      <c r="H114" s="284" t="n">
        <f aca="false">1-H113-H112</f>
        <v>0.0957323817180161</v>
      </c>
      <c r="I114" s="284" t="n">
        <f aca="false">1-I113-I112</f>
        <v>0.0964221296133561</v>
      </c>
      <c r="J114" s="284" t="n">
        <f aca="false">1-J113-J112</f>
        <v>0.0970704562497429</v>
      </c>
    </row>
    <row r="115" customFormat="false" ht="15" hidden="false" customHeight="false" outlineLevel="0" collapsed="false">
      <c r="A115" s="213" t="s">
        <v>530</v>
      </c>
      <c r="B115" s="286"/>
      <c r="C115" s="195" t="s">
        <v>11</v>
      </c>
      <c r="D115" s="284" t="n">
        <v>0.861189801699717</v>
      </c>
      <c r="E115" s="284" t="n">
        <v>0.800991501416431</v>
      </c>
      <c r="F115" s="284" t="n">
        <v>0.740793201133145</v>
      </c>
      <c r="G115" s="284" t="n">
        <v>0.680594900849858</v>
      </c>
      <c r="H115" s="284" t="n">
        <v>0.620396600566572</v>
      </c>
      <c r="I115" s="284" t="n">
        <v>0.560198300283286</v>
      </c>
      <c r="J115" s="285" t="n">
        <v>0.5</v>
      </c>
    </row>
    <row r="116" customFormat="false" ht="16.4" hidden="false" customHeight="false" outlineLevel="0" collapsed="false">
      <c r="A116" s="213" t="s">
        <v>531</v>
      </c>
      <c r="B116" s="286"/>
      <c r="C116" s="195" t="s">
        <v>532</v>
      </c>
      <c r="D116" s="287" t="n">
        <v>1</v>
      </c>
      <c r="E116" s="287" t="n">
        <v>1</v>
      </c>
      <c r="F116" s="287" t="n">
        <v>1</v>
      </c>
      <c r="G116" s="288" t="n">
        <f aca="false">SUM(G109:G111)</f>
        <v>1</v>
      </c>
      <c r="H116" s="288" t="n">
        <f aca="false">SUM(H112:H114)</f>
        <v>1</v>
      </c>
      <c r="I116" s="288" t="n">
        <f aca="false">SUM(I112:I114)</f>
        <v>1</v>
      </c>
      <c r="J116" s="288" t="n">
        <f aca="false">SUM(J112:J114)</f>
        <v>1</v>
      </c>
    </row>
    <row r="117" customFormat="false" ht="16.4" hidden="false" customHeight="false" outlineLevel="0" collapsed="false">
      <c r="A117" s="232" t="s">
        <v>533</v>
      </c>
      <c r="B117" s="286"/>
      <c r="C117" s="198" t="s">
        <v>532</v>
      </c>
      <c r="D117" s="289" t="n">
        <v>1</v>
      </c>
      <c r="E117" s="289" t="n">
        <v>1</v>
      </c>
      <c r="F117" s="289" t="n">
        <v>1</v>
      </c>
      <c r="G117" s="290" t="n">
        <f aca="false">SUM(G109:G111)</f>
        <v>1</v>
      </c>
      <c r="H117" s="290" t="n">
        <f aca="false">SUM(H109:H111)</f>
        <v>1</v>
      </c>
      <c r="I117" s="290" t="n">
        <f aca="false">SUM(I109:I111)</f>
        <v>1</v>
      </c>
      <c r="J117" s="290" t="n">
        <f aca="false">SUM(J109:J111)</f>
        <v>1</v>
      </c>
    </row>
    <row r="118" customFormat="false" ht="17.35" hidden="false" customHeight="false" outlineLevel="0" collapsed="false">
      <c r="A118" s="240" t="s">
        <v>534</v>
      </c>
      <c r="B118" s="240"/>
      <c r="C118" s="240"/>
      <c r="D118" s="240"/>
      <c r="E118" s="240"/>
      <c r="F118" s="240"/>
      <c r="G118" s="240"/>
      <c r="H118" s="240"/>
      <c r="I118" s="240"/>
    </row>
    <row r="119" customFormat="false" ht="15" hidden="false" customHeight="false" outlineLevel="0" collapsed="false">
      <c r="A119" s="213" t="s">
        <v>17</v>
      </c>
      <c r="B119" s="195" t="s">
        <v>17</v>
      </c>
      <c r="C119" s="282" t="n">
        <v>2020</v>
      </c>
      <c r="D119" s="282" t="n">
        <v>2025</v>
      </c>
      <c r="E119" s="282" t="n">
        <v>2030</v>
      </c>
      <c r="F119" s="282" t="n">
        <v>2035</v>
      </c>
      <c r="G119" s="282" t="n">
        <v>2040</v>
      </c>
      <c r="H119" s="282" t="n">
        <v>2045</v>
      </c>
      <c r="I119" s="248" t="n">
        <v>2050</v>
      </c>
    </row>
    <row r="120" customFormat="false" ht="15" hidden="false" customHeight="false" outlineLevel="0" collapsed="false">
      <c r="A120" s="283" t="s">
        <v>535</v>
      </c>
      <c r="B120" s="195" t="s">
        <v>536</v>
      </c>
      <c r="C120" s="284" t="n">
        <v>0.806894766766191</v>
      </c>
      <c r="D120" s="284" t="n">
        <v>0.710215421760778</v>
      </c>
      <c r="E120" s="284" t="n">
        <v>0.60650331097056</v>
      </c>
      <c r="F120" s="284" t="n">
        <v>0.519297101522442</v>
      </c>
      <c r="G120" s="284" t="n">
        <v>0.432090892074324</v>
      </c>
      <c r="H120" s="284" t="n">
        <v>0.344884682626206</v>
      </c>
      <c r="I120" s="285" t="n">
        <v>0.272681803709289</v>
      </c>
    </row>
    <row r="121" customFormat="false" ht="15" hidden="false" customHeight="false" outlineLevel="0" collapsed="false">
      <c r="A121" s="283"/>
      <c r="B121" s="195" t="s">
        <v>170</v>
      </c>
      <c r="C121" s="284" t="n">
        <v>0.0257197201277087</v>
      </c>
      <c r="D121" s="284" t="n">
        <v>0.0504865457750533</v>
      </c>
      <c r="E121" s="284" t="n">
        <v>0.0725226414272688</v>
      </c>
      <c r="F121" s="284" t="n">
        <v>0.0966968552363585</v>
      </c>
      <c r="G121" s="284" t="n">
        <v>0.120871069045448</v>
      </c>
      <c r="H121" s="284" t="n">
        <v>0.145045282854538</v>
      </c>
      <c r="I121" s="285" t="n">
        <v>0.169219496663627</v>
      </c>
    </row>
    <row r="122" customFormat="false" ht="15" hidden="false" customHeight="false" outlineLevel="0" collapsed="false">
      <c r="A122" s="283"/>
      <c r="B122" s="195" t="s">
        <v>352</v>
      </c>
      <c r="C122" s="284" t="n">
        <v>0.14108125388458</v>
      </c>
      <c r="D122" s="284" t="n">
        <v>0.187664065194228</v>
      </c>
      <c r="E122" s="284" t="n">
        <v>0.246803164324282</v>
      </c>
      <c r="F122" s="284" t="n">
        <v>0.285111532204015</v>
      </c>
      <c r="G122" s="284" t="n">
        <v>0.323419900083747</v>
      </c>
      <c r="H122" s="284" t="n">
        <v>0.361728267963479</v>
      </c>
      <c r="I122" s="285" t="n">
        <v>0.38503330531201</v>
      </c>
    </row>
    <row r="123" customFormat="false" ht="15" hidden="false" customHeight="false" outlineLevel="0" collapsed="false">
      <c r="A123" s="283"/>
      <c r="B123" s="195" t="s">
        <v>537</v>
      </c>
      <c r="C123" s="284" t="n">
        <v>0.0263042592215203</v>
      </c>
      <c r="D123" s="284" t="n">
        <v>0.0516339672699409</v>
      </c>
      <c r="E123" s="284" t="n">
        <v>0.0741708832778886</v>
      </c>
      <c r="F123" s="284" t="n">
        <v>0.0988945110371848</v>
      </c>
      <c r="G123" s="284" t="n">
        <v>0.123618138796481</v>
      </c>
      <c r="H123" s="284" t="n">
        <v>0.148341766555777</v>
      </c>
      <c r="I123" s="285" t="n">
        <v>0.173065394315073</v>
      </c>
    </row>
    <row r="124" customFormat="false" ht="15" hidden="false" customHeight="false" outlineLevel="0" collapsed="false">
      <c r="A124" s="283" t="s">
        <v>527</v>
      </c>
      <c r="B124" s="195" t="s">
        <v>536</v>
      </c>
      <c r="C124" s="284" t="n">
        <v>0.966386554621849</v>
      </c>
      <c r="D124" s="284" t="n">
        <v>0.932773109243698</v>
      </c>
      <c r="E124" s="284" t="n">
        <v>0.899159663865546</v>
      </c>
      <c r="F124" s="284" t="n">
        <v>0.865546218487395</v>
      </c>
      <c r="G124" s="284" t="n">
        <v>0.831932773109244</v>
      </c>
      <c r="H124" s="284" t="n">
        <v>0.798319327731093</v>
      </c>
      <c r="I124" s="285" t="n">
        <v>0.764705882352941</v>
      </c>
    </row>
    <row r="125" customFormat="false" ht="15" hidden="false" customHeight="false" outlineLevel="0" collapsed="false">
      <c r="A125" s="283"/>
      <c r="B125" s="195" t="s">
        <v>170</v>
      </c>
      <c r="C125" s="284" t="n">
        <v>0.0336134453781513</v>
      </c>
      <c r="D125" s="284" t="n">
        <v>0.0672268907563025</v>
      </c>
      <c r="E125" s="284" t="n">
        <v>0.100840336134454</v>
      </c>
      <c r="F125" s="284" t="n">
        <v>0.134453781512605</v>
      </c>
      <c r="G125" s="284" t="n">
        <v>0.168067226890756</v>
      </c>
      <c r="H125" s="284" t="n">
        <v>0.201680672268908</v>
      </c>
      <c r="I125" s="285" t="n">
        <v>0.235294117647059</v>
      </c>
    </row>
    <row r="126" customFormat="false" ht="15" hidden="false" customHeight="false" outlineLevel="0" collapsed="false">
      <c r="A126" s="283"/>
      <c r="B126" s="195" t="s">
        <v>352</v>
      </c>
      <c r="C126" s="284" t="n">
        <v>0</v>
      </c>
      <c r="D126" s="284" t="n">
        <v>0</v>
      </c>
      <c r="E126" s="284" t="n">
        <v>0</v>
      </c>
      <c r="F126" s="284" t="n">
        <v>0</v>
      </c>
      <c r="G126" s="284" t="n">
        <v>0</v>
      </c>
      <c r="H126" s="284" t="n">
        <v>0</v>
      </c>
      <c r="I126" s="285" t="n">
        <v>0</v>
      </c>
    </row>
    <row r="127" customFormat="false" ht="15" hidden="false" customHeight="false" outlineLevel="0" collapsed="false">
      <c r="A127" s="283"/>
      <c r="B127" s="195" t="s">
        <v>537</v>
      </c>
      <c r="C127" s="284" t="n">
        <v>0</v>
      </c>
      <c r="D127" s="284" t="n">
        <v>0</v>
      </c>
      <c r="E127" s="284" t="n">
        <v>0</v>
      </c>
      <c r="F127" s="284" t="n">
        <v>0</v>
      </c>
      <c r="G127" s="284" t="n">
        <v>0</v>
      </c>
      <c r="H127" s="284" t="n">
        <v>0</v>
      </c>
      <c r="I127" s="285" t="n">
        <v>0</v>
      </c>
    </row>
    <row r="128" customFormat="false" ht="15" hidden="false" customHeight="false" outlineLevel="0" collapsed="false">
      <c r="A128" s="291" t="s">
        <v>528</v>
      </c>
      <c r="B128" s="195" t="s">
        <v>536</v>
      </c>
      <c r="C128" s="284" t="n">
        <v>0</v>
      </c>
      <c r="D128" s="284" t="n">
        <v>0</v>
      </c>
      <c r="E128" s="284" t="n">
        <v>0</v>
      </c>
      <c r="F128" s="284" t="n">
        <v>0</v>
      </c>
      <c r="G128" s="284" t="n">
        <v>0</v>
      </c>
      <c r="H128" s="284" t="n">
        <v>0</v>
      </c>
      <c r="I128" s="285" t="n">
        <v>0</v>
      </c>
    </row>
    <row r="129" customFormat="false" ht="15" hidden="false" customHeight="false" outlineLevel="0" collapsed="false">
      <c r="A129" s="291"/>
      <c r="B129" s="195" t="s">
        <v>170</v>
      </c>
      <c r="C129" s="284" t="n">
        <v>0</v>
      </c>
      <c r="D129" s="284" t="n">
        <v>0</v>
      </c>
      <c r="E129" s="284" t="n">
        <v>0</v>
      </c>
      <c r="F129" s="284" t="n">
        <v>0</v>
      </c>
      <c r="G129" s="284" t="n">
        <v>0</v>
      </c>
      <c r="H129" s="284" t="n">
        <v>0</v>
      </c>
      <c r="I129" s="285" t="n">
        <v>0</v>
      </c>
    </row>
    <row r="130" customFormat="false" ht="15" hidden="false" customHeight="false" outlineLevel="0" collapsed="false">
      <c r="A130" s="291"/>
      <c r="B130" s="195" t="s">
        <v>352</v>
      </c>
      <c r="C130" s="284" t="n">
        <v>0</v>
      </c>
      <c r="D130" s="284" t="n">
        <v>0</v>
      </c>
      <c r="E130" s="284" t="n">
        <v>0</v>
      </c>
      <c r="F130" s="284" t="n">
        <v>0</v>
      </c>
      <c r="G130" s="284" t="n">
        <v>0</v>
      </c>
      <c r="H130" s="284" t="n">
        <v>0</v>
      </c>
      <c r="I130" s="285" t="n">
        <v>0</v>
      </c>
    </row>
    <row r="131" customFormat="false" ht="15" hidden="false" customHeight="false" outlineLevel="0" collapsed="false">
      <c r="A131" s="291"/>
      <c r="B131" s="195" t="s">
        <v>537</v>
      </c>
      <c r="C131" s="292" t="n">
        <v>0</v>
      </c>
      <c r="D131" s="292" t="n">
        <v>0</v>
      </c>
      <c r="E131" s="292" t="n">
        <v>0</v>
      </c>
      <c r="F131" s="292" t="n">
        <v>0</v>
      </c>
      <c r="G131" s="292" t="n">
        <v>0</v>
      </c>
      <c r="H131" s="292" t="n">
        <v>0</v>
      </c>
      <c r="I131" s="293" t="n">
        <v>0</v>
      </c>
    </row>
    <row r="132" customFormat="false" ht="17.35" hidden="false" customHeight="false" outlineLevel="0" collapsed="false">
      <c r="A132" s="240" t="s">
        <v>538</v>
      </c>
      <c r="B132" s="240"/>
      <c r="C132" s="240"/>
      <c r="D132" s="240"/>
      <c r="E132" s="240"/>
      <c r="F132" s="240"/>
      <c r="G132" s="240"/>
      <c r="H132" s="240"/>
      <c r="I132" s="240"/>
    </row>
    <row r="133" customFormat="false" ht="15" hidden="false" customHeight="false" outlineLevel="0" collapsed="false">
      <c r="A133" s="213" t="s">
        <v>17</v>
      </c>
      <c r="B133" s="195" t="s">
        <v>17</v>
      </c>
      <c r="C133" s="282" t="n">
        <v>2020</v>
      </c>
      <c r="D133" s="282" t="n">
        <v>2025</v>
      </c>
      <c r="E133" s="282" t="n">
        <v>2030</v>
      </c>
      <c r="F133" s="282" t="n">
        <v>2035</v>
      </c>
      <c r="G133" s="282" t="n">
        <v>2040</v>
      </c>
      <c r="H133" s="282" t="n">
        <v>2045</v>
      </c>
      <c r="I133" s="248" t="n">
        <v>2050</v>
      </c>
    </row>
    <row r="134" customFormat="false" ht="15" hidden="false" customHeight="false" outlineLevel="0" collapsed="false">
      <c r="A134" s="283" t="s">
        <v>535</v>
      </c>
      <c r="B134" s="195" t="s">
        <v>536</v>
      </c>
      <c r="C134" s="284" t="n">
        <v>0.812328070617052</v>
      </c>
      <c r="D134" s="284" t="n">
        <v>0.690704484080468</v>
      </c>
      <c r="E134" s="284" t="n">
        <v>0.581219325384736</v>
      </c>
      <c r="F134" s="284" t="n">
        <v>0.47324615070277</v>
      </c>
      <c r="G134" s="284" t="n">
        <v>0.365272976020804</v>
      </c>
      <c r="H134" s="284" t="n">
        <v>0.257299801338838</v>
      </c>
      <c r="I134" s="285" t="n">
        <v>0.0473264628821185</v>
      </c>
    </row>
    <row r="135" customFormat="false" ht="15" hidden="false" customHeight="false" outlineLevel="0" collapsed="false">
      <c r="A135" s="283"/>
      <c r="B135" s="195" t="s">
        <v>170</v>
      </c>
      <c r="C135" s="284" t="n">
        <v>0.0505115435433495</v>
      </c>
      <c r="D135" s="284" t="n">
        <v>0.0639897564814042</v>
      </c>
      <c r="E135" s="284" t="n">
        <v>0.0782975707697648</v>
      </c>
      <c r="F135" s="284" t="n">
        <v>0.0938225342940677</v>
      </c>
      <c r="G135" s="284" t="n">
        <v>0.10934749781837</v>
      </c>
      <c r="H135" s="284" t="n">
        <v>0.124872461342673</v>
      </c>
      <c r="I135" s="285" t="n">
        <v>0.147110104070304</v>
      </c>
    </row>
    <row r="136" customFormat="false" ht="15" hidden="false" customHeight="false" outlineLevel="0" collapsed="false">
      <c r="A136" s="283"/>
      <c r="B136" s="195" t="s">
        <v>352</v>
      </c>
      <c r="C136" s="284" t="n">
        <v>0.133646787816532</v>
      </c>
      <c r="D136" s="284" t="n">
        <v>0.238252494368915</v>
      </c>
      <c r="E136" s="284" t="n">
        <v>0.329808059781831</v>
      </c>
      <c r="F136" s="284" t="n">
        <v>0.418734491739984</v>
      </c>
      <c r="G136" s="284" t="n">
        <v>0.507660923698136</v>
      </c>
      <c r="H136" s="284" t="n">
        <v>0.596587355656288</v>
      </c>
      <c r="I136" s="285" t="n">
        <v>0.780910978650999</v>
      </c>
    </row>
    <row r="137" customFormat="false" ht="15" hidden="false" customHeight="false" outlineLevel="0" collapsed="false">
      <c r="A137" s="283"/>
      <c r="B137" s="195" t="s">
        <v>537</v>
      </c>
      <c r="C137" s="284" t="n">
        <v>0.00351359802306619</v>
      </c>
      <c r="D137" s="284" t="n">
        <v>0.00705326506921272</v>
      </c>
      <c r="E137" s="284" t="n">
        <v>0.0106750440636676</v>
      </c>
      <c r="F137" s="284" t="n">
        <v>0.0141968232631788</v>
      </c>
      <c r="G137" s="284" t="n">
        <v>0.01771860246269</v>
      </c>
      <c r="H137" s="284" t="n">
        <v>0.0212403816622012</v>
      </c>
      <c r="I137" s="285" t="n">
        <v>0.0246524543965785</v>
      </c>
    </row>
    <row r="138" customFormat="false" ht="15" hidden="false" customHeight="false" outlineLevel="0" collapsed="false">
      <c r="A138" s="283" t="s">
        <v>527</v>
      </c>
      <c r="B138" s="195" t="s">
        <v>536</v>
      </c>
      <c r="C138" s="284" t="n">
        <v>0.966386554621849</v>
      </c>
      <c r="D138" s="284" t="n">
        <v>0.932773109243698</v>
      </c>
      <c r="E138" s="284" t="n">
        <v>0.899159663865546</v>
      </c>
      <c r="F138" s="284" t="n">
        <v>0.865546218487395</v>
      </c>
      <c r="G138" s="284" t="n">
        <v>0.831932773109244</v>
      </c>
      <c r="H138" s="284" t="n">
        <v>0.798319327731093</v>
      </c>
      <c r="I138" s="285" t="n">
        <v>0.764705882352941</v>
      </c>
    </row>
    <row r="139" customFormat="false" ht="15" hidden="false" customHeight="false" outlineLevel="0" collapsed="false">
      <c r="A139" s="283"/>
      <c r="B139" s="195" t="s">
        <v>170</v>
      </c>
      <c r="C139" s="284" t="n">
        <v>0.0336134453781513</v>
      </c>
      <c r="D139" s="284" t="n">
        <v>0.0672268907563025</v>
      </c>
      <c r="E139" s="284" t="n">
        <v>0.100840336134454</v>
      </c>
      <c r="F139" s="284" t="n">
        <v>0.134453781512605</v>
      </c>
      <c r="G139" s="284" t="n">
        <v>0.168067226890756</v>
      </c>
      <c r="H139" s="284" t="n">
        <v>0.201680672268908</v>
      </c>
      <c r="I139" s="285" t="n">
        <v>0.235294117647059</v>
      </c>
    </row>
    <row r="140" customFormat="false" ht="15" hidden="false" customHeight="false" outlineLevel="0" collapsed="false">
      <c r="A140" s="283"/>
      <c r="B140" s="195" t="s">
        <v>352</v>
      </c>
      <c r="C140" s="284" t="n">
        <v>0</v>
      </c>
      <c r="D140" s="284" t="n">
        <v>0</v>
      </c>
      <c r="E140" s="284" t="n">
        <v>0</v>
      </c>
      <c r="F140" s="284" t="n">
        <v>0</v>
      </c>
      <c r="G140" s="284" t="n">
        <v>0</v>
      </c>
      <c r="H140" s="284" t="n">
        <v>0</v>
      </c>
      <c r="I140" s="285" t="n">
        <v>0</v>
      </c>
    </row>
    <row r="141" customFormat="false" ht="15" hidden="false" customHeight="false" outlineLevel="0" collapsed="false">
      <c r="A141" s="283"/>
      <c r="B141" s="195" t="s">
        <v>537</v>
      </c>
      <c r="C141" s="284" t="n">
        <v>0</v>
      </c>
      <c r="D141" s="284" t="n">
        <v>0</v>
      </c>
      <c r="E141" s="284" t="n">
        <v>0</v>
      </c>
      <c r="F141" s="284" t="n">
        <v>0</v>
      </c>
      <c r="G141" s="284" t="n">
        <v>0</v>
      </c>
      <c r="H141" s="284" t="n">
        <v>0</v>
      </c>
      <c r="I141" s="285" t="n">
        <v>0</v>
      </c>
    </row>
    <row r="142" customFormat="false" ht="15" hidden="false" customHeight="false" outlineLevel="0" collapsed="false">
      <c r="A142" s="283" t="s">
        <v>528</v>
      </c>
      <c r="B142" s="195" t="s">
        <v>536</v>
      </c>
      <c r="C142" s="284" t="n">
        <v>0.997198879551821</v>
      </c>
      <c r="D142" s="284" t="n">
        <v>0.994397759103642</v>
      </c>
      <c r="E142" s="284" t="n">
        <v>0.991596638655462</v>
      </c>
      <c r="F142" s="284" t="n">
        <v>0.988795518207283</v>
      </c>
      <c r="G142" s="284" t="n">
        <v>0.985994397759104</v>
      </c>
      <c r="H142" s="284" t="n">
        <v>0.983193277310924</v>
      </c>
      <c r="I142" s="285" t="n">
        <v>0.980392156862745</v>
      </c>
    </row>
    <row r="143" customFormat="false" ht="15" hidden="false" customHeight="false" outlineLevel="0" collapsed="false">
      <c r="A143" s="283"/>
      <c r="B143" s="195" t="s">
        <v>170</v>
      </c>
      <c r="C143" s="284" t="n">
        <v>0</v>
      </c>
      <c r="D143" s="284" t="n">
        <v>0</v>
      </c>
      <c r="E143" s="284" t="n">
        <v>0</v>
      </c>
      <c r="F143" s="284" t="n">
        <v>0</v>
      </c>
      <c r="G143" s="284" t="n">
        <v>0</v>
      </c>
      <c r="H143" s="284" t="n">
        <v>0</v>
      </c>
      <c r="I143" s="285" t="n">
        <v>0</v>
      </c>
    </row>
    <row r="144" customFormat="false" ht="15" hidden="false" customHeight="false" outlineLevel="0" collapsed="false">
      <c r="A144" s="283"/>
      <c r="B144" s="195" t="s">
        <v>352</v>
      </c>
      <c r="C144" s="284" t="n">
        <v>0.00280112044817927</v>
      </c>
      <c r="D144" s="284" t="n">
        <v>0.00560224089635854</v>
      </c>
      <c r="E144" s="284" t="n">
        <v>0.00840336134453782</v>
      </c>
      <c r="F144" s="284" t="n">
        <v>0.0112044817927171</v>
      </c>
      <c r="G144" s="284" t="n">
        <v>0.0140056022408964</v>
      </c>
      <c r="H144" s="284" t="n">
        <v>0.0168067226890756</v>
      </c>
      <c r="I144" s="285" t="n">
        <v>0.0196078431372549</v>
      </c>
    </row>
    <row r="145" customFormat="false" ht="15" hidden="false" customHeight="false" outlineLevel="0" collapsed="false">
      <c r="A145" s="283"/>
      <c r="B145" s="195" t="s">
        <v>537</v>
      </c>
      <c r="C145" s="284" t="n">
        <v>0</v>
      </c>
      <c r="D145" s="284" t="n">
        <v>0</v>
      </c>
      <c r="E145" s="284" t="n">
        <v>0</v>
      </c>
      <c r="F145" s="284" t="n">
        <v>0</v>
      </c>
      <c r="G145" s="284" t="n">
        <v>0</v>
      </c>
      <c r="H145" s="284" t="n">
        <v>0</v>
      </c>
      <c r="I145" s="285" t="n">
        <v>0</v>
      </c>
    </row>
    <row r="146" customFormat="false" ht="15" hidden="false" customHeight="false" outlineLevel="0" collapsed="false">
      <c r="A146" s="291" t="s">
        <v>539</v>
      </c>
      <c r="B146" s="195" t="s">
        <v>536</v>
      </c>
      <c r="C146" s="284" t="n">
        <v>0.828710839598997</v>
      </c>
      <c r="D146" s="284" t="n">
        <v>0.696621510611267</v>
      </c>
      <c r="E146" s="284" t="n">
        <v>0.564597266908706</v>
      </c>
      <c r="F146" s="284" t="n">
        <v>0.4325196526178</v>
      </c>
      <c r="G146" s="284" t="n">
        <v>0.300442038326894</v>
      </c>
      <c r="H146" s="284" t="n">
        <v>0.168364424035988</v>
      </c>
      <c r="I146" s="285" t="n">
        <v>0.0362868097450825</v>
      </c>
    </row>
    <row r="147" customFormat="false" ht="15" hidden="false" customHeight="false" outlineLevel="0" collapsed="false">
      <c r="A147" s="291"/>
      <c r="B147" s="195" t="s">
        <v>170</v>
      </c>
      <c r="C147" s="284" t="n">
        <v>0.0569658521303258</v>
      </c>
      <c r="D147" s="284" t="n">
        <v>0.075022347727485</v>
      </c>
      <c r="E147" s="284" t="n">
        <v>0.0930658402211721</v>
      </c>
      <c r="F147" s="284" t="n">
        <v>0.111123391308862</v>
      </c>
      <c r="G147" s="284" t="n">
        <v>0.129180942396552</v>
      </c>
      <c r="H147" s="284" t="n">
        <v>0.147238493484242</v>
      </c>
      <c r="I147" s="285" t="n">
        <v>0.165296044571933</v>
      </c>
    </row>
    <row r="148" customFormat="false" ht="15" hidden="false" customHeight="false" outlineLevel="0" collapsed="false">
      <c r="A148" s="291"/>
      <c r="B148" s="195" t="s">
        <v>352</v>
      </c>
      <c r="C148" s="284" t="n">
        <v>0.111544486215539</v>
      </c>
      <c r="D148" s="284" t="n">
        <v>0.222798930718471</v>
      </c>
      <c r="E148" s="284" t="n">
        <v>0.334002638521957</v>
      </c>
      <c r="F148" s="284" t="n">
        <v>0.445244616942451</v>
      </c>
      <c r="G148" s="284" t="n">
        <v>0.556486595362946</v>
      </c>
      <c r="H148" s="284" t="n">
        <v>0.66772857378344</v>
      </c>
      <c r="I148" s="285" t="n">
        <v>0.778970552203934</v>
      </c>
    </row>
    <row r="149" customFormat="false" ht="15" hidden="false" customHeight="false" outlineLevel="0" collapsed="false">
      <c r="A149" s="291"/>
      <c r="B149" s="195" t="s">
        <v>537</v>
      </c>
      <c r="C149" s="292" t="n">
        <v>0.00277882205513784</v>
      </c>
      <c r="D149" s="292" t="n">
        <v>0.00555721094277666</v>
      </c>
      <c r="E149" s="292" t="n">
        <v>0.00833425434816467</v>
      </c>
      <c r="F149" s="292" t="n">
        <v>0.0111123391308862</v>
      </c>
      <c r="G149" s="292" t="n">
        <v>0.0138904239136078</v>
      </c>
      <c r="H149" s="292" t="n">
        <v>0.0166685086963293</v>
      </c>
      <c r="I149" s="293" t="n">
        <v>0.0194465934790509</v>
      </c>
    </row>
    <row r="150" customFormat="false" ht="15" hidden="false" customHeight="false" outlineLevel="0" collapsed="false">
      <c r="A150" s="294"/>
      <c r="B150" s="295"/>
      <c r="C150" s="295"/>
      <c r="D150" s="295"/>
      <c r="E150" s="295"/>
      <c r="F150" s="295"/>
      <c r="G150" s="295"/>
      <c r="H150" s="295"/>
      <c r="I150" s="295"/>
      <c r="J150" s="295"/>
      <c r="K150" s="295"/>
      <c r="L150" s="295"/>
      <c r="M150" s="295"/>
      <c r="N150" s="295"/>
      <c r="O150" s="295"/>
      <c r="P150" s="295"/>
      <c r="Q150" s="295"/>
      <c r="R150" s="295"/>
      <c r="S150" s="295"/>
      <c r="T150" s="295"/>
      <c r="U150" s="295"/>
      <c r="V150" s="295"/>
      <c r="W150" s="295"/>
      <c r="X150" s="295"/>
      <c r="Y150" s="295"/>
      <c r="Z150" s="295"/>
      <c r="AA150" s="295"/>
      <c r="AB150" s="295"/>
      <c r="AC150" s="295"/>
      <c r="AD150" s="295"/>
      <c r="AE150" s="295"/>
      <c r="AF150" s="295"/>
      <c r="AG150" s="295"/>
      <c r="AH150" s="295"/>
      <c r="AI150" s="295"/>
      <c r="AJ150" s="295"/>
      <c r="AK150" s="295"/>
      <c r="AL150" s="295"/>
      <c r="AM150" s="295"/>
      <c r="AN150" s="295"/>
      <c r="AO150" s="295"/>
      <c r="AP150" s="295"/>
      <c r="AQ150" s="295"/>
      <c r="AR150" s="295"/>
      <c r="AS150" s="295"/>
      <c r="AT150" s="295"/>
      <c r="AU150" s="295"/>
      <c r="AV150" s="295"/>
      <c r="AW150" s="295"/>
      <c r="AX150" s="295"/>
      <c r="AY150" s="295"/>
      <c r="AZ150" s="295"/>
      <c r="BA150" s="295"/>
      <c r="BB150" s="295"/>
      <c r="BC150" s="295"/>
      <c r="BD150" s="295"/>
      <c r="BE150" s="295"/>
      <c r="BF150" s="295"/>
      <c r="BG150" s="295"/>
      <c r="BH150" s="295"/>
      <c r="BI150" s="295"/>
      <c r="BJ150" s="295"/>
      <c r="BK150" s="295"/>
      <c r="BL150" s="295"/>
      <c r="BM150" s="295"/>
      <c r="BN150" s="295"/>
      <c r="BO150" s="295"/>
      <c r="BP150" s="295"/>
      <c r="BQ150" s="295"/>
      <c r="BR150" s="295"/>
      <c r="BS150" s="295"/>
      <c r="BT150" s="295"/>
      <c r="BU150" s="295"/>
      <c r="BV150" s="295"/>
      <c r="BW150" s="295"/>
      <c r="BX150" s="295"/>
      <c r="BY150" s="295"/>
      <c r="BZ150" s="295"/>
      <c r="CA150" s="295"/>
      <c r="CB150" s="295"/>
      <c r="CC150" s="295"/>
      <c r="CD150" s="295"/>
      <c r="CE150" s="295"/>
      <c r="CF150" s="295"/>
      <c r="CG150" s="295"/>
      <c r="CH150" s="295"/>
      <c r="CI150" s="295"/>
      <c r="CJ150" s="295"/>
      <c r="CK150" s="295"/>
      <c r="CL150" s="295"/>
      <c r="CM150" s="295"/>
      <c r="CN150" s="295"/>
      <c r="CO150" s="295"/>
      <c r="CP150" s="295"/>
      <c r="CQ150" s="295"/>
      <c r="CR150" s="295"/>
      <c r="CS150" s="295"/>
      <c r="CT150" s="295"/>
      <c r="CU150" s="295"/>
      <c r="CV150" s="295"/>
      <c r="CW150" s="295"/>
      <c r="CX150" s="295"/>
      <c r="CY150" s="295"/>
      <c r="CZ150" s="295"/>
      <c r="DA150" s="295"/>
      <c r="DB150" s="295"/>
      <c r="DC150" s="295"/>
      <c r="DD150" s="295"/>
      <c r="DE150" s="295"/>
      <c r="DF150" s="295"/>
      <c r="DG150" s="295"/>
      <c r="DH150" s="295"/>
      <c r="DI150" s="295"/>
      <c r="DJ150" s="295"/>
      <c r="DK150" s="295"/>
      <c r="DL150" s="295"/>
      <c r="DM150" s="295"/>
      <c r="DN150" s="295"/>
      <c r="DO150" s="295"/>
      <c r="DP150" s="295"/>
      <c r="DQ150" s="295"/>
      <c r="DR150" s="295"/>
      <c r="DS150" s="295"/>
      <c r="DT150" s="295"/>
      <c r="DU150" s="295"/>
      <c r="DV150" s="295"/>
      <c r="DW150" s="295"/>
      <c r="DX150" s="295"/>
      <c r="DY150" s="295"/>
      <c r="DZ150" s="295"/>
      <c r="EA150" s="295"/>
      <c r="EB150" s="295"/>
      <c r="EC150" s="295"/>
      <c r="ED150" s="295"/>
      <c r="EE150" s="295"/>
      <c r="EF150" s="295"/>
      <c r="EG150" s="295"/>
      <c r="EH150" s="295"/>
      <c r="EI150" s="295"/>
      <c r="EJ150" s="295"/>
      <c r="EK150" s="295"/>
      <c r="EL150" s="295"/>
      <c r="EM150" s="295"/>
      <c r="EN150" s="295"/>
      <c r="EO150" s="295"/>
      <c r="EP150" s="295"/>
      <c r="EQ150" s="295"/>
      <c r="ER150" s="295"/>
      <c r="ES150" s="295"/>
      <c r="ET150" s="295"/>
      <c r="EU150" s="295"/>
      <c r="EV150" s="295"/>
      <c r="EW150" s="295"/>
      <c r="EX150" s="295"/>
      <c r="EY150" s="295"/>
      <c r="EZ150" s="295"/>
      <c r="FA150" s="295"/>
    </row>
    <row r="152" customFormat="false" ht="24.45" hidden="false" customHeight="false" outlineLevel="0" collapsed="false">
      <c r="A152" s="189" t="s">
        <v>540</v>
      </c>
    </row>
    <row r="153" customFormat="false" ht="17.35" hidden="false" customHeight="false" outlineLevel="0" collapsed="false">
      <c r="A153" s="212" t="s">
        <v>295</v>
      </c>
      <c r="B153" s="212"/>
      <c r="C153" s="212"/>
      <c r="D153" s="212"/>
      <c r="E153" s="212"/>
    </row>
    <row r="154" customFormat="false" ht="79.5" hidden="false" customHeight="true" outlineLevel="0" collapsed="false">
      <c r="A154" s="296" t="s">
        <v>296</v>
      </c>
      <c r="B154" s="296"/>
      <c r="C154" s="296"/>
      <c r="D154" s="296"/>
      <c r="E154" s="296"/>
    </row>
    <row r="155" customFormat="false" ht="15" hidden="false" customHeight="true" outlineLevel="0" collapsed="false">
      <c r="A155" s="297" t="s">
        <v>297</v>
      </c>
      <c r="B155" s="228" t="s">
        <v>298</v>
      </c>
      <c r="C155" s="298" t="n">
        <v>3</v>
      </c>
      <c r="D155" s="4"/>
    </row>
    <row r="156" customFormat="false" ht="16.5" hidden="false" customHeight="true" outlineLevel="0" collapsed="false">
      <c r="A156" s="297"/>
      <c r="B156" s="195" t="s">
        <v>299</v>
      </c>
      <c r="C156" s="298"/>
      <c r="D156" s="142"/>
      <c r="E156" s="142"/>
    </row>
    <row r="157" customFormat="false" ht="15" hidden="false" customHeight="false" outlineLevel="0" collapsed="false">
      <c r="A157" s="297"/>
      <c r="B157" s="198" t="s">
        <v>300</v>
      </c>
      <c r="C157" s="298"/>
      <c r="D157" s="4"/>
      <c r="E157" s="4"/>
    </row>
    <row r="158" customFormat="false" ht="15" hidden="false" customHeight="false" outlineLevel="0" collapsed="false">
      <c r="C158" s="299"/>
    </row>
    <row r="159" customFormat="false" ht="17.35" hidden="false" customHeight="false" outlineLevel="0" collapsed="false">
      <c r="A159" s="212" t="s">
        <v>301</v>
      </c>
      <c r="B159" s="212"/>
      <c r="C159" s="212"/>
    </row>
    <row r="160" customFormat="false" ht="15" hidden="false" customHeight="false" outlineLevel="0" collapsed="false">
      <c r="A160" s="213" t="s">
        <v>302</v>
      </c>
      <c r="B160" s="195" t="s">
        <v>11</v>
      </c>
      <c r="C160" s="300" t="n">
        <v>0.3</v>
      </c>
    </row>
    <row r="161" customFormat="false" ht="15" hidden="false" customHeight="false" outlineLevel="0" collapsed="false">
      <c r="A161" s="232" t="s">
        <v>304</v>
      </c>
      <c r="B161" s="198" t="s">
        <v>305</v>
      </c>
      <c r="C161" s="255" t="n">
        <v>0.25</v>
      </c>
    </row>
    <row r="162" customFormat="false" ht="17.35" hidden="false" customHeight="false" outlineLevel="0" collapsed="false">
      <c r="A162" s="301" t="s">
        <v>541</v>
      </c>
      <c r="B162" s="301"/>
      <c r="C162" s="302" t="s">
        <v>539</v>
      </c>
      <c r="D162" s="303" t="s">
        <v>542</v>
      </c>
      <c r="E162" s="303" t="s">
        <v>543</v>
      </c>
      <c r="F162" s="303" t="s">
        <v>544</v>
      </c>
      <c r="G162" s="303" t="s">
        <v>545</v>
      </c>
      <c r="H162" s="303" t="s">
        <v>546</v>
      </c>
      <c r="I162" s="303" t="s">
        <v>547</v>
      </c>
      <c r="J162" s="303" t="s">
        <v>548</v>
      </c>
      <c r="K162" s="303" t="s">
        <v>332</v>
      </c>
      <c r="L162" s="303" t="s">
        <v>347</v>
      </c>
      <c r="M162" s="303" t="s">
        <v>549</v>
      </c>
      <c r="N162" s="303" t="s">
        <v>550</v>
      </c>
      <c r="O162" s="303" t="s">
        <v>551</v>
      </c>
      <c r="P162" s="303" t="s">
        <v>552</v>
      </c>
      <c r="Q162" s="303" t="s">
        <v>553</v>
      </c>
      <c r="R162" s="303" t="s">
        <v>554</v>
      </c>
      <c r="S162" s="303" t="s">
        <v>555</v>
      </c>
      <c r="T162" s="303" t="s">
        <v>556</v>
      </c>
      <c r="U162" s="303" t="s">
        <v>557</v>
      </c>
      <c r="V162" s="303" t="s">
        <v>558</v>
      </c>
      <c r="W162" s="303" t="s">
        <v>559</v>
      </c>
      <c r="X162" s="303" t="s">
        <v>560</v>
      </c>
      <c r="Y162" s="303" t="s">
        <v>561</v>
      </c>
      <c r="Z162" s="303" t="s">
        <v>562</v>
      </c>
      <c r="AA162" s="303" t="s">
        <v>563</v>
      </c>
      <c r="AB162" s="303" t="s">
        <v>564</v>
      </c>
      <c r="AC162" s="303" t="s">
        <v>565</v>
      </c>
      <c r="AD162" s="303" t="s">
        <v>566</v>
      </c>
      <c r="AE162" s="303" t="s">
        <v>567</v>
      </c>
      <c r="AF162" s="303" t="s">
        <v>568</v>
      </c>
      <c r="AG162" s="303" t="s">
        <v>569</v>
      </c>
      <c r="AH162" s="303" t="s">
        <v>570</v>
      </c>
      <c r="AI162" s="303" t="s">
        <v>571</v>
      </c>
      <c r="AJ162" s="303" t="s">
        <v>572</v>
      </c>
      <c r="AK162" s="303" t="s">
        <v>573</v>
      </c>
      <c r="AL162" s="303" t="s">
        <v>574</v>
      </c>
      <c r="AM162" s="303" t="s">
        <v>575</v>
      </c>
      <c r="AN162" s="303" t="s">
        <v>576</v>
      </c>
      <c r="AO162" s="303" t="s">
        <v>577</v>
      </c>
      <c r="AP162" s="303" t="s">
        <v>578</v>
      </c>
      <c r="AQ162" s="303" t="s">
        <v>579</v>
      </c>
      <c r="AR162" s="303" t="s">
        <v>580</v>
      </c>
      <c r="AS162" s="303" t="s">
        <v>581</v>
      </c>
      <c r="AT162" s="304" t="s">
        <v>582</v>
      </c>
      <c r="AU162" s="302" t="s">
        <v>583</v>
      </c>
      <c r="AV162" s="304" t="s">
        <v>584</v>
      </c>
      <c r="AW162" s="302" t="s">
        <v>585</v>
      </c>
      <c r="AX162" s="304" t="s">
        <v>586</v>
      </c>
      <c r="AY162" s="302" t="s">
        <v>587</v>
      </c>
      <c r="AZ162" s="304" t="s">
        <v>588</v>
      </c>
      <c r="BA162" s="301"/>
      <c r="BB162" s="301"/>
      <c r="BC162" s="301"/>
      <c r="BD162" s="301"/>
      <c r="BE162" s="301"/>
      <c r="BF162" s="301"/>
      <c r="BG162" s="301"/>
      <c r="BH162" s="301"/>
      <c r="BI162" s="301"/>
      <c r="BJ162" s="301"/>
      <c r="BK162" s="301"/>
      <c r="BL162" s="301"/>
      <c r="BM162" s="301"/>
      <c r="BN162" s="301"/>
      <c r="BO162" s="301"/>
      <c r="BP162" s="301"/>
      <c r="BQ162" s="301"/>
      <c r="BR162" s="301"/>
      <c r="BS162" s="301"/>
      <c r="BT162" s="301"/>
      <c r="BU162" s="301"/>
      <c r="BV162" s="301"/>
      <c r="BW162" s="301"/>
      <c r="BX162" s="301"/>
      <c r="BY162" s="301"/>
      <c r="BZ162" s="301"/>
      <c r="CA162" s="301"/>
      <c r="CB162" s="301"/>
      <c r="CC162" s="301"/>
      <c r="CD162" s="301"/>
      <c r="CE162" s="301"/>
      <c r="CF162" s="301"/>
      <c r="CG162" s="301"/>
      <c r="CH162" s="301"/>
      <c r="CI162" s="301"/>
      <c r="CJ162" s="301"/>
      <c r="CK162" s="301"/>
      <c r="CL162" s="301"/>
      <c r="CM162" s="301"/>
      <c r="CN162" s="301"/>
      <c r="CO162" s="301"/>
      <c r="CP162" s="301"/>
      <c r="CQ162" s="301"/>
      <c r="CR162" s="301"/>
      <c r="CS162" s="305"/>
      <c r="CT162" s="301"/>
      <c r="CU162" s="301"/>
      <c r="CV162" s="301"/>
      <c r="CW162" s="301"/>
      <c r="CX162" s="301"/>
      <c r="CY162" s="301"/>
      <c r="CZ162" s="301"/>
      <c r="DA162" s="301"/>
      <c r="DB162" s="301"/>
      <c r="DC162" s="301"/>
      <c r="DD162" s="301"/>
      <c r="DE162" s="301"/>
      <c r="DF162" s="301"/>
      <c r="DG162" s="301"/>
      <c r="DH162" s="301"/>
      <c r="DI162" s="301"/>
      <c r="DJ162" s="301"/>
      <c r="DK162" s="301"/>
      <c r="DL162" s="301"/>
      <c r="DM162" s="301"/>
      <c r="DN162" s="301"/>
      <c r="DO162" s="301"/>
      <c r="DP162" s="301"/>
      <c r="DQ162" s="301"/>
      <c r="DR162" s="301"/>
      <c r="DS162" s="301"/>
      <c r="DT162" s="301"/>
      <c r="DU162" s="301"/>
      <c r="DV162" s="301"/>
      <c r="DW162" s="301"/>
      <c r="DX162" s="301"/>
      <c r="DY162" s="301"/>
      <c r="DZ162" s="301"/>
      <c r="EA162" s="301"/>
      <c r="EB162" s="301"/>
      <c r="EC162" s="301"/>
      <c r="ED162" s="301"/>
      <c r="EE162" s="301"/>
      <c r="EF162" s="301"/>
      <c r="EG162" s="301"/>
      <c r="EH162" s="301"/>
      <c r="EI162" s="301"/>
      <c r="EJ162" s="301"/>
      <c r="EK162" s="301"/>
      <c r="EL162" s="301"/>
      <c r="EM162" s="301"/>
      <c r="EN162" s="301"/>
      <c r="EO162" s="301"/>
      <c r="EP162" s="301"/>
      <c r="EQ162" s="301"/>
      <c r="ER162" s="301"/>
      <c r="ES162" s="301"/>
      <c r="ET162" s="301"/>
      <c r="EU162" s="301"/>
      <c r="EV162" s="301"/>
      <c r="EW162" s="301"/>
      <c r="EX162" s="301"/>
      <c r="EY162" s="301"/>
      <c r="EZ162" s="301"/>
      <c r="FA162" s="301"/>
    </row>
    <row r="163" customFormat="false" ht="15" hidden="false" customHeight="false" outlineLevel="0" collapsed="false">
      <c r="A163" s="306" t="s">
        <v>352</v>
      </c>
      <c r="B163" s="306"/>
      <c r="C163" s="307" t="n">
        <v>2030</v>
      </c>
      <c r="D163" s="307" t="n">
        <v>2030</v>
      </c>
      <c r="E163" s="307" t="n">
        <v>2030</v>
      </c>
      <c r="F163" s="307" t="n">
        <v>2030</v>
      </c>
      <c r="G163" s="307" t="n">
        <v>2030</v>
      </c>
      <c r="H163" s="307" t="n">
        <v>2030</v>
      </c>
      <c r="I163" s="307" t="n">
        <v>2030</v>
      </c>
      <c r="J163" s="307" t="n">
        <v>2030</v>
      </c>
      <c r="K163" s="307" t="n">
        <v>2030</v>
      </c>
      <c r="L163" s="307" t="n">
        <v>2030</v>
      </c>
      <c r="M163" s="307" t="n">
        <v>2030</v>
      </c>
      <c r="N163" s="307" t="n">
        <v>2030</v>
      </c>
      <c r="O163" s="307" t="n">
        <v>2030</v>
      </c>
      <c r="P163" s="307" t="n">
        <v>2030</v>
      </c>
      <c r="Q163" s="307" t="n">
        <v>2030</v>
      </c>
      <c r="R163" s="307" t="n">
        <v>2030</v>
      </c>
      <c r="S163" s="307" t="n">
        <v>2030</v>
      </c>
      <c r="T163" s="307" t="n">
        <v>2030</v>
      </c>
      <c r="U163" s="307" t="n">
        <v>2030</v>
      </c>
      <c r="V163" s="307" t="n">
        <v>2030</v>
      </c>
      <c r="W163" s="307" t="n">
        <v>2030</v>
      </c>
      <c r="X163" s="307" t="n">
        <v>2030</v>
      </c>
      <c r="Y163" s="307" t="n">
        <v>2030</v>
      </c>
      <c r="Z163" s="307" t="n">
        <v>2030</v>
      </c>
      <c r="AA163" s="307" t="n">
        <v>2030</v>
      </c>
      <c r="AB163" s="307" t="n">
        <v>2030</v>
      </c>
      <c r="AC163" s="307" t="n">
        <v>2030</v>
      </c>
      <c r="AD163" s="307" t="n">
        <v>2030</v>
      </c>
      <c r="AE163" s="307" t="n">
        <v>2030</v>
      </c>
      <c r="AF163" s="307" t="n">
        <v>2030</v>
      </c>
      <c r="AG163" s="307" t="n">
        <v>2030</v>
      </c>
      <c r="AH163" s="307" t="n">
        <v>2030</v>
      </c>
      <c r="AI163" s="307" t="n">
        <v>2030</v>
      </c>
      <c r="AJ163" s="307" t="n">
        <v>2030</v>
      </c>
      <c r="AK163" s="307" t="n">
        <v>2030</v>
      </c>
      <c r="AL163" s="307" t="n">
        <v>2030</v>
      </c>
      <c r="AM163" s="307" t="n">
        <v>2030</v>
      </c>
      <c r="AN163" s="307" t="n">
        <v>2030</v>
      </c>
      <c r="AO163" s="307" t="n">
        <v>2030</v>
      </c>
      <c r="AP163" s="307" t="n">
        <v>2030</v>
      </c>
      <c r="AQ163" s="307" t="n">
        <v>2030</v>
      </c>
      <c r="AR163" s="307" t="n">
        <v>2030</v>
      </c>
      <c r="AS163" s="307" t="n">
        <v>2030</v>
      </c>
      <c r="AT163" s="307" t="n">
        <v>2030</v>
      </c>
      <c r="AU163" s="307" t="n">
        <v>2030</v>
      </c>
      <c r="AV163" s="307" t="n">
        <v>2030</v>
      </c>
      <c r="AW163" s="307" t="n">
        <v>2030</v>
      </c>
      <c r="AX163" s="307" t="n">
        <v>2030</v>
      </c>
      <c r="AY163" s="307" t="n">
        <v>2030</v>
      </c>
      <c r="AZ163" s="307" t="n">
        <v>2030</v>
      </c>
      <c r="BA163" s="306"/>
      <c r="BB163" s="306"/>
      <c r="BC163" s="307"/>
      <c r="BD163" s="307"/>
      <c r="BE163" s="307"/>
      <c r="BF163" s="307"/>
      <c r="BG163" s="307"/>
      <c r="BH163" s="307"/>
      <c r="BI163" s="307"/>
      <c r="BJ163" s="307"/>
      <c r="BK163" s="307"/>
      <c r="BL163" s="307"/>
      <c r="BM163" s="307"/>
      <c r="BN163" s="307"/>
      <c r="BO163" s="307"/>
      <c r="BP163" s="307"/>
      <c r="BQ163" s="308"/>
      <c r="BR163" s="306"/>
      <c r="BS163" s="306"/>
      <c r="BT163" s="307"/>
      <c r="BU163" s="307"/>
      <c r="BV163" s="307"/>
      <c r="BW163" s="307"/>
      <c r="BX163" s="307"/>
      <c r="BY163" s="307"/>
      <c r="BZ163" s="307"/>
      <c r="CA163" s="307"/>
      <c r="CB163" s="307"/>
      <c r="CC163" s="307"/>
      <c r="CD163" s="307"/>
      <c r="CE163" s="307"/>
      <c r="CF163" s="307"/>
      <c r="CG163" s="307"/>
      <c r="CH163" s="308"/>
      <c r="CI163" s="306"/>
      <c r="CJ163" s="306"/>
      <c r="CK163" s="307"/>
      <c r="CL163" s="307"/>
      <c r="CM163" s="307"/>
      <c r="CN163" s="307"/>
      <c r="CO163" s="307"/>
      <c r="CP163" s="307"/>
      <c r="CQ163" s="307"/>
      <c r="CR163" s="307"/>
      <c r="CS163" s="307"/>
      <c r="CT163" s="307"/>
      <c r="CU163" s="307"/>
      <c r="CV163" s="307"/>
      <c r="CW163" s="307"/>
      <c r="CX163" s="307"/>
      <c r="CY163" s="307"/>
      <c r="CZ163" s="307"/>
      <c r="DA163" s="307"/>
      <c r="DB163" s="308"/>
      <c r="DC163" s="306"/>
      <c r="DD163" s="306"/>
      <c r="DE163" s="307"/>
      <c r="DF163" s="307"/>
      <c r="DG163" s="307"/>
      <c r="DH163" s="307"/>
      <c r="DI163" s="307"/>
      <c r="DJ163" s="307"/>
      <c r="DK163" s="307"/>
      <c r="DL163" s="307"/>
      <c r="DM163" s="307"/>
      <c r="DN163" s="307"/>
      <c r="DO163" s="307"/>
      <c r="DP163" s="307"/>
      <c r="DQ163" s="307"/>
      <c r="DR163" s="307"/>
      <c r="DS163" s="308"/>
      <c r="DT163" s="306"/>
      <c r="DU163" s="306"/>
      <c r="DV163" s="307"/>
      <c r="DW163" s="307"/>
      <c r="DX163" s="307"/>
      <c r="DY163" s="307"/>
      <c r="DZ163" s="307"/>
      <c r="EA163" s="307"/>
      <c r="EB163" s="307"/>
      <c r="EC163" s="307"/>
      <c r="ED163" s="307"/>
      <c r="EE163" s="307"/>
      <c r="EF163" s="307"/>
      <c r="EG163" s="307"/>
      <c r="EH163" s="307"/>
      <c r="EI163" s="307"/>
      <c r="EJ163" s="308"/>
      <c r="EK163" s="306"/>
      <c r="EL163" s="306"/>
      <c r="EM163" s="307"/>
      <c r="EN163" s="307"/>
      <c r="EO163" s="307"/>
      <c r="EP163" s="307"/>
      <c r="EQ163" s="307"/>
      <c r="ER163" s="307"/>
      <c r="ES163" s="307"/>
      <c r="ET163" s="307"/>
      <c r="EU163" s="307"/>
      <c r="EV163" s="307"/>
      <c r="EW163" s="307"/>
      <c r="EX163" s="307"/>
      <c r="EY163" s="307"/>
      <c r="EZ163" s="307"/>
      <c r="FA163" s="308"/>
    </row>
    <row r="164" customFormat="false" ht="15" hidden="false" customHeight="false" outlineLevel="0" collapsed="false">
      <c r="A164" s="306" t="s">
        <v>353</v>
      </c>
      <c r="B164" s="306"/>
      <c r="C164" s="307" t="n">
        <v>2030</v>
      </c>
      <c r="D164" s="307" t="n">
        <v>2030</v>
      </c>
      <c r="E164" s="307" t="n">
        <v>2030</v>
      </c>
      <c r="F164" s="307" t="n">
        <v>2030</v>
      </c>
      <c r="G164" s="307" t="n">
        <v>2030</v>
      </c>
      <c r="H164" s="307" t="n">
        <v>2030</v>
      </c>
      <c r="I164" s="307" t="n">
        <v>2030</v>
      </c>
      <c r="J164" s="307" t="n">
        <v>2030</v>
      </c>
      <c r="K164" s="307" t="n">
        <v>2030</v>
      </c>
      <c r="L164" s="307" t="n">
        <v>2030</v>
      </c>
      <c r="M164" s="307" t="n">
        <v>2030</v>
      </c>
      <c r="N164" s="307" t="n">
        <v>2030</v>
      </c>
      <c r="O164" s="307" t="n">
        <v>2030</v>
      </c>
      <c r="P164" s="307" t="n">
        <v>2030</v>
      </c>
      <c r="Q164" s="307" t="n">
        <v>2030</v>
      </c>
      <c r="R164" s="307" t="n">
        <v>2030</v>
      </c>
      <c r="S164" s="307" t="n">
        <v>2030</v>
      </c>
      <c r="T164" s="307" t="n">
        <v>2030</v>
      </c>
      <c r="U164" s="307" t="n">
        <v>2030</v>
      </c>
      <c r="V164" s="307" t="n">
        <v>2030</v>
      </c>
      <c r="W164" s="307" t="n">
        <v>2030</v>
      </c>
      <c r="X164" s="307" t="n">
        <v>2030</v>
      </c>
      <c r="Y164" s="307" t="n">
        <v>2030</v>
      </c>
      <c r="Z164" s="307" t="n">
        <v>2030</v>
      </c>
      <c r="AA164" s="307" t="n">
        <v>2030</v>
      </c>
      <c r="AB164" s="307" t="n">
        <v>2030</v>
      </c>
      <c r="AC164" s="307" t="n">
        <v>2030</v>
      </c>
      <c r="AD164" s="307" t="n">
        <v>2030</v>
      </c>
      <c r="AE164" s="307" t="n">
        <v>2030</v>
      </c>
      <c r="AF164" s="307" t="n">
        <v>2030</v>
      </c>
      <c r="AG164" s="307" t="n">
        <v>2030</v>
      </c>
      <c r="AH164" s="307" t="n">
        <v>2030</v>
      </c>
      <c r="AI164" s="307" t="n">
        <v>2030</v>
      </c>
      <c r="AJ164" s="307" t="n">
        <v>2030</v>
      </c>
      <c r="AK164" s="307" t="n">
        <v>2030</v>
      </c>
      <c r="AL164" s="307" t="n">
        <v>2030</v>
      </c>
      <c r="AM164" s="307" t="n">
        <v>2030</v>
      </c>
      <c r="AN164" s="307" t="n">
        <v>2030</v>
      </c>
      <c r="AO164" s="307" t="n">
        <v>2030</v>
      </c>
      <c r="AP164" s="307" t="n">
        <v>2030</v>
      </c>
      <c r="AQ164" s="307" t="n">
        <v>2030</v>
      </c>
      <c r="AR164" s="307" t="n">
        <v>2030</v>
      </c>
      <c r="AS164" s="307" t="n">
        <v>2030</v>
      </c>
      <c r="AT164" s="307" t="n">
        <v>2030</v>
      </c>
      <c r="AU164" s="307" t="n">
        <v>2030</v>
      </c>
      <c r="AV164" s="307" t="n">
        <v>2030</v>
      </c>
      <c r="AW164" s="307" t="n">
        <v>2030</v>
      </c>
      <c r="AX164" s="307" t="n">
        <v>2030</v>
      </c>
      <c r="AY164" s="307" t="n">
        <v>2030</v>
      </c>
      <c r="AZ164" s="307" t="n">
        <v>2030</v>
      </c>
      <c r="BA164" s="306"/>
      <c r="BB164" s="306"/>
      <c r="BC164" s="307"/>
      <c r="BD164" s="307"/>
      <c r="BE164" s="307"/>
      <c r="BF164" s="307"/>
      <c r="BG164" s="307"/>
      <c r="BH164" s="307"/>
      <c r="BI164" s="307"/>
      <c r="BJ164" s="307"/>
      <c r="BK164" s="307"/>
      <c r="BL164" s="307"/>
      <c r="BM164" s="307"/>
      <c r="BN164" s="307"/>
      <c r="BO164" s="307"/>
      <c r="BP164" s="307"/>
      <c r="BQ164" s="308"/>
      <c r="BR164" s="306"/>
      <c r="BS164" s="306"/>
      <c r="BT164" s="307"/>
      <c r="BU164" s="307"/>
      <c r="BV164" s="307"/>
      <c r="BW164" s="307"/>
      <c r="BX164" s="307"/>
      <c r="BY164" s="307"/>
      <c r="BZ164" s="307"/>
      <c r="CA164" s="307"/>
      <c r="CB164" s="307"/>
      <c r="CC164" s="307"/>
      <c r="CD164" s="307"/>
      <c r="CE164" s="307"/>
      <c r="CF164" s="307"/>
      <c r="CG164" s="307"/>
      <c r="CH164" s="308"/>
      <c r="CI164" s="306"/>
      <c r="CJ164" s="306"/>
      <c r="CK164" s="307"/>
      <c r="CL164" s="307"/>
      <c r="CM164" s="307"/>
      <c r="CN164" s="307"/>
      <c r="CO164" s="307"/>
      <c r="CP164" s="307"/>
      <c r="CQ164" s="307"/>
      <c r="CR164" s="307"/>
      <c r="CS164" s="307"/>
      <c r="CT164" s="307"/>
      <c r="CU164" s="307"/>
      <c r="CV164" s="307"/>
      <c r="CW164" s="307"/>
      <c r="CX164" s="307"/>
      <c r="CY164" s="307"/>
      <c r="CZ164" s="307"/>
      <c r="DA164" s="307"/>
      <c r="DB164" s="308"/>
      <c r="DC164" s="306"/>
      <c r="DD164" s="306"/>
      <c r="DE164" s="307"/>
      <c r="DF164" s="307"/>
      <c r="DG164" s="307"/>
      <c r="DH164" s="307"/>
      <c r="DI164" s="307"/>
      <c r="DJ164" s="307"/>
      <c r="DK164" s="307"/>
      <c r="DL164" s="307"/>
      <c r="DM164" s="307"/>
      <c r="DN164" s="307"/>
      <c r="DO164" s="307"/>
      <c r="DP164" s="307"/>
      <c r="DQ164" s="307"/>
      <c r="DR164" s="307"/>
      <c r="DS164" s="308"/>
      <c r="DT164" s="306"/>
      <c r="DU164" s="306"/>
      <c r="DV164" s="307"/>
      <c r="DW164" s="307"/>
      <c r="DX164" s="307"/>
      <c r="DY164" s="307"/>
      <c r="DZ164" s="307"/>
      <c r="EA164" s="307"/>
      <c r="EB164" s="307"/>
      <c r="EC164" s="307"/>
      <c r="ED164" s="307"/>
      <c r="EE164" s="307"/>
      <c r="EF164" s="307"/>
      <c r="EG164" s="307"/>
      <c r="EH164" s="307"/>
      <c r="EI164" s="307"/>
      <c r="EJ164" s="308"/>
      <c r="EK164" s="306"/>
      <c r="EL164" s="306"/>
      <c r="EM164" s="307"/>
      <c r="EN164" s="307"/>
      <c r="EO164" s="307"/>
      <c r="EP164" s="307"/>
      <c r="EQ164" s="307"/>
      <c r="ER164" s="307"/>
      <c r="ES164" s="307"/>
      <c r="ET164" s="307"/>
      <c r="EU164" s="307"/>
      <c r="EV164" s="307"/>
      <c r="EW164" s="307"/>
      <c r="EX164" s="307"/>
      <c r="EY164" s="307"/>
      <c r="EZ164" s="307"/>
      <c r="FA164" s="308"/>
    </row>
    <row r="165" customFormat="false" ht="15" hidden="false" customHeight="false" outlineLevel="0" collapsed="false">
      <c r="A165" s="306" t="s">
        <v>354</v>
      </c>
      <c r="B165" s="306"/>
      <c r="C165" s="307" t="n">
        <v>2030</v>
      </c>
      <c r="D165" s="307" t="n">
        <v>2030</v>
      </c>
      <c r="E165" s="307" t="n">
        <v>2030</v>
      </c>
      <c r="F165" s="307" t="n">
        <v>2030</v>
      </c>
      <c r="G165" s="307" t="n">
        <v>2030</v>
      </c>
      <c r="H165" s="307" t="n">
        <v>2030</v>
      </c>
      <c r="I165" s="307" t="n">
        <v>2030</v>
      </c>
      <c r="J165" s="307" t="n">
        <v>2030</v>
      </c>
      <c r="K165" s="307" t="n">
        <v>2030</v>
      </c>
      <c r="L165" s="307" t="n">
        <v>2030</v>
      </c>
      <c r="M165" s="307" t="n">
        <v>2030</v>
      </c>
      <c r="N165" s="307" t="n">
        <v>2030</v>
      </c>
      <c r="O165" s="307" t="n">
        <v>2030</v>
      </c>
      <c r="P165" s="307" t="n">
        <v>2030</v>
      </c>
      <c r="Q165" s="307" t="n">
        <v>2030</v>
      </c>
      <c r="R165" s="307" t="n">
        <v>2030</v>
      </c>
      <c r="S165" s="307" t="n">
        <v>2030</v>
      </c>
      <c r="T165" s="307" t="n">
        <v>2030</v>
      </c>
      <c r="U165" s="307" t="n">
        <v>2030</v>
      </c>
      <c r="V165" s="307" t="n">
        <v>2030</v>
      </c>
      <c r="W165" s="307" t="n">
        <v>2030</v>
      </c>
      <c r="X165" s="307" t="n">
        <v>2030</v>
      </c>
      <c r="Y165" s="307" t="n">
        <v>2030</v>
      </c>
      <c r="Z165" s="307" t="n">
        <v>2030</v>
      </c>
      <c r="AA165" s="307" t="n">
        <v>2030</v>
      </c>
      <c r="AB165" s="307" t="n">
        <v>2030</v>
      </c>
      <c r="AC165" s="307" t="n">
        <v>2030</v>
      </c>
      <c r="AD165" s="307" t="n">
        <v>2030</v>
      </c>
      <c r="AE165" s="307" t="n">
        <v>2030</v>
      </c>
      <c r="AF165" s="307" t="n">
        <v>2030</v>
      </c>
      <c r="AG165" s="307" t="n">
        <v>2030</v>
      </c>
      <c r="AH165" s="307" t="n">
        <v>2030</v>
      </c>
      <c r="AI165" s="307" t="n">
        <v>2030</v>
      </c>
      <c r="AJ165" s="307" t="n">
        <v>2030</v>
      </c>
      <c r="AK165" s="307" t="n">
        <v>2030</v>
      </c>
      <c r="AL165" s="307" t="n">
        <v>2030</v>
      </c>
      <c r="AM165" s="307" t="n">
        <v>2030</v>
      </c>
      <c r="AN165" s="307" t="n">
        <v>2030</v>
      </c>
      <c r="AO165" s="307" t="n">
        <v>2030</v>
      </c>
      <c r="AP165" s="307" t="n">
        <v>2030</v>
      </c>
      <c r="AQ165" s="307" t="n">
        <v>2030</v>
      </c>
      <c r="AR165" s="307" t="n">
        <v>2030</v>
      </c>
      <c r="AS165" s="307" t="n">
        <v>2030</v>
      </c>
      <c r="AT165" s="307" t="n">
        <v>2030</v>
      </c>
      <c r="AU165" s="307" t="n">
        <v>2030</v>
      </c>
      <c r="AV165" s="307" t="n">
        <v>2030</v>
      </c>
      <c r="AW165" s="307" t="n">
        <v>2030</v>
      </c>
      <c r="AX165" s="307" t="n">
        <v>2030</v>
      </c>
      <c r="AY165" s="307" t="n">
        <v>2030</v>
      </c>
      <c r="AZ165" s="307" t="n">
        <v>2030</v>
      </c>
      <c r="BA165" s="306"/>
      <c r="BB165" s="306"/>
      <c r="BC165" s="307"/>
      <c r="BD165" s="307"/>
      <c r="BE165" s="307"/>
      <c r="BF165" s="307"/>
      <c r="BG165" s="307"/>
      <c r="BH165" s="307"/>
      <c r="BI165" s="307"/>
      <c r="BJ165" s="307"/>
      <c r="BK165" s="307"/>
      <c r="BL165" s="307"/>
      <c r="BM165" s="307"/>
      <c r="BN165" s="307"/>
      <c r="BO165" s="307"/>
      <c r="BP165" s="307"/>
      <c r="BQ165" s="308"/>
      <c r="BR165" s="306"/>
      <c r="BS165" s="306"/>
      <c r="BT165" s="307"/>
      <c r="BU165" s="307"/>
      <c r="BV165" s="307"/>
      <c r="BW165" s="307"/>
      <c r="BX165" s="307"/>
      <c r="BY165" s="307"/>
      <c r="BZ165" s="307"/>
      <c r="CA165" s="307"/>
      <c r="CB165" s="307"/>
      <c r="CC165" s="307"/>
      <c r="CD165" s="307"/>
      <c r="CE165" s="307"/>
      <c r="CF165" s="307"/>
      <c r="CG165" s="307"/>
      <c r="CH165" s="308"/>
      <c r="CI165" s="306"/>
      <c r="CJ165" s="306"/>
      <c r="CK165" s="307"/>
      <c r="CL165" s="307"/>
      <c r="CM165" s="307"/>
      <c r="CN165" s="307"/>
      <c r="CO165" s="307"/>
      <c r="CP165" s="307"/>
      <c r="CQ165" s="307"/>
      <c r="CR165" s="307"/>
      <c r="CS165" s="307"/>
      <c r="CT165" s="307"/>
      <c r="CU165" s="307"/>
      <c r="CV165" s="307"/>
      <c r="CW165" s="307"/>
      <c r="CX165" s="307"/>
      <c r="CY165" s="307"/>
      <c r="CZ165" s="307"/>
      <c r="DA165" s="307"/>
      <c r="DB165" s="308"/>
      <c r="DC165" s="306"/>
      <c r="DD165" s="306"/>
      <c r="DE165" s="307"/>
      <c r="DF165" s="307"/>
      <c r="DG165" s="307"/>
      <c r="DH165" s="307"/>
      <c r="DI165" s="307"/>
      <c r="DJ165" s="307"/>
      <c r="DK165" s="307"/>
      <c r="DL165" s="307"/>
      <c r="DM165" s="307"/>
      <c r="DN165" s="307"/>
      <c r="DO165" s="307"/>
      <c r="DP165" s="307"/>
      <c r="DQ165" s="307"/>
      <c r="DR165" s="307"/>
      <c r="DS165" s="308"/>
      <c r="DT165" s="306"/>
      <c r="DU165" s="306"/>
      <c r="DV165" s="307"/>
      <c r="DW165" s="307"/>
      <c r="DX165" s="307"/>
      <c r="DY165" s="307"/>
      <c r="DZ165" s="307"/>
      <c r="EA165" s="307"/>
      <c r="EB165" s="307"/>
      <c r="EC165" s="307"/>
      <c r="ED165" s="307"/>
      <c r="EE165" s="307"/>
      <c r="EF165" s="307"/>
      <c r="EG165" s="307"/>
      <c r="EH165" s="307"/>
      <c r="EI165" s="307"/>
      <c r="EJ165" s="308"/>
      <c r="EK165" s="306"/>
      <c r="EL165" s="306"/>
      <c r="EM165" s="307"/>
      <c r="EN165" s="307"/>
      <c r="EO165" s="307"/>
      <c r="EP165" s="307"/>
      <c r="EQ165" s="307"/>
      <c r="ER165" s="307"/>
      <c r="ES165" s="307"/>
      <c r="ET165" s="307"/>
      <c r="EU165" s="307"/>
      <c r="EV165" s="307"/>
      <c r="EW165" s="307"/>
      <c r="EX165" s="307"/>
      <c r="EY165" s="307"/>
      <c r="EZ165" s="307"/>
      <c r="FA165" s="308"/>
    </row>
    <row r="166" customFormat="false" ht="15" hidden="false" customHeight="false" outlineLevel="0" collapsed="false">
      <c r="A166" s="306" t="s">
        <v>355</v>
      </c>
      <c r="B166" s="306"/>
      <c r="C166" s="307" t="n">
        <v>2030</v>
      </c>
      <c r="D166" s="307" t="n">
        <v>2030</v>
      </c>
      <c r="E166" s="307" t="n">
        <v>2030</v>
      </c>
      <c r="F166" s="307" t="n">
        <v>2030</v>
      </c>
      <c r="G166" s="307" t="n">
        <v>2030</v>
      </c>
      <c r="H166" s="307" t="n">
        <v>2030</v>
      </c>
      <c r="I166" s="307" t="n">
        <v>2030</v>
      </c>
      <c r="J166" s="307" t="n">
        <v>2030</v>
      </c>
      <c r="K166" s="307" t="n">
        <v>2030</v>
      </c>
      <c r="L166" s="307" t="n">
        <v>2030</v>
      </c>
      <c r="M166" s="307" t="n">
        <v>2030</v>
      </c>
      <c r="N166" s="307" t="n">
        <v>2030</v>
      </c>
      <c r="O166" s="307" t="n">
        <v>2030</v>
      </c>
      <c r="P166" s="307" t="n">
        <v>2030</v>
      </c>
      <c r="Q166" s="307" t="n">
        <v>2030</v>
      </c>
      <c r="R166" s="307" t="n">
        <v>2030</v>
      </c>
      <c r="S166" s="307" t="n">
        <v>2030</v>
      </c>
      <c r="T166" s="307" t="n">
        <v>2030</v>
      </c>
      <c r="U166" s="307" t="n">
        <v>2030</v>
      </c>
      <c r="V166" s="307" t="n">
        <v>2030</v>
      </c>
      <c r="W166" s="307" t="n">
        <v>2030</v>
      </c>
      <c r="X166" s="307" t="n">
        <v>2030</v>
      </c>
      <c r="Y166" s="307" t="n">
        <v>2030</v>
      </c>
      <c r="Z166" s="307" t="n">
        <v>2030</v>
      </c>
      <c r="AA166" s="307" t="n">
        <v>2030</v>
      </c>
      <c r="AB166" s="307" t="n">
        <v>2030</v>
      </c>
      <c r="AC166" s="307" t="n">
        <v>2030</v>
      </c>
      <c r="AD166" s="307" t="n">
        <v>2030</v>
      </c>
      <c r="AE166" s="307" t="n">
        <v>2030</v>
      </c>
      <c r="AF166" s="307" t="n">
        <v>2030</v>
      </c>
      <c r="AG166" s="307" t="n">
        <v>2030</v>
      </c>
      <c r="AH166" s="307" t="n">
        <v>2030</v>
      </c>
      <c r="AI166" s="307" t="n">
        <v>2030</v>
      </c>
      <c r="AJ166" s="307" t="n">
        <v>2030</v>
      </c>
      <c r="AK166" s="307" t="n">
        <v>2030</v>
      </c>
      <c r="AL166" s="307" t="n">
        <v>2030</v>
      </c>
      <c r="AM166" s="307" t="n">
        <v>2030</v>
      </c>
      <c r="AN166" s="307" t="n">
        <v>2030</v>
      </c>
      <c r="AO166" s="307" t="n">
        <v>2030</v>
      </c>
      <c r="AP166" s="307" t="n">
        <v>2030</v>
      </c>
      <c r="AQ166" s="307" t="n">
        <v>2030</v>
      </c>
      <c r="AR166" s="307" t="n">
        <v>2030</v>
      </c>
      <c r="AS166" s="307" t="n">
        <v>2030</v>
      </c>
      <c r="AT166" s="307" t="n">
        <v>2030</v>
      </c>
      <c r="AU166" s="307" t="n">
        <v>2030</v>
      </c>
      <c r="AV166" s="307" t="n">
        <v>2030</v>
      </c>
      <c r="AW166" s="307" t="n">
        <v>2030</v>
      </c>
      <c r="AX166" s="307" t="n">
        <v>2030</v>
      </c>
      <c r="AY166" s="307" t="n">
        <v>2030</v>
      </c>
      <c r="AZ166" s="307" t="n">
        <v>2030</v>
      </c>
      <c r="BA166" s="306"/>
      <c r="BB166" s="306"/>
      <c r="BC166" s="307"/>
      <c r="BD166" s="307"/>
      <c r="BE166" s="307"/>
      <c r="BF166" s="307"/>
      <c r="BG166" s="307"/>
      <c r="BH166" s="307"/>
      <c r="BI166" s="307"/>
      <c r="BJ166" s="307"/>
      <c r="BK166" s="307"/>
      <c r="BL166" s="307"/>
      <c r="BM166" s="307"/>
      <c r="BN166" s="307"/>
      <c r="BO166" s="307"/>
      <c r="BP166" s="307"/>
      <c r="BQ166" s="308"/>
      <c r="BR166" s="306"/>
      <c r="BS166" s="306"/>
      <c r="BT166" s="307"/>
      <c r="BU166" s="307"/>
      <c r="BV166" s="307"/>
      <c r="BW166" s="307"/>
      <c r="BX166" s="307"/>
      <c r="BY166" s="307"/>
      <c r="BZ166" s="307"/>
      <c r="CA166" s="307"/>
      <c r="CB166" s="307"/>
      <c r="CC166" s="307"/>
      <c r="CD166" s="307"/>
      <c r="CE166" s="307"/>
      <c r="CF166" s="307"/>
      <c r="CG166" s="307"/>
      <c r="CH166" s="308"/>
      <c r="CI166" s="306"/>
      <c r="CJ166" s="306"/>
      <c r="CK166" s="307"/>
      <c r="CL166" s="307"/>
      <c r="CM166" s="307"/>
      <c r="CN166" s="307"/>
      <c r="CO166" s="307"/>
      <c r="CP166" s="307"/>
      <c r="CQ166" s="307"/>
      <c r="CR166" s="307"/>
      <c r="CS166" s="307"/>
      <c r="CT166" s="307"/>
      <c r="CU166" s="307"/>
      <c r="CV166" s="307"/>
      <c r="CW166" s="307"/>
      <c r="CX166" s="307"/>
      <c r="CY166" s="307"/>
      <c r="CZ166" s="307"/>
      <c r="DA166" s="307"/>
      <c r="DB166" s="308"/>
      <c r="DC166" s="306"/>
      <c r="DD166" s="306"/>
      <c r="DE166" s="307"/>
      <c r="DF166" s="307"/>
      <c r="DG166" s="307"/>
      <c r="DH166" s="307"/>
      <c r="DI166" s="307"/>
      <c r="DJ166" s="307"/>
      <c r="DK166" s="307"/>
      <c r="DL166" s="307"/>
      <c r="DM166" s="307"/>
      <c r="DN166" s="307"/>
      <c r="DO166" s="307"/>
      <c r="DP166" s="307"/>
      <c r="DQ166" s="307"/>
      <c r="DR166" s="307"/>
      <c r="DS166" s="308"/>
      <c r="DT166" s="306"/>
      <c r="DU166" s="306"/>
      <c r="DV166" s="307"/>
      <c r="DW166" s="307"/>
      <c r="DX166" s="307"/>
      <c r="DY166" s="307"/>
      <c r="DZ166" s="307"/>
      <c r="EA166" s="307"/>
      <c r="EB166" s="307"/>
      <c r="EC166" s="307"/>
      <c r="ED166" s="307"/>
      <c r="EE166" s="307"/>
      <c r="EF166" s="307"/>
      <c r="EG166" s="307"/>
      <c r="EH166" s="307"/>
      <c r="EI166" s="307"/>
      <c r="EJ166" s="308"/>
      <c r="EK166" s="306"/>
      <c r="EL166" s="306"/>
      <c r="EM166" s="307"/>
      <c r="EN166" s="307"/>
      <c r="EO166" s="307"/>
      <c r="EP166" s="307"/>
      <c r="EQ166" s="307"/>
      <c r="ER166" s="307"/>
      <c r="ES166" s="307"/>
      <c r="ET166" s="307"/>
      <c r="EU166" s="307"/>
      <c r="EV166" s="307"/>
      <c r="EW166" s="307"/>
      <c r="EX166" s="307"/>
      <c r="EY166" s="307"/>
      <c r="EZ166" s="307"/>
      <c r="FA166" s="308"/>
    </row>
    <row r="167" customFormat="false" ht="15" hidden="false" customHeight="false" outlineLevel="0" collapsed="false">
      <c r="A167" s="306" t="s">
        <v>356</v>
      </c>
      <c r="B167" s="306"/>
      <c r="C167" s="307" t="n">
        <v>2030</v>
      </c>
      <c r="D167" s="307" t="n">
        <v>2030</v>
      </c>
      <c r="E167" s="307" t="n">
        <v>2030</v>
      </c>
      <c r="F167" s="307" t="n">
        <v>2030</v>
      </c>
      <c r="G167" s="307" t="n">
        <v>2030</v>
      </c>
      <c r="H167" s="307" t="n">
        <v>2030</v>
      </c>
      <c r="I167" s="307" t="n">
        <v>2030</v>
      </c>
      <c r="J167" s="307" t="n">
        <v>2030</v>
      </c>
      <c r="K167" s="307" t="n">
        <v>2030</v>
      </c>
      <c r="L167" s="307" t="n">
        <v>2030</v>
      </c>
      <c r="M167" s="307" t="n">
        <v>2030</v>
      </c>
      <c r="N167" s="307" t="n">
        <v>2030</v>
      </c>
      <c r="O167" s="307" t="n">
        <v>2030</v>
      </c>
      <c r="P167" s="307" t="n">
        <v>2030</v>
      </c>
      <c r="Q167" s="307" t="n">
        <v>2030</v>
      </c>
      <c r="R167" s="307" t="n">
        <v>2030</v>
      </c>
      <c r="S167" s="307" t="n">
        <v>2030</v>
      </c>
      <c r="T167" s="307" t="n">
        <v>2030</v>
      </c>
      <c r="U167" s="307" t="n">
        <v>2030</v>
      </c>
      <c r="V167" s="307" t="n">
        <v>2030</v>
      </c>
      <c r="W167" s="307" t="n">
        <v>2030</v>
      </c>
      <c r="X167" s="307" t="n">
        <v>2030</v>
      </c>
      <c r="Y167" s="307" t="n">
        <v>2030</v>
      </c>
      <c r="Z167" s="307" t="n">
        <v>2030</v>
      </c>
      <c r="AA167" s="307" t="n">
        <v>2030</v>
      </c>
      <c r="AB167" s="307" t="n">
        <v>2030</v>
      </c>
      <c r="AC167" s="307" t="n">
        <v>2030</v>
      </c>
      <c r="AD167" s="307" t="n">
        <v>2030</v>
      </c>
      <c r="AE167" s="307" t="n">
        <v>2030</v>
      </c>
      <c r="AF167" s="307" t="n">
        <v>2030</v>
      </c>
      <c r="AG167" s="307" t="n">
        <v>2030</v>
      </c>
      <c r="AH167" s="307" t="n">
        <v>2030</v>
      </c>
      <c r="AI167" s="307" t="n">
        <v>2030</v>
      </c>
      <c r="AJ167" s="307" t="n">
        <v>2030</v>
      </c>
      <c r="AK167" s="307" t="n">
        <v>2030</v>
      </c>
      <c r="AL167" s="307" t="n">
        <v>2030</v>
      </c>
      <c r="AM167" s="307" t="n">
        <v>2030</v>
      </c>
      <c r="AN167" s="307" t="n">
        <v>2030</v>
      </c>
      <c r="AO167" s="307" t="n">
        <v>2030</v>
      </c>
      <c r="AP167" s="307" t="n">
        <v>2030</v>
      </c>
      <c r="AQ167" s="307" t="n">
        <v>2030</v>
      </c>
      <c r="AR167" s="307" t="n">
        <v>2030</v>
      </c>
      <c r="AS167" s="307" t="n">
        <v>2030</v>
      </c>
      <c r="AT167" s="307" t="n">
        <v>2030</v>
      </c>
      <c r="AU167" s="307" t="n">
        <v>2030</v>
      </c>
      <c r="AV167" s="307" t="n">
        <v>2030</v>
      </c>
      <c r="AW167" s="307" t="n">
        <v>2030</v>
      </c>
      <c r="AX167" s="307" t="n">
        <v>2030</v>
      </c>
      <c r="AY167" s="307" t="n">
        <v>2030</v>
      </c>
      <c r="AZ167" s="307" t="n">
        <v>2030</v>
      </c>
      <c r="BA167" s="306"/>
      <c r="BB167" s="306"/>
      <c r="BC167" s="307"/>
      <c r="BD167" s="307"/>
      <c r="BE167" s="307"/>
      <c r="BF167" s="307"/>
      <c r="BG167" s="307"/>
      <c r="BH167" s="307"/>
      <c r="BI167" s="307"/>
      <c r="BJ167" s="307"/>
      <c r="BK167" s="307"/>
      <c r="BL167" s="307"/>
      <c r="BM167" s="307"/>
      <c r="BN167" s="307"/>
      <c r="BO167" s="307"/>
      <c r="BP167" s="307"/>
      <c r="BQ167" s="308"/>
      <c r="BR167" s="306"/>
      <c r="BS167" s="306"/>
      <c r="BT167" s="307"/>
      <c r="BU167" s="307"/>
      <c r="BV167" s="307"/>
      <c r="BW167" s="307"/>
      <c r="BX167" s="307"/>
      <c r="BY167" s="307"/>
      <c r="BZ167" s="307"/>
      <c r="CA167" s="307"/>
      <c r="CB167" s="307"/>
      <c r="CC167" s="307"/>
      <c r="CD167" s="307"/>
      <c r="CE167" s="307"/>
      <c r="CF167" s="307"/>
      <c r="CG167" s="307"/>
      <c r="CH167" s="308"/>
      <c r="CI167" s="306"/>
      <c r="CJ167" s="306"/>
      <c r="CK167" s="307"/>
      <c r="CL167" s="307"/>
      <c r="CM167" s="307"/>
      <c r="CN167" s="307"/>
      <c r="CO167" s="307"/>
      <c r="CP167" s="307"/>
      <c r="CQ167" s="307"/>
      <c r="CR167" s="307"/>
      <c r="CS167" s="307"/>
      <c r="CT167" s="307"/>
      <c r="CU167" s="307"/>
      <c r="CV167" s="307"/>
      <c r="CW167" s="307"/>
      <c r="CX167" s="307"/>
      <c r="CY167" s="307"/>
      <c r="CZ167" s="307"/>
      <c r="DA167" s="307"/>
      <c r="DB167" s="308"/>
      <c r="DC167" s="306"/>
      <c r="DD167" s="306"/>
      <c r="DE167" s="307"/>
      <c r="DF167" s="307"/>
      <c r="DG167" s="307"/>
      <c r="DH167" s="307"/>
      <c r="DI167" s="307"/>
      <c r="DJ167" s="307"/>
      <c r="DK167" s="307"/>
      <c r="DL167" s="307"/>
      <c r="DM167" s="307"/>
      <c r="DN167" s="307"/>
      <c r="DO167" s="307"/>
      <c r="DP167" s="307"/>
      <c r="DQ167" s="307"/>
      <c r="DR167" s="307"/>
      <c r="DS167" s="308"/>
      <c r="DT167" s="306"/>
      <c r="DU167" s="306"/>
      <c r="DV167" s="307"/>
      <c r="DW167" s="307"/>
      <c r="DX167" s="307"/>
      <c r="DY167" s="307"/>
      <c r="DZ167" s="307"/>
      <c r="EA167" s="307"/>
      <c r="EB167" s="307"/>
      <c r="EC167" s="307"/>
      <c r="ED167" s="307"/>
      <c r="EE167" s="307"/>
      <c r="EF167" s="307"/>
      <c r="EG167" s="307"/>
      <c r="EH167" s="307"/>
      <c r="EI167" s="307"/>
      <c r="EJ167" s="308"/>
      <c r="EK167" s="306"/>
      <c r="EL167" s="306"/>
      <c r="EM167" s="307"/>
      <c r="EN167" s="307"/>
      <c r="EO167" s="307"/>
      <c r="EP167" s="307"/>
      <c r="EQ167" s="307"/>
      <c r="ER167" s="307"/>
      <c r="ES167" s="307"/>
      <c r="ET167" s="307"/>
      <c r="EU167" s="307"/>
      <c r="EV167" s="307"/>
      <c r="EW167" s="307"/>
      <c r="EX167" s="307"/>
      <c r="EY167" s="307"/>
      <c r="EZ167" s="307"/>
      <c r="FA167" s="308"/>
    </row>
    <row r="168" customFormat="false" ht="17.35" hidden="false" customHeight="false" outlineLevel="0" collapsed="false">
      <c r="A168" s="272" t="s">
        <v>589</v>
      </c>
      <c r="B168" s="273"/>
      <c r="C168" s="273"/>
      <c r="D168" s="273"/>
      <c r="E168" s="273"/>
      <c r="F168" s="273"/>
      <c r="G168" s="273"/>
      <c r="H168" s="273"/>
      <c r="I168" s="273"/>
      <c r="J168" s="273"/>
      <c r="K168" s="273"/>
      <c r="L168" s="273"/>
      <c r="M168" s="273"/>
      <c r="N168" s="273"/>
      <c r="O168" s="273"/>
      <c r="P168" s="273"/>
      <c r="Q168" s="273"/>
      <c r="R168" s="273"/>
      <c r="S168" s="273"/>
      <c r="T168" s="273"/>
      <c r="U168" s="273"/>
      <c r="V168" s="273"/>
      <c r="W168" s="273"/>
      <c r="X168" s="273"/>
      <c r="Y168" s="273"/>
      <c r="Z168" s="273"/>
      <c r="AA168" s="273"/>
      <c r="AB168" s="273"/>
      <c r="AC168" s="273"/>
      <c r="AD168" s="273"/>
      <c r="AE168" s="273"/>
      <c r="AF168" s="273"/>
      <c r="AG168" s="273"/>
      <c r="AH168" s="273"/>
      <c r="AI168" s="273"/>
      <c r="AJ168" s="273"/>
      <c r="AK168" s="273"/>
      <c r="AL168" s="273"/>
      <c r="AM168" s="273"/>
      <c r="AN168" s="273"/>
      <c r="AO168" s="273"/>
      <c r="AP168" s="273"/>
      <c r="AQ168" s="273"/>
      <c r="AR168" s="273"/>
      <c r="AS168" s="273"/>
      <c r="AT168" s="273"/>
      <c r="AU168" s="273"/>
      <c r="AV168" s="273"/>
      <c r="AW168" s="273"/>
      <c r="AX168" s="273"/>
      <c r="AY168" s="273"/>
      <c r="AZ168" s="273"/>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c r="BU168" s="212"/>
      <c r="BV168" s="212"/>
      <c r="BW168" s="212"/>
      <c r="BX168" s="212"/>
      <c r="BY168" s="212"/>
      <c r="BZ168" s="212"/>
      <c r="CA168" s="212"/>
      <c r="CB168" s="212"/>
      <c r="CC168" s="212"/>
      <c r="CD168" s="212"/>
      <c r="CE168" s="212"/>
      <c r="CF168" s="212"/>
      <c r="CG168" s="212"/>
      <c r="CH168" s="212"/>
      <c r="CI168" s="242"/>
      <c r="CJ168" s="242"/>
      <c r="CK168" s="242"/>
      <c r="CL168" s="242"/>
      <c r="CM168" s="242"/>
      <c r="CN168" s="242"/>
      <c r="CO168" s="242"/>
      <c r="CP168" s="242"/>
      <c r="CQ168" s="242"/>
      <c r="CR168" s="242"/>
      <c r="CS168" s="309"/>
      <c r="CT168" s="309"/>
      <c r="CU168" s="309"/>
      <c r="CV168" s="309"/>
      <c r="CW168" s="309"/>
      <c r="CX168" s="309"/>
      <c r="CY168" s="309"/>
      <c r="CZ168" s="309"/>
      <c r="DA168" s="309"/>
      <c r="DB168" s="309"/>
      <c r="DC168" s="212"/>
      <c r="DD168" s="212"/>
      <c r="DE168" s="212"/>
      <c r="DF168" s="212"/>
      <c r="DG168" s="212"/>
      <c r="DH168" s="212"/>
      <c r="DI168" s="212"/>
      <c r="DJ168" s="212"/>
      <c r="DK168" s="212"/>
      <c r="DL168" s="212"/>
      <c r="DM168" s="212"/>
      <c r="DN168" s="212"/>
      <c r="DO168" s="212"/>
      <c r="DP168" s="212"/>
      <c r="DQ168" s="212"/>
      <c r="DR168" s="212"/>
      <c r="DS168" s="212"/>
      <c r="DT168" s="212"/>
      <c r="DU168" s="212"/>
      <c r="DV168" s="212"/>
      <c r="DW168" s="212"/>
      <c r="DX168" s="212"/>
      <c r="DY168" s="212"/>
      <c r="DZ168" s="212"/>
      <c r="EA168" s="212"/>
      <c r="EB168" s="212"/>
      <c r="EC168" s="212"/>
      <c r="ED168" s="212"/>
      <c r="EE168" s="212"/>
      <c r="EF168" s="212"/>
      <c r="EG168" s="212"/>
      <c r="EH168" s="212"/>
      <c r="EI168" s="212"/>
      <c r="EJ168" s="212"/>
      <c r="EK168" s="212"/>
      <c r="EL168" s="212"/>
      <c r="EM168" s="212"/>
      <c r="EN168" s="212"/>
      <c r="EO168" s="212"/>
      <c r="EP168" s="212"/>
      <c r="EQ168" s="212"/>
      <c r="ER168" s="212"/>
      <c r="ES168" s="212"/>
      <c r="ET168" s="212"/>
      <c r="EU168" s="212"/>
      <c r="EV168" s="212"/>
      <c r="EW168" s="212"/>
      <c r="EX168" s="212"/>
      <c r="EY168" s="212"/>
      <c r="EZ168" s="212"/>
      <c r="FA168" s="212"/>
    </row>
    <row r="169" customFormat="false" ht="15" hidden="false" customHeight="false" outlineLevel="0" collapsed="false">
      <c r="A169" s="306" t="s">
        <v>352</v>
      </c>
      <c r="B169" s="306"/>
      <c r="C169" s="307" t="n">
        <v>1</v>
      </c>
      <c r="D169" s="307" t="n">
        <v>1</v>
      </c>
      <c r="E169" s="307" t="n">
        <v>1</v>
      </c>
      <c r="F169" s="307" t="n">
        <v>1</v>
      </c>
      <c r="G169" s="307" t="n">
        <v>1</v>
      </c>
      <c r="H169" s="307" t="n">
        <v>1</v>
      </c>
      <c r="I169" s="307" t="n">
        <v>1</v>
      </c>
      <c r="J169" s="307" t="n">
        <v>1</v>
      </c>
      <c r="K169" s="307" t="n">
        <v>1</v>
      </c>
      <c r="L169" s="307" t="n">
        <v>1</v>
      </c>
      <c r="M169" s="307" t="n">
        <v>1</v>
      </c>
      <c r="N169" s="307" t="n">
        <v>1</v>
      </c>
      <c r="O169" s="307" t="n">
        <v>1</v>
      </c>
      <c r="P169" s="307" t="n">
        <v>1</v>
      </c>
      <c r="Q169" s="307" t="n">
        <v>1</v>
      </c>
      <c r="R169" s="307" t="n">
        <v>1</v>
      </c>
      <c r="S169" s="307" t="n">
        <v>1</v>
      </c>
      <c r="T169" s="307" t="n">
        <v>1</v>
      </c>
      <c r="U169" s="307" t="n">
        <v>1</v>
      </c>
      <c r="V169" s="307" t="n">
        <v>1</v>
      </c>
      <c r="W169" s="307" t="n">
        <v>1</v>
      </c>
      <c r="X169" s="307" t="n">
        <v>1</v>
      </c>
      <c r="Y169" s="307" t="n">
        <v>1</v>
      </c>
      <c r="Z169" s="307" t="n">
        <v>1</v>
      </c>
      <c r="AA169" s="307" t="n">
        <v>1</v>
      </c>
      <c r="AB169" s="307" t="n">
        <v>1</v>
      </c>
      <c r="AC169" s="307" t="n">
        <v>1</v>
      </c>
      <c r="AD169" s="307" t="n">
        <v>1</v>
      </c>
      <c r="AE169" s="307" t="n">
        <v>1</v>
      </c>
      <c r="AF169" s="307" t="n">
        <v>1</v>
      </c>
      <c r="AG169" s="307" t="n">
        <v>1</v>
      </c>
      <c r="AH169" s="307" t="n">
        <v>1</v>
      </c>
      <c r="AI169" s="307" t="n">
        <v>1</v>
      </c>
      <c r="AJ169" s="307" t="n">
        <v>1</v>
      </c>
      <c r="AK169" s="307" t="n">
        <v>1</v>
      </c>
      <c r="AL169" s="307" t="n">
        <v>1</v>
      </c>
      <c r="AM169" s="307" t="n">
        <v>1</v>
      </c>
      <c r="AN169" s="307" t="n">
        <v>1</v>
      </c>
      <c r="AO169" s="307" t="n">
        <v>1</v>
      </c>
      <c r="AP169" s="307" t="n">
        <v>1</v>
      </c>
      <c r="AQ169" s="307" t="n">
        <v>1</v>
      </c>
      <c r="AR169" s="307" t="n">
        <v>1</v>
      </c>
      <c r="AS169" s="307" t="n">
        <v>1</v>
      </c>
      <c r="AT169" s="307" t="n">
        <v>1</v>
      </c>
      <c r="AU169" s="307" t="n">
        <v>1</v>
      </c>
      <c r="AV169" s="307" t="n">
        <v>1</v>
      </c>
      <c r="AW169" s="307" t="n">
        <v>1</v>
      </c>
      <c r="AX169" s="307" t="n">
        <v>1</v>
      </c>
      <c r="AY169" s="307" t="n">
        <v>1</v>
      </c>
      <c r="AZ169" s="307" t="n">
        <v>1</v>
      </c>
      <c r="BA169" s="306"/>
      <c r="BB169" s="306"/>
      <c r="BC169" s="307"/>
      <c r="BD169" s="307"/>
      <c r="BE169" s="307"/>
      <c r="BF169" s="307"/>
      <c r="BG169" s="307"/>
      <c r="BH169" s="307"/>
      <c r="BI169" s="307"/>
      <c r="BJ169" s="307"/>
      <c r="BK169" s="307"/>
      <c r="BL169" s="307"/>
      <c r="BM169" s="307"/>
      <c r="BN169" s="307"/>
      <c r="BO169" s="307"/>
      <c r="BP169" s="307"/>
      <c r="BQ169" s="308"/>
      <c r="BR169" s="306"/>
      <c r="BS169" s="306"/>
      <c r="BT169" s="307"/>
      <c r="BU169" s="307"/>
      <c r="BV169" s="307"/>
      <c r="BW169" s="307"/>
      <c r="BX169" s="307"/>
      <c r="BY169" s="307"/>
      <c r="BZ169" s="307"/>
      <c r="CA169" s="307"/>
      <c r="CB169" s="307"/>
      <c r="CC169" s="307"/>
      <c r="CD169" s="307"/>
      <c r="CE169" s="307"/>
      <c r="CF169" s="307"/>
      <c r="CG169" s="307"/>
      <c r="CH169" s="308"/>
      <c r="CI169" s="306"/>
      <c r="CJ169" s="306"/>
      <c r="CK169" s="307"/>
      <c r="CL169" s="307"/>
      <c r="CM169" s="307"/>
      <c r="CN169" s="307"/>
      <c r="CO169" s="307"/>
      <c r="CP169" s="307"/>
      <c r="CQ169" s="307"/>
      <c r="CR169" s="307"/>
      <c r="CS169" s="307"/>
      <c r="CT169" s="307"/>
      <c r="CU169" s="307"/>
      <c r="CV169" s="307"/>
      <c r="CW169" s="307"/>
      <c r="CX169" s="307"/>
      <c r="CY169" s="307"/>
      <c r="CZ169" s="307"/>
      <c r="DA169" s="307"/>
      <c r="DB169" s="308"/>
      <c r="DC169" s="306"/>
      <c r="DD169" s="306"/>
      <c r="DE169" s="307"/>
      <c r="DF169" s="307"/>
      <c r="DG169" s="307"/>
      <c r="DH169" s="307"/>
      <c r="DI169" s="307"/>
      <c r="DJ169" s="307"/>
      <c r="DK169" s="307"/>
      <c r="DL169" s="307"/>
      <c r="DM169" s="307"/>
      <c r="DN169" s="307"/>
      <c r="DO169" s="307"/>
      <c r="DP169" s="307"/>
      <c r="DQ169" s="307"/>
      <c r="DR169" s="307"/>
      <c r="DS169" s="308"/>
      <c r="DT169" s="306"/>
      <c r="DU169" s="306"/>
      <c r="DV169" s="307"/>
      <c r="DW169" s="307"/>
      <c r="DX169" s="307"/>
      <c r="DY169" s="307"/>
      <c r="DZ169" s="307"/>
      <c r="EA169" s="307"/>
      <c r="EB169" s="307"/>
      <c r="EC169" s="307"/>
      <c r="ED169" s="307"/>
      <c r="EE169" s="307"/>
      <c r="EF169" s="307"/>
      <c r="EG169" s="307"/>
      <c r="EH169" s="307"/>
      <c r="EI169" s="307"/>
      <c r="EJ169" s="308"/>
      <c r="EK169" s="306"/>
      <c r="EL169" s="306"/>
      <c r="EM169" s="307"/>
      <c r="EN169" s="307"/>
      <c r="EO169" s="307"/>
      <c r="EP169" s="307"/>
      <c r="EQ169" s="307"/>
      <c r="ER169" s="307"/>
      <c r="ES169" s="307"/>
      <c r="ET169" s="307"/>
      <c r="EU169" s="307"/>
      <c r="EV169" s="307"/>
      <c r="EW169" s="307"/>
      <c r="EX169" s="307"/>
      <c r="EY169" s="307"/>
      <c r="EZ169" s="307"/>
      <c r="FA169" s="308"/>
    </row>
    <row r="170" customFormat="false" ht="15" hidden="false" customHeight="false" outlineLevel="0" collapsed="false">
      <c r="A170" s="306" t="s">
        <v>353</v>
      </c>
      <c r="B170" s="306"/>
      <c r="C170" s="307" t="n">
        <v>1</v>
      </c>
      <c r="D170" s="307" t="n">
        <v>1</v>
      </c>
      <c r="E170" s="307" t="n">
        <v>1</v>
      </c>
      <c r="F170" s="307" t="n">
        <v>1</v>
      </c>
      <c r="G170" s="307" t="n">
        <v>1</v>
      </c>
      <c r="H170" s="307" t="n">
        <v>1</v>
      </c>
      <c r="I170" s="307" t="n">
        <v>1</v>
      </c>
      <c r="J170" s="307" t="n">
        <v>1</v>
      </c>
      <c r="K170" s="307" t="n">
        <v>1</v>
      </c>
      <c r="L170" s="307" t="n">
        <v>1</v>
      </c>
      <c r="M170" s="307" t="n">
        <v>1</v>
      </c>
      <c r="N170" s="307" t="n">
        <v>1</v>
      </c>
      <c r="O170" s="307" t="n">
        <v>1</v>
      </c>
      <c r="P170" s="307" t="n">
        <v>1</v>
      </c>
      <c r="Q170" s="307" t="n">
        <v>1</v>
      </c>
      <c r="R170" s="307" t="n">
        <v>1</v>
      </c>
      <c r="S170" s="307" t="n">
        <v>1</v>
      </c>
      <c r="T170" s="307" t="n">
        <v>1</v>
      </c>
      <c r="U170" s="307" t="n">
        <v>1</v>
      </c>
      <c r="V170" s="307" t="n">
        <v>1</v>
      </c>
      <c r="W170" s="307" t="n">
        <v>1</v>
      </c>
      <c r="X170" s="307" t="n">
        <v>1</v>
      </c>
      <c r="Y170" s="307" t="n">
        <v>1</v>
      </c>
      <c r="Z170" s="307" t="n">
        <v>1</v>
      </c>
      <c r="AA170" s="307" t="n">
        <v>1</v>
      </c>
      <c r="AB170" s="307" t="n">
        <v>1</v>
      </c>
      <c r="AC170" s="307" t="n">
        <v>1</v>
      </c>
      <c r="AD170" s="307" t="n">
        <v>1</v>
      </c>
      <c r="AE170" s="307" t="n">
        <v>1</v>
      </c>
      <c r="AF170" s="307" t="n">
        <v>1</v>
      </c>
      <c r="AG170" s="307" t="n">
        <v>1</v>
      </c>
      <c r="AH170" s="307" t="n">
        <v>1</v>
      </c>
      <c r="AI170" s="307" t="n">
        <v>1</v>
      </c>
      <c r="AJ170" s="307" t="n">
        <v>1</v>
      </c>
      <c r="AK170" s="307" t="n">
        <v>1</v>
      </c>
      <c r="AL170" s="307" t="n">
        <v>1</v>
      </c>
      <c r="AM170" s="307" t="n">
        <v>1</v>
      </c>
      <c r="AN170" s="307" t="n">
        <v>1</v>
      </c>
      <c r="AO170" s="307" t="n">
        <v>1</v>
      </c>
      <c r="AP170" s="307" t="n">
        <v>1</v>
      </c>
      <c r="AQ170" s="307" t="n">
        <v>1</v>
      </c>
      <c r="AR170" s="307" t="n">
        <v>1</v>
      </c>
      <c r="AS170" s="307" t="n">
        <v>1</v>
      </c>
      <c r="AT170" s="307" t="n">
        <v>1</v>
      </c>
      <c r="AU170" s="307" t="n">
        <v>1</v>
      </c>
      <c r="AV170" s="307" t="n">
        <v>1</v>
      </c>
      <c r="AW170" s="307" t="n">
        <v>1</v>
      </c>
      <c r="AX170" s="307" t="n">
        <v>1</v>
      </c>
      <c r="AY170" s="307" t="n">
        <v>1</v>
      </c>
      <c r="AZ170" s="307" t="n">
        <v>1</v>
      </c>
      <c r="BA170" s="306"/>
      <c r="BB170" s="306"/>
      <c r="BC170" s="307"/>
      <c r="BD170" s="307"/>
      <c r="BE170" s="307"/>
      <c r="BF170" s="307"/>
      <c r="BG170" s="307"/>
      <c r="BH170" s="307"/>
      <c r="BI170" s="307"/>
      <c r="BJ170" s="307"/>
      <c r="BK170" s="307"/>
      <c r="BL170" s="307"/>
      <c r="BM170" s="307"/>
      <c r="BN170" s="307"/>
      <c r="BO170" s="307"/>
      <c r="BP170" s="307"/>
      <c r="BQ170" s="308"/>
      <c r="BR170" s="306"/>
      <c r="BS170" s="306"/>
      <c r="BT170" s="307"/>
      <c r="BU170" s="307"/>
      <c r="BV170" s="307"/>
      <c r="BW170" s="307"/>
      <c r="BX170" s="307"/>
      <c r="BY170" s="307"/>
      <c r="BZ170" s="307"/>
      <c r="CA170" s="307"/>
      <c r="CB170" s="307"/>
      <c r="CC170" s="307"/>
      <c r="CD170" s="307"/>
      <c r="CE170" s="307"/>
      <c r="CF170" s="307"/>
      <c r="CG170" s="307"/>
      <c r="CH170" s="308"/>
      <c r="CI170" s="306"/>
      <c r="CJ170" s="306"/>
      <c r="CK170" s="307"/>
      <c r="CL170" s="307"/>
      <c r="CM170" s="307"/>
      <c r="CN170" s="307"/>
      <c r="CO170" s="307"/>
      <c r="CP170" s="307"/>
      <c r="CQ170" s="307"/>
      <c r="CR170" s="307"/>
      <c r="CS170" s="307"/>
      <c r="CT170" s="307"/>
      <c r="CU170" s="307"/>
      <c r="CV170" s="307"/>
      <c r="CW170" s="307"/>
      <c r="CX170" s="307"/>
      <c r="CY170" s="307"/>
      <c r="CZ170" s="307"/>
      <c r="DA170" s="307"/>
      <c r="DB170" s="308"/>
      <c r="DC170" s="306"/>
      <c r="DD170" s="306"/>
      <c r="DE170" s="307"/>
      <c r="DF170" s="307"/>
      <c r="DG170" s="307"/>
      <c r="DH170" s="307"/>
      <c r="DI170" s="307"/>
      <c r="DJ170" s="307"/>
      <c r="DK170" s="307"/>
      <c r="DL170" s="307"/>
      <c r="DM170" s="307"/>
      <c r="DN170" s="307"/>
      <c r="DO170" s="307"/>
      <c r="DP170" s="307"/>
      <c r="DQ170" s="307"/>
      <c r="DR170" s="307"/>
      <c r="DS170" s="308"/>
      <c r="DT170" s="306"/>
      <c r="DU170" s="306"/>
      <c r="DV170" s="307"/>
      <c r="DW170" s="307"/>
      <c r="DX170" s="307"/>
      <c r="DY170" s="307"/>
      <c r="DZ170" s="307"/>
      <c r="EA170" s="307"/>
      <c r="EB170" s="307"/>
      <c r="EC170" s="307"/>
      <c r="ED170" s="307"/>
      <c r="EE170" s="307"/>
      <c r="EF170" s="307"/>
      <c r="EG170" s="307"/>
      <c r="EH170" s="307"/>
      <c r="EI170" s="307"/>
      <c r="EJ170" s="308"/>
      <c r="EK170" s="306"/>
      <c r="EL170" s="306"/>
      <c r="EM170" s="307"/>
      <c r="EN170" s="307"/>
      <c r="EO170" s="307"/>
      <c r="EP170" s="307"/>
      <c r="EQ170" s="307"/>
      <c r="ER170" s="307"/>
      <c r="ES170" s="307"/>
      <c r="ET170" s="307"/>
      <c r="EU170" s="307"/>
      <c r="EV170" s="307"/>
      <c r="EW170" s="307"/>
      <c r="EX170" s="307"/>
      <c r="EY170" s="307"/>
      <c r="EZ170" s="307"/>
      <c r="FA170" s="308"/>
    </row>
    <row r="171" customFormat="false" ht="15" hidden="false" customHeight="false" outlineLevel="0" collapsed="false">
      <c r="A171" s="306" t="s">
        <v>354</v>
      </c>
      <c r="B171" s="306"/>
      <c r="C171" s="307" t="n">
        <v>1</v>
      </c>
      <c r="D171" s="307" t="n">
        <v>1</v>
      </c>
      <c r="E171" s="307" t="n">
        <v>1</v>
      </c>
      <c r="F171" s="307" t="n">
        <v>1</v>
      </c>
      <c r="G171" s="307" t="n">
        <v>1</v>
      </c>
      <c r="H171" s="307" t="n">
        <v>1</v>
      </c>
      <c r="I171" s="307" t="n">
        <v>1</v>
      </c>
      <c r="J171" s="307" t="n">
        <v>1</v>
      </c>
      <c r="K171" s="307" t="n">
        <v>1</v>
      </c>
      <c r="L171" s="307" t="n">
        <v>1</v>
      </c>
      <c r="M171" s="307" t="n">
        <v>1</v>
      </c>
      <c r="N171" s="307" t="n">
        <v>1</v>
      </c>
      <c r="O171" s="307" t="n">
        <v>1</v>
      </c>
      <c r="P171" s="307" t="n">
        <v>1</v>
      </c>
      <c r="Q171" s="307" t="n">
        <v>1</v>
      </c>
      <c r="R171" s="307" t="n">
        <v>1</v>
      </c>
      <c r="S171" s="307" t="n">
        <v>1</v>
      </c>
      <c r="T171" s="307" t="n">
        <v>1</v>
      </c>
      <c r="U171" s="307" t="n">
        <v>1</v>
      </c>
      <c r="V171" s="307" t="n">
        <v>1</v>
      </c>
      <c r="W171" s="307" t="n">
        <v>1</v>
      </c>
      <c r="X171" s="307" t="n">
        <v>1</v>
      </c>
      <c r="Y171" s="307" t="n">
        <v>1</v>
      </c>
      <c r="Z171" s="307" t="n">
        <v>1</v>
      </c>
      <c r="AA171" s="307" t="n">
        <v>1</v>
      </c>
      <c r="AB171" s="307" t="n">
        <v>1</v>
      </c>
      <c r="AC171" s="307" t="n">
        <v>1</v>
      </c>
      <c r="AD171" s="307" t="n">
        <v>1</v>
      </c>
      <c r="AE171" s="307" t="n">
        <v>1</v>
      </c>
      <c r="AF171" s="307" t="n">
        <v>1</v>
      </c>
      <c r="AG171" s="307" t="n">
        <v>1</v>
      </c>
      <c r="AH171" s="307" t="n">
        <v>1</v>
      </c>
      <c r="AI171" s="307" t="n">
        <v>1</v>
      </c>
      <c r="AJ171" s="307" t="n">
        <v>1</v>
      </c>
      <c r="AK171" s="307" t="n">
        <v>1</v>
      </c>
      <c r="AL171" s="307" t="n">
        <v>1</v>
      </c>
      <c r="AM171" s="307" t="n">
        <v>1</v>
      </c>
      <c r="AN171" s="307" t="n">
        <v>1</v>
      </c>
      <c r="AO171" s="307" t="n">
        <v>1</v>
      </c>
      <c r="AP171" s="307" t="n">
        <v>1</v>
      </c>
      <c r="AQ171" s="307" t="n">
        <v>1</v>
      </c>
      <c r="AR171" s="307" t="n">
        <v>1</v>
      </c>
      <c r="AS171" s="307" t="n">
        <v>1</v>
      </c>
      <c r="AT171" s="307" t="n">
        <v>1</v>
      </c>
      <c r="AU171" s="307" t="n">
        <v>1</v>
      </c>
      <c r="AV171" s="307" t="n">
        <v>1</v>
      </c>
      <c r="AW171" s="307" t="n">
        <v>1</v>
      </c>
      <c r="AX171" s="307" t="n">
        <v>1</v>
      </c>
      <c r="AY171" s="307" t="n">
        <v>1</v>
      </c>
      <c r="AZ171" s="307" t="n">
        <v>1</v>
      </c>
      <c r="BA171" s="306"/>
      <c r="BB171" s="306"/>
      <c r="BC171" s="307"/>
      <c r="BD171" s="307"/>
      <c r="BE171" s="307"/>
      <c r="BF171" s="307"/>
      <c r="BG171" s="307"/>
      <c r="BH171" s="307"/>
      <c r="BI171" s="307"/>
      <c r="BJ171" s="307"/>
      <c r="BK171" s="307"/>
      <c r="BL171" s="307"/>
      <c r="BM171" s="307"/>
      <c r="BN171" s="307"/>
      <c r="BO171" s="307"/>
      <c r="BP171" s="307"/>
      <c r="BQ171" s="308"/>
      <c r="BR171" s="306"/>
      <c r="BS171" s="306"/>
      <c r="BT171" s="307"/>
      <c r="BU171" s="307"/>
      <c r="BV171" s="307"/>
      <c r="BW171" s="307"/>
      <c r="BX171" s="307"/>
      <c r="BY171" s="307"/>
      <c r="BZ171" s="307"/>
      <c r="CA171" s="307"/>
      <c r="CB171" s="307"/>
      <c r="CC171" s="307"/>
      <c r="CD171" s="307"/>
      <c r="CE171" s="307"/>
      <c r="CF171" s="307"/>
      <c r="CG171" s="307"/>
      <c r="CH171" s="308"/>
      <c r="CI171" s="306"/>
      <c r="CJ171" s="306"/>
      <c r="CK171" s="307"/>
      <c r="CL171" s="307"/>
      <c r="CM171" s="307"/>
      <c r="CN171" s="307"/>
      <c r="CO171" s="307"/>
      <c r="CP171" s="307"/>
      <c r="CQ171" s="307"/>
      <c r="CR171" s="307"/>
      <c r="CS171" s="307"/>
      <c r="CT171" s="307"/>
      <c r="CU171" s="307"/>
      <c r="CV171" s="307"/>
      <c r="CW171" s="307"/>
      <c r="CX171" s="307"/>
      <c r="CY171" s="307"/>
      <c r="CZ171" s="307"/>
      <c r="DA171" s="307"/>
      <c r="DB171" s="308"/>
      <c r="DC171" s="306"/>
      <c r="DD171" s="306"/>
      <c r="DE171" s="307"/>
      <c r="DF171" s="307"/>
      <c r="DG171" s="307"/>
      <c r="DH171" s="307"/>
      <c r="DI171" s="307"/>
      <c r="DJ171" s="307"/>
      <c r="DK171" s="307"/>
      <c r="DL171" s="307"/>
      <c r="DM171" s="307"/>
      <c r="DN171" s="307"/>
      <c r="DO171" s="307"/>
      <c r="DP171" s="307"/>
      <c r="DQ171" s="307"/>
      <c r="DR171" s="307"/>
      <c r="DS171" s="308"/>
      <c r="DT171" s="306"/>
      <c r="DU171" s="306"/>
      <c r="DV171" s="307"/>
      <c r="DW171" s="307"/>
      <c r="DX171" s="307"/>
      <c r="DY171" s="307"/>
      <c r="DZ171" s="307"/>
      <c r="EA171" s="307"/>
      <c r="EB171" s="307"/>
      <c r="EC171" s="307"/>
      <c r="ED171" s="307"/>
      <c r="EE171" s="307"/>
      <c r="EF171" s="307"/>
      <c r="EG171" s="307"/>
      <c r="EH171" s="307"/>
      <c r="EI171" s="307"/>
      <c r="EJ171" s="308"/>
      <c r="EK171" s="306"/>
      <c r="EL171" s="306"/>
      <c r="EM171" s="307"/>
      <c r="EN171" s="307"/>
      <c r="EO171" s="307"/>
      <c r="EP171" s="307"/>
      <c r="EQ171" s="307"/>
      <c r="ER171" s="307"/>
      <c r="ES171" s="307"/>
      <c r="ET171" s="307"/>
      <c r="EU171" s="307"/>
      <c r="EV171" s="307"/>
      <c r="EW171" s="307"/>
      <c r="EX171" s="307"/>
      <c r="EY171" s="307"/>
      <c r="EZ171" s="307"/>
      <c r="FA171" s="308"/>
    </row>
    <row r="172" customFormat="false" ht="15" hidden="false" customHeight="false" outlineLevel="0" collapsed="false">
      <c r="A172" s="306" t="s">
        <v>355</v>
      </c>
      <c r="B172" s="306"/>
      <c r="C172" s="307" t="n">
        <v>1</v>
      </c>
      <c r="D172" s="307" t="n">
        <v>1</v>
      </c>
      <c r="E172" s="307" t="n">
        <v>1</v>
      </c>
      <c r="F172" s="307" t="n">
        <v>1</v>
      </c>
      <c r="G172" s="307" t="n">
        <v>1</v>
      </c>
      <c r="H172" s="307" t="n">
        <v>1</v>
      </c>
      <c r="I172" s="307" t="n">
        <v>1</v>
      </c>
      <c r="J172" s="307" t="n">
        <v>1</v>
      </c>
      <c r="K172" s="307" t="n">
        <v>1</v>
      </c>
      <c r="L172" s="307" t="n">
        <v>1</v>
      </c>
      <c r="M172" s="307" t="n">
        <v>1</v>
      </c>
      <c r="N172" s="307" t="n">
        <v>1</v>
      </c>
      <c r="O172" s="307" t="n">
        <v>1</v>
      </c>
      <c r="P172" s="307" t="n">
        <v>1</v>
      </c>
      <c r="Q172" s="307" t="n">
        <v>1</v>
      </c>
      <c r="R172" s="307" t="n">
        <v>1</v>
      </c>
      <c r="S172" s="307" t="n">
        <v>1</v>
      </c>
      <c r="T172" s="307" t="n">
        <v>1</v>
      </c>
      <c r="U172" s="307" t="n">
        <v>1</v>
      </c>
      <c r="V172" s="307" t="n">
        <v>1</v>
      </c>
      <c r="W172" s="307" t="n">
        <v>1</v>
      </c>
      <c r="X172" s="307" t="n">
        <v>1</v>
      </c>
      <c r="Y172" s="307" t="n">
        <v>1</v>
      </c>
      <c r="Z172" s="307" t="n">
        <v>1</v>
      </c>
      <c r="AA172" s="307" t="n">
        <v>1</v>
      </c>
      <c r="AB172" s="307" t="n">
        <v>1</v>
      </c>
      <c r="AC172" s="307" t="n">
        <v>1</v>
      </c>
      <c r="AD172" s="307" t="n">
        <v>1</v>
      </c>
      <c r="AE172" s="307" t="n">
        <v>1</v>
      </c>
      <c r="AF172" s="307" t="n">
        <v>1</v>
      </c>
      <c r="AG172" s="307" t="n">
        <v>1</v>
      </c>
      <c r="AH172" s="307" t="n">
        <v>1</v>
      </c>
      <c r="AI172" s="307" t="n">
        <v>1</v>
      </c>
      <c r="AJ172" s="307" t="n">
        <v>1</v>
      </c>
      <c r="AK172" s="307" t="n">
        <v>1</v>
      </c>
      <c r="AL172" s="307" t="n">
        <v>1</v>
      </c>
      <c r="AM172" s="307" t="n">
        <v>1</v>
      </c>
      <c r="AN172" s="307" t="n">
        <v>1</v>
      </c>
      <c r="AO172" s="307" t="n">
        <v>1</v>
      </c>
      <c r="AP172" s="307" t="n">
        <v>1</v>
      </c>
      <c r="AQ172" s="307" t="n">
        <v>1</v>
      </c>
      <c r="AR172" s="307" t="n">
        <v>1</v>
      </c>
      <c r="AS172" s="307" t="n">
        <v>1</v>
      </c>
      <c r="AT172" s="307" t="n">
        <v>1</v>
      </c>
      <c r="AU172" s="307" t="n">
        <v>1</v>
      </c>
      <c r="AV172" s="307" t="n">
        <v>1</v>
      </c>
      <c r="AW172" s="307" t="n">
        <v>1</v>
      </c>
      <c r="AX172" s="307" t="n">
        <v>1</v>
      </c>
      <c r="AY172" s="307" t="n">
        <v>1</v>
      </c>
      <c r="AZ172" s="307" t="n">
        <v>1</v>
      </c>
      <c r="BA172" s="306"/>
      <c r="BB172" s="306"/>
      <c r="BC172" s="307"/>
      <c r="BD172" s="307"/>
      <c r="BE172" s="307"/>
      <c r="BF172" s="307"/>
      <c r="BG172" s="307"/>
      <c r="BH172" s="307"/>
      <c r="BI172" s="307"/>
      <c r="BJ172" s="307"/>
      <c r="BK172" s="307"/>
      <c r="BL172" s="307"/>
      <c r="BM172" s="307"/>
      <c r="BN172" s="307"/>
      <c r="BO172" s="307"/>
      <c r="BP172" s="307"/>
      <c r="BQ172" s="308"/>
      <c r="BR172" s="306"/>
      <c r="BS172" s="306"/>
      <c r="BT172" s="307"/>
      <c r="BU172" s="307"/>
      <c r="BV172" s="307"/>
      <c r="BW172" s="307"/>
      <c r="BX172" s="307"/>
      <c r="BY172" s="307"/>
      <c r="BZ172" s="307"/>
      <c r="CA172" s="307"/>
      <c r="CB172" s="307"/>
      <c r="CC172" s="307"/>
      <c r="CD172" s="307"/>
      <c r="CE172" s="307"/>
      <c r="CF172" s="307"/>
      <c r="CG172" s="307"/>
      <c r="CH172" s="308"/>
      <c r="CI172" s="306"/>
      <c r="CJ172" s="306"/>
      <c r="CK172" s="307"/>
      <c r="CL172" s="307"/>
      <c r="CM172" s="307"/>
      <c r="CN172" s="307"/>
      <c r="CO172" s="307"/>
      <c r="CP172" s="307"/>
      <c r="CQ172" s="307"/>
      <c r="CR172" s="307"/>
      <c r="CS172" s="307"/>
      <c r="CT172" s="307"/>
      <c r="CU172" s="307"/>
      <c r="CV172" s="307"/>
      <c r="CW172" s="307"/>
      <c r="CX172" s="307"/>
      <c r="CY172" s="307"/>
      <c r="CZ172" s="307"/>
      <c r="DA172" s="307"/>
      <c r="DB172" s="308"/>
      <c r="DC172" s="306"/>
      <c r="DD172" s="306"/>
      <c r="DE172" s="307"/>
      <c r="DF172" s="307"/>
      <c r="DG172" s="307"/>
      <c r="DH172" s="307"/>
      <c r="DI172" s="307"/>
      <c r="DJ172" s="307"/>
      <c r="DK172" s="307"/>
      <c r="DL172" s="307"/>
      <c r="DM172" s="307"/>
      <c r="DN172" s="307"/>
      <c r="DO172" s="307"/>
      <c r="DP172" s="307"/>
      <c r="DQ172" s="307"/>
      <c r="DR172" s="307"/>
      <c r="DS172" s="308"/>
      <c r="DT172" s="306"/>
      <c r="DU172" s="306"/>
      <c r="DV172" s="307"/>
      <c r="DW172" s="307"/>
      <c r="DX172" s="307"/>
      <c r="DY172" s="307"/>
      <c r="DZ172" s="307"/>
      <c r="EA172" s="307"/>
      <c r="EB172" s="307"/>
      <c r="EC172" s="307"/>
      <c r="ED172" s="307"/>
      <c r="EE172" s="307"/>
      <c r="EF172" s="307"/>
      <c r="EG172" s="307"/>
      <c r="EH172" s="307"/>
      <c r="EI172" s="307"/>
      <c r="EJ172" s="308"/>
      <c r="EK172" s="306"/>
      <c r="EL172" s="306"/>
      <c r="EM172" s="307"/>
      <c r="EN172" s="307"/>
      <c r="EO172" s="307"/>
      <c r="EP172" s="307"/>
      <c r="EQ172" s="307"/>
      <c r="ER172" s="307"/>
      <c r="ES172" s="307"/>
      <c r="ET172" s="307"/>
      <c r="EU172" s="307"/>
      <c r="EV172" s="307"/>
      <c r="EW172" s="307"/>
      <c r="EX172" s="307"/>
      <c r="EY172" s="307"/>
      <c r="EZ172" s="307"/>
      <c r="FA172" s="308"/>
    </row>
    <row r="173" customFormat="false" ht="15" hidden="false" customHeight="false" outlineLevel="0" collapsed="false">
      <c r="A173" s="306" t="s">
        <v>356</v>
      </c>
      <c r="B173" s="306"/>
      <c r="C173" s="307" t="n">
        <v>1</v>
      </c>
      <c r="D173" s="307" t="n">
        <v>1</v>
      </c>
      <c r="E173" s="307" t="n">
        <v>1</v>
      </c>
      <c r="F173" s="307" t="n">
        <v>1</v>
      </c>
      <c r="G173" s="307" t="n">
        <v>1</v>
      </c>
      <c r="H173" s="307" t="n">
        <v>1</v>
      </c>
      <c r="I173" s="307" t="n">
        <v>1</v>
      </c>
      <c r="J173" s="307" t="n">
        <v>1</v>
      </c>
      <c r="K173" s="307" t="n">
        <v>1</v>
      </c>
      <c r="L173" s="307" t="n">
        <v>1</v>
      </c>
      <c r="M173" s="307" t="n">
        <v>1</v>
      </c>
      <c r="N173" s="307" t="n">
        <v>1</v>
      </c>
      <c r="O173" s="307" t="n">
        <v>1</v>
      </c>
      <c r="P173" s="307" t="n">
        <v>1</v>
      </c>
      <c r="Q173" s="307" t="n">
        <v>1</v>
      </c>
      <c r="R173" s="307" t="n">
        <v>1</v>
      </c>
      <c r="S173" s="307" t="n">
        <v>1</v>
      </c>
      <c r="T173" s="307" t="n">
        <v>1</v>
      </c>
      <c r="U173" s="307" t="n">
        <v>1</v>
      </c>
      <c r="V173" s="307" t="n">
        <v>1</v>
      </c>
      <c r="W173" s="307" t="n">
        <v>1</v>
      </c>
      <c r="X173" s="307" t="n">
        <v>1</v>
      </c>
      <c r="Y173" s="307" t="n">
        <v>1</v>
      </c>
      <c r="Z173" s="307" t="n">
        <v>1</v>
      </c>
      <c r="AA173" s="307" t="n">
        <v>1</v>
      </c>
      <c r="AB173" s="307" t="n">
        <v>1</v>
      </c>
      <c r="AC173" s="307" t="n">
        <v>1</v>
      </c>
      <c r="AD173" s="307" t="n">
        <v>1</v>
      </c>
      <c r="AE173" s="307" t="n">
        <v>1</v>
      </c>
      <c r="AF173" s="307" t="n">
        <v>1</v>
      </c>
      <c r="AG173" s="307" t="n">
        <v>1</v>
      </c>
      <c r="AH173" s="307" t="n">
        <v>1</v>
      </c>
      <c r="AI173" s="307" t="n">
        <v>1</v>
      </c>
      <c r="AJ173" s="307" t="n">
        <v>1</v>
      </c>
      <c r="AK173" s="307" t="n">
        <v>1</v>
      </c>
      <c r="AL173" s="307" t="n">
        <v>1</v>
      </c>
      <c r="AM173" s="307" t="n">
        <v>1</v>
      </c>
      <c r="AN173" s="307" t="n">
        <v>1</v>
      </c>
      <c r="AO173" s="307" t="n">
        <v>1</v>
      </c>
      <c r="AP173" s="307" t="n">
        <v>1</v>
      </c>
      <c r="AQ173" s="307" t="n">
        <v>1</v>
      </c>
      <c r="AR173" s="307" t="n">
        <v>1</v>
      </c>
      <c r="AS173" s="307" t="n">
        <v>1</v>
      </c>
      <c r="AT173" s="307" t="n">
        <v>1</v>
      </c>
      <c r="AU173" s="307" t="n">
        <v>1</v>
      </c>
      <c r="AV173" s="307" t="n">
        <v>1</v>
      </c>
      <c r="AW173" s="307" t="n">
        <v>1</v>
      </c>
      <c r="AX173" s="307" t="n">
        <v>1</v>
      </c>
      <c r="AY173" s="307" t="n">
        <v>1</v>
      </c>
      <c r="AZ173" s="307" t="n">
        <v>1</v>
      </c>
      <c r="BA173" s="306"/>
      <c r="BB173" s="306"/>
      <c r="BC173" s="307"/>
      <c r="BD173" s="307"/>
      <c r="BE173" s="307"/>
      <c r="BF173" s="307"/>
      <c r="BG173" s="307"/>
      <c r="BH173" s="307"/>
      <c r="BI173" s="307"/>
      <c r="BJ173" s="307"/>
      <c r="BK173" s="307"/>
      <c r="BL173" s="307"/>
      <c r="BM173" s="307"/>
      <c r="BN173" s="307"/>
      <c r="BO173" s="307"/>
      <c r="BP173" s="307"/>
      <c r="BQ173" s="308"/>
      <c r="BR173" s="306"/>
      <c r="BS173" s="306"/>
      <c r="BT173" s="307"/>
      <c r="BU173" s="307"/>
      <c r="BV173" s="307"/>
      <c r="BW173" s="307"/>
      <c r="BX173" s="307"/>
      <c r="BY173" s="307"/>
      <c r="BZ173" s="307"/>
      <c r="CA173" s="307"/>
      <c r="CB173" s="307"/>
      <c r="CC173" s="307"/>
      <c r="CD173" s="307"/>
      <c r="CE173" s="307"/>
      <c r="CF173" s="307"/>
      <c r="CG173" s="307"/>
      <c r="CH173" s="308"/>
      <c r="CI173" s="306"/>
      <c r="CJ173" s="306"/>
      <c r="CK173" s="307"/>
      <c r="CL173" s="307"/>
      <c r="CM173" s="307"/>
      <c r="CN173" s="307"/>
      <c r="CO173" s="307"/>
      <c r="CP173" s="307"/>
      <c r="CQ173" s="307"/>
      <c r="CR173" s="307"/>
      <c r="CS173" s="307"/>
      <c r="CT173" s="307"/>
      <c r="CU173" s="307"/>
      <c r="CV173" s="307"/>
      <c r="CW173" s="307"/>
      <c r="CX173" s="307"/>
      <c r="CY173" s="307"/>
      <c r="CZ173" s="307"/>
      <c r="DA173" s="307"/>
      <c r="DB173" s="308"/>
      <c r="DC173" s="306"/>
      <c r="DD173" s="306"/>
      <c r="DE173" s="307"/>
      <c r="DF173" s="307"/>
      <c r="DG173" s="307"/>
      <c r="DH173" s="307"/>
      <c r="DI173" s="307"/>
      <c r="DJ173" s="307"/>
      <c r="DK173" s="307"/>
      <c r="DL173" s="307"/>
      <c r="DM173" s="307"/>
      <c r="DN173" s="307"/>
      <c r="DO173" s="307"/>
      <c r="DP173" s="307"/>
      <c r="DQ173" s="307"/>
      <c r="DR173" s="307"/>
      <c r="DS173" s="308"/>
      <c r="DT173" s="306"/>
      <c r="DU173" s="306"/>
      <c r="DV173" s="307"/>
      <c r="DW173" s="307"/>
      <c r="DX173" s="307"/>
      <c r="DY173" s="307"/>
      <c r="DZ173" s="307"/>
      <c r="EA173" s="307"/>
      <c r="EB173" s="307"/>
      <c r="EC173" s="307"/>
      <c r="ED173" s="307"/>
      <c r="EE173" s="307"/>
      <c r="EF173" s="307"/>
      <c r="EG173" s="307"/>
      <c r="EH173" s="307"/>
      <c r="EI173" s="307"/>
      <c r="EJ173" s="308"/>
      <c r="EK173" s="306"/>
      <c r="EL173" s="306"/>
      <c r="EM173" s="307"/>
      <c r="EN173" s="307"/>
      <c r="EO173" s="307"/>
      <c r="EP173" s="307"/>
      <c r="EQ173" s="307"/>
      <c r="ER173" s="307"/>
      <c r="ES173" s="307"/>
      <c r="ET173" s="307"/>
      <c r="EU173" s="307"/>
      <c r="EV173" s="307"/>
      <c r="EW173" s="307"/>
      <c r="EX173" s="307"/>
      <c r="EY173" s="307"/>
      <c r="EZ173" s="307"/>
      <c r="FA173" s="308"/>
    </row>
    <row r="174" customFormat="false" ht="17.35" hidden="false" customHeight="false" outlineLevel="0" collapsed="false">
      <c r="A174" s="272" t="s">
        <v>590</v>
      </c>
      <c r="B174" s="273"/>
      <c r="C174" s="273"/>
      <c r="D174" s="273"/>
      <c r="E174" s="273"/>
      <c r="F174" s="273"/>
      <c r="G174" s="273"/>
      <c r="H174" s="273"/>
      <c r="I174" s="273"/>
      <c r="J174" s="273"/>
      <c r="K174" s="273"/>
      <c r="L174" s="273"/>
      <c r="M174" s="273"/>
      <c r="N174" s="273"/>
      <c r="O174" s="273"/>
      <c r="P174" s="273"/>
      <c r="Q174" s="273"/>
      <c r="R174" s="273"/>
      <c r="S174" s="273"/>
      <c r="T174" s="273"/>
      <c r="U174" s="273"/>
      <c r="V174" s="273"/>
      <c r="W174" s="273"/>
      <c r="X174" s="273"/>
      <c r="Y174" s="273"/>
      <c r="Z174" s="273"/>
      <c r="AA174" s="273"/>
      <c r="AB174" s="273"/>
      <c r="AC174" s="273"/>
      <c r="AD174" s="273"/>
      <c r="AE174" s="273"/>
      <c r="AF174" s="273"/>
      <c r="AG174" s="273"/>
      <c r="AH174" s="273"/>
      <c r="AI174" s="273"/>
      <c r="AJ174" s="273"/>
      <c r="AK174" s="273"/>
      <c r="AL174" s="273"/>
      <c r="AM174" s="273"/>
      <c r="AN174" s="273"/>
      <c r="AO174" s="273"/>
      <c r="AP174" s="273"/>
      <c r="AQ174" s="273"/>
      <c r="AR174" s="273"/>
      <c r="AS174" s="273"/>
      <c r="AT174" s="273"/>
      <c r="AU174" s="273"/>
      <c r="AV174" s="273"/>
      <c r="AW174" s="273"/>
      <c r="AX174" s="273"/>
      <c r="AY174" s="273"/>
      <c r="AZ174" s="273"/>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c r="BU174" s="212"/>
      <c r="BV174" s="212"/>
      <c r="BW174" s="212"/>
      <c r="BX174" s="212"/>
      <c r="BY174" s="212"/>
      <c r="BZ174" s="212"/>
      <c r="CA174" s="212"/>
      <c r="CB174" s="212"/>
      <c r="CC174" s="212"/>
      <c r="CD174" s="212"/>
      <c r="CE174" s="212"/>
      <c r="CF174" s="212"/>
      <c r="CG174" s="212"/>
      <c r="CH174" s="212"/>
      <c r="CI174" s="242"/>
      <c r="CJ174" s="242"/>
      <c r="CK174" s="242"/>
      <c r="CL174" s="242"/>
      <c r="CM174" s="242"/>
      <c r="CN174" s="242"/>
      <c r="CO174" s="242"/>
      <c r="CP174" s="242"/>
      <c r="CQ174" s="242"/>
      <c r="CR174" s="242"/>
      <c r="CS174" s="309"/>
      <c r="CT174" s="309"/>
      <c r="CU174" s="309"/>
      <c r="CV174" s="309"/>
      <c r="CW174" s="309"/>
      <c r="CX174" s="309"/>
      <c r="CY174" s="309"/>
      <c r="CZ174" s="309"/>
      <c r="DA174" s="309"/>
      <c r="DB174" s="309"/>
      <c r="DC174" s="212"/>
      <c r="DD174" s="212"/>
      <c r="DE174" s="212"/>
      <c r="DF174" s="212"/>
      <c r="DG174" s="212"/>
      <c r="DH174" s="212"/>
      <c r="DI174" s="212"/>
      <c r="DJ174" s="212"/>
      <c r="DK174" s="212"/>
      <c r="DL174" s="212"/>
      <c r="DM174" s="212"/>
      <c r="DN174" s="212"/>
      <c r="DO174" s="212"/>
      <c r="DP174" s="212"/>
      <c r="DQ174" s="212"/>
      <c r="DR174" s="212"/>
      <c r="DS174" s="212"/>
      <c r="DT174" s="212"/>
      <c r="DU174" s="212"/>
      <c r="DV174" s="212"/>
      <c r="DW174" s="212"/>
      <c r="DX174" s="212"/>
      <c r="DY174" s="212"/>
      <c r="DZ174" s="212"/>
      <c r="EA174" s="212"/>
      <c r="EB174" s="212"/>
      <c r="EC174" s="212"/>
      <c r="ED174" s="212"/>
      <c r="EE174" s="212"/>
      <c r="EF174" s="212"/>
      <c r="EG174" s="212"/>
      <c r="EH174" s="212"/>
      <c r="EI174" s="212"/>
      <c r="EJ174" s="212"/>
      <c r="EK174" s="212"/>
      <c r="EL174" s="212"/>
      <c r="EM174" s="212"/>
      <c r="EN174" s="212"/>
      <c r="EO174" s="212"/>
      <c r="EP174" s="212"/>
      <c r="EQ174" s="212"/>
      <c r="ER174" s="212"/>
      <c r="ES174" s="212"/>
      <c r="ET174" s="212"/>
      <c r="EU174" s="212"/>
      <c r="EV174" s="212"/>
      <c r="EW174" s="212"/>
      <c r="EX174" s="212"/>
      <c r="EY174" s="212"/>
      <c r="EZ174" s="212"/>
      <c r="FA174" s="212"/>
    </row>
    <row r="175" customFormat="false" ht="15" hidden="false" customHeight="false" outlineLevel="0" collapsed="false">
      <c r="A175" s="306" t="s">
        <v>352</v>
      </c>
      <c r="B175" s="306"/>
      <c r="C175" s="307" t="n">
        <v>2040</v>
      </c>
      <c r="D175" s="307" t="n">
        <v>2040</v>
      </c>
      <c r="E175" s="307" t="n">
        <v>2040</v>
      </c>
      <c r="F175" s="307" t="n">
        <v>2040</v>
      </c>
      <c r="G175" s="307" t="n">
        <v>2040</v>
      </c>
      <c r="H175" s="307" t="n">
        <v>2040</v>
      </c>
      <c r="I175" s="307" t="n">
        <v>2040</v>
      </c>
      <c r="J175" s="307" t="n">
        <v>2040</v>
      </c>
      <c r="K175" s="307" t="n">
        <v>2040</v>
      </c>
      <c r="L175" s="307" t="n">
        <v>2040</v>
      </c>
      <c r="M175" s="307" t="n">
        <v>2040</v>
      </c>
      <c r="N175" s="307" t="n">
        <v>2040</v>
      </c>
      <c r="O175" s="307" t="n">
        <v>2040</v>
      </c>
      <c r="P175" s="307" t="n">
        <v>2040</v>
      </c>
      <c r="Q175" s="307" t="n">
        <v>2040</v>
      </c>
      <c r="R175" s="307" t="n">
        <v>2040</v>
      </c>
      <c r="S175" s="307" t="n">
        <v>2040</v>
      </c>
      <c r="T175" s="307" t="n">
        <v>2040</v>
      </c>
      <c r="U175" s="307" t="n">
        <v>2040</v>
      </c>
      <c r="V175" s="307" t="n">
        <v>2040</v>
      </c>
      <c r="W175" s="307" t="n">
        <v>2040</v>
      </c>
      <c r="X175" s="307" t="n">
        <v>2040</v>
      </c>
      <c r="Y175" s="307" t="n">
        <v>2040</v>
      </c>
      <c r="Z175" s="307" t="n">
        <v>2040</v>
      </c>
      <c r="AA175" s="307" t="n">
        <v>2040</v>
      </c>
      <c r="AB175" s="307" t="n">
        <v>2040</v>
      </c>
      <c r="AC175" s="307" t="n">
        <v>2040</v>
      </c>
      <c r="AD175" s="307" t="n">
        <v>2040</v>
      </c>
      <c r="AE175" s="307" t="n">
        <v>2040</v>
      </c>
      <c r="AF175" s="307" t="n">
        <v>2040</v>
      </c>
      <c r="AG175" s="307" t="n">
        <v>2040</v>
      </c>
      <c r="AH175" s="307" t="n">
        <v>2040</v>
      </c>
      <c r="AI175" s="307" t="n">
        <v>2040</v>
      </c>
      <c r="AJ175" s="307" t="n">
        <v>2040</v>
      </c>
      <c r="AK175" s="307" t="n">
        <v>2040</v>
      </c>
      <c r="AL175" s="307" t="n">
        <v>2040</v>
      </c>
      <c r="AM175" s="307" t="n">
        <v>2040</v>
      </c>
      <c r="AN175" s="307" t="n">
        <v>2040</v>
      </c>
      <c r="AO175" s="307" t="n">
        <v>2040</v>
      </c>
      <c r="AP175" s="307" t="n">
        <v>2040</v>
      </c>
      <c r="AQ175" s="307" t="n">
        <v>2040</v>
      </c>
      <c r="AR175" s="307" t="n">
        <v>2040</v>
      </c>
      <c r="AS175" s="307" t="n">
        <v>2040</v>
      </c>
      <c r="AT175" s="307" t="n">
        <v>2040</v>
      </c>
      <c r="AU175" s="307" t="n">
        <v>2040</v>
      </c>
      <c r="AV175" s="307" t="n">
        <v>2040</v>
      </c>
      <c r="AW175" s="307" t="n">
        <v>2040</v>
      </c>
      <c r="AX175" s="307" t="n">
        <v>2040</v>
      </c>
      <c r="AY175" s="307" t="n">
        <v>2040</v>
      </c>
      <c r="AZ175" s="307" t="n">
        <v>2040</v>
      </c>
      <c r="BA175" s="306"/>
      <c r="BB175" s="306"/>
      <c r="BC175" s="307"/>
      <c r="BD175" s="307"/>
      <c r="BE175" s="307"/>
      <c r="BF175" s="307"/>
      <c r="BG175" s="307"/>
      <c r="BH175" s="307"/>
      <c r="BI175" s="307"/>
      <c r="BJ175" s="307"/>
      <c r="BK175" s="307"/>
      <c r="BL175" s="307"/>
      <c r="BM175" s="307"/>
      <c r="BN175" s="307"/>
      <c r="BO175" s="307"/>
      <c r="BP175" s="307"/>
      <c r="BQ175" s="307"/>
      <c r="BR175" s="306"/>
      <c r="BS175" s="306"/>
      <c r="BT175" s="307"/>
      <c r="BU175" s="307"/>
      <c r="BV175" s="307"/>
      <c r="BW175" s="307"/>
      <c r="BX175" s="307"/>
      <c r="BY175" s="307"/>
      <c r="BZ175" s="307"/>
      <c r="CA175" s="307"/>
      <c r="CB175" s="307"/>
      <c r="CC175" s="307"/>
      <c r="CD175" s="307"/>
      <c r="CE175" s="307"/>
      <c r="CF175" s="307"/>
      <c r="CG175" s="307"/>
      <c r="CH175" s="307"/>
      <c r="CI175" s="306"/>
      <c r="CJ175" s="306"/>
      <c r="CK175" s="307"/>
      <c r="CL175" s="307"/>
      <c r="CM175" s="307"/>
      <c r="CN175" s="307"/>
      <c r="CO175" s="307"/>
      <c r="CP175" s="307"/>
      <c r="CQ175" s="307"/>
      <c r="CR175" s="307"/>
      <c r="CS175" s="307"/>
      <c r="CT175" s="307"/>
      <c r="CU175" s="307"/>
      <c r="CV175" s="307"/>
      <c r="CW175" s="307"/>
      <c r="CX175" s="307"/>
      <c r="CY175" s="307"/>
      <c r="CZ175" s="307"/>
      <c r="DA175" s="307"/>
      <c r="DB175" s="307"/>
      <c r="DC175" s="306"/>
      <c r="DD175" s="306"/>
      <c r="DE175" s="307"/>
      <c r="DF175" s="307"/>
      <c r="DG175" s="307"/>
      <c r="DH175" s="307"/>
      <c r="DI175" s="307"/>
      <c r="DJ175" s="307"/>
      <c r="DK175" s="307"/>
      <c r="DL175" s="307"/>
      <c r="DM175" s="307"/>
      <c r="DN175" s="307"/>
      <c r="DO175" s="307"/>
      <c r="DP175" s="307"/>
      <c r="DQ175" s="307"/>
      <c r="DR175" s="307"/>
      <c r="DS175" s="307"/>
      <c r="DT175" s="306"/>
      <c r="DU175" s="306"/>
      <c r="DV175" s="307"/>
      <c r="DW175" s="307"/>
      <c r="DX175" s="307"/>
      <c r="DY175" s="307"/>
      <c r="DZ175" s="307"/>
      <c r="EA175" s="307"/>
      <c r="EB175" s="307"/>
      <c r="EC175" s="307"/>
      <c r="ED175" s="307"/>
      <c r="EE175" s="307"/>
      <c r="EF175" s="307"/>
      <c r="EG175" s="307"/>
      <c r="EH175" s="307"/>
      <c r="EI175" s="307"/>
      <c r="EJ175" s="307"/>
      <c r="EK175" s="306"/>
      <c r="EL175" s="306"/>
      <c r="EM175" s="307"/>
      <c r="EN175" s="307"/>
      <c r="EO175" s="307"/>
      <c r="EP175" s="307"/>
      <c r="EQ175" s="307"/>
      <c r="ER175" s="307"/>
      <c r="ES175" s="307"/>
      <c r="ET175" s="307"/>
      <c r="EU175" s="307"/>
      <c r="EV175" s="307"/>
      <c r="EW175" s="307"/>
      <c r="EX175" s="307"/>
      <c r="EY175" s="307"/>
      <c r="EZ175" s="307"/>
      <c r="FA175" s="307"/>
    </row>
    <row r="176" customFormat="false" ht="15" hidden="false" customHeight="false" outlineLevel="0" collapsed="false">
      <c r="A176" s="306" t="s">
        <v>353</v>
      </c>
      <c r="B176" s="306"/>
      <c r="C176" s="307" t="n">
        <v>2040</v>
      </c>
      <c r="D176" s="307" t="n">
        <v>2040</v>
      </c>
      <c r="E176" s="307" t="n">
        <v>2040</v>
      </c>
      <c r="F176" s="307" t="n">
        <v>2040</v>
      </c>
      <c r="G176" s="307" t="n">
        <v>2040</v>
      </c>
      <c r="H176" s="307" t="n">
        <v>2040</v>
      </c>
      <c r="I176" s="307" t="n">
        <v>2040</v>
      </c>
      <c r="J176" s="307" t="n">
        <v>2040</v>
      </c>
      <c r="K176" s="307" t="n">
        <v>2040</v>
      </c>
      <c r="L176" s="307" t="n">
        <v>2040</v>
      </c>
      <c r="M176" s="307" t="n">
        <v>2040</v>
      </c>
      <c r="N176" s="307" t="n">
        <v>2040</v>
      </c>
      <c r="O176" s="307" t="n">
        <v>2040</v>
      </c>
      <c r="P176" s="307" t="n">
        <v>2040</v>
      </c>
      <c r="Q176" s="307" t="n">
        <v>2040</v>
      </c>
      <c r="R176" s="307" t="n">
        <v>2040</v>
      </c>
      <c r="S176" s="307" t="n">
        <v>2040</v>
      </c>
      <c r="T176" s="307" t="n">
        <v>2040</v>
      </c>
      <c r="U176" s="307" t="n">
        <v>2040</v>
      </c>
      <c r="V176" s="307" t="n">
        <v>2040</v>
      </c>
      <c r="W176" s="307" t="n">
        <v>2040</v>
      </c>
      <c r="X176" s="307" t="n">
        <v>2040</v>
      </c>
      <c r="Y176" s="307" t="n">
        <v>2040</v>
      </c>
      <c r="Z176" s="307" t="n">
        <v>2040</v>
      </c>
      <c r="AA176" s="307" t="n">
        <v>2040</v>
      </c>
      <c r="AB176" s="307" t="n">
        <v>2040</v>
      </c>
      <c r="AC176" s="307" t="n">
        <v>2040</v>
      </c>
      <c r="AD176" s="307" t="n">
        <v>2040</v>
      </c>
      <c r="AE176" s="307" t="n">
        <v>2040</v>
      </c>
      <c r="AF176" s="307" t="n">
        <v>2040</v>
      </c>
      <c r="AG176" s="307" t="n">
        <v>2040</v>
      </c>
      <c r="AH176" s="307" t="n">
        <v>2040</v>
      </c>
      <c r="AI176" s="307" t="n">
        <v>2040</v>
      </c>
      <c r="AJ176" s="307" t="n">
        <v>2040</v>
      </c>
      <c r="AK176" s="307" t="n">
        <v>2040</v>
      </c>
      <c r="AL176" s="307" t="n">
        <v>2040</v>
      </c>
      <c r="AM176" s="307" t="n">
        <v>2040</v>
      </c>
      <c r="AN176" s="307" t="n">
        <v>2040</v>
      </c>
      <c r="AO176" s="307" t="n">
        <v>2040</v>
      </c>
      <c r="AP176" s="307" t="n">
        <v>2040</v>
      </c>
      <c r="AQ176" s="307" t="n">
        <v>2040</v>
      </c>
      <c r="AR176" s="307" t="n">
        <v>2040</v>
      </c>
      <c r="AS176" s="307" t="n">
        <v>2040</v>
      </c>
      <c r="AT176" s="307" t="n">
        <v>2040</v>
      </c>
      <c r="AU176" s="307" t="n">
        <v>2040</v>
      </c>
      <c r="AV176" s="307" t="n">
        <v>2040</v>
      </c>
      <c r="AW176" s="307" t="n">
        <v>2040</v>
      </c>
      <c r="AX176" s="307" t="n">
        <v>2040</v>
      </c>
      <c r="AY176" s="307" t="n">
        <v>2040</v>
      </c>
      <c r="AZ176" s="307" t="n">
        <v>2040</v>
      </c>
      <c r="BA176" s="306"/>
      <c r="BB176" s="306"/>
      <c r="BC176" s="307"/>
      <c r="BD176" s="307"/>
      <c r="BE176" s="307"/>
      <c r="BF176" s="307"/>
      <c r="BG176" s="307"/>
      <c r="BH176" s="307"/>
      <c r="BI176" s="307"/>
      <c r="BJ176" s="307"/>
      <c r="BK176" s="307"/>
      <c r="BL176" s="307"/>
      <c r="BM176" s="307"/>
      <c r="BN176" s="307"/>
      <c r="BO176" s="307"/>
      <c r="BP176" s="307"/>
      <c r="BQ176" s="307"/>
      <c r="BR176" s="306"/>
      <c r="BS176" s="306"/>
      <c r="BT176" s="307"/>
      <c r="BU176" s="307"/>
      <c r="BV176" s="307"/>
      <c r="BW176" s="307"/>
      <c r="BX176" s="307"/>
      <c r="BY176" s="307"/>
      <c r="BZ176" s="307"/>
      <c r="CA176" s="307"/>
      <c r="CB176" s="307"/>
      <c r="CC176" s="307"/>
      <c r="CD176" s="307"/>
      <c r="CE176" s="307"/>
      <c r="CF176" s="307"/>
      <c r="CG176" s="307"/>
      <c r="CH176" s="307"/>
      <c r="CI176" s="306"/>
      <c r="CJ176" s="306"/>
      <c r="CK176" s="307"/>
      <c r="CL176" s="307"/>
      <c r="CM176" s="307"/>
      <c r="CN176" s="307"/>
      <c r="CO176" s="307"/>
      <c r="CP176" s="307"/>
      <c r="CQ176" s="307"/>
      <c r="CR176" s="307"/>
      <c r="CS176" s="307"/>
      <c r="CT176" s="307"/>
      <c r="CU176" s="307"/>
      <c r="CV176" s="307"/>
      <c r="CW176" s="307"/>
      <c r="CX176" s="307"/>
      <c r="CY176" s="307"/>
      <c r="CZ176" s="307"/>
      <c r="DA176" s="307"/>
      <c r="DB176" s="307"/>
      <c r="DC176" s="306"/>
      <c r="DD176" s="306"/>
      <c r="DE176" s="307"/>
      <c r="DF176" s="307"/>
      <c r="DG176" s="307"/>
      <c r="DH176" s="307"/>
      <c r="DI176" s="307"/>
      <c r="DJ176" s="307"/>
      <c r="DK176" s="307"/>
      <c r="DL176" s="307"/>
      <c r="DM176" s="307"/>
      <c r="DN176" s="307"/>
      <c r="DO176" s="307"/>
      <c r="DP176" s="307"/>
      <c r="DQ176" s="307"/>
      <c r="DR176" s="307"/>
      <c r="DS176" s="307"/>
      <c r="DT176" s="306"/>
      <c r="DU176" s="306"/>
      <c r="DV176" s="307"/>
      <c r="DW176" s="307"/>
      <c r="DX176" s="307"/>
      <c r="DY176" s="307"/>
      <c r="DZ176" s="307"/>
      <c r="EA176" s="307"/>
      <c r="EB176" s="307"/>
      <c r="EC176" s="307"/>
      <c r="ED176" s="307"/>
      <c r="EE176" s="307"/>
      <c r="EF176" s="307"/>
      <c r="EG176" s="307"/>
      <c r="EH176" s="307"/>
      <c r="EI176" s="307"/>
      <c r="EJ176" s="307"/>
      <c r="EK176" s="306"/>
      <c r="EL176" s="306"/>
      <c r="EM176" s="307"/>
      <c r="EN176" s="307"/>
      <c r="EO176" s="307"/>
      <c r="EP176" s="307"/>
      <c r="EQ176" s="307"/>
      <c r="ER176" s="307"/>
      <c r="ES176" s="307"/>
      <c r="ET176" s="307"/>
      <c r="EU176" s="307"/>
      <c r="EV176" s="307"/>
      <c r="EW176" s="307"/>
      <c r="EX176" s="307"/>
      <c r="EY176" s="307"/>
      <c r="EZ176" s="307"/>
      <c r="FA176" s="307"/>
    </row>
    <row r="177" customFormat="false" ht="15" hidden="false" customHeight="false" outlineLevel="0" collapsed="false">
      <c r="A177" s="306" t="s">
        <v>354</v>
      </c>
      <c r="B177" s="306"/>
      <c r="C177" s="307" t="n">
        <v>2040</v>
      </c>
      <c r="D177" s="307" t="n">
        <v>2040</v>
      </c>
      <c r="E177" s="307" t="n">
        <v>2040</v>
      </c>
      <c r="F177" s="307" t="n">
        <v>2040</v>
      </c>
      <c r="G177" s="307" t="n">
        <v>2040</v>
      </c>
      <c r="H177" s="307" t="n">
        <v>2040</v>
      </c>
      <c r="I177" s="307" t="n">
        <v>2040</v>
      </c>
      <c r="J177" s="307" t="n">
        <v>2040</v>
      </c>
      <c r="K177" s="307" t="n">
        <v>2040</v>
      </c>
      <c r="L177" s="307" t="n">
        <v>2040</v>
      </c>
      <c r="M177" s="307" t="n">
        <v>2040</v>
      </c>
      <c r="N177" s="307" t="n">
        <v>2040</v>
      </c>
      <c r="O177" s="307" t="n">
        <v>2040</v>
      </c>
      <c r="P177" s="307" t="n">
        <v>2040</v>
      </c>
      <c r="Q177" s="307" t="n">
        <v>2040</v>
      </c>
      <c r="R177" s="307" t="n">
        <v>2040</v>
      </c>
      <c r="S177" s="307" t="n">
        <v>2040</v>
      </c>
      <c r="T177" s="307" t="n">
        <v>2040</v>
      </c>
      <c r="U177" s="307" t="n">
        <v>2040</v>
      </c>
      <c r="V177" s="307" t="n">
        <v>2040</v>
      </c>
      <c r="W177" s="307" t="n">
        <v>2040</v>
      </c>
      <c r="X177" s="307" t="n">
        <v>2040</v>
      </c>
      <c r="Y177" s="307" t="n">
        <v>2040</v>
      </c>
      <c r="Z177" s="307" t="n">
        <v>2040</v>
      </c>
      <c r="AA177" s="307" t="n">
        <v>2040</v>
      </c>
      <c r="AB177" s="307" t="n">
        <v>2040</v>
      </c>
      <c r="AC177" s="307" t="n">
        <v>2040</v>
      </c>
      <c r="AD177" s="307" t="n">
        <v>2040</v>
      </c>
      <c r="AE177" s="307" t="n">
        <v>2040</v>
      </c>
      <c r="AF177" s="307" t="n">
        <v>2040</v>
      </c>
      <c r="AG177" s="307" t="n">
        <v>2040</v>
      </c>
      <c r="AH177" s="307" t="n">
        <v>2040</v>
      </c>
      <c r="AI177" s="307" t="n">
        <v>2040</v>
      </c>
      <c r="AJ177" s="307" t="n">
        <v>2040</v>
      </c>
      <c r="AK177" s="307" t="n">
        <v>2040</v>
      </c>
      <c r="AL177" s="307" t="n">
        <v>2040</v>
      </c>
      <c r="AM177" s="307" t="n">
        <v>2040</v>
      </c>
      <c r="AN177" s="307" t="n">
        <v>2040</v>
      </c>
      <c r="AO177" s="307" t="n">
        <v>2040</v>
      </c>
      <c r="AP177" s="307" t="n">
        <v>2040</v>
      </c>
      <c r="AQ177" s="307" t="n">
        <v>2040</v>
      </c>
      <c r="AR177" s="307" t="n">
        <v>2040</v>
      </c>
      <c r="AS177" s="307" t="n">
        <v>2040</v>
      </c>
      <c r="AT177" s="307" t="n">
        <v>2040</v>
      </c>
      <c r="AU177" s="307" t="n">
        <v>2040</v>
      </c>
      <c r="AV177" s="307" t="n">
        <v>2040</v>
      </c>
      <c r="AW177" s="307" t="n">
        <v>2040</v>
      </c>
      <c r="AX177" s="307" t="n">
        <v>2040</v>
      </c>
      <c r="AY177" s="307" t="n">
        <v>2040</v>
      </c>
      <c r="AZ177" s="307" t="n">
        <v>2040</v>
      </c>
      <c r="BA177" s="306"/>
      <c r="BB177" s="306"/>
      <c r="BC177" s="307"/>
      <c r="BD177" s="307"/>
      <c r="BE177" s="307"/>
      <c r="BF177" s="307"/>
      <c r="BG177" s="307"/>
      <c r="BH177" s="307"/>
      <c r="BI177" s="307"/>
      <c r="BJ177" s="307"/>
      <c r="BK177" s="307"/>
      <c r="BL177" s="307"/>
      <c r="BM177" s="307"/>
      <c r="BN177" s="307"/>
      <c r="BO177" s="307"/>
      <c r="BP177" s="307"/>
      <c r="BQ177" s="307"/>
      <c r="BR177" s="306"/>
      <c r="BS177" s="306"/>
      <c r="BT177" s="307"/>
      <c r="BU177" s="307"/>
      <c r="BV177" s="307"/>
      <c r="BW177" s="307"/>
      <c r="BX177" s="307"/>
      <c r="BY177" s="307"/>
      <c r="BZ177" s="307"/>
      <c r="CA177" s="307"/>
      <c r="CB177" s="307"/>
      <c r="CC177" s="307"/>
      <c r="CD177" s="307"/>
      <c r="CE177" s="307"/>
      <c r="CF177" s="307"/>
      <c r="CG177" s="307"/>
      <c r="CH177" s="307"/>
      <c r="CI177" s="306"/>
      <c r="CJ177" s="306"/>
      <c r="CK177" s="307"/>
      <c r="CL177" s="307"/>
      <c r="CM177" s="307"/>
      <c r="CN177" s="307"/>
      <c r="CO177" s="307"/>
      <c r="CP177" s="307"/>
      <c r="CQ177" s="307"/>
      <c r="CR177" s="307"/>
      <c r="CS177" s="307"/>
      <c r="CT177" s="307"/>
      <c r="CU177" s="307"/>
      <c r="CV177" s="307"/>
      <c r="CW177" s="307"/>
      <c r="CX177" s="307"/>
      <c r="CY177" s="307"/>
      <c r="CZ177" s="307"/>
      <c r="DA177" s="307"/>
      <c r="DB177" s="307"/>
      <c r="DC177" s="306"/>
      <c r="DD177" s="306"/>
      <c r="DE177" s="307"/>
      <c r="DF177" s="307"/>
      <c r="DG177" s="307"/>
      <c r="DH177" s="307"/>
      <c r="DI177" s="307"/>
      <c r="DJ177" s="307"/>
      <c r="DK177" s="307"/>
      <c r="DL177" s="307"/>
      <c r="DM177" s="307"/>
      <c r="DN177" s="307"/>
      <c r="DO177" s="307"/>
      <c r="DP177" s="307"/>
      <c r="DQ177" s="307"/>
      <c r="DR177" s="307"/>
      <c r="DS177" s="307"/>
      <c r="DT177" s="306"/>
      <c r="DU177" s="306"/>
      <c r="DV177" s="307"/>
      <c r="DW177" s="307"/>
      <c r="DX177" s="307"/>
      <c r="DY177" s="307"/>
      <c r="DZ177" s="307"/>
      <c r="EA177" s="307"/>
      <c r="EB177" s="307"/>
      <c r="EC177" s="307"/>
      <c r="ED177" s="307"/>
      <c r="EE177" s="307"/>
      <c r="EF177" s="307"/>
      <c r="EG177" s="307"/>
      <c r="EH177" s="307"/>
      <c r="EI177" s="307"/>
      <c r="EJ177" s="307"/>
      <c r="EK177" s="306"/>
      <c r="EL177" s="306"/>
      <c r="EM177" s="307"/>
      <c r="EN177" s="307"/>
      <c r="EO177" s="307"/>
      <c r="EP177" s="307"/>
      <c r="EQ177" s="307"/>
      <c r="ER177" s="307"/>
      <c r="ES177" s="307"/>
      <c r="ET177" s="307"/>
      <c r="EU177" s="307"/>
      <c r="EV177" s="307"/>
      <c r="EW177" s="307"/>
      <c r="EX177" s="307"/>
      <c r="EY177" s="307"/>
      <c r="EZ177" s="307"/>
      <c r="FA177" s="307"/>
    </row>
    <row r="178" customFormat="false" ht="15" hidden="false" customHeight="false" outlineLevel="0" collapsed="false">
      <c r="A178" s="306" t="s">
        <v>355</v>
      </c>
      <c r="B178" s="306"/>
      <c r="C178" s="307" t="n">
        <v>2040</v>
      </c>
      <c r="D178" s="307" t="n">
        <v>2040</v>
      </c>
      <c r="E178" s="307" t="n">
        <v>2040</v>
      </c>
      <c r="F178" s="307" t="n">
        <v>2040</v>
      </c>
      <c r="G178" s="307" t="n">
        <v>2040</v>
      </c>
      <c r="H178" s="307" t="n">
        <v>2040</v>
      </c>
      <c r="I178" s="307" t="n">
        <v>2040</v>
      </c>
      <c r="J178" s="307" t="n">
        <v>2040</v>
      </c>
      <c r="K178" s="307" t="n">
        <v>2040</v>
      </c>
      <c r="L178" s="307" t="n">
        <v>2040</v>
      </c>
      <c r="M178" s="307" t="n">
        <v>2040</v>
      </c>
      <c r="N178" s="307" t="n">
        <v>2040</v>
      </c>
      <c r="O178" s="307" t="n">
        <v>2040</v>
      </c>
      <c r="P178" s="307" t="n">
        <v>2040</v>
      </c>
      <c r="Q178" s="307" t="n">
        <v>2040</v>
      </c>
      <c r="R178" s="307" t="n">
        <v>2040</v>
      </c>
      <c r="S178" s="307" t="n">
        <v>2040</v>
      </c>
      <c r="T178" s="307" t="n">
        <v>2040</v>
      </c>
      <c r="U178" s="307" t="n">
        <v>2040</v>
      </c>
      <c r="V178" s="307" t="n">
        <v>2040</v>
      </c>
      <c r="W178" s="307" t="n">
        <v>2040</v>
      </c>
      <c r="X178" s="307" t="n">
        <v>2040</v>
      </c>
      <c r="Y178" s="307" t="n">
        <v>2040</v>
      </c>
      <c r="Z178" s="307" t="n">
        <v>2040</v>
      </c>
      <c r="AA178" s="307" t="n">
        <v>2040</v>
      </c>
      <c r="AB178" s="307" t="n">
        <v>2040</v>
      </c>
      <c r="AC178" s="307" t="n">
        <v>2040</v>
      </c>
      <c r="AD178" s="307" t="n">
        <v>2040</v>
      </c>
      <c r="AE178" s="307" t="n">
        <v>2040</v>
      </c>
      <c r="AF178" s="307" t="n">
        <v>2040</v>
      </c>
      <c r="AG178" s="307" t="n">
        <v>2040</v>
      </c>
      <c r="AH178" s="307" t="n">
        <v>2040</v>
      </c>
      <c r="AI178" s="307" t="n">
        <v>2040</v>
      </c>
      <c r="AJ178" s="307" t="n">
        <v>2040</v>
      </c>
      <c r="AK178" s="307" t="n">
        <v>2040</v>
      </c>
      <c r="AL178" s="307" t="n">
        <v>2040</v>
      </c>
      <c r="AM178" s="307" t="n">
        <v>2040</v>
      </c>
      <c r="AN178" s="307" t="n">
        <v>2040</v>
      </c>
      <c r="AO178" s="307" t="n">
        <v>2040</v>
      </c>
      <c r="AP178" s="307" t="n">
        <v>2040</v>
      </c>
      <c r="AQ178" s="307" t="n">
        <v>2040</v>
      </c>
      <c r="AR178" s="307" t="n">
        <v>2040</v>
      </c>
      <c r="AS178" s="307" t="n">
        <v>2040</v>
      </c>
      <c r="AT178" s="307" t="n">
        <v>2040</v>
      </c>
      <c r="AU178" s="307" t="n">
        <v>2040</v>
      </c>
      <c r="AV178" s="307" t="n">
        <v>2040</v>
      </c>
      <c r="AW178" s="307" t="n">
        <v>2040</v>
      </c>
      <c r="AX178" s="307" t="n">
        <v>2040</v>
      </c>
      <c r="AY178" s="307" t="n">
        <v>2040</v>
      </c>
      <c r="AZ178" s="307" t="n">
        <v>2040</v>
      </c>
      <c r="BA178" s="306"/>
      <c r="BB178" s="306"/>
      <c r="BC178" s="307"/>
      <c r="BD178" s="307"/>
      <c r="BE178" s="307"/>
      <c r="BF178" s="307"/>
      <c r="BG178" s="307"/>
      <c r="BH178" s="307"/>
      <c r="BI178" s="307"/>
      <c r="BJ178" s="307"/>
      <c r="BK178" s="307"/>
      <c r="BL178" s="307"/>
      <c r="BM178" s="307"/>
      <c r="BN178" s="307"/>
      <c r="BO178" s="307"/>
      <c r="BP178" s="307"/>
      <c r="BQ178" s="307"/>
      <c r="BR178" s="306"/>
      <c r="BS178" s="306"/>
      <c r="BT178" s="307"/>
      <c r="BU178" s="307"/>
      <c r="BV178" s="307"/>
      <c r="BW178" s="307"/>
      <c r="BX178" s="307"/>
      <c r="BY178" s="307"/>
      <c r="BZ178" s="307"/>
      <c r="CA178" s="307"/>
      <c r="CB178" s="307"/>
      <c r="CC178" s="307"/>
      <c r="CD178" s="307"/>
      <c r="CE178" s="307"/>
      <c r="CF178" s="307"/>
      <c r="CG178" s="307"/>
      <c r="CH178" s="307"/>
      <c r="CI178" s="306"/>
      <c r="CJ178" s="306"/>
      <c r="CK178" s="307"/>
      <c r="CL178" s="307"/>
      <c r="CM178" s="307"/>
      <c r="CN178" s="307"/>
      <c r="CO178" s="307"/>
      <c r="CP178" s="307"/>
      <c r="CQ178" s="307"/>
      <c r="CR178" s="307"/>
      <c r="CS178" s="307"/>
      <c r="CT178" s="307"/>
      <c r="CU178" s="307"/>
      <c r="CV178" s="307"/>
      <c r="CW178" s="307"/>
      <c r="CX178" s="307"/>
      <c r="CY178" s="307"/>
      <c r="CZ178" s="307"/>
      <c r="DA178" s="307"/>
      <c r="DB178" s="307"/>
      <c r="DC178" s="306"/>
      <c r="DD178" s="306"/>
      <c r="DE178" s="307"/>
      <c r="DF178" s="307"/>
      <c r="DG178" s="307"/>
      <c r="DH178" s="307"/>
      <c r="DI178" s="307"/>
      <c r="DJ178" s="307"/>
      <c r="DK178" s="307"/>
      <c r="DL178" s="307"/>
      <c r="DM178" s="307"/>
      <c r="DN178" s="307"/>
      <c r="DO178" s="307"/>
      <c r="DP178" s="307"/>
      <c r="DQ178" s="307"/>
      <c r="DR178" s="307"/>
      <c r="DS178" s="307"/>
      <c r="DT178" s="306"/>
      <c r="DU178" s="306"/>
      <c r="DV178" s="307"/>
      <c r="DW178" s="307"/>
      <c r="DX178" s="307"/>
      <c r="DY178" s="307"/>
      <c r="DZ178" s="307"/>
      <c r="EA178" s="307"/>
      <c r="EB178" s="307"/>
      <c r="EC178" s="307"/>
      <c r="ED178" s="307"/>
      <c r="EE178" s="307"/>
      <c r="EF178" s="307"/>
      <c r="EG178" s="307"/>
      <c r="EH178" s="307"/>
      <c r="EI178" s="307"/>
      <c r="EJ178" s="307"/>
      <c r="EK178" s="306"/>
      <c r="EL178" s="306"/>
      <c r="EM178" s="307"/>
      <c r="EN178" s="307"/>
      <c r="EO178" s="307"/>
      <c r="EP178" s="307"/>
      <c r="EQ178" s="307"/>
      <c r="ER178" s="307"/>
      <c r="ES178" s="307"/>
      <c r="ET178" s="307"/>
      <c r="EU178" s="307"/>
      <c r="EV178" s="307"/>
      <c r="EW178" s="307"/>
      <c r="EX178" s="307"/>
      <c r="EY178" s="307"/>
      <c r="EZ178" s="307"/>
      <c r="FA178" s="307"/>
    </row>
    <row r="179" customFormat="false" ht="15" hidden="false" customHeight="false" outlineLevel="0" collapsed="false">
      <c r="A179" s="306" t="s">
        <v>356</v>
      </c>
      <c r="B179" s="306"/>
      <c r="C179" s="307" t="n">
        <v>2040</v>
      </c>
      <c r="D179" s="307" t="n">
        <v>2040</v>
      </c>
      <c r="E179" s="307" t="n">
        <v>2040</v>
      </c>
      <c r="F179" s="307" t="n">
        <v>2040</v>
      </c>
      <c r="G179" s="307" t="n">
        <v>2040</v>
      </c>
      <c r="H179" s="307" t="n">
        <v>2040</v>
      </c>
      <c r="I179" s="307" t="n">
        <v>2040</v>
      </c>
      <c r="J179" s="307" t="n">
        <v>2040</v>
      </c>
      <c r="K179" s="307" t="n">
        <v>2040</v>
      </c>
      <c r="L179" s="307" t="n">
        <v>2040</v>
      </c>
      <c r="M179" s="307" t="n">
        <v>2040</v>
      </c>
      <c r="N179" s="307" t="n">
        <v>2040</v>
      </c>
      <c r="O179" s="307" t="n">
        <v>2040</v>
      </c>
      <c r="P179" s="307" t="n">
        <v>2040</v>
      </c>
      <c r="Q179" s="307" t="n">
        <v>2040</v>
      </c>
      <c r="R179" s="307" t="n">
        <v>2040</v>
      </c>
      <c r="S179" s="307" t="n">
        <v>2040</v>
      </c>
      <c r="T179" s="307" t="n">
        <v>2040</v>
      </c>
      <c r="U179" s="307" t="n">
        <v>2040</v>
      </c>
      <c r="V179" s="307" t="n">
        <v>2040</v>
      </c>
      <c r="W179" s="307" t="n">
        <v>2040</v>
      </c>
      <c r="X179" s="307" t="n">
        <v>2040</v>
      </c>
      <c r="Y179" s="307" t="n">
        <v>2040</v>
      </c>
      <c r="Z179" s="307" t="n">
        <v>2040</v>
      </c>
      <c r="AA179" s="307" t="n">
        <v>2040</v>
      </c>
      <c r="AB179" s="307" t="n">
        <v>2040</v>
      </c>
      <c r="AC179" s="307" t="n">
        <v>2040</v>
      </c>
      <c r="AD179" s="307" t="n">
        <v>2040</v>
      </c>
      <c r="AE179" s="307" t="n">
        <v>2040</v>
      </c>
      <c r="AF179" s="307" t="n">
        <v>2040</v>
      </c>
      <c r="AG179" s="307" t="n">
        <v>2040</v>
      </c>
      <c r="AH179" s="307" t="n">
        <v>2040</v>
      </c>
      <c r="AI179" s="307" t="n">
        <v>2040</v>
      </c>
      <c r="AJ179" s="307" t="n">
        <v>2040</v>
      </c>
      <c r="AK179" s="307" t="n">
        <v>2040</v>
      </c>
      <c r="AL179" s="307" t="n">
        <v>2040</v>
      </c>
      <c r="AM179" s="307" t="n">
        <v>2040</v>
      </c>
      <c r="AN179" s="307" t="n">
        <v>2040</v>
      </c>
      <c r="AO179" s="307" t="n">
        <v>2040</v>
      </c>
      <c r="AP179" s="307" t="n">
        <v>2040</v>
      </c>
      <c r="AQ179" s="307" t="n">
        <v>2040</v>
      </c>
      <c r="AR179" s="307" t="n">
        <v>2040</v>
      </c>
      <c r="AS179" s="307" t="n">
        <v>2040</v>
      </c>
      <c r="AT179" s="307" t="n">
        <v>2040</v>
      </c>
      <c r="AU179" s="307" t="n">
        <v>2040</v>
      </c>
      <c r="AV179" s="307" t="n">
        <v>2040</v>
      </c>
      <c r="AW179" s="307" t="n">
        <v>2040</v>
      </c>
      <c r="AX179" s="307" t="n">
        <v>2040</v>
      </c>
      <c r="AY179" s="307" t="n">
        <v>2040</v>
      </c>
      <c r="AZ179" s="307" t="n">
        <v>2040</v>
      </c>
      <c r="BA179" s="306"/>
      <c r="BB179" s="306"/>
      <c r="BC179" s="307"/>
      <c r="BD179" s="307"/>
      <c r="BE179" s="307"/>
      <c r="BF179" s="307"/>
      <c r="BG179" s="307"/>
      <c r="BH179" s="307"/>
      <c r="BI179" s="307"/>
      <c r="BJ179" s="307"/>
      <c r="BK179" s="307"/>
      <c r="BL179" s="307"/>
      <c r="BM179" s="307"/>
      <c r="BN179" s="307"/>
      <c r="BO179" s="307"/>
      <c r="BP179" s="307"/>
      <c r="BQ179" s="307"/>
      <c r="BR179" s="306"/>
      <c r="BS179" s="306"/>
      <c r="BT179" s="307"/>
      <c r="BU179" s="307"/>
      <c r="BV179" s="307"/>
      <c r="BW179" s="307"/>
      <c r="BX179" s="307"/>
      <c r="BY179" s="307"/>
      <c r="BZ179" s="307"/>
      <c r="CA179" s="307"/>
      <c r="CB179" s="307"/>
      <c r="CC179" s="307"/>
      <c r="CD179" s="307"/>
      <c r="CE179" s="307"/>
      <c r="CF179" s="307"/>
      <c r="CG179" s="307"/>
      <c r="CH179" s="307"/>
      <c r="CI179" s="306"/>
      <c r="CJ179" s="306"/>
      <c r="CK179" s="307"/>
      <c r="CL179" s="307"/>
      <c r="CM179" s="307"/>
      <c r="CN179" s="307"/>
      <c r="CO179" s="307"/>
      <c r="CP179" s="307"/>
      <c r="CQ179" s="307"/>
      <c r="CR179" s="307"/>
      <c r="CS179" s="307"/>
      <c r="CT179" s="307"/>
      <c r="CU179" s="307"/>
      <c r="CV179" s="307"/>
      <c r="CW179" s="307"/>
      <c r="CX179" s="307"/>
      <c r="CY179" s="307"/>
      <c r="CZ179" s="307"/>
      <c r="DA179" s="307"/>
      <c r="DB179" s="307"/>
      <c r="DC179" s="306"/>
      <c r="DD179" s="306"/>
      <c r="DE179" s="307"/>
      <c r="DF179" s="307"/>
      <c r="DG179" s="307"/>
      <c r="DH179" s="307"/>
      <c r="DI179" s="307"/>
      <c r="DJ179" s="307"/>
      <c r="DK179" s="307"/>
      <c r="DL179" s="307"/>
      <c r="DM179" s="307"/>
      <c r="DN179" s="307"/>
      <c r="DO179" s="307"/>
      <c r="DP179" s="307"/>
      <c r="DQ179" s="307"/>
      <c r="DR179" s="307"/>
      <c r="DS179" s="307"/>
      <c r="DT179" s="306"/>
      <c r="DU179" s="306"/>
      <c r="DV179" s="307"/>
      <c r="DW179" s="307"/>
      <c r="DX179" s="307"/>
      <c r="DY179" s="307"/>
      <c r="DZ179" s="307"/>
      <c r="EA179" s="307"/>
      <c r="EB179" s="307"/>
      <c r="EC179" s="307"/>
      <c r="ED179" s="307"/>
      <c r="EE179" s="307"/>
      <c r="EF179" s="307"/>
      <c r="EG179" s="307"/>
      <c r="EH179" s="307"/>
      <c r="EI179" s="307"/>
      <c r="EJ179" s="307"/>
      <c r="EK179" s="306"/>
      <c r="EL179" s="306"/>
      <c r="EM179" s="307"/>
      <c r="EN179" s="307"/>
      <c r="EO179" s="307"/>
      <c r="EP179" s="307"/>
      <c r="EQ179" s="307"/>
      <c r="ER179" s="307"/>
      <c r="ES179" s="307"/>
      <c r="ET179" s="307"/>
      <c r="EU179" s="307"/>
      <c r="EV179" s="307"/>
      <c r="EW179" s="307"/>
      <c r="EX179" s="307"/>
      <c r="EY179" s="307"/>
      <c r="EZ179" s="307"/>
      <c r="FA179" s="307"/>
    </row>
    <row r="180" customFormat="false" ht="17.35" hidden="false" customHeight="false" outlineLevel="0" collapsed="false">
      <c r="A180" s="272" t="s">
        <v>591</v>
      </c>
      <c r="B180" s="273"/>
      <c r="C180" s="273"/>
      <c r="D180" s="273"/>
      <c r="E180" s="273"/>
      <c r="F180" s="273"/>
      <c r="G180" s="273"/>
      <c r="H180" s="273"/>
      <c r="I180" s="273"/>
      <c r="J180" s="273"/>
      <c r="K180" s="273"/>
      <c r="L180" s="273"/>
      <c r="M180" s="273"/>
      <c r="N180" s="273"/>
      <c r="O180" s="273"/>
      <c r="P180" s="273"/>
      <c r="Q180" s="273"/>
      <c r="R180" s="273"/>
      <c r="S180" s="273"/>
      <c r="T180" s="273"/>
      <c r="U180" s="273"/>
      <c r="V180" s="273"/>
      <c r="W180" s="273"/>
      <c r="X180" s="273"/>
      <c r="Y180" s="273"/>
      <c r="Z180" s="273"/>
      <c r="AA180" s="273"/>
      <c r="AB180" s="273"/>
      <c r="AC180" s="273"/>
      <c r="AD180" s="273"/>
      <c r="AE180" s="273"/>
      <c r="AF180" s="273"/>
      <c r="AG180" s="273"/>
      <c r="AH180" s="273"/>
      <c r="AI180" s="273"/>
      <c r="AJ180" s="273"/>
      <c r="AK180" s="273"/>
      <c r="AL180" s="273"/>
      <c r="AM180" s="273"/>
      <c r="AN180" s="273"/>
      <c r="AO180" s="273"/>
      <c r="AP180" s="273"/>
      <c r="AQ180" s="273"/>
      <c r="AR180" s="273"/>
      <c r="AS180" s="273"/>
      <c r="AT180" s="273"/>
      <c r="AU180" s="273"/>
      <c r="AV180" s="273"/>
      <c r="AW180" s="273"/>
      <c r="AX180" s="273"/>
      <c r="AY180" s="273"/>
      <c r="AZ180" s="273"/>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c r="BU180" s="212"/>
      <c r="BV180" s="212"/>
      <c r="BW180" s="212"/>
      <c r="BX180" s="212"/>
      <c r="BY180" s="212"/>
      <c r="BZ180" s="212"/>
      <c r="CA180" s="212"/>
      <c r="CB180" s="212"/>
      <c r="CC180" s="212"/>
      <c r="CD180" s="212"/>
      <c r="CE180" s="212"/>
      <c r="CF180" s="212"/>
      <c r="CG180" s="212"/>
      <c r="CH180" s="212"/>
      <c r="CI180" s="242"/>
      <c r="CJ180" s="242"/>
      <c r="CK180" s="242"/>
      <c r="CL180" s="242"/>
      <c r="CM180" s="242"/>
      <c r="CN180" s="242"/>
      <c r="CO180" s="242"/>
      <c r="CP180" s="242"/>
      <c r="CQ180" s="242"/>
      <c r="CR180" s="242"/>
      <c r="CS180" s="309"/>
      <c r="CT180" s="309"/>
      <c r="CU180" s="309"/>
      <c r="CV180" s="309"/>
      <c r="CW180" s="309"/>
      <c r="CX180" s="309"/>
      <c r="CY180" s="309"/>
      <c r="CZ180" s="309"/>
      <c r="DA180" s="309"/>
      <c r="DB180" s="309"/>
      <c r="DC180" s="212"/>
      <c r="DD180" s="212"/>
      <c r="DE180" s="212"/>
      <c r="DF180" s="212"/>
      <c r="DG180" s="212"/>
      <c r="DH180" s="212"/>
      <c r="DI180" s="212"/>
      <c r="DJ180" s="212"/>
      <c r="DK180" s="212"/>
      <c r="DL180" s="212"/>
      <c r="DM180" s="212"/>
      <c r="DN180" s="212"/>
      <c r="DO180" s="212"/>
      <c r="DP180" s="212"/>
      <c r="DQ180" s="212"/>
      <c r="DR180" s="212"/>
      <c r="DS180" s="212"/>
      <c r="DT180" s="212"/>
      <c r="DU180" s="212"/>
      <c r="DV180" s="212"/>
      <c r="DW180" s="212"/>
      <c r="DX180" s="212"/>
      <c r="DY180" s="212"/>
      <c r="DZ180" s="212"/>
      <c r="EA180" s="212"/>
      <c r="EB180" s="212"/>
      <c r="EC180" s="212"/>
      <c r="ED180" s="212"/>
      <c r="EE180" s="212"/>
      <c r="EF180" s="212"/>
      <c r="EG180" s="212"/>
      <c r="EH180" s="212"/>
      <c r="EI180" s="212"/>
      <c r="EJ180" s="212"/>
      <c r="EK180" s="212"/>
      <c r="EL180" s="212"/>
      <c r="EM180" s="212"/>
      <c r="EN180" s="212"/>
      <c r="EO180" s="212"/>
      <c r="EP180" s="212"/>
      <c r="EQ180" s="212"/>
      <c r="ER180" s="212"/>
      <c r="ES180" s="212"/>
      <c r="ET180" s="212"/>
      <c r="EU180" s="212"/>
      <c r="EV180" s="212"/>
      <c r="EW180" s="212"/>
      <c r="EX180" s="212"/>
      <c r="EY180" s="212"/>
      <c r="EZ180" s="212"/>
      <c r="FA180" s="212"/>
    </row>
    <row r="181" customFormat="false" ht="15" hidden="false" customHeight="false" outlineLevel="0" collapsed="false">
      <c r="A181" s="306" t="s">
        <v>352</v>
      </c>
      <c r="B181" s="306"/>
      <c r="C181" s="307" t="n">
        <v>1</v>
      </c>
      <c r="D181" s="307" t="n">
        <v>1</v>
      </c>
      <c r="E181" s="307" t="n">
        <v>1</v>
      </c>
      <c r="F181" s="307" t="n">
        <v>1</v>
      </c>
      <c r="G181" s="307" t="n">
        <v>1</v>
      </c>
      <c r="H181" s="307" t="n">
        <v>1</v>
      </c>
      <c r="I181" s="307" t="n">
        <v>1</v>
      </c>
      <c r="J181" s="307" t="n">
        <v>1</v>
      </c>
      <c r="K181" s="307" t="n">
        <v>1</v>
      </c>
      <c r="L181" s="307" t="n">
        <v>1</v>
      </c>
      <c r="M181" s="307" t="n">
        <v>1</v>
      </c>
      <c r="N181" s="307" t="n">
        <v>1</v>
      </c>
      <c r="O181" s="307" t="n">
        <v>1</v>
      </c>
      <c r="P181" s="307" t="n">
        <v>1</v>
      </c>
      <c r="Q181" s="307" t="n">
        <v>1</v>
      </c>
      <c r="R181" s="307" t="n">
        <v>1</v>
      </c>
      <c r="S181" s="307" t="n">
        <v>1</v>
      </c>
      <c r="T181" s="307" t="n">
        <v>1</v>
      </c>
      <c r="U181" s="307" t="n">
        <v>1</v>
      </c>
      <c r="V181" s="307" t="n">
        <v>1</v>
      </c>
      <c r="W181" s="307" t="n">
        <v>1</v>
      </c>
      <c r="X181" s="307" t="n">
        <v>1</v>
      </c>
      <c r="Y181" s="307" t="n">
        <v>1</v>
      </c>
      <c r="Z181" s="307" t="n">
        <v>1</v>
      </c>
      <c r="AA181" s="307" t="n">
        <v>1</v>
      </c>
      <c r="AB181" s="307" t="n">
        <v>1</v>
      </c>
      <c r="AC181" s="307" t="n">
        <v>1</v>
      </c>
      <c r="AD181" s="307" t="n">
        <v>1</v>
      </c>
      <c r="AE181" s="307" t="n">
        <v>1</v>
      </c>
      <c r="AF181" s="307" t="n">
        <v>1</v>
      </c>
      <c r="AG181" s="307" t="n">
        <v>1</v>
      </c>
      <c r="AH181" s="307" t="n">
        <v>1</v>
      </c>
      <c r="AI181" s="307" t="n">
        <v>1</v>
      </c>
      <c r="AJ181" s="307" t="n">
        <v>1</v>
      </c>
      <c r="AK181" s="307" t="n">
        <v>1</v>
      </c>
      <c r="AL181" s="307" t="n">
        <v>1</v>
      </c>
      <c r="AM181" s="307" t="n">
        <v>1</v>
      </c>
      <c r="AN181" s="307" t="n">
        <v>1</v>
      </c>
      <c r="AO181" s="307" t="n">
        <v>1</v>
      </c>
      <c r="AP181" s="307" t="n">
        <v>1</v>
      </c>
      <c r="AQ181" s="307" t="n">
        <v>1</v>
      </c>
      <c r="AR181" s="307" t="n">
        <v>1</v>
      </c>
      <c r="AS181" s="307" t="n">
        <v>1</v>
      </c>
      <c r="AT181" s="307" t="n">
        <v>1</v>
      </c>
      <c r="AU181" s="307" t="n">
        <v>1</v>
      </c>
      <c r="AV181" s="307" t="n">
        <v>1</v>
      </c>
      <c r="AW181" s="307" t="n">
        <v>1</v>
      </c>
      <c r="AX181" s="307" t="n">
        <v>1</v>
      </c>
      <c r="AY181" s="307" t="n">
        <v>1</v>
      </c>
      <c r="AZ181" s="307" t="n">
        <v>1</v>
      </c>
      <c r="BA181" s="306"/>
      <c r="BB181" s="306"/>
      <c r="BC181" s="307"/>
      <c r="BD181" s="307"/>
      <c r="BE181" s="307"/>
      <c r="BF181" s="307"/>
      <c r="BG181" s="307"/>
      <c r="BH181" s="307"/>
      <c r="BI181" s="307"/>
      <c r="BJ181" s="307"/>
      <c r="BK181" s="307"/>
      <c r="BL181" s="307"/>
      <c r="BM181" s="307"/>
      <c r="BN181" s="307"/>
      <c r="BO181" s="307"/>
      <c r="BP181" s="307"/>
      <c r="BQ181" s="308"/>
      <c r="BR181" s="306"/>
      <c r="BS181" s="306"/>
      <c r="BT181" s="307"/>
      <c r="BU181" s="307"/>
      <c r="BV181" s="307"/>
      <c r="BW181" s="307"/>
      <c r="BX181" s="307"/>
      <c r="BY181" s="307"/>
      <c r="BZ181" s="307"/>
      <c r="CA181" s="307"/>
      <c r="CB181" s="307"/>
      <c r="CC181" s="307"/>
      <c r="CD181" s="307"/>
      <c r="CE181" s="307"/>
      <c r="CF181" s="307"/>
      <c r="CG181" s="307"/>
      <c r="CH181" s="308"/>
      <c r="CI181" s="306"/>
      <c r="CJ181" s="306"/>
      <c r="CK181" s="307"/>
      <c r="CL181" s="307"/>
      <c r="CM181" s="307"/>
      <c r="CN181" s="307"/>
      <c r="CO181" s="307"/>
      <c r="CP181" s="307"/>
      <c r="CQ181" s="307"/>
      <c r="CR181" s="307"/>
      <c r="CS181" s="307"/>
      <c r="CT181" s="307"/>
      <c r="CU181" s="307"/>
      <c r="CV181" s="307"/>
      <c r="CW181" s="307"/>
      <c r="CX181" s="307"/>
      <c r="CY181" s="307"/>
      <c r="CZ181" s="307"/>
      <c r="DA181" s="307"/>
      <c r="DB181" s="308"/>
      <c r="DC181" s="306"/>
      <c r="DD181" s="306"/>
      <c r="DE181" s="307"/>
      <c r="DF181" s="307"/>
      <c r="DG181" s="307"/>
      <c r="DH181" s="307"/>
      <c r="DI181" s="307"/>
      <c r="DJ181" s="307"/>
      <c r="DK181" s="307"/>
      <c r="DL181" s="307"/>
      <c r="DM181" s="307"/>
      <c r="DN181" s="307"/>
      <c r="DO181" s="307"/>
      <c r="DP181" s="307"/>
      <c r="DQ181" s="307"/>
      <c r="DR181" s="307"/>
      <c r="DS181" s="308"/>
      <c r="DT181" s="306"/>
      <c r="DU181" s="306"/>
      <c r="DV181" s="307"/>
      <c r="DW181" s="307"/>
      <c r="DX181" s="307"/>
      <c r="DY181" s="307"/>
      <c r="DZ181" s="307"/>
      <c r="EA181" s="307"/>
      <c r="EB181" s="307"/>
      <c r="EC181" s="307"/>
      <c r="ED181" s="307"/>
      <c r="EE181" s="307"/>
      <c r="EF181" s="307"/>
      <c r="EG181" s="307"/>
      <c r="EH181" s="307"/>
      <c r="EI181" s="307"/>
      <c r="EJ181" s="308"/>
      <c r="EK181" s="306"/>
      <c r="EL181" s="306"/>
      <c r="EM181" s="307"/>
      <c r="EN181" s="307"/>
      <c r="EO181" s="307"/>
      <c r="EP181" s="307"/>
      <c r="EQ181" s="307"/>
      <c r="ER181" s="307"/>
      <c r="ES181" s="307"/>
      <c r="ET181" s="307"/>
      <c r="EU181" s="307"/>
      <c r="EV181" s="307"/>
      <c r="EW181" s="307"/>
      <c r="EX181" s="307"/>
      <c r="EY181" s="307"/>
      <c r="EZ181" s="307"/>
      <c r="FA181" s="308"/>
    </row>
    <row r="182" customFormat="false" ht="15" hidden="false" customHeight="false" outlineLevel="0" collapsed="false">
      <c r="A182" s="306" t="s">
        <v>353</v>
      </c>
      <c r="B182" s="306"/>
      <c r="C182" s="307" t="n">
        <v>1</v>
      </c>
      <c r="D182" s="307" t="n">
        <v>1</v>
      </c>
      <c r="E182" s="307" t="n">
        <v>1</v>
      </c>
      <c r="F182" s="307" t="n">
        <v>1</v>
      </c>
      <c r="G182" s="307" t="n">
        <v>1</v>
      </c>
      <c r="H182" s="307" t="n">
        <v>1</v>
      </c>
      <c r="I182" s="307" t="n">
        <v>1</v>
      </c>
      <c r="J182" s="307" t="n">
        <v>1</v>
      </c>
      <c r="K182" s="307" t="n">
        <v>1</v>
      </c>
      <c r="L182" s="307" t="n">
        <v>1</v>
      </c>
      <c r="M182" s="307" t="n">
        <v>1</v>
      </c>
      <c r="N182" s="307" t="n">
        <v>1</v>
      </c>
      <c r="O182" s="307" t="n">
        <v>1</v>
      </c>
      <c r="P182" s="307" t="n">
        <v>1</v>
      </c>
      <c r="Q182" s="307" t="n">
        <v>1</v>
      </c>
      <c r="R182" s="307" t="n">
        <v>1</v>
      </c>
      <c r="S182" s="307" t="n">
        <v>1</v>
      </c>
      <c r="T182" s="307" t="n">
        <v>1</v>
      </c>
      <c r="U182" s="307" t="n">
        <v>1</v>
      </c>
      <c r="V182" s="307" t="n">
        <v>1</v>
      </c>
      <c r="W182" s="307" t="n">
        <v>1</v>
      </c>
      <c r="X182" s="307" t="n">
        <v>1</v>
      </c>
      <c r="Y182" s="307" t="n">
        <v>1</v>
      </c>
      <c r="Z182" s="307" t="n">
        <v>1</v>
      </c>
      <c r="AA182" s="307" t="n">
        <v>1</v>
      </c>
      <c r="AB182" s="307" t="n">
        <v>1</v>
      </c>
      <c r="AC182" s="307" t="n">
        <v>1</v>
      </c>
      <c r="AD182" s="307" t="n">
        <v>1</v>
      </c>
      <c r="AE182" s="307" t="n">
        <v>1</v>
      </c>
      <c r="AF182" s="307" t="n">
        <v>1</v>
      </c>
      <c r="AG182" s="307" t="n">
        <v>1</v>
      </c>
      <c r="AH182" s="307" t="n">
        <v>1</v>
      </c>
      <c r="AI182" s="307" t="n">
        <v>1</v>
      </c>
      <c r="AJ182" s="307" t="n">
        <v>1</v>
      </c>
      <c r="AK182" s="307" t="n">
        <v>1</v>
      </c>
      <c r="AL182" s="307" t="n">
        <v>1</v>
      </c>
      <c r="AM182" s="307" t="n">
        <v>1</v>
      </c>
      <c r="AN182" s="307" t="n">
        <v>1</v>
      </c>
      <c r="AO182" s="307" t="n">
        <v>1</v>
      </c>
      <c r="AP182" s="307" t="n">
        <v>1</v>
      </c>
      <c r="AQ182" s="307" t="n">
        <v>1</v>
      </c>
      <c r="AR182" s="307" t="n">
        <v>1</v>
      </c>
      <c r="AS182" s="307" t="n">
        <v>1</v>
      </c>
      <c r="AT182" s="307" t="n">
        <v>1</v>
      </c>
      <c r="AU182" s="307" t="n">
        <v>1</v>
      </c>
      <c r="AV182" s="307" t="n">
        <v>1</v>
      </c>
      <c r="AW182" s="307" t="n">
        <v>1</v>
      </c>
      <c r="AX182" s="307" t="n">
        <v>1</v>
      </c>
      <c r="AY182" s="307" t="n">
        <v>1</v>
      </c>
      <c r="AZ182" s="307" t="n">
        <v>1</v>
      </c>
      <c r="BA182" s="306"/>
      <c r="BB182" s="306"/>
      <c r="BC182" s="307"/>
      <c r="BD182" s="307"/>
      <c r="BE182" s="307"/>
      <c r="BF182" s="307"/>
      <c r="BG182" s="307"/>
      <c r="BH182" s="307"/>
      <c r="BI182" s="307"/>
      <c r="BJ182" s="307"/>
      <c r="BK182" s="307"/>
      <c r="BL182" s="307"/>
      <c r="BM182" s="307"/>
      <c r="BN182" s="307"/>
      <c r="BO182" s="307"/>
      <c r="BP182" s="307"/>
      <c r="BQ182" s="308"/>
      <c r="BR182" s="306"/>
      <c r="BS182" s="306"/>
      <c r="BT182" s="307"/>
      <c r="BU182" s="307"/>
      <c r="BV182" s="307"/>
      <c r="BW182" s="307"/>
      <c r="BX182" s="307"/>
      <c r="BY182" s="307"/>
      <c r="BZ182" s="307"/>
      <c r="CA182" s="307"/>
      <c r="CB182" s="307"/>
      <c r="CC182" s="307"/>
      <c r="CD182" s="307"/>
      <c r="CE182" s="307"/>
      <c r="CF182" s="307"/>
      <c r="CG182" s="307"/>
      <c r="CH182" s="308"/>
      <c r="CI182" s="306"/>
      <c r="CJ182" s="306"/>
      <c r="CK182" s="307"/>
      <c r="CL182" s="307"/>
      <c r="CM182" s="307"/>
      <c r="CN182" s="307"/>
      <c r="CO182" s="307"/>
      <c r="CP182" s="307"/>
      <c r="CQ182" s="307"/>
      <c r="CR182" s="307"/>
      <c r="CS182" s="307"/>
      <c r="CT182" s="307"/>
      <c r="CU182" s="307"/>
      <c r="CV182" s="307"/>
      <c r="CW182" s="307"/>
      <c r="CX182" s="307"/>
      <c r="CY182" s="307"/>
      <c r="CZ182" s="307"/>
      <c r="DA182" s="307"/>
      <c r="DB182" s="308"/>
      <c r="DC182" s="306"/>
      <c r="DD182" s="306"/>
      <c r="DE182" s="307"/>
      <c r="DF182" s="307"/>
      <c r="DG182" s="307"/>
      <c r="DH182" s="307"/>
      <c r="DI182" s="307"/>
      <c r="DJ182" s="307"/>
      <c r="DK182" s="307"/>
      <c r="DL182" s="307"/>
      <c r="DM182" s="307"/>
      <c r="DN182" s="307"/>
      <c r="DO182" s="307"/>
      <c r="DP182" s="307"/>
      <c r="DQ182" s="307"/>
      <c r="DR182" s="307"/>
      <c r="DS182" s="308"/>
      <c r="DT182" s="306"/>
      <c r="DU182" s="306"/>
      <c r="DV182" s="307"/>
      <c r="DW182" s="307"/>
      <c r="DX182" s="307"/>
      <c r="DY182" s="307"/>
      <c r="DZ182" s="307"/>
      <c r="EA182" s="307"/>
      <c r="EB182" s="307"/>
      <c r="EC182" s="307"/>
      <c r="ED182" s="307"/>
      <c r="EE182" s="307"/>
      <c r="EF182" s="307"/>
      <c r="EG182" s="307"/>
      <c r="EH182" s="307"/>
      <c r="EI182" s="307"/>
      <c r="EJ182" s="308"/>
      <c r="EK182" s="306"/>
      <c r="EL182" s="306"/>
      <c r="EM182" s="307"/>
      <c r="EN182" s="307"/>
      <c r="EO182" s="307"/>
      <c r="EP182" s="307"/>
      <c r="EQ182" s="307"/>
      <c r="ER182" s="307"/>
      <c r="ES182" s="307"/>
      <c r="ET182" s="307"/>
      <c r="EU182" s="307"/>
      <c r="EV182" s="307"/>
      <c r="EW182" s="307"/>
      <c r="EX182" s="307"/>
      <c r="EY182" s="307"/>
      <c r="EZ182" s="307"/>
      <c r="FA182" s="308"/>
    </row>
    <row r="183" customFormat="false" ht="15" hidden="false" customHeight="false" outlineLevel="0" collapsed="false">
      <c r="A183" s="306" t="s">
        <v>354</v>
      </c>
      <c r="B183" s="306"/>
      <c r="C183" s="307" t="n">
        <v>1</v>
      </c>
      <c r="D183" s="307" t="n">
        <v>1</v>
      </c>
      <c r="E183" s="307" t="n">
        <v>1</v>
      </c>
      <c r="F183" s="307" t="n">
        <v>1</v>
      </c>
      <c r="G183" s="307" t="n">
        <v>1</v>
      </c>
      <c r="H183" s="307" t="n">
        <v>1</v>
      </c>
      <c r="I183" s="307" t="n">
        <v>1</v>
      </c>
      <c r="J183" s="307" t="n">
        <v>1</v>
      </c>
      <c r="K183" s="307" t="n">
        <v>1</v>
      </c>
      <c r="L183" s="307" t="n">
        <v>1</v>
      </c>
      <c r="M183" s="307" t="n">
        <v>1</v>
      </c>
      <c r="N183" s="307" t="n">
        <v>1</v>
      </c>
      <c r="O183" s="307" t="n">
        <v>1</v>
      </c>
      <c r="P183" s="307" t="n">
        <v>1</v>
      </c>
      <c r="Q183" s="307" t="n">
        <v>1</v>
      </c>
      <c r="R183" s="307" t="n">
        <v>1</v>
      </c>
      <c r="S183" s="307" t="n">
        <v>1</v>
      </c>
      <c r="T183" s="307" t="n">
        <v>1</v>
      </c>
      <c r="U183" s="307" t="n">
        <v>1</v>
      </c>
      <c r="V183" s="307" t="n">
        <v>1</v>
      </c>
      <c r="W183" s="307" t="n">
        <v>1</v>
      </c>
      <c r="X183" s="307" t="n">
        <v>1</v>
      </c>
      <c r="Y183" s="307" t="n">
        <v>1</v>
      </c>
      <c r="Z183" s="307" t="n">
        <v>1</v>
      </c>
      <c r="AA183" s="307" t="n">
        <v>1</v>
      </c>
      <c r="AB183" s="307" t="n">
        <v>1</v>
      </c>
      <c r="AC183" s="307" t="n">
        <v>1</v>
      </c>
      <c r="AD183" s="307" t="n">
        <v>1</v>
      </c>
      <c r="AE183" s="307" t="n">
        <v>1</v>
      </c>
      <c r="AF183" s="307" t="n">
        <v>1</v>
      </c>
      <c r="AG183" s="307" t="n">
        <v>1</v>
      </c>
      <c r="AH183" s="307" t="n">
        <v>1</v>
      </c>
      <c r="AI183" s="307" t="n">
        <v>1</v>
      </c>
      <c r="AJ183" s="307" t="n">
        <v>1</v>
      </c>
      <c r="AK183" s="307" t="n">
        <v>1</v>
      </c>
      <c r="AL183" s="307" t="n">
        <v>1</v>
      </c>
      <c r="AM183" s="307" t="n">
        <v>1</v>
      </c>
      <c r="AN183" s="307" t="n">
        <v>1</v>
      </c>
      <c r="AO183" s="307" t="n">
        <v>1</v>
      </c>
      <c r="AP183" s="307" t="n">
        <v>1</v>
      </c>
      <c r="AQ183" s="307" t="n">
        <v>1</v>
      </c>
      <c r="AR183" s="307" t="n">
        <v>1</v>
      </c>
      <c r="AS183" s="307" t="n">
        <v>1</v>
      </c>
      <c r="AT183" s="307" t="n">
        <v>1</v>
      </c>
      <c r="AU183" s="307" t="n">
        <v>1</v>
      </c>
      <c r="AV183" s="307" t="n">
        <v>1</v>
      </c>
      <c r="AW183" s="307" t="n">
        <v>1</v>
      </c>
      <c r="AX183" s="307" t="n">
        <v>1</v>
      </c>
      <c r="AY183" s="307" t="n">
        <v>1</v>
      </c>
      <c r="AZ183" s="307" t="n">
        <v>1</v>
      </c>
      <c r="BA183" s="306"/>
      <c r="BB183" s="306"/>
      <c r="BC183" s="307"/>
      <c r="BD183" s="307"/>
      <c r="BE183" s="307"/>
      <c r="BF183" s="307"/>
      <c r="BG183" s="307"/>
      <c r="BH183" s="307"/>
      <c r="BI183" s="307"/>
      <c r="BJ183" s="307"/>
      <c r="BK183" s="307"/>
      <c r="BL183" s="307"/>
      <c r="BM183" s="307"/>
      <c r="BN183" s="307"/>
      <c r="BO183" s="307"/>
      <c r="BP183" s="307"/>
      <c r="BQ183" s="308"/>
      <c r="BR183" s="306"/>
      <c r="BS183" s="306"/>
      <c r="BT183" s="307"/>
      <c r="BU183" s="307"/>
      <c r="BV183" s="307"/>
      <c r="BW183" s="307"/>
      <c r="BX183" s="307"/>
      <c r="BY183" s="307"/>
      <c r="BZ183" s="307"/>
      <c r="CA183" s="307"/>
      <c r="CB183" s="307"/>
      <c r="CC183" s="307"/>
      <c r="CD183" s="307"/>
      <c r="CE183" s="307"/>
      <c r="CF183" s="307"/>
      <c r="CG183" s="307"/>
      <c r="CH183" s="308"/>
      <c r="CI183" s="306"/>
      <c r="CJ183" s="306"/>
      <c r="CK183" s="307"/>
      <c r="CL183" s="307"/>
      <c r="CM183" s="307"/>
      <c r="CN183" s="307"/>
      <c r="CO183" s="307"/>
      <c r="CP183" s="307"/>
      <c r="CQ183" s="307"/>
      <c r="CR183" s="307"/>
      <c r="CS183" s="307"/>
      <c r="CT183" s="307"/>
      <c r="CU183" s="307"/>
      <c r="CV183" s="307"/>
      <c r="CW183" s="307"/>
      <c r="CX183" s="307"/>
      <c r="CY183" s="307"/>
      <c r="CZ183" s="307"/>
      <c r="DA183" s="307"/>
      <c r="DB183" s="308"/>
      <c r="DC183" s="306"/>
      <c r="DD183" s="306"/>
      <c r="DE183" s="307"/>
      <c r="DF183" s="307"/>
      <c r="DG183" s="307"/>
      <c r="DH183" s="307"/>
      <c r="DI183" s="307"/>
      <c r="DJ183" s="307"/>
      <c r="DK183" s="307"/>
      <c r="DL183" s="307"/>
      <c r="DM183" s="307"/>
      <c r="DN183" s="307"/>
      <c r="DO183" s="307"/>
      <c r="DP183" s="307"/>
      <c r="DQ183" s="307"/>
      <c r="DR183" s="307"/>
      <c r="DS183" s="308"/>
      <c r="DT183" s="306"/>
      <c r="DU183" s="306"/>
      <c r="DV183" s="307"/>
      <c r="DW183" s="307"/>
      <c r="DX183" s="307"/>
      <c r="DY183" s="307"/>
      <c r="DZ183" s="307"/>
      <c r="EA183" s="307"/>
      <c r="EB183" s="307"/>
      <c r="EC183" s="307"/>
      <c r="ED183" s="307"/>
      <c r="EE183" s="307"/>
      <c r="EF183" s="307"/>
      <c r="EG183" s="307"/>
      <c r="EH183" s="307"/>
      <c r="EI183" s="307"/>
      <c r="EJ183" s="308"/>
      <c r="EK183" s="306"/>
      <c r="EL183" s="306"/>
      <c r="EM183" s="307"/>
      <c r="EN183" s="307"/>
      <c r="EO183" s="307"/>
      <c r="EP183" s="307"/>
      <c r="EQ183" s="307"/>
      <c r="ER183" s="307"/>
      <c r="ES183" s="307"/>
      <c r="ET183" s="307"/>
      <c r="EU183" s="307"/>
      <c r="EV183" s="307"/>
      <c r="EW183" s="307"/>
      <c r="EX183" s="307"/>
      <c r="EY183" s="307"/>
      <c r="EZ183" s="307"/>
      <c r="FA183" s="308"/>
    </row>
    <row r="184" customFormat="false" ht="15" hidden="false" customHeight="false" outlineLevel="0" collapsed="false">
      <c r="A184" s="306" t="s">
        <v>355</v>
      </c>
      <c r="B184" s="306"/>
      <c r="C184" s="307" t="n">
        <v>1</v>
      </c>
      <c r="D184" s="307" t="n">
        <v>1</v>
      </c>
      <c r="E184" s="307" t="n">
        <v>1</v>
      </c>
      <c r="F184" s="307" t="n">
        <v>1</v>
      </c>
      <c r="G184" s="307" t="n">
        <v>1</v>
      </c>
      <c r="H184" s="307" t="n">
        <v>1</v>
      </c>
      <c r="I184" s="307" t="n">
        <v>1</v>
      </c>
      <c r="J184" s="307" t="n">
        <v>1</v>
      </c>
      <c r="K184" s="307" t="n">
        <v>1</v>
      </c>
      <c r="L184" s="307" t="n">
        <v>1</v>
      </c>
      <c r="M184" s="307" t="n">
        <v>1</v>
      </c>
      <c r="N184" s="307" t="n">
        <v>1</v>
      </c>
      <c r="O184" s="307" t="n">
        <v>1</v>
      </c>
      <c r="P184" s="307" t="n">
        <v>1</v>
      </c>
      <c r="Q184" s="307" t="n">
        <v>1</v>
      </c>
      <c r="R184" s="307" t="n">
        <v>1</v>
      </c>
      <c r="S184" s="307" t="n">
        <v>1</v>
      </c>
      <c r="T184" s="307" t="n">
        <v>1</v>
      </c>
      <c r="U184" s="307" t="n">
        <v>1</v>
      </c>
      <c r="V184" s="307" t="n">
        <v>1</v>
      </c>
      <c r="W184" s="307" t="n">
        <v>1</v>
      </c>
      <c r="X184" s="307" t="n">
        <v>1</v>
      </c>
      <c r="Y184" s="307" t="n">
        <v>1</v>
      </c>
      <c r="Z184" s="307" t="n">
        <v>1</v>
      </c>
      <c r="AA184" s="307" t="n">
        <v>1</v>
      </c>
      <c r="AB184" s="307" t="n">
        <v>1</v>
      </c>
      <c r="AC184" s="307" t="n">
        <v>1</v>
      </c>
      <c r="AD184" s="307" t="n">
        <v>1</v>
      </c>
      <c r="AE184" s="307" t="n">
        <v>1</v>
      </c>
      <c r="AF184" s="307" t="n">
        <v>1</v>
      </c>
      <c r="AG184" s="307" t="n">
        <v>1</v>
      </c>
      <c r="AH184" s="307" t="n">
        <v>1</v>
      </c>
      <c r="AI184" s="307" t="n">
        <v>1</v>
      </c>
      <c r="AJ184" s="307" t="n">
        <v>1</v>
      </c>
      <c r="AK184" s="307" t="n">
        <v>1</v>
      </c>
      <c r="AL184" s="307" t="n">
        <v>1</v>
      </c>
      <c r="AM184" s="307" t="n">
        <v>1</v>
      </c>
      <c r="AN184" s="307" t="n">
        <v>1</v>
      </c>
      <c r="AO184" s="307" t="n">
        <v>1</v>
      </c>
      <c r="AP184" s="307" t="n">
        <v>1</v>
      </c>
      <c r="AQ184" s="307" t="n">
        <v>1</v>
      </c>
      <c r="AR184" s="307" t="n">
        <v>1</v>
      </c>
      <c r="AS184" s="307" t="n">
        <v>1</v>
      </c>
      <c r="AT184" s="307" t="n">
        <v>1</v>
      </c>
      <c r="AU184" s="307" t="n">
        <v>1</v>
      </c>
      <c r="AV184" s="307" t="n">
        <v>1</v>
      </c>
      <c r="AW184" s="307" t="n">
        <v>1</v>
      </c>
      <c r="AX184" s="307" t="n">
        <v>1</v>
      </c>
      <c r="AY184" s="307" t="n">
        <v>1</v>
      </c>
      <c r="AZ184" s="307" t="n">
        <v>1</v>
      </c>
      <c r="BA184" s="306"/>
      <c r="BB184" s="306"/>
      <c r="BC184" s="307"/>
      <c r="BD184" s="307"/>
      <c r="BE184" s="307"/>
      <c r="BF184" s="307"/>
      <c r="BG184" s="307"/>
      <c r="BH184" s="307"/>
      <c r="BI184" s="307"/>
      <c r="BJ184" s="307"/>
      <c r="BK184" s="307"/>
      <c r="BL184" s="307"/>
      <c r="BM184" s="307"/>
      <c r="BN184" s="307"/>
      <c r="BO184" s="307"/>
      <c r="BP184" s="307"/>
      <c r="BQ184" s="308"/>
      <c r="BR184" s="306"/>
      <c r="BS184" s="306"/>
      <c r="BT184" s="307"/>
      <c r="BU184" s="307"/>
      <c r="BV184" s="307"/>
      <c r="BW184" s="307"/>
      <c r="BX184" s="307"/>
      <c r="BY184" s="307"/>
      <c r="BZ184" s="307"/>
      <c r="CA184" s="307"/>
      <c r="CB184" s="307"/>
      <c r="CC184" s="307"/>
      <c r="CD184" s="307"/>
      <c r="CE184" s="307"/>
      <c r="CF184" s="307"/>
      <c r="CG184" s="307"/>
      <c r="CH184" s="308"/>
      <c r="CI184" s="306"/>
      <c r="CJ184" s="306"/>
      <c r="CK184" s="307"/>
      <c r="CL184" s="307"/>
      <c r="CM184" s="307"/>
      <c r="CN184" s="307"/>
      <c r="CO184" s="307"/>
      <c r="CP184" s="307"/>
      <c r="CQ184" s="307"/>
      <c r="CR184" s="307"/>
      <c r="CS184" s="307"/>
      <c r="CT184" s="307"/>
      <c r="CU184" s="307"/>
      <c r="CV184" s="307"/>
      <c r="CW184" s="307"/>
      <c r="CX184" s="307"/>
      <c r="CY184" s="307"/>
      <c r="CZ184" s="307"/>
      <c r="DA184" s="307"/>
      <c r="DB184" s="308"/>
      <c r="DC184" s="306"/>
      <c r="DD184" s="306"/>
      <c r="DE184" s="307"/>
      <c r="DF184" s="307"/>
      <c r="DG184" s="307"/>
      <c r="DH184" s="307"/>
      <c r="DI184" s="307"/>
      <c r="DJ184" s="307"/>
      <c r="DK184" s="307"/>
      <c r="DL184" s="307"/>
      <c r="DM184" s="307"/>
      <c r="DN184" s="307"/>
      <c r="DO184" s="307"/>
      <c r="DP184" s="307"/>
      <c r="DQ184" s="307"/>
      <c r="DR184" s="307"/>
      <c r="DS184" s="308"/>
      <c r="DT184" s="306"/>
      <c r="DU184" s="306"/>
      <c r="DV184" s="307"/>
      <c r="DW184" s="307"/>
      <c r="DX184" s="307"/>
      <c r="DY184" s="307"/>
      <c r="DZ184" s="307"/>
      <c r="EA184" s="307"/>
      <c r="EB184" s="307"/>
      <c r="EC184" s="307"/>
      <c r="ED184" s="307"/>
      <c r="EE184" s="307"/>
      <c r="EF184" s="307"/>
      <c r="EG184" s="307"/>
      <c r="EH184" s="307"/>
      <c r="EI184" s="307"/>
      <c r="EJ184" s="308"/>
      <c r="EK184" s="306"/>
      <c r="EL184" s="306"/>
      <c r="EM184" s="307"/>
      <c r="EN184" s="307"/>
      <c r="EO184" s="307"/>
      <c r="EP184" s="307"/>
      <c r="EQ184" s="307"/>
      <c r="ER184" s="307"/>
      <c r="ES184" s="307"/>
      <c r="ET184" s="307"/>
      <c r="EU184" s="307"/>
      <c r="EV184" s="307"/>
      <c r="EW184" s="307"/>
      <c r="EX184" s="307"/>
      <c r="EY184" s="307"/>
      <c r="EZ184" s="307"/>
      <c r="FA184" s="308"/>
    </row>
    <row r="185" customFormat="false" ht="15" hidden="false" customHeight="false" outlineLevel="0" collapsed="false">
      <c r="A185" s="306" t="s">
        <v>356</v>
      </c>
      <c r="B185" s="306"/>
      <c r="C185" s="307" t="n">
        <v>1</v>
      </c>
      <c r="D185" s="307" t="n">
        <v>1</v>
      </c>
      <c r="E185" s="307" t="n">
        <v>1</v>
      </c>
      <c r="F185" s="307" t="n">
        <v>1</v>
      </c>
      <c r="G185" s="307" t="n">
        <v>1</v>
      </c>
      <c r="H185" s="307" t="n">
        <v>1</v>
      </c>
      <c r="I185" s="307" t="n">
        <v>1</v>
      </c>
      <c r="J185" s="307" t="n">
        <v>1</v>
      </c>
      <c r="K185" s="307" t="n">
        <v>1</v>
      </c>
      <c r="L185" s="307" t="n">
        <v>1</v>
      </c>
      <c r="M185" s="307" t="n">
        <v>1</v>
      </c>
      <c r="N185" s="307" t="n">
        <v>1</v>
      </c>
      <c r="O185" s="307" t="n">
        <v>1</v>
      </c>
      <c r="P185" s="307" t="n">
        <v>1</v>
      </c>
      <c r="Q185" s="307" t="n">
        <v>1</v>
      </c>
      <c r="R185" s="307" t="n">
        <v>1</v>
      </c>
      <c r="S185" s="307" t="n">
        <v>1</v>
      </c>
      <c r="T185" s="307" t="n">
        <v>1</v>
      </c>
      <c r="U185" s="307" t="n">
        <v>1</v>
      </c>
      <c r="V185" s="307" t="n">
        <v>1</v>
      </c>
      <c r="W185" s="307" t="n">
        <v>1</v>
      </c>
      <c r="X185" s="307" t="n">
        <v>1</v>
      </c>
      <c r="Y185" s="307" t="n">
        <v>1</v>
      </c>
      <c r="Z185" s="307" t="n">
        <v>1</v>
      </c>
      <c r="AA185" s="307" t="n">
        <v>1</v>
      </c>
      <c r="AB185" s="307" t="n">
        <v>1</v>
      </c>
      <c r="AC185" s="307" t="n">
        <v>1</v>
      </c>
      <c r="AD185" s="307" t="n">
        <v>1</v>
      </c>
      <c r="AE185" s="307" t="n">
        <v>1</v>
      </c>
      <c r="AF185" s="307" t="n">
        <v>1</v>
      </c>
      <c r="AG185" s="307" t="n">
        <v>1</v>
      </c>
      <c r="AH185" s="307" t="n">
        <v>1</v>
      </c>
      <c r="AI185" s="307" t="n">
        <v>1</v>
      </c>
      <c r="AJ185" s="307" t="n">
        <v>1</v>
      </c>
      <c r="AK185" s="307" t="n">
        <v>1</v>
      </c>
      <c r="AL185" s="307" t="n">
        <v>1</v>
      </c>
      <c r="AM185" s="307" t="n">
        <v>1</v>
      </c>
      <c r="AN185" s="307" t="n">
        <v>1</v>
      </c>
      <c r="AO185" s="307" t="n">
        <v>1</v>
      </c>
      <c r="AP185" s="307" t="n">
        <v>1</v>
      </c>
      <c r="AQ185" s="307" t="n">
        <v>1</v>
      </c>
      <c r="AR185" s="307" t="n">
        <v>1</v>
      </c>
      <c r="AS185" s="307" t="n">
        <v>1</v>
      </c>
      <c r="AT185" s="307" t="n">
        <v>1</v>
      </c>
      <c r="AU185" s="307" t="n">
        <v>1</v>
      </c>
      <c r="AV185" s="307" t="n">
        <v>1</v>
      </c>
      <c r="AW185" s="307" t="n">
        <v>1</v>
      </c>
      <c r="AX185" s="307" t="n">
        <v>1</v>
      </c>
      <c r="AY185" s="307" t="n">
        <v>1</v>
      </c>
      <c r="AZ185" s="307" t="n">
        <v>1</v>
      </c>
      <c r="BA185" s="306"/>
      <c r="BB185" s="306"/>
      <c r="BC185" s="307"/>
      <c r="BD185" s="307"/>
      <c r="BE185" s="307"/>
      <c r="BF185" s="307"/>
      <c r="BG185" s="307"/>
      <c r="BH185" s="307"/>
      <c r="BI185" s="307"/>
      <c r="BJ185" s="307"/>
      <c r="BK185" s="307"/>
      <c r="BL185" s="307"/>
      <c r="BM185" s="307"/>
      <c r="BN185" s="307"/>
      <c r="BO185" s="307"/>
      <c r="BP185" s="307"/>
      <c r="BQ185" s="308"/>
      <c r="BR185" s="306"/>
      <c r="BS185" s="306"/>
      <c r="BT185" s="307"/>
      <c r="BU185" s="307"/>
      <c r="BV185" s="307"/>
      <c r="BW185" s="307"/>
      <c r="BX185" s="307"/>
      <c r="BY185" s="307"/>
      <c r="BZ185" s="307"/>
      <c r="CA185" s="307"/>
      <c r="CB185" s="307"/>
      <c r="CC185" s="307"/>
      <c r="CD185" s="307"/>
      <c r="CE185" s="307"/>
      <c r="CF185" s="307"/>
      <c r="CG185" s="307"/>
      <c r="CH185" s="308"/>
      <c r="CI185" s="306"/>
      <c r="CJ185" s="306"/>
      <c r="CK185" s="307"/>
      <c r="CL185" s="307"/>
      <c r="CM185" s="307"/>
      <c r="CN185" s="307"/>
      <c r="CO185" s="307"/>
      <c r="CP185" s="307"/>
      <c r="CQ185" s="307"/>
      <c r="CR185" s="307"/>
      <c r="CS185" s="307"/>
      <c r="CT185" s="307"/>
      <c r="CU185" s="307"/>
      <c r="CV185" s="307"/>
      <c r="CW185" s="307"/>
      <c r="CX185" s="307"/>
      <c r="CY185" s="307"/>
      <c r="CZ185" s="307"/>
      <c r="DA185" s="307"/>
      <c r="DB185" s="308"/>
      <c r="DC185" s="306"/>
      <c r="DD185" s="306"/>
      <c r="DE185" s="307"/>
      <c r="DF185" s="307"/>
      <c r="DG185" s="307"/>
      <c r="DH185" s="307"/>
      <c r="DI185" s="307"/>
      <c r="DJ185" s="307"/>
      <c r="DK185" s="307"/>
      <c r="DL185" s="307"/>
      <c r="DM185" s="307"/>
      <c r="DN185" s="307"/>
      <c r="DO185" s="307"/>
      <c r="DP185" s="307"/>
      <c r="DQ185" s="307"/>
      <c r="DR185" s="307"/>
      <c r="DS185" s="308"/>
      <c r="DT185" s="306"/>
      <c r="DU185" s="306"/>
      <c r="DV185" s="307"/>
      <c r="DW185" s="307"/>
      <c r="DX185" s="307"/>
      <c r="DY185" s="307"/>
      <c r="DZ185" s="307"/>
      <c r="EA185" s="307"/>
      <c r="EB185" s="307"/>
      <c r="EC185" s="307"/>
      <c r="ED185" s="307"/>
      <c r="EE185" s="307"/>
      <c r="EF185" s="307"/>
      <c r="EG185" s="307"/>
      <c r="EH185" s="307"/>
      <c r="EI185" s="307"/>
      <c r="EJ185" s="308"/>
      <c r="EK185" s="306"/>
      <c r="EL185" s="306"/>
      <c r="EM185" s="307"/>
      <c r="EN185" s="307"/>
      <c r="EO185" s="307"/>
      <c r="EP185" s="307"/>
      <c r="EQ185" s="307"/>
      <c r="ER185" s="307"/>
      <c r="ES185" s="307"/>
      <c r="ET185" s="307"/>
      <c r="EU185" s="307"/>
      <c r="EV185" s="307"/>
      <c r="EW185" s="307"/>
      <c r="EX185" s="307"/>
      <c r="EY185" s="307"/>
      <c r="EZ185" s="307"/>
      <c r="FA185" s="308"/>
    </row>
    <row r="186" customFormat="false" ht="17.35" hidden="false" customHeight="false" outlineLevel="0" collapsed="false">
      <c r="A186" s="272" t="s">
        <v>592</v>
      </c>
      <c r="B186" s="273"/>
      <c r="C186" s="273"/>
      <c r="D186" s="273"/>
      <c r="E186" s="273"/>
      <c r="F186" s="273"/>
      <c r="G186" s="273"/>
      <c r="H186" s="273"/>
      <c r="I186" s="273"/>
      <c r="J186" s="273"/>
      <c r="K186" s="273"/>
      <c r="L186" s="273"/>
      <c r="M186" s="273"/>
      <c r="N186" s="273"/>
      <c r="O186" s="273"/>
      <c r="P186" s="273"/>
      <c r="Q186" s="273"/>
      <c r="R186" s="273"/>
      <c r="S186" s="273"/>
      <c r="T186" s="273"/>
      <c r="U186" s="273"/>
      <c r="V186" s="273"/>
      <c r="W186" s="273"/>
      <c r="X186" s="273"/>
      <c r="Y186" s="273"/>
      <c r="Z186" s="273"/>
      <c r="AA186" s="273"/>
      <c r="AB186" s="273"/>
      <c r="AC186" s="273"/>
      <c r="AD186" s="273"/>
      <c r="AE186" s="273"/>
      <c r="AF186" s="273"/>
      <c r="AG186" s="273"/>
      <c r="AH186" s="273"/>
      <c r="AI186" s="273"/>
      <c r="AJ186" s="273"/>
      <c r="AK186" s="273"/>
      <c r="AL186" s="273"/>
      <c r="AM186" s="273"/>
      <c r="AN186" s="273"/>
      <c r="AO186" s="273"/>
      <c r="AP186" s="273"/>
      <c r="AQ186" s="273"/>
      <c r="AR186" s="273"/>
      <c r="AS186" s="273"/>
      <c r="AT186" s="273"/>
      <c r="AU186" s="273"/>
      <c r="AV186" s="273"/>
      <c r="AW186" s="273"/>
      <c r="AX186" s="273"/>
      <c r="AY186" s="273"/>
      <c r="AZ186" s="273"/>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c r="BU186" s="212"/>
      <c r="BV186" s="212"/>
      <c r="BW186" s="212"/>
      <c r="BX186" s="212"/>
      <c r="BY186" s="212"/>
      <c r="BZ186" s="212"/>
      <c r="CA186" s="212"/>
      <c r="CB186" s="212"/>
      <c r="CC186" s="212"/>
      <c r="CD186" s="212"/>
      <c r="CE186" s="212"/>
      <c r="CF186" s="212"/>
      <c r="CG186" s="212"/>
      <c r="CH186" s="212"/>
      <c r="CI186" s="242"/>
      <c r="CJ186" s="242"/>
      <c r="CK186" s="242"/>
      <c r="CL186" s="242"/>
      <c r="CM186" s="242"/>
      <c r="CN186" s="242"/>
      <c r="CO186" s="242"/>
      <c r="CP186" s="242"/>
      <c r="CQ186" s="242"/>
      <c r="CR186" s="242"/>
      <c r="CS186" s="309"/>
      <c r="CT186" s="309"/>
      <c r="CU186" s="309"/>
      <c r="CV186" s="309"/>
      <c r="CW186" s="309"/>
      <c r="CX186" s="309"/>
      <c r="CY186" s="309"/>
      <c r="CZ186" s="309"/>
      <c r="DA186" s="309"/>
      <c r="DB186" s="309"/>
      <c r="DC186" s="212"/>
      <c r="DD186" s="212"/>
      <c r="DE186" s="212"/>
      <c r="DF186" s="212"/>
      <c r="DG186" s="212"/>
      <c r="DH186" s="212"/>
      <c r="DI186" s="212"/>
      <c r="DJ186" s="212"/>
      <c r="DK186" s="212"/>
      <c r="DL186" s="212"/>
      <c r="DM186" s="212"/>
      <c r="DN186" s="212"/>
      <c r="DO186" s="212"/>
      <c r="DP186" s="212"/>
      <c r="DQ186" s="212"/>
      <c r="DR186" s="212"/>
      <c r="DS186" s="212"/>
      <c r="DT186" s="212"/>
      <c r="DU186" s="212"/>
      <c r="DV186" s="212"/>
      <c r="DW186" s="212"/>
      <c r="DX186" s="212"/>
      <c r="DY186" s="212"/>
      <c r="DZ186" s="212"/>
      <c r="EA186" s="212"/>
      <c r="EB186" s="212"/>
      <c r="EC186" s="212"/>
      <c r="ED186" s="212"/>
      <c r="EE186" s="212"/>
      <c r="EF186" s="212"/>
      <c r="EG186" s="212"/>
      <c r="EH186" s="212"/>
      <c r="EI186" s="212"/>
      <c r="EJ186" s="212"/>
      <c r="EK186" s="212"/>
      <c r="EL186" s="212"/>
      <c r="EM186" s="212"/>
      <c r="EN186" s="212"/>
      <c r="EO186" s="212"/>
      <c r="EP186" s="212"/>
      <c r="EQ186" s="212"/>
      <c r="ER186" s="212"/>
      <c r="ES186" s="212"/>
      <c r="ET186" s="212"/>
      <c r="EU186" s="212"/>
      <c r="EV186" s="212"/>
      <c r="EW186" s="212"/>
      <c r="EX186" s="212"/>
      <c r="EY186" s="212"/>
      <c r="EZ186" s="212"/>
      <c r="FA186" s="212"/>
    </row>
    <row r="187" customFormat="false" ht="15" hidden="false" customHeight="false" outlineLevel="0" collapsed="false">
      <c r="A187" s="306" t="s">
        <v>352</v>
      </c>
      <c r="B187" s="306"/>
      <c r="C187" s="307" t="n">
        <v>2050</v>
      </c>
      <c r="D187" s="307" t="n">
        <v>2050</v>
      </c>
      <c r="E187" s="307" t="n">
        <v>2050</v>
      </c>
      <c r="F187" s="307" t="n">
        <v>2050</v>
      </c>
      <c r="G187" s="307" t="n">
        <v>2050</v>
      </c>
      <c r="H187" s="307" t="n">
        <v>2050</v>
      </c>
      <c r="I187" s="307" t="n">
        <v>2050</v>
      </c>
      <c r="J187" s="307" t="n">
        <v>2050</v>
      </c>
      <c r="K187" s="307" t="n">
        <v>2050</v>
      </c>
      <c r="L187" s="307" t="n">
        <v>2050</v>
      </c>
      <c r="M187" s="307" t="n">
        <v>2050</v>
      </c>
      <c r="N187" s="307" t="n">
        <v>2050</v>
      </c>
      <c r="O187" s="307" t="n">
        <v>2050</v>
      </c>
      <c r="P187" s="307" t="n">
        <v>2050</v>
      </c>
      <c r="Q187" s="307" t="n">
        <v>2050</v>
      </c>
      <c r="R187" s="307" t="n">
        <v>2050</v>
      </c>
      <c r="S187" s="307" t="n">
        <v>2050</v>
      </c>
      <c r="T187" s="307" t="n">
        <v>2050</v>
      </c>
      <c r="U187" s="307" t="n">
        <v>2050</v>
      </c>
      <c r="V187" s="307" t="n">
        <v>2050</v>
      </c>
      <c r="W187" s="307" t="n">
        <v>2050</v>
      </c>
      <c r="X187" s="307" t="n">
        <v>2050</v>
      </c>
      <c r="Y187" s="307" t="n">
        <v>2050</v>
      </c>
      <c r="Z187" s="307" t="n">
        <v>2050</v>
      </c>
      <c r="AA187" s="307" t="n">
        <v>2050</v>
      </c>
      <c r="AB187" s="307" t="n">
        <v>2050</v>
      </c>
      <c r="AC187" s="307" t="n">
        <v>2050</v>
      </c>
      <c r="AD187" s="307" t="n">
        <v>2050</v>
      </c>
      <c r="AE187" s="307" t="n">
        <v>2050</v>
      </c>
      <c r="AF187" s="307" t="n">
        <v>2050</v>
      </c>
      <c r="AG187" s="307" t="n">
        <v>2050</v>
      </c>
      <c r="AH187" s="307" t="n">
        <v>2050</v>
      </c>
      <c r="AI187" s="307" t="n">
        <v>2050</v>
      </c>
      <c r="AJ187" s="307" t="n">
        <v>2050</v>
      </c>
      <c r="AK187" s="307" t="n">
        <v>2050</v>
      </c>
      <c r="AL187" s="307" t="n">
        <v>2050</v>
      </c>
      <c r="AM187" s="307" t="n">
        <v>2050</v>
      </c>
      <c r="AN187" s="307" t="n">
        <v>2050</v>
      </c>
      <c r="AO187" s="307" t="n">
        <v>2050</v>
      </c>
      <c r="AP187" s="307" t="n">
        <v>2050</v>
      </c>
      <c r="AQ187" s="307" t="n">
        <v>2050</v>
      </c>
      <c r="AR187" s="307" t="n">
        <v>2050</v>
      </c>
      <c r="AS187" s="307" t="n">
        <v>2050</v>
      </c>
      <c r="AT187" s="307" t="n">
        <v>2050</v>
      </c>
      <c r="AU187" s="307" t="n">
        <v>2050</v>
      </c>
      <c r="AV187" s="307" t="n">
        <v>2050</v>
      </c>
      <c r="AW187" s="307" t="n">
        <v>2050</v>
      </c>
      <c r="AX187" s="307" t="n">
        <v>2050</v>
      </c>
      <c r="AY187" s="307" t="n">
        <v>2050</v>
      </c>
      <c r="AZ187" s="307" t="n">
        <v>2050</v>
      </c>
      <c r="BA187" s="306"/>
      <c r="BB187" s="306"/>
      <c r="BC187" s="307"/>
      <c r="BD187" s="307"/>
      <c r="BE187" s="307"/>
      <c r="BF187" s="307"/>
      <c r="BG187" s="307"/>
      <c r="BH187" s="307"/>
      <c r="BI187" s="307"/>
      <c r="BJ187" s="307"/>
      <c r="BK187" s="307"/>
      <c r="BL187" s="307"/>
      <c r="BM187" s="307"/>
      <c r="BN187" s="307"/>
      <c r="BO187" s="307"/>
      <c r="BP187" s="307"/>
      <c r="BQ187" s="308"/>
      <c r="BR187" s="306"/>
      <c r="BS187" s="306"/>
      <c r="BT187" s="307"/>
      <c r="BU187" s="307"/>
      <c r="BV187" s="307"/>
      <c r="BW187" s="307"/>
      <c r="BX187" s="307"/>
      <c r="BY187" s="307"/>
      <c r="BZ187" s="307"/>
      <c r="CA187" s="307"/>
      <c r="CB187" s="307"/>
      <c r="CC187" s="307"/>
      <c r="CD187" s="307"/>
      <c r="CE187" s="307"/>
      <c r="CF187" s="307"/>
      <c r="CG187" s="307"/>
      <c r="CH187" s="308"/>
      <c r="CI187" s="306"/>
      <c r="CJ187" s="306"/>
      <c r="CK187" s="307"/>
      <c r="CL187" s="307"/>
      <c r="CM187" s="307"/>
      <c r="CN187" s="307"/>
      <c r="CO187" s="307"/>
      <c r="CP187" s="307"/>
      <c r="CQ187" s="307"/>
      <c r="CR187" s="307"/>
      <c r="CS187" s="307"/>
      <c r="CT187" s="307"/>
      <c r="CU187" s="307"/>
      <c r="CV187" s="307"/>
      <c r="CW187" s="307"/>
      <c r="CX187" s="307"/>
      <c r="CY187" s="307"/>
      <c r="CZ187" s="307"/>
      <c r="DA187" s="307"/>
      <c r="DB187" s="308"/>
      <c r="DC187" s="306"/>
      <c r="DD187" s="306"/>
      <c r="DE187" s="307"/>
      <c r="DF187" s="307"/>
      <c r="DG187" s="307"/>
      <c r="DH187" s="307"/>
      <c r="DI187" s="307"/>
      <c r="DJ187" s="307"/>
      <c r="DK187" s="307"/>
      <c r="DL187" s="307"/>
      <c r="DM187" s="307"/>
      <c r="DN187" s="307"/>
      <c r="DO187" s="307"/>
      <c r="DP187" s="307"/>
      <c r="DQ187" s="307"/>
      <c r="DR187" s="307"/>
      <c r="DS187" s="308"/>
      <c r="DT187" s="306"/>
      <c r="DU187" s="306"/>
      <c r="DV187" s="307"/>
      <c r="DW187" s="307"/>
      <c r="DX187" s="307"/>
      <c r="DY187" s="307"/>
      <c r="DZ187" s="307"/>
      <c r="EA187" s="307"/>
      <c r="EB187" s="307"/>
      <c r="EC187" s="307"/>
      <c r="ED187" s="307"/>
      <c r="EE187" s="307"/>
      <c r="EF187" s="307"/>
      <c r="EG187" s="307"/>
      <c r="EH187" s="307"/>
      <c r="EI187" s="307"/>
      <c r="EJ187" s="308"/>
      <c r="EK187" s="306"/>
      <c r="EL187" s="306"/>
      <c r="EM187" s="307"/>
      <c r="EN187" s="307"/>
      <c r="EO187" s="307"/>
      <c r="EP187" s="307"/>
      <c r="EQ187" s="307"/>
      <c r="ER187" s="307"/>
      <c r="ES187" s="307"/>
      <c r="ET187" s="307"/>
      <c r="EU187" s="307"/>
      <c r="EV187" s="307"/>
      <c r="EW187" s="307"/>
      <c r="EX187" s="307"/>
      <c r="EY187" s="307"/>
      <c r="EZ187" s="307"/>
      <c r="FA187" s="308"/>
    </row>
    <row r="188" customFormat="false" ht="15" hidden="false" customHeight="false" outlineLevel="0" collapsed="false">
      <c r="A188" s="306" t="s">
        <v>353</v>
      </c>
      <c r="B188" s="306"/>
      <c r="C188" s="307" t="n">
        <v>2050</v>
      </c>
      <c r="D188" s="307" t="n">
        <v>2050</v>
      </c>
      <c r="E188" s="307" t="n">
        <v>2050</v>
      </c>
      <c r="F188" s="307" t="n">
        <v>2050</v>
      </c>
      <c r="G188" s="307" t="n">
        <v>2050</v>
      </c>
      <c r="H188" s="307" t="n">
        <v>2050</v>
      </c>
      <c r="I188" s="307" t="n">
        <v>2050</v>
      </c>
      <c r="J188" s="307" t="n">
        <v>2050</v>
      </c>
      <c r="K188" s="307" t="n">
        <v>2050</v>
      </c>
      <c r="L188" s="307" t="n">
        <v>2050</v>
      </c>
      <c r="M188" s="307" t="n">
        <v>2050</v>
      </c>
      <c r="N188" s="307" t="n">
        <v>2050</v>
      </c>
      <c r="O188" s="307" t="n">
        <v>2050</v>
      </c>
      <c r="P188" s="307" t="n">
        <v>2050</v>
      </c>
      <c r="Q188" s="307" t="n">
        <v>2050</v>
      </c>
      <c r="R188" s="307" t="n">
        <v>2050</v>
      </c>
      <c r="S188" s="307" t="n">
        <v>2050</v>
      </c>
      <c r="T188" s="307" t="n">
        <v>2050</v>
      </c>
      <c r="U188" s="307" t="n">
        <v>2050</v>
      </c>
      <c r="V188" s="307" t="n">
        <v>2050</v>
      </c>
      <c r="W188" s="307" t="n">
        <v>2050</v>
      </c>
      <c r="X188" s="307" t="n">
        <v>2050</v>
      </c>
      <c r="Y188" s="307" t="n">
        <v>2050</v>
      </c>
      <c r="Z188" s="307" t="n">
        <v>2050</v>
      </c>
      <c r="AA188" s="307" t="n">
        <v>2050</v>
      </c>
      <c r="AB188" s="307" t="n">
        <v>2050</v>
      </c>
      <c r="AC188" s="307" t="n">
        <v>2050</v>
      </c>
      <c r="AD188" s="307" t="n">
        <v>2050</v>
      </c>
      <c r="AE188" s="307" t="n">
        <v>2050</v>
      </c>
      <c r="AF188" s="307" t="n">
        <v>2050</v>
      </c>
      <c r="AG188" s="307" t="n">
        <v>2050</v>
      </c>
      <c r="AH188" s="307" t="n">
        <v>2050</v>
      </c>
      <c r="AI188" s="307" t="n">
        <v>2050</v>
      </c>
      <c r="AJ188" s="307" t="n">
        <v>2050</v>
      </c>
      <c r="AK188" s="307" t="n">
        <v>2050</v>
      </c>
      <c r="AL188" s="307" t="n">
        <v>2050</v>
      </c>
      <c r="AM188" s="307" t="n">
        <v>2050</v>
      </c>
      <c r="AN188" s="307" t="n">
        <v>2050</v>
      </c>
      <c r="AO188" s="307" t="n">
        <v>2050</v>
      </c>
      <c r="AP188" s="307" t="n">
        <v>2050</v>
      </c>
      <c r="AQ188" s="307" t="n">
        <v>2050</v>
      </c>
      <c r="AR188" s="307" t="n">
        <v>2050</v>
      </c>
      <c r="AS188" s="307" t="n">
        <v>2050</v>
      </c>
      <c r="AT188" s="307" t="n">
        <v>2050</v>
      </c>
      <c r="AU188" s="307" t="n">
        <v>2050</v>
      </c>
      <c r="AV188" s="307" t="n">
        <v>2050</v>
      </c>
      <c r="AW188" s="307" t="n">
        <v>2050</v>
      </c>
      <c r="AX188" s="307" t="n">
        <v>2050</v>
      </c>
      <c r="AY188" s="307" t="n">
        <v>2050</v>
      </c>
      <c r="AZ188" s="307" t="n">
        <v>2050</v>
      </c>
      <c r="BA188" s="306"/>
      <c r="BB188" s="306"/>
      <c r="BC188" s="307"/>
      <c r="BD188" s="307"/>
      <c r="BE188" s="307"/>
      <c r="BF188" s="307"/>
      <c r="BG188" s="307"/>
      <c r="BH188" s="307"/>
      <c r="BI188" s="307"/>
      <c r="BJ188" s="307"/>
      <c r="BK188" s="307"/>
      <c r="BL188" s="307"/>
      <c r="BM188" s="307"/>
      <c r="BN188" s="307"/>
      <c r="BO188" s="307"/>
      <c r="BP188" s="307"/>
      <c r="BQ188" s="308"/>
      <c r="BR188" s="306"/>
      <c r="BS188" s="306"/>
      <c r="BT188" s="307"/>
      <c r="BU188" s="307"/>
      <c r="BV188" s="307"/>
      <c r="BW188" s="307"/>
      <c r="BX188" s="307"/>
      <c r="BY188" s="307"/>
      <c r="BZ188" s="307"/>
      <c r="CA188" s="307"/>
      <c r="CB188" s="307"/>
      <c r="CC188" s="307"/>
      <c r="CD188" s="307"/>
      <c r="CE188" s="307"/>
      <c r="CF188" s="307"/>
      <c r="CG188" s="307"/>
      <c r="CH188" s="308"/>
      <c r="CI188" s="306"/>
      <c r="CJ188" s="306"/>
      <c r="CK188" s="307"/>
      <c r="CL188" s="307"/>
      <c r="CM188" s="307"/>
      <c r="CN188" s="307"/>
      <c r="CO188" s="307"/>
      <c r="CP188" s="307"/>
      <c r="CQ188" s="307"/>
      <c r="CR188" s="307"/>
      <c r="CS188" s="307"/>
      <c r="CT188" s="307"/>
      <c r="CU188" s="307"/>
      <c r="CV188" s="307"/>
      <c r="CW188" s="307"/>
      <c r="CX188" s="307"/>
      <c r="CY188" s="307"/>
      <c r="CZ188" s="307"/>
      <c r="DA188" s="307"/>
      <c r="DB188" s="308"/>
      <c r="DC188" s="306"/>
      <c r="DD188" s="306"/>
      <c r="DE188" s="307"/>
      <c r="DF188" s="307"/>
      <c r="DG188" s="307"/>
      <c r="DH188" s="307"/>
      <c r="DI188" s="307"/>
      <c r="DJ188" s="307"/>
      <c r="DK188" s="307"/>
      <c r="DL188" s="307"/>
      <c r="DM188" s="307"/>
      <c r="DN188" s="307"/>
      <c r="DO188" s="307"/>
      <c r="DP188" s="307"/>
      <c r="DQ188" s="307"/>
      <c r="DR188" s="307"/>
      <c r="DS188" s="308"/>
      <c r="DT188" s="306"/>
      <c r="DU188" s="306"/>
      <c r="DV188" s="307"/>
      <c r="DW188" s="307"/>
      <c r="DX188" s="307"/>
      <c r="DY188" s="307"/>
      <c r="DZ188" s="307"/>
      <c r="EA188" s="307"/>
      <c r="EB188" s="307"/>
      <c r="EC188" s="307"/>
      <c r="ED188" s="307"/>
      <c r="EE188" s="307"/>
      <c r="EF188" s="307"/>
      <c r="EG188" s="307"/>
      <c r="EH188" s="307"/>
      <c r="EI188" s="307"/>
      <c r="EJ188" s="308"/>
      <c r="EK188" s="306"/>
      <c r="EL188" s="306"/>
      <c r="EM188" s="307"/>
      <c r="EN188" s="307"/>
      <c r="EO188" s="307"/>
      <c r="EP188" s="307"/>
      <c r="EQ188" s="307"/>
      <c r="ER188" s="307"/>
      <c r="ES188" s="307"/>
      <c r="ET188" s="307"/>
      <c r="EU188" s="307"/>
      <c r="EV188" s="307"/>
      <c r="EW188" s="307"/>
      <c r="EX188" s="307"/>
      <c r="EY188" s="307"/>
      <c r="EZ188" s="307"/>
      <c r="FA188" s="308"/>
    </row>
    <row r="189" customFormat="false" ht="15" hidden="false" customHeight="false" outlineLevel="0" collapsed="false">
      <c r="A189" s="306" t="s">
        <v>354</v>
      </c>
      <c r="B189" s="306"/>
      <c r="C189" s="307" t="n">
        <v>2050</v>
      </c>
      <c r="D189" s="307" t="n">
        <v>2050</v>
      </c>
      <c r="E189" s="307" t="n">
        <v>2050</v>
      </c>
      <c r="F189" s="307" t="n">
        <v>2050</v>
      </c>
      <c r="G189" s="307" t="n">
        <v>2050</v>
      </c>
      <c r="H189" s="307" t="n">
        <v>2050</v>
      </c>
      <c r="I189" s="307" t="n">
        <v>2050</v>
      </c>
      <c r="J189" s="307" t="n">
        <v>2050</v>
      </c>
      <c r="K189" s="307" t="n">
        <v>2050</v>
      </c>
      <c r="L189" s="307" t="n">
        <v>2050</v>
      </c>
      <c r="M189" s="307" t="n">
        <v>2050</v>
      </c>
      <c r="N189" s="307" t="n">
        <v>2050</v>
      </c>
      <c r="O189" s="307" t="n">
        <v>2050</v>
      </c>
      <c r="P189" s="307" t="n">
        <v>2050</v>
      </c>
      <c r="Q189" s="307" t="n">
        <v>2050</v>
      </c>
      <c r="R189" s="307" t="n">
        <v>2050</v>
      </c>
      <c r="S189" s="307" t="n">
        <v>2050</v>
      </c>
      <c r="T189" s="307" t="n">
        <v>2050</v>
      </c>
      <c r="U189" s="307" t="n">
        <v>2050</v>
      </c>
      <c r="V189" s="307" t="n">
        <v>2050</v>
      </c>
      <c r="W189" s="307" t="n">
        <v>2050</v>
      </c>
      <c r="X189" s="307" t="n">
        <v>2050</v>
      </c>
      <c r="Y189" s="307" t="n">
        <v>2050</v>
      </c>
      <c r="Z189" s="307" t="n">
        <v>2050</v>
      </c>
      <c r="AA189" s="307" t="n">
        <v>2050</v>
      </c>
      <c r="AB189" s="307" t="n">
        <v>2050</v>
      </c>
      <c r="AC189" s="307" t="n">
        <v>2050</v>
      </c>
      <c r="AD189" s="307" t="n">
        <v>2050</v>
      </c>
      <c r="AE189" s="307" t="n">
        <v>2050</v>
      </c>
      <c r="AF189" s="307" t="n">
        <v>2050</v>
      </c>
      <c r="AG189" s="307" t="n">
        <v>2050</v>
      </c>
      <c r="AH189" s="307" t="n">
        <v>2050</v>
      </c>
      <c r="AI189" s="307" t="n">
        <v>2050</v>
      </c>
      <c r="AJ189" s="307" t="n">
        <v>2050</v>
      </c>
      <c r="AK189" s="307" t="n">
        <v>2050</v>
      </c>
      <c r="AL189" s="307" t="n">
        <v>2050</v>
      </c>
      <c r="AM189" s="307" t="n">
        <v>2050</v>
      </c>
      <c r="AN189" s="307" t="n">
        <v>2050</v>
      </c>
      <c r="AO189" s="307" t="n">
        <v>2050</v>
      </c>
      <c r="AP189" s="307" t="n">
        <v>2050</v>
      </c>
      <c r="AQ189" s="307" t="n">
        <v>2050</v>
      </c>
      <c r="AR189" s="307" t="n">
        <v>2050</v>
      </c>
      <c r="AS189" s="307" t="n">
        <v>2050</v>
      </c>
      <c r="AT189" s="307" t="n">
        <v>2050</v>
      </c>
      <c r="AU189" s="307" t="n">
        <v>2050</v>
      </c>
      <c r="AV189" s="307" t="n">
        <v>2050</v>
      </c>
      <c r="AW189" s="307" t="n">
        <v>2050</v>
      </c>
      <c r="AX189" s="307" t="n">
        <v>2050</v>
      </c>
      <c r="AY189" s="307" t="n">
        <v>2050</v>
      </c>
      <c r="AZ189" s="307" t="n">
        <v>2050</v>
      </c>
      <c r="BA189" s="306"/>
      <c r="BB189" s="306"/>
      <c r="BC189" s="307"/>
      <c r="BD189" s="307"/>
      <c r="BE189" s="307"/>
      <c r="BF189" s="307"/>
      <c r="BG189" s="307"/>
      <c r="BH189" s="307"/>
      <c r="BI189" s="307"/>
      <c r="BJ189" s="307"/>
      <c r="BK189" s="307"/>
      <c r="BL189" s="307"/>
      <c r="BM189" s="307"/>
      <c r="BN189" s="307"/>
      <c r="BO189" s="307"/>
      <c r="BP189" s="307"/>
      <c r="BQ189" s="308"/>
      <c r="BR189" s="306"/>
      <c r="BS189" s="306"/>
      <c r="BT189" s="307"/>
      <c r="BU189" s="307"/>
      <c r="BV189" s="307"/>
      <c r="BW189" s="307"/>
      <c r="BX189" s="307"/>
      <c r="BY189" s="307"/>
      <c r="BZ189" s="307"/>
      <c r="CA189" s="307"/>
      <c r="CB189" s="307"/>
      <c r="CC189" s="307"/>
      <c r="CD189" s="307"/>
      <c r="CE189" s="307"/>
      <c r="CF189" s="307"/>
      <c r="CG189" s="307"/>
      <c r="CH189" s="308"/>
      <c r="CI189" s="306"/>
      <c r="CJ189" s="306"/>
      <c r="CK189" s="307"/>
      <c r="CL189" s="307"/>
      <c r="CM189" s="307"/>
      <c r="CN189" s="307"/>
      <c r="CO189" s="307"/>
      <c r="CP189" s="307"/>
      <c r="CQ189" s="307"/>
      <c r="CR189" s="307"/>
      <c r="CS189" s="307"/>
      <c r="CT189" s="307"/>
      <c r="CU189" s="307"/>
      <c r="CV189" s="307"/>
      <c r="CW189" s="307"/>
      <c r="CX189" s="307"/>
      <c r="CY189" s="307"/>
      <c r="CZ189" s="307"/>
      <c r="DA189" s="307"/>
      <c r="DB189" s="308"/>
      <c r="DC189" s="306"/>
      <c r="DD189" s="306"/>
      <c r="DE189" s="307"/>
      <c r="DF189" s="307"/>
      <c r="DG189" s="307"/>
      <c r="DH189" s="307"/>
      <c r="DI189" s="307"/>
      <c r="DJ189" s="307"/>
      <c r="DK189" s="307"/>
      <c r="DL189" s="307"/>
      <c r="DM189" s="307"/>
      <c r="DN189" s="307"/>
      <c r="DO189" s="307"/>
      <c r="DP189" s="307"/>
      <c r="DQ189" s="307"/>
      <c r="DR189" s="307"/>
      <c r="DS189" s="308"/>
      <c r="DT189" s="306"/>
      <c r="DU189" s="306"/>
      <c r="DV189" s="307"/>
      <c r="DW189" s="307"/>
      <c r="DX189" s="307"/>
      <c r="DY189" s="307"/>
      <c r="DZ189" s="307"/>
      <c r="EA189" s="307"/>
      <c r="EB189" s="307"/>
      <c r="EC189" s="307"/>
      <c r="ED189" s="307"/>
      <c r="EE189" s="307"/>
      <c r="EF189" s="307"/>
      <c r="EG189" s="307"/>
      <c r="EH189" s="307"/>
      <c r="EI189" s="307"/>
      <c r="EJ189" s="308"/>
      <c r="EK189" s="306"/>
      <c r="EL189" s="306"/>
      <c r="EM189" s="307"/>
      <c r="EN189" s="307"/>
      <c r="EO189" s="307"/>
      <c r="EP189" s="307"/>
      <c r="EQ189" s="307"/>
      <c r="ER189" s="307"/>
      <c r="ES189" s="307"/>
      <c r="ET189" s="307"/>
      <c r="EU189" s="307"/>
      <c r="EV189" s="307"/>
      <c r="EW189" s="307"/>
      <c r="EX189" s="307"/>
      <c r="EY189" s="307"/>
      <c r="EZ189" s="307"/>
      <c r="FA189" s="308"/>
    </row>
    <row r="190" customFormat="false" ht="15" hidden="false" customHeight="false" outlineLevel="0" collapsed="false">
      <c r="A190" s="306" t="s">
        <v>355</v>
      </c>
      <c r="B190" s="306"/>
      <c r="C190" s="307" t="n">
        <v>2050</v>
      </c>
      <c r="D190" s="307" t="n">
        <v>2050</v>
      </c>
      <c r="E190" s="307" t="n">
        <v>2050</v>
      </c>
      <c r="F190" s="307" t="n">
        <v>2050</v>
      </c>
      <c r="G190" s="307" t="n">
        <v>2050</v>
      </c>
      <c r="H190" s="307" t="n">
        <v>2050</v>
      </c>
      <c r="I190" s="307" t="n">
        <v>2050</v>
      </c>
      <c r="J190" s="307" t="n">
        <v>2050</v>
      </c>
      <c r="K190" s="307" t="n">
        <v>2050</v>
      </c>
      <c r="L190" s="307" t="n">
        <v>2050</v>
      </c>
      <c r="M190" s="307" t="n">
        <v>2050</v>
      </c>
      <c r="N190" s="307" t="n">
        <v>2050</v>
      </c>
      <c r="O190" s="307" t="n">
        <v>2050</v>
      </c>
      <c r="P190" s="307" t="n">
        <v>2050</v>
      </c>
      <c r="Q190" s="307" t="n">
        <v>2050</v>
      </c>
      <c r="R190" s="307" t="n">
        <v>2050</v>
      </c>
      <c r="S190" s="307" t="n">
        <v>2050</v>
      </c>
      <c r="T190" s="307" t="n">
        <v>2050</v>
      </c>
      <c r="U190" s="307" t="n">
        <v>2050</v>
      </c>
      <c r="V190" s="307" t="n">
        <v>2050</v>
      </c>
      <c r="W190" s="307" t="n">
        <v>2050</v>
      </c>
      <c r="X190" s="307" t="n">
        <v>2050</v>
      </c>
      <c r="Y190" s="307" t="n">
        <v>2050</v>
      </c>
      <c r="Z190" s="307" t="n">
        <v>2050</v>
      </c>
      <c r="AA190" s="307" t="n">
        <v>2050</v>
      </c>
      <c r="AB190" s="307" t="n">
        <v>2050</v>
      </c>
      <c r="AC190" s="307" t="n">
        <v>2050</v>
      </c>
      <c r="AD190" s="307" t="n">
        <v>2050</v>
      </c>
      <c r="AE190" s="307" t="n">
        <v>2050</v>
      </c>
      <c r="AF190" s="307" t="n">
        <v>2050</v>
      </c>
      <c r="AG190" s="307" t="n">
        <v>2050</v>
      </c>
      <c r="AH190" s="307" t="n">
        <v>2050</v>
      </c>
      <c r="AI190" s="307" t="n">
        <v>2050</v>
      </c>
      <c r="AJ190" s="307" t="n">
        <v>2050</v>
      </c>
      <c r="AK190" s="307" t="n">
        <v>2050</v>
      </c>
      <c r="AL190" s="307" t="n">
        <v>2050</v>
      </c>
      <c r="AM190" s="307" t="n">
        <v>2050</v>
      </c>
      <c r="AN190" s="307" t="n">
        <v>2050</v>
      </c>
      <c r="AO190" s="307" t="n">
        <v>2050</v>
      </c>
      <c r="AP190" s="307" t="n">
        <v>2050</v>
      </c>
      <c r="AQ190" s="307" t="n">
        <v>2050</v>
      </c>
      <c r="AR190" s="307" t="n">
        <v>2050</v>
      </c>
      <c r="AS190" s="307" t="n">
        <v>2050</v>
      </c>
      <c r="AT190" s="307" t="n">
        <v>2050</v>
      </c>
      <c r="AU190" s="307" t="n">
        <v>2050</v>
      </c>
      <c r="AV190" s="307" t="n">
        <v>2050</v>
      </c>
      <c r="AW190" s="307" t="n">
        <v>2050</v>
      </c>
      <c r="AX190" s="307" t="n">
        <v>2050</v>
      </c>
      <c r="AY190" s="307" t="n">
        <v>2050</v>
      </c>
      <c r="AZ190" s="307" t="n">
        <v>2050</v>
      </c>
      <c r="BA190" s="306"/>
      <c r="BB190" s="306"/>
      <c r="BC190" s="307"/>
      <c r="BD190" s="307"/>
      <c r="BE190" s="307"/>
      <c r="BF190" s="307"/>
      <c r="BG190" s="307"/>
      <c r="BH190" s="307"/>
      <c r="BI190" s="307"/>
      <c r="BJ190" s="307"/>
      <c r="BK190" s="307"/>
      <c r="BL190" s="307"/>
      <c r="BM190" s="307"/>
      <c r="BN190" s="307"/>
      <c r="BO190" s="307"/>
      <c r="BP190" s="307"/>
      <c r="BQ190" s="308"/>
      <c r="BR190" s="306"/>
      <c r="BS190" s="306"/>
      <c r="BT190" s="307"/>
      <c r="BU190" s="307"/>
      <c r="BV190" s="307"/>
      <c r="BW190" s="307"/>
      <c r="BX190" s="307"/>
      <c r="BY190" s="307"/>
      <c r="BZ190" s="307"/>
      <c r="CA190" s="307"/>
      <c r="CB190" s="307"/>
      <c r="CC190" s="307"/>
      <c r="CD190" s="307"/>
      <c r="CE190" s="307"/>
      <c r="CF190" s="307"/>
      <c r="CG190" s="307"/>
      <c r="CH190" s="308"/>
      <c r="CI190" s="306"/>
      <c r="CJ190" s="306"/>
      <c r="CK190" s="307"/>
      <c r="CL190" s="307"/>
      <c r="CM190" s="307"/>
      <c r="CN190" s="307"/>
      <c r="CO190" s="307"/>
      <c r="CP190" s="307"/>
      <c r="CQ190" s="307"/>
      <c r="CR190" s="307"/>
      <c r="CS190" s="307"/>
      <c r="CT190" s="307"/>
      <c r="CU190" s="307"/>
      <c r="CV190" s="307"/>
      <c r="CW190" s="307"/>
      <c r="CX190" s="307"/>
      <c r="CY190" s="307"/>
      <c r="CZ190" s="307"/>
      <c r="DA190" s="307"/>
      <c r="DB190" s="308"/>
      <c r="DC190" s="306"/>
      <c r="DD190" s="306"/>
      <c r="DE190" s="307"/>
      <c r="DF190" s="307"/>
      <c r="DG190" s="307"/>
      <c r="DH190" s="307"/>
      <c r="DI190" s="307"/>
      <c r="DJ190" s="307"/>
      <c r="DK190" s="307"/>
      <c r="DL190" s="307"/>
      <c r="DM190" s="307"/>
      <c r="DN190" s="307"/>
      <c r="DO190" s="307"/>
      <c r="DP190" s="307"/>
      <c r="DQ190" s="307"/>
      <c r="DR190" s="307"/>
      <c r="DS190" s="308"/>
      <c r="DT190" s="306"/>
      <c r="DU190" s="306"/>
      <c r="DV190" s="307"/>
      <c r="DW190" s="307"/>
      <c r="DX190" s="307"/>
      <c r="DY190" s="307"/>
      <c r="DZ190" s="307"/>
      <c r="EA190" s="307"/>
      <c r="EB190" s="307"/>
      <c r="EC190" s="307"/>
      <c r="ED190" s="307"/>
      <c r="EE190" s="307"/>
      <c r="EF190" s="307"/>
      <c r="EG190" s="307"/>
      <c r="EH190" s="307"/>
      <c r="EI190" s="307"/>
      <c r="EJ190" s="308"/>
      <c r="EK190" s="306"/>
      <c r="EL190" s="306"/>
      <c r="EM190" s="307"/>
      <c r="EN190" s="307"/>
      <c r="EO190" s="307"/>
      <c r="EP190" s="307"/>
      <c r="EQ190" s="307"/>
      <c r="ER190" s="307"/>
      <c r="ES190" s="307"/>
      <c r="ET190" s="307"/>
      <c r="EU190" s="307"/>
      <c r="EV190" s="307"/>
      <c r="EW190" s="307"/>
      <c r="EX190" s="307"/>
      <c r="EY190" s="307"/>
      <c r="EZ190" s="307"/>
      <c r="FA190" s="308"/>
    </row>
    <row r="191" customFormat="false" ht="15" hidden="false" customHeight="false" outlineLevel="0" collapsed="false">
      <c r="A191" s="306" t="s">
        <v>356</v>
      </c>
      <c r="B191" s="306"/>
      <c r="C191" s="310" t="n">
        <v>2050</v>
      </c>
      <c r="D191" s="310" t="n">
        <v>2050</v>
      </c>
      <c r="E191" s="310" t="n">
        <v>2050</v>
      </c>
      <c r="F191" s="310" t="n">
        <v>2050</v>
      </c>
      <c r="G191" s="310" t="n">
        <v>2050</v>
      </c>
      <c r="H191" s="310" t="n">
        <v>2050</v>
      </c>
      <c r="I191" s="310" t="n">
        <v>2050</v>
      </c>
      <c r="J191" s="310" t="n">
        <v>2050</v>
      </c>
      <c r="K191" s="310" t="n">
        <v>2050</v>
      </c>
      <c r="L191" s="310" t="n">
        <v>2050</v>
      </c>
      <c r="M191" s="310" t="n">
        <v>2050</v>
      </c>
      <c r="N191" s="310" t="n">
        <v>2050</v>
      </c>
      <c r="O191" s="310" t="n">
        <v>2050</v>
      </c>
      <c r="P191" s="310" t="n">
        <v>2050</v>
      </c>
      <c r="Q191" s="310" t="n">
        <v>2050</v>
      </c>
      <c r="R191" s="310" t="n">
        <v>2050</v>
      </c>
      <c r="S191" s="310" t="n">
        <v>2050</v>
      </c>
      <c r="T191" s="310" t="n">
        <v>2050</v>
      </c>
      <c r="U191" s="310" t="n">
        <v>2050</v>
      </c>
      <c r="V191" s="310" t="n">
        <v>2050</v>
      </c>
      <c r="W191" s="310" t="n">
        <v>2050</v>
      </c>
      <c r="X191" s="310" t="n">
        <v>2050</v>
      </c>
      <c r="Y191" s="310" t="n">
        <v>2050</v>
      </c>
      <c r="Z191" s="310" t="n">
        <v>2050</v>
      </c>
      <c r="AA191" s="310" t="n">
        <v>2050</v>
      </c>
      <c r="AB191" s="310" t="n">
        <v>2050</v>
      </c>
      <c r="AC191" s="310" t="n">
        <v>2050</v>
      </c>
      <c r="AD191" s="310" t="n">
        <v>2050</v>
      </c>
      <c r="AE191" s="310" t="n">
        <v>2050</v>
      </c>
      <c r="AF191" s="310" t="n">
        <v>2050</v>
      </c>
      <c r="AG191" s="310" t="n">
        <v>2050</v>
      </c>
      <c r="AH191" s="310" t="n">
        <v>2050</v>
      </c>
      <c r="AI191" s="310" t="n">
        <v>2050</v>
      </c>
      <c r="AJ191" s="310" t="n">
        <v>2050</v>
      </c>
      <c r="AK191" s="310" t="n">
        <v>2050</v>
      </c>
      <c r="AL191" s="310" t="n">
        <v>2050</v>
      </c>
      <c r="AM191" s="310" t="n">
        <v>2050</v>
      </c>
      <c r="AN191" s="310" t="n">
        <v>2050</v>
      </c>
      <c r="AO191" s="310" t="n">
        <v>2050</v>
      </c>
      <c r="AP191" s="310" t="n">
        <v>2050</v>
      </c>
      <c r="AQ191" s="310" t="n">
        <v>2050</v>
      </c>
      <c r="AR191" s="310" t="n">
        <v>2050</v>
      </c>
      <c r="AS191" s="310" t="n">
        <v>2050</v>
      </c>
      <c r="AT191" s="310" t="n">
        <v>2050</v>
      </c>
      <c r="AU191" s="310" t="n">
        <v>2050</v>
      </c>
      <c r="AV191" s="310" t="n">
        <v>2050</v>
      </c>
      <c r="AW191" s="310" t="n">
        <v>2050</v>
      </c>
      <c r="AX191" s="310" t="n">
        <v>2050</v>
      </c>
      <c r="AY191" s="310" t="n">
        <v>2050</v>
      </c>
      <c r="AZ191" s="310" t="n">
        <v>2050</v>
      </c>
      <c r="BA191" s="306"/>
      <c r="BB191" s="306"/>
      <c r="BC191" s="310"/>
      <c r="BD191" s="310"/>
      <c r="BE191" s="310"/>
      <c r="BF191" s="310"/>
      <c r="BG191" s="310"/>
      <c r="BH191" s="310"/>
      <c r="BI191" s="310"/>
      <c r="BJ191" s="310"/>
      <c r="BK191" s="310"/>
      <c r="BL191" s="310"/>
      <c r="BM191" s="310"/>
      <c r="BN191" s="310"/>
      <c r="BO191" s="310"/>
      <c r="BP191" s="310"/>
      <c r="BQ191" s="311"/>
      <c r="BR191" s="306"/>
      <c r="BS191" s="306"/>
      <c r="BT191" s="310"/>
      <c r="BU191" s="310"/>
      <c r="BV191" s="310"/>
      <c r="BW191" s="310"/>
      <c r="BX191" s="310"/>
      <c r="BY191" s="310"/>
      <c r="BZ191" s="310"/>
      <c r="CA191" s="310"/>
      <c r="CB191" s="310"/>
      <c r="CC191" s="310"/>
      <c r="CD191" s="310"/>
      <c r="CE191" s="310"/>
      <c r="CF191" s="310"/>
      <c r="CG191" s="310"/>
      <c r="CH191" s="311"/>
      <c r="CI191" s="306"/>
      <c r="CJ191" s="306"/>
      <c r="CK191" s="310"/>
      <c r="CL191" s="310"/>
      <c r="CM191" s="310"/>
      <c r="CN191" s="310"/>
      <c r="CO191" s="310"/>
      <c r="CP191" s="310"/>
      <c r="CQ191" s="310"/>
      <c r="CR191" s="310"/>
      <c r="CS191" s="310"/>
      <c r="CT191" s="310"/>
      <c r="CU191" s="310"/>
      <c r="CV191" s="310"/>
      <c r="CW191" s="310"/>
      <c r="CX191" s="310"/>
      <c r="CY191" s="310"/>
      <c r="CZ191" s="310"/>
      <c r="DA191" s="310"/>
      <c r="DB191" s="311"/>
      <c r="DC191" s="306"/>
      <c r="DD191" s="306"/>
      <c r="DE191" s="310"/>
      <c r="DF191" s="310"/>
      <c r="DG191" s="310"/>
      <c r="DH191" s="310"/>
      <c r="DI191" s="310"/>
      <c r="DJ191" s="310"/>
      <c r="DK191" s="310"/>
      <c r="DL191" s="310"/>
      <c r="DM191" s="310"/>
      <c r="DN191" s="310"/>
      <c r="DO191" s="310"/>
      <c r="DP191" s="310"/>
      <c r="DQ191" s="310"/>
      <c r="DR191" s="310"/>
      <c r="DS191" s="311"/>
      <c r="DT191" s="306"/>
      <c r="DU191" s="306"/>
      <c r="DV191" s="310"/>
      <c r="DW191" s="310"/>
      <c r="DX191" s="310"/>
      <c r="DY191" s="310"/>
      <c r="DZ191" s="310"/>
      <c r="EA191" s="310"/>
      <c r="EB191" s="310"/>
      <c r="EC191" s="310"/>
      <c r="ED191" s="310"/>
      <c r="EE191" s="310"/>
      <c r="EF191" s="310"/>
      <c r="EG191" s="310"/>
      <c r="EH191" s="310"/>
      <c r="EI191" s="310"/>
      <c r="EJ191" s="311"/>
      <c r="EK191" s="306"/>
      <c r="EL191" s="306"/>
      <c r="EM191" s="310"/>
      <c r="EN191" s="310"/>
      <c r="EO191" s="310"/>
      <c r="EP191" s="310"/>
      <c r="EQ191" s="310"/>
      <c r="ER191" s="310"/>
      <c r="ES191" s="310"/>
      <c r="ET191" s="310"/>
      <c r="EU191" s="310"/>
      <c r="EV191" s="310"/>
      <c r="EW191" s="310"/>
      <c r="EX191" s="310"/>
      <c r="EY191" s="310"/>
      <c r="EZ191" s="310"/>
      <c r="FA191" s="311"/>
    </row>
    <row r="193" customFormat="false" ht="23.25" hidden="false" customHeight="true" outlineLevel="0" collapsed="false">
      <c r="A193" s="212" t="s">
        <v>364</v>
      </c>
      <c r="B193" s="212"/>
      <c r="C193" s="212"/>
    </row>
    <row r="194" customFormat="false" ht="15.75" hidden="false" customHeight="true" outlineLevel="0" collapsed="false">
      <c r="A194" s="247" t="s">
        <v>365</v>
      </c>
      <c r="B194" s="251" t="s">
        <v>366</v>
      </c>
      <c r="C194" s="312" t="n">
        <v>1</v>
      </c>
    </row>
    <row r="195" customFormat="false" ht="14.25" hidden="false" customHeight="true" outlineLevel="0" collapsed="false">
      <c r="A195" s="247"/>
      <c r="B195" s="251" t="s">
        <v>367</v>
      </c>
      <c r="C195" s="312"/>
    </row>
    <row r="196" customFormat="false" ht="15" hidden="false" customHeight="false" outlineLevel="0" collapsed="false">
      <c r="A196" s="313" t="s">
        <v>593</v>
      </c>
      <c r="B196" s="251" t="s">
        <v>17</v>
      </c>
      <c r="C196" s="197" t="n">
        <v>2023</v>
      </c>
    </row>
    <row r="197" customFormat="false" ht="15" hidden="false" customHeight="false" outlineLevel="0" collapsed="false">
      <c r="A197" s="314" t="s">
        <v>368</v>
      </c>
      <c r="B197" s="315" t="s">
        <v>17</v>
      </c>
      <c r="C197" s="226" t="n">
        <v>2050</v>
      </c>
    </row>
    <row r="198" customFormat="false" ht="14.25" hidden="false" customHeight="true" outlineLevel="0" collapsed="false">
      <c r="A198" s="212" t="s">
        <v>372</v>
      </c>
      <c r="B198" s="212"/>
      <c r="C198" s="212"/>
      <c r="D198" s="212"/>
      <c r="E198" s="212"/>
      <c r="F198" s="212"/>
      <c r="G198" s="212"/>
      <c r="H198" s="212"/>
      <c r="I198" s="212"/>
      <c r="J198" s="212"/>
      <c r="K198" s="212"/>
      <c r="L198" s="212"/>
      <c r="M198" s="212"/>
      <c r="N198" s="212"/>
      <c r="O198" s="212"/>
      <c r="P198" s="212"/>
      <c r="Q198" s="212"/>
    </row>
    <row r="199" customFormat="false" ht="15" hidden="false" customHeight="false" outlineLevel="0" collapsed="false">
      <c r="A199" s="316" t="s">
        <v>594</v>
      </c>
      <c r="B199" s="316"/>
      <c r="C199" s="317" t="s">
        <v>539</v>
      </c>
      <c r="D199" s="317" t="s">
        <v>542</v>
      </c>
      <c r="E199" s="317" t="s">
        <v>543</v>
      </c>
      <c r="F199" s="317" t="s">
        <v>544</v>
      </c>
      <c r="G199" s="317" t="s">
        <v>545</v>
      </c>
      <c r="H199" s="317" t="s">
        <v>546</v>
      </c>
      <c r="I199" s="317" t="s">
        <v>547</v>
      </c>
      <c r="J199" s="317" t="s">
        <v>548</v>
      </c>
      <c r="K199" s="317" t="s">
        <v>332</v>
      </c>
      <c r="L199" s="317" t="s">
        <v>347</v>
      </c>
      <c r="M199" s="317" t="s">
        <v>549</v>
      </c>
      <c r="N199" s="317" t="s">
        <v>550</v>
      </c>
      <c r="O199" s="317" t="s">
        <v>551</v>
      </c>
      <c r="P199" s="317" t="s">
        <v>552</v>
      </c>
      <c r="Q199" s="317" t="s">
        <v>553</v>
      </c>
      <c r="R199" s="317" t="s">
        <v>554</v>
      </c>
      <c r="S199" s="317" t="s">
        <v>555</v>
      </c>
      <c r="T199" s="317" t="s">
        <v>556</v>
      </c>
      <c r="U199" s="317" t="s">
        <v>557</v>
      </c>
      <c r="V199" s="317" t="s">
        <v>558</v>
      </c>
      <c r="W199" s="317" t="s">
        <v>559</v>
      </c>
      <c r="X199" s="317" t="s">
        <v>560</v>
      </c>
      <c r="Y199" s="317" t="s">
        <v>561</v>
      </c>
      <c r="Z199" s="317" t="s">
        <v>562</v>
      </c>
      <c r="AA199" s="317" t="s">
        <v>563</v>
      </c>
      <c r="AB199" s="317" t="s">
        <v>564</v>
      </c>
      <c r="AC199" s="317" t="s">
        <v>565</v>
      </c>
      <c r="AD199" s="317" t="s">
        <v>566</v>
      </c>
      <c r="AE199" s="317" t="s">
        <v>567</v>
      </c>
      <c r="AF199" s="317" t="s">
        <v>568</v>
      </c>
      <c r="AG199" s="317" t="s">
        <v>569</v>
      </c>
      <c r="AH199" s="317" t="s">
        <v>570</v>
      </c>
      <c r="AI199" s="317" t="s">
        <v>571</v>
      </c>
      <c r="AJ199" s="317" t="s">
        <v>572</v>
      </c>
      <c r="AK199" s="317" t="s">
        <v>573</v>
      </c>
      <c r="AL199" s="317" t="s">
        <v>574</v>
      </c>
      <c r="AM199" s="317" t="s">
        <v>575</v>
      </c>
      <c r="AN199" s="317" t="s">
        <v>576</v>
      </c>
      <c r="AO199" s="317" t="s">
        <v>577</v>
      </c>
      <c r="AP199" s="317" t="s">
        <v>578</v>
      </c>
      <c r="AQ199" s="317" t="s">
        <v>579</v>
      </c>
      <c r="AR199" s="317" t="s">
        <v>580</v>
      </c>
      <c r="AS199" s="317" t="s">
        <v>581</v>
      </c>
      <c r="AT199" s="318" t="s">
        <v>582</v>
      </c>
      <c r="AU199" s="318" t="s">
        <v>583</v>
      </c>
      <c r="AV199" s="318" t="s">
        <v>584</v>
      </c>
      <c r="AW199" s="318" t="s">
        <v>585</v>
      </c>
      <c r="AX199" s="318" t="s">
        <v>586</v>
      </c>
      <c r="AY199" s="318" t="s">
        <v>587</v>
      </c>
      <c r="AZ199" s="318" t="s">
        <v>588</v>
      </c>
    </row>
    <row r="200" customFormat="false" ht="16.4" hidden="false" customHeight="false" outlineLevel="0" collapsed="false">
      <c r="A200" s="319" t="s">
        <v>352</v>
      </c>
      <c r="B200" s="319"/>
      <c r="C200" s="320" t="n">
        <v>9.61860215130542E-007</v>
      </c>
      <c r="D200" s="320" t="n">
        <v>4.17179659390759E-007</v>
      </c>
      <c r="E200" s="320" t="n">
        <v>2.98832191739639E-006</v>
      </c>
      <c r="F200" s="320" t="n">
        <v>1.33319596383971E-006</v>
      </c>
      <c r="G200" s="320" t="n">
        <v>3.51180644691632E-007</v>
      </c>
      <c r="H200" s="320" t="n">
        <v>1.44929287618546E-006</v>
      </c>
      <c r="I200" s="320" t="n">
        <v>1.80264034989126E-007</v>
      </c>
      <c r="J200" s="320" t="n">
        <v>4.18553033177763E-007</v>
      </c>
      <c r="K200" s="320" t="n">
        <v>2.74225126084047E-007</v>
      </c>
      <c r="L200" s="320" t="n">
        <v>7.98142806410579E-007</v>
      </c>
      <c r="M200" s="320" t="n">
        <v>5.09408002228738E-007</v>
      </c>
      <c r="N200" s="320" t="n">
        <v>4.44621099411187E-007</v>
      </c>
      <c r="O200" s="320" t="n">
        <v>1.65545677988409E-007</v>
      </c>
      <c r="P200" s="320" t="n">
        <v>2.64811425075798E-007</v>
      </c>
      <c r="Q200" s="321" t="n">
        <v>6.19160699261613E-007</v>
      </c>
      <c r="R200" s="322" t="n">
        <v>2.33621E-008</v>
      </c>
      <c r="S200" s="322" t="n">
        <v>3.23225E-007</v>
      </c>
      <c r="T200" s="322" t="n">
        <v>2.72697E-007</v>
      </c>
      <c r="U200" s="322" t="n">
        <v>3.56754E-008</v>
      </c>
      <c r="V200" s="322" t="n">
        <v>6.61524E-007</v>
      </c>
      <c r="W200" s="322" t="n">
        <v>6.921E-007</v>
      </c>
      <c r="X200" s="322" t="n">
        <v>1.59621E-009</v>
      </c>
      <c r="Y200" s="322" t="n">
        <v>7.81522E-007</v>
      </c>
      <c r="Z200" s="322" t="n">
        <v>1.55761E-008</v>
      </c>
      <c r="AA200" s="322" t="n">
        <v>6.64095E-007</v>
      </c>
      <c r="AB200" s="322" t="n">
        <v>2.98364E-013</v>
      </c>
      <c r="AC200" s="322" t="n">
        <v>2.1755E-006</v>
      </c>
      <c r="AD200" s="323" t="n">
        <v>0</v>
      </c>
      <c r="AE200" s="322" t="n">
        <v>5.07752E-008</v>
      </c>
      <c r="AF200" s="322" t="n">
        <v>6.4055E-011</v>
      </c>
      <c r="AG200" s="322" t="n">
        <v>1.78181E-006</v>
      </c>
      <c r="AH200" s="322" t="n">
        <v>2.25963E-007</v>
      </c>
      <c r="AI200" s="322" t="n">
        <v>5.17783E-007</v>
      </c>
      <c r="AJ200" s="322" t="n">
        <v>1.58805E-006</v>
      </c>
      <c r="AK200" s="322" t="n">
        <v>2.00708E-006</v>
      </c>
      <c r="AL200" s="322" t="n">
        <v>8.31937E-010</v>
      </c>
      <c r="AM200" s="322" t="n">
        <v>4.63718E-007</v>
      </c>
      <c r="AN200" s="322" t="n">
        <v>3.59711E-008</v>
      </c>
      <c r="AO200" s="322" t="n">
        <v>7.71303E-007</v>
      </c>
      <c r="AP200" s="322" t="n">
        <v>1.74515E-007</v>
      </c>
      <c r="AQ200" s="322" t="n">
        <v>1.03131E-007</v>
      </c>
      <c r="AR200" s="322" t="n">
        <v>1.00886E-006</v>
      </c>
      <c r="AS200" s="322" t="n">
        <v>4.61464E-007</v>
      </c>
      <c r="AT200" s="322" t="n">
        <v>3.29086E-006</v>
      </c>
      <c r="AU200" s="322" t="n">
        <v>1.98061E-007</v>
      </c>
      <c r="AV200" s="322" t="n">
        <v>9.51737E-007</v>
      </c>
      <c r="AW200" s="322" t="n">
        <v>4.49194E-007</v>
      </c>
      <c r="AX200" s="322" t="n">
        <v>2.24555E-007</v>
      </c>
      <c r="AY200" s="322" t="n">
        <v>7.43668E-007</v>
      </c>
      <c r="AZ200" s="322" t="n">
        <v>8.6171E-007</v>
      </c>
    </row>
    <row r="201" customFormat="false" ht="16.4" hidden="false" customHeight="false" outlineLevel="0" collapsed="false">
      <c r="A201" s="319" t="s">
        <v>353</v>
      </c>
      <c r="B201" s="319"/>
      <c r="C201" s="320" t="n">
        <v>0</v>
      </c>
      <c r="D201" s="320" t="n">
        <v>0</v>
      </c>
      <c r="E201" s="320" t="n">
        <v>0</v>
      </c>
      <c r="F201" s="320" t="n">
        <v>0</v>
      </c>
      <c r="G201" s="320" t="n">
        <v>0</v>
      </c>
      <c r="H201" s="320" t="n">
        <v>0</v>
      </c>
      <c r="I201" s="320" t="n">
        <v>0</v>
      </c>
      <c r="J201" s="320" t="n">
        <v>0</v>
      </c>
      <c r="K201" s="320" t="n">
        <v>0</v>
      </c>
      <c r="L201" s="320" t="n">
        <v>0</v>
      </c>
      <c r="M201" s="320" t="n">
        <v>0</v>
      </c>
      <c r="N201" s="320" t="n">
        <v>0</v>
      </c>
      <c r="O201" s="320" t="n">
        <v>0</v>
      </c>
      <c r="P201" s="320" t="n">
        <v>0</v>
      </c>
      <c r="Q201" s="321" t="n">
        <v>0</v>
      </c>
      <c r="R201" s="322" t="n">
        <v>2.87773E-009</v>
      </c>
      <c r="S201" s="322" t="n">
        <v>7.76325E-010</v>
      </c>
      <c r="T201" s="322" t="n">
        <v>2.841E-009</v>
      </c>
      <c r="U201" s="322" t="n">
        <v>2.06146E-009</v>
      </c>
      <c r="V201" s="322" t="n">
        <v>1.00152E-010</v>
      </c>
      <c r="W201" s="322" t="n">
        <v>6.7425E-010</v>
      </c>
      <c r="X201" s="322" t="n">
        <v>4.05864E-010</v>
      </c>
      <c r="Y201" s="322" t="n">
        <v>6.99092E-010</v>
      </c>
      <c r="Z201" s="322" t="n">
        <v>3.08078E-011</v>
      </c>
      <c r="AA201" s="322" t="n">
        <v>1.15037E-010</v>
      </c>
      <c r="AB201" s="322" t="n">
        <v>8.3865E-014</v>
      </c>
      <c r="AC201" s="322" t="n">
        <v>2.11137E-007</v>
      </c>
      <c r="AD201" s="323" t="n">
        <v>0</v>
      </c>
      <c r="AE201" s="322" t="n">
        <v>1.36338E-011</v>
      </c>
      <c r="AF201" s="322" t="n">
        <v>1.81099E-011</v>
      </c>
      <c r="AG201" s="322" t="n">
        <v>1.896E-009</v>
      </c>
      <c r="AH201" s="322" t="n">
        <v>6.89812E-009</v>
      </c>
      <c r="AI201" s="322" t="n">
        <v>6.87711E-009</v>
      </c>
      <c r="AJ201" s="322" t="n">
        <v>3.56367E-009</v>
      </c>
      <c r="AK201" s="322" t="n">
        <v>8.55714E-009</v>
      </c>
      <c r="AL201" s="322" t="n">
        <v>4.32182E-010</v>
      </c>
      <c r="AM201" s="322" t="n">
        <v>4.08432E-009</v>
      </c>
      <c r="AN201" s="322" t="n">
        <v>5.37082E-010</v>
      </c>
      <c r="AO201" s="322" t="n">
        <v>7.42503E-009</v>
      </c>
      <c r="AP201" s="322" t="n">
        <v>1.35573E-009</v>
      </c>
      <c r="AQ201" s="322" t="n">
        <v>8.66241E-009</v>
      </c>
      <c r="AR201" s="322" t="n">
        <v>5.35581E-009</v>
      </c>
      <c r="AS201" s="322" t="n">
        <v>3.90158E-009</v>
      </c>
      <c r="AT201" s="322" t="n">
        <v>9.87884E-008</v>
      </c>
      <c r="AU201" s="322" t="n">
        <v>3.69874E-009</v>
      </c>
      <c r="AV201" s="322" t="n">
        <v>1.43299E-009</v>
      </c>
      <c r="AW201" s="322" t="n">
        <v>2.47299E-009</v>
      </c>
      <c r="AX201" s="322" t="n">
        <v>3.96855E-009</v>
      </c>
      <c r="AY201" s="322" t="n">
        <v>5.46979E-009</v>
      </c>
      <c r="AZ201" s="322" t="n">
        <v>1.11138E-009</v>
      </c>
    </row>
    <row r="202" customFormat="false" ht="16.4" hidden="false" customHeight="false" outlineLevel="0" collapsed="false">
      <c r="A202" s="319" t="s">
        <v>354</v>
      </c>
      <c r="B202" s="319"/>
      <c r="C202" s="320" t="n">
        <v>1.53846423328976E-007</v>
      </c>
      <c r="D202" s="320" t="n">
        <v>1.01430141855982E-007</v>
      </c>
      <c r="E202" s="320" t="n">
        <v>8.37446020327714E-007</v>
      </c>
      <c r="F202" s="320" t="n">
        <v>2.0234484532193E-008</v>
      </c>
      <c r="G202" s="320" t="n">
        <v>0</v>
      </c>
      <c r="H202" s="320" t="n">
        <v>6.82284727713282E-008</v>
      </c>
      <c r="I202" s="320" t="n">
        <v>0</v>
      </c>
      <c r="J202" s="320" t="n">
        <v>3.23622836843602E-008</v>
      </c>
      <c r="K202" s="320" t="n">
        <v>0</v>
      </c>
      <c r="L202" s="320" t="n">
        <v>0</v>
      </c>
      <c r="M202" s="320" t="n">
        <v>0</v>
      </c>
      <c r="N202" s="320" t="n">
        <v>6.35417168694879E-007</v>
      </c>
      <c r="O202" s="320" t="n">
        <v>0</v>
      </c>
      <c r="P202" s="320" t="n">
        <v>0</v>
      </c>
      <c r="Q202" s="321" t="n">
        <v>0</v>
      </c>
      <c r="R202" s="322" t="n">
        <v>2.81998E-007</v>
      </c>
      <c r="S202" s="323" t="n">
        <v>0</v>
      </c>
      <c r="T202" s="323" t="n">
        <v>0</v>
      </c>
      <c r="U202" s="323" t="n">
        <v>0</v>
      </c>
      <c r="V202" s="322" t="n">
        <v>4.14496E-007</v>
      </c>
      <c r="W202" s="323" t="n">
        <v>0</v>
      </c>
      <c r="X202" s="323" t="n">
        <v>0</v>
      </c>
      <c r="Y202" s="322" t="n">
        <v>1.20877E-008</v>
      </c>
      <c r="Z202" s="322" t="n">
        <v>8.75598E-007</v>
      </c>
      <c r="AA202" s="322" t="n">
        <v>1.11575E-008</v>
      </c>
      <c r="AB202" s="322" t="n">
        <v>1.37558E-008</v>
      </c>
      <c r="AC202" s="322" t="n">
        <v>1.19775E-007</v>
      </c>
      <c r="AD202" s="322" t="n">
        <v>1.59504E-008</v>
      </c>
      <c r="AE202" s="322" t="n">
        <v>1.76443E-007</v>
      </c>
      <c r="AF202" s="322" t="n">
        <v>1.07744E-006</v>
      </c>
      <c r="AG202" s="322" t="n">
        <v>5.32487E-008</v>
      </c>
      <c r="AH202" s="323" t="n">
        <v>0</v>
      </c>
      <c r="AI202" s="323" t="n">
        <v>0</v>
      </c>
      <c r="AJ202" s="323" t="n">
        <v>0</v>
      </c>
      <c r="AK202" s="322" t="n">
        <v>4.67381E-008</v>
      </c>
      <c r="AL202" s="323" t="n">
        <v>0</v>
      </c>
      <c r="AM202" s="323" t="n">
        <v>0</v>
      </c>
      <c r="AN202" s="323" t="n">
        <v>0</v>
      </c>
      <c r="AO202" s="323" t="n">
        <v>0</v>
      </c>
      <c r="AP202" s="323" t="n">
        <v>0</v>
      </c>
      <c r="AQ202" s="323" t="n">
        <v>0</v>
      </c>
      <c r="AR202" s="323" t="n">
        <v>0</v>
      </c>
      <c r="AS202" s="323" t="n">
        <v>0</v>
      </c>
      <c r="AT202" s="323" t="n">
        <v>0</v>
      </c>
      <c r="AU202" s="323" t="n">
        <v>0</v>
      </c>
      <c r="AV202" s="322" t="n">
        <v>1.29207E-008</v>
      </c>
      <c r="AW202" s="323" t="n">
        <v>0</v>
      </c>
      <c r="AX202" s="323" t="n">
        <v>0</v>
      </c>
      <c r="AY202" s="323" t="n">
        <v>0</v>
      </c>
      <c r="AZ202" s="323" t="n">
        <v>0</v>
      </c>
    </row>
    <row r="203" customFormat="false" ht="16.4" hidden="false" customHeight="false" outlineLevel="0" collapsed="false">
      <c r="A203" s="319" t="s">
        <v>355</v>
      </c>
      <c r="B203" s="319"/>
      <c r="C203" s="320" t="n">
        <v>1.56849789109369E-007</v>
      </c>
      <c r="D203" s="320" t="n">
        <v>8.23796414259599E-008</v>
      </c>
      <c r="E203" s="320" t="n">
        <v>5.90099621293883E-007</v>
      </c>
      <c r="F203" s="320" t="n">
        <v>2.63263333837699E-007</v>
      </c>
      <c r="G203" s="320" t="n">
        <v>0</v>
      </c>
      <c r="H203" s="320" t="n">
        <v>2.86188605784079E-007</v>
      </c>
      <c r="I203" s="320" t="n">
        <v>0</v>
      </c>
      <c r="J203" s="320" t="n">
        <v>8.26506254616794E-008</v>
      </c>
      <c r="K203" s="320" t="n">
        <v>0</v>
      </c>
      <c r="L203" s="320" t="n">
        <v>0</v>
      </c>
      <c r="M203" s="320" t="n">
        <v>0</v>
      </c>
      <c r="N203" s="320" t="n">
        <v>8.7798222552186E-008</v>
      </c>
      <c r="O203" s="320" t="n">
        <v>0</v>
      </c>
      <c r="P203" s="320" t="n">
        <v>0</v>
      </c>
      <c r="Q203" s="321" t="n">
        <v>0</v>
      </c>
      <c r="R203" s="322" t="n">
        <v>2.58424E-007</v>
      </c>
      <c r="S203" s="323" t="n">
        <v>0</v>
      </c>
      <c r="T203" s="323" t="n">
        <v>0</v>
      </c>
      <c r="U203" s="323" t="n">
        <v>0</v>
      </c>
      <c r="V203" s="322" t="n">
        <v>0</v>
      </c>
      <c r="W203" s="323" t="n">
        <v>0</v>
      </c>
      <c r="X203" s="323" t="n">
        <v>0</v>
      </c>
      <c r="Y203" s="322" t="n">
        <v>5.88542E-008</v>
      </c>
      <c r="Z203" s="322" t="n">
        <v>4.86804E-009</v>
      </c>
      <c r="AA203" s="322" t="n">
        <v>3.12653E-009</v>
      </c>
      <c r="AB203" s="322" t="n">
        <v>0</v>
      </c>
      <c r="AC203" s="322" t="n">
        <v>4.43413E-007</v>
      </c>
      <c r="AD203" s="323" t="n">
        <v>0</v>
      </c>
      <c r="AE203" s="322" t="n">
        <v>6.97075E-010</v>
      </c>
      <c r="AF203" s="322" t="n">
        <v>9.10784E-009</v>
      </c>
      <c r="AG203" s="322" t="n">
        <v>1.74533E-007</v>
      </c>
      <c r="AH203" s="323" t="n">
        <v>0</v>
      </c>
      <c r="AI203" s="323" t="n">
        <v>0</v>
      </c>
      <c r="AJ203" s="323" t="n">
        <v>0</v>
      </c>
      <c r="AK203" s="322" t="n">
        <v>0</v>
      </c>
      <c r="AL203" s="323" t="n">
        <v>0</v>
      </c>
      <c r="AM203" s="323" t="n">
        <v>0</v>
      </c>
      <c r="AN203" s="323" t="n">
        <v>0</v>
      </c>
      <c r="AO203" s="323" t="n">
        <v>0</v>
      </c>
      <c r="AP203" s="323" t="n">
        <v>0</v>
      </c>
      <c r="AQ203" s="323" t="n">
        <v>0</v>
      </c>
      <c r="AR203" s="323" t="n">
        <v>0</v>
      </c>
      <c r="AS203" s="323" t="n">
        <v>0</v>
      </c>
      <c r="AT203" s="323" t="n">
        <v>0</v>
      </c>
      <c r="AU203" s="323" t="n">
        <v>0</v>
      </c>
      <c r="AV203" s="322" t="n">
        <v>1.42126E-007</v>
      </c>
      <c r="AW203" s="323" t="n">
        <v>0</v>
      </c>
      <c r="AX203" s="323" t="n">
        <v>0</v>
      </c>
      <c r="AY203" s="323" t="n">
        <v>0</v>
      </c>
      <c r="AZ203" s="323" t="n">
        <v>0</v>
      </c>
    </row>
    <row r="204" customFormat="false" ht="16.4" hidden="false" customHeight="false" outlineLevel="0" collapsed="false">
      <c r="A204" s="324" t="s">
        <v>356</v>
      </c>
      <c r="B204" s="324"/>
      <c r="C204" s="325" t="n">
        <v>3.03985361807394E-008</v>
      </c>
      <c r="D204" s="326" t="n">
        <v>3.69405172323543E-009</v>
      </c>
      <c r="E204" s="326" t="n">
        <v>1.08759346553681E-007</v>
      </c>
      <c r="F204" s="326" t="n">
        <v>9.91581623349748E-008</v>
      </c>
      <c r="G204" s="326" t="n">
        <v>0</v>
      </c>
      <c r="H204" s="326" t="n">
        <v>1.16097225109349E-007</v>
      </c>
      <c r="I204" s="326" t="n">
        <v>0</v>
      </c>
      <c r="J204" s="326" t="n">
        <v>7.61333010079091E-010</v>
      </c>
      <c r="K204" s="326" t="n">
        <v>0</v>
      </c>
      <c r="L204" s="326" t="n">
        <v>0</v>
      </c>
      <c r="M204" s="326" t="n">
        <v>0</v>
      </c>
      <c r="N204" s="326" t="n">
        <v>0</v>
      </c>
      <c r="O204" s="326" t="n">
        <v>0</v>
      </c>
      <c r="P204" s="326" t="n">
        <v>0</v>
      </c>
      <c r="Q204" s="327" t="n">
        <v>0</v>
      </c>
      <c r="R204" s="328" t="n">
        <v>1.29275E-007</v>
      </c>
      <c r="S204" s="329" t="n">
        <v>0</v>
      </c>
      <c r="T204" s="329" t="n">
        <v>0</v>
      </c>
      <c r="U204" s="329" t="n">
        <v>0</v>
      </c>
      <c r="V204" s="328" t="n">
        <v>8.78427E-015</v>
      </c>
      <c r="W204" s="329" t="n">
        <v>0</v>
      </c>
      <c r="X204" s="329" t="n">
        <v>0</v>
      </c>
      <c r="Y204" s="328" t="n">
        <v>3.69445E-010</v>
      </c>
      <c r="Z204" s="328" t="n">
        <v>1.05147E-012</v>
      </c>
      <c r="AA204" s="328" t="n">
        <v>6.19972E-011</v>
      </c>
      <c r="AB204" s="328" t="n">
        <v>1.06517E-014</v>
      </c>
      <c r="AC204" s="328" t="n">
        <v>2.65562E-006</v>
      </c>
      <c r="AD204" s="329" t="n">
        <v>0</v>
      </c>
      <c r="AE204" s="328" t="n">
        <v>6.92153E-014</v>
      </c>
      <c r="AF204" s="328" t="n">
        <v>6.91314E-014</v>
      </c>
      <c r="AG204" s="328" t="n">
        <v>2.80457E-008</v>
      </c>
      <c r="AH204" s="329" t="n">
        <v>0</v>
      </c>
      <c r="AI204" s="329" t="n">
        <v>0</v>
      </c>
      <c r="AJ204" s="329" t="n">
        <v>0</v>
      </c>
      <c r="AK204" s="328" t="n">
        <v>1.13981E-009</v>
      </c>
      <c r="AL204" s="329" t="n">
        <v>0</v>
      </c>
      <c r="AM204" s="329" t="n">
        <v>0</v>
      </c>
      <c r="AN204" s="329" t="n">
        <v>0</v>
      </c>
      <c r="AO204" s="329" t="n">
        <v>0</v>
      </c>
      <c r="AP204" s="329" t="n">
        <v>0</v>
      </c>
      <c r="AQ204" s="329" t="n">
        <v>0</v>
      </c>
      <c r="AR204" s="329" t="n">
        <v>0</v>
      </c>
      <c r="AS204" s="329" t="n">
        <v>0</v>
      </c>
      <c r="AT204" s="330" t="n">
        <v>0</v>
      </c>
      <c r="AU204" s="330" t="n">
        <v>0</v>
      </c>
      <c r="AV204" s="331" t="n">
        <v>3.73579E-011</v>
      </c>
      <c r="AW204" s="330" t="n">
        <v>0</v>
      </c>
      <c r="AX204" s="330" t="n">
        <v>0</v>
      </c>
      <c r="AY204" s="330" t="n">
        <v>0</v>
      </c>
      <c r="AZ204" s="330" t="n">
        <v>0</v>
      </c>
    </row>
    <row r="205" customFormat="false" ht="17.35" hidden="false" customHeight="false" outlineLevel="0" collapsed="false">
      <c r="A205" s="212" t="s">
        <v>375</v>
      </c>
      <c r="B205" s="212"/>
      <c r="C205" s="212"/>
    </row>
    <row r="206" customFormat="false" ht="16.4" hidden="false" customHeight="false" outlineLevel="0" collapsed="false">
      <c r="A206" s="332" t="s">
        <v>376</v>
      </c>
      <c r="B206" s="251" t="s">
        <v>17</v>
      </c>
      <c r="C206" s="197" t="n">
        <v>2019</v>
      </c>
    </row>
    <row r="207" customFormat="false" ht="31.3" hidden="false" customHeight="false" outlineLevel="0" collapsed="false">
      <c r="A207" s="333" t="s">
        <v>595</v>
      </c>
      <c r="B207" s="334" t="s">
        <v>305</v>
      </c>
      <c r="C207" s="233" t="n">
        <v>-0.7</v>
      </c>
    </row>
    <row r="208" customFormat="false" ht="15" hidden="false" customHeight="false" outlineLevel="0" collapsed="false">
      <c r="A208" s="173"/>
      <c r="B208" s="173"/>
      <c r="C208" s="173"/>
      <c r="D208" s="173"/>
      <c r="E208" s="173"/>
      <c r="F208" s="173"/>
      <c r="G208" s="173"/>
      <c r="H208" s="173"/>
      <c r="I208" s="173"/>
      <c r="J208" s="173"/>
      <c r="K208" s="173"/>
      <c r="L208" s="173"/>
      <c r="M208" s="173"/>
      <c r="N208" s="173"/>
      <c r="O208" s="173"/>
      <c r="P208" s="173"/>
      <c r="Q208" s="173"/>
      <c r="R208" s="173"/>
      <c r="S208" s="173"/>
      <c r="T208" s="173"/>
      <c r="U208" s="173"/>
      <c r="V208" s="173"/>
      <c r="W208" s="173"/>
      <c r="X208" s="173"/>
      <c r="Y208" s="173"/>
      <c r="Z208" s="173"/>
      <c r="AA208" s="173"/>
      <c r="AB208" s="173"/>
      <c r="AC208" s="173"/>
      <c r="AD208" s="173"/>
      <c r="AE208" s="173"/>
      <c r="AF208" s="173"/>
      <c r="AG208" s="173"/>
      <c r="AH208" s="173"/>
      <c r="AI208" s="173"/>
      <c r="AJ208" s="173"/>
      <c r="AK208" s="173"/>
      <c r="AL208" s="173"/>
      <c r="AM208" s="173"/>
      <c r="AN208" s="173"/>
      <c r="AO208" s="173"/>
      <c r="AP208" s="173"/>
      <c r="AQ208" s="173"/>
      <c r="AR208" s="173"/>
      <c r="AS208" s="173"/>
      <c r="AT208" s="173"/>
      <c r="AU208" s="173"/>
      <c r="AV208" s="173"/>
      <c r="AW208" s="173"/>
      <c r="AX208" s="173"/>
      <c r="AY208" s="173"/>
      <c r="AZ208" s="173"/>
      <c r="BA208" s="173"/>
      <c r="BB208" s="173"/>
      <c r="BC208" s="173"/>
      <c r="BD208" s="173"/>
      <c r="BE208" s="173"/>
      <c r="BF208" s="173"/>
      <c r="BG208" s="173"/>
      <c r="BH208" s="173"/>
      <c r="BI208" s="173"/>
      <c r="BJ208" s="173"/>
      <c r="BK208" s="173"/>
      <c r="BL208" s="173"/>
      <c r="BM208" s="173"/>
      <c r="BN208" s="173"/>
      <c r="BO208" s="173"/>
      <c r="BP208" s="173"/>
      <c r="BQ208" s="173"/>
      <c r="BR208" s="173"/>
      <c r="BS208" s="173"/>
      <c r="BT208" s="173"/>
      <c r="BU208" s="173"/>
      <c r="BV208" s="173"/>
      <c r="BW208" s="173"/>
      <c r="BX208" s="173"/>
      <c r="BY208" s="173"/>
      <c r="BZ208" s="173"/>
      <c r="CA208" s="173"/>
      <c r="CB208" s="173"/>
      <c r="CC208" s="173"/>
      <c r="CD208" s="173"/>
      <c r="CE208" s="173"/>
      <c r="CF208" s="173"/>
      <c r="CG208" s="173"/>
      <c r="CH208" s="173"/>
      <c r="CI208" s="173"/>
      <c r="CJ208" s="173"/>
      <c r="CK208" s="173"/>
      <c r="CL208" s="173"/>
      <c r="CM208" s="173"/>
      <c r="CN208" s="173"/>
      <c r="CO208" s="173"/>
      <c r="CP208" s="173"/>
      <c r="CQ208" s="173"/>
      <c r="CR208" s="173"/>
      <c r="CS208" s="173"/>
      <c r="CT208" s="173"/>
      <c r="CU208" s="173"/>
      <c r="CV208" s="173"/>
      <c r="CW208" s="173"/>
      <c r="CX208" s="173"/>
      <c r="CY208" s="173"/>
      <c r="CZ208" s="173"/>
      <c r="DA208" s="173"/>
      <c r="DB208" s="173"/>
      <c r="DC208" s="173"/>
      <c r="DD208" s="173"/>
      <c r="DE208" s="173"/>
      <c r="DF208" s="173"/>
      <c r="DG208" s="173"/>
      <c r="DH208" s="173"/>
      <c r="DI208" s="173"/>
      <c r="DJ208" s="173"/>
      <c r="DK208" s="173"/>
      <c r="DL208" s="173"/>
      <c r="DM208" s="173"/>
      <c r="DN208" s="173"/>
      <c r="DO208" s="173"/>
      <c r="DP208" s="173"/>
      <c r="DQ208" s="173"/>
      <c r="DR208" s="173"/>
      <c r="DS208" s="173"/>
      <c r="DT208" s="173"/>
      <c r="DU208" s="173"/>
      <c r="DV208" s="173"/>
      <c r="DW208" s="173"/>
      <c r="DX208" s="173"/>
      <c r="DY208" s="173"/>
      <c r="DZ208" s="173"/>
      <c r="EA208" s="173"/>
      <c r="EB208" s="173"/>
      <c r="EC208" s="173"/>
      <c r="ED208" s="173"/>
      <c r="EE208" s="173"/>
      <c r="EF208" s="173"/>
      <c r="EG208" s="173"/>
      <c r="EH208" s="173"/>
      <c r="EI208" s="173"/>
      <c r="EJ208" s="173"/>
      <c r="EK208" s="173"/>
      <c r="EL208" s="173"/>
      <c r="EM208" s="173"/>
      <c r="EN208" s="173"/>
      <c r="EO208" s="173"/>
      <c r="EP208" s="173"/>
      <c r="EQ208" s="173"/>
      <c r="ER208" s="173"/>
      <c r="ES208" s="173"/>
      <c r="ET208" s="173"/>
      <c r="EU208" s="173"/>
      <c r="EV208" s="173"/>
      <c r="EW208" s="173"/>
      <c r="EX208" s="173"/>
      <c r="EY208" s="173"/>
      <c r="EZ208" s="173"/>
      <c r="FA208" s="173"/>
    </row>
    <row r="209" customFormat="false" ht="14.25" hidden="false" customHeight="true" outlineLevel="0" collapsed="false">
      <c r="A209" s="212" t="s">
        <v>378</v>
      </c>
      <c r="B209" s="212"/>
      <c r="C209" s="212"/>
    </row>
    <row r="210" customFormat="false" ht="28.5" hidden="false" customHeight="true" outlineLevel="0" collapsed="false">
      <c r="A210" s="335" t="s">
        <v>379</v>
      </c>
      <c r="B210" s="251" t="s">
        <v>11</v>
      </c>
      <c r="C210" s="312" t="n">
        <v>1</v>
      </c>
      <c r="AR210" s="323" t="n">
        <v>5.04452314410784E-007</v>
      </c>
      <c r="AS210" s="323" t="n">
        <v>2.35095234438142E-007</v>
      </c>
      <c r="AT210" s="323" t="n">
        <v>0</v>
      </c>
      <c r="AU210" s="323" t="n">
        <v>1.24416859371503E-006</v>
      </c>
      <c r="AV210" s="323" t="n">
        <v>1.7047885318962E-007</v>
      </c>
      <c r="AW210" s="323" t="n">
        <v>3.55654696994314E-009</v>
      </c>
      <c r="AX210" s="323" t="n">
        <v>4.43187029867697E-006</v>
      </c>
      <c r="AY210" s="323" t="n">
        <v>5.37445191484987E-008</v>
      </c>
      <c r="AZ210" s="323" t="n">
        <v>1.15239676354002E-007</v>
      </c>
      <c r="BA210" s="323" t="n">
        <v>4.19198124409082E-009</v>
      </c>
      <c r="BB210" s="323" t="n">
        <v>3.70516108239322E-007</v>
      </c>
      <c r="BC210" s="323" t="n">
        <v>8.15662574672078E-007</v>
      </c>
      <c r="BD210" s="323" t="n">
        <v>1.87626216734923E-007</v>
      </c>
      <c r="BE210" s="323" t="n">
        <v>3.3223341687036E-008</v>
      </c>
      <c r="BF210" s="323" t="n">
        <v>4.08847702570433E-007</v>
      </c>
      <c r="BG210" s="323" t="n">
        <v>4.08874132159934E-007</v>
      </c>
      <c r="BH210" s="323" t="n">
        <v>3.74075598815729E-007</v>
      </c>
      <c r="BI210" s="323" t="n">
        <v>1.50726267373907E-007</v>
      </c>
      <c r="BJ210" s="323" t="n">
        <v>9.54522647528866E-009</v>
      </c>
      <c r="BK210" s="323" t="n">
        <v>6.7128811767616E-008</v>
      </c>
      <c r="BL210" s="323" t="n">
        <v>1.16681094189857E-008</v>
      </c>
      <c r="BM210" s="323" t="n">
        <v>2.30146318345377E-007</v>
      </c>
      <c r="BN210" s="323" t="n">
        <v>1.94504854949972E-007</v>
      </c>
      <c r="BO210" s="323" t="n">
        <v>9.32896976033728E-009</v>
      </c>
      <c r="BP210" s="323" t="n">
        <v>2.41995842347449E-008</v>
      </c>
      <c r="BQ210" s="323" t="n">
        <v>8.23351561201585E-008</v>
      </c>
      <c r="BR210" s="323" t="n">
        <v>0</v>
      </c>
      <c r="BS210" s="323" t="n">
        <v>5.68112052067953E-008</v>
      </c>
      <c r="BT210" s="323" t="n">
        <v>3.35985524777249E-006</v>
      </c>
      <c r="BU210" s="323" t="n">
        <v>2.98139632564092E-007</v>
      </c>
      <c r="BV210" s="323" t="n">
        <v>3.78278097943714E-008</v>
      </c>
      <c r="BW210" s="323" t="n">
        <v>6.0099096326581E-008</v>
      </c>
      <c r="BX210" s="323" t="n">
        <v>1.28287278728867E-010</v>
      </c>
      <c r="BY210" s="323" t="n">
        <v>1.89908713479798E-006</v>
      </c>
      <c r="BZ210" s="323" t="n">
        <v>1.77066112930296E-007</v>
      </c>
      <c r="CA210" s="323" t="n">
        <v>3.21225698447738E-007</v>
      </c>
      <c r="CB210" s="323" t="n">
        <v>7.06119555646136E-008</v>
      </c>
      <c r="CC210" s="323" t="n">
        <v>1.09712470913212E-007</v>
      </c>
      <c r="CD210" s="323" t="n">
        <v>1.1064875030466E-006</v>
      </c>
      <c r="CE210" s="323" t="n">
        <v>3.07151693589978E-007</v>
      </c>
      <c r="CF210" s="323" t="n">
        <v>1.58966083447854E-007</v>
      </c>
      <c r="CG210" s="323" t="n">
        <v>3.76336180963594E-009</v>
      </c>
      <c r="CH210" s="323" t="n">
        <v>9.71874501849584E-007</v>
      </c>
      <c r="CI210" s="323" t="n">
        <v>1.16404842272783E-008</v>
      </c>
      <c r="CJ210" s="323" t="n">
        <v>2.05875153967316E-007</v>
      </c>
      <c r="CK210" s="323" t="n">
        <v>7.1657749165E-007</v>
      </c>
      <c r="CL210" s="323" t="n">
        <v>2.3465012868971E-008</v>
      </c>
      <c r="CM210" s="323" t="n">
        <v>1.58395494319729E-006</v>
      </c>
      <c r="CN210" s="323" t="n">
        <v>4.23815981694808E-008</v>
      </c>
      <c r="CO210" s="323" t="n">
        <v>1.24546479148053E-007</v>
      </c>
    </row>
    <row r="211" customFormat="false" ht="14.25" hidden="false" customHeight="true" outlineLevel="0" collapsed="false">
      <c r="A211" s="336" t="s">
        <v>381</v>
      </c>
      <c r="B211" s="251" t="s">
        <v>382</v>
      </c>
      <c r="C211" s="337" t="n">
        <v>2</v>
      </c>
      <c r="AR211" s="323" t="n">
        <v>2.49824456397756E-008</v>
      </c>
      <c r="AS211" s="323" t="n">
        <v>6.47282690104069E-008</v>
      </c>
      <c r="AT211" s="323" t="n">
        <v>8.40385969681587E-007</v>
      </c>
      <c r="AU211" s="323" t="n">
        <v>3.20006399343781E-007</v>
      </c>
      <c r="AV211" s="323" t="n">
        <v>7.01278004425445E-007</v>
      </c>
      <c r="AW211" s="323" t="n">
        <v>2.3671233993467E-008</v>
      </c>
      <c r="AX211" s="323" t="n">
        <v>2.26905025079389E-007</v>
      </c>
      <c r="AY211" s="323" t="n">
        <v>1.22984361625124E-011</v>
      </c>
      <c r="AZ211" s="323" t="n">
        <v>1.19227798807316E-007</v>
      </c>
      <c r="BA211" s="323" t="n">
        <v>2.37750625884083E-007</v>
      </c>
      <c r="BB211" s="323" t="n">
        <v>4.0120380870729E-008</v>
      </c>
      <c r="BC211" s="323" t="n">
        <v>6.45833676379824E-007</v>
      </c>
      <c r="BD211" s="323" t="n">
        <v>1.07102985435187E-007</v>
      </c>
      <c r="BE211" s="323" t="n">
        <v>1.40258821642591E-007</v>
      </c>
      <c r="BF211" s="323" t="n">
        <v>1.86721199151422E-007</v>
      </c>
      <c r="BG211" s="323" t="n">
        <v>1.66436315697923E-006</v>
      </c>
      <c r="BH211" s="323" t="n">
        <v>3.64069894969147E-007</v>
      </c>
      <c r="BI211" s="323" t="n">
        <v>1.33432049984992E-008</v>
      </c>
      <c r="BJ211" s="323" t="n">
        <v>7.13357258385884E-008</v>
      </c>
      <c r="BK211" s="323" t="n">
        <v>3.69163771418406E-008</v>
      </c>
      <c r="BL211" s="323" t="n">
        <v>2.55107474198738E-008</v>
      </c>
      <c r="BM211" s="323" t="n">
        <v>4.56500131770493E-008</v>
      </c>
      <c r="BN211" s="323" t="n">
        <v>7.44696240287702E-009</v>
      </c>
      <c r="BO211" s="323" t="n">
        <v>8.50819126583553E-008</v>
      </c>
      <c r="BP211" s="323" t="n">
        <v>3.22020414742087E-008</v>
      </c>
      <c r="BQ211" s="323" t="n">
        <v>3.04756469284612E-008</v>
      </c>
      <c r="BR211" s="323" t="n">
        <v>1.41122420166007E-007</v>
      </c>
      <c r="BS211" s="323" t="n">
        <v>5.15279883034488E-008</v>
      </c>
      <c r="BT211" s="323" t="n">
        <v>9.0405643012979E-007</v>
      </c>
      <c r="BU211" s="323" t="n">
        <v>2.94542444529312E-008</v>
      </c>
      <c r="BV211" s="323" t="n">
        <v>4.23796395852444E-009</v>
      </c>
      <c r="BW211" s="323" t="n">
        <v>3.98111507676261E-009</v>
      </c>
      <c r="BX211" s="323" t="n">
        <v>0</v>
      </c>
      <c r="BY211" s="323" t="n">
        <v>8.13826481293551E-007</v>
      </c>
      <c r="BZ211" s="323" t="n">
        <v>1.10097843555793E-007</v>
      </c>
      <c r="CA211" s="323" t="n">
        <v>2.8828954227697E-008</v>
      </c>
      <c r="CB211" s="323" t="n">
        <v>8.96128815001876E-010</v>
      </c>
      <c r="CC211" s="323" t="n">
        <v>1.0747318267023E-008</v>
      </c>
      <c r="CD211" s="323" t="n">
        <v>1.9467988089596E-007</v>
      </c>
      <c r="CE211" s="323" t="n">
        <v>2.30137992482909E-008</v>
      </c>
      <c r="CF211" s="323" t="n">
        <v>1.27588655086647E-008</v>
      </c>
      <c r="CG211" s="323" t="n">
        <v>3.27125611634762E-013</v>
      </c>
      <c r="CH211" s="323" t="n">
        <v>1.13177943623322E-007</v>
      </c>
      <c r="CI211" s="323" t="n">
        <v>1.55297532391352E-009</v>
      </c>
      <c r="CJ211" s="323" t="n">
        <v>5.07343179962213E-008</v>
      </c>
      <c r="CK211" s="323" t="n">
        <v>6.30636547391047E-008</v>
      </c>
      <c r="CL211" s="323" t="n">
        <v>4.46675141749322E-009</v>
      </c>
      <c r="CM211" s="323" t="n">
        <v>2.73354284562253E-011</v>
      </c>
      <c r="CN211" s="323" t="n">
        <v>4.37014721451174E-009</v>
      </c>
      <c r="CO211" s="323" t="n">
        <v>6.36535273488036E-009</v>
      </c>
    </row>
    <row r="212" customFormat="false" ht="16.4" hidden="false" customHeight="false" outlineLevel="0" collapsed="false">
      <c r="A212" s="336"/>
      <c r="B212" s="251" t="s">
        <v>386</v>
      </c>
      <c r="C212" s="337"/>
      <c r="AR212" s="323" t="n">
        <v>1.13148162591323E-009</v>
      </c>
      <c r="AS212" s="323" t="n">
        <v>0</v>
      </c>
      <c r="AT212" s="323" t="n">
        <v>0</v>
      </c>
      <c r="AU212" s="323" t="n">
        <v>3.02928643627216E-008</v>
      </c>
      <c r="AV212" s="323" t="n">
        <v>8.57587547979772E-008</v>
      </c>
      <c r="AW212" s="323" t="n">
        <v>2.06418097880243E-009</v>
      </c>
      <c r="AX212" s="323" t="n">
        <v>2.9856336816975E-008</v>
      </c>
      <c r="AY212" s="323" t="n">
        <v>0</v>
      </c>
      <c r="AZ212" s="323" t="n">
        <v>3.50876670184466E-009</v>
      </c>
      <c r="BA212" s="323" t="n">
        <v>0</v>
      </c>
      <c r="BB212" s="323" t="n">
        <v>2.72106953651434E-009</v>
      </c>
      <c r="BC212" s="323" t="n">
        <v>1.1215954039507E-007</v>
      </c>
      <c r="BD212" s="323" t="n">
        <v>0</v>
      </c>
      <c r="BE212" s="323" t="n">
        <v>6.12785028211952E-008</v>
      </c>
      <c r="BF212" s="323" t="n">
        <v>2.11765883612364E-008</v>
      </c>
      <c r="BG212" s="323" t="n">
        <v>3.15910769177393E-007</v>
      </c>
      <c r="BH212" s="323" t="n">
        <v>0</v>
      </c>
      <c r="BI212" s="323" t="n">
        <v>0</v>
      </c>
      <c r="BJ212" s="323" t="n">
        <v>0</v>
      </c>
      <c r="BK212" s="323" t="n">
        <v>4.01031992943861E-009</v>
      </c>
      <c r="BL212" s="323" t="n">
        <v>0</v>
      </c>
      <c r="BM212" s="323" t="n">
        <v>0</v>
      </c>
      <c r="BN212" s="323" t="n">
        <v>5.99939985314954E-010</v>
      </c>
      <c r="BO212" s="323" t="n">
        <v>5.64190970231635E-009</v>
      </c>
      <c r="BP212" s="323" t="n">
        <v>4.89381525296403E-009</v>
      </c>
      <c r="BQ212" s="323" t="n">
        <v>3.25799925345568E-009</v>
      </c>
      <c r="BR212" s="323" t="n">
        <v>1.15767942314004E-008</v>
      </c>
      <c r="BS212" s="323" t="n">
        <v>9.56747193449256E-009</v>
      </c>
      <c r="BT212" s="323" t="n">
        <v>4.56590054529796E-006</v>
      </c>
      <c r="BU212" s="323" t="n">
        <v>8.81238397190813E-008</v>
      </c>
      <c r="BV212" s="323" t="n">
        <v>6.40200911567331E-009</v>
      </c>
      <c r="BW212" s="323" t="n">
        <v>0</v>
      </c>
      <c r="BX212" s="323" t="n">
        <v>0</v>
      </c>
      <c r="BY212" s="323" t="n">
        <v>0</v>
      </c>
      <c r="BZ212" s="323" t="n">
        <v>2.57949203612329E-007</v>
      </c>
      <c r="CA212" s="323" t="n">
        <v>0</v>
      </c>
      <c r="CB212" s="323" t="n">
        <v>0</v>
      </c>
      <c r="CC212" s="323" t="n">
        <v>0</v>
      </c>
      <c r="CD212" s="323" t="n">
        <v>0</v>
      </c>
      <c r="CE212" s="323" t="n">
        <v>0</v>
      </c>
      <c r="CF212" s="323" t="n">
        <v>0</v>
      </c>
      <c r="CG212" s="323" t="n">
        <v>0</v>
      </c>
      <c r="CH212" s="323" t="n">
        <v>0</v>
      </c>
      <c r="CI212" s="323" t="n">
        <v>0</v>
      </c>
      <c r="CJ212" s="323" t="n">
        <v>0</v>
      </c>
      <c r="CK212" s="323" t="n">
        <v>1.01113157400525E-007</v>
      </c>
      <c r="CL212" s="323" t="n">
        <v>0</v>
      </c>
      <c r="CM212" s="323" t="n">
        <v>0</v>
      </c>
      <c r="CN212" s="323" t="n">
        <v>0</v>
      </c>
      <c r="CO212" s="323" t="n">
        <v>0</v>
      </c>
    </row>
    <row r="213" customFormat="false" ht="16.4" hidden="false" customHeight="false" outlineLevel="0" collapsed="false">
      <c r="A213" s="336"/>
      <c r="B213" s="251" t="s">
        <v>387</v>
      </c>
      <c r="C213" s="337"/>
      <c r="AR213" s="323" t="n">
        <v>3.68365153739897E-009</v>
      </c>
      <c r="AS213" s="323" t="n">
        <v>0</v>
      </c>
      <c r="AT213" s="323" t="n">
        <v>0</v>
      </c>
      <c r="AU213" s="323" t="n">
        <v>6.34483575262536E-008</v>
      </c>
      <c r="AV213" s="323" t="n">
        <v>2.62292491929938E-007</v>
      </c>
      <c r="AW213" s="323" t="n">
        <v>7.12049595524619E-009</v>
      </c>
      <c r="AX213" s="323" t="n">
        <v>2.54110398319508E-008</v>
      </c>
      <c r="AY213" s="323" t="n">
        <v>0</v>
      </c>
      <c r="AZ213" s="323" t="n">
        <v>1.47377795036258E-008</v>
      </c>
      <c r="BA213" s="323" t="n">
        <v>0</v>
      </c>
      <c r="BB213" s="323" t="n">
        <v>2.00373871604137E-008</v>
      </c>
      <c r="BC213" s="323" t="n">
        <v>2.81185076180579E-008</v>
      </c>
      <c r="BD213" s="323" t="n">
        <v>0</v>
      </c>
      <c r="BE213" s="323" t="n">
        <v>2.64855338508204E-008</v>
      </c>
      <c r="BF213" s="323" t="n">
        <v>7.3318178925986E-008</v>
      </c>
      <c r="BG213" s="323" t="n">
        <v>3.0286053021107E-007</v>
      </c>
      <c r="BH213" s="323" t="n">
        <v>0</v>
      </c>
      <c r="BI213" s="323" t="n">
        <v>0</v>
      </c>
      <c r="BJ213" s="323" t="n">
        <v>0</v>
      </c>
      <c r="BK213" s="323" t="n">
        <v>2.37595774021824E-008</v>
      </c>
      <c r="BL213" s="323" t="n">
        <v>0</v>
      </c>
      <c r="BM213" s="323" t="n">
        <v>0</v>
      </c>
      <c r="BN213" s="323" t="n">
        <v>9.55719078045306E-009</v>
      </c>
      <c r="BO213" s="323" t="n">
        <v>2.1165270537373E-008</v>
      </c>
      <c r="BP213" s="323" t="n">
        <v>4.80707014336755E-008</v>
      </c>
      <c r="BQ213" s="323" t="n">
        <v>3.36979133201836E-009</v>
      </c>
      <c r="BR213" s="323" t="n">
        <v>2.15566441212943E-007</v>
      </c>
      <c r="BS213" s="323" t="n">
        <v>2.6504240946457E-008</v>
      </c>
      <c r="BT213" s="323" t="n">
        <v>2.34894587661677E-006</v>
      </c>
      <c r="BU213" s="323" t="n">
        <v>1.0362096054633E-007</v>
      </c>
      <c r="BV213" s="323" t="n">
        <v>1.10568146075988E-008</v>
      </c>
      <c r="BW213" s="323" t="n">
        <v>0</v>
      </c>
      <c r="BX213" s="323" t="n">
        <v>0</v>
      </c>
      <c r="BY213" s="323" t="n">
        <v>0</v>
      </c>
      <c r="BZ213" s="323" t="n">
        <v>8.46267902220267E-007</v>
      </c>
      <c r="CA213" s="323" t="n">
        <v>0</v>
      </c>
      <c r="CB213" s="323" t="n">
        <v>0</v>
      </c>
      <c r="CC213" s="323" t="n">
        <v>0</v>
      </c>
      <c r="CD213" s="323" t="n">
        <v>0</v>
      </c>
      <c r="CE213" s="323" t="n">
        <v>0</v>
      </c>
      <c r="CF213" s="323" t="n">
        <v>0</v>
      </c>
      <c r="CG213" s="323" t="n">
        <v>0</v>
      </c>
      <c r="CH213" s="323" t="n">
        <v>0</v>
      </c>
      <c r="CI213" s="323" t="n">
        <v>0</v>
      </c>
      <c r="CJ213" s="323" t="n">
        <v>0</v>
      </c>
      <c r="CK213" s="323" t="n">
        <v>1.85437392093723E-007</v>
      </c>
      <c r="CL213" s="323" t="n">
        <v>0</v>
      </c>
      <c r="CM213" s="323" t="n">
        <v>0</v>
      </c>
      <c r="CN213" s="323" t="n">
        <v>0</v>
      </c>
      <c r="CO213" s="323" t="n">
        <v>0</v>
      </c>
    </row>
    <row r="214" customFormat="false" ht="16.4" hidden="false" customHeight="false" outlineLevel="0" collapsed="false">
      <c r="A214" s="335" t="s">
        <v>388</v>
      </c>
      <c r="B214" s="251" t="s">
        <v>596</v>
      </c>
      <c r="C214" s="197" t="n">
        <v>5</v>
      </c>
      <c r="AR214" s="338" t="n">
        <v>1.68024839963303E-008</v>
      </c>
      <c r="AS214" s="338" t="n">
        <v>0</v>
      </c>
      <c r="AT214" s="338" t="n">
        <v>0</v>
      </c>
      <c r="AU214" s="338" t="n">
        <v>1.50029453237661E-007</v>
      </c>
      <c r="AV214" s="338" t="n">
        <v>1.58583550548113E-006</v>
      </c>
      <c r="AW214" s="338" t="n">
        <v>2.01527685411961E-008</v>
      </c>
      <c r="AX214" s="338" t="n">
        <v>3.70650047579574E-008</v>
      </c>
      <c r="AY214" s="338" t="n">
        <v>0</v>
      </c>
      <c r="AZ214" s="338" t="n">
        <v>1.24050820296704E-007</v>
      </c>
      <c r="BA214" s="338" t="n">
        <v>0</v>
      </c>
      <c r="BB214" s="338" t="n">
        <v>1.07542240916695E-008</v>
      </c>
      <c r="BC214" s="338" t="n">
        <v>4.15349190553073E-007</v>
      </c>
      <c r="BD214" s="338" t="n">
        <v>0</v>
      </c>
      <c r="BE214" s="338" t="n">
        <v>5.50104681776285E-008</v>
      </c>
      <c r="BF214" s="338" t="n">
        <v>2.1065435536545E-007</v>
      </c>
      <c r="BG214" s="338" t="n">
        <v>6.46749428861678E-007</v>
      </c>
      <c r="BH214" s="338" t="n">
        <v>0</v>
      </c>
      <c r="BI214" s="338" t="n">
        <v>0</v>
      </c>
      <c r="BJ214" s="338" t="n">
        <v>0</v>
      </c>
      <c r="BK214" s="338" t="n">
        <v>2.27970476719643E-008</v>
      </c>
      <c r="BL214" s="338" t="n">
        <v>0</v>
      </c>
      <c r="BM214" s="338" t="n">
        <v>0</v>
      </c>
      <c r="BN214" s="338" t="n">
        <v>6.72663459200708E-009</v>
      </c>
      <c r="BO214" s="338" t="n">
        <v>1.01995804517782E-007</v>
      </c>
      <c r="BP214" s="338" t="n">
        <v>1.39126185481945E-008</v>
      </c>
      <c r="BQ214" s="338" t="n">
        <v>4.27161863680772E-008</v>
      </c>
      <c r="BR214" s="338" t="n">
        <v>1.79458589355402E-007</v>
      </c>
      <c r="BS214" s="338" t="n">
        <v>1.51057480332161E-008</v>
      </c>
      <c r="BT214" s="338" t="n">
        <v>2.03698603464092E-006</v>
      </c>
      <c r="BU214" s="338" t="n">
        <v>4.94248048128795E-008</v>
      </c>
      <c r="BV214" s="338" t="n">
        <v>8.39999170814752E-010</v>
      </c>
      <c r="BW214" s="338" t="n">
        <v>0</v>
      </c>
      <c r="BX214" s="338" t="n">
        <v>0</v>
      </c>
      <c r="BY214" s="338" t="n">
        <v>0</v>
      </c>
      <c r="BZ214" s="338" t="n">
        <v>1.20307272599944E-007</v>
      </c>
      <c r="CA214" s="338" t="n">
        <v>0</v>
      </c>
      <c r="CB214" s="338" t="n">
        <v>0</v>
      </c>
      <c r="CC214" s="338" t="n">
        <v>0</v>
      </c>
      <c r="CD214" s="338" t="n">
        <v>0</v>
      </c>
      <c r="CE214" s="338" t="n">
        <v>0</v>
      </c>
      <c r="CF214" s="338" t="n">
        <v>0</v>
      </c>
      <c r="CG214" s="338" t="n">
        <v>0</v>
      </c>
      <c r="CH214" s="338" t="n">
        <v>0</v>
      </c>
      <c r="CI214" s="330" t="n">
        <v>0</v>
      </c>
      <c r="CJ214" s="330" t="n">
        <v>0</v>
      </c>
      <c r="CK214" s="330" t="n">
        <v>4.69932730472563E-008</v>
      </c>
      <c r="CL214" s="330" t="n">
        <v>0</v>
      </c>
      <c r="CM214" s="330" t="n">
        <v>0</v>
      </c>
      <c r="CN214" s="330" t="n">
        <v>0</v>
      </c>
      <c r="CO214" s="330" t="n">
        <v>0</v>
      </c>
    </row>
    <row r="215" customFormat="false" ht="15" hidden="false" customHeight="true" outlineLevel="0" collapsed="false">
      <c r="A215" s="336" t="s">
        <v>384</v>
      </c>
      <c r="B215" s="251" t="s">
        <v>382</v>
      </c>
      <c r="C215" s="337" t="n">
        <v>2</v>
      </c>
    </row>
    <row r="216" customFormat="false" ht="15" hidden="false" customHeight="false" outlineLevel="0" collapsed="false">
      <c r="A216" s="336"/>
      <c r="B216" s="251" t="s">
        <v>386</v>
      </c>
      <c r="C216" s="337"/>
    </row>
    <row r="217" customFormat="false" ht="15" hidden="false" customHeight="false" outlineLevel="0" collapsed="false">
      <c r="A217" s="336"/>
      <c r="B217" s="251" t="s">
        <v>387</v>
      </c>
      <c r="C217" s="337"/>
    </row>
    <row r="218" customFormat="false" ht="16.4" hidden="false" customHeight="false" outlineLevel="0" collapsed="false">
      <c r="A218" s="339" t="s">
        <v>391</v>
      </c>
      <c r="B218" s="334" t="s">
        <v>596</v>
      </c>
      <c r="C218" s="233" t="n">
        <v>5</v>
      </c>
    </row>
    <row r="219" customFormat="false" ht="15" hidden="false" customHeight="false" outlineLevel="0" collapsed="false">
      <c r="C219" s="109"/>
      <c r="D219" s="173"/>
      <c r="E219" s="173"/>
      <c r="F219" s="173"/>
    </row>
    <row r="220" customFormat="false" ht="15" hidden="false" customHeight="false" outlineLevel="0" collapsed="false">
      <c r="C220" s="109"/>
      <c r="D220" s="173"/>
      <c r="E220" s="173"/>
      <c r="F220" s="173"/>
    </row>
    <row r="221" customFormat="false" ht="24.45" hidden="false" customHeight="false" outlineLevel="0" collapsed="false">
      <c r="A221" s="189" t="s">
        <v>597</v>
      </c>
      <c r="D221" s="173"/>
    </row>
    <row r="222" customFormat="false" ht="18.75" hidden="false" customHeight="true" outlineLevel="0" collapsed="false">
      <c r="A222" s="201" t="s">
        <v>598</v>
      </c>
      <c r="B222" s="201"/>
      <c r="C222" s="201"/>
      <c r="D222" s="201"/>
    </row>
    <row r="223" customFormat="false" ht="15" hidden="false" customHeight="false" outlineLevel="0" collapsed="false">
      <c r="A223" s="223" t="s">
        <v>408</v>
      </c>
      <c r="B223" s="223"/>
      <c r="C223" s="223"/>
      <c r="D223" s="223"/>
    </row>
    <row r="224" customFormat="false" ht="15" hidden="false" customHeight="false" outlineLevel="0" collapsed="false">
      <c r="A224" s="340" t="s">
        <v>409</v>
      </c>
      <c r="B224" s="340"/>
      <c r="C224" s="341" t="s">
        <v>512</v>
      </c>
      <c r="D224" s="342" t="n">
        <v>2</v>
      </c>
    </row>
    <row r="225" customFormat="false" ht="15" hidden="false" customHeight="false" outlineLevel="0" collapsed="false">
      <c r="A225" s="223" t="s">
        <v>410</v>
      </c>
      <c r="B225" s="223"/>
    </row>
    <row r="226" customFormat="false" ht="15" hidden="false" customHeight="false" outlineLevel="0" collapsed="false">
      <c r="A226" s="213" t="s">
        <v>413</v>
      </c>
      <c r="B226" s="343" t="n">
        <v>2020</v>
      </c>
    </row>
    <row r="227" customFormat="false" ht="15" hidden="false" customHeight="false" outlineLevel="0" collapsed="false">
      <c r="A227" s="213" t="s">
        <v>411</v>
      </c>
      <c r="B227" s="344" t="n">
        <v>2050</v>
      </c>
      <c r="C227" s="345"/>
      <c r="D227" s="346" t="s">
        <v>415</v>
      </c>
      <c r="E227" s="347" t="s">
        <v>416</v>
      </c>
    </row>
    <row r="228" customFormat="false" ht="13.5" hidden="false" customHeight="true" outlineLevel="0" collapsed="false">
      <c r="A228" s="348" t="s">
        <v>417</v>
      </c>
      <c r="B228" s="203" t="s">
        <v>418</v>
      </c>
      <c r="C228" s="195" t="s">
        <v>599</v>
      </c>
      <c r="D228" s="231" t="n">
        <v>0.2016666667</v>
      </c>
      <c r="E228" s="224" t="n">
        <v>0.605</v>
      </c>
    </row>
    <row r="229" customFormat="false" ht="15" hidden="false" customHeight="false" outlineLevel="0" collapsed="false">
      <c r="A229" s="348"/>
      <c r="B229" s="203" t="s">
        <v>421</v>
      </c>
      <c r="C229" s="195" t="s">
        <v>599</v>
      </c>
      <c r="D229" s="231" t="n">
        <v>0.05</v>
      </c>
      <c r="E229" s="224" t="n">
        <v>0.15</v>
      </c>
    </row>
    <row r="230" customFormat="false" ht="15" hidden="false" customHeight="false" outlineLevel="0" collapsed="false">
      <c r="A230" s="348"/>
      <c r="B230" s="203" t="s">
        <v>422</v>
      </c>
      <c r="C230" s="195" t="s">
        <v>599</v>
      </c>
      <c r="D230" s="231" t="n">
        <v>0.1966666667</v>
      </c>
      <c r="E230" s="224" t="n">
        <v>0.59</v>
      </c>
    </row>
    <row r="231" customFormat="false" ht="15" hidden="false" customHeight="false" outlineLevel="0" collapsed="false">
      <c r="A231" s="348"/>
      <c r="B231" s="203" t="s">
        <v>423</v>
      </c>
      <c r="C231" s="195" t="s">
        <v>599</v>
      </c>
      <c r="D231" s="231" t="n">
        <v>0.1633333333</v>
      </c>
      <c r="E231" s="224" t="n">
        <v>0.49</v>
      </c>
    </row>
    <row r="232" customFormat="false" ht="15" hidden="false" customHeight="false" outlineLevel="0" collapsed="false">
      <c r="A232" s="348"/>
      <c r="B232" s="203" t="s">
        <v>424</v>
      </c>
      <c r="C232" s="195" t="s">
        <v>599</v>
      </c>
      <c r="D232" s="231" t="n">
        <v>0.00166666667</v>
      </c>
      <c r="E232" s="224" t="n">
        <v>0.005</v>
      </c>
    </row>
    <row r="233" customFormat="false" ht="15" hidden="false" customHeight="false" outlineLevel="0" collapsed="false">
      <c r="A233" s="348"/>
      <c r="B233" s="203" t="s">
        <v>425</v>
      </c>
      <c r="C233" s="195" t="s">
        <v>599</v>
      </c>
      <c r="D233" s="231" t="n">
        <v>0.06333333333</v>
      </c>
      <c r="E233" s="224" t="n">
        <v>0.19</v>
      </c>
    </row>
    <row r="234" customFormat="false" ht="15" hidden="false" customHeight="false" outlineLevel="0" collapsed="false">
      <c r="A234" s="348"/>
      <c r="B234" s="203" t="s">
        <v>426</v>
      </c>
      <c r="C234" s="195" t="s">
        <v>599</v>
      </c>
      <c r="D234" s="231" t="n">
        <v>0.2533333333</v>
      </c>
      <c r="E234" s="224" t="n">
        <v>0.76</v>
      </c>
    </row>
    <row r="235" customFormat="false" ht="15" hidden="false" customHeight="false" outlineLevel="0" collapsed="false">
      <c r="A235" s="348"/>
      <c r="B235" s="203" t="s">
        <v>427</v>
      </c>
      <c r="C235" s="195" t="s">
        <v>599</v>
      </c>
      <c r="D235" s="231" t="n">
        <v>0.00166666667</v>
      </c>
      <c r="E235" s="224" t="n">
        <v>0.005</v>
      </c>
    </row>
    <row r="236" customFormat="false" ht="15" hidden="false" customHeight="false" outlineLevel="0" collapsed="false">
      <c r="A236" s="348"/>
      <c r="B236" s="203" t="s">
        <v>428</v>
      </c>
      <c r="C236" s="195" t="s">
        <v>599</v>
      </c>
      <c r="D236" s="231" t="n">
        <v>0.13</v>
      </c>
      <c r="E236" s="224" t="n">
        <v>0.39</v>
      </c>
    </row>
    <row r="237" customFormat="false" ht="15" hidden="false" customHeight="false" outlineLevel="0" collapsed="false">
      <c r="A237" s="348"/>
      <c r="B237" s="203" t="s">
        <v>429</v>
      </c>
      <c r="C237" s="195" t="s">
        <v>599</v>
      </c>
      <c r="D237" s="231" t="n">
        <v>0.1766666667</v>
      </c>
      <c r="E237" s="224" t="n">
        <v>0.53</v>
      </c>
    </row>
    <row r="238" customFormat="false" ht="15" hidden="false" customHeight="false" outlineLevel="0" collapsed="false">
      <c r="A238" s="348"/>
      <c r="B238" s="203" t="s">
        <v>430</v>
      </c>
      <c r="C238" s="195" t="s">
        <v>599</v>
      </c>
      <c r="D238" s="231" t="n">
        <v>0.1166666667</v>
      </c>
      <c r="E238" s="224" t="n">
        <v>0.35</v>
      </c>
    </row>
    <row r="239" customFormat="false" ht="15" hidden="false" customHeight="false" outlineLevel="0" collapsed="false">
      <c r="A239" s="348"/>
      <c r="B239" s="203" t="s">
        <v>431</v>
      </c>
      <c r="C239" s="195" t="s">
        <v>599</v>
      </c>
      <c r="D239" s="231" t="n">
        <v>0.1883333333</v>
      </c>
      <c r="E239" s="224" t="n">
        <v>0.565</v>
      </c>
    </row>
    <row r="240" customFormat="false" ht="15" hidden="false" customHeight="false" outlineLevel="0" collapsed="false">
      <c r="A240" s="348"/>
      <c r="B240" s="203" t="s">
        <v>432</v>
      </c>
      <c r="C240" s="195" t="s">
        <v>599</v>
      </c>
      <c r="D240" s="231" t="n">
        <v>0.3166666667</v>
      </c>
      <c r="E240" s="224" t="n">
        <v>0.95</v>
      </c>
    </row>
    <row r="241" customFormat="false" ht="15" hidden="false" customHeight="false" outlineLevel="0" collapsed="false">
      <c r="A241" s="348"/>
      <c r="B241" s="203" t="s">
        <v>433</v>
      </c>
      <c r="C241" s="195" t="s">
        <v>599</v>
      </c>
      <c r="D241" s="231" t="n">
        <v>0.1916666667</v>
      </c>
      <c r="E241" s="224" t="n">
        <v>0.575</v>
      </c>
    </row>
    <row r="242" customFormat="false" ht="15" hidden="false" customHeight="false" outlineLevel="0" collapsed="false">
      <c r="A242" s="348"/>
      <c r="B242" s="203" t="s">
        <v>434</v>
      </c>
      <c r="C242" s="195" t="s">
        <v>599</v>
      </c>
      <c r="D242" s="231" t="n">
        <v>0.1016666667</v>
      </c>
      <c r="E242" s="224" t="n">
        <v>0.305</v>
      </c>
    </row>
    <row r="243" customFormat="false" ht="15" hidden="false" customHeight="false" outlineLevel="0" collapsed="false">
      <c r="A243" s="348"/>
      <c r="B243" s="203" t="s">
        <v>435</v>
      </c>
      <c r="C243" s="195" t="s">
        <v>599</v>
      </c>
      <c r="D243" s="231" t="n">
        <v>0.00166666667</v>
      </c>
      <c r="E243" s="224" t="n">
        <v>0.005</v>
      </c>
    </row>
    <row r="244" customFormat="false" ht="15" hidden="false" customHeight="false" outlineLevel="0" collapsed="false">
      <c r="A244" s="348"/>
      <c r="B244" s="203" t="s">
        <v>436</v>
      </c>
      <c r="C244" s="195" t="s">
        <v>599</v>
      </c>
      <c r="D244" s="231" t="n">
        <v>0.3033333333</v>
      </c>
      <c r="E244" s="224" t="n">
        <v>0.91</v>
      </c>
    </row>
    <row r="245" customFormat="false" ht="15" hidden="false" customHeight="false" outlineLevel="0" collapsed="false">
      <c r="A245" s="348"/>
      <c r="B245" s="203" t="s">
        <v>437</v>
      </c>
      <c r="C245" s="195" t="s">
        <v>599</v>
      </c>
      <c r="D245" s="231" t="n">
        <v>0.00166666667</v>
      </c>
      <c r="E245" s="224" t="n">
        <v>0.005</v>
      </c>
    </row>
    <row r="246" customFormat="false" ht="15" hidden="false" customHeight="false" outlineLevel="0" collapsed="false">
      <c r="A246" s="348"/>
      <c r="B246" s="349" t="s">
        <v>438</v>
      </c>
      <c r="C246" s="220" t="s">
        <v>599</v>
      </c>
      <c r="D246" s="210" t="n">
        <v>0.1833333333</v>
      </c>
      <c r="E246" s="350" t="n">
        <v>0.55</v>
      </c>
    </row>
    <row r="247" customFormat="false" ht="15" hidden="false" customHeight="false" outlineLevel="0" collapsed="false">
      <c r="A247" s="223" t="s">
        <v>439</v>
      </c>
      <c r="B247" s="223"/>
      <c r="C247" s="223"/>
    </row>
    <row r="248" customFormat="false" ht="15" hidden="false" customHeight="false" outlineLevel="0" collapsed="false">
      <c r="A248" s="203" t="s">
        <v>600</v>
      </c>
      <c r="B248" s="195" t="s">
        <v>601</v>
      </c>
      <c r="C248" s="351" t="n">
        <v>0.02</v>
      </c>
    </row>
    <row r="249" customFormat="false" ht="15" hidden="false" customHeight="false" outlineLevel="0" collapsed="false">
      <c r="A249" s="203" t="s">
        <v>602</v>
      </c>
      <c r="B249" s="195" t="s">
        <v>401</v>
      </c>
      <c r="C249" s="352" t="n">
        <v>2020</v>
      </c>
    </row>
    <row r="250" customFormat="false" ht="15" hidden="false" customHeight="false" outlineLevel="0" collapsed="false">
      <c r="A250" s="203" t="s">
        <v>603</v>
      </c>
      <c r="B250" s="195" t="s">
        <v>601</v>
      </c>
      <c r="C250" s="351" t="n">
        <v>0.02</v>
      </c>
    </row>
    <row r="251" customFormat="false" ht="15" hidden="false" customHeight="false" outlineLevel="0" collapsed="false">
      <c r="A251" s="232" t="s">
        <v>604</v>
      </c>
      <c r="B251" s="353" t="s">
        <v>401</v>
      </c>
      <c r="C251" s="354" t="n">
        <v>2020</v>
      </c>
    </row>
    <row r="252" customFormat="false" ht="15" hidden="false" customHeight="false" outlineLevel="0" collapsed="false">
      <c r="A252" s="39"/>
      <c r="E252" s="222"/>
    </row>
    <row r="253" customFormat="false" ht="17.35" hidden="false" customHeight="false" outlineLevel="0" collapsed="false">
      <c r="A253" s="212" t="s">
        <v>210</v>
      </c>
      <c r="B253" s="212"/>
      <c r="C253" s="212"/>
    </row>
    <row r="254" customFormat="false" ht="15" hidden="false" customHeight="false" outlineLevel="0" collapsed="false">
      <c r="A254" s="355" t="s">
        <v>605</v>
      </c>
      <c r="B254" s="355"/>
      <c r="C254" s="355"/>
      <c r="H254" s="48"/>
      <c r="J254" s="356"/>
    </row>
    <row r="255" customFormat="false" ht="16.4" hidden="false" customHeight="false" outlineLevel="0" collapsed="false">
      <c r="A255" s="335" t="s">
        <v>212</v>
      </c>
      <c r="B255" s="357" t="s">
        <v>11</v>
      </c>
      <c r="C255" s="358" t="n">
        <v>1</v>
      </c>
      <c r="H255" s="48"/>
      <c r="J255" s="356"/>
    </row>
    <row r="256" customFormat="false" ht="15" hidden="false" customHeight="false" outlineLevel="0" collapsed="false">
      <c r="A256" s="355" t="s">
        <v>606</v>
      </c>
      <c r="B256" s="355"/>
      <c r="C256" s="355"/>
      <c r="H256" s="48"/>
      <c r="J256" s="356"/>
    </row>
    <row r="257" customFormat="false" ht="15" hidden="false" customHeight="true" outlineLevel="0" collapsed="false">
      <c r="A257" s="359" t="s">
        <v>607</v>
      </c>
      <c r="B257" s="251" t="s">
        <v>608</v>
      </c>
      <c r="C257" s="360" t="n">
        <v>4</v>
      </c>
      <c r="H257" s="48"/>
      <c r="J257" s="356"/>
    </row>
    <row r="258" customFormat="false" ht="15" hidden="false" customHeight="false" outlineLevel="0" collapsed="false">
      <c r="A258" s="359"/>
      <c r="B258" s="251" t="s">
        <v>609</v>
      </c>
      <c r="C258" s="360"/>
      <c r="H258" s="48"/>
      <c r="J258" s="356"/>
    </row>
    <row r="259" customFormat="false" ht="15" hidden="false" customHeight="false" outlineLevel="0" collapsed="false">
      <c r="A259" s="359"/>
      <c r="B259" s="251" t="s">
        <v>610</v>
      </c>
      <c r="C259" s="360"/>
      <c r="H259" s="48"/>
      <c r="J259" s="356"/>
    </row>
    <row r="260" customFormat="false" ht="15" hidden="false" customHeight="false" outlineLevel="0" collapsed="false">
      <c r="A260" s="359"/>
      <c r="B260" s="334" t="s">
        <v>611</v>
      </c>
      <c r="C260" s="360"/>
      <c r="H260" s="48"/>
      <c r="J260" s="356"/>
    </row>
    <row r="262" customFormat="false" ht="17.35" hidden="false" customHeight="false" outlineLevel="0" collapsed="false">
      <c r="A262" s="212" t="s">
        <v>142</v>
      </c>
      <c r="B262" s="212"/>
      <c r="C262" s="212"/>
    </row>
    <row r="263" customFormat="false" ht="16.4" hidden="false" customHeight="false" outlineLevel="0" collapsed="false">
      <c r="A263" s="335" t="s">
        <v>143</v>
      </c>
      <c r="B263" s="251" t="s">
        <v>11</v>
      </c>
      <c r="C263" s="358" t="n">
        <v>0</v>
      </c>
    </row>
    <row r="264" customFormat="false" ht="15" hidden="false" customHeight="false" outlineLevel="0" collapsed="false">
      <c r="A264" s="39"/>
    </row>
    <row r="265" customFormat="false" ht="17.35" hidden="false" customHeight="false" outlineLevel="0" collapsed="false">
      <c r="A265" s="212" t="s">
        <v>612</v>
      </c>
      <c r="B265" s="212"/>
      <c r="C265" s="212"/>
      <c r="D265" s="212"/>
      <c r="E265" s="212"/>
      <c r="F265" s="212"/>
      <c r="G265" s="212"/>
      <c r="H265" s="212"/>
      <c r="I265" s="212"/>
    </row>
    <row r="266" customFormat="false" ht="15" hidden="false" customHeight="false" outlineLevel="0" collapsed="false">
      <c r="A266" s="213" t="s">
        <v>613</v>
      </c>
      <c r="B266" s="195" t="s">
        <v>17</v>
      </c>
      <c r="C266" s="196" t="n">
        <v>2020</v>
      </c>
      <c r="D266" s="196" t="n">
        <v>2025</v>
      </c>
      <c r="E266" s="196" t="n">
        <v>2030</v>
      </c>
      <c r="F266" s="196" t="n">
        <v>2035</v>
      </c>
      <c r="G266" s="196" t="n">
        <v>2040</v>
      </c>
      <c r="H266" s="196" t="n">
        <v>2045</v>
      </c>
      <c r="I266" s="196" t="n">
        <v>2050</v>
      </c>
    </row>
    <row r="267" customFormat="false" ht="15" hidden="false" customHeight="false" outlineLevel="0" collapsed="false">
      <c r="A267" s="213" t="s">
        <v>539</v>
      </c>
      <c r="B267" s="195" t="s">
        <v>477</v>
      </c>
      <c r="C267" s="196" t="n">
        <v>0</v>
      </c>
      <c r="D267" s="196" t="n">
        <v>0</v>
      </c>
      <c r="E267" s="196" t="n">
        <v>0</v>
      </c>
      <c r="F267" s="196" t="n">
        <v>0</v>
      </c>
      <c r="G267" s="196" t="n">
        <v>0</v>
      </c>
      <c r="H267" s="196" t="n">
        <v>0</v>
      </c>
      <c r="I267" s="196" t="n">
        <v>0</v>
      </c>
    </row>
    <row r="268" customFormat="false" ht="15" hidden="false" customHeight="false" outlineLevel="0" collapsed="false">
      <c r="A268" s="213" t="s">
        <v>542</v>
      </c>
      <c r="B268" s="195"/>
      <c r="C268" s="196" t="n">
        <v>0</v>
      </c>
      <c r="D268" s="196" t="n">
        <v>0</v>
      </c>
      <c r="E268" s="196" t="n">
        <v>0</v>
      </c>
      <c r="F268" s="196" t="n">
        <v>0</v>
      </c>
      <c r="G268" s="196" t="n">
        <v>0</v>
      </c>
      <c r="H268" s="196" t="n">
        <v>0</v>
      </c>
      <c r="I268" s="197" t="n">
        <v>0</v>
      </c>
    </row>
    <row r="269" customFormat="false" ht="15" hidden="false" customHeight="false" outlineLevel="0" collapsed="false">
      <c r="A269" s="213" t="s">
        <v>543</v>
      </c>
      <c r="B269" s="195"/>
      <c r="C269" s="196" t="n">
        <v>0</v>
      </c>
      <c r="D269" s="196" t="n">
        <v>0</v>
      </c>
      <c r="E269" s="196" t="n">
        <v>0</v>
      </c>
      <c r="F269" s="196" t="n">
        <v>0</v>
      </c>
      <c r="G269" s="196" t="n">
        <v>0</v>
      </c>
      <c r="H269" s="196" t="n">
        <v>0</v>
      </c>
      <c r="I269" s="197" t="n">
        <v>0</v>
      </c>
    </row>
    <row r="270" customFormat="false" ht="15" hidden="false" customHeight="false" outlineLevel="0" collapsed="false">
      <c r="A270" s="213" t="s">
        <v>544</v>
      </c>
      <c r="B270" s="195"/>
      <c r="C270" s="196" t="n">
        <v>0</v>
      </c>
      <c r="D270" s="196" t="n">
        <v>0</v>
      </c>
      <c r="E270" s="196" t="n">
        <v>0</v>
      </c>
      <c r="F270" s="196" t="n">
        <v>0</v>
      </c>
      <c r="G270" s="196" t="n">
        <v>0</v>
      </c>
      <c r="H270" s="196" t="n">
        <v>0</v>
      </c>
      <c r="I270" s="197" t="n">
        <v>0</v>
      </c>
    </row>
    <row r="271" customFormat="false" ht="15" hidden="false" customHeight="false" outlineLevel="0" collapsed="false">
      <c r="A271" s="213" t="s">
        <v>545</v>
      </c>
      <c r="B271" s="195"/>
      <c r="C271" s="196" t="n">
        <v>0</v>
      </c>
      <c r="D271" s="196" t="n">
        <v>0</v>
      </c>
      <c r="E271" s="196" t="n">
        <v>0</v>
      </c>
      <c r="F271" s="196" t="n">
        <v>0</v>
      </c>
      <c r="G271" s="196" t="n">
        <v>0</v>
      </c>
      <c r="H271" s="196" t="n">
        <v>0</v>
      </c>
      <c r="I271" s="197" t="n">
        <v>0</v>
      </c>
    </row>
    <row r="272" customFormat="false" ht="15" hidden="false" customHeight="false" outlineLevel="0" collapsed="false">
      <c r="A272" s="213" t="s">
        <v>546</v>
      </c>
      <c r="B272" s="195"/>
      <c r="C272" s="196" t="n">
        <v>0</v>
      </c>
      <c r="D272" s="196" t="n">
        <v>0</v>
      </c>
      <c r="E272" s="196" t="n">
        <v>0</v>
      </c>
      <c r="F272" s="196" t="n">
        <v>0</v>
      </c>
      <c r="G272" s="196" t="n">
        <v>0</v>
      </c>
      <c r="H272" s="196" t="n">
        <v>0</v>
      </c>
      <c r="I272" s="197" t="n">
        <v>0</v>
      </c>
    </row>
    <row r="273" customFormat="false" ht="15" hidden="false" customHeight="false" outlineLevel="0" collapsed="false">
      <c r="A273" s="213" t="s">
        <v>547</v>
      </c>
      <c r="B273" s="195"/>
      <c r="C273" s="196" t="n">
        <v>0</v>
      </c>
      <c r="D273" s="196" t="n">
        <v>0</v>
      </c>
      <c r="E273" s="196" t="n">
        <v>0.000116063985011301</v>
      </c>
      <c r="F273" s="196" t="n">
        <v>0.000274265849931164</v>
      </c>
      <c r="G273" s="196" t="n">
        <v>0.000422118060136644</v>
      </c>
      <c r="H273" s="196" t="n">
        <v>0.000553706527219521</v>
      </c>
      <c r="I273" s="196" t="n">
        <v>0.00068455573325137</v>
      </c>
    </row>
    <row r="274" customFormat="false" ht="15" hidden="false" customHeight="false" outlineLevel="0" collapsed="false">
      <c r="A274" s="213" t="s">
        <v>548</v>
      </c>
      <c r="B274" s="195"/>
      <c r="C274" s="196" t="n">
        <v>0</v>
      </c>
      <c r="D274" s="196" t="n">
        <v>0</v>
      </c>
      <c r="E274" s="196" t="n">
        <v>0</v>
      </c>
      <c r="F274" s="196" t="n">
        <v>0</v>
      </c>
      <c r="G274" s="196" t="n">
        <v>0</v>
      </c>
      <c r="H274" s="196" t="n">
        <v>0</v>
      </c>
      <c r="I274" s="197" t="n">
        <v>0</v>
      </c>
    </row>
    <row r="275" customFormat="false" ht="15" hidden="false" customHeight="false" outlineLevel="0" collapsed="false">
      <c r="A275" s="213" t="s">
        <v>332</v>
      </c>
      <c r="B275" s="195"/>
      <c r="C275" s="196" t="n">
        <v>0</v>
      </c>
      <c r="D275" s="196" t="n">
        <v>0</v>
      </c>
      <c r="E275" s="196" t="n">
        <v>0</v>
      </c>
      <c r="F275" s="196" t="n">
        <v>0</v>
      </c>
      <c r="G275" s="196" t="n">
        <v>0</v>
      </c>
      <c r="H275" s="196" t="n">
        <v>0</v>
      </c>
      <c r="I275" s="197" t="n">
        <v>0</v>
      </c>
    </row>
    <row r="276" customFormat="false" ht="15" hidden="false" customHeight="false" outlineLevel="0" collapsed="false">
      <c r="A276" s="213" t="s">
        <v>347</v>
      </c>
      <c r="B276" s="195"/>
      <c r="C276" s="196" t="n">
        <v>0</v>
      </c>
      <c r="D276" s="196" t="n">
        <v>0</v>
      </c>
      <c r="E276" s="196" t="n">
        <v>0</v>
      </c>
      <c r="F276" s="196" t="n">
        <v>0</v>
      </c>
      <c r="G276" s="196" t="n">
        <v>0</v>
      </c>
      <c r="H276" s="196" t="n">
        <v>0</v>
      </c>
      <c r="I276" s="197" t="n">
        <v>0</v>
      </c>
    </row>
    <row r="277" customFormat="false" ht="15" hidden="false" customHeight="false" outlineLevel="0" collapsed="false">
      <c r="A277" s="213" t="s">
        <v>549</v>
      </c>
      <c r="B277" s="195"/>
      <c r="C277" s="196" t="n">
        <v>0</v>
      </c>
      <c r="D277" s="196" t="n">
        <v>0</v>
      </c>
      <c r="E277" s="196" t="n">
        <v>0</v>
      </c>
      <c r="F277" s="196" t="n">
        <v>0</v>
      </c>
      <c r="G277" s="196" t="n">
        <v>0</v>
      </c>
      <c r="H277" s="196" t="n">
        <v>0</v>
      </c>
      <c r="I277" s="197" t="n">
        <v>0</v>
      </c>
    </row>
    <row r="278" customFormat="false" ht="15" hidden="false" customHeight="false" outlineLevel="0" collapsed="false">
      <c r="A278" s="213" t="s">
        <v>550</v>
      </c>
      <c r="B278" s="195"/>
      <c r="C278" s="196" t="n">
        <v>0</v>
      </c>
      <c r="D278" s="196" t="n">
        <v>0</v>
      </c>
      <c r="E278" s="196" t="n">
        <v>0</v>
      </c>
      <c r="F278" s="196" t="n">
        <v>0</v>
      </c>
      <c r="G278" s="196" t="n">
        <v>0</v>
      </c>
      <c r="H278" s="196" t="n">
        <v>0</v>
      </c>
      <c r="I278" s="197" t="n">
        <v>0</v>
      </c>
    </row>
    <row r="279" customFormat="false" ht="15" hidden="false" customHeight="false" outlineLevel="0" collapsed="false">
      <c r="A279" s="213" t="s">
        <v>551</v>
      </c>
      <c r="B279" s="195"/>
      <c r="C279" s="196" t="n">
        <v>0</v>
      </c>
      <c r="D279" s="196" t="n">
        <v>0</v>
      </c>
      <c r="E279" s="196" t="n">
        <v>0</v>
      </c>
      <c r="F279" s="196" t="n">
        <v>0</v>
      </c>
      <c r="G279" s="196" t="n">
        <v>0</v>
      </c>
      <c r="H279" s="196" t="n">
        <v>0</v>
      </c>
      <c r="I279" s="197" t="n">
        <v>0</v>
      </c>
    </row>
    <row r="280" customFormat="false" ht="15" hidden="false" customHeight="false" outlineLevel="0" collapsed="false">
      <c r="A280" s="213" t="s">
        <v>552</v>
      </c>
      <c r="B280" s="195"/>
      <c r="C280" s="196" t="n">
        <v>0</v>
      </c>
      <c r="D280" s="196" t="n">
        <v>0</v>
      </c>
      <c r="E280" s="196" t="n">
        <v>0</v>
      </c>
      <c r="F280" s="196" t="n">
        <v>0</v>
      </c>
      <c r="G280" s="196" t="n">
        <v>0</v>
      </c>
      <c r="H280" s="196" t="n">
        <v>0</v>
      </c>
      <c r="I280" s="197" t="n">
        <v>0</v>
      </c>
    </row>
    <row r="281" customFormat="false" ht="15" hidden="false" customHeight="false" outlineLevel="0" collapsed="false">
      <c r="A281" s="213" t="s">
        <v>553</v>
      </c>
      <c r="B281" s="195"/>
      <c r="C281" s="196" t="n">
        <v>0</v>
      </c>
      <c r="D281" s="196" t="n">
        <v>0</v>
      </c>
      <c r="E281" s="196" t="n">
        <v>0</v>
      </c>
      <c r="F281" s="196" t="n">
        <v>0</v>
      </c>
      <c r="G281" s="196" t="n">
        <v>0</v>
      </c>
      <c r="H281" s="196" t="n">
        <v>0</v>
      </c>
      <c r="I281" s="197" t="n">
        <v>0</v>
      </c>
    </row>
    <row r="282" customFormat="false" ht="15" hidden="false" customHeight="false" outlineLevel="0" collapsed="false">
      <c r="A282" s="213" t="s">
        <v>554</v>
      </c>
      <c r="B282" s="195"/>
      <c r="C282" s="196" t="n">
        <v>0</v>
      </c>
      <c r="D282" s="196" t="n">
        <v>0</v>
      </c>
      <c r="E282" s="196" t="n">
        <v>0</v>
      </c>
      <c r="F282" s="196" t="n">
        <v>0</v>
      </c>
      <c r="G282" s="196" t="n">
        <v>0</v>
      </c>
      <c r="H282" s="196" t="n">
        <v>0</v>
      </c>
      <c r="I282" s="197" t="n">
        <v>0</v>
      </c>
    </row>
    <row r="283" customFormat="false" ht="15" hidden="false" customHeight="false" outlineLevel="0" collapsed="false">
      <c r="A283" s="213" t="s">
        <v>555</v>
      </c>
      <c r="B283" s="195"/>
      <c r="C283" s="196" t="n">
        <v>0</v>
      </c>
      <c r="D283" s="196" t="n">
        <v>0</v>
      </c>
      <c r="E283" s="196" t="n">
        <v>0</v>
      </c>
      <c r="F283" s="196" t="n">
        <v>0</v>
      </c>
      <c r="G283" s="196" t="n">
        <v>0</v>
      </c>
      <c r="H283" s="196" t="n">
        <v>0</v>
      </c>
      <c r="I283" s="197" t="n">
        <v>0</v>
      </c>
    </row>
    <row r="284" customFormat="false" ht="15" hidden="false" customHeight="false" outlineLevel="0" collapsed="false">
      <c r="A284" s="213" t="s">
        <v>556</v>
      </c>
      <c r="B284" s="195"/>
      <c r="C284" s="196" t="n">
        <v>0</v>
      </c>
      <c r="D284" s="196" t="n">
        <v>0</v>
      </c>
      <c r="E284" s="196" t="n">
        <v>0</v>
      </c>
      <c r="F284" s="196" t="n">
        <v>0</v>
      </c>
      <c r="G284" s="196" t="n">
        <v>0</v>
      </c>
      <c r="H284" s="196" t="n">
        <v>0</v>
      </c>
      <c r="I284" s="197" t="n">
        <v>0</v>
      </c>
    </row>
    <row r="285" customFormat="false" ht="15" hidden="false" customHeight="false" outlineLevel="0" collapsed="false">
      <c r="A285" s="213" t="s">
        <v>557</v>
      </c>
      <c r="B285" s="195"/>
      <c r="C285" s="196" t="n">
        <v>0</v>
      </c>
      <c r="D285" s="196" t="n">
        <v>0</v>
      </c>
      <c r="E285" s="196" t="n">
        <v>0</v>
      </c>
      <c r="F285" s="196" t="n">
        <v>0</v>
      </c>
      <c r="G285" s="196" t="n">
        <v>0</v>
      </c>
      <c r="H285" s="196" t="n">
        <v>0</v>
      </c>
      <c r="I285" s="197" t="n">
        <v>0</v>
      </c>
    </row>
    <row r="286" customFormat="false" ht="15" hidden="false" customHeight="false" outlineLevel="0" collapsed="false">
      <c r="A286" s="213" t="s">
        <v>558</v>
      </c>
      <c r="B286" s="195"/>
      <c r="C286" s="196" t="n">
        <v>0</v>
      </c>
      <c r="D286" s="196" t="n">
        <v>0</v>
      </c>
      <c r="E286" s="196" t="n">
        <v>0</v>
      </c>
      <c r="F286" s="196" t="n">
        <v>0</v>
      </c>
      <c r="G286" s="196" t="n">
        <v>0</v>
      </c>
      <c r="H286" s="196" t="n">
        <v>0</v>
      </c>
      <c r="I286" s="197" t="n">
        <v>0</v>
      </c>
    </row>
    <row r="287" customFormat="false" ht="15" hidden="false" customHeight="false" outlineLevel="0" collapsed="false">
      <c r="A287" s="213" t="s">
        <v>559</v>
      </c>
      <c r="B287" s="195"/>
      <c r="C287" s="196" t="n">
        <v>0</v>
      </c>
      <c r="D287" s="196" t="n">
        <v>0</v>
      </c>
      <c r="E287" s="196" t="n">
        <v>0</v>
      </c>
      <c r="F287" s="196" t="n">
        <v>0</v>
      </c>
      <c r="G287" s="196" t="n">
        <v>0</v>
      </c>
      <c r="H287" s="196" t="n">
        <v>0</v>
      </c>
      <c r="I287" s="197" t="n">
        <v>0</v>
      </c>
    </row>
    <row r="288" customFormat="false" ht="15" hidden="false" customHeight="false" outlineLevel="0" collapsed="false">
      <c r="A288" s="213" t="s">
        <v>560</v>
      </c>
      <c r="B288" s="195"/>
      <c r="C288" s="196" t="n">
        <v>0</v>
      </c>
      <c r="D288" s="196" t="n">
        <v>0</v>
      </c>
      <c r="E288" s="196" t="n">
        <v>0</v>
      </c>
      <c r="F288" s="196" t="n">
        <v>0</v>
      </c>
      <c r="G288" s="196" t="n">
        <v>0</v>
      </c>
      <c r="H288" s="196" t="n">
        <v>0</v>
      </c>
      <c r="I288" s="197" t="n">
        <v>0</v>
      </c>
    </row>
    <row r="289" customFormat="false" ht="15" hidden="false" customHeight="false" outlineLevel="0" collapsed="false">
      <c r="A289" s="213" t="s">
        <v>561</v>
      </c>
      <c r="B289" s="195"/>
      <c r="C289" s="196" t="n">
        <v>0</v>
      </c>
      <c r="D289" s="196" t="n">
        <v>0</v>
      </c>
      <c r="E289" s="196" t="n">
        <v>0</v>
      </c>
      <c r="F289" s="196" t="n">
        <v>0</v>
      </c>
      <c r="G289" s="196" t="n">
        <v>0</v>
      </c>
      <c r="H289" s="196" t="n">
        <v>0</v>
      </c>
      <c r="I289" s="197" t="n">
        <v>0</v>
      </c>
    </row>
    <row r="290" customFormat="false" ht="15" hidden="false" customHeight="false" outlineLevel="0" collapsed="false">
      <c r="A290" s="213" t="s">
        <v>562</v>
      </c>
      <c r="B290" s="195"/>
      <c r="C290" s="196" t="n">
        <v>0</v>
      </c>
      <c r="D290" s="196" t="n">
        <v>0</v>
      </c>
      <c r="E290" s="196" t="n">
        <v>0</v>
      </c>
      <c r="F290" s="196" t="n">
        <v>0</v>
      </c>
      <c r="G290" s="196" t="n">
        <v>0</v>
      </c>
      <c r="H290" s="196" t="n">
        <v>0</v>
      </c>
      <c r="I290" s="197" t="n">
        <v>0</v>
      </c>
    </row>
    <row r="291" customFormat="false" ht="15" hidden="false" customHeight="false" outlineLevel="0" collapsed="false">
      <c r="A291" s="213" t="s">
        <v>563</v>
      </c>
      <c r="B291" s="195"/>
      <c r="C291" s="196" t="n">
        <v>0</v>
      </c>
      <c r="D291" s="196" t="n">
        <v>0</v>
      </c>
      <c r="E291" s="196" t="n">
        <v>0</v>
      </c>
      <c r="F291" s="196" t="n">
        <v>0</v>
      </c>
      <c r="G291" s="196" t="n">
        <v>0</v>
      </c>
      <c r="H291" s="196" t="n">
        <v>0</v>
      </c>
      <c r="I291" s="197" t="n">
        <v>0</v>
      </c>
    </row>
    <row r="292" customFormat="false" ht="15" hidden="false" customHeight="false" outlineLevel="0" collapsed="false">
      <c r="A292" s="213" t="s">
        <v>564</v>
      </c>
      <c r="B292" s="195"/>
      <c r="C292" s="196" t="n">
        <v>0</v>
      </c>
      <c r="D292" s="196" t="n">
        <v>0</v>
      </c>
      <c r="E292" s="196" t="n">
        <v>0</v>
      </c>
      <c r="F292" s="196" t="n">
        <v>0</v>
      </c>
      <c r="G292" s="196" t="n">
        <v>0</v>
      </c>
      <c r="H292" s="196" t="n">
        <v>0</v>
      </c>
      <c r="I292" s="197" t="n">
        <v>0</v>
      </c>
    </row>
    <row r="293" customFormat="false" ht="15" hidden="false" customHeight="false" outlineLevel="0" collapsed="false">
      <c r="A293" s="213" t="s">
        <v>565</v>
      </c>
      <c r="B293" s="195"/>
      <c r="C293" s="196" t="n">
        <v>0</v>
      </c>
      <c r="D293" s="196" t="n">
        <v>0</v>
      </c>
      <c r="E293" s="196" t="n">
        <v>0</v>
      </c>
      <c r="F293" s="196" t="n">
        <v>0</v>
      </c>
      <c r="G293" s="196" t="n">
        <v>0</v>
      </c>
      <c r="H293" s="196" t="n">
        <v>0</v>
      </c>
      <c r="I293" s="197" t="n">
        <v>0</v>
      </c>
    </row>
    <row r="294" customFormat="false" ht="15" hidden="false" customHeight="false" outlineLevel="0" collapsed="false">
      <c r="A294" s="213" t="s">
        <v>566</v>
      </c>
      <c r="B294" s="195"/>
      <c r="C294" s="196" t="n">
        <v>0</v>
      </c>
      <c r="D294" s="196" t="n">
        <v>0</v>
      </c>
      <c r="E294" s="196" t="n">
        <v>0</v>
      </c>
      <c r="F294" s="196" t="n">
        <v>0</v>
      </c>
      <c r="G294" s="196" t="n">
        <v>0</v>
      </c>
      <c r="H294" s="196" t="n">
        <v>0</v>
      </c>
      <c r="I294" s="197" t="n">
        <v>0</v>
      </c>
    </row>
    <row r="295" customFormat="false" ht="15" hidden="false" customHeight="false" outlineLevel="0" collapsed="false">
      <c r="A295" s="213" t="s">
        <v>567</v>
      </c>
      <c r="B295" s="195" t="s">
        <v>477</v>
      </c>
      <c r="C295" s="196" t="n">
        <v>0</v>
      </c>
      <c r="D295" s="196" t="n">
        <v>0</v>
      </c>
      <c r="E295" s="196" t="n">
        <v>0</v>
      </c>
      <c r="F295" s="196" t="n">
        <v>0</v>
      </c>
      <c r="G295" s="196" t="n">
        <v>0</v>
      </c>
      <c r="H295" s="196" t="n">
        <v>0</v>
      </c>
      <c r="I295" s="197" t="n">
        <v>0</v>
      </c>
    </row>
    <row r="296" customFormat="false" ht="15" hidden="false" customHeight="false" outlineLevel="0" collapsed="false">
      <c r="A296" s="213" t="s">
        <v>568</v>
      </c>
      <c r="B296" s="195" t="s">
        <v>477</v>
      </c>
      <c r="C296" s="196" t="n">
        <v>0</v>
      </c>
      <c r="D296" s="196" t="n">
        <v>0</v>
      </c>
      <c r="E296" s="196" t="n">
        <v>0</v>
      </c>
      <c r="F296" s="196" t="n">
        <v>0</v>
      </c>
      <c r="G296" s="196" t="n">
        <v>0</v>
      </c>
      <c r="H296" s="196" t="n">
        <v>0</v>
      </c>
      <c r="I296" s="197" t="n">
        <v>0</v>
      </c>
    </row>
    <row r="297" customFormat="false" ht="15" hidden="false" customHeight="false" outlineLevel="0" collapsed="false">
      <c r="A297" s="213" t="s">
        <v>569</v>
      </c>
      <c r="B297" s="195" t="s">
        <v>477</v>
      </c>
      <c r="C297" s="196" t="n">
        <v>0</v>
      </c>
      <c r="D297" s="196" t="n">
        <v>0</v>
      </c>
      <c r="E297" s="196" t="n">
        <v>0</v>
      </c>
      <c r="F297" s="196" t="n">
        <v>0</v>
      </c>
      <c r="G297" s="196" t="n">
        <v>0</v>
      </c>
      <c r="H297" s="196" t="n">
        <v>0</v>
      </c>
      <c r="I297" s="197" t="n">
        <v>0</v>
      </c>
    </row>
    <row r="298" customFormat="false" ht="15" hidden="false" customHeight="false" outlineLevel="0" collapsed="false">
      <c r="A298" s="213" t="s">
        <v>570</v>
      </c>
      <c r="B298" s="195" t="s">
        <v>477</v>
      </c>
      <c r="C298" s="196" t="n">
        <v>0</v>
      </c>
      <c r="D298" s="196" t="n">
        <v>0</v>
      </c>
      <c r="E298" s="196" t="n">
        <v>0</v>
      </c>
      <c r="F298" s="196" t="n">
        <v>0</v>
      </c>
      <c r="G298" s="196" t="n">
        <v>0</v>
      </c>
      <c r="H298" s="196" t="n">
        <v>0</v>
      </c>
      <c r="I298" s="197" t="n">
        <v>0</v>
      </c>
    </row>
    <row r="299" customFormat="false" ht="15" hidden="false" customHeight="false" outlineLevel="0" collapsed="false">
      <c r="A299" s="213" t="s">
        <v>571</v>
      </c>
      <c r="B299" s="195" t="s">
        <v>477</v>
      </c>
      <c r="C299" s="196" t="n">
        <v>0</v>
      </c>
      <c r="D299" s="196" t="n">
        <v>0</v>
      </c>
      <c r="E299" s="196" t="n">
        <v>0</v>
      </c>
      <c r="F299" s="196" t="n">
        <v>0</v>
      </c>
      <c r="G299" s="196" t="n">
        <v>0</v>
      </c>
      <c r="H299" s="196" t="n">
        <v>0</v>
      </c>
      <c r="I299" s="197" t="n">
        <v>0</v>
      </c>
    </row>
    <row r="300" customFormat="false" ht="15" hidden="false" customHeight="false" outlineLevel="0" collapsed="false">
      <c r="A300" s="213" t="s">
        <v>572</v>
      </c>
      <c r="B300" s="195" t="s">
        <v>477</v>
      </c>
      <c r="C300" s="196" t="n">
        <v>0</v>
      </c>
      <c r="D300" s="196" t="n">
        <v>0</v>
      </c>
      <c r="E300" s="196" t="n">
        <v>0</v>
      </c>
      <c r="F300" s="196" t="n">
        <v>0</v>
      </c>
      <c r="G300" s="196" t="n">
        <v>0</v>
      </c>
      <c r="H300" s="196" t="n">
        <v>0</v>
      </c>
      <c r="I300" s="197" t="n">
        <v>0</v>
      </c>
    </row>
    <row r="301" customFormat="false" ht="15" hidden="false" customHeight="false" outlineLevel="0" collapsed="false">
      <c r="A301" s="213" t="s">
        <v>573</v>
      </c>
      <c r="B301" s="195" t="s">
        <v>477</v>
      </c>
      <c r="C301" s="196" t="n">
        <v>0</v>
      </c>
      <c r="D301" s="196" t="n">
        <v>0</v>
      </c>
      <c r="E301" s="196" t="n">
        <v>0</v>
      </c>
      <c r="F301" s="196" t="n">
        <v>0</v>
      </c>
      <c r="G301" s="196" t="n">
        <v>0</v>
      </c>
      <c r="H301" s="196" t="n">
        <v>0</v>
      </c>
      <c r="I301" s="197" t="n">
        <v>0</v>
      </c>
    </row>
    <row r="302" customFormat="false" ht="15" hidden="false" customHeight="false" outlineLevel="0" collapsed="false">
      <c r="A302" s="213" t="s">
        <v>574</v>
      </c>
      <c r="B302" s="195" t="s">
        <v>477</v>
      </c>
      <c r="C302" s="196" t="n">
        <v>0</v>
      </c>
      <c r="D302" s="196" t="n">
        <v>0</v>
      </c>
      <c r="E302" s="196" t="n">
        <v>0</v>
      </c>
      <c r="F302" s="196" t="n">
        <v>0</v>
      </c>
      <c r="G302" s="196" t="n">
        <v>0</v>
      </c>
      <c r="H302" s="196" t="n">
        <v>0</v>
      </c>
      <c r="I302" s="197" t="n">
        <v>0</v>
      </c>
    </row>
    <row r="303" customFormat="false" ht="15" hidden="false" customHeight="false" outlineLevel="0" collapsed="false">
      <c r="A303" s="213" t="s">
        <v>575</v>
      </c>
      <c r="B303" s="195" t="s">
        <v>477</v>
      </c>
      <c r="C303" s="196" t="n">
        <v>0</v>
      </c>
      <c r="D303" s="196" t="n">
        <v>0</v>
      </c>
      <c r="E303" s="196" t="n">
        <v>0</v>
      </c>
      <c r="F303" s="196" t="n">
        <v>0</v>
      </c>
      <c r="G303" s="196" t="n">
        <v>0</v>
      </c>
      <c r="H303" s="196" t="n">
        <v>0</v>
      </c>
      <c r="I303" s="197" t="n">
        <v>0</v>
      </c>
    </row>
    <row r="304" customFormat="false" ht="15" hidden="false" customHeight="false" outlineLevel="0" collapsed="false">
      <c r="A304" s="213" t="s">
        <v>576</v>
      </c>
      <c r="B304" s="195" t="s">
        <v>477</v>
      </c>
      <c r="C304" s="196" t="n">
        <v>0</v>
      </c>
      <c r="D304" s="196" t="n">
        <v>0</v>
      </c>
      <c r="E304" s="196" t="n">
        <v>0</v>
      </c>
      <c r="F304" s="196" t="n">
        <v>0</v>
      </c>
      <c r="G304" s="196" t="n">
        <v>0</v>
      </c>
      <c r="H304" s="196" t="n">
        <v>0</v>
      </c>
      <c r="I304" s="197" t="n">
        <v>0</v>
      </c>
    </row>
    <row r="305" customFormat="false" ht="15" hidden="false" customHeight="false" outlineLevel="0" collapsed="false">
      <c r="A305" s="213" t="s">
        <v>577</v>
      </c>
      <c r="B305" s="195" t="s">
        <v>477</v>
      </c>
      <c r="C305" s="196" t="n">
        <v>0</v>
      </c>
      <c r="D305" s="196" t="n">
        <v>0</v>
      </c>
      <c r="E305" s="196" t="n">
        <v>0</v>
      </c>
      <c r="F305" s="196" t="n">
        <v>0</v>
      </c>
      <c r="G305" s="196" t="n">
        <v>0</v>
      </c>
      <c r="H305" s="196" t="n">
        <v>0</v>
      </c>
      <c r="I305" s="197" t="n">
        <v>0</v>
      </c>
    </row>
    <row r="306" customFormat="false" ht="15" hidden="false" customHeight="false" outlineLevel="0" collapsed="false">
      <c r="A306" s="213" t="s">
        <v>578</v>
      </c>
      <c r="B306" s="195" t="s">
        <v>477</v>
      </c>
      <c r="C306" s="196" t="n">
        <v>0</v>
      </c>
      <c r="D306" s="196" t="n">
        <v>0</v>
      </c>
      <c r="E306" s="196" t="n">
        <v>0</v>
      </c>
      <c r="F306" s="196" t="n">
        <v>0</v>
      </c>
      <c r="G306" s="196" t="n">
        <v>0</v>
      </c>
      <c r="H306" s="196" t="n">
        <v>0</v>
      </c>
      <c r="I306" s="197" t="n">
        <v>0</v>
      </c>
    </row>
    <row r="307" customFormat="false" ht="15" hidden="false" customHeight="false" outlineLevel="0" collapsed="false">
      <c r="A307" s="213" t="s">
        <v>579</v>
      </c>
      <c r="B307" s="195" t="s">
        <v>477</v>
      </c>
      <c r="C307" s="196" t="n">
        <v>0</v>
      </c>
      <c r="D307" s="196" t="n">
        <v>0</v>
      </c>
      <c r="E307" s="196" t="n">
        <v>0</v>
      </c>
      <c r="F307" s="196" t="n">
        <v>0</v>
      </c>
      <c r="G307" s="196" t="n">
        <v>0</v>
      </c>
      <c r="H307" s="196" t="n">
        <v>0</v>
      </c>
      <c r="I307" s="197" t="n">
        <v>0</v>
      </c>
    </row>
    <row r="308" customFormat="false" ht="15" hidden="false" customHeight="false" outlineLevel="0" collapsed="false">
      <c r="A308" s="213" t="s">
        <v>580</v>
      </c>
      <c r="B308" s="195" t="s">
        <v>477</v>
      </c>
      <c r="C308" s="196" t="n">
        <v>0</v>
      </c>
      <c r="D308" s="196" t="n">
        <v>0</v>
      </c>
      <c r="E308" s="196" t="n">
        <v>0</v>
      </c>
      <c r="F308" s="196" t="n">
        <v>0</v>
      </c>
      <c r="G308" s="196" t="n">
        <v>0</v>
      </c>
      <c r="H308" s="196" t="n">
        <v>0</v>
      </c>
      <c r="I308" s="197" t="n">
        <v>0</v>
      </c>
    </row>
    <row r="309" customFormat="false" ht="15" hidden="false" customHeight="false" outlineLevel="0" collapsed="false">
      <c r="A309" s="213" t="s">
        <v>581</v>
      </c>
      <c r="B309" s="195" t="s">
        <v>477</v>
      </c>
      <c r="C309" s="196" t="n">
        <v>0</v>
      </c>
      <c r="D309" s="196" t="n">
        <v>0</v>
      </c>
      <c r="E309" s="196" t="n">
        <v>0</v>
      </c>
      <c r="F309" s="196" t="n">
        <v>0</v>
      </c>
      <c r="G309" s="196" t="n">
        <v>0</v>
      </c>
      <c r="H309" s="196" t="n">
        <v>0</v>
      </c>
      <c r="I309" s="197" t="n">
        <v>0</v>
      </c>
    </row>
    <row r="310" customFormat="false" ht="15" hidden="false" customHeight="false" outlineLevel="0" collapsed="false">
      <c r="A310" s="213" t="s">
        <v>582</v>
      </c>
      <c r="B310" s="195" t="s">
        <v>477</v>
      </c>
      <c r="C310" s="196" t="n">
        <v>0</v>
      </c>
      <c r="D310" s="196" t="n">
        <v>0</v>
      </c>
      <c r="E310" s="196" t="n">
        <v>0</v>
      </c>
      <c r="F310" s="196" t="n">
        <v>0</v>
      </c>
      <c r="G310" s="196" t="n">
        <v>0</v>
      </c>
      <c r="H310" s="196" t="n">
        <v>0</v>
      </c>
      <c r="I310" s="197" t="n">
        <v>0</v>
      </c>
    </row>
    <row r="311" customFormat="false" ht="15" hidden="false" customHeight="false" outlineLevel="0" collapsed="false">
      <c r="A311" s="213" t="s">
        <v>583</v>
      </c>
      <c r="B311" s="195" t="s">
        <v>477</v>
      </c>
      <c r="C311" s="196" t="n">
        <v>0</v>
      </c>
      <c r="D311" s="196" t="n">
        <v>0</v>
      </c>
      <c r="E311" s="196" t="n">
        <v>0</v>
      </c>
      <c r="F311" s="196" t="n">
        <v>0</v>
      </c>
      <c r="G311" s="196" t="n">
        <v>0</v>
      </c>
      <c r="H311" s="196" t="n">
        <v>0</v>
      </c>
      <c r="I311" s="197" t="n">
        <v>0</v>
      </c>
    </row>
    <row r="312" customFormat="false" ht="15" hidden="false" customHeight="false" outlineLevel="0" collapsed="false">
      <c r="A312" s="213" t="s">
        <v>584</v>
      </c>
      <c r="B312" s="195" t="s">
        <v>477</v>
      </c>
      <c r="C312" s="196" t="n">
        <v>0</v>
      </c>
      <c r="D312" s="196" t="n">
        <v>0</v>
      </c>
      <c r="E312" s="196" t="n">
        <v>0</v>
      </c>
      <c r="F312" s="196" t="n">
        <v>0</v>
      </c>
      <c r="G312" s="196" t="n">
        <v>0</v>
      </c>
      <c r="H312" s="196" t="n">
        <v>0</v>
      </c>
      <c r="I312" s="197" t="n">
        <v>0</v>
      </c>
    </row>
    <row r="313" customFormat="false" ht="15" hidden="false" customHeight="false" outlineLevel="0" collapsed="false">
      <c r="A313" s="213" t="s">
        <v>585</v>
      </c>
      <c r="B313" s="195" t="s">
        <v>477</v>
      </c>
      <c r="C313" s="196" t="n">
        <v>0</v>
      </c>
      <c r="D313" s="196" t="n">
        <v>0</v>
      </c>
      <c r="E313" s="196" t="n">
        <v>0</v>
      </c>
      <c r="F313" s="196" t="n">
        <v>0</v>
      </c>
      <c r="G313" s="196" t="n">
        <v>0</v>
      </c>
      <c r="H313" s="196" t="n">
        <v>0</v>
      </c>
      <c r="I313" s="197" t="n">
        <v>0</v>
      </c>
    </row>
    <row r="314" customFormat="false" ht="15" hidden="false" customHeight="false" outlineLevel="0" collapsed="false">
      <c r="A314" s="213" t="s">
        <v>586</v>
      </c>
      <c r="B314" s="195" t="s">
        <v>477</v>
      </c>
      <c r="C314" s="196" t="n">
        <v>0</v>
      </c>
      <c r="D314" s="196" t="n">
        <v>0</v>
      </c>
      <c r="E314" s="196" t="n">
        <v>0</v>
      </c>
      <c r="F314" s="196" t="n">
        <v>0</v>
      </c>
      <c r="G314" s="196" t="n">
        <v>0</v>
      </c>
      <c r="H314" s="196" t="n">
        <v>0</v>
      </c>
      <c r="I314" s="197" t="n">
        <v>0</v>
      </c>
    </row>
    <row r="315" customFormat="false" ht="15" hidden="false" customHeight="false" outlineLevel="0" collapsed="false">
      <c r="A315" s="213" t="s">
        <v>587</v>
      </c>
      <c r="B315" s="195" t="s">
        <v>477</v>
      </c>
      <c r="C315" s="196" t="n">
        <v>0</v>
      </c>
      <c r="D315" s="196" t="n">
        <v>0</v>
      </c>
      <c r="E315" s="196" t="n">
        <v>0</v>
      </c>
      <c r="F315" s="196" t="n">
        <v>0</v>
      </c>
      <c r="G315" s="196" t="n">
        <v>0</v>
      </c>
      <c r="H315" s="196" t="n">
        <v>0</v>
      </c>
      <c r="I315" s="197" t="n">
        <v>0</v>
      </c>
    </row>
    <row r="316" customFormat="false" ht="15" hidden="false" customHeight="false" outlineLevel="0" collapsed="false">
      <c r="A316" s="213" t="s">
        <v>588</v>
      </c>
      <c r="B316" s="195" t="s">
        <v>477</v>
      </c>
      <c r="C316" s="196" t="n">
        <v>0</v>
      </c>
      <c r="D316" s="196" t="n">
        <v>0</v>
      </c>
      <c r="E316" s="196" t="n">
        <v>0</v>
      </c>
      <c r="F316" s="196" t="n">
        <v>0</v>
      </c>
      <c r="G316" s="196" t="n">
        <v>0</v>
      </c>
      <c r="H316" s="196" t="n">
        <v>0</v>
      </c>
      <c r="I316" s="197" t="n">
        <v>0</v>
      </c>
    </row>
    <row r="317" customFormat="false" ht="15" hidden="false" customHeight="false" outlineLevel="0" collapsed="false">
      <c r="A317" s="361" t="s">
        <v>614</v>
      </c>
      <c r="B317" s="204"/>
      <c r="C317" s="204"/>
      <c r="D317" s="204"/>
      <c r="E317" s="204"/>
      <c r="F317" s="204"/>
      <c r="G317" s="204"/>
      <c r="H317" s="362"/>
      <c r="I317" s="204"/>
      <c r="J317" s="356"/>
    </row>
    <row r="318" customFormat="false" ht="15" hidden="false" customHeight="false" outlineLevel="0" collapsed="false">
      <c r="A318" s="213" t="s">
        <v>539</v>
      </c>
      <c r="B318" s="195" t="s">
        <v>11</v>
      </c>
      <c r="C318" s="196" t="n">
        <v>0</v>
      </c>
      <c r="D318" s="196" t="n">
        <v>0</v>
      </c>
      <c r="E318" s="196" t="n">
        <v>0</v>
      </c>
      <c r="F318" s="196" t="n">
        <v>0</v>
      </c>
      <c r="G318" s="196" t="n">
        <v>0</v>
      </c>
      <c r="H318" s="196" t="n">
        <v>0</v>
      </c>
      <c r="I318" s="196" t="n">
        <v>0</v>
      </c>
    </row>
    <row r="319" customFormat="false" ht="15" hidden="false" customHeight="false" outlineLevel="0" collapsed="false">
      <c r="A319" s="213" t="s">
        <v>542</v>
      </c>
      <c r="B319" s="195" t="s">
        <v>11</v>
      </c>
      <c r="C319" s="196" t="n">
        <v>0</v>
      </c>
      <c r="D319" s="196" t="n">
        <v>0</v>
      </c>
      <c r="E319" s="196" t="n">
        <v>0</v>
      </c>
      <c r="F319" s="196" t="n">
        <v>0</v>
      </c>
      <c r="G319" s="196" t="n">
        <v>0</v>
      </c>
      <c r="H319" s="196" t="n">
        <v>0</v>
      </c>
      <c r="I319" s="196" t="n">
        <v>0</v>
      </c>
      <c r="J319" s="356"/>
    </row>
    <row r="320" customFormat="false" ht="15" hidden="false" customHeight="false" outlineLevel="0" collapsed="false">
      <c r="A320" s="213" t="s">
        <v>543</v>
      </c>
      <c r="B320" s="195" t="s">
        <v>11</v>
      </c>
      <c r="C320" s="196" t="n">
        <v>0</v>
      </c>
      <c r="D320" s="196" t="n">
        <v>0</v>
      </c>
      <c r="E320" s="196" t="n">
        <v>0</v>
      </c>
      <c r="F320" s="196" t="n">
        <v>0</v>
      </c>
      <c r="G320" s="196" t="n">
        <v>0</v>
      </c>
      <c r="H320" s="196" t="n">
        <v>0</v>
      </c>
      <c r="I320" s="196" t="n">
        <v>0</v>
      </c>
      <c r="J320" s="356"/>
    </row>
    <row r="321" customFormat="false" ht="15" hidden="false" customHeight="false" outlineLevel="0" collapsed="false">
      <c r="A321" s="213" t="s">
        <v>544</v>
      </c>
      <c r="B321" s="195" t="s">
        <v>11</v>
      </c>
      <c r="C321" s="196" t="n">
        <v>0</v>
      </c>
      <c r="D321" s="196" t="n">
        <v>0</v>
      </c>
      <c r="E321" s="196" t="n">
        <v>0</v>
      </c>
      <c r="F321" s="196" t="n">
        <v>0</v>
      </c>
      <c r="G321" s="196" t="n">
        <v>0</v>
      </c>
      <c r="H321" s="196" t="n">
        <v>0</v>
      </c>
      <c r="I321" s="196" t="n">
        <v>0</v>
      </c>
      <c r="J321" s="356"/>
    </row>
    <row r="322" customFormat="false" ht="15" hidden="false" customHeight="false" outlineLevel="0" collapsed="false">
      <c r="A322" s="213" t="s">
        <v>545</v>
      </c>
      <c r="B322" s="195" t="s">
        <v>11</v>
      </c>
      <c r="C322" s="196" t="n">
        <v>0</v>
      </c>
      <c r="D322" s="196" t="n">
        <v>0</v>
      </c>
      <c r="E322" s="196" t="n">
        <v>0</v>
      </c>
      <c r="F322" s="196" t="n">
        <v>0</v>
      </c>
      <c r="G322" s="196" t="n">
        <v>0</v>
      </c>
      <c r="H322" s="196" t="n">
        <v>0</v>
      </c>
      <c r="I322" s="196" t="n">
        <v>0</v>
      </c>
      <c r="J322" s="356"/>
    </row>
    <row r="323" customFormat="false" ht="15" hidden="false" customHeight="false" outlineLevel="0" collapsed="false">
      <c r="A323" s="213" t="s">
        <v>546</v>
      </c>
      <c r="B323" s="195" t="s">
        <v>11</v>
      </c>
      <c r="C323" s="196" t="n">
        <v>0</v>
      </c>
      <c r="D323" s="196" t="n">
        <v>0</v>
      </c>
      <c r="E323" s="196" t="n">
        <v>0</v>
      </c>
      <c r="F323" s="196" t="n">
        <v>0</v>
      </c>
      <c r="G323" s="196" t="n">
        <v>0</v>
      </c>
      <c r="H323" s="196" t="n">
        <v>0</v>
      </c>
      <c r="I323" s="196" t="n">
        <v>0</v>
      </c>
      <c r="J323" s="356"/>
    </row>
    <row r="324" customFormat="false" ht="15" hidden="false" customHeight="false" outlineLevel="0" collapsed="false">
      <c r="A324" s="213" t="s">
        <v>547</v>
      </c>
      <c r="B324" s="195" t="s">
        <v>11</v>
      </c>
      <c r="C324" s="196" t="n">
        <v>0.85</v>
      </c>
      <c r="D324" s="196" t="n">
        <v>0.85</v>
      </c>
      <c r="E324" s="196" t="n">
        <v>0.85</v>
      </c>
      <c r="F324" s="196" t="n">
        <v>0.85</v>
      </c>
      <c r="G324" s="196" t="n">
        <v>0.85</v>
      </c>
      <c r="H324" s="196" t="n">
        <v>0.85</v>
      </c>
      <c r="I324" s="196" t="n">
        <v>0.85</v>
      </c>
      <c r="J324" s="356"/>
    </row>
    <row r="325" customFormat="false" ht="15" hidden="false" customHeight="false" outlineLevel="0" collapsed="false">
      <c r="A325" s="213" t="s">
        <v>548</v>
      </c>
      <c r="B325" s="195" t="s">
        <v>11</v>
      </c>
      <c r="C325" s="196" t="n">
        <v>0</v>
      </c>
      <c r="D325" s="196" t="n">
        <v>0</v>
      </c>
      <c r="E325" s="196" t="n">
        <v>0</v>
      </c>
      <c r="F325" s="196" t="n">
        <v>0</v>
      </c>
      <c r="G325" s="196" t="n">
        <v>0</v>
      </c>
      <c r="H325" s="196" t="n">
        <v>0</v>
      </c>
      <c r="I325" s="196" t="n">
        <v>0</v>
      </c>
      <c r="J325" s="356"/>
    </row>
    <row r="326" customFormat="false" ht="15" hidden="false" customHeight="false" outlineLevel="0" collapsed="false">
      <c r="A326" s="213" t="s">
        <v>332</v>
      </c>
      <c r="B326" s="195" t="s">
        <v>11</v>
      </c>
      <c r="C326" s="196" t="n">
        <v>0</v>
      </c>
      <c r="D326" s="196" t="n">
        <v>0</v>
      </c>
      <c r="E326" s="196" t="n">
        <v>0</v>
      </c>
      <c r="F326" s="196" t="n">
        <v>0</v>
      </c>
      <c r="G326" s="196" t="n">
        <v>0</v>
      </c>
      <c r="H326" s="196" t="n">
        <v>0</v>
      </c>
      <c r="I326" s="196" t="n">
        <v>0</v>
      </c>
      <c r="J326" s="356"/>
    </row>
    <row r="327" customFormat="false" ht="15" hidden="false" customHeight="false" outlineLevel="0" collapsed="false">
      <c r="A327" s="213" t="s">
        <v>347</v>
      </c>
      <c r="B327" s="195" t="s">
        <v>11</v>
      </c>
      <c r="C327" s="196" t="n">
        <v>0</v>
      </c>
      <c r="D327" s="196" t="n">
        <v>0</v>
      </c>
      <c r="E327" s="196" t="n">
        <v>0</v>
      </c>
      <c r="F327" s="196" t="n">
        <v>0</v>
      </c>
      <c r="G327" s="196" t="n">
        <v>0</v>
      </c>
      <c r="H327" s="196" t="n">
        <v>0</v>
      </c>
      <c r="I327" s="196" t="n">
        <v>0</v>
      </c>
      <c r="J327" s="356"/>
    </row>
    <row r="328" customFormat="false" ht="15" hidden="false" customHeight="false" outlineLevel="0" collapsed="false">
      <c r="A328" s="213" t="s">
        <v>549</v>
      </c>
      <c r="B328" s="195" t="s">
        <v>11</v>
      </c>
      <c r="C328" s="196" t="n">
        <v>0</v>
      </c>
      <c r="D328" s="196" t="n">
        <v>0</v>
      </c>
      <c r="E328" s="196" t="n">
        <v>0</v>
      </c>
      <c r="F328" s="196" t="n">
        <v>0</v>
      </c>
      <c r="G328" s="196" t="n">
        <v>0</v>
      </c>
      <c r="H328" s="196" t="n">
        <v>0</v>
      </c>
      <c r="I328" s="196" t="n">
        <v>0</v>
      </c>
      <c r="J328" s="356"/>
    </row>
    <row r="329" customFormat="false" ht="15" hidden="false" customHeight="false" outlineLevel="0" collapsed="false">
      <c r="A329" s="213" t="s">
        <v>550</v>
      </c>
      <c r="B329" s="195" t="s">
        <v>11</v>
      </c>
      <c r="C329" s="196" t="n">
        <v>0</v>
      </c>
      <c r="D329" s="196" t="n">
        <v>0</v>
      </c>
      <c r="E329" s="196" t="n">
        <v>0</v>
      </c>
      <c r="F329" s="196" t="n">
        <v>0</v>
      </c>
      <c r="G329" s="196" t="n">
        <v>0</v>
      </c>
      <c r="H329" s="196" t="n">
        <v>0</v>
      </c>
      <c r="I329" s="196" t="n">
        <v>0</v>
      </c>
      <c r="J329" s="356"/>
    </row>
    <row r="330" customFormat="false" ht="15" hidden="false" customHeight="false" outlineLevel="0" collapsed="false">
      <c r="A330" s="213" t="s">
        <v>551</v>
      </c>
      <c r="B330" s="195" t="s">
        <v>11</v>
      </c>
      <c r="C330" s="196" t="n">
        <v>0</v>
      </c>
      <c r="D330" s="196" t="n">
        <v>0</v>
      </c>
      <c r="E330" s="196" t="n">
        <v>0</v>
      </c>
      <c r="F330" s="196" t="n">
        <v>0</v>
      </c>
      <c r="G330" s="196" t="n">
        <v>0</v>
      </c>
      <c r="H330" s="196" t="n">
        <v>0</v>
      </c>
      <c r="I330" s="196" t="n">
        <v>0</v>
      </c>
      <c r="J330" s="356"/>
    </row>
    <row r="331" customFormat="false" ht="15" hidden="false" customHeight="false" outlineLevel="0" collapsed="false">
      <c r="A331" s="213" t="s">
        <v>552</v>
      </c>
      <c r="B331" s="195" t="s">
        <v>11</v>
      </c>
      <c r="C331" s="196" t="n">
        <v>0</v>
      </c>
      <c r="D331" s="196" t="n">
        <v>0</v>
      </c>
      <c r="E331" s="196" t="n">
        <v>0</v>
      </c>
      <c r="F331" s="196" t="n">
        <v>0</v>
      </c>
      <c r="G331" s="196" t="n">
        <v>0</v>
      </c>
      <c r="H331" s="196" t="n">
        <v>0</v>
      </c>
      <c r="I331" s="196" t="n">
        <v>0</v>
      </c>
      <c r="J331" s="356"/>
    </row>
    <row r="332" customFormat="false" ht="15" hidden="false" customHeight="false" outlineLevel="0" collapsed="false">
      <c r="A332" s="213" t="s">
        <v>553</v>
      </c>
      <c r="B332" s="195" t="s">
        <v>11</v>
      </c>
      <c r="C332" s="196" t="n">
        <v>0</v>
      </c>
      <c r="D332" s="196" t="n">
        <v>0</v>
      </c>
      <c r="E332" s="196" t="n">
        <v>0</v>
      </c>
      <c r="F332" s="196" t="n">
        <v>0</v>
      </c>
      <c r="G332" s="196" t="n">
        <v>0</v>
      </c>
      <c r="H332" s="196" t="n">
        <v>0</v>
      </c>
      <c r="I332" s="196" t="n">
        <v>0</v>
      </c>
      <c r="J332" s="356"/>
    </row>
    <row r="333" customFormat="false" ht="15" hidden="false" customHeight="false" outlineLevel="0" collapsed="false">
      <c r="A333" s="213" t="s">
        <v>554</v>
      </c>
      <c r="B333" s="195" t="s">
        <v>11</v>
      </c>
      <c r="C333" s="196" t="n">
        <v>0</v>
      </c>
      <c r="D333" s="196" t="n">
        <v>0</v>
      </c>
      <c r="E333" s="196" t="n">
        <v>0</v>
      </c>
      <c r="F333" s="196" t="n">
        <v>0</v>
      </c>
      <c r="G333" s="196" t="n">
        <v>0</v>
      </c>
      <c r="H333" s="196" t="n">
        <v>0</v>
      </c>
      <c r="I333" s="196" t="n">
        <v>0</v>
      </c>
      <c r="J333" s="356"/>
    </row>
    <row r="334" customFormat="false" ht="15" hidden="false" customHeight="false" outlineLevel="0" collapsed="false">
      <c r="A334" s="213" t="s">
        <v>555</v>
      </c>
      <c r="B334" s="195" t="s">
        <v>11</v>
      </c>
      <c r="C334" s="196" t="n">
        <v>0</v>
      </c>
      <c r="D334" s="196" t="n">
        <v>0</v>
      </c>
      <c r="E334" s="196" t="n">
        <v>0</v>
      </c>
      <c r="F334" s="196" t="n">
        <v>0</v>
      </c>
      <c r="G334" s="196" t="n">
        <v>0</v>
      </c>
      <c r="H334" s="196" t="n">
        <v>0</v>
      </c>
      <c r="I334" s="196" t="n">
        <v>0</v>
      </c>
      <c r="J334" s="356"/>
    </row>
    <row r="335" customFormat="false" ht="15" hidden="false" customHeight="false" outlineLevel="0" collapsed="false">
      <c r="A335" s="213" t="s">
        <v>556</v>
      </c>
      <c r="B335" s="195" t="s">
        <v>11</v>
      </c>
      <c r="C335" s="196" t="n">
        <v>0</v>
      </c>
      <c r="D335" s="196" t="n">
        <v>0</v>
      </c>
      <c r="E335" s="196" t="n">
        <v>0</v>
      </c>
      <c r="F335" s="196" t="n">
        <v>0</v>
      </c>
      <c r="G335" s="196" t="n">
        <v>0</v>
      </c>
      <c r="H335" s="196" t="n">
        <v>0</v>
      </c>
      <c r="I335" s="196" t="n">
        <v>0</v>
      </c>
      <c r="J335" s="356"/>
    </row>
    <row r="336" customFormat="false" ht="15" hidden="false" customHeight="false" outlineLevel="0" collapsed="false">
      <c r="A336" s="213" t="s">
        <v>557</v>
      </c>
      <c r="B336" s="195" t="s">
        <v>11</v>
      </c>
      <c r="C336" s="196" t="n">
        <v>0</v>
      </c>
      <c r="D336" s="196" t="n">
        <v>0</v>
      </c>
      <c r="E336" s="196" t="n">
        <v>0</v>
      </c>
      <c r="F336" s="196" t="n">
        <v>0</v>
      </c>
      <c r="G336" s="196" t="n">
        <v>0</v>
      </c>
      <c r="H336" s="196" t="n">
        <v>0</v>
      </c>
      <c r="I336" s="196" t="n">
        <v>0</v>
      </c>
      <c r="J336" s="356"/>
    </row>
    <row r="337" customFormat="false" ht="15" hidden="false" customHeight="false" outlineLevel="0" collapsed="false">
      <c r="A337" s="213" t="s">
        <v>558</v>
      </c>
      <c r="B337" s="195" t="s">
        <v>11</v>
      </c>
      <c r="C337" s="196" t="n">
        <v>0</v>
      </c>
      <c r="D337" s="196" t="n">
        <v>0</v>
      </c>
      <c r="E337" s="196" t="n">
        <v>0</v>
      </c>
      <c r="F337" s="196" t="n">
        <v>0</v>
      </c>
      <c r="G337" s="196" t="n">
        <v>0</v>
      </c>
      <c r="H337" s="196" t="n">
        <v>0</v>
      </c>
      <c r="I337" s="196" t="n">
        <v>0</v>
      </c>
      <c r="J337" s="356"/>
    </row>
    <row r="338" customFormat="false" ht="15" hidden="false" customHeight="false" outlineLevel="0" collapsed="false">
      <c r="A338" s="213" t="s">
        <v>559</v>
      </c>
      <c r="B338" s="195" t="s">
        <v>11</v>
      </c>
      <c r="C338" s="196" t="n">
        <v>0</v>
      </c>
      <c r="D338" s="196" t="n">
        <v>0</v>
      </c>
      <c r="E338" s="196" t="n">
        <v>0</v>
      </c>
      <c r="F338" s="196" t="n">
        <v>0</v>
      </c>
      <c r="G338" s="196" t="n">
        <v>0</v>
      </c>
      <c r="H338" s="196" t="n">
        <v>0</v>
      </c>
      <c r="I338" s="196" t="n">
        <v>0</v>
      </c>
      <c r="J338" s="356"/>
    </row>
    <row r="339" customFormat="false" ht="15" hidden="false" customHeight="false" outlineLevel="0" collapsed="false">
      <c r="A339" s="213" t="s">
        <v>560</v>
      </c>
      <c r="B339" s="195" t="s">
        <v>11</v>
      </c>
      <c r="C339" s="196" t="n">
        <v>0</v>
      </c>
      <c r="D339" s="196" t="n">
        <v>0</v>
      </c>
      <c r="E339" s="196" t="n">
        <v>0</v>
      </c>
      <c r="F339" s="196" t="n">
        <v>0</v>
      </c>
      <c r="G339" s="196" t="n">
        <v>0</v>
      </c>
      <c r="H339" s="196" t="n">
        <v>0</v>
      </c>
      <c r="I339" s="196" t="n">
        <v>0</v>
      </c>
      <c r="J339" s="356"/>
    </row>
    <row r="340" customFormat="false" ht="15" hidden="false" customHeight="false" outlineLevel="0" collapsed="false">
      <c r="A340" s="213" t="s">
        <v>561</v>
      </c>
      <c r="B340" s="195" t="s">
        <v>11</v>
      </c>
      <c r="C340" s="196" t="n">
        <v>0</v>
      </c>
      <c r="D340" s="196" t="n">
        <v>0</v>
      </c>
      <c r="E340" s="196" t="n">
        <v>0</v>
      </c>
      <c r="F340" s="196" t="n">
        <v>0</v>
      </c>
      <c r="G340" s="196" t="n">
        <v>0</v>
      </c>
      <c r="H340" s="196" t="n">
        <v>0</v>
      </c>
      <c r="I340" s="196" t="n">
        <v>0</v>
      </c>
      <c r="J340" s="356"/>
    </row>
    <row r="341" customFormat="false" ht="15" hidden="false" customHeight="false" outlineLevel="0" collapsed="false">
      <c r="A341" s="213" t="s">
        <v>562</v>
      </c>
      <c r="B341" s="195" t="s">
        <v>11</v>
      </c>
      <c r="C341" s="196" t="n">
        <v>0</v>
      </c>
      <c r="D341" s="196" t="n">
        <v>0</v>
      </c>
      <c r="E341" s="196" t="n">
        <v>0</v>
      </c>
      <c r="F341" s="196" t="n">
        <v>0</v>
      </c>
      <c r="G341" s="196" t="n">
        <v>0</v>
      </c>
      <c r="H341" s="196" t="n">
        <v>0</v>
      </c>
      <c r="I341" s="196" t="n">
        <v>0</v>
      </c>
      <c r="J341" s="356"/>
    </row>
    <row r="342" customFormat="false" ht="15" hidden="false" customHeight="false" outlineLevel="0" collapsed="false">
      <c r="A342" s="213" t="s">
        <v>563</v>
      </c>
      <c r="B342" s="195" t="s">
        <v>11</v>
      </c>
      <c r="C342" s="196" t="n">
        <v>0</v>
      </c>
      <c r="D342" s="196" t="n">
        <v>0</v>
      </c>
      <c r="E342" s="196" t="n">
        <v>0</v>
      </c>
      <c r="F342" s="196" t="n">
        <v>0</v>
      </c>
      <c r="G342" s="196" t="n">
        <v>0</v>
      </c>
      <c r="H342" s="196" t="n">
        <v>0</v>
      </c>
      <c r="I342" s="196" t="n">
        <v>0</v>
      </c>
      <c r="J342" s="356"/>
    </row>
    <row r="343" customFormat="false" ht="15" hidden="false" customHeight="false" outlineLevel="0" collapsed="false">
      <c r="A343" s="213" t="s">
        <v>564</v>
      </c>
      <c r="B343" s="195" t="s">
        <v>11</v>
      </c>
      <c r="C343" s="196" t="n">
        <v>0</v>
      </c>
      <c r="D343" s="196" t="n">
        <v>0</v>
      </c>
      <c r="E343" s="196" t="n">
        <v>0</v>
      </c>
      <c r="F343" s="196" t="n">
        <v>0</v>
      </c>
      <c r="G343" s="196" t="n">
        <v>0</v>
      </c>
      <c r="H343" s="196" t="n">
        <v>0</v>
      </c>
      <c r="I343" s="196" t="n">
        <v>0</v>
      </c>
      <c r="J343" s="356"/>
    </row>
    <row r="344" customFormat="false" ht="15" hidden="false" customHeight="false" outlineLevel="0" collapsed="false">
      <c r="A344" s="213" t="s">
        <v>565</v>
      </c>
      <c r="B344" s="195" t="s">
        <v>11</v>
      </c>
      <c r="C344" s="196" t="n">
        <v>0</v>
      </c>
      <c r="D344" s="196" t="n">
        <v>0</v>
      </c>
      <c r="E344" s="196" t="n">
        <v>0</v>
      </c>
      <c r="F344" s="196" t="n">
        <v>0</v>
      </c>
      <c r="G344" s="196" t="n">
        <v>0</v>
      </c>
      <c r="H344" s="196" t="n">
        <v>0</v>
      </c>
      <c r="I344" s="196" t="n">
        <v>0</v>
      </c>
      <c r="J344" s="356"/>
    </row>
    <row r="345" customFormat="false" ht="15" hidden="false" customHeight="false" outlineLevel="0" collapsed="false">
      <c r="A345" s="213" t="s">
        <v>566</v>
      </c>
      <c r="B345" s="195" t="s">
        <v>11</v>
      </c>
      <c r="C345" s="196" t="n">
        <v>0</v>
      </c>
      <c r="D345" s="196" t="n">
        <v>0</v>
      </c>
      <c r="E345" s="196" t="n">
        <v>0</v>
      </c>
      <c r="F345" s="196" t="n">
        <v>0</v>
      </c>
      <c r="G345" s="196" t="n">
        <v>0</v>
      </c>
      <c r="H345" s="196" t="n">
        <v>0</v>
      </c>
      <c r="I345" s="196" t="n">
        <v>0</v>
      </c>
      <c r="J345" s="356"/>
    </row>
    <row r="346" customFormat="false" ht="15" hidden="false" customHeight="false" outlineLevel="0" collapsed="false">
      <c r="A346" s="213" t="s">
        <v>567</v>
      </c>
      <c r="B346" s="195" t="s">
        <v>11</v>
      </c>
      <c r="C346" s="196" t="n">
        <v>0</v>
      </c>
      <c r="D346" s="196" t="n">
        <v>0</v>
      </c>
      <c r="E346" s="196" t="n">
        <v>0</v>
      </c>
      <c r="F346" s="196" t="n">
        <v>0</v>
      </c>
      <c r="G346" s="196" t="n">
        <v>0</v>
      </c>
      <c r="H346" s="196" t="n">
        <v>0</v>
      </c>
      <c r="I346" s="196" t="n">
        <v>0</v>
      </c>
      <c r="J346" s="356"/>
    </row>
    <row r="347" customFormat="false" ht="15" hidden="false" customHeight="false" outlineLevel="0" collapsed="false">
      <c r="A347" s="213" t="s">
        <v>568</v>
      </c>
      <c r="B347" s="195" t="s">
        <v>11</v>
      </c>
      <c r="C347" s="196" t="n">
        <v>0</v>
      </c>
      <c r="D347" s="196" t="n">
        <v>0</v>
      </c>
      <c r="E347" s="196" t="n">
        <v>0</v>
      </c>
      <c r="F347" s="196" t="n">
        <v>0</v>
      </c>
      <c r="G347" s="196" t="n">
        <v>0</v>
      </c>
      <c r="H347" s="196" t="n">
        <v>0</v>
      </c>
      <c r="I347" s="196" t="n">
        <v>0</v>
      </c>
      <c r="J347" s="356"/>
    </row>
    <row r="348" customFormat="false" ht="15" hidden="false" customHeight="false" outlineLevel="0" collapsed="false">
      <c r="A348" s="213" t="s">
        <v>569</v>
      </c>
      <c r="B348" s="195" t="s">
        <v>11</v>
      </c>
      <c r="C348" s="196" t="n">
        <v>0</v>
      </c>
      <c r="D348" s="196" t="n">
        <v>0</v>
      </c>
      <c r="E348" s="196" t="n">
        <v>0</v>
      </c>
      <c r="F348" s="196" t="n">
        <v>0</v>
      </c>
      <c r="G348" s="196" t="n">
        <v>0</v>
      </c>
      <c r="H348" s="196" t="n">
        <v>0</v>
      </c>
      <c r="I348" s="196" t="n">
        <v>0</v>
      </c>
      <c r="J348" s="356"/>
    </row>
    <row r="349" customFormat="false" ht="15" hidden="false" customHeight="false" outlineLevel="0" collapsed="false">
      <c r="A349" s="213" t="s">
        <v>570</v>
      </c>
      <c r="B349" s="195" t="s">
        <v>11</v>
      </c>
      <c r="C349" s="196" t="n">
        <v>0</v>
      </c>
      <c r="D349" s="196" t="n">
        <v>0</v>
      </c>
      <c r="E349" s="196" t="n">
        <v>0</v>
      </c>
      <c r="F349" s="196" t="n">
        <v>0</v>
      </c>
      <c r="G349" s="196" t="n">
        <v>0</v>
      </c>
      <c r="H349" s="196" t="n">
        <v>0</v>
      </c>
      <c r="I349" s="196" t="n">
        <v>0</v>
      </c>
      <c r="J349" s="356"/>
    </row>
    <row r="350" customFormat="false" ht="15" hidden="false" customHeight="false" outlineLevel="0" collapsed="false">
      <c r="A350" s="213" t="s">
        <v>571</v>
      </c>
      <c r="B350" s="195" t="s">
        <v>11</v>
      </c>
      <c r="C350" s="196" t="n">
        <v>0</v>
      </c>
      <c r="D350" s="196" t="n">
        <v>0</v>
      </c>
      <c r="E350" s="196" t="n">
        <v>0</v>
      </c>
      <c r="F350" s="196" t="n">
        <v>0</v>
      </c>
      <c r="G350" s="196" t="n">
        <v>0</v>
      </c>
      <c r="H350" s="196" t="n">
        <v>0</v>
      </c>
      <c r="I350" s="196" t="n">
        <v>0</v>
      </c>
      <c r="J350" s="356"/>
    </row>
    <row r="351" customFormat="false" ht="15" hidden="false" customHeight="false" outlineLevel="0" collapsed="false">
      <c r="A351" s="213" t="s">
        <v>572</v>
      </c>
      <c r="B351" s="195" t="s">
        <v>11</v>
      </c>
      <c r="C351" s="196" t="n">
        <v>0</v>
      </c>
      <c r="D351" s="196" t="n">
        <v>0</v>
      </c>
      <c r="E351" s="196" t="n">
        <v>0</v>
      </c>
      <c r="F351" s="196" t="n">
        <v>0</v>
      </c>
      <c r="G351" s="196" t="n">
        <v>0</v>
      </c>
      <c r="H351" s="196" t="n">
        <v>0</v>
      </c>
      <c r="I351" s="196" t="n">
        <v>0</v>
      </c>
      <c r="J351" s="356"/>
    </row>
    <row r="352" customFormat="false" ht="15" hidden="false" customHeight="false" outlineLevel="0" collapsed="false">
      <c r="A352" s="213" t="s">
        <v>573</v>
      </c>
      <c r="B352" s="195" t="s">
        <v>11</v>
      </c>
      <c r="C352" s="196" t="n">
        <v>0</v>
      </c>
      <c r="D352" s="196" t="n">
        <v>0</v>
      </c>
      <c r="E352" s="196" t="n">
        <v>0</v>
      </c>
      <c r="F352" s="196" t="n">
        <v>0</v>
      </c>
      <c r="G352" s="196" t="n">
        <v>0</v>
      </c>
      <c r="H352" s="196" t="n">
        <v>0</v>
      </c>
      <c r="I352" s="196" t="n">
        <v>0</v>
      </c>
      <c r="J352" s="356"/>
    </row>
    <row r="353" customFormat="false" ht="15" hidden="false" customHeight="false" outlineLevel="0" collapsed="false">
      <c r="A353" s="213" t="s">
        <v>574</v>
      </c>
      <c r="B353" s="195" t="s">
        <v>11</v>
      </c>
      <c r="C353" s="196" t="n">
        <v>0</v>
      </c>
      <c r="D353" s="196" t="n">
        <v>0</v>
      </c>
      <c r="E353" s="196" t="n">
        <v>0</v>
      </c>
      <c r="F353" s="196" t="n">
        <v>0</v>
      </c>
      <c r="G353" s="196" t="n">
        <v>0</v>
      </c>
      <c r="H353" s="196" t="n">
        <v>0</v>
      </c>
      <c r="I353" s="196" t="n">
        <v>0</v>
      </c>
      <c r="J353" s="356"/>
    </row>
    <row r="354" customFormat="false" ht="15" hidden="false" customHeight="false" outlineLevel="0" collapsed="false">
      <c r="A354" s="213" t="s">
        <v>575</v>
      </c>
      <c r="B354" s="195" t="s">
        <v>11</v>
      </c>
      <c r="C354" s="196" t="n">
        <v>0</v>
      </c>
      <c r="D354" s="196" t="n">
        <v>0</v>
      </c>
      <c r="E354" s="196" t="n">
        <v>0</v>
      </c>
      <c r="F354" s="196" t="n">
        <v>0</v>
      </c>
      <c r="G354" s="196" t="n">
        <v>0</v>
      </c>
      <c r="H354" s="196" t="n">
        <v>0</v>
      </c>
      <c r="I354" s="196" t="n">
        <v>0</v>
      </c>
      <c r="J354" s="356"/>
    </row>
    <row r="355" customFormat="false" ht="15" hidden="false" customHeight="false" outlineLevel="0" collapsed="false">
      <c r="A355" s="213" t="s">
        <v>576</v>
      </c>
      <c r="B355" s="195" t="s">
        <v>11</v>
      </c>
      <c r="C355" s="196" t="n">
        <v>0</v>
      </c>
      <c r="D355" s="196" t="n">
        <v>0</v>
      </c>
      <c r="E355" s="196" t="n">
        <v>0</v>
      </c>
      <c r="F355" s="196" t="n">
        <v>0</v>
      </c>
      <c r="G355" s="196" t="n">
        <v>0</v>
      </c>
      <c r="H355" s="196" t="n">
        <v>0</v>
      </c>
      <c r="I355" s="196" t="n">
        <v>0</v>
      </c>
      <c r="J355" s="356"/>
    </row>
    <row r="356" customFormat="false" ht="15" hidden="false" customHeight="false" outlineLevel="0" collapsed="false">
      <c r="A356" s="213" t="s">
        <v>577</v>
      </c>
      <c r="B356" s="195" t="s">
        <v>11</v>
      </c>
      <c r="C356" s="196" t="n">
        <v>0</v>
      </c>
      <c r="D356" s="196" t="n">
        <v>0</v>
      </c>
      <c r="E356" s="196" t="n">
        <v>0</v>
      </c>
      <c r="F356" s="196" t="n">
        <v>0</v>
      </c>
      <c r="G356" s="196" t="n">
        <v>0</v>
      </c>
      <c r="H356" s="196" t="n">
        <v>0</v>
      </c>
      <c r="I356" s="196" t="n">
        <v>0</v>
      </c>
      <c r="J356" s="356"/>
    </row>
    <row r="357" customFormat="false" ht="15" hidden="false" customHeight="false" outlineLevel="0" collapsed="false">
      <c r="A357" s="213" t="s">
        <v>578</v>
      </c>
      <c r="B357" s="195" t="s">
        <v>11</v>
      </c>
      <c r="C357" s="196" t="n">
        <v>0</v>
      </c>
      <c r="D357" s="196" t="n">
        <v>0</v>
      </c>
      <c r="E357" s="196" t="n">
        <v>0</v>
      </c>
      <c r="F357" s="196" t="n">
        <v>0</v>
      </c>
      <c r="G357" s="196" t="n">
        <v>0</v>
      </c>
      <c r="H357" s="196" t="n">
        <v>0</v>
      </c>
      <c r="I357" s="196" t="n">
        <v>0</v>
      </c>
      <c r="J357" s="356"/>
    </row>
    <row r="358" customFormat="false" ht="15" hidden="false" customHeight="false" outlineLevel="0" collapsed="false">
      <c r="A358" s="213" t="s">
        <v>579</v>
      </c>
      <c r="B358" s="195" t="s">
        <v>11</v>
      </c>
      <c r="C358" s="196" t="n">
        <v>0</v>
      </c>
      <c r="D358" s="196" t="n">
        <v>0</v>
      </c>
      <c r="E358" s="196" t="n">
        <v>0</v>
      </c>
      <c r="F358" s="196" t="n">
        <v>0</v>
      </c>
      <c r="G358" s="196" t="n">
        <v>0</v>
      </c>
      <c r="H358" s="196" t="n">
        <v>0</v>
      </c>
      <c r="I358" s="196" t="n">
        <v>0</v>
      </c>
      <c r="J358" s="356"/>
    </row>
    <row r="359" customFormat="false" ht="15" hidden="false" customHeight="false" outlineLevel="0" collapsed="false">
      <c r="A359" s="213" t="s">
        <v>580</v>
      </c>
      <c r="B359" s="195" t="s">
        <v>11</v>
      </c>
      <c r="C359" s="196" t="n">
        <v>0</v>
      </c>
      <c r="D359" s="196" t="n">
        <v>0</v>
      </c>
      <c r="E359" s="196" t="n">
        <v>0</v>
      </c>
      <c r="F359" s="196" t="n">
        <v>0</v>
      </c>
      <c r="G359" s="196" t="n">
        <v>0</v>
      </c>
      <c r="H359" s="196" t="n">
        <v>0</v>
      </c>
      <c r="I359" s="196" t="n">
        <v>0</v>
      </c>
      <c r="J359" s="356"/>
    </row>
    <row r="360" customFormat="false" ht="15" hidden="false" customHeight="false" outlineLevel="0" collapsed="false">
      <c r="A360" s="213" t="s">
        <v>581</v>
      </c>
      <c r="B360" s="195" t="s">
        <v>11</v>
      </c>
      <c r="C360" s="196" t="n">
        <v>0</v>
      </c>
      <c r="D360" s="196" t="n">
        <v>0</v>
      </c>
      <c r="E360" s="196" t="n">
        <v>0</v>
      </c>
      <c r="F360" s="196" t="n">
        <v>0</v>
      </c>
      <c r="G360" s="196" t="n">
        <v>0</v>
      </c>
      <c r="H360" s="196" t="n">
        <v>0</v>
      </c>
      <c r="I360" s="196" t="n">
        <v>0</v>
      </c>
      <c r="J360" s="356"/>
    </row>
    <row r="361" customFormat="false" ht="15" hidden="false" customHeight="false" outlineLevel="0" collapsed="false">
      <c r="A361" s="213" t="s">
        <v>582</v>
      </c>
      <c r="B361" s="195" t="s">
        <v>11</v>
      </c>
      <c r="C361" s="196" t="n">
        <v>0</v>
      </c>
      <c r="D361" s="196" t="n">
        <v>0</v>
      </c>
      <c r="E361" s="196" t="n">
        <v>0</v>
      </c>
      <c r="F361" s="196" t="n">
        <v>0</v>
      </c>
      <c r="G361" s="196" t="n">
        <v>0</v>
      </c>
      <c r="H361" s="196" t="n">
        <v>0</v>
      </c>
      <c r="I361" s="196" t="n">
        <v>0</v>
      </c>
      <c r="J361" s="356"/>
    </row>
    <row r="362" customFormat="false" ht="15" hidden="false" customHeight="false" outlineLevel="0" collapsed="false">
      <c r="A362" s="213" t="s">
        <v>583</v>
      </c>
      <c r="B362" s="195" t="s">
        <v>11</v>
      </c>
      <c r="C362" s="196" t="n">
        <v>0</v>
      </c>
      <c r="D362" s="196" t="n">
        <v>0</v>
      </c>
      <c r="E362" s="196" t="n">
        <v>0</v>
      </c>
      <c r="F362" s="196" t="n">
        <v>0</v>
      </c>
      <c r="G362" s="196" t="n">
        <v>0</v>
      </c>
      <c r="H362" s="196" t="n">
        <v>0</v>
      </c>
      <c r="I362" s="196" t="n">
        <v>0</v>
      </c>
      <c r="J362" s="356"/>
    </row>
    <row r="363" customFormat="false" ht="15" hidden="false" customHeight="false" outlineLevel="0" collapsed="false">
      <c r="A363" s="213" t="s">
        <v>584</v>
      </c>
      <c r="B363" s="195" t="s">
        <v>11</v>
      </c>
      <c r="C363" s="196" t="n">
        <v>0</v>
      </c>
      <c r="D363" s="196" t="n">
        <v>0</v>
      </c>
      <c r="E363" s="196" t="n">
        <v>0</v>
      </c>
      <c r="F363" s="196" t="n">
        <v>0</v>
      </c>
      <c r="G363" s="196" t="n">
        <v>0</v>
      </c>
      <c r="H363" s="196" t="n">
        <v>0</v>
      </c>
      <c r="I363" s="196" t="n">
        <v>0</v>
      </c>
      <c r="J363" s="356"/>
    </row>
    <row r="364" customFormat="false" ht="15" hidden="false" customHeight="false" outlineLevel="0" collapsed="false">
      <c r="A364" s="213" t="s">
        <v>585</v>
      </c>
      <c r="B364" s="195" t="s">
        <v>11</v>
      </c>
      <c r="C364" s="196" t="n">
        <v>0</v>
      </c>
      <c r="D364" s="196" t="n">
        <v>0</v>
      </c>
      <c r="E364" s="196" t="n">
        <v>0</v>
      </c>
      <c r="F364" s="196" t="n">
        <v>0</v>
      </c>
      <c r="G364" s="196" t="n">
        <v>0</v>
      </c>
      <c r="H364" s="196" t="n">
        <v>0</v>
      </c>
      <c r="I364" s="196" t="n">
        <v>0</v>
      </c>
      <c r="J364" s="356"/>
    </row>
    <row r="365" customFormat="false" ht="15" hidden="false" customHeight="false" outlineLevel="0" collapsed="false">
      <c r="A365" s="213" t="s">
        <v>586</v>
      </c>
      <c r="B365" s="195" t="s">
        <v>11</v>
      </c>
      <c r="C365" s="196" t="n">
        <v>0</v>
      </c>
      <c r="D365" s="196" t="n">
        <v>0</v>
      </c>
      <c r="E365" s="196" t="n">
        <v>0</v>
      </c>
      <c r="F365" s="196" t="n">
        <v>0</v>
      </c>
      <c r="G365" s="196" t="n">
        <v>0</v>
      </c>
      <c r="H365" s="196" t="n">
        <v>0</v>
      </c>
      <c r="I365" s="196" t="n">
        <v>0</v>
      </c>
      <c r="J365" s="356"/>
    </row>
    <row r="366" customFormat="false" ht="15" hidden="false" customHeight="false" outlineLevel="0" collapsed="false">
      <c r="A366" s="213" t="s">
        <v>587</v>
      </c>
      <c r="B366" s="195" t="s">
        <v>11</v>
      </c>
      <c r="C366" s="196" t="n">
        <v>0</v>
      </c>
      <c r="D366" s="196" t="n">
        <v>0</v>
      </c>
      <c r="E366" s="196" t="n">
        <v>0</v>
      </c>
      <c r="F366" s="196" t="n">
        <v>0</v>
      </c>
      <c r="G366" s="196" t="n">
        <v>0</v>
      </c>
      <c r="H366" s="196" t="n">
        <v>0</v>
      </c>
      <c r="I366" s="196" t="n">
        <v>0</v>
      </c>
      <c r="J366" s="356"/>
    </row>
    <row r="367" customFormat="false" ht="15" hidden="false" customHeight="false" outlineLevel="0" collapsed="false">
      <c r="A367" s="213" t="s">
        <v>588</v>
      </c>
      <c r="B367" s="195" t="s">
        <v>11</v>
      </c>
      <c r="C367" s="196" t="n">
        <v>0</v>
      </c>
      <c r="D367" s="196" t="n">
        <v>0</v>
      </c>
      <c r="E367" s="196" t="n">
        <v>0</v>
      </c>
      <c r="F367" s="196" t="n">
        <v>0</v>
      </c>
      <c r="G367" s="196" t="n">
        <v>0</v>
      </c>
      <c r="H367" s="196" t="n">
        <v>0</v>
      </c>
      <c r="I367" s="196" t="n">
        <v>0</v>
      </c>
      <c r="J367" s="356"/>
    </row>
    <row r="368" customFormat="false" ht="15" hidden="false" customHeight="false" outlineLevel="0" collapsed="false">
      <c r="A368" s="39"/>
    </row>
    <row r="369" customFormat="false" ht="17.35" hidden="false" customHeight="false" outlineLevel="0" collapsed="false">
      <c r="A369" s="212" t="s">
        <v>615</v>
      </c>
      <c r="B369" s="212"/>
      <c r="C369" s="212"/>
      <c r="D369" s="212"/>
      <c r="E369" s="212"/>
      <c r="F369" s="212"/>
      <c r="G369" s="212"/>
      <c r="H369" s="212"/>
      <c r="I369" s="212"/>
    </row>
    <row r="370" customFormat="false" ht="15" hidden="false" customHeight="false" outlineLevel="0" collapsed="false">
      <c r="A370" s="213" t="s">
        <v>616</v>
      </c>
      <c r="B370" s="363" t="s">
        <v>477</v>
      </c>
      <c r="C370" s="196" t="n">
        <v>0</v>
      </c>
      <c r="D370" s="196" t="n">
        <v>0</v>
      </c>
      <c r="E370" s="196" t="n">
        <v>0</v>
      </c>
      <c r="F370" s="196" t="n">
        <v>0</v>
      </c>
      <c r="G370" s="196" t="n">
        <v>0</v>
      </c>
      <c r="H370" s="196" t="n">
        <v>0</v>
      </c>
      <c r="I370" s="196" t="n">
        <v>0</v>
      </c>
    </row>
    <row r="371" customFormat="false" ht="15" hidden="false" customHeight="false" outlineLevel="0" collapsed="false">
      <c r="A371" s="39"/>
    </row>
    <row r="372" customFormat="false" ht="15" hidden="false" customHeight="false" outlineLevel="0" collapsed="false">
      <c r="A372" s="39"/>
    </row>
    <row r="373" customFormat="false" ht="19.3" hidden="false" customHeight="false" outlineLevel="0" collapsed="false">
      <c r="A373" s="364" t="s">
        <v>617</v>
      </c>
      <c r="B373" s="365"/>
      <c r="C373" s="366"/>
    </row>
    <row r="374" customFormat="false" ht="15" hidden="false" customHeight="false" outlineLevel="0" collapsed="false">
      <c r="A374" s="367" t="s">
        <v>412</v>
      </c>
      <c r="B374" s="368" t="s">
        <v>17</v>
      </c>
      <c r="C374" s="369" t="n">
        <v>2050</v>
      </c>
    </row>
    <row r="375" customFormat="false" ht="15" hidden="false" customHeight="false" outlineLevel="0" collapsed="false">
      <c r="A375" s="370" t="s">
        <v>618</v>
      </c>
      <c r="B375" s="371" t="s">
        <v>305</v>
      </c>
      <c r="C375" s="372" t="n">
        <v>0.05</v>
      </c>
    </row>
    <row r="376" customFormat="false" ht="15" hidden="false" customHeight="false" outlineLevel="0" collapsed="false">
      <c r="A376" s="39"/>
    </row>
    <row r="377" customFormat="false" ht="15" hidden="false" customHeight="false" outlineLevel="0" collapsed="false">
      <c r="A377" s="39"/>
    </row>
    <row r="378" customFormat="false" ht="15" hidden="false" customHeight="false" outlineLevel="0" collapsed="false">
      <c r="A378" s="39"/>
    </row>
    <row r="379" customFormat="false" ht="15" hidden="false" customHeight="false" outlineLevel="0" collapsed="false">
      <c r="A379" s="39"/>
    </row>
    <row r="380" customFormat="false" ht="15" hidden="false" customHeight="false" outlineLevel="0" collapsed="false">
      <c r="A380" s="39"/>
    </row>
    <row r="381" customFormat="false" ht="15" hidden="false" customHeight="false" outlineLevel="0" collapsed="false">
      <c r="A381" s="39"/>
    </row>
    <row r="382" customFormat="false" ht="15" hidden="false" customHeight="false" outlineLevel="0" collapsed="false">
      <c r="A382" s="39"/>
    </row>
    <row r="383" customFormat="false" ht="15" hidden="false" customHeight="false" outlineLevel="0" collapsed="false">
      <c r="A383" s="39"/>
    </row>
    <row r="384" customFormat="false" ht="15" hidden="false" customHeight="false" outlineLevel="0" collapsed="false">
      <c r="A384" s="39"/>
    </row>
    <row r="385" customFormat="false" ht="24.45" hidden="false" customHeight="false" outlineLevel="0" collapsed="false">
      <c r="A385" s="189" t="s">
        <v>619</v>
      </c>
    </row>
    <row r="386" customFormat="false" ht="17.35" hidden="false" customHeight="false" outlineLevel="0" collapsed="false">
      <c r="A386" s="212" t="s">
        <v>620</v>
      </c>
      <c r="B386" s="212"/>
      <c r="C386" s="212"/>
      <c r="D386" s="212"/>
      <c r="E386" s="212"/>
      <c r="F386" s="212"/>
      <c r="G386" s="212"/>
      <c r="H386" s="212"/>
      <c r="I386" s="212"/>
    </row>
    <row r="387" customFormat="false" ht="15" hidden="false" customHeight="false" outlineLevel="0" collapsed="false">
      <c r="A387" s="373"/>
      <c r="B387" s="195" t="s">
        <v>17</v>
      </c>
      <c r="C387" s="196" t="n">
        <v>2020</v>
      </c>
      <c r="D387" s="196" t="n">
        <v>2025</v>
      </c>
      <c r="E387" s="196" t="n">
        <v>2030</v>
      </c>
      <c r="F387" s="196" t="n">
        <v>2035</v>
      </c>
      <c r="G387" s="196" t="n">
        <v>2040</v>
      </c>
      <c r="H387" s="196" t="n">
        <v>2045</v>
      </c>
      <c r="I387" s="197" t="n">
        <v>2050</v>
      </c>
    </row>
    <row r="388" customFormat="false" ht="15" hidden="false" customHeight="false" outlineLevel="0" collapsed="false">
      <c r="A388" s="213" t="s">
        <v>621</v>
      </c>
      <c r="B388" s="195" t="s">
        <v>124</v>
      </c>
      <c r="C388" s="196" t="n">
        <v>1</v>
      </c>
      <c r="D388" s="196" t="n">
        <v>1</v>
      </c>
      <c r="E388" s="196" t="n">
        <v>1</v>
      </c>
      <c r="F388" s="196" t="n">
        <v>1</v>
      </c>
      <c r="G388" s="196" t="n">
        <v>1</v>
      </c>
      <c r="H388" s="196" t="n">
        <v>1</v>
      </c>
      <c r="I388" s="196" t="n">
        <v>1</v>
      </c>
    </row>
    <row r="389" customFormat="false" ht="15" hidden="false" customHeight="false" outlineLevel="0" collapsed="false">
      <c r="A389" s="213" t="s">
        <v>622</v>
      </c>
      <c r="B389" s="195" t="s">
        <v>124</v>
      </c>
      <c r="C389" s="196" t="n">
        <v>1</v>
      </c>
      <c r="D389" s="196" t="n">
        <v>1</v>
      </c>
      <c r="E389" s="196" t="n">
        <v>1</v>
      </c>
      <c r="F389" s="196" t="n">
        <v>2</v>
      </c>
      <c r="G389" s="196" t="n">
        <v>2</v>
      </c>
      <c r="H389" s="196" t="n">
        <v>2</v>
      </c>
      <c r="I389" s="196" t="n">
        <v>2</v>
      </c>
    </row>
    <row r="390" customFormat="false" ht="15" hidden="false" customHeight="false" outlineLevel="0" collapsed="false">
      <c r="A390" s="232" t="s">
        <v>623</v>
      </c>
      <c r="B390" s="198" t="s">
        <v>124</v>
      </c>
      <c r="C390" s="234" t="n">
        <v>1</v>
      </c>
      <c r="D390" s="234" t="n">
        <v>1</v>
      </c>
      <c r="E390" s="234" t="n">
        <v>1</v>
      </c>
      <c r="F390" s="234" t="n">
        <v>1</v>
      </c>
      <c r="G390" s="234" t="n">
        <v>1</v>
      </c>
      <c r="H390" s="234" t="n">
        <v>1</v>
      </c>
      <c r="I390" s="234" t="n">
        <v>1</v>
      </c>
    </row>
    <row r="391" customFormat="false" ht="15" hidden="false" customHeight="true" outlineLevel="0" collapsed="false">
      <c r="A391" s="173"/>
      <c r="B391" s="374"/>
      <c r="C391" s="374"/>
      <c r="D391" s="356"/>
      <c r="E391" s="39"/>
    </row>
    <row r="392" customFormat="false" ht="17.35" hidden="false" customHeight="false" outlineLevel="0" collapsed="false">
      <c r="A392" s="212" t="s">
        <v>624</v>
      </c>
      <c r="B392" s="212"/>
      <c r="C392" s="212"/>
      <c r="D392" s="212"/>
      <c r="E392" s="212"/>
      <c r="F392" s="212"/>
      <c r="G392" s="212"/>
      <c r="H392" s="212"/>
      <c r="I392" s="212"/>
    </row>
    <row r="393" customFormat="false" ht="15" hidden="false" customHeight="false" outlineLevel="0" collapsed="false">
      <c r="A393" s="373"/>
      <c r="B393" s="195" t="s">
        <v>17</v>
      </c>
      <c r="C393" s="357" t="n">
        <v>2020</v>
      </c>
      <c r="D393" s="357" t="n">
        <v>2025</v>
      </c>
      <c r="E393" s="357" t="n">
        <v>2030</v>
      </c>
      <c r="F393" s="357" t="n">
        <v>2035</v>
      </c>
      <c r="G393" s="357" t="n">
        <v>2040</v>
      </c>
      <c r="H393" s="357" t="n">
        <v>2045</v>
      </c>
      <c r="I393" s="197" t="n">
        <v>2050</v>
      </c>
    </row>
    <row r="394" customFormat="false" ht="15" hidden="false" customHeight="false" outlineLevel="0" collapsed="false">
      <c r="A394" s="213" t="s">
        <v>625</v>
      </c>
      <c r="B394" s="195" t="s">
        <v>124</v>
      </c>
      <c r="C394" s="197" t="n">
        <v>-0.01</v>
      </c>
      <c r="D394" s="197" t="n">
        <v>-0.013</v>
      </c>
      <c r="E394" s="197" t="n">
        <v>-0.016</v>
      </c>
      <c r="F394" s="197" t="n">
        <v>-0.019</v>
      </c>
      <c r="G394" s="197" t="n">
        <v>-0.023</v>
      </c>
      <c r="H394" s="197" t="n">
        <v>-0.026</v>
      </c>
      <c r="I394" s="197" t="n">
        <v>-0.029</v>
      </c>
    </row>
    <row r="395" customFormat="false" ht="15" hidden="false" customHeight="false" outlineLevel="0" collapsed="false">
      <c r="A395" s="232" t="s">
        <v>626</v>
      </c>
      <c r="B395" s="198" t="s">
        <v>305</v>
      </c>
      <c r="C395" s="351" t="n">
        <v>-0.0228946641235181</v>
      </c>
      <c r="D395" s="351" t="n">
        <v>0</v>
      </c>
      <c r="E395" s="351" t="n">
        <v>0.018</v>
      </c>
      <c r="F395" s="351" t="n">
        <v>-0.11</v>
      </c>
      <c r="G395" s="351" t="n">
        <v>-0.07</v>
      </c>
      <c r="H395" s="351" t="n">
        <v>0.012</v>
      </c>
      <c r="I395" s="351" t="n">
        <v>0.046</v>
      </c>
    </row>
    <row r="396" customFormat="false" ht="15" hidden="false" customHeight="false" outlineLevel="0" collapsed="false">
      <c r="A396" s="173"/>
      <c r="B396" s="374"/>
      <c r="C396" s="375"/>
      <c r="D396" s="356"/>
      <c r="E396" s="39"/>
    </row>
    <row r="397" customFormat="false" ht="15" hidden="false" customHeight="false" outlineLevel="0" collapsed="false">
      <c r="A397" s="173"/>
      <c r="B397" s="374"/>
      <c r="C397" s="374"/>
      <c r="D397" s="356"/>
      <c r="E397" s="376"/>
      <c r="F397" s="376"/>
      <c r="G397" s="376"/>
      <c r="H397" s="376"/>
      <c r="I397" s="376"/>
    </row>
    <row r="398" customFormat="false" ht="24.45" hidden="false" customHeight="false" outlineLevel="0" collapsed="false">
      <c r="A398" s="189" t="s">
        <v>627</v>
      </c>
    </row>
    <row r="399" customFormat="false" ht="17.35" hidden="false" customHeight="false" outlineLevel="0" collapsed="false">
      <c r="A399" s="212" t="s">
        <v>628</v>
      </c>
      <c r="B399" s="212"/>
      <c r="C399" s="212"/>
      <c r="H399" s="48"/>
      <c r="J399" s="356"/>
    </row>
    <row r="400" customFormat="false" ht="15" hidden="false" customHeight="false" outlineLevel="0" collapsed="false">
      <c r="A400" s="213" t="s">
        <v>629</v>
      </c>
      <c r="B400" s="195" t="s">
        <v>11</v>
      </c>
      <c r="C400" s="197" t="n">
        <v>0</v>
      </c>
    </row>
    <row r="401" customFormat="false" ht="15" hidden="false" customHeight="false" outlineLevel="0" collapsed="false">
      <c r="A401" s="213" t="s">
        <v>630</v>
      </c>
      <c r="B401" s="195" t="s">
        <v>67</v>
      </c>
      <c r="C401" s="197" t="n">
        <v>200</v>
      </c>
    </row>
    <row r="402" customFormat="false" ht="15" hidden="false" customHeight="false" outlineLevel="0" collapsed="false">
      <c r="A402" s="213" t="s">
        <v>631</v>
      </c>
      <c r="B402" s="195" t="s">
        <v>632</v>
      </c>
      <c r="C402" s="377" t="n">
        <v>0.0074</v>
      </c>
    </row>
    <row r="403" customFormat="false" ht="15" hidden="false" customHeight="false" outlineLevel="0" collapsed="false">
      <c r="A403" s="213" t="s">
        <v>633</v>
      </c>
      <c r="B403" s="195" t="s">
        <v>17</v>
      </c>
      <c r="C403" s="197" t="n">
        <v>2020</v>
      </c>
    </row>
    <row r="404" customFormat="false" ht="15" hidden="false" customHeight="false" outlineLevel="0" collapsed="false">
      <c r="A404" s="213" t="s">
        <v>634</v>
      </c>
      <c r="B404" s="195" t="s">
        <v>635</v>
      </c>
      <c r="C404" s="197" t="n">
        <v>185</v>
      </c>
    </row>
    <row r="405" customFormat="false" ht="15" hidden="false" customHeight="false" outlineLevel="0" collapsed="false">
      <c r="A405" s="213" t="s">
        <v>405</v>
      </c>
      <c r="B405" s="195" t="s">
        <v>17</v>
      </c>
      <c r="C405" s="197" t="n">
        <v>2020</v>
      </c>
    </row>
    <row r="406" customFormat="false" ht="15" hidden="false" customHeight="false" outlineLevel="0" collapsed="false">
      <c r="A406" s="232" t="s">
        <v>406</v>
      </c>
      <c r="B406" s="198" t="s">
        <v>17</v>
      </c>
      <c r="C406" s="233" t="n">
        <v>2050</v>
      </c>
    </row>
    <row r="408" customFormat="false" ht="14.25" hidden="false" customHeight="true" outlineLevel="0" collapsed="false">
      <c r="A408" s="201" t="s">
        <v>43</v>
      </c>
      <c r="B408" s="201"/>
      <c r="C408" s="201"/>
      <c r="F408" s="378"/>
      <c r="G408" s="378"/>
      <c r="H408" s="378"/>
      <c r="I408" s="378"/>
      <c r="J408" s="378"/>
      <c r="K408" s="378"/>
      <c r="L408" s="378"/>
      <c r="M408" s="378"/>
      <c r="N408" s="378"/>
      <c r="O408" s="378"/>
      <c r="P408" s="378"/>
      <c r="Q408" s="378"/>
      <c r="R408" s="378"/>
      <c r="S408" s="378"/>
      <c r="T408" s="378"/>
      <c r="U408" s="378"/>
      <c r="V408" s="378"/>
      <c r="W408" s="378"/>
      <c r="X408" s="378"/>
      <c r="Y408" s="378"/>
      <c r="Z408" s="378"/>
      <c r="AA408" s="378"/>
      <c r="AB408" s="378"/>
      <c r="AC408" s="378"/>
      <c r="AD408" s="378"/>
      <c r="AE408" s="378"/>
      <c r="AF408" s="378"/>
      <c r="AG408" s="378"/>
      <c r="AH408" s="378"/>
      <c r="AI408" s="378"/>
      <c r="AJ408" s="378"/>
      <c r="AK408" s="378"/>
      <c r="AL408" s="378"/>
    </row>
    <row r="409" customFormat="false" ht="15" hidden="false" customHeight="false" outlineLevel="0" collapsed="false">
      <c r="A409" s="227" t="s">
        <v>48</v>
      </c>
      <c r="B409" s="228" t="s">
        <v>49</v>
      </c>
      <c r="C409" s="379" t="n">
        <v>235</v>
      </c>
      <c r="F409" s="378"/>
      <c r="G409" s="378"/>
      <c r="H409" s="378"/>
      <c r="I409" s="378"/>
      <c r="J409" s="378"/>
      <c r="K409" s="378"/>
      <c r="L409" s="378"/>
      <c r="M409" s="378"/>
      <c r="N409" s="378"/>
      <c r="O409" s="378"/>
      <c r="P409" s="378"/>
      <c r="Q409" s="378"/>
      <c r="R409" s="378"/>
      <c r="S409" s="378"/>
      <c r="T409" s="378"/>
      <c r="U409" s="378"/>
      <c r="V409" s="378"/>
      <c r="W409" s="378"/>
      <c r="X409" s="378"/>
      <c r="Y409" s="378"/>
      <c r="Z409" s="378"/>
      <c r="AA409" s="378"/>
      <c r="AB409" s="378"/>
      <c r="AC409" s="378"/>
      <c r="AD409" s="378"/>
      <c r="AE409" s="378"/>
      <c r="AF409" s="378"/>
      <c r="AG409" s="378"/>
      <c r="AH409" s="378"/>
      <c r="AI409" s="378"/>
      <c r="AJ409" s="378"/>
      <c r="AK409" s="378"/>
      <c r="AL409" s="378"/>
    </row>
    <row r="410" customFormat="false" ht="15" hidden="false" customHeight="false" outlineLevel="0" collapsed="false">
      <c r="A410" s="213" t="s">
        <v>47</v>
      </c>
      <c r="B410" s="195" t="s">
        <v>11</v>
      </c>
      <c r="C410" s="197" t="n">
        <v>0.2</v>
      </c>
      <c r="F410" s="378"/>
      <c r="G410" s="378"/>
      <c r="H410" s="378"/>
      <c r="I410" s="378"/>
      <c r="J410" s="378"/>
      <c r="K410" s="378"/>
      <c r="L410" s="378"/>
      <c r="M410" s="378"/>
      <c r="N410" s="378"/>
      <c r="O410" s="378"/>
      <c r="P410" s="378"/>
      <c r="Q410" s="378"/>
      <c r="R410" s="378"/>
      <c r="S410" s="378"/>
      <c r="T410" s="378"/>
      <c r="U410" s="378"/>
      <c r="V410" s="378"/>
      <c r="W410" s="378"/>
      <c r="X410" s="378"/>
      <c r="Y410" s="378"/>
      <c r="Z410" s="378"/>
      <c r="AA410" s="378"/>
      <c r="AB410" s="378"/>
      <c r="AC410" s="378"/>
      <c r="AD410" s="378"/>
      <c r="AE410" s="378"/>
      <c r="AF410" s="378"/>
      <c r="AG410" s="378"/>
      <c r="AH410" s="378"/>
      <c r="AI410" s="378"/>
      <c r="AJ410" s="378"/>
      <c r="AK410" s="378"/>
      <c r="AL410" s="378"/>
    </row>
    <row r="411" customFormat="false" ht="15" hidden="false" customHeight="false" outlineLevel="0" collapsed="false">
      <c r="A411" s="232" t="s">
        <v>53</v>
      </c>
      <c r="B411" s="198" t="s">
        <v>11</v>
      </c>
      <c r="C411" s="233" t="n">
        <v>2020</v>
      </c>
      <c r="F411" s="378"/>
      <c r="G411" s="378"/>
      <c r="H411" s="378"/>
      <c r="I411" s="378"/>
      <c r="J411" s="378"/>
      <c r="K411" s="378"/>
      <c r="L411" s="378"/>
      <c r="M411" s="378"/>
      <c r="N411" s="378"/>
      <c r="O411" s="378"/>
      <c r="P411" s="378"/>
      <c r="Q411" s="378"/>
      <c r="R411" s="378"/>
      <c r="S411" s="378"/>
      <c r="T411" s="378"/>
      <c r="U411" s="378"/>
      <c r="V411" s="378"/>
      <c r="W411" s="378"/>
      <c r="X411" s="378"/>
      <c r="Y411" s="378"/>
      <c r="Z411" s="378"/>
      <c r="AA411" s="378"/>
      <c r="AB411" s="378"/>
      <c r="AC411" s="378"/>
      <c r="AD411" s="378"/>
      <c r="AE411" s="378"/>
      <c r="AF411" s="378"/>
      <c r="AG411" s="378"/>
      <c r="AH411" s="378"/>
      <c r="AI411" s="378"/>
      <c r="AJ411" s="378"/>
      <c r="AK411" s="378"/>
      <c r="AL411" s="378"/>
    </row>
    <row r="412" customFormat="false" ht="15" hidden="false" customHeight="false" outlineLevel="0" collapsed="false">
      <c r="A412" s="232" t="s">
        <v>56</v>
      </c>
      <c r="B412" s="198" t="s">
        <v>11</v>
      </c>
      <c r="C412" s="233" t="n">
        <v>2050</v>
      </c>
    </row>
    <row r="414" customFormat="false" ht="17.35" hidden="false" customHeight="false" outlineLevel="0" collapsed="false">
      <c r="A414" s="201" t="s">
        <v>59</v>
      </c>
      <c r="B414" s="201"/>
      <c r="C414" s="201"/>
    </row>
    <row r="415" customFormat="false" ht="15" hidden="false" customHeight="false" outlineLevel="0" collapsed="false">
      <c r="A415" s="213" t="s">
        <v>636</v>
      </c>
      <c r="B415" s="195" t="s">
        <v>11</v>
      </c>
      <c r="C415" s="351" t="n">
        <v>0.5</v>
      </c>
    </row>
    <row r="416" customFormat="false" ht="15" hidden="false" customHeight="false" outlineLevel="0" collapsed="false">
      <c r="A416" s="213" t="s">
        <v>637</v>
      </c>
      <c r="B416" s="195" t="s">
        <v>11</v>
      </c>
      <c r="C416" s="351" t="n">
        <v>0.5</v>
      </c>
    </row>
    <row r="417" customFormat="false" ht="15" hidden="false" customHeight="false" outlineLevel="0" collapsed="false">
      <c r="A417" s="213" t="s">
        <v>638</v>
      </c>
      <c r="B417" s="195" t="s">
        <v>11</v>
      </c>
      <c r="C417" s="351" t="n">
        <v>0.5</v>
      </c>
    </row>
    <row r="418" customFormat="false" ht="15" hidden="false" customHeight="false" outlineLevel="0" collapsed="false">
      <c r="A418" s="232" t="s">
        <v>639</v>
      </c>
      <c r="B418" s="198" t="s">
        <v>11</v>
      </c>
      <c r="C418" s="380" t="n">
        <v>0.5</v>
      </c>
    </row>
    <row r="446" customFormat="false" ht="15" hidden="false" customHeight="false" outlineLevel="0" collapsed="false">
      <c r="A446" s="356"/>
    </row>
  </sheetData>
  <mergeCells count="337">
    <mergeCell ref="A1:C1"/>
    <mergeCell ref="A4:A5"/>
    <mergeCell ref="A7:AL7"/>
    <mergeCell ref="A9:A10"/>
    <mergeCell ref="A14:I14"/>
    <mergeCell ref="A28:C28"/>
    <mergeCell ref="A29:C29"/>
    <mergeCell ref="A33:C33"/>
    <mergeCell ref="A38:C38"/>
    <mergeCell ref="A41:C41"/>
    <mergeCell ref="A44:C44"/>
    <mergeCell ref="A47:C47"/>
    <mergeCell ref="A56:C56"/>
    <mergeCell ref="A58:C58"/>
    <mergeCell ref="A61:C61"/>
    <mergeCell ref="A62:A63"/>
    <mergeCell ref="A64:C64"/>
    <mergeCell ref="A65:A66"/>
    <mergeCell ref="A68:C68"/>
    <mergeCell ref="A71:A72"/>
    <mergeCell ref="A73:A74"/>
    <mergeCell ref="A75:A76"/>
    <mergeCell ref="A77:A78"/>
    <mergeCell ref="A79:A80"/>
    <mergeCell ref="A82:A83"/>
    <mergeCell ref="A84:A85"/>
    <mergeCell ref="A86:C86"/>
    <mergeCell ref="A88:C88"/>
    <mergeCell ref="B91:C91"/>
    <mergeCell ref="A100:A103"/>
    <mergeCell ref="C100:C103"/>
    <mergeCell ref="A107:J107"/>
    <mergeCell ref="A109:A111"/>
    <mergeCell ref="A112:A114"/>
    <mergeCell ref="B115:B117"/>
    <mergeCell ref="A118:I118"/>
    <mergeCell ref="A120:A123"/>
    <mergeCell ref="A124:A127"/>
    <mergeCell ref="A128:A131"/>
    <mergeCell ref="A132:I132"/>
    <mergeCell ref="A134:A137"/>
    <mergeCell ref="A138:A141"/>
    <mergeCell ref="A142:A145"/>
    <mergeCell ref="A146:A149"/>
    <mergeCell ref="A153:E153"/>
    <mergeCell ref="A154:E154"/>
    <mergeCell ref="A155:A157"/>
    <mergeCell ref="C155:C157"/>
    <mergeCell ref="A159:C159"/>
    <mergeCell ref="A162:B162"/>
    <mergeCell ref="BA162:BB162"/>
    <mergeCell ref="BC162:BD162"/>
    <mergeCell ref="BE162:BF162"/>
    <mergeCell ref="BG162:BH162"/>
    <mergeCell ref="BI162:BJ162"/>
    <mergeCell ref="BK162:BL162"/>
    <mergeCell ref="BM162:BN162"/>
    <mergeCell ref="BO162:BP162"/>
    <mergeCell ref="BR162:BS162"/>
    <mergeCell ref="BT162:BU162"/>
    <mergeCell ref="BV162:BW162"/>
    <mergeCell ref="BX162:BY162"/>
    <mergeCell ref="BZ162:CA162"/>
    <mergeCell ref="CB162:CC162"/>
    <mergeCell ref="CD162:CE162"/>
    <mergeCell ref="CF162:CG162"/>
    <mergeCell ref="CI162:CJ162"/>
    <mergeCell ref="CK162:CL162"/>
    <mergeCell ref="CM162:CN162"/>
    <mergeCell ref="CO162:CP162"/>
    <mergeCell ref="CQ162:CR162"/>
    <mergeCell ref="CT162:CU162"/>
    <mergeCell ref="CV162:CW162"/>
    <mergeCell ref="CX162:CY162"/>
    <mergeCell ref="CZ162:DA162"/>
    <mergeCell ref="DC162:DD162"/>
    <mergeCell ref="DE162:DF162"/>
    <mergeCell ref="DG162:DH162"/>
    <mergeCell ref="DI162:DJ162"/>
    <mergeCell ref="DK162:DL162"/>
    <mergeCell ref="DM162:DN162"/>
    <mergeCell ref="DO162:DP162"/>
    <mergeCell ref="DQ162:DR162"/>
    <mergeCell ref="DT162:DU162"/>
    <mergeCell ref="DV162:DW162"/>
    <mergeCell ref="DX162:DY162"/>
    <mergeCell ref="DZ162:EA162"/>
    <mergeCell ref="EB162:EC162"/>
    <mergeCell ref="ED162:EE162"/>
    <mergeCell ref="EF162:EG162"/>
    <mergeCell ref="EH162:EI162"/>
    <mergeCell ref="EK162:EL162"/>
    <mergeCell ref="EM162:EN162"/>
    <mergeCell ref="EO162:EP162"/>
    <mergeCell ref="EQ162:ER162"/>
    <mergeCell ref="ES162:ET162"/>
    <mergeCell ref="EU162:EV162"/>
    <mergeCell ref="EW162:EX162"/>
    <mergeCell ref="EY162:EZ162"/>
    <mergeCell ref="A163:B163"/>
    <mergeCell ref="BA163:BB163"/>
    <mergeCell ref="BR163:BS163"/>
    <mergeCell ref="CI163:CJ163"/>
    <mergeCell ref="DC163:DD163"/>
    <mergeCell ref="DT163:DU163"/>
    <mergeCell ref="EK163:EL163"/>
    <mergeCell ref="A164:B164"/>
    <mergeCell ref="BA164:BB164"/>
    <mergeCell ref="BR164:BS164"/>
    <mergeCell ref="CI164:CJ164"/>
    <mergeCell ref="DC164:DD164"/>
    <mergeCell ref="DT164:DU164"/>
    <mergeCell ref="EK164:EL164"/>
    <mergeCell ref="A165:B165"/>
    <mergeCell ref="BA165:BB165"/>
    <mergeCell ref="BR165:BS165"/>
    <mergeCell ref="CI165:CJ165"/>
    <mergeCell ref="DC165:DD165"/>
    <mergeCell ref="DT165:DU165"/>
    <mergeCell ref="EK165:EL165"/>
    <mergeCell ref="A166:B166"/>
    <mergeCell ref="BA166:BB166"/>
    <mergeCell ref="BR166:BS166"/>
    <mergeCell ref="CI166:CJ166"/>
    <mergeCell ref="DC166:DD166"/>
    <mergeCell ref="DT166:DU166"/>
    <mergeCell ref="EK166:EL166"/>
    <mergeCell ref="A167:B167"/>
    <mergeCell ref="BA167:BB167"/>
    <mergeCell ref="BR167:BS167"/>
    <mergeCell ref="CI167:CJ167"/>
    <mergeCell ref="DC167:DD167"/>
    <mergeCell ref="DT167:DU167"/>
    <mergeCell ref="EK167:EL167"/>
    <mergeCell ref="BA168:BQ168"/>
    <mergeCell ref="BR168:CH168"/>
    <mergeCell ref="CI168:CR168"/>
    <mergeCell ref="CS168:DB168"/>
    <mergeCell ref="DC168:DS168"/>
    <mergeCell ref="DT168:EJ168"/>
    <mergeCell ref="EK168:FA168"/>
    <mergeCell ref="A169:B169"/>
    <mergeCell ref="BA169:BB169"/>
    <mergeCell ref="BR169:BS169"/>
    <mergeCell ref="CI169:CJ169"/>
    <mergeCell ref="DC169:DD169"/>
    <mergeCell ref="DT169:DU169"/>
    <mergeCell ref="EK169:EL169"/>
    <mergeCell ref="A170:B170"/>
    <mergeCell ref="BA170:BB170"/>
    <mergeCell ref="BR170:BS170"/>
    <mergeCell ref="CI170:CJ170"/>
    <mergeCell ref="DC170:DD170"/>
    <mergeCell ref="DT170:DU170"/>
    <mergeCell ref="EK170:EL170"/>
    <mergeCell ref="A171:B171"/>
    <mergeCell ref="BA171:BB171"/>
    <mergeCell ref="BR171:BS171"/>
    <mergeCell ref="CI171:CJ171"/>
    <mergeCell ref="DC171:DD171"/>
    <mergeCell ref="DT171:DU171"/>
    <mergeCell ref="EK171:EL171"/>
    <mergeCell ref="A172:B172"/>
    <mergeCell ref="BA172:BB172"/>
    <mergeCell ref="BR172:BS172"/>
    <mergeCell ref="CI172:CJ172"/>
    <mergeCell ref="DC172:DD172"/>
    <mergeCell ref="DT172:DU172"/>
    <mergeCell ref="EK172:EL172"/>
    <mergeCell ref="A173:B173"/>
    <mergeCell ref="BA173:BB173"/>
    <mergeCell ref="BR173:BS173"/>
    <mergeCell ref="CI173:CJ173"/>
    <mergeCell ref="DC173:DD173"/>
    <mergeCell ref="DT173:DU173"/>
    <mergeCell ref="EK173:EL173"/>
    <mergeCell ref="BA174:BQ174"/>
    <mergeCell ref="BR174:CH174"/>
    <mergeCell ref="CI174:CR174"/>
    <mergeCell ref="CS174:DB174"/>
    <mergeCell ref="DC174:DS174"/>
    <mergeCell ref="DT174:EJ174"/>
    <mergeCell ref="EK174:FA174"/>
    <mergeCell ref="A175:B175"/>
    <mergeCell ref="BA175:BB175"/>
    <mergeCell ref="BR175:BS175"/>
    <mergeCell ref="CI175:CJ175"/>
    <mergeCell ref="DC175:DD175"/>
    <mergeCell ref="DT175:DU175"/>
    <mergeCell ref="EK175:EL175"/>
    <mergeCell ref="A176:B176"/>
    <mergeCell ref="BA176:BB176"/>
    <mergeCell ref="BR176:BS176"/>
    <mergeCell ref="CI176:CJ176"/>
    <mergeCell ref="DC176:DD176"/>
    <mergeCell ref="DT176:DU176"/>
    <mergeCell ref="EK176:EL176"/>
    <mergeCell ref="A177:B177"/>
    <mergeCell ref="BA177:BB177"/>
    <mergeCell ref="BR177:BS177"/>
    <mergeCell ref="CI177:CJ177"/>
    <mergeCell ref="DC177:DD177"/>
    <mergeCell ref="DT177:DU177"/>
    <mergeCell ref="EK177:EL177"/>
    <mergeCell ref="A178:B178"/>
    <mergeCell ref="BA178:BB178"/>
    <mergeCell ref="BR178:BS178"/>
    <mergeCell ref="CI178:CJ178"/>
    <mergeCell ref="DC178:DD178"/>
    <mergeCell ref="DT178:DU178"/>
    <mergeCell ref="EK178:EL178"/>
    <mergeCell ref="A179:B179"/>
    <mergeCell ref="BA179:BB179"/>
    <mergeCell ref="BR179:BS179"/>
    <mergeCell ref="CI179:CJ179"/>
    <mergeCell ref="DC179:DD179"/>
    <mergeCell ref="DT179:DU179"/>
    <mergeCell ref="EK179:EL179"/>
    <mergeCell ref="BA180:BQ180"/>
    <mergeCell ref="BR180:CH180"/>
    <mergeCell ref="CI180:CR180"/>
    <mergeCell ref="CS180:DB180"/>
    <mergeCell ref="DC180:DS180"/>
    <mergeCell ref="DT180:EJ180"/>
    <mergeCell ref="EK180:FA180"/>
    <mergeCell ref="A181:B181"/>
    <mergeCell ref="BA181:BB181"/>
    <mergeCell ref="BR181:BS181"/>
    <mergeCell ref="CI181:CJ181"/>
    <mergeCell ref="DC181:DD181"/>
    <mergeCell ref="DT181:DU181"/>
    <mergeCell ref="EK181:EL181"/>
    <mergeCell ref="A182:B182"/>
    <mergeCell ref="BA182:BB182"/>
    <mergeCell ref="BR182:BS182"/>
    <mergeCell ref="CI182:CJ182"/>
    <mergeCell ref="DC182:DD182"/>
    <mergeCell ref="DT182:DU182"/>
    <mergeCell ref="EK182:EL182"/>
    <mergeCell ref="A183:B183"/>
    <mergeCell ref="BA183:BB183"/>
    <mergeCell ref="BR183:BS183"/>
    <mergeCell ref="CI183:CJ183"/>
    <mergeCell ref="DC183:DD183"/>
    <mergeCell ref="DT183:DU183"/>
    <mergeCell ref="EK183:EL183"/>
    <mergeCell ref="A184:B184"/>
    <mergeCell ref="BA184:BB184"/>
    <mergeCell ref="BR184:BS184"/>
    <mergeCell ref="CI184:CJ184"/>
    <mergeCell ref="DC184:DD184"/>
    <mergeCell ref="DT184:DU184"/>
    <mergeCell ref="EK184:EL184"/>
    <mergeCell ref="A185:B185"/>
    <mergeCell ref="BA185:BB185"/>
    <mergeCell ref="BR185:BS185"/>
    <mergeCell ref="CI185:CJ185"/>
    <mergeCell ref="DC185:DD185"/>
    <mergeCell ref="DT185:DU185"/>
    <mergeCell ref="EK185:EL185"/>
    <mergeCell ref="BA186:BQ186"/>
    <mergeCell ref="BR186:CH186"/>
    <mergeCell ref="CI186:CR186"/>
    <mergeCell ref="CS186:DB186"/>
    <mergeCell ref="DC186:DS186"/>
    <mergeCell ref="DT186:EJ186"/>
    <mergeCell ref="EK186:FA186"/>
    <mergeCell ref="A187:B187"/>
    <mergeCell ref="BA187:BB187"/>
    <mergeCell ref="BR187:BS187"/>
    <mergeCell ref="CI187:CJ187"/>
    <mergeCell ref="DC187:DD187"/>
    <mergeCell ref="DT187:DU187"/>
    <mergeCell ref="EK187:EL187"/>
    <mergeCell ref="A188:B188"/>
    <mergeCell ref="BA188:BB188"/>
    <mergeCell ref="BR188:BS188"/>
    <mergeCell ref="CI188:CJ188"/>
    <mergeCell ref="DC188:DD188"/>
    <mergeCell ref="DT188:DU188"/>
    <mergeCell ref="EK188:EL188"/>
    <mergeCell ref="A189:B189"/>
    <mergeCell ref="BA189:BB189"/>
    <mergeCell ref="BR189:BS189"/>
    <mergeCell ref="CI189:CJ189"/>
    <mergeCell ref="DC189:DD189"/>
    <mergeCell ref="DT189:DU189"/>
    <mergeCell ref="EK189:EL189"/>
    <mergeCell ref="A190:B190"/>
    <mergeCell ref="BA190:BB190"/>
    <mergeCell ref="BR190:BS190"/>
    <mergeCell ref="CI190:CJ190"/>
    <mergeCell ref="DC190:DD190"/>
    <mergeCell ref="DT190:DU190"/>
    <mergeCell ref="EK190:EL190"/>
    <mergeCell ref="A191:B191"/>
    <mergeCell ref="BA191:BB191"/>
    <mergeCell ref="BR191:BS191"/>
    <mergeCell ref="CI191:CJ191"/>
    <mergeCell ref="DC191:DD191"/>
    <mergeCell ref="DT191:DU191"/>
    <mergeCell ref="EK191:EL191"/>
    <mergeCell ref="A193:C193"/>
    <mergeCell ref="A194:A195"/>
    <mergeCell ref="C194:C195"/>
    <mergeCell ref="A198:Q198"/>
    <mergeCell ref="A199:B199"/>
    <mergeCell ref="A200:B200"/>
    <mergeCell ref="A201:B201"/>
    <mergeCell ref="A202:B202"/>
    <mergeCell ref="A203:B203"/>
    <mergeCell ref="A204:B204"/>
    <mergeCell ref="A205:C205"/>
    <mergeCell ref="A209:C209"/>
    <mergeCell ref="A211:A213"/>
    <mergeCell ref="C211:C213"/>
    <mergeCell ref="A215:A217"/>
    <mergeCell ref="C215:C217"/>
    <mergeCell ref="A222:D222"/>
    <mergeCell ref="A223:D223"/>
    <mergeCell ref="A224:B224"/>
    <mergeCell ref="A225:B225"/>
    <mergeCell ref="A228:A246"/>
    <mergeCell ref="A247:C247"/>
    <mergeCell ref="A253:C253"/>
    <mergeCell ref="A254:C254"/>
    <mergeCell ref="A256:C256"/>
    <mergeCell ref="A257:A260"/>
    <mergeCell ref="C257:C260"/>
    <mergeCell ref="A262:C262"/>
    <mergeCell ref="A265:I265"/>
    <mergeCell ref="A369:I369"/>
    <mergeCell ref="A386:I386"/>
    <mergeCell ref="A392:I392"/>
    <mergeCell ref="A399:C399"/>
    <mergeCell ref="A408:C408"/>
    <mergeCell ref="A414:C414"/>
  </mergeCells>
  <conditionalFormatting sqref="D116:J117">
    <cfRule type="cellIs" priority="2" operator="equal" aboveAverage="0" equalAverage="0" bottom="0" percent="0" rank="0" text="" dxfId="0">
      <formula>1</formula>
    </cfRule>
  </conditionalFormatting>
  <conditionalFormatting sqref="R200:AZ204 AR210:CO214 C200:Q204">
    <cfRule type="cellIs" priority="3" operator="lessThan" aboveAverage="0" equalAverage="0" bottom="0" percent="0" rank="0" text="" dxfId="1">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N3" activeCellId="0" sqref="N3"/>
    </sheetView>
  </sheetViews>
  <sheetFormatPr defaultColWidth="10.71484375" defaultRowHeight="15" customHeight="true" zeroHeight="false" outlineLevelRow="0" outlineLevelCol="0"/>
  <cols>
    <col collapsed="false" customWidth="true" hidden="false" outlineLevel="0" max="6" min="6" style="1" width="24.29"/>
    <col collapsed="false" customWidth="true" hidden="false" outlineLevel="0" max="16" min="16" style="1" width="22.29"/>
  </cols>
  <sheetData>
    <row r="1" customFormat="false" ht="19.5" hidden="false" customHeight="true" outlineLevel="0" collapsed="false">
      <c r="A1" s="383" t="s">
        <v>107</v>
      </c>
      <c r="B1" s="384"/>
      <c r="C1" s="385"/>
      <c r="E1" s="386"/>
      <c r="F1" s="387" t="s">
        <v>640</v>
      </c>
      <c r="G1" s="388"/>
      <c r="J1" s="212" t="s">
        <v>70</v>
      </c>
      <c r="K1" s="212"/>
      <c r="L1" s="212"/>
      <c r="M1" s="212"/>
      <c r="N1" s="212"/>
      <c r="O1" s="212"/>
      <c r="P1" s="212"/>
      <c r="Q1" s="212"/>
      <c r="R1" s="212"/>
    </row>
    <row r="2" customFormat="false" ht="15" hidden="false" customHeight="false" outlineLevel="0" collapsed="false">
      <c r="A2" s="389" t="s">
        <v>488</v>
      </c>
      <c r="B2" s="389"/>
      <c r="C2" s="389"/>
      <c r="E2" s="386"/>
      <c r="F2" s="390" t="n">
        <v>2025</v>
      </c>
      <c r="G2" s="390" t="n">
        <v>2030</v>
      </c>
      <c r="J2" s="213" t="s">
        <v>475</v>
      </c>
      <c r="K2" s="195" t="s">
        <v>17</v>
      </c>
      <c r="L2" s="391" t="n">
        <v>2020</v>
      </c>
      <c r="M2" s="391" t="n">
        <v>2025</v>
      </c>
      <c r="N2" s="214" t="n">
        <v>2030</v>
      </c>
      <c r="O2" s="214" t="n">
        <v>2035</v>
      </c>
      <c r="P2" s="214" t="n">
        <v>2040</v>
      </c>
      <c r="Q2" s="214" t="n">
        <v>2045</v>
      </c>
      <c r="R2" s="215" t="n">
        <v>2050</v>
      </c>
    </row>
    <row r="3" customFormat="false" ht="15" hidden="false" customHeight="false" outlineLevel="0" collapsed="false">
      <c r="A3" s="392" t="s">
        <v>489</v>
      </c>
      <c r="B3" s="393" t="s">
        <v>641</v>
      </c>
      <c r="C3" s="394" t="n">
        <v>0.04</v>
      </c>
      <c r="E3" s="395" t="s">
        <v>642</v>
      </c>
      <c r="F3" s="396" t="n">
        <v>0.0371865232692639</v>
      </c>
      <c r="G3" s="396" t="n">
        <v>0.232670415035861</v>
      </c>
      <c r="J3" s="213" t="s">
        <v>476</v>
      </c>
      <c r="K3" s="195" t="s">
        <v>477</v>
      </c>
      <c r="L3" s="28" t="n">
        <v>0.001825599</v>
      </c>
      <c r="M3" s="28" t="n">
        <v>0.001825703</v>
      </c>
      <c r="N3" s="196" t="n">
        <v>0.001825808</v>
      </c>
      <c r="O3" s="196" t="n">
        <v>0.001825808</v>
      </c>
      <c r="P3" s="196" t="n">
        <v>0.001825808</v>
      </c>
      <c r="Q3" s="196" t="n">
        <v>0.001825808</v>
      </c>
      <c r="R3" s="197" t="n">
        <v>0.001825808</v>
      </c>
    </row>
    <row r="4" customFormat="false" ht="35.05" hidden="false" customHeight="false" outlineLevel="0" collapsed="false">
      <c r="A4" s="397" t="s">
        <v>491</v>
      </c>
      <c r="B4" s="398" t="s">
        <v>17</v>
      </c>
      <c r="C4" s="399" t="n">
        <v>2025</v>
      </c>
      <c r="E4" s="395" t="s">
        <v>643</v>
      </c>
      <c r="F4" s="396" t="n">
        <v>1.6130428775388</v>
      </c>
      <c r="G4" s="396" t="n">
        <v>0.949592914933259</v>
      </c>
      <c r="J4" s="213" t="s">
        <v>478</v>
      </c>
      <c r="K4" s="195" t="s">
        <v>477</v>
      </c>
      <c r="L4" s="28" t="n">
        <v>0</v>
      </c>
      <c r="M4" s="28" t="n">
        <v>0</v>
      </c>
      <c r="N4" s="196" t="n">
        <v>0</v>
      </c>
      <c r="O4" s="196" t="n">
        <v>0</v>
      </c>
      <c r="P4" s="196" t="n">
        <v>0</v>
      </c>
      <c r="Q4" s="196" t="n">
        <v>0</v>
      </c>
      <c r="R4" s="216" t="n">
        <v>0</v>
      </c>
    </row>
    <row r="5" customFormat="false" ht="35.05" hidden="false" customHeight="false" outlineLevel="0" collapsed="false">
      <c r="A5" s="397" t="s">
        <v>493</v>
      </c>
      <c r="B5" s="393" t="s">
        <v>641</v>
      </c>
      <c r="C5" s="394" t="n">
        <v>0.04</v>
      </c>
      <c r="E5" s="395" t="s">
        <v>644</v>
      </c>
      <c r="F5" s="396" t="n">
        <v>-0.521132625442432</v>
      </c>
      <c r="G5" s="396" t="n">
        <v>-0.342735861974531</v>
      </c>
      <c r="J5" s="213" t="s">
        <v>479</v>
      </c>
      <c r="K5" s="195" t="s">
        <v>477</v>
      </c>
      <c r="L5" s="28" t="n">
        <v>3.99E-006</v>
      </c>
      <c r="M5" s="28" t="n">
        <v>3.99E-006</v>
      </c>
      <c r="N5" s="196" t="n">
        <v>3.99E-006</v>
      </c>
      <c r="O5" s="196" t="n">
        <v>3.99E-006</v>
      </c>
      <c r="P5" s="196" t="n">
        <v>3.99E-006</v>
      </c>
      <c r="Q5" s="196" t="n">
        <v>0</v>
      </c>
      <c r="R5" s="197" t="n">
        <v>0</v>
      </c>
    </row>
    <row r="6" customFormat="false" ht="23.85" hidden="false" customHeight="false" outlineLevel="0" collapsed="false">
      <c r="A6" s="400" t="s">
        <v>494</v>
      </c>
      <c r="B6" s="400"/>
      <c r="C6" s="400"/>
      <c r="E6" s="395" t="s">
        <v>645</v>
      </c>
      <c r="F6" s="396" t="n">
        <v>-0.00682498781252176</v>
      </c>
      <c r="G6" s="396" t="n">
        <v>-0.00670819357930043</v>
      </c>
      <c r="J6" s="213" t="s">
        <v>480</v>
      </c>
      <c r="K6" s="195" t="s">
        <v>477</v>
      </c>
      <c r="L6" s="28" t="n">
        <v>0</v>
      </c>
      <c r="M6" s="28" t="n">
        <v>0</v>
      </c>
      <c r="N6" s="196" t="n">
        <v>0</v>
      </c>
      <c r="O6" s="196" t="n">
        <v>0</v>
      </c>
      <c r="P6" s="196" t="n">
        <v>0</v>
      </c>
      <c r="Q6" s="196" t="n">
        <v>0</v>
      </c>
      <c r="R6" s="216" t="n">
        <v>0</v>
      </c>
    </row>
    <row r="7" customFormat="false" ht="15" hidden="false" customHeight="false" outlineLevel="0" collapsed="false">
      <c r="A7" s="397" t="s">
        <v>495</v>
      </c>
      <c r="B7" s="398" t="s">
        <v>17</v>
      </c>
      <c r="C7" s="401" t="n">
        <v>2020</v>
      </c>
      <c r="E7" s="395" t="s">
        <v>646</v>
      </c>
      <c r="F7" s="396" t="n">
        <v>-0.004149377593361</v>
      </c>
      <c r="G7" s="396" t="n">
        <v>0.825726141078838</v>
      </c>
      <c r="J7" s="213" t="s">
        <v>481</v>
      </c>
      <c r="K7" s="195" t="s">
        <v>477</v>
      </c>
      <c r="L7" s="28" t="n">
        <v>0.002183843</v>
      </c>
      <c r="M7" s="28" t="n">
        <v>0.003709032</v>
      </c>
      <c r="N7" s="196" t="n">
        <v>0.00523422</v>
      </c>
      <c r="O7" s="196" t="n">
        <v>0.012195271</v>
      </c>
      <c r="P7" s="196" t="n">
        <v>0.016939</v>
      </c>
      <c r="Q7" s="196" t="n">
        <v>0.02058591</v>
      </c>
      <c r="R7" s="216" t="n">
        <v>0.023136</v>
      </c>
    </row>
    <row r="8" customFormat="false" ht="35.05" hidden="false" customHeight="false" outlineLevel="0" collapsed="false">
      <c r="A8" s="402" t="s">
        <v>647</v>
      </c>
      <c r="B8" s="403" t="s">
        <v>641</v>
      </c>
      <c r="C8" s="404" t="n">
        <v>0.11</v>
      </c>
      <c r="E8" s="395" t="s">
        <v>648</v>
      </c>
      <c r="F8" s="396" t="n">
        <v>-0.375</v>
      </c>
      <c r="G8" s="396" t="n">
        <v>0</v>
      </c>
      <c r="J8" s="213" t="s">
        <v>482</v>
      </c>
      <c r="K8" s="195" t="s">
        <v>477</v>
      </c>
      <c r="L8" s="405" t="n">
        <v>0.000230769</v>
      </c>
      <c r="M8" s="405" t="n">
        <v>0.000615385</v>
      </c>
      <c r="N8" s="196" t="n">
        <v>0.001</v>
      </c>
      <c r="O8" s="196" t="n">
        <v>0.0015</v>
      </c>
      <c r="P8" s="196" t="n">
        <v>0.0015</v>
      </c>
      <c r="Q8" s="196" t="n">
        <v>0.0035</v>
      </c>
      <c r="R8" s="216" t="n">
        <v>0.0035</v>
      </c>
    </row>
    <row r="9" customFormat="false" ht="23.85" hidden="false" customHeight="false" outlineLevel="0" collapsed="false">
      <c r="A9" s="397" t="s">
        <v>497</v>
      </c>
      <c r="B9" s="393" t="s">
        <v>11</v>
      </c>
      <c r="C9" s="401" t="n">
        <v>0.25</v>
      </c>
      <c r="E9" s="395" t="s">
        <v>649</v>
      </c>
      <c r="F9" s="396" t="n">
        <v>0.238036809815951</v>
      </c>
      <c r="G9" s="396" t="n">
        <v>0.000710227272727273</v>
      </c>
      <c r="J9" s="213" t="s">
        <v>483</v>
      </c>
      <c r="K9" s="195" t="s">
        <v>477</v>
      </c>
      <c r="L9" s="28" t="n">
        <v>0.000430456872</v>
      </c>
      <c r="M9" s="28" t="n">
        <v>0.004507329</v>
      </c>
      <c r="N9" s="196" t="n">
        <v>0.00715653</v>
      </c>
      <c r="O9" s="196" t="n">
        <v>0.015609903</v>
      </c>
      <c r="P9" s="196" t="n">
        <v>0.02243145</v>
      </c>
      <c r="Q9" s="196" t="n">
        <v>0.028250311</v>
      </c>
      <c r="R9" s="216" t="n">
        <v>0.03315265</v>
      </c>
    </row>
    <row r="10" customFormat="false" ht="15" hidden="false" customHeight="false" outlineLevel="0" collapsed="false">
      <c r="A10" s="406"/>
      <c r="B10" s="407"/>
      <c r="C10" s="408"/>
      <c r="E10" s="395" t="s">
        <v>650</v>
      </c>
      <c r="F10" s="396" t="n">
        <v>-1</v>
      </c>
      <c r="G10" s="396" t="s">
        <v>651</v>
      </c>
      <c r="J10" s="213" t="s">
        <v>484</v>
      </c>
      <c r="K10" s="195" t="s">
        <v>477</v>
      </c>
      <c r="L10" s="28" t="n">
        <v>2.429E-005</v>
      </c>
      <c r="M10" s="28" t="n">
        <v>2.429E-005</v>
      </c>
      <c r="N10" s="196" t="n">
        <v>2.429E-005</v>
      </c>
      <c r="O10" s="196" t="n">
        <v>4.999E-005</v>
      </c>
      <c r="P10" s="196" t="n">
        <v>4.999E-005</v>
      </c>
      <c r="Q10" s="196" t="n">
        <v>4.999E-005</v>
      </c>
      <c r="R10" s="216" t="n">
        <v>4.999E-005</v>
      </c>
      <c r="T10" s="1" t="n">
        <f aca="false">M8*(1+F3)</f>
        <v>0.000638269028622056</v>
      </c>
    </row>
    <row r="11" customFormat="false" ht="35.05" hidden="false" customHeight="false" outlineLevel="0" collapsed="false">
      <c r="A11" s="397" t="s">
        <v>499</v>
      </c>
      <c r="B11" s="398" t="s">
        <v>17</v>
      </c>
      <c r="C11" s="401" t="n">
        <v>2020</v>
      </c>
      <c r="E11" s="395" t="s">
        <v>652</v>
      </c>
      <c r="F11" s="396" t="n">
        <v>0</v>
      </c>
      <c r="G11" s="396" t="n">
        <v>0</v>
      </c>
      <c r="J11" s="213" t="s">
        <v>485</v>
      </c>
      <c r="K11" s="195" t="s">
        <v>477</v>
      </c>
      <c r="L11" s="409" t="n">
        <v>0.000880154</v>
      </c>
      <c r="M11" s="80" t="n">
        <v>0.001457077</v>
      </c>
      <c r="N11" s="217" t="n">
        <v>0.002034</v>
      </c>
      <c r="O11" s="217" t="n">
        <v>0.002034</v>
      </c>
      <c r="P11" s="217" t="n">
        <v>0.003534</v>
      </c>
      <c r="Q11" s="217" t="n">
        <v>0.003734</v>
      </c>
      <c r="R11" s="218" t="n">
        <v>0.003734</v>
      </c>
    </row>
    <row r="12" customFormat="false" ht="23.85" hidden="false" customHeight="false" outlineLevel="0" collapsed="false">
      <c r="A12" s="402" t="s">
        <v>500</v>
      </c>
      <c r="B12" s="403" t="s">
        <v>641</v>
      </c>
      <c r="C12" s="404" t="n">
        <v>0.04</v>
      </c>
      <c r="E12" s="395" t="s">
        <v>653</v>
      </c>
      <c r="F12" s="396" t="n">
        <v>-0.0697461696775669</v>
      </c>
      <c r="G12" s="396" t="n">
        <v>0.0310626702997275</v>
      </c>
      <c r="J12" s="232" t="s">
        <v>487</v>
      </c>
      <c r="K12" s="198" t="s">
        <v>305</v>
      </c>
      <c r="L12" s="410" t="n">
        <v>0.02</v>
      </c>
      <c r="M12" s="410" t="n">
        <v>0.02</v>
      </c>
      <c r="N12" s="410" t="n">
        <v>0.02</v>
      </c>
      <c r="O12" s="410" t="n">
        <v>0.02</v>
      </c>
      <c r="P12" s="410" t="n">
        <v>0.02</v>
      </c>
      <c r="Q12" s="410" t="n">
        <v>0.02</v>
      </c>
      <c r="R12" s="411" t="n">
        <v>0.02</v>
      </c>
    </row>
    <row r="13" customFormat="false" ht="23.85" hidden="false" customHeight="false" outlineLevel="0" collapsed="false">
      <c r="A13" s="412" t="s">
        <v>121</v>
      </c>
      <c r="B13" s="412"/>
      <c r="C13" s="412"/>
      <c r="E13" s="395" t="s">
        <v>654</v>
      </c>
      <c r="F13" s="396" t="n">
        <v>0</v>
      </c>
      <c r="G13" s="396" t="n">
        <v>0.00293255131964809</v>
      </c>
    </row>
    <row r="14" customFormat="false" ht="15" hidden="false" customHeight="false" outlineLevel="0" collapsed="false">
      <c r="A14" s="413" t="s">
        <v>128</v>
      </c>
      <c r="B14" s="414" t="s">
        <v>641</v>
      </c>
      <c r="C14" s="415" t="n">
        <v>0.03</v>
      </c>
      <c r="E14" s="395" t="s">
        <v>655</v>
      </c>
      <c r="F14" s="396" t="n">
        <v>0</v>
      </c>
      <c r="G14" s="396" t="n">
        <v>0</v>
      </c>
    </row>
    <row r="15" customFormat="false" ht="23.85" hidden="false" customHeight="false" outlineLevel="0" collapsed="false">
      <c r="E15" s="395" t="s">
        <v>656</v>
      </c>
      <c r="F15" s="396" t="n">
        <v>16.656</v>
      </c>
      <c r="G15" s="396" t="n">
        <v>6.4172</v>
      </c>
      <c r="L15" s="416" t="n">
        <v>40633</v>
      </c>
      <c r="M15" s="416" t="n">
        <v>50333</v>
      </c>
      <c r="N15" s="416" t="n">
        <v>42144</v>
      </c>
      <c r="O15" s="416" t="n">
        <v>62044</v>
      </c>
      <c r="P15" s="416" t="n">
        <v>0.0371865232692639</v>
      </c>
      <c r="Q15" s="416" t="n">
        <v>0.232670415035861</v>
      </c>
    </row>
    <row r="16" customFormat="false" ht="15" hidden="false" customHeight="false" outlineLevel="0" collapsed="false">
      <c r="A16" s="417" t="s">
        <v>122</v>
      </c>
      <c r="B16" s="418"/>
      <c r="C16" s="419"/>
      <c r="L16" s="416" t="n">
        <v>21713</v>
      </c>
      <c r="M16" s="416" t="n">
        <v>39181</v>
      </c>
      <c r="N16" s="416" t="n">
        <v>56737</v>
      </c>
      <c r="O16" s="416" t="n">
        <v>76387</v>
      </c>
      <c r="P16" s="420" t="n">
        <v>16130428775388</v>
      </c>
      <c r="Q16" s="416" t="n">
        <v>0.949592914933259</v>
      </c>
    </row>
    <row r="17" customFormat="false" ht="15" hidden="false" customHeight="false" outlineLevel="0" collapsed="false">
      <c r="A17" s="421" t="s">
        <v>129</v>
      </c>
      <c r="B17" s="422" t="s">
        <v>641</v>
      </c>
      <c r="C17" s="423" t="n">
        <v>0.078</v>
      </c>
      <c r="L17" s="416" t="n">
        <v>4803</v>
      </c>
      <c r="M17" s="416" t="n">
        <v>7303</v>
      </c>
      <c r="N17" s="416" t="n">
        <v>2300</v>
      </c>
      <c r="O17" s="416" t="n">
        <v>4800</v>
      </c>
      <c r="P17" s="416" t="n">
        <v>-0.521132625442432</v>
      </c>
      <c r="Q17" s="416" t="n">
        <v>-0.342735861974531</v>
      </c>
    </row>
    <row r="18" customFormat="false" ht="15" hidden="false" customHeight="false" outlineLevel="0" collapsed="false">
      <c r="A18" s="39"/>
      <c r="B18" s="39"/>
      <c r="C18" s="39"/>
      <c r="F18" s="424" t="n">
        <v>7156.5</v>
      </c>
      <c r="G18" s="1" t="n">
        <f aca="false">F18*(F4+1)</f>
        <v>18700.2413531064</v>
      </c>
      <c r="L18" s="416" t="n">
        <v>14359</v>
      </c>
      <c r="M18" s="416" t="n">
        <v>14609</v>
      </c>
      <c r="N18" s="416" t="n">
        <v>14261</v>
      </c>
      <c r="O18" s="416" t="n">
        <v>14511</v>
      </c>
      <c r="P18" s="416" t="n">
        <v>-0.00682498781252176</v>
      </c>
      <c r="Q18" s="416" t="n">
        <v>-0.00670819357930043</v>
      </c>
    </row>
    <row r="19" customFormat="false" ht="15" hidden="false" customHeight="false" outlineLevel="0" collapsed="false">
      <c r="A19" s="383" t="s">
        <v>135</v>
      </c>
      <c r="B19" s="384"/>
      <c r="C19" s="425"/>
      <c r="L19" s="416" t="n">
        <v>241</v>
      </c>
      <c r="M19" s="416" t="n">
        <v>241</v>
      </c>
      <c r="N19" s="416" t="n">
        <v>240</v>
      </c>
      <c r="O19" s="416" t="n">
        <v>440</v>
      </c>
      <c r="P19" s="416" t="n">
        <v>-0.004149377593361</v>
      </c>
      <c r="Q19" s="416" t="n">
        <v>0.825726141078838</v>
      </c>
    </row>
    <row r="20" customFormat="false" ht="15" hidden="false" customHeight="false" outlineLevel="0" collapsed="false">
      <c r="A20" s="426" t="s">
        <v>136</v>
      </c>
      <c r="B20" s="427" t="s">
        <v>17</v>
      </c>
      <c r="C20" s="428" t="n">
        <v>2017</v>
      </c>
      <c r="L20" s="416" t="n">
        <v>40</v>
      </c>
      <c r="M20" s="416" t="n">
        <v>80</v>
      </c>
      <c r="N20" s="416" t="n">
        <v>25</v>
      </c>
      <c r="O20" s="416" t="n">
        <v>80</v>
      </c>
      <c r="P20" s="416" t="n">
        <v>-0.375</v>
      </c>
      <c r="Q20" s="416" t="n">
        <v>0</v>
      </c>
    </row>
    <row r="21" customFormat="false" ht="16.4" hidden="false" customHeight="false" outlineLevel="0" collapsed="false">
      <c r="A21" s="429" t="s">
        <v>138</v>
      </c>
      <c r="B21" s="430" t="s">
        <v>17</v>
      </c>
      <c r="C21" s="431" t="n">
        <v>2050</v>
      </c>
      <c r="L21" s="416" t="n">
        <v>815</v>
      </c>
      <c r="M21" s="416" t="n">
        <v>1408</v>
      </c>
      <c r="N21" s="416" t="n">
        <v>1009</v>
      </c>
      <c r="O21" s="416" t="n">
        <v>1409</v>
      </c>
      <c r="P21" s="416" t="n">
        <v>0.238036809815951</v>
      </c>
      <c r="Q21" s="416" t="n">
        <v>0.000710227272727273</v>
      </c>
    </row>
    <row r="22" customFormat="false" ht="16.4" hidden="false" customHeight="false" outlineLevel="0" collapsed="false">
      <c r="A22" s="429" t="s">
        <v>501</v>
      </c>
      <c r="B22" s="430" t="s">
        <v>641</v>
      </c>
      <c r="C22" s="432" t="n">
        <v>0.026</v>
      </c>
      <c r="L22" s="416" t="n">
        <v>2165</v>
      </c>
      <c r="M22" s="416" t="n">
        <v>0</v>
      </c>
      <c r="N22" s="416" t="n">
        <v>0</v>
      </c>
      <c r="O22" s="416" t="n">
        <v>0</v>
      </c>
      <c r="P22" s="416" t="n">
        <v>-1</v>
      </c>
      <c r="Q22" s="416" t="s">
        <v>651</v>
      </c>
    </row>
    <row r="23" customFormat="false" ht="16.4" hidden="false" customHeight="false" outlineLevel="0" collapsed="false">
      <c r="A23" s="397" t="s">
        <v>502</v>
      </c>
      <c r="B23" s="393" t="s">
        <v>641</v>
      </c>
      <c r="C23" s="433" t="n">
        <v>0</v>
      </c>
      <c r="L23" s="416" t="n">
        <v>26612</v>
      </c>
      <c r="M23" s="416" t="n">
        <v>26612</v>
      </c>
      <c r="N23" s="416" t="n">
        <v>26612</v>
      </c>
      <c r="O23" s="416" t="n">
        <v>26612</v>
      </c>
      <c r="P23" s="416" t="n">
        <v>0</v>
      </c>
      <c r="Q23" s="416" t="n">
        <v>0</v>
      </c>
    </row>
    <row r="24" customFormat="false" ht="16.4" hidden="false" customHeight="false" outlineLevel="0" collapsed="false">
      <c r="A24" s="397"/>
      <c r="B24" s="393"/>
      <c r="C24" s="434" t="s">
        <v>305</v>
      </c>
      <c r="L24" s="416" t="n">
        <v>4373</v>
      </c>
      <c r="M24" s="416" t="n">
        <v>3670</v>
      </c>
      <c r="N24" s="416" t="n">
        <v>4068</v>
      </c>
      <c r="O24" s="416" t="n">
        <v>3784</v>
      </c>
      <c r="P24" s="416" t="n">
        <v>-0.0697461696775669</v>
      </c>
      <c r="Q24" s="416" t="n">
        <v>0.0310626702997275</v>
      </c>
    </row>
    <row r="25" customFormat="false" ht="16.4" hidden="false" customHeight="false" outlineLevel="0" collapsed="false">
      <c r="A25" s="435" t="s">
        <v>503</v>
      </c>
      <c r="B25" s="436" t="s">
        <v>641</v>
      </c>
      <c r="C25" s="437" t="n">
        <v>0.012</v>
      </c>
      <c r="L25" s="416" t="n">
        <v>470</v>
      </c>
      <c r="M25" s="416" t="n">
        <v>341</v>
      </c>
      <c r="N25" s="416" t="n">
        <v>470</v>
      </c>
      <c r="O25" s="416" t="n">
        <v>342</v>
      </c>
      <c r="P25" s="416" t="n">
        <v>0</v>
      </c>
      <c r="Q25" s="416" t="n">
        <v>0.00293255131964809</v>
      </c>
    </row>
    <row r="26" customFormat="false" ht="15" hidden="false" customHeight="false" outlineLevel="0" collapsed="false">
      <c r="A26" s="39"/>
      <c r="B26" s="39"/>
      <c r="C26" s="39"/>
      <c r="L26" s="416" t="n">
        <v>7399</v>
      </c>
      <c r="M26" s="416" t="n">
        <v>3181</v>
      </c>
      <c r="N26" s="416" t="n">
        <v>7399</v>
      </c>
      <c r="O26" s="416" t="n">
        <v>3181</v>
      </c>
      <c r="P26" s="416" t="n">
        <v>0</v>
      </c>
      <c r="Q26" s="416" t="n">
        <v>0</v>
      </c>
    </row>
    <row r="27" customFormat="false" ht="15" hidden="false" customHeight="false" outlineLevel="0" collapsed="false">
      <c r="L27" s="416" t="n">
        <v>500</v>
      </c>
      <c r="M27" s="416" t="n">
        <v>2500</v>
      </c>
      <c r="N27" s="416" t="n">
        <v>8828</v>
      </c>
      <c r="O27" s="416" t="n">
        <v>18543</v>
      </c>
      <c r="P27" s="420" t="n">
        <v>16656</v>
      </c>
      <c r="Q27" s="420" t="n">
        <v>64172</v>
      </c>
    </row>
    <row r="38" customFormat="false" ht="16.4" hidden="false" customHeight="false" outlineLevel="0" collapsed="false">
      <c r="C38" s="438" t="n">
        <v>6.5161868524711E-007</v>
      </c>
      <c r="D38" s="438" t="n">
        <v>5.58035321959433E-007</v>
      </c>
      <c r="E38" s="438" t="n">
        <v>2.9219735359385E-006</v>
      </c>
      <c r="F38" s="438" t="n">
        <v>2.04108733475322E-006</v>
      </c>
      <c r="G38" s="438" t="n">
        <v>4.67798199032692E-007</v>
      </c>
      <c r="H38" s="438" t="n">
        <v>1.15156800239387E-006</v>
      </c>
      <c r="I38" s="438" t="n">
        <v>2.78740723393868E-007</v>
      </c>
      <c r="J38" s="438" t="n">
        <v>5.93179514387632E-007</v>
      </c>
      <c r="K38" s="438" t="n">
        <v>2.2397859616612E-007</v>
      </c>
      <c r="L38" s="438" t="n">
        <v>8.94792889409156E-007</v>
      </c>
      <c r="M38" s="438" t="n">
        <v>3.33816235870076E-007</v>
      </c>
      <c r="N38" s="438" t="n">
        <v>4.97820658256072E-007</v>
      </c>
      <c r="O38" s="438" t="n">
        <v>1.55188415866184E-007</v>
      </c>
      <c r="P38" s="438" t="n">
        <v>2.45947060674221E-007</v>
      </c>
      <c r="Q38" s="439" t="n">
        <v>5.39614890128111E-007</v>
      </c>
    </row>
    <row r="39" customFormat="false" ht="15" hidden="false" customHeight="false" outlineLevel="0" collapsed="false">
      <c r="C39" s="440" t="n">
        <f aca="false">C38*1.1</f>
        <v>7.16780553771821E-007</v>
      </c>
      <c r="D39" s="440" t="n">
        <f aca="false">D38*1.1</f>
        <v>6.13838854155377E-007</v>
      </c>
      <c r="E39" s="440" t="n">
        <f aca="false">E38*1.1</f>
        <v>3.21417088953235E-006</v>
      </c>
      <c r="F39" s="440" t="n">
        <f aca="false">F38*1.1</f>
        <v>2.24519606822854E-006</v>
      </c>
      <c r="G39" s="440" t="n">
        <f aca="false">G38*1.1</f>
        <v>5.14578018935961E-007</v>
      </c>
      <c r="H39" s="440" t="n">
        <f aca="false">H38*1.1</f>
        <v>1.26672480263326E-006</v>
      </c>
      <c r="I39" s="440" t="n">
        <f aca="false">I38*1.1</f>
        <v>3.06614795733255E-007</v>
      </c>
      <c r="J39" s="440" t="n">
        <f aca="false">J38*1.1</f>
        <v>6.52497465826395E-007</v>
      </c>
      <c r="K39" s="440" t="n">
        <f aca="false">K38*1.1</f>
        <v>2.46376455782732E-007</v>
      </c>
      <c r="L39" s="440" t="n">
        <f aca="false">L38*1.1</f>
        <v>9.84272178350072E-007</v>
      </c>
      <c r="M39" s="440" t="n">
        <f aca="false">M38*1.1</f>
        <v>3.67197859457083E-007</v>
      </c>
      <c r="N39" s="440" t="n">
        <f aca="false">N38*1.1</f>
        <v>5.4760272408168E-007</v>
      </c>
      <c r="O39" s="440" t="n">
        <f aca="false">O38*1.1</f>
        <v>1.70707257452802E-007</v>
      </c>
      <c r="P39" s="440" t="n">
        <f aca="false">P38*1.1</f>
        <v>2.70541766741643E-007</v>
      </c>
      <c r="Q39" s="440" t="n">
        <f aca="false">Q38*1.1</f>
        <v>5.93576379140922E-007</v>
      </c>
    </row>
  </sheetData>
  <mergeCells count="6">
    <mergeCell ref="J1:R1"/>
    <mergeCell ref="A2:C2"/>
    <mergeCell ref="A6:C6"/>
    <mergeCell ref="A13:C13"/>
    <mergeCell ref="A23:A24"/>
    <mergeCell ref="B23:B24"/>
  </mergeCells>
  <conditionalFormatting sqref="C38:Q38">
    <cfRule type="cellIs" priority="2" operator="lessThan" aboveAverage="0" equalAverage="0" bottom="0" percent="0" rank="0" text="" dxfId="2">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199</TotalTime>
  <Application>LibreOffice/25.8.3.2$Linux_X86_64 LibreOffice_project/69c620f4d99e06f4c05a0e551b1b572b8c7ede69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2017-01-25T13:20:29Z</dcterms:created>
  <dc:creator>IdB</dc:creator>
  <dc:description/>
  <dc:language>en-US</dc:language>
  <cp:lastModifiedBy/>
  <dcterms:modified xsi:type="dcterms:W3CDTF">2025-12-16T11:50:50Z</dcterms:modified>
  <cp:revision>16</cp:revision>
  <dc:subject/>
  <dc:title/>
</cp:coreProperties>
</file>

<file path=docProps/custom.xml><?xml version="1.0" encoding="utf-8"?>
<Properties xmlns="http://schemas.openxmlformats.org/officeDocument/2006/custom-properties" xmlns:vt="http://schemas.openxmlformats.org/officeDocument/2006/docPropsVTypes"/>
</file>